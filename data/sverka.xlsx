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8" yWindow="-108" windowWidth="23256" windowHeight="12456" tabRatio="859" activeTab="3"/>
  </bookViews>
  <sheets>
    <sheet name="АСОСИЙ" sheetId="42" r:id="rId1"/>
    <sheet name="СОТУВ" sheetId="1" r:id="rId2"/>
    <sheet name="ТЎЛОВ" sheetId="17" r:id="rId3"/>
    <sheet name="АКТ СВЕРКА" sheetId="58" r:id="rId4"/>
    <sheet name="ОМБОР ҚОЛДИҒИ" sheetId="57" r:id="rId5"/>
    <sheet name="Лист1" sheetId="61" r:id="rId6"/>
    <sheet name="КИРИМ ОМБОР" sheetId="27" r:id="rId7"/>
    <sheet name="БОШЛАҒИЧ САЛЬДО" sheetId="50" r:id="rId8"/>
    <sheet name="СТАТИСТИКА" sheetId="40" state="hidden" r:id="rId9"/>
    <sheet name="МАЪЛУМОТЛАР" sheetId="2" r:id="rId10"/>
    <sheet name="КОНТРАГЕНТ" sheetId="60" r:id="rId11"/>
  </sheets>
  <externalReferences>
    <externalReference r:id="rId12"/>
    <externalReference r:id="rId13"/>
  </externalReferences>
  <definedNames>
    <definedName name="_xlnm._FilterDatabase" localSheetId="10" hidden="1">КОНТРАГЕНТ!$A$1:$A$968</definedName>
    <definedName name="ExternalData_1" localSheetId="3" hidden="1">'АКТ СВЕРКА'!$A$1:$E$240</definedName>
    <definedName name="_xlnm.Print_Area" localSheetId="0">АСОСИЙ!$A$1:$K$20</definedName>
  </definedNames>
  <calcPr calcId="162913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4" i="17" l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65" i="1" l="1"/>
  <c r="K465" i="1" s="1"/>
  <c r="J461" i="1"/>
  <c r="K461" i="1" s="1"/>
  <c r="J459" i="1"/>
  <c r="K459" i="1" s="1"/>
  <c r="J458" i="1"/>
  <c r="K458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60" i="1"/>
  <c r="K460" i="1" s="1"/>
  <c r="J462" i="1"/>
  <c r="K462" i="1" s="1"/>
  <c r="J463" i="1"/>
  <c r="K463" i="1" s="1"/>
  <c r="J464" i="1"/>
  <c r="K464" i="1" s="1"/>
  <c r="J448" i="1"/>
  <c r="K448" i="1" s="1"/>
  <c r="J449" i="1"/>
  <c r="K449" i="1" s="1"/>
  <c r="J450" i="1"/>
  <c r="K450" i="1" s="1"/>
  <c r="J451" i="1"/>
  <c r="K451" i="1" s="1"/>
  <c r="J444" i="1"/>
  <c r="K444" i="1" s="1"/>
  <c r="J445" i="1"/>
  <c r="K445" i="1" s="1"/>
  <c r="J446" i="1"/>
  <c r="K446" i="1" s="1"/>
  <c r="J447" i="1"/>
  <c r="K44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14" i="1"/>
  <c r="K414" i="1" s="1"/>
  <c r="J415" i="1"/>
  <c r="K415" i="1" s="1"/>
  <c r="J416" i="1"/>
  <c r="K416" i="1" s="1"/>
  <c r="J417" i="1"/>
  <c r="K417" i="1" s="1"/>
  <c r="J418" i="1"/>
  <c r="J419" i="1"/>
  <c r="K419" i="1" s="1"/>
  <c r="G418" i="1"/>
  <c r="K418" i="1" l="1"/>
  <c r="G365" i="1"/>
  <c r="J365" i="1"/>
  <c r="K365" i="1" l="1"/>
  <c r="G485" i="1"/>
  <c r="K485" i="1" s="1"/>
  <c r="F363" i="17" l="1"/>
  <c r="J407" i="1" l="1"/>
  <c r="F3245" i="17" l="1"/>
  <c r="F3246" i="17"/>
  <c r="F3247" i="17"/>
  <c r="F3240" i="17"/>
  <c r="F3241" i="17"/>
  <c r="F3242" i="17"/>
  <c r="F3243" i="17"/>
  <c r="F3244" i="17"/>
  <c r="F3248" i="17"/>
  <c r="F3249" i="17"/>
  <c r="F3250" i="17"/>
  <c r="F3251" i="17"/>
  <c r="F3252" i="17"/>
  <c r="F3253" i="17"/>
  <c r="F3254" i="17"/>
  <c r="F3255" i="17"/>
  <c r="F3256" i="17"/>
  <c r="F3257" i="17"/>
  <c r="F3258" i="17"/>
  <c r="F3259" i="17"/>
  <c r="F3260" i="17"/>
  <c r="F3261" i="17"/>
  <c r="F3262" i="17"/>
  <c r="F3263" i="17"/>
  <c r="F3264" i="17"/>
  <c r="F3265" i="17"/>
  <c r="F3266" i="17"/>
  <c r="F3267" i="17"/>
  <c r="F3268" i="17"/>
  <c r="F3269" i="17"/>
  <c r="F3270" i="17"/>
  <c r="F3271" i="17"/>
  <c r="F3272" i="17"/>
  <c r="F3273" i="17"/>
  <c r="F3274" i="17"/>
  <c r="F3275" i="17"/>
  <c r="F3276" i="17"/>
  <c r="F3277" i="17"/>
  <c r="F3278" i="17"/>
  <c r="F3279" i="17"/>
  <c r="F3280" i="17"/>
  <c r="F3281" i="17"/>
  <c r="F3282" i="17"/>
  <c r="F3283" i="17"/>
  <c r="F3284" i="17"/>
  <c r="F3285" i="17"/>
  <c r="F3286" i="17"/>
  <c r="F3287" i="17"/>
  <c r="F3288" i="17"/>
  <c r="F3289" i="17"/>
  <c r="F3290" i="17"/>
  <c r="F3291" i="17"/>
  <c r="F3292" i="17"/>
  <c r="F3293" i="17"/>
  <c r="F3294" i="17"/>
  <c r="F3295" i="17"/>
  <c r="F3296" i="17"/>
  <c r="F3297" i="17"/>
  <c r="F3298" i="17"/>
  <c r="F3299" i="17"/>
  <c r="F3300" i="17"/>
  <c r="F3301" i="17"/>
  <c r="F3302" i="17"/>
  <c r="F3303" i="17"/>
  <c r="F3304" i="17"/>
  <c r="F3305" i="17"/>
  <c r="F3306" i="17"/>
  <c r="F3307" i="17"/>
  <c r="F3308" i="17"/>
  <c r="F3309" i="17"/>
  <c r="F3310" i="17"/>
  <c r="F3311" i="17"/>
  <c r="F3312" i="17"/>
  <c r="F3313" i="17"/>
  <c r="F3314" i="17"/>
  <c r="F3315" i="17"/>
  <c r="F3316" i="17"/>
  <c r="F3317" i="17"/>
  <c r="F3318" i="17"/>
  <c r="F3319" i="17"/>
  <c r="F3320" i="17"/>
  <c r="F3321" i="17"/>
  <c r="F3322" i="17"/>
  <c r="F3323" i="17"/>
  <c r="F3324" i="17"/>
  <c r="F3325" i="17"/>
  <c r="F3326" i="17"/>
  <c r="F3327" i="17"/>
  <c r="F3328" i="17"/>
  <c r="F3329" i="17"/>
  <c r="F3330" i="17"/>
  <c r="F3331" i="17"/>
  <c r="F3332" i="17"/>
  <c r="F3333" i="17"/>
  <c r="F3334" i="17"/>
  <c r="F3335" i="17"/>
  <c r="F3336" i="17"/>
  <c r="F3337" i="17"/>
  <c r="F3338" i="17"/>
  <c r="F3339" i="17"/>
  <c r="F3340" i="17"/>
  <c r="F3341" i="17"/>
  <c r="F3230" i="17"/>
  <c r="F3231" i="17"/>
  <c r="F3232" i="17"/>
  <c r="F3233" i="17"/>
  <c r="F3234" i="17"/>
  <c r="F3235" i="17"/>
  <c r="F3236" i="17"/>
  <c r="F3237" i="17"/>
  <c r="F3238" i="17"/>
  <c r="F3239" i="17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696" i="1"/>
  <c r="J3697" i="1"/>
  <c r="J3698" i="1"/>
  <c r="J3699" i="1"/>
  <c r="J3700" i="1"/>
  <c r="J3701" i="1"/>
  <c r="J3702" i="1"/>
  <c r="J3703" i="1"/>
  <c r="J3704" i="1"/>
  <c r="J3705" i="1"/>
  <c r="J3706" i="1"/>
  <c r="K3696" i="1" l="1"/>
  <c r="K3731" i="1"/>
  <c r="K3715" i="1"/>
  <c r="K3727" i="1"/>
  <c r="K3723" i="1"/>
  <c r="K3719" i="1"/>
  <c r="K3733" i="1"/>
  <c r="K3729" i="1"/>
  <c r="K3725" i="1"/>
  <c r="K3721" i="1"/>
  <c r="K3717" i="1"/>
  <c r="K3707" i="1"/>
  <c r="K3706" i="1"/>
  <c r="K3732" i="1"/>
  <c r="K3730" i="1"/>
  <c r="K3728" i="1"/>
  <c r="K3726" i="1"/>
  <c r="K3724" i="1"/>
  <c r="K3722" i="1"/>
  <c r="K3720" i="1"/>
  <c r="K3718" i="1"/>
  <c r="K3716" i="1"/>
  <c r="K3714" i="1"/>
  <c r="K3712" i="1"/>
  <c r="K3710" i="1"/>
  <c r="K3708" i="1"/>
  <c r="K3702" i="1"/>
  <c r="K3704" i="1"/>
  <c r="K3713" i="1"/>
  <c r="K3711" i="1"/>
  <c r="K3709" i="1"/>
  <c r="K3700" i="1"/>
  <c r="K3698" i="1"/>
  <c r="K3705" i="1"/>
  <c r="K3703" i="1"/>
  <c r="K3701" i="1"/>
  <c r="K3699" i="1"/>
  <c r="K3697" i="1"/>
  <c r="J3689" i="1"/>
  <c r="J3695" i="1"/>
  <c r="J3694" i="1"/>
  <c r="J3693" i="1"/>
  <c r="J3692" i="1"/>
  <c r="J3691" i="1"/>
  <c r="J3690" i="1"/>
  <c r="K3689" i="1" l="1"/>
  <c r="K3692" i="1"/>
  <c r="K3693" i="1"/>
  <c r="K3695" i="1"/>
  <c r="K3694" i="1"/>
  <c r="K3690" i="1"/>
  <c r="K3691" i="1"/>
  <c r="G344" i="1"/>
  <c r="J344" i="1"/>
  <c r="G343" i="1"/>
  <c r="J343" i="1"/>
  <c r="G398" i="1"/>
  <c r="J398" i="1"/>
  <c r="K398" i="1" l="1"/>
  <c r="K344" i="1"/>
  <c r="K343" i="1"/>
  <c r="G373" i="1"/>
  <c r="J373" i="1"/>
  <c r="K373" i="1" l="1"/>
  <c r="J3688" i="1"/>
  <c r="K3688" i="1" l="1"/>
  <c r="J3664" i="1"/>
  <c r="J3665" i="1"/>
  <c r="J3666" i="1"/>
  <c r="J3667" i="1"/>
  <c r="J3668" i="1"/>
  <c r="K3668" i="1" s="1"/>
  <c r="J3669" i="1"/>
  <c r="J3670" i="1"/>
  <c r="J3671" i="1"/>
  <c r="J3672" i="1"/>
  <c r="K3672" i="1" s="1"/>
  <c r="J3673" i="1"/>
  <c r="J3674" i="1"/>
  <c r="K3674" i="1" s="1"/>
  <c r="J3675" i="1"/>
  <c r="J3676" i="1"/>
  <c r="K3676" i="1" s="1"/>
  <c r="J3677" i="1"/>
  <c r="J3678" i="1"/>
  <c r="J3679" i="1"/>
  <c r="J3680" i="1"/>
  <c r="K3680" i="1" s="1"/>
  <c r="J3681" i="1"/>
  <c r="J3682" i="1"/>
  <c r="J3683" i="1"/>
  <c r="J3684" i="1"/>
  <c r="K3684" i="1" s="1"/>
  <c r="J3685" i="1"/>
  <c r="J3686" i="1"/>
  <c r="J3687" i="1"/>
  <c r="K3664" i="1"/>
  <c r="J3663" i="1"/>
  <c r="K3686" i="1" l="1"/>
  <c r="K3682" i="1"/>
  <c r="K3678" i="1"/>
  <c r="K3670" i="1"/>
  <c r="K3666" i="1"/>
  <c r="K3687" i="1"/>
  <c r="K3685" i="1"/>
  <c r="K3683" i="1"/>
  <c r="K3681" i="1"/>
  <c r="K3679" i="1"/>
  <c r="K3677" i="1"/>
  <c r="K3671" i="1"/>
  <c r="K3669" i="1"/>
  <c r="K3667" i="1"/>
  <c r="K3675" i="1"/>
  <c r="K3673" i="1"/>
  <c r="K3665" i="1"/>
  <c r="K3663" i="1"/>
  <c r="F304" i="17"/>
  <c r="J3660" i="1" l="1"/>
  <c r="J3662" i="1"/>
  <c r="J3661" i="1"/>
  <c r="J3659" i="1"/>
  <c r="J3658" i="1"/>
  <c r="J3657" i="1"/>
  <c r="K3662" i="1" l="1"/>
  <c r="K3660" i="1"/>
  <c r="K3659" i="1"/>
  <c r="K3661" i="1"/>
  <c r="K3658" i="1"/>
  <c r="K3657" i="1"/>
  <c r="J3656" i="1"/>
  <c r="J3655" i="1"/>
  <c r="J3654" i="1"/>
  <c r="J3653" i="1"/>
  <c r="J3652" i="1"/>
  <c r="J3651" i="1"/>
  <c r="J3650" i="1"/>
  <c r="K3656" i="1" l="1"/>
  <c r="K3654" i="1"/>
  <c r="K3655" i="1"/>
  <c r="K3651" i="1"/>
  <c r="K3653" i="1"/>
  <c r="K3650" i="1"/>
  <c r="K3652" i="1"/>
  <c r="G372" i="1"/>
  <c r="J372" i="1"/>
  <c r="K372" i="1" l="1"/>
  <c r="G356" i="1"/>
  <c r="J356" i="1"/>
  <c r="G354" i="1"/>
  <c r="J354" i="1"/>
  <c r="K356" i="1" l="1"/>
  <c r="K354" i="1"/>
  <c r="J3649" i="1"/>
  <c r="J3648" i="1"/>
  <c r="K3648" i="1" s="1"/>
  <c r="J3647" i="1"/>
  <c r="J3646" i="1"/>
  <c r="J3645" i="1"/>
  <c r="J3644" i="1"/>
  <c r="K3649" i="1" l="1"/>
  <c r="K3646" i="1"/>
  <c r="K3647" i="1"/>
  <c r="K3644" i="1"/>
  <c r="K3645" i="1"/>
  <c r="J3643" i="1"/>
  <c r="K3643" i="1" l="1"/>
  <c r="G327" i="1"/>
  <c r="J327" i="1"/>
  <c r="K327" i="1" l="1"/>
  <c r="F244" i="17"/>
  <c r="F245" i="17"/>
  <c r="G262" i="1"/>
  <c r="J262" i="1"/>
  <c r="G111" i="1"/>
  <c r="J111" i="1"/>
  <c r="K111" i="1" l="1"/>
  <c r="K262" i="1"/>
  <c r="G303" i="1"/>
  <c r="J303" i="1"/>
  <c r="K303" i="1" l="1"/>
  <c r="G218" i="1"/>
  <c r="J218" i="1"/>
  <c r="K218" i="1" l="1"/>
  <c r="G281" i="1" l="1"/>
  <c r="J281" i="1"/>
  <c r="K281" i="1" l="1"/>
  <c r="F217" i="17"/>
  <c r="F205" i="17"/>
  <c r="G88" i="1" l="1"/>
  <c r="G3642" i="1" l="1"/>
  <c r="J3642" i="1"/>
  <c r="G3641" i="1"/>
  <c r="J3641" i="1"/>
  <c r="K3642" i="1" l="1"/>
  <c r="K3641" i="1"/>
  <c r="G254" i="1"/>
  <c r="J254" i="1"/>
  <c r="K254" i="1" l="1"/>
  <c r="G272" i="1"/>
  <c r="J272" i="1"/>
  <c r="K272" i="1" l="1"/>
  <c r="G248" i="1"/>
  <c r="J248" i="1"/>
  <c r="K248" i="1" l="1"/>
  <c r="F154" i="17"/>
  <c r="F152" i="17"/>
  <c r="F151" i="17"/>
  <c r="J245" i="1" l="1"/>
  <c r="G243" i="1"/>
  <c r="J243" i="1"/>
  <c r="K245" i="1" l="1"/>
  <c r="K243" i="1"/>
  <c r="G221" i="1"/>
  <c r="J221" i="1"/>
  <c r="G233" i="1"/>
  <c r="J233" i="1"/>
  <c r="G234" i="1"/>
  <c r="J234" i="1"/>
  <c r="F153" i="17"/>
  <c r="K234" i="1" l="1"/>
  <c r="K233" i="1"/>
  <c r="K221" i="1"/>
  <c r="G227" i="1"/>
  <c r="J227" i="1"/>
  <c r="G217" i="1"/>
  <c r="J217" i="1"/>
  <c r="G219" i="1"/>
  <c r="J219" i="1"/>
  <c r="G220" i="1"/>
  <c r="J220" i="1"/>
  <c r="K219" i="1" l="1"/>
  <c r="K227" i="1"/>
  <c r="K217" i="1"/>
  <c r="K220" i="1"/>
  <c r="G178" i="1"/>
  <c r="J178" i="1"/>
  <c r="G158" i="1"/>
  <c r="J158" i="1"/>
  <c r="G114" i="1"/>
  <c r="F110" i="17"/>
  <c r="F111" i="17"/>
  <c r="F112" i="17"/>
  <c r="F108" i="17"/>
  <c r="F109" i="17"/>
  <c r="F113" i="17"/>
  <c r="K178" i="1" l="1"/>
  <c r="K158" i="1"/>
  <c r="G156" i="1"/>
  <c r="F3229" i="17" l="1"/>
  <c r="F3228" i="17"/>
  <c r="F3227" i="17"/>
  <c r="F3226" i="17"/>
  <c r="F3225" i="17"/>
  <c r="F3224" i="17"/>
  <c r="F3223" i="17"/>
  <c r="F3222" i="17"/>
  <c r="F3221" i="17"/>
  <c r="F3220" i="17"/>
  <c r="F3219" i="17"/>
  <c r="F3218" i="17"/>
  <c r="F3217" i="17"/>
  <c r="F3216" i="17"/>
  <c r="F3215" i="17"/>
  <c r="F3214" i="17"/>
  <c r="F3213" i="17"/>
  <c r="F3212" i="17"/>
  <c r="F3211" i="17"/>
  <c r="F3210" i="17"/>
  <c r="F3209" i="17"/>
  <c r="F3208" i="17"/>
  <c r="F3207" i="17"/>
  <c r="F3206" i="17"/>
  <c r="F3205" i="17"/>
  <c r="F3204" i="17"/>
  <c r="F3203" i="17"/>
  <c r="F3202" i="17"/>
  <c r="F3201" i="17"/>
  <c r="F3200" i="17"/>
  <c r="F3199" i="17"/>
  <c r="F3198" i="17"/>
  <c r="F3197" i="17"/>
  <c r="F3196" i="17"/>
  <c r="F3195" i="17"/>
  <c r="F3194" i="17"/>
  <c r="F3193" i="17"/>
  <c r="F3192" i="17"/>
  <c r="F3191" i="17"/>
  <c r="F3190" i="17"/>
  <c r="F3189" i="17"/>
  <c r="F3188" i="17"/>
  <c r="F3187" i="17"/>
  <c r="F3186" i="17"/>
  <c r="F3185" i="17"/>
  <c r="F3184" i="17"/>
  <c r="F3183" i="17"/>
  <c r="F3182" i="17"/>
  <c r="F3181" i="17"/>
  <c r="F3180" i="17"/>
  <c r="F3179" i="17"/>
  <c r="F3178" i="17"/>
  <c r="F3177" i="17"/>
  <c r="F3176" i="17"/>
  <c r="F3175" i="17"/>
  <c r="F3174" i="17"/>
  <c r="F3173" i="17"/>
  <c r="F3172" i="17"/>
  <c r="F3171" i="17"/>
  <c r="F3170" i="17"/>
  <c r="F3169" i="17"/>
  <c r="F3168" i="17"/>
  <c r="F3167" i="17"/>
  <c r="F3166" i="17"/>
  <c r="F3165" i="17"/>
  <c r="F3164" i="17"/>
  <c r="F3163" i="17"/>
  <c r="F3162" i="17"/>
  <c r="F3161" i="17"/>
  <c r="F3160" i="17"/>
  <c r="F3159" i="17"/>
  <c r="F3158" i="17"/>
  <c r="F3157" i="17"/>
  <c r="F3156" i="17"/>
  <c r="F3155" i="17"/>
  <c r="F3154" i="17"/>
  <c r="F3153" i="17"/>
  <c r="F3152" i="17"/>
  <c r="F3151" i="17"/>
  <c r="F3150" i="17"/>
  <c r="F3149" i="17"/>
  <c r="F3148" i="17"/>
  <c r="F3147" i="17"/>
  <c r="F3146" i="17"/>
  <c r="F3145" i="17"/>
  <c r="F3144" i="17"/>
  <c r="F3143" i="17"/>
  <c r="F3142" i="17"/>
  <c r="F3141" i="17"/>
  <c r="F3140" i="17"/>
  <c r="F3139" i="17"/>
  <c r="F3138" i="17"/>
  <c r="F3137" i="17"/>
  <c r="F3136" i="17"/>
  <c r="F3135" i="17"/>
  <c r="F3134" i="17"/>
  <c r="F3133" i="17"/>
  <c r="F3132" i="17"/>
  <c r="F3131" i="17"/>
  <c r="F3130" i="17"/>
  <c r="F3129" i="17"/>
  <c r="F3128" i="17"/>
  <c r="F3127" i="17"/>
  <c r="F3126" i="17"/>
  <c r="F3125" i="17"/>
  <c r="F3124" i="17"/>
  <c r="F3123" i="17"/>
  <c r="F3122" i="17"/>
  <c r="F3121" i="17"/>
  <c r="F3120" i="17"/>
  <c r="F3119" i="17"/>
  <c r="F3118" i="17"/>
  <c r="F3117" i="17"/>
  <c r="F3116" i="17"/>
  <c r="F3115" i="17"/>
  <c r="F3114" i="17"/>
  <c r="F3113" i="17"/>
  <c r="F3112" i="17"/>
  <c r="F3111" i="17"/>
  <c r="F3110" i="17"/>
  <c r="F3109" i="17"/>
  <c r="F3108" i="17"/>
  <c r="F3107" i="17"/>
  <c r="F3106" i="17"/>
  <c r="F3105" i="17"/>
  <c r="F3104" i="17"/>
  <c r="F3103" i="17"/>
  <c r="F3102" i="17"/>
  <c r="F3101" i="17"/>
  <c r="F3100" i="17"/>
  <c r="F3099" i="17"/>
  <c r="F3098" i="17"/>
  <c r="F3097" i="17"/>
  <c r="F3096" i="17"/>
  <c r="F3095" i="17"/>
  <c r="F3094" i="17"/>
  <c r="F3093" i="17"/>
  <c r="F3092" i="17"/>
  <c r="F3091" i="17"/>
  <c r="F3090" i="17"/>
  <c r="F3089" i="17"/>
  <c r="F3088" i="17"/>
  <c r="F3087" i="17"/>
  <c r="F3086" i="17"/>
  <c r="F3085" i="17"/>
  <c r="F3084" i="17"/>
  <c r="F3083" i="17"/>
  <c r="F3082" i="17"/>
  <c r="F3081" i="17"/>
  <c r="F3080" i="17"/>
  <c r="F3079" i="17"/>
  <c r="F3078" i="17"/>
  <c r="F3077" i="17"/>
  <c r="F3076" i="17"/>
  <c r="F3075" i="17"/>
  <c r="F3074" i="17"/>
  <c r="F3073" i="17"/>
  <c r="F3072" i="17"/>
  <c r="F3071" i="17"/>
  <c r="F3070" i="17"/>
  <c r="F3069" i="17"/>
  <c r="F3068" i="17"/>
  <c r="F3067" i="17"/>
  <c r="F3066" i="17"/>
  <c r="F3065" i="17"/>
  <c r="F3064" i="17"/>
  <c r="F3063" i="17"/>
  <c r="F3062" i="17"/>
  <c r="F3061" i="17"/>
  <c r="F3060" i="17"/>
  <c r="F3059" i="17"/>
  <c r="F3058" i="17"/>
  <c r="F3057" i="17"/>
  <c r="F3056" i="17"/>
  <c r="F3055" i="17"/>
  <c r="F3054" i="17"/>
  <c r="F3053" i="17"/>
  <c r="F3052" i="17"/>
  <c r="F3051" i="17"/>
  <c r="F3050" i="17"/>
  <c r="F3049" i="17"/>
  <c r="F3048" i="17"/>
  <c r="F3047" i="17"/>
  <c r="F3046" i="17"/>
  <c r="F3045" i="17"/>
  <c r="F3044" i="17"/>
  <c r="F3043" i="17"/>
  <c r="F3042" i="17"/>
  <c r="F3041" i="17"/>
  <c r="F3040" i="17"/>
  <c r="F3039" i="17"/>
  <c r="F3038" i="17"/>
  <c r="F3037" i="17"/>
  <c r="F3036" i="17"/>
  <c r="F3035" i="17"/>
  <c r="F3034" i="17"/>
  <c r="F3033" i="17"/>
  <c r="F3032" i="17"/>
  <c r="F3031" i="17"/>
  <c r="F3030" i="17"/>
  <c r="F3029" i="17"/>
  <c r="F3028" i="17"/>
  <c r="F3027" i="17"/>
  <c r="F3026" i="17"/>
  <c r="F3025" i="17"/>
  <c r="F3024" i="17"/>
  <c r="F3023" i="17"/>
  <c r="F3022" i="17"/>
  <c r="F3021" i="17"/>
  <c r="F3020" i="17"/>
  <c r="F3019" i="17"/>
  <c r="F3018" i="17"/>
  <c r="F3017" i="17"/>
  <c r="F3016" i="17"/>
  <c r="F3015" i="17"/>
  <c r="F3014" i="17"/>
  <c r="F3013" i="17"/>
  <c r="F3012" i="17"/>
  <c r="F3011" i="17"/>
  <c r="F3010" i="17"/>
  <c r="F3009" i="17"/>
  <c r="F3008" i="17"/>
  <c r="F3007" i="17"/>
  <c r="F3006" i="17"/>
  <c r="F3005" i="17"/>
  <c r="F3004" i="17"/>
  <c r="F3003" i="17"/>
  <c r="F3002" i="17"/>
  <c r="F3001" i="17"/>
  <c r="F3000" i="17"/>
  <c r="F2999" i="17"/>
  <c r="F2998" i="17"/>
  <c r="F2997" i="17"/>
  <c r="F2996" i="17"/>
  <c r="F2995" i="17"/>
  <c r="F2994" i="17"/>
  <c r="F2993" i="17"/>
  <c r="F2992" i="17"/>
  <c r="F2991" i="17"/>
  <c r="F2990" i="17"/>
  <c r="F2989" i="17"/>
  <c r="F2988" i="17"/>
  <c r="F2987" i="17"/>
  <c r="F2986" i="17"/>
  <c r="F2985" i="17"/>
  <c r="F2984" i="17"/>
  <c r="F2983" i="17"/>
  <c r="F2982" i="17"/>
  <c r="F2981" i="17"/>
  <c r="F2980" i="17"/>
  <c r="F2979" i="17"/>
  <c r="F2978" i="17"/>
  <c r="F2977" i="17"/>
  <c r="F2976" i="17"/>
  <c r="F2975" i="17"/>
  <c r="F2974" i="17"/>
  <c r="F2973" i="17"/>
  <c r="F2972" i="17"/>
  <c r="F2971" i="17"/>
  <c r="F2970" i="17"/>
  <c r="F2969" i="17"/>
  <c r="F2968" i="17"/>
  <c r="F2967" i="17"/>
  <c r="F2966" i="17"/>
  <c r="F2965" i="17"/>
  <c r="F2964" i="17"/>
  <c r="F2963" i="17"/>
  <c r="F2962" i="17"/>
  <c r="F2961" i="17"/>
  <c r="F2960" i="17"/>
  <c r="F2959" i="17"/>
  <c r="F2958" i="17"/>
  <c r="F2957" i="17"/>
  <c r="F2956" i="17"/>
  <c r="F2955" i="17"/>
  <c r="F2954" i="17"/>
  <c r="F2953" i="17"/>
  <c r="F2952" i="17"/>
  <c r="F2951" i="17"/>
  <c r="F2950" i="17"/>
  <c r="F2949" i="17"/>
  <c r="F2948" i="17"/>
  <c r="F2947" i="17"/>
  <c r="F2946" i="17"/>
  <c r="F2945" i="17"/>
  <c r="F2944" i="17"/>
  <c r="F2943" i="17"/>
  <c r="F2942" i="17"/>
  <c r="F2941" i="17"/>
  <c r="F2940" i="17"/>
  <c r="F2939" i="17"/>
  <c r="F2938" i="17"/>
  <c r="F2937" i="17"/>
  <c r="F2936" i="17"/>
  <c r="F2935" i="17"/>
  <c r="F2934" i="17"/>
  <c r="F2933" i="17"/>
  <c r="F2932" i="17"/>
  <c r="F2931" i="17"/>
  <c r="F2930" i="17"/>
  <c r="F2929" i="17"/>
  <c r="F2928" i="17"/>
  <c r="F2927" i="17"/>
  <c r="F2926" i="17"/>
  <c r="F2925" i="17"/>
  <c r="F2924" i="17"/>
  <c r="F2923" i="17"/>
  <c r="F2922" i="17"/>
  <c r="F2921" i="17"/>
  <c r="F2920" i="17"/>
  <c r="F2919" i="17"/>
  <c r="F2918" i="17"/>
  <c r="F2917" i="17"/>
  <c r="F2916" i="17"/>
  <c r="F2915" i="17"/>
  <c r="F2914" i="17"/>
  <c r="F2913" i="17"/>
  <c r="F2912" i="17"/>
  <c r="F2911" i="17"/>
  <c r="F2910" i="17"/>
  <c r="F2909" i="17"/>
  <c r="F2908" i="17"/>
  <c r="F2907" i="17"/>
  <c r="F2906" i="17"/>
  <c r="F2905" i="17"/>
  <c r="F2904" i="17"/>
  <c r="F2903" i="17"/>
  <c r="F2902" i="17"/>
  <c r="F2901" i="17"/>
  <c r="F2900" i="17"/>
  <c r="F2899" i="17"/>
  <c r="F2898" i="17"/>
  <c r="F2897" i="17"/>
  <c r="F2896" i="17"/>
  <c r="F2895" i="17"/>
  <c r="F2894" i="17"/>
  <c r="F2893" i="17"/>
  <c r="F2892" i="17"/>
  <c r="F2891" i="17"/>
  <c r="F2890" i="17"/>
  <c r="F2889" i="17"/>
  <c r="F2888" i="17"/>
  <c r="F2887" i="17"/>
  <c r="F2886" i="17"/>
  <c r="F2885" i="17"/>
  <c r="F2884" i="17"/>
  <c r="F2883" i="17"/>
  <c r="F2882" i="17"/>
  <c r="F2881" i="17"/>
  <c r="F2880" i="17"/>
  <c r="F2879" i="17"/>
  <c r="F2878" i="17"/>
  <c r="F2877" i="17"/>
  <c r="F2876" i="17"/>
  <c r="F2875" i="17"/>
  <c r="F2874" i="17"/>
  <c r="F2873" i="17"/>
  <c r="F2872" i="17"/>
  <c r="F2871" i="17"/>
  <c r="F2870" i="17"/>
  <c r="F2869" i="17"/>
  <c r="F2868" i="17"/>
  <c r="F2867" i="17"/>
  <c r="F2866" i="17"/>
  <c r="F2865" i="17"/>
  <c r="F2864" i="17"/>
  <c r="F2863" i="17"/>
  <c r="F2862" i="17"/>
  <c r="F2861" i="17"/>
  <c r="F2860" i="17"/>
  <c r="F2859" i="17"/>
  <c r="F2858" i="17"/>
  <c r="F2857" i="17"/>
  <c r="F2856" i="17"/>
  <c r="F2855" i="17"/>
  <c r="F2854" i="17"/>
  <c r="F2853" i="17"/>
  <c r="F2852" i="17"/>
  <c r="F2851" i="17"/>
  <c r="F2850" i="17"/>
  <c r="F2849" i="17"/>
  <c r="F2848" i="17"/>
  <c r="F2847" i="17"/>
  <c r="F2846" i="17"/>
  <c r="F2845" i="17"/>
  <c r="F2844" i="17"/>
  <c r="F2843" i="17"/>
  <c r="F2842" i="17"/>
  <c r="F2841" i="17"/>
  <c r="F2840" i="17"/>
  <c r="F2839" i="17"/>
  <c r="F2838" i="17"/>
  <c r="F2837" i="17"/>
  <c r="F2836" i="17"/>
  <c r="F2835" i="17"/>
  <c r="F2834" i="17"/>
  <c r="F2833" i="17"/>
  <c r="F2832" i="17"/>
  <c r="F2831" i="17"/>
  <c r="F2830" i="17"/>
  <c r="F2829" i="17"/>
  <c r="F2828" i="17"/>
  <c r="F2827" i="17"/>
  <c r="F2826" i="17"/>
  <c r="F2825" i="17"/>
  <c r="F2824" i="17"/>
  <c r="F2823" i="17"/>
  <c r="F2822" i="17"/>
  <c r="F2821" i="17"/>
  <c r="F2820" i="17"/>
  <c r="F2819" i="17"/>
  <c r="F2818" i="17"/>
  <c r="F2817" i="17"/>
  <c r="F2816" i="17"/>
  <c r="F2815" i="17"/>
  <c r="F2814" i="17"/>
  <c r="F2813" i="17"/>
  <c r="F2812" i="17"/>
  <c r="F2811" i="17"/>
  <c r="F2810" i="17"/>
  <c r="F2809" i="17"/>
  <c r="F2808" i="17"/>
  <c r="F2807" i="17"/>
  <c r="F2806" i="17"/>
  <c r="F2805" i="17"/>
  <c r="F2804" i="17"/>
  <c r="F2803" i="17"/>
  <c r="F2802" i="17"/>
  <c r="F2801" i="17"/>
  <c r="F2800" i="17"/>
  <c r="F2799" i="17"/>
  <c r="F2798" i="17"/>
  <c r="F2797" i="17"/>
  <c r="F2796" i="17"/>
  <c r="F2795" i="17"/>
  <c r="F2794" i="17"/>
  <c r="F2793" i="17"/>
  <c r="F2792" i="17"/>
  <c r="F2791" i="17"/>
  <c r="F2790" i="17"/>
  <c r="F2789" i="17"/>
  <c r="F2788" i="17"/>
  <c r="F2787" i="17"/>
  <c r="F2786" i="17"/>
  <c r="F2785" i="17"/>
  <c r="F2784" i="17"/>
  <c r="F2783" i="17"/>
  <c r="F2782" i="17"/>
  <c r="F2781" i="17"/>
  <c r="F2780" i="17"/>
  <c r="F2779" i="17"/>
  <c r="F2778" i="17"/>
  <c r="F2777" i="17"/>
  <c r="F2776" i="17"/>
  <c r="F2775" i="17"/>
  <c r="F2774" i="17"/>
  <c r="F2773" i="17"/>
  <c r="F2772" i="17"/>
  <c r="F2771" i="17"/>
  <c r="F2770" i="17"/>
  <c r="F2769" i="17"/>
  <c r="F2768" i="17"/>
  <c r="F2767" i="17"/>
  <c r="F2766" i="17"/>
  <c r="F2765" i="17"/>
  <c r="F2764" i="17"/>
  <c r="F2763" i="17"/>
  <c r="F2762" i="17"/>
  <c r="F2761" i="17"/>
  <c r="F2760" i="17"/>
  <c r="F2759" i="17"/>
  <c r="F2758" i="17"/>
  <c r="F2757" i="17"/>
  <c r="F2756" i="17"/>
  <c r="F2755" i="17"/>
  <c r="F2754" i="17"/>
  <c r="F2753" i="17"/>
  <c r="F2752" i="17"/>
  <c r="F2751" i="17"/>
  <c r="F2750" i="17"/>
  <c r="F2749" i="17"/>
  <c r="F2748" i="17"/>
  <c r="F2747" i="17"/>
  <c r="F2746" i="17"/>
  <c r="F2745" i="17"/>
  <c r="F2744" i="17"/>
  <c r="F2743" i="17"/>
  <c r="F2742" i="17"/>
  <c r="F2741" i="17"/>
  <c r="F2740" i="17"/>
  <c r="F2739" i="17"/>
  <c r="F2738" i="17"/>
  <c r="F2737" i="17"/>
  <c r="F2736" i="17"/>
  <c r="F2735" i="17"/>
  <c r="F2734" i="17"/>
  <c r="F2733" i="17"/>
  <c r="F2732" i="17"/>
  <c r="F2731" i="17"/>
  <c r="F2730" i="17"/>
  <c r="F2729" i="17"/>
  <c r="F2728" i="17"/>
  <c r="F2727" i="17"/>
  <c r="F2726" i="17"/>
  <c r="F2725" i="17"/>
  <c r="F2724" i="17"/>
  <c r="F2723" i="17"/>
  <c r="F2722" i="17"/>
  <c r="F2721" i="17"/>
  <c r="F2720" i="17"/>
  <c r="F2719" i="17"/>
  <c r="F2718" i="17"/>
  <c r="F2717" i="17"/>
  <c r="F2716" i="17"/>
  <c r="F2715" i="17"/>
  <c r="F2714" i="17"/>
  <c r="F2713" i="17"/>
  <c r="F2712" i="17"/>
  <c r="F2711" i="17"/>
  <c r="F2710" i="17"/>
  <c r="F2709" i="17"/>
  <c r="F2708" i="17"/>
  <c r="F2707" i="17"/>
  <c r="F2706" i="17"/>
  <c r="F2705" i="17"/>
  <c r="F2704" i="17"/>
  <c r="F2703" i="17"/>
  <c r="F2702" i="17"/>
  <c r="F2701" i="17"/>
  <c r="F2700" i="17"/>
  <c r="F2699" i="17"/>
  <c r="F2698" i="17"/>
  <c r="F2697" i="17"/>
  <c r="F2696" i="17"/>
  <c r="F2695" i="17"/>
  <c r="F2694" i="17"/>
  <c r="F2693" i="17"/>
  <c r="F2692" i="17"/>
  <c r="F2691" i="17"/>
  <c r="F2690" i="17"/>
  <c r="F2689" i="17"/>
  <c r="F2688" i="17"/>
  <c r="F2687" i="17"/>
  <c r="F2686" i="17"/>
  <c r="F2685" i="17"/>
  <c r="F2684" i="17"/>
  <c r="F2683" i="17"/>
  <c r="F2682" i="17"/>
  <c r="F2681" i="17"/>
  <c r="F2680" i="17"/>
  <c r="F2679" i="17"/>
  <c r="F2678" i="17"/>
  <c r="F2677" i="17"/>
  <c r="F2676" i="17"/>
  <c r="F2675" i="17"/>
  <c r="F2674" i="17"/>
  <c r="F2673" i="17"/>
  <c r="F2672" i="17"/>
  <c r="F2671" i="17"/>
  <c r="F2670" i="17"/>
  <c r="F2669" i="17"/>
  <c r="F2668" i="17"/>
  <c r="F2667" i="17"/>
  <c r="F2666" i="17"/>
  <c r="F2665" i="17"/>
  <c r="F2664" i="17"/>
  <c r="F2663" i="17"/>
  <c r="F2662" i="17"/>
  <c r="F2661" i="17"/>
  <c r="F2660" i="17"/>
  <c r="F2659" i="17"/>
  <c r="F2658" i="17"/>
  <c r="F2657" i="17"/>
  <c r="F2656" i="17"/>
  <c r="F2655" i="17"/>
  <c r="F2654" i="17"/>
  <c r="F2653" i="17"/>
  <c r="F2652" i="17"/>
  <c r="F2651" i="17"/>
  <c r="F2650" i="17"/>
  <c r="F2649" i="17"/>
  <c r="F2648" i="17"/>
  <c r="F2647" i="17"/>
  <c r="F2646" i="17"/>
  <c r="F2645" i="17"/>
  <c r="F2644" i="17"/>
  <c r="F2643" i="17"/>
  <c r="F2642" i="17"/>
  <c r="F2641" i="17"/>
  <c r="F2640" i="17"/>
  <c r="F2639" i="17"/>
  <c r="F2638" i="17"/>
  <c r="F2637" i="17"/>
  <c r="F2636" i="17"/>
  <c r="F2635" i="17"/>
  <c r="F2634" i="17"/>
  <c r="F2633" i="17"/>
  <c r="F2632" i="17"/>
  <c r="F2631" i="17"/>
  <c r="F2630" i="17"/>
  <c r="F2629" i="17"/>
  <c r="F2628" i="17"/>
  <c r="F2627" i="17"/>
  <c r="F2626" i="17"/>
  <c r="F2625" i="17"/>
  <c r="F2624" i="17"/>
  <c r="F2623" i="17"/>
  <c r="F2622" i="17"/>
  <c r="F2621" i="17"/>
  <c r="F2620" i="17"/>
  <c r="F2619" i="17"/>
  <c r="F2618" i="17"/>
  <c r="F2617" i="17"/>
  <c r="F2616" i="17"/>
  <c r="F2615" i="17"/>
  <c r="F2614" i="17"/>
  <c r="F2613" i="17"/>
  <c r="F2612" i="17"/>
  <c r="F2611" i="17"/>
  <c r="F2610" i="17"/>
  <c r="F2609" i="17"/>
  <c r="F2608" i="17"/>
  <c r="F2607" i="17"/>
  <c r="F2606" i="17"/>
  <c r="F2605" i="17"/>
  <c r="F2604" i="17"/>
  <c r="F2603" i="17"/>
  <c r="F2602" i="17"/>
  <c r="F2601" i="17"/>
  <c r="F2600" i="17"/>
  <c r="F2599" i="17"/>
  <c r="F2598" i="17"/>
  <c r="F2597" i="17"/>
  <c r="F2596" i="17"/>
  <c r="F2595" i="17"/>
  <c r="F2594" i="17"/>
  <c r="F2593" i="17"/>
  <c r="F2592" i="17"/>
  <c r="F2591" i="17"/>
  <c r="F2590" i="17"/>
  <c r="F2589" i="17"/>
  <c r="F2588" i="17"/>
  <c r="F2587" i="17"/>
  <c r="F2586" i="17"/>
  <c r="F2585" i="17"/>
  <c r="F2584" i="17"/>
  <c r="F2583" i="17"/>
  <c r="F2582" i="17"/>
  <c r="F2581" i="17"/>
  <c r="F2580" i="17"/>
  <c r="F2579" i="17"/>
  <c r="F2578" i="17"/>
  <c r="F2577" i="17"/>
  <c r="F2576" i="17"/>
  <c r="F2575" i="17"/>
  <c r="F2574" i="17"/>
  <c r="F2573" i="17"/>
  <c r="F2572" i="17"/>
  <c r="F2571" i="17"/>
  <c r="F2570" i="17"/>
  <c r="F2569" i="17"/>
  <c r="F2568" i="17"/>
  <c r="F2567" i="17"/>
  <c r="F2566" i="17"/>
  <c r="F2565" i="17"/>
  <c r="F2564" i="17"/>
  <c r="F2563" i="17"/>
  <c r="F2562" i="17"/>
  <c r="F2561" i="17"/>
  <c r="F2560" i="17"/>
  <c r="F2559" i="17"/>
  <c r="F2558" i="17"/>
  <c r="F2557" i="17"/>
  <c r="F2556" i="17"/>
  <c r="F2555" i="17"/>
  <c r="F2554" i="17"/>
  <c r="F2553" i="17"/>
  <c r="F2552" i="17"/>
  <c r="F2551" i="17"/>
  <c r="F2550" i="17"/>
  <c r="F2549" i="17"/>
  <c r="F2548" i="17"/>
  <c r="F2547" i="17"/>
  <c r="F2546" i="17"/>
  <c r="F2545" i="17"/>
  <c r="F2544" i="17"/>
  <c r="F2543" i="17"/>
  <c r="F2542" i="17"/>
  <c r="F2541" i="17"/>
  <c r="F2540" i="17"/>
  <c r="F2539" i="17"/>
  <c r="F2538" i="17"/>
  <c r="F2537" i="17"/>
  <c r="F2536" i="17"/>
  <c r="F2535" i="17"/>
  <c r="F2534" i="17"/>
  <c r="F2533" i="17"/>
  <c r="F2532" i="17"/>
  <c r="F2531" i="17"/>
  <c r="F2530" i="17"/>
  <c r="F2529" i="17"/>
  <c r="F2528" i="17"/>
  <c r="F2527" i="17"/>
  <c r="F2526" i="17"/>
  <c r="F2525" i="17"/>
  <c r="F2524" i="17"/>
  <c r="F2523" i="17"/>
  <c r="F2522" i="17"/>
  <c r="F2521" i="17"/>
  <c r="F2520" i="17"/>
  <c r="F2519" i="17"/>
  <c r="F2518" i="17"/>
  <c r="F2517" i="17"/>
  <c r="F2516" i="17"/>
  <c r="F2515" i="17"/>
  <c r="F2514" i="17"/>
  <c r="F2513" i="17"/>
  <c r="F2512" i="17"/>
  <c r="F2511" i="17"/>
  <c r="F2510" i="17"/>
  <c r="F2509" i="17"/>
  <c r="F2508" i="17"/>
  <c r="F2507" i="17"/>
  <c r="F2506" i="17"/>
  <c r="F2505" i="17"/>
  <c r="F2504" i="17"/>
  <c r="F2503" i="17"/>
  <c r="F2502" i="17"/>
  <c r="F2501" i="17"/>
  <c r="F2500" i="17"/>
  <c r="F2499" i="17"/>
  <c r="F2498" i="17"/>
  <c r="F2497" i="17"/>
  <c r="F2496" i="17"/>
  <c r="F2495" i="17"/>
  <c r="F2494" i="17"/>
  <c r="F2493" i="17"/>
  <c r="F2492" i="17"/>
  <c r="F2491" i="17"/>
  <c r="F2490" i="17"/>
  <c r="F2489" i="17"/>
  <c r="F2488" i="17"/>
  <c r="F2487" i="17"/>
  <c r="F2486" i="17"/>
  <c r="F2485" i="17"/>
  <c r="F2484" i="17"/>
  <c r="F2483" i="17"/>
  <c r="F2482" i="17"/>
  <c r="F2481" i="17"/>
  <c r="F2480" i="17"/>
  <c r="F2479" i="17"/>
  <c r="F2478" i="17"/>
  <c r="F2477" i="17"/>
  <c r="F2476" i="17"/>
  <c r="F2475" i="17"/>
  <c r="F2474" i="17"/>
  <c r="F2473" i="17"/>
  <c r="F2472" i="17"/>
  <c r="F2471" i="17"/>
  <c r="F2470" i="17"/>
  <c r="F2469" i="17"/>
  <c r="F2468" i="17"/>
  <c r="F2467" i="17"/>
  <c r="F2466" i="17"/>
  <c r="F2465" i="17"/>
  <c r="F2464" i="17"/>
  <c r="F2463" i="17"/>
  <c r="F2462" i="17"/>
  <c r="F2461" i="17"/>
  <c r="F2460" i="17"/>
  <c r="F2459" i="17"/>
  <c r="F2458" i="17"/>
  <c r="F2457" i="17"/>
  <c r="F2456" i="17"/>
  <c r="F2455" i="17"/>
  <c r="F2454" i="17"/>
  <c r="F2453" i="17"/>
  <c r="F2452" i="17"/>
  <c r="F2451" i="17"/>
  <c r="F2450" i="17"/>
  <c r="F2449" i="17"/>
  <c r="F2448" i="17"/>
  <c r="F2447" i="17"/>
  <c r="F2446" i="17"/>
  <c r="F2445" i="17"/>
  <c r="F2444" i="17"/>
  <c r="F2443" i="17"/>
  <c r="F2442" i="17"/>
  <c r="F2441" i="17"/>
  <c r="F2440" i="17"/>
  <c r="F2439" i="17"/>
  <c r="F2438" i="17"/>
  <c r="F2437" i="17"/>
  <c r="F2436" i="17"/>
  <c r="F2435" i="17"/>
  <c r="F2434" i="17"/>
  <c r="F2433" i="17"/>
  <c r="F2432" i="17"/>
  <c r="F2431" i="17"/>
  <c r="F2430" i="17"/>
  <c r="F2429" i="17"/>
  <c r="F2428" i="17"/>
  <c r="F2427" i="17"/>
  <c r="F2426" i="17"/>
  <c r="F2425" i="17"/>
  <c r="F2424" i="17"/>
  <c r="F2423" i="17"/>
  <c r="F2422" i="17"/>
  <c r="F2421" i="17"/>
  <c r="F2420" i="17"/>
  <c r="F2419" i="17"/>
  <c r="F2418" i="17"/>
  <c r="F2417" i="17"/>
  <c r="F2416" i="17"/>
  <c r="F2415" i="17"/>
  <c r="F2414" i="17"/>
  <c r="F2413" i="17"/>
  <c r="F2412" i="17"/>
  <c r="F2411" i="17"/>
  <c r="F2410" i="17"/>
  <c r="F2409" i="17"/>
  <c r="F2408" i="17"/>
  <c r="F2407" i="17"/>
  <c r="F2406" i="17"/>
  <c r="F2405" i="17"/>
  <c r="F2404" i="17"/>
  <c r="F2403" i="17"/>
  <c r="F2402" i="17"/>
  <c r="F2401" i="17"/>
  <c r="F2400" i="17"/>
  <c r="F2399" i="17"/>
  <c r="F2398" i="17"/>
  <c r="F2397" i="17"/>
  <c r="F2396" i="17"/>
  <c r="F2395" i="17"/>
  <c r="F2394" i="17"/>
  <c r="F2393" i="17"/>
  <c r="F2392" i="17"/>
  <c r="F2391" i="17"/>
  <c r="F2390" i="17"/>
  <c r="F2389" i="17"/>
  <c r="F2388" i="17"/>
  <c r="F2387" i="17"/>
  <c r="F2386" i="17"/>
  <c r="F2385" i="17"/>
  <c r="F2384" i="17"/>
  <c r="F2383" i="17"/>
  <c r="F2382" i="17"/>
  <c r="F2381" i="17"/>
  <c r="F2380" i="17"/>
  <c r="F2379" i="17"/>
  <c r="F2378" i="17"/>
  <c r="F2377" i="17"/>
  <c r="F2376" i="17"/>
  <c r="F2375" i="17"/>
  <c r="F2374" i="17"/>
  <c r="F2373" i="17"/>
  <c r="F2372" i="17"/>
  <c r="F2371" i="17"/>
  <c r="F2370" i="17"/>
  <c r="F2369" i="17"/>
  <c r="F2368" i="17"/>
  <c r="F2367" i="17"/>
  <c r="F2366" i="17"/>
  <c r="F2365" i="17"/>
  <c r="F2364" i="17"/>
  <c r="F2363" i="17"/>
  <c r="F2362" i="17"/>
  <c r="F2361" i="17"/>
  <c r="F2360" i="17"/>
  <c r="F2359" i="17"/>
  <c r="F2358" i="17"/>
  <c r="F2357" i="17"/>
  <c r="F2356" i="17"/>
  <c r="F2355" i="17"/>
  <c r="F2354" i="17"/>
  <c r="F2353" i="17"/>
  <c r="F2352" i="17"/>
  <c r="F2351" i="17"/>
  <c r="F2350" i="17"/>
  <c r="F2349" i="17"/>
  <c r="F2348" i="17"/>
  <c r="F2347" i="17"/>
  <c r="F2346" i="17"/>
  <c r="F2345" i="17"/>
  <c r="F2344" i="17"/>
  <c r="F2343" i="17"/>
  <c r="F2342" i="17"/>
  <c r="F2341" i="17"/>
  <c r="F2340" i="17"/>
  <c r="F2339" i="17"/>
  <c r="F2338" i="17"/>
  <c r="F2337" i="17"/>
  <c r="F2336" i="17"/>
  <c r="F2335" i="17"/>
  <c r="F2334" i="17"/>
  <c r="F2333" i="17"/>
  <c r="F2332" i="17"/>
  <c r="F2331" i="17"/>
  <c r="F2330" i="17"/>
  <c r="F2329" i="17"/>
  <c r="F2328" i="17"/>
  <c r="F2327" i="17"/>
  <c r="F2326" i="17"/>
  <c r="F2325" i="17"/>
  <c r="F2324" i="17"/>
  <c r="F2323" i="17"/>
  <c r="F2322" i="17"/>
  <c r="F2321" i="17"/>
  <c r="F2320" i="17"/>
  <c r="F2319" i="17"/>
  <c r="F2318" i="17"/>
  <c r="F2317" i="17"/>
  <c r="F2316" i="17"/>
  <c r="F2315" i="17"/>
  <c r="F2314" i="17"/>
  <c r="F2313" i="17"/>
  <c r="F2312" i="17"/>
  <c r="F2311" i="17"/>
  <c r="F2310" i="17"/>
  <c r="F2309" i="17"/>
  <c r="F2308" i="17"/>
  <c r="F2307" i="17"/>
  <c r="F2306" i="17"/>
  <c r="F2305" i="17"/>
  <c r="F2304" i="17"/>
  <c r="F2303" i="17"/>
  <c r="F2302" i="17"/>
  <c r="F2301" i="17"/>
  <c r="F2300" i="17"/>
  <c r="F2299" i="17"/>
  <c r="F2298" i="17"/>
  <c r="F2297" i="17"/>
  <c r="F2296" i="17"/>
  <c r="F2295" i="17"/>
  <c r="F2294" i="17"/>
  <c r="F2293" i="17"/>
  <c r="F2292" i="17"/>
  <c r="F2291" i="17"/>
  <c r="F2290" i="17"/>
  <c r="F2289" i="17"/>
  <c r="F2288" i="17"/>
  <c r="F2287" i="17"/>
  <c r="F2286" i="17"/>
  <c r="F2285" i="17"/>
  <c r="F2284" i="17"/>
  <c r="F2283" i="17"/>
  <c r="F2282" i="17"/>
  <c r="F2281" i="17"/>
  <c r="F2280" i="17"/>
  <c r="F2279" i="17"/>
  <c r="F2278" i="17"/>
  <c r="F2277" i="17"/>
  <c r="F2276" i="17"/>
  <c r="F2275" i="17"/>
  <c r="F2274" i="17"/>
  <c r="F2273" i="17"/>
  <c r="F2272" i="17"/>
  <c r="F2271" i="17"/>
  <c r="F2270" i="17"/>
  <c r="F2269" i="17"/>
  <c r="F2268" i="17"/>
  <c r="F2267" i="17"/>
  <c r="F2266" i="17"/>
  <c r="F2265" i="17"/>
  <c r="F2264" i="17"/>
  <c r="F2263" i="17"/>
  <c r="F2262" i="17"/>
  <c r="F2261" i="17"/>
  <c r="F2260" i="17"/>
  <c r="F2259" i="17"/>
  <c r="F2258" i="17"/>
  <c r="F2257" i="17"/>
  <c r="F2256" i="17"/>
  <c r="F2255" i="17"/>
  <c r="F2254" i="17"/>
  <c r="F2253" i="17"/>
  <c r="F2252" i="17"/>
  <c r="F2251" i="17"/>
  <c r="F2250" i="17"/>
  <c r="F2249" i="17"/>
  <c r="F2248" i="17"/>
  <c r="F2247" i="17"/>
  <c r="F2246" i="17"/>
  <c r="F2245" i="17"/>
  <c r="F2244" i="17"/>
  <c r="F2243" i="17"/>
  <c r="F2242" i="17"/>
  <c r="F2241" i="17"/>
  <c r="F2240" i="17"/>
  <c r="F2239" i="17"/>
  <c r="F2238" i="17"/>
  <c r="F2237" i="17"/>
  <c r="F2236" i="17"/>
  <c r="F2235" i="17"/>
  <c r="F2234" i="17"/>
  <c r="F2233" i="17"/>
  <c r="F2232" i="17"/>
  <c r="F2231" i="17"/>
  <c r="F2230" i="17"/>
  <c r="F2229" i="17"/>
  <c r="F2228" i="17"/>
  <c r="F2227" i="17"/>
  <c r="F2226" i="17"/>
  <c r="F2225" i="17"/>
  <c r="F2224" i="17"/>
  <c r="F2223" i="17"/>
  <c r="F2222" i="17"/>
  <c r="F2221" i="17"/>
  <c r="F2220" i="17"/>
  <c r="F2219" i="17"/>
  <c r="F2218" i="17"/>
  <c r="F2217" i="17"/>
  <c r="F2216" i="17"/>
  <c r="F2215" i="17"/>
  <c r="F2214" i="17"/>
  <c r="F2213" i="17"/>
  <c r="F2212" i="17"/>
  <c r="F2211" i="17"/>
  <c r="F2210" i="17"/>
  <c r="F2209" i="17"/>
  <c r="F2208" i="17"/>
  <c r="F2207" i="17"/>
  <c r="F2206" i="17"/>
  <c r="F2205" i="17"/>
  <c r="F2204" i="17"/>
  <c r="F2203" i="17"/>
  <c r="F2202" i="17"/>
  <c r="F2201" i="17"/>
  <c r="F2200" i="17"/>
  <c r="F2199" i="17"/>
  <c r="F2198" i="17"/>
  <c r="F2197" i="17"/>
  <c r="F2196" i="17"/>
  <c r="F2195" i="17"/>
  <c r="F2194" i="17"/>
  <c r="F2193" i="17"/>
  <c r="F2192" i="17"/>
  <c r="F2191" i="17"/>
  <c r="F2190" i="17"/>
  <c r="F2189" i="17"/>
  <c r="F2188" i="17"/>
  <c r="F2187" i="17"/>
  <c r="F2186" i="17"/>
  <c r="F2185" i="17"/>
  <c r="F2184" i="17"/>
  <c r="F2183" i="17"/>
  <c r="F2182" i="17"/>
  <c r="F2181" i="17"/>
  <c r="F2180" i="17"/>
  <c r="F2179" i="17"/>
  <c r="F2178" i="17"/>
  <c r="F2177" i="17"/>
  <c r="F2176" i="17"/>
  <c r="F2175" i="17"/>
  <c r="F2174" i="17"/>
  <c r="F2173" i="17"/>
  <c r="F2172" i="17"/>
  <c r="F2171" i="17"/>
  <c r="F2170" i="17"/>
  <c r="F2169" i="17"/>
  <c r="F2168" i="17"/>
  <c r="F2167" i="17"/>
  <c r="F2166" i="17"/>
  <c r="F2165" i="17"/>
  <c r="F2164" i="17"/>
  <c r="F2163" i="17"/>
  <c r="F2162" i="17"/>
  <c r="F2161" i="17"/>
  <c r="F2160" i="17"/>
  <c r="F2159" i="17"/>
  <c r="F2158" i="17"/>
  <c r="F2157" i="17"/>
  <c r="F2156" i="17"/>
  <c r="F2155" i="17"/>
  <c r="F2154" i="17"/>
  <c r="F2153" i="17"/>
  <c r="F2152" i="17"/>
  <c r="F2151" i="17"/>
  <c r="F2150" i="17"/>
  <c r="F2149" i="17"/>
  <c r="F2148" i="17"/>
  <c r="F2147" i="17"/>
  <c r="F2146" i="17"/>
  <c r="F2145" i="17"/>
  <c r="F2144" i="17"/>
  <c r="F2143" i="17"/>
  <c r="F2142" i="17"/>
  <c r="F2141" i="17"/>
  <c r="F2140" i="17"/>
  <c r="F2139" i="17"/>
  <c r="F2138" i="17"/>
  <c r="F2137" i="17"/>
  <c r="F2136" i="17"/>
  <c r="F2135" i="17"/>
  <c r="F2134" i="17"/>
  <c r="F2133" i="17"/>
  <c r="F2132" i="17"/>
  <c r="F2131" i="17"/>
  <c r="F2130" i="17"/>
  <c r="F2129" i="17"/>
  <c r="F2128" i="17"/>
  <c r="F2127" i="17"/>
  <c r="F2126" i="17"/>
  <c r="F2125" i="17"/>
  <c r="F2124" i="17"/>
  <c r="F2123" i="17"/>
  <c r="F2122" i="17"/>
  <c r="F2121" i="17"/>
  <c r="F2120" i="17"/>
  <c r="F2119" i="17"/>
  <c r="F2118" i="17"/>
  <c r="F2117" i="17"/>
  <c r="F2116" i="17"/>
  <c r="F2115" i="17"/>
  <c r="F2114" i="17"/>
  <c r="F2113" i="17"/>
  <c r="F2112" i="17"/>
  <c r="F2111" i="17"/>
  <c r="F2110" i="17"/>
  <c r="F2109" i="17"/>
  <c r="F2108" i="17"/>
  <c r="F2107" i="17"/>
  <c r="F2106" i="17"/>
  <c r="F2105" i="17"/>
  <c r="F2104" i="17"/>
  <c r="F2103" i="17"/>
  <c r="F2102" i="17"/>
  <c r="F2101" i="17"/>
  <c r="F2100" i="17"/>
  <c r="F2099" i="17"/>
  <c r="F2098" i="17"/>
  <c r="F2097" i="17"/>
  <c r="F2096" i="17"/>
  <c r="F2095" i="17"/>
  <c r="F2094" i="17"/>
  <c r="F2093" i="17"/>
  <c r="F2092" i="17"/>
  <c r="F2091" i="17"/>
  <c r="F2090" i="17"/>
  <c r="F2089" i="17"/>
  <c r="F2088" i="17"/>
  <c r="F2087" i="17"/>
  <c r="F2086" i="17"/>
  <c r="F2085" i="17"/>
  <c r="F2084" i="17"/>
  <c r="F2083" i="17"/>
  <c r="F2082" i="17"/>
  <c r="F2081" i="17"/>
  <c r="F2080" i="17"/>
  <c r="F2079" i="17"/>
  <c r="F2078" i="17"/>
  <c r="F2077" i="17"/>
  <c r="F2076" i="17"/>
  <c r="F2075" i="17"/>
  <c r="F2074" i="17"/>
  <c r="F2073" i="17"/>
  <c r="F2072" i="17"/>
  <c r="F2071" i="17"/>
  <c r="F2070" i="17"/>
  <c r="F2069" i="17"/>
  <c r="F2068" i="17"/>
  <c r="F2067" i="17"/>
  <c r="F2066" i="17"/>
  <c r="F2065" i="17"/>
  <c r="F2064" i="17"/>
  <c r="F2063" i="17"/>
  <c r="F2062" i="17"/>
  <c r="F2061" i="17"/>
  <c r="F2060" i="17"/>
  <c r="F2059" i="17"/>
  <c r="F2058" i="17"/>
  <c r="F2057" i="17"/>
  <c r="F2056" i="17"/>
  <c r="F2055" i="17"/>
  <c r="F2054" i="17"/>
  <c r="F2053" i="17"/>
  <c r="F2052" i="17"/>
  <c r="F2051" i="17"/>
  <c r="F2050" i="17"/>
  <c r="F2049" i="17"/>
  <c r="F2048" i="17"/>
  <c r="F2047" i="17"/>
  <c r="F2046" i="17"/>
  <c r="F2045" i="17"/>
  <c r="F2044" i="17"/>
  <c r="F2043" i="17"/>
  <c r="F2042" i="17"/>
  <c r="F2041" i="17"/>
  <c r="F2040" i="17"/>
  <c r="F2039" i="17"/>
  <c r="F2038" i="17"/>
  <c r="F2037" i="17"/>
  <c r="F2036" i="17"/>
  <c r="F2035" i="17"/>
  <c r="F2034" i="17"/>
  <c r="F2033" i="17"/>
  <c r="F2032" i="17"/>
  <c r="F2031" i="17"/>
  <c r="F2030" i="17"/>
  <c r="F2029" i="17"/>
  <c r="F2028" i="17"/>
  <c r="F2027" i="17"/>
  <c r="F2026" i="17"/>
  <c r="F2025" i="17"/>
  <c r="F2024" i="17"/>
  <c r="F2023" i="17"/>
  <c r="F2022" i="17"/>
  <c r="F2021" i="17"/>
  <c r="F2020" i="17"/>
  <c r="F2019" i="17"/>
  <c r="F2018" i="17"/>
  <c r="F2017" i="17"/>
  <c r="F2016" i="17"/>
  <c r="F2015" i="17"/>
  <c r="F2014" i="17"/>
  <c r="F2013" i="17"/>
  <c r="F2012" i="17"/>
  <c r="F2011" i="17"/>
  <c r="F2010" i="17"/>
  <c r="F2009" i="17"/>
  <c r="F2008" i="17"/>
  <c r="F2007" i="17"/>
  <c r="F2006" i="17"/>
  <c r="F2005" i="17"/>
  <c r="F2004" i="17"/>
  <c r="F2003" i="17"/>
  <c r="F2002" i="17"/>
  <c r="F2001" i="17"/>
  <c r="F2000" i="17"/>
  <c r="F1999" i="17"/>
  <c r="F1998" i="17"/>
  <c r="F1997" i="17"/>
  <c r="F1996" i="17"/>
  <c r="F1995" i="17"/>
  <c r="F1994" i="17"/>
  <c r="F1993" i="17"/>
  <c r="F1992" i="17"/>
  <c r="F1991" i="17"/>
  <c r="F1990" i="17"/>
  <c r="F1989" i="17"/>
  <c r="F1988" i="17"/>
  <c r="F1987" i="17"/>
  <c r="F1986" i="17"/>
  <c r="F1985" i="17"/>
  <c r="F1984" i="17"/>
  <c r="F1983" i="17"/>
  <c r="F1982" i="17"/>
  <c r="F1981" i="17"/>
  <c r="F1980" i="17"/>
  <c r="F1979" i="17"/>
  <c r="F1978" i="17"/>
  <c r="F1977" i="17"/>
  <c r="F1976" i="17"/>
  <c r="F1975" i="17"/>
  <c r="F1974" i="17"/>
  <c r="F1973" i="17"/>
  <c r="F1972" i="17"/>
  <c r="F1971" i="17"/>
  <c r="F1970" i="17"/>
  <c r="F1969" i="17"/>
  <c r="F1968" i="17"/>
  <c r="F1967" i="17"/>
  <c r="F1966" i="17"/>
  <c r="F1965" i="17"/>
  <c r="F1964" i="17"/>
  <c r="F1963" i="17"/>
  <c r="F1962" i="17"/>
  <c r="F1961" i="17"/>
  <c r="F1960" i="17"/>
  <c r="F1959" i="17"/>
  <c r="F1958" i="17"/>
  <c r="F1957" i="17"/>
  <c r="F1956" i="17"/>
  <c r="F1955" i="17"/>
  <c r="F1954" i="17"/>
  <c r="F1953" i="17"/>
  <c r="F1952" i="17"/>
  <c r="F1951" i="17"/>
  <c r="F1950" i="17"/>
  <c r="F1949" i="17"/>
  <c r="F1948" i="17"/>
  <c r="F1947" i="17"/>
  <c r="F1946" i="17"/>
  <c r="F1945" i="17"/>
  <c r="F1944" i="17"/>
  <c r="F1943" i="17"/>
  <c r="F1942" i="17"/>
  <c r="F1941" i="17"/>
  <c r="F1940" i="17"/>
  <c r="F1939" i="17"/>
  <c r="F1938" i="17"/>
  <c r="F1937" i="17"/>
  <c r="F1936" i="17"/>
  <c r="F1935" i="17"/>
  <c r="F1934" i="17"/>
  <c r="F1933" i="17"/>
  <c r="F1932" i="17"/>
  <c r="F1931" i="17"/>
  <c r="F1930" i="17"/>
  <c r="F1929" i="17"/>
  <c r="F1928" i="17"/>
  <c r="F1927" i="17"/>
  <c r="F1926" i="17"/>
  <c r="F1925" i="17"/>
  <c r="F1924" i="17"/>
  <c r="F1923" i="17"/>
  <c r="F1922" i="17"/>
  <c r="F1921" i="17"/>
  <c r="F1920" i="17"/>
  <c r="F1919" i="17"/>
  <c r="F1918" i="17"/>
  <c r="F1917" i="17"/>
  <c r="F1916" i="17"/>
  <c r="F1915" i="17"/>
  <c r="F1914" i="17"/>
  <c r="F1913" i="17"/>
  <c r="F1912" i="17"/>
  <c r="F1911" i="17"/>
  <c r="F1910" i="17"/>
  <c r="F1909" i="17"/>
  <c r="F1908" i="17"/>
  <c r="F1907" i="17"/>
  <c r="F1906" i="17"/>
  <c r="F1905" i="17"/>
  <c r="F1904" i="17"/>
  <c r="F1903" i="17"/>
  <c r="F1902" i="17"/>
  <c r="F1901" i="17"/>
  <c r="F1900" i="17"/>
  <c r="F1899" i="17"/>
  <c r="F1898" i="17"/>
  <c r="F1897" i="17"/>
  <c r="F1896" i="17"/>
  <c r="F1895" i="17"/>
  <c r="F1894" i="17"/>
  <c r="F1893" i="17"/>
  <c r="F1892" i="17"/>
  <c r="F1891" i="17"/>
  <c r="F1890" i="17"/>
  <c r="F1889" i="17"/>
  <c r="F1888" i="17"/>
  <c r="F1887" i="17"/>
  <c r="F1886" i="17"/>
  <c r="F1885" i="17"/>
  <c r="F1884" i="17"/>
  <c r="F1883" i="17"/>
  <c r="F1882" i="17"/>
  <c r="F1881" i="17"/>
  <c r="F1880" i="17"/>
  <c r="F1879" i="17"/>
  <c r="F1878" i="17"/>
  <c r="F1877" i="17"/>
  <c r="F1876" i="17"/>
  <c r="F1875" i="17"/>
  <c r="F1874" i="17"/>
  <c r="F1873" i="17"/>
  <c r="F1872" i="17"/>
  <c r="F1871" i="17"/>
  <c r="F1870" i="17"/>
  <c r="F1869" i="17"/>
  <c r="F1868" i="17"/>
  <c r="F1867" i="17"/>
  <c r="F1866" i="17"/>
  <c r="F1865" i="17"/>
  <c r="F1864" i="17"/>
  <c r="F1863" i="17"/>
  <c r="F1862" i="17"/>
  <c r="F1861" i="17"/>
  <c r="F1860" i="17"/>
  <c r="F1859" i="17"/>
  <c r="F1858" i="17"/>
  <c r="F1857" i="17"/>
  <c r="F1856" i="17"/>
  <c r="F1855" i="17"/>
  <c r="F1854" i="17"/>
  <c r="F1853" i="17"/>
  <c r="F1852" i="17"/>
  <c r="F1851" i="17"/>
  <c r="F1850" i="17"/>
  <c r="F1849" i="17"/>
  <c r="F1848" i="17"/>
  <c r="F1847" i="17"/>
  <c r="F1846" i="17"/>
  <c r="F1845" i="17"/>
  <c r="F1844" i="17"/>
  <c r="F1843" i="17"/>
  <c r="F1842" i="17"/>
  <c r="F1841" i="17"/>
  <c r="F1840" i="17"/>
  <c r="F1839" i="17"/>
  <c r="F1838" i="17"/>
  <c r="F1837" i="17"/>
  <c r="F1836" i="17"/>
  <c r="F1835" i="17"/>
  <c r="F1834" i="17"/>
  <c r="F1833" i="17"/>
  <c r="F1832" i="17"/>
  <c r="F1831" i="17"/>
  <c r="F1830" i="17"/>
  <c r="F1829" i="17"/>
  <c r="F1828" i="17"/>
  <c r="F1827" i="17"/>
  <c r="F1826" i="17"/>
  <c r="F1825" i="17"/>
  <c r="F1824" i="17"/>
  <c r="F1823" i="17"/>
  <c r="F1822" i="17"/>
  <c r="F1821" i="17"/>
  <c r="F1820" i="17"/>
  <c r="F1819" i="17"/>
  <c r="F1818" i="17"/>
  <c r="F1817" i="17"/>
  <c r="F1816" i="17"/>
  <c r="F1815" i="17"/>
  <c r="F1814" i="17"/>
  <c r="F1813" i="17"/>
  <c r="F1812" i="17"/>
  <c r="F1811" i="17"/>
  <c r="F1810" i="17"/>
  <c r="F1809" i="17"/>
  <c r="F1808" i="17"/>
  <c r="F1807" i="17"/>
  <c r="F1806" i="17"/>
  <c r="F1805" i="17"/>
  <c r="F1804" i="17"/>
  <c r="F1803" i="17"/>
  <c r="F1802" i="17"/>
  <c r="F1801" i="17"/>
  <c r="F1800" i="17"/>
  <c r="F1799" i="17"/>
  <c r="F1798" i="17"/>
  <c r="F1797" i="17"/>
  <c r="F1796" i="17"/>
  <c r="F1795" i="17"/>
  <c r="F1794" i="17"/>
  <c r="F1793" i="17"/>
  <c r="F1792" i="17"/>
  <c r="F1791" i="17"/>
  <c r="F1790" i="17"/>
  <c r="F1789" i="17"/>
  <c r="F1788" i="17"/>
  <c r="F1787" i="17"/>
  <c r="F1786" i="17"/>
  <c r="F1785" i="17"/>
  <c r="F1784" i="17"/>
  <c r="F1783" i="17"/>
  <c r="F1782" i="17"/>
  <c r="F1781" i="17"/>
  <c r="F1780" i="17"/>
  <c r="F1779" i="17"/>
  <c r="F1778" i="17"/>
  <c r="F1777" i="17"/>
  <c r="F1776" i="17"/>
  <c r="F1775" i="17"/>
  <c r="F1774" i="17"/>
  <c r="F1773" i="17"/>
  <c r="F1772" i="17"/>
  <c r="F1771" i="17"/>
  <c r="F1770" i="17"/>
  <c r="F1769" i="17"/>
  <c r="F1768" i="17"/>
  <c r="F1767" i="17"/>
  <c r="F1766" i="17"/>
  <c r="F1765" i="17"/>
  <c r="F1764" i="17"/>
  <c r="F1763" i="17"/>
  <c r="F1762" i="17"/>
  <c r="F1761" i="17"/>
  <c r="F1760" i="17"/>
  <c r="F1759" i="17"/>
  <c r="F1758" i="17"/>
  <c r="F1757" i="17"/>
  <c r="F1756" i="17"/>
  <c r="F1755" i="17"/>
  <c r="F1754" i="17"/>
  <c r="F1753" i="17"/>
  <c r="F1752" i="17"/>
  <c r="F1751" i="17"/>
  <c r="F1750" i="17"/>
  <c r="F1749" i="17"/>
  <c r="F1748" i="17"/>
  <c r="F1747" i="17"/>
  <c r="F1746" i="17"/>
  <c r="F1745" i="17"/>
  <c r="F1744" i="17"/>
  <c r="F1743" i="17"/>
  <c r="F1742" i="17"/>
  <c r="F1741" i="17"/>
  <c r="F1740" i="17"/>
  <c r="F1739" i="17"/>
  <c r="F1738" i="17"/>
  <c r="F1737" i="17"/>
  <c r="F1736" i="17"/>
  <c r="F1735" i="17"/>
  <c r="F1734" i="17"/>
  <c r="F1733" i="17"/>
  <c r="F1732" i="17"/>
  <c r="F1731" i="17"/>
  <c r="F1730" i="17"/>
  <c r="F1729" i="17"/>
  <c r="F1728" i="17"/>
  <c r="F1727" i="17"/>
  <c r="F1726" i="17"/>
  <c r="F1725" i="17"/>
  <c r="F1724" i="17"/>
  <c r="F1723" i="17"/>
  <c r="F1722" i="17"/>
  <c r="F1721" i="17"/>
  <c r="F1720" i="17"/>
  <c r="F1719" i="17"/>
  <c r="F1718" i="17"/>
  <c r="F1717" i="17"/>
  <c r="F1716" i="17"/>
  <c r="F1715" i="17"/>
  <c r="F1714" i="17"/>
  <c r="F1713" i="17"/>
  <c r="F1712" i="17"/>
  <c r="F1711" i="17"/>
  <c r="F1710" i="17"/>
  <c r="F1709" i="17"/>
  <c r="F1708" i="17"/>
  <c r="F1707" i="17"/>
  <c r="F1706" i="17"/>
  <c r="F1705" i="17"/>
  <c r="F1704" i="17"/>
  <c r="F1703" i="17"/>
  <c r="F1702" i="17"/>
  <c r="F1701" i="17"/>
  <c r="F1700" i="17"/>
  <c r="F1699" i="17"/>
  <c r="F1698" i="17"/>
  <c r="F1697" i="17"/>
  <c r="F1696" i="17"/>
  <c r="F1695" i="17"/>
  <c r="F1694" i="17"/>
  <c r="F1693" i="17"/>
  <c r="F1692" i="17"/>
  <c r="F1691" i="17"/>
  <c r="F1690" i="17"/>
  <c r="F1689" i="17"/>
  <c r="F1688" i="17"/>
  <c r="F1687" i="17"/>
  <c r="F1686" i="17"/>
  <c r="F1685" i="17"/>
  <c r="F1684" i="17"/>
  <c r="F1683" i="17"/>
  <c r="F1682" i="17"/>
  <c r="F1681" i="17"/>
  <c r="F1680" i="17"/>
  <c r="F1679" i="17"/>
  <c r="F1678" i="17"/>
  <c r="F1677" i="17"/>
  <c r="F1676" i="17"/>
  <c r="F1675" i="17"/>
  <c r="F1674" i="17"/>
  <c r="F1673" i="17"/>
  <c r="F1672" i="17"/>
  <c r="F1671" i="17"/>
  <c r="F1670" i="17"/>
  <c r="F1669" i="17"/>
  <c r="F1668" i="17"/>
  <c r="F1667" i="17"/>
  <c r="F1666" i="17"/>
  <c r="F1665" i="17"/>
  <c r="F1664" i="17"/>
  <c r="F1663" i="17"/>
  <c r="F1662" i="17"/>
  <c r="F1661" i="17"/>
  <c r="F1660" i="17"/>
  <c r="F1659" i="17"/>
  <c r="F1658" i="17"/>
  <c r="F1657" i="17"/>
  <c r="F1656" i="17"/>
  <c r="F1655" i="17"/>
  <c r="F1654" i="17"/>
  <c r="F1653" i="17"/>
  <c r="F1652" i="17"/>
  <c r="F1651" i="17"/>
  <c r="F1650" i="17"/>
  <c r="F1649" i="17"/>
  <c r="F1648" i="17"/>
  <c r="F1647" i="17"/>
  <c r="F1646" i="17"/>
  <c r="F1645" i="17"/>
  <c r="F1644" i="17"/>
  <c r="F1643" i="17"/>
  <c r="F1642" i="17"/>
  <c r="F1641" i="17"/>
  <c r="F1640" i="17"/>
  <c r="F1639" i="17"/>
  <c r="F1638" i="17"/>
  <c r="F1637" i="17"/>
  <c r="F1636" i="17"/>
  <c r="F1635" i="17"/>
  <c r="F1634" i="17"/>
  <c r="F1633" i="17"/>
  <c r="F1632" i="17"/>
  <c r="F1631" i="17"/>
  <c r="F1630" i="17"/>
  <c r="F1629" i="17"/>
  <c r="F1628" i="17"/>
  <c r="F1627" i="17"/>
  <c r="F1626" i="17"/>
  <c r="F1625" i="17"/>
  <c r="F1624" i="17"/>
  <c r="F1623" i="17"/>
  <c r="F1622" i="17"/>
  <c r="F1621" i="17"/>
  <c r="F1620" i="17"/>
  <c r="F1619" i="17"/>
  <c r="F1618" i="17"/>
  <c r="F1617" i="17"/>
  <c r="F1616" i="17"/>
  <c r="F1615" i="17"/>
  <c r="F1614" i="17"/>
  <c r="F1613" i="17"/>
  <c r="F1612" i="17"/>
  <c r="F1611" i="17"/>
  <c r="F1610" i="17"/>
  <c r="F1609" i="17"/>
  <c r="F1608" i="17"/>
  <c r="F1607" i="17"/>
  <c r="F1606" i="17"/>
  <c r="F1605" i="17"/>
  <c r="F1604" i="17"/>
  <c r="F1603" i="17"/>
  <c r="F1602" i="17"/>
  <c r="F1601" i="17"/>
  <c r="F1600" i="17"/>
  <c r="F1599" i="17"/>
  <c r="F1598" i="17"/>
  <c r="F1597" i="17"/>
  <c r="F1596" i="17"/>
  <c r="F1595" i="17"/>
  <c r="F1594" i="17"/>
  <c r="F1593" i="17"/>
  <c r="F1592" i="17"/>
  <c r="F1591" i="17"/>
  <c r="F1590" i="17"/>
  <c r="F1589" i="17"/>
  <c r="F1588" i="17"/>
  <c r="F1587" i="17"/>
  <c r="F1586" i="17"/>
  <c r="F1585" i="17"/>
  <c r="F1584" i="17"/>
  <c r="F1583" i="17"/>
  <c r="F1582" i="17"/>
  <c r="F1581" i="17"/>
  <c r="F1580" i="17"/>
  <c r="F1579" i="17"/>
  <c r="F1578" i="17"/>
  <c r="F1577" i="17"/>
  <c r="F1576" i="17"/>
  <c r="F1575" i="17"/>
  <c r="F1574" i="17"/>
  <c r="F1573" i="17"/>
  <c r="F1572" i="17"/>
  <c r="F1571" i="17"/>
  <c r="F1570" i="17"/>
  <c r="F1569" i="17"/>
  <c r="F1568" i="17"/>
  <c r="F1567" i="17"/>
  <c r="F1566" i="17"/>
  <c r="F1565" i="17"/>
  <c r="F1564" i="17"/>
  <c r="F1563" i="17"/>
  <c r="F1562" i="17"/>
  <c r="F1561" i="17"/>
  <c r="F1560" i="17"/>
  <c r="F1559" i="17"/>
  <c r="F1558" i="17"/>
  <c r="F1557" i="17"/>
  <c r="F1556" i="17"/>
  <c r="F1555" i="17"/>
  <c r="F1554" i="17"/>
  <c r="F1553" i="17"/>
  <c r="F1552" i="17"/>
  <c r="F1551" i="17"/>
  <c r="F1550" i="17"/>
  <c r="F1549" i="17"/>
  <c r="F1548" i="17"/>
  <c r="F1547" i="17"/>
  <c r="F1546" i="17"/>
  <c r="F1545" i="17"/>
  <c r="F1544" i="17"/>
  <c r="F1543" i="17"/>
  <c r="F1542" i="17"/>
  <c r="F1541" i="17"/>
  <c r="F1540" i="17"/>
  <c r="F1539" i="17"/>
  <c r="F1538" i="17"/>
  <c r="F1537" i="17"/>
  <c r="F1536" i="17"/>
  <c r="F1535" i="17"/>
  <c r="F1534" i="17"/>
  <c r="F1533" i="17"/>
  <c r="F1532" i="17"/>
  <c r="F1531" i="17"/>
  <c r="F1530" i="17"/>
  <c r="F1529" i="17"/>
  <c r="F1528" i="17"/>
  <c r="F1527" i="17"/>
  <c r="F1526" i="17"/>
  <c r="F1525" i="17"/>
  <c r="F1524" i="17"/>
  <c r="F1523" i="17"/>
  <c r="F1522" i="17"/>
  <c r="F1521" i="17"/>
  <c r="F1520" i="17"/>
  <c r="F1519" i="17"/>
  <c r="F1518" i="17"/>
  <c r="F1517" i="17"/>
  <c r="F1516" i="17"/>
  <c r="F1515" i="17"/>
  <c r="F1514" i="17"/>
  <c r="F1513" i="17"/>
  <c r="F1512" i="17"/>
  <c r="F1511" i="17"/>
  <c r="F1510" i="17"/>
  <c r="F1509" i="17"/>
  <c r="F1508" i="17"/>
  <c r="F1507" i="17"/>
  <c r="F1506" i="17"/>
  <c r="F1505" i="17"/>
  <c r="F1504" i="17"/>
  <c r="F1503" i="17"/>
  <c r="F1502" i="17"/>
  <c r="F1501" i="17"/>
  <c r="F1500" i="17"/>
  <c r="F1499" i="17"/>
  <c r="F1498" i="17"/>
  <c r="F1497" i="17"/>
  <c r="F1496" i="17"/>
  <c r="F1495" i="17"/>
  <c r="F1494" i="17"/>
  <c r="F1493" i="17"/>
  <c r="F1492" i="17"/>
  <c r="F1491" i="17"/>
  <c r="F1490" i="17"/>
  <c r="F1489" i="17"/>
  <c r="F1488" i="17"/>
  <c r="F1487" i="17"/>
  <c r="F1486" i="17"/>
  <c r="F1485" i="17"/>
  <c r="F1484" i="17"/>
  <c r="F1483" i="17"/>
  <c r="F1482" i="17"/>
  <c r="F1481" i="17"/>
  <c r="F1480" i="17"/>
  <c r="F1479" i="17"/>
  <c r="F1478" i="17"/>
  <c r="F1477" i="17"/>
  <c r="F1476" i="17"/>
  <c r="F1475" i="17"/>
  <c r="F1474" i="17"/>
  <c r="F1473" i="17"/>
  <c r="F1472" i="17"/>
  <c r="F1471" i="17"/>
  <c r="F1470" i="17"/>
  <c r="F1469" i="17"/>
  <c r="F1468" i="17"/>
  <c r="F1467" i="17"/>
  <c r="F1466" i="17"/>
  <c r="F1465" i="17"/>
  <c r="F1464" i="17"/>
  <c r="F1463" i="17"/>
  <c r="F1462" i="17"/>
  <c r="F1461" i="17"/>
  <c r="F1460" i="17"/>
  <c r="F1459" i="17"/>
  <c r="F1458" i="17"/>
  <c r="F1457" i="17"/>
  <c r="F1456" i="17"/>
  <c r="F1455" i="17"/>
  <c r="F1454" i="17"/>
  <c r="F1453" i="17"/>
  <c r="F1452" i="17"/>
  <c r="F1451" i="17"/>
  <c r="F1450" i="17"/>
  <c r="F1449" i="17"/>
  <c r="F1448" i="17"/>
  <c r="F1447" i="17"/>
  <c r="F1446" i="17"/>
  <c r="F1445" i="17"/>
  <c r="F1444" i="17"/>
  <c r="F1443" i="17"/>
  <c r="F1442" i="17"/>
  <c r="F1441" i="17"/>
  <c r="F1440" i="17"/>
  <c r="F1439" i="17"/>
  <c r="F1438" i="17"/>
  <c r="F1437" i="17"/>
  <c r="F1436" i="17"/>
  <c r="F1435" i="17"/>
  <c r="F1434" i="17"/>
  <c r="F1433" i="17"/>
  <c r="F1432" i="17"/>
  <c r="F1431" i="17"/>
  <c r="F1430" i="17"/>
  <c r="F1429" i="17"/>
  <c r="F1428" i="17"/>
  <c r="F1427" i="17"/>
  <c r="F1426" i="17"/>
  <c r="F1425" i="17"/>
  <c r="F1424" i="17"/>
  <c r="F1423" i="17"/>
  <c r="F1422" i="17"/>
  <c r="F1421" i="17"/>
  <c r="F1420" i="17"/>
  <c r="F1419" i="17"/>
  <c r="F1418" i="17"/>
  <c r="F1417" i="17"/>
  <c r="F1416" i="17"/>
  <c r="F1415" i="17"/>
  <c r="F1414" i="17"/>
  <c r="F1413" i="17"/>
  <c r="F1412" i="17"/>
  <c r="F1411" i="17"/>
  <c r="F1410" i="17"/>
  <c r="F1409" i="17"/>
  <c r="F1408" i="17"/>
  <c r="F1407" i="17"/>
  <c r="F1406" i="17"/>
  <c r="F1405" i="17"/>
  <c r="F1404" i="17"/>
  <c r="F1403" i="17"/>
  <c r="F1402" i="17"/>
  <c r="F1401" i="17"/>
  <c r="F1400" i="17"/>
  <c r="F1399" i="17"/>
  <c r="F1398" i="17"/>
  <c r="F1397" i="17"/>
  <c r="F1396" i="17"/>
  <c r="F1395" i="17"/>
  <c r="F1394" i="17"/>
  <c r="F1393" i="17"/>
  <c r="F1392" i="17"/>
  <c r="F1391" i="17"/>
  <c r="F1390" i="17"/>
  <c r="F1389" i="17"/>
  <c r="F1388" i="17"/>
  <c r="F1387" i="17"/>
  <c r="F1386" i="17"/>
  <c r="F1385" i="17"/>
  <c r="F1384" i="17"/>
  <c r="F1383" i="17"/>
  <c r="F1382" i="17"/>
  <c r="F1381" i="17"/>
  <c r="F1380" i="17"/>
  <c r="F1379" i="17"/>
  <c r="F1378" i="17"/>
  <c r="F1377" i="17"/>
  <c r="F1376" i="17"/>
  <c r="F1375" i="17"/>
  <c r="F1374" i="17"/>
  <c r="F1373" i="17"/>
  <c r="F1372" i="17"/>
  <c r="F1371" i="17"/>
  <c r="F1370" i="17"/>
  <c r="F1369" i="17"/>
  <c r="F1368" i="17"/>
  <c r="F1367" i="17"/>
  <c r="F1366" i="17"/>
  <c r="F1365" i="17"/>
  <c r="F1364" i="17"/>
  <c r="F1363" i="17"/>
  <c r="F1362" i="17"/>
  <c r="F1361" i="17"/>
  <c r="F1360" i="17"/>
  <c r="F1359" i="17"/>
  <c r="F1358" i="17"/>
  <c r="F1357" i="17"/>
  <c r="F1356" i="17"/>
  <c r="F1355" i="17"/>
  <c r="F1354" i="17"/>
  <c r="F1353" i="17"/>
  <c r="F1352" i="17"/>
  <c r="F1351" i="17"/>
  <c r="F1350" i="17"/>
  <c r="F1349" i="17"/>
  <c r="F1348" i="17"/>
  <c r="F1347" i="17"/>
  <c r="F1346" i="17"/>
  <c r="F1345" i="17"/>
  <c r="F1344" i="17"/>
  <c r="F1343" i="17"/>
  <c r="F1342" i="17"/>
  <c r="F1341" i="17"/>
  <c r="F1340" i="17"/>
  <c r="F1339" i="17"/>
  <c r="F1338" i="17"/>
  <c r="F1337" i="17"/>
  <c r="F1336" i="17"/>
  <c r="F1335" i="17"/>
  <c r="F1334" i="17"/>
  <c r="F1333" i="17"/>
  <c r="F1332" i="17"/>
  <c r="F1331" i="17"/>
  <c r="F1330" i="17"/>
  <c r="F1329" i="17"/>
  <c r="F1328" i="17"/>
  <c r="F1327" i="17"/>
  <c r="F1326" i="17"/>
  <c r="F1325" i="17"/>
  <c r="F1324" i="17"/>
  <c r="F1323" i="17"/>
  <c r="F1322" i="17"/>
  <c r="F1321" i="17"/>
  <c r="F1320" i="17"/>
  <c r="F1319" i="17"/>
  <c r="F1318" i="17"/>
  <c r="F1317" i="17"/>
  <c r="F1316" i="17"/>
  <c r="F1315" i="17"/>
  <c r="F1314" i="17"/>
  <c r="F1313" i="17"/>
  <c r="F1312" i="17"/>
  <c r="F1311" i="17"/>
  <c r="F1310" i="17"/>
  <c r="F1309" i="17"/>
  <c r="F1308" i="17"/>
  <c r="F1307" i="17"/>
  <c r="F1306" i="17"/>
  <c r="F1305" i="17"/>
  <c r="F1304" i="17"/>
  <c r="F1303" i="17"/>
  <c r="F1302" i="17"/>
  <c r="F1301" i="17"/>
  <c r="F1300" i="17"/>
  <c r="F1299" i="17"/>
  <c r="F1298" i="17"/>
  <c r="F1297" i="17"/>
  <c r="F1296" i="17"/>
  <c r="F1295" i="17"/>
  <c r="F1294" i="17"/>
  <c r="F1293" i="17"/>
  <c r="F1292" i="17"/>
  <c r="F1291" i="17"/>
  <c r="F1290" i="17"/>
  <c r="F1289" i="17"/>
  <c r="F1288" i="17"/>
  <c r="F1287" i="17"/>
  <c r="F1286" i="17"/>
  <c r="F1285" i="17"/>
  <c r="F1284" i="17"/>
  <c r="F1283" i="17"/>
  <c r="F1282" i="17"/>
  <c r="F1281" i="17"/>
  <c r="F1280" i="17"/>
  <c r="F1279" i="17"/>
  <c r="F1278" i="17"/>
  <c r="F1277" i="17"/>
  <c r="F1276" i="17"/>
  <c r="F1275" i="17"/>
  <c r="F1274" i="17"/>
  <c r="F1273" i="17"/>
  <c r="F1272" i="17"/>
  <c r="F1271" i="17"/>
  <c r="F1270" i="17"/>
  <c r="F1269" i="17"/>
  <c r="F1268" i="17"/>
  <c r="F1267" i="17"/>
  <c r="F1266" i="17"/>
  <c r="F1265" i="17"/>
  <c r="F1264" i="17"/>
  <c r="F1263" i="17"/>
  <c r="F1262" i="17"/>
  <c r="F1261" i="17"/>
  <c r="F1260" i="17"/>
  <c r="F1259" i="17"/>
  <c r="F1258" i="17"/>
  <c r="F1257" i="17"/>
  <c r="F1256" i="17"/>
  <c r="F1255" i="17"/>
  <c r="F1254" i="17"/>
  <c r="F1253" i="17"/>
  <c r="F1252" i="17"/>
  <c r="F1251" i="17"/>
  <c r="F1250" i="17"/>
  <c r="F1249" i="17"/>
  <c r="F1248" i="17"/>
  <c r="F1247" i="17"/>
  <c r="F1246" i="17"/>
  <c r="F1245" i="17"/>
  <c r="F1244" i="17"/>
  <c r="F1243" i="17"/>
  <c r="F1242" i="17"/>
  <c r="F1241" i="17"/>
  <c r="F1240" i="17"/>
  <c r="F1239" i="17"/>
  <c r="F1238" i="17"/>
  <c r="F1237" i="17"/>
  <c r="F1236" i="17"/>
  <c r="F1235" i="17"/>
  <c r="F1234" i="17"/>
  <c r="F1233" i="17"/>
  <c r="F1232" i="17"/>
  <c r="F1231" i="17"/>
  <c r="F1230" i="17"/>
  <c r="F1229" i="17"/>
  <c r="F1228" i="17"/>
  <c r="F1227" i="17"/>
  <c r="F1226" i="17"/>
  <c r="F1225" i="17"/>
  <c r="F1224" i="17"/>
  <c r="F1223" i="17"/>
  <c r="F1222" i="17"/>
  <c r="F1221" i="17"/>
  <c r="F1220" i="17"/>
  <c r="F1219" i="17"/>
  <c r="F1218" i="17"/>
  <c r="F1217" i="17"/>
  <c r="F1216" i="17"/>
  <c r="F1215" i="17"/>
  <c r="F1214" i="17"/>
  <c r="F1213" i="17"/>
  <c r="F1212" i="17"/>
  <c r="F1211" i="17"/>
  <c r="F1210" i="17"/>
  <c r="F1209" i="17"/>
  <c r="F1208" i="17"/>
  <c r="F1207" i="17"/>
  <c r="F1206" i="17"/>
  <c r="F1205" i="17"/>
  <c r="F1204" i="17"/>
  <c r="F1203" i="17"/>
  <c r="F1202" i="17"/>
  <c r="F1201" i="17"/>
  <c r="F1200" i="17"/>
  <c r="F1199" i="17"/>
  <c r="F1198" i="17"/>
  <c r="F1197" i="17"/>
  <c r="F1196" i="17"/>
  <c r="F1195" i="17"/>
  <c r="F1194" i="17"/>
  <c r="F1193" i="17"/>
  <c r="F1192" i="17"/>
  <c r="F1191" i="17"/>
  <c r="F1190" i="17"/>
  <c r="F1189" i="17"/>
  <c r="F1188" i="17"/>
  <c r="F1187" i="17"/>
  <c r="F1186" i="17"/>
  <c r="F1185" i="17"/>
  <c r="F1184" i="17"/>
  <c r="F1183" i="17"/>
  <c r="F1182" i="17"/>
  <c r="F1181" i="17"/>
  <c r="F1180" i="17"/>
  <c r="F1179" i="17"/>
  <c r="F1178" i="17"/>
  <c r="F1177" i="17"/>
  <c r="F1176" i="17"/>
  <c r="F1175" i="17"/>
  <c r="F1174" i="17"/>
  <c r="F1173" i="17"/>
  <c r="F1172" i="17"/>
  <c r="F1171" i="17"/>
  <c r="F1170" i="17"/>
  <c r="F1169" i="17"/>
  <c r="F1168" i="17"/>
  <c r="F1167" i="17"/>
  <c r="F1166" i="17"/>
  <c r="F1165" i="17"/>
  <c r="F1164" i="17"/>
  <c r="F1163" i="17"/>
  <c r="F1162" i="17"/>
  <c r="F1161" i="17"/>
  <c r="F1160" i="17"/>
  <c r="F1159" i="17"/>
  <c r="F1158" i="17"/>
  <c r="F1157" i="17"/>
  <c r="F1156" i="17"/>
  <c r="F1155" i="17"/>
  <c r="F1154" i="17"/>
  <c r="F1153" i="17"/>
  <c r="F1152" i="17"/>
  <c r="F1151" i="17"/>
  <c r="F1150" i="17"/>
  <c r="F1149" i="17"/>
  <c r="F1148" i="17"/>
  <c r="F1147" i="17"/>
  <c r="F1146" i="17"/>
  <c r="F1145" i="17"/>
  <c r="F1144" i="17"/>
  <c r="F1143" i="17"/>
  <c r="F1142" i="17"/>
  <c r="F1141" i="17"/>
  <c r="F1140" i="17"/>
  <c r="F1139" i="17"/>
  <c r="F1138" i="17"/>
  <c r="F1137" i="17"/>
  <c r="F1136" i="17"/>
  <c r="F1135" i="17"/>
  <c r="F1134" i="17"/>
  <c r="F1133" i="17"/>
  <c r="F1132" i="17"/>
  <c r="F1131" i="17"/>
  <c r="F1130" i="17"/>
  <c r="F1129" i="17"/>
  <c r="F1128" i="17"/>
  <c r="F1127" i="17"/>
  <c r="F1126" i="17"/>
  <c r="F1125" i="17"/>
  <c r="F1124" i="17"/>
  <c r="F1123" i="17"/>
  <c r="F1122" i="17"/>
  <c r="F1121" i="17"/>
  <c r="F1120" i="17"/>
  <c r="F1119" i="17"/>
  <c r="F1118" i="17"/>
  <c r="F1117" i="17"/>
  <c r="F1116" i="17"/>
  <c r="F1115" i="17"/>
  <c r="F1114" i="17"/>
  <c r="F1113" i="17"/>
  <c r="F1112" i="17"/>
  <c r="F1111" i="17"/>
  <c r="F1110" i="17"/>
  <c r="F1109" i="17"/>
  <c r="F1108" i="17"/>
  <c r="F1107" i="17"/>
  <c r="F1106" i="17"/>
  <c r="F1105" i="17"/>
  <c r="F1104" i="17"/>
  <c r="F1103" i="17"/>
  <c r="F1102" i="17"/>
  <c r="F1101" i="17"/>
  <c r="F1100" i="17"/>
  <c r="F1099" i="17"/>
  <c r="F1098" i="17"/>
  <c r="F1097" i="17"/>
  <c r="F1096" i="17"/>
  <c r="F1095" i="17"/>
  <c r="F1094" i="17"/>
  <c r="F1093" i="17"/>
  <c r="F1092" i="17"/>
  <c r="F1091" i="17"/>
  <c r="F1090" i="17"/>
  <c r="F1089" i="17"/>
  <c r="F1088" i="17"/>
  <c r="F1087" i="17"/>
  <c r="F1086" i="17"/>
  <c r="F1085" i="17"/>
  <c r="F1084" i="17"/>
  <c r="F1083" i="17"/>
  <c r="F1082" i="17"/>
  <c r="F1081" i="17"/>
  <c r="F1080" i="17"/>
  <c r="F1079" i="17"/>
  <c r="F1078" i="17"/>
  <c r="F1077" i="17"/>
  <c r="F1076" i="17"/>
  <c r="F1075" i="17"/>
  <c r="F1074" i="17"/>
  <c r="F1073" i="17"/>
  <c r="F1072" i="17"/>
  <c r="F1071" i="17"/>
  <c r="F1070" i="17"/>
  <c r="F1069" i="17"/>
  <c r="F1068" i="17"/>
  <c r="F1067" i="17"/>
  <c r="F1066" i="17"/>
  <c r="F1065" i="17"/>
  <c r="F1064" i="17"/>
  <c r="F1063" i="17"/>
  <c r="F1062" i="17"/>
  <c r="F1061" i="17"/>
  <c r="F1060" i="17"/>
  <c r="F1059" i="17"/>
  <c r="F1058" i="17"/>
  <c r="F1057" i="17"/>
  <c r="F1056" i="17"/>
  <c r="F1055" i="17"/>
  <c r="F1054" i="17"/>
  <c r="F1053" i="17"/>
  <c r="F1052" i="17"/>
  <c r="F1051" i="17"/>
  <c r="F1050" i="17"/>
  <c r="F1049" i="17"/>
  <c r="F1048" i="17"/>
  <c r="F1047" i="17"/>
  <c r="F1046" i="17"/>
  <c r="F1045" i="17"/>
  <c r="F1044" i="17"/>
  <c r="F1043" i="17"/>
  <c r="F1042" i="17"/>
  <c r="F1041" i="17"/>
  <c r="F1040" i="17"/>
  <c r="F1039" i="17"/>
  <c r="F1038" i="17"/>
  <c r="F1037" i="17"/>
  <c r="F1036" i="17"/>
  <c r="F1035" i="17"/>
  <c r="F1034" i="17"/>
  <c r="F1033" i="17"/>
  <c r="F1032" i="17"/>
  <c r="F1031" i="17"/>
  <c r="F1030" i="17"/>
  <c r="F1029" i="17"/>
  <c r="F1028" i="17"/>
  <c r="F1027" i="17"/>
  <c r="F1026" i="17"/>
  <c r="F1025" i="17"/>
  <c r="F1024" i="17"/>
  <c r="F1023" i="17"/>
  <c r="F1022" i="17"/>
  <c r="F1021" i="17"/>
  <c r="F1020" i="17"/>
  <c r="F1019" i="17"/>
  <c r="F1018" i="17"/>
  <c r="F1017" i="17"/>
  <c r="F1016" i="17"/>
  <c r="F1015" i="17"/>
  <c r="F1014" i="17"/>
  <c r="F1013" i="17"/>
  <c r="F1012" i="17"/>
  <c r="F1011" i="17"/>
  <c r="F1010" i="17"/>
  <c r="F1009" i="17"/>
  <c r="F1008" i="17"/>
  <c r="F1007" i="17"/>
  <c r="F1006" i="17"/>
  <c r="F1005" i="17"/>
  <c r="F1004" i="17"/>
  <c r="F1003" i="17"/>
  <c r="F1002" i="17"/>
  <c r="F1001" i="17"/>
  <c r="F1000" i="17"/>
  <c r="F999" i="17"/>
  <c r="F998" i="17"/>
  <c r="F997" i="17"/>
  <c r="F996" i="17"/>
  <c r="F995" i="17"/>
  <c r="F994" i="17"/>
  <c r="F993" i="17"/>
  <c r="F992" i="17"/>
  <c r="F991" i="17"/>
  <c r="F990" i="17"/>
  <c r="F989" i="17"/>
  <c r="F988" i="17"/>
  <c r="F987" i="17"/>
  <c r="F986" i="17"/>
  <c r="F985" i="17"/>
  <c r="F984" i="17"/>
  <c r="F983" i="17"/>
  <c r="F982" i="17"/>
  <c r="F981" i="17"/>
  <c r="F980" i="17"/>
  <c r="F979" i="17"/>
  <c r="F978" i="17"/>
  <c r="F977" i="17"/>
  <c r="F976" i="17"/>
  <c r="F975" i="17"/>
  <c r="F974" i="17"/>
  <c r="F973" i="17"/>
  <c r="F972" i="17"/>
  <c r="F971" i="17"/>
  <c r="F970" i="17"/>
  <c r="F969" i="17"/>
  <c r="F968" i="17"/>
  <c r="F967" i="17"/>
  <c r="F966" i="17"/>
  <c r="F965" i="17"/>
  <c r="F964" i="17"/>
  <c r="F963" i="17"/>
  <c r="F962" i="17"/>
  <c r="F961" i="17"/>
  <c r="F960" i="17"/>
  <c r="F959" i="17"/>
  <c r="F958" i="17"/>
  <c r="F957" i="17"/>
  <c r="F956" i="17"/>
  <c r="F955" i="17"/>
  <c r="F954" i="17"/>
  <c r="F953" i="17"/>
  <c r="F952" i="17"/>
  <c r="F951" i="17"/>
  <c r="F950" i="17"/>
  <c r="F949" i="17"/>
  <c r="F948" i="17"/>
  <c r="F947" i="17"/>
  <c r="F946" i="17"/>
  <c r="F945" i="17"/>
  <c r="F944" i="17"/>
  <c r="F943" i="17"/>
  <c r="F942" i="17"/>
  <c r="F941" i="17"/>
  <c r="F940" i="17"/>
  <c r="F939" i="17"/>
  <c r="F938" i="17"/>
  <c r="F937" i="17"/>
  <c r="F936" i="17"/>
  <c r="F935" i="17"/>
  <c r="F934" i="17"/>
  <c r="F933" i="17"/>
  <c r="F932" i="17"/>
  <c r="F931" i="17"/>
  <c r="F930" i="17"/>
  <c r="F929" i="17"/>
  <c r="F928" i="17"/>
  <c r="F927" i="17"/>
  <c r="F926" i="17"/>
  <c r="F925" i="17"/>
  <c r="F924" i="17"/>
  <c r="F923" i="17"/>
  <c r="F922" i="17"/>
  <c r="F921" i="17"/>
  <c r="F920" i="17"/>
  <c r="F919" i="17"/>
  <c r="F918" i="17"/>
  <c r="F917" i="17"/>
  <c r="F916" i="17"/>
  <c r="F915" i="17"/>
  <c r="F914" i="17"/>
  <c r="F913" i="17"/>
  <c r="F912" i="17"/>
  <c r="F911" i="17"/>
  <c r="F910" i="17"/>
  <c r="F909" i="17"/>
  <c r="F908" i="17"/>
  <c r="F907" i="17"/>
  <c r="F906" i="17"/>
  <c r="F905" i="17"/>
  <c r="F904" i="17"/>
  <c r="F903" i="17"/>
  <c r="F902" i="17"/>
  <c r="F901" i="17"/>
  <c r="F900" i="17"/>
  <c r="F899" i="17"/>
  <c r="F898" i="17"/>
  <c r="F897" i="17"/>
  <c r="F896" i="17"/>
  <c r="F895" i="17"/>
  <c r="F894" i="17"/>
  <c r="F893" i="17"/>
  <c r="F892" i="17"/>
  <c r="F891" i="17"/>
  <c r="F890" i="17"/>
  <c r="F889" i="17"/>
  <c r="F888" i="17"/>
  <c r="F887" i="17"/>
  <c r="F886" i="17"/>
  <c r="F885" i="17"/>
  <c r="F884" i="17"/>
  <c r="F883" i="17"/>
  <c r="F882" i="17"/>
  <c r="F881" i="17"/>
  <c r="F880" i="17"/>
  <c r="F879" i="17"/>
  <c r="F878" i="17"/>
  <c r="F877" i="17"/>
  <c r="F876" i="17"/>
  <c r="F875" i="17"/>
  <c r="F874" i="17"/>
  <c r="F873" i="17"/>
  <c r="F872" i="17"/>
  <c r="F871" i="17"/>
  <c r="F870" i="17"/>
  <c r="F869" i="17"/>
  <c r="F868" i="17"/>
  <c r="F867" i="17"/>
  <c r="F866" i="17"/>
  <c r="F865" i="17"/>
  <c r="F864" i="17"/>
  <c r="F863" i="17"/>
  <c r="F862" i="17"/>
  <c r="F861" i="17"/>
  <c r="F860" i="17"/>
  <c r="F859" i="17"/>
  <c r="F858" i="17"/>
  <c r="F857" i="17"/>
  <c r="F856" i="17"/>
  <c r="F855" i="17"/>
  <c r="F854" i="17"/>
  <c r="F853" i="17"/>
  <c r="F852" i="17"/>
  <c r="F851" i="17"/>
  <c r="F850" i="17"/>
  <c r="F849" i="17"/>
  <c r="F848" i="17"/>
  <c r="F847" i="17"/>
  <c r="F846" i="17"/>
  <c r="F845" i="17"/>
  <c r="F844" i="17"/>
  <c r="F843" i="17"/>
  <c r="F842" i="17"/>
  <c r="F841" i="17"/>
  <c r="F840" i="17"/>
  <c r="F839" i="17"/>
  <c r="F838" i="17"/>
  <c r="F837" i="17"/>
  <c r="F836" i="17"/>
  <c r="F835" i="17"/>
  <c r="F834" i="17"/>
  <c r="F833" i="17"/>
  <c r="F832" i="17"/>
  <c r="F831" i="17"/>
  <c r="F830" i="17"/>
  <c r="F829" i="17"/>
  <c r="F828" i="17"/>
  <c r="F827" i="17"/>
  <c r="F826" i="17"/>
  <c r="F825" i="17"/>
  <c r="F824" i="17"/>
  <c r="F823" i="17"/>
  <c r="F822" i="17"/>
  <c r="F821" i="17"/>
  <c r="F820" i="17"/>
  <c r="F819" i="17"/>
  <c r="F818" i="17"/>
  <c r="F817" i="17"/>
  <c r="F816" i="17"/>
  <c r="F815" i="17"/>
  <c r="F814" i="17"/>
  <c r="F813" i="17"/>
  <c r="F812" i="17"/>
  <c r="F811" i="17"/>
  <c r="F810" i="17"/>
  <c r="F809" i="17"/>
  <c r="F808" i="17"/>
  <c r="F807" i="17"/>
  <c r="F806" i="17"/>
  <c r="F805" i="17"/>
  <c r="F804" i="17"/>
  <c r="F803" i="17"/>
  <c r="F802" i="17"/>
  <c r="F801" i="17"/>
  <c r="F800" i="17"/>
  <c r="F799" i="17"/>
  <c r="F798" i="17"/>
  <c r="F797" i="17"/>
  <c r="F796" i="17"/>
  <c r="F795" i="17"/>
  <c r="F794" i="17"/>
  <c r="F793" i="17"/>
  <c r="F792" i="17"/>
  <c r="F791" i="17"/>
  <c r="F790" i="17"/>
  <c r="F789" i="17"/>
  <c r="F788" i="17"/>
  <c r="F787" i="17"/>
  <c r="F786" i="17"/>
  <c r="F785" i="17"/>
  <c r="F784" i="17"/>
  <c r="F783" i="17"/>
  <c r="F782" i="17"/>
  <c r="F781" i="17"/>
  <c r="F780" i="17"/>
  <c r="F779" i="17"/>
  <c r="F778" i="17"/>
  <c r="F777" i="17"/>
  <c r="F776" i="17"/>
  <c r="F775" i="17"/>
  <c r="F774" i="17"/>
  <c r="F773" i="17"/>
  <c r="F772" i="17"/>
  <c r="F771" i="17"/>
  <c r="F770" i="17"/>
  <c r="F769" i="17"/>
  <c r="F768" i="17"/>
  <c r="F767" i="17"/>
  <c r="F766" i="17"/>
  <c r="F765" i="17"/>
  <c r="F764" i="17"/>
  <c r="F763" i="17"/>
  <c r="F762" i="17"/>
  <c r="F761" i="17"/>
  <c r="F760" i="17"/>
  <c r="F759" i="17"/>
  <c r="F758" i="17"/>
  <c r="F757" i="17"/>
  <c r="F756" i="17"/>
  <c r="F755" i="17"/>
  <c r="F754" i="17"/>
  <c r="F753" i="17"/>
  <c r="F752" i="17"/>
  <c r="F751" i="17"/>
  <c r="F750" i="17"/>
  <c r="F749" i="17"/>
  <c r="F748" i="17"/>
  <c r="F747" i="17"/>
  <c r="F746" i="17"/>
  <c r="F745" i="17"/>
  <c r="F744" i="17"/>
  <c r="F743" i="17"/>
  <c r="F742" i="17"/>
  <c r="F741" i="17"/>
  <c r="F740" i="17"/>
  <c r="F739" i="17"/>
  <c r="F738" i="17"/>
  <c r="F737" i="17"/>
  <c r="F736" i="17"/>
  <c r="F735" i="17"/>
  <c r="F734" i="17"/>
  <c r="F733" i="17"/>
  <c r="F732" i="17"/>
  <c r="F731" i="17"/>
  <c r="F730" i="17"/>
  <c r="F729" i="17"/>
  <c r="F728" i="17"/>
  <c r="F727" i="17"/>
  <c r="F726" i="17"/>
  <c r="F725" i="17"/>
  <c r="F724" i="17"/>
  <c r="F723" i="17"/>
  <c r="F722" i="17"/>
  <c r="F721" i="17"/>
  <c r="F720" i="17"/>
  <c r="F719" i="17"/>
  <c r="F718" i="17"/>
  <c r="F717" i="17"/>
  <c r="F716" i="17"/>
  <c r="F715" i="17"/>
  <c r="F714" i="17"/>
  <c r="F713" i="17"/>
  <c r="F712" i="17"/>
  <c r="F711" i="17"/>
  <c r="F710" i="17"/>
  <c r="F709" i="17"/>
  <c r="F708" i="17"/>
  <c r="F707" i="17"/>
  <c r="F706" i="17"/>
  <c r="F705" i="17"/>
  <c r="F704" i="17"/>
  <c r="F703" i="17"/>
  <c r="F702" i="17"/>
  <c r="F701" i="17"/>
  <c r="F700" i="17"/>
  <c r="F699" i="17"/>
  <c r="F698" i="17"/>
  <c r="F697" i="17"/>
  <c r="F696" i="17"/>
  <c r="F695" i="17"/>
  <c r="F694" i="17"/>
  <c r="F693" i="17"/>
  <c r="F692" i="17"/>
  <c r="F691" i="17"/>
  <c r="F690" i="17"/>
  <c r="F689" i="17"/>
  <c r="F688" i="17"/>
  <c r="F687" i="17"/>
  <c r="F686" i="17"/>
  <c r="F685" i="17"/>
  <c r="F684" i="17"/>
  <c r="F683" i="17"/>
  <c r="F682" i="17"/>
  <c r="F681" i="17"/>
  <c r="F680" i="17"/>
  <c r="F679" i="17"/>
  <c r="F678" i="17"/>
  <c r="F677" i="17"/>
  <c r="F676" i="17"/>
  <c r="F675" i="17"/>
  <c r="F674" i="17"/>
  <c r="F673" i="17"/>
  <c r="F672" i="17"/>
  <c r="F671" i="17"/>
  <c r="F670" i="17"/>
  <c r="F669" i="17"/>
  <c r="F668" i="17"/>
  <c r="F667" i="17"/>
  <c r="F666" i="17"/>
  <c r="F665" i="17"/>
  <c r="F664" i="17"/>
  <c r="F663" i="17"/>
  <c r="F662" i="17"/>
  <c r="F661" i="17"/>
  <c r="F660" i="17"/>
  <c r="F659" i="17"/>
  <c r="F658" i="17"/>
  <c r="F657" i="17"/>
  <c r="F656" i="17"/>
  <c r="F655" i="17"/>
  <c r="F654" i="17"/>
  <c r="F653" i="17"/>
  <c r="F652" i="17"/>
  <c r="F651" i="17"/>
  <c r="F650" i="17"/>
  <c r="F649" i="17"/>
  <c r="F648" i="17"/>
  <c r="F647" i="17"/>
  <c r="F646" i="17"/>
  <c r="F645" i="17"/>
  <c r="F644" i="17"/>
  <c r="F643" i="17"/>
  <c r="F642" i="17"/>
  <c r="F641" i="17"/>
  <c r="F640" i="17"/>
  <c r="F639" i="17"/>
  <c r="F638" i="17"/>
  <c r="F637" i="17"/>
  <c r="F636" i="17"/>
  <c r="F635" i="17"/>
  <c r="F634" i="17"/>
  <c r="F633" i="17"/>
  <c r="F632" i="17"/>
  <c r="F631" i="17"/>
  <c r="F630" i="17"/>
  <c r="F629" i="17"/>
  <c r="F628" i="17"/>
  <c r="F627" i="17"/>
  <c r="F626" i="17"/>
  <c r="F625" i="17"/>
  <c r="F624" i="17"/>
  <c r="F623" i="17"/>
  <c r="F622" i="17"/>
  <c r="F621" i="17"/>
  <c r="F620" i="17"/>
  <c r="F619" i="17"/>
  <c r="F618" i="17"/>
  <c r="F617" i="17"/>
  <c r="F616" i="17"/>
  <c r="F615" i="17"/>
  <c r="F614" i="17"/>
  <c r="F613" i="17"/>
  <c r="F612" i="17"/>
  <c r="F611" i="17"/>
  <c r="F610" i="17"/>
  <c r="F609" i="17"/>
  <c r="F608" i="17"/>
  <c r="F607" i="17"/>
  <c r="F606" i="17"/>
  <c r="F605" i="17"/>
  <c r="F604" i="17"/>
  <c r="F603" i="17"/>
  <c r="F602" i="17"/>
  <c r="F601" i="17"/>
  <c r="F600" i="17"/>
  <c r="F599" i="17"/>
  <c r="F598" i="17"/>
  <c r="F597" i="17"/>
  <c r="F596" i="17"/>
  <c r="F595" i="17"/>
  <c r="F594" i="17"/>
  <c r="F593" i="17"/>
  <c r="F592" i="17"/>
  <c r="F591" i="17"/>
  <c r="F590" i="17"/>
  <c r="F589" i="17"/>
  <c r="F588" i="17"/>
  <c r="F587" i="17"/>
  <c r="F586" i="17"/>
  <c r="F585" i="17"/>
  <c r="F584" i="17"/>
  <c r="F583" i="17"/>
  <c r="F582" i="17"/>
  <c r="F581" i="17"/>
  <c r="F580" i="17"/>
  <c r="F579" i="17"/>
  <c r="F578" i="17"/>
  <c r="F577" i="17"/>
  <c r="F576" i="17"/>
  <c r="F575" i="17"/>
  <c r="F574" i="17"/>
  <c r="F573" i="17"/>
  <c r="F572" i="17"/>
  <c r="F571" i="17"/>
  <c r="F570" i="17"/>
  <c r="F569" i="17"/>
  <c r="F568" i="17"/>
  <c r="F567" i="17"/>
  <c r="F566" i="17"/>
  <c r="F565" i="17"/>
  <c r="F564" i="17"/>
  <c r="F563" i="17"/>
  <c r="F562" i="17"/>
  <c r="F561" i="17"/>
  <c r="F560" i="17"/>
  <c r="F559" i="17"/>
  <c r="F558" i="17"/>
  <c r="F557" i="17"/>
  <c r="F556" i="17"/>
  <c r="F555" i="17"/>
  <c r="F554" i="17"/>
  <c r="F553" i="17"/>
  <c r="F552" i="17"/>
  <c r="F551" i="17"/>
  <c r="F550" i="17"/>
  <c r="F549" i="17"/>
  <c r="F548" i="17"/>
  <c r="F547" i="17"/>
  <c r="F546" i="17"/>
  <c r="F545" i="17"/>
  <c r="F544" i="17"/>
  <c r="F543" i="17"/>
  <c r="F542" i="17"/>
  <c r="F541" i="17"/>
  <c r="F540" i="17"/>
  <c r="F539" i="17"/>
  <c r="F538" i="17"/>
  <c r="F537" i="17"/>
  <c r="F536" i="17"/>
  <c r="F535" i="17"/>
  <c r="F534" i="17"/>
  <c r="F533" i="17"/>
  <c r="F532" i="17"/>
  <c r="F531" i="17"/>
  <c r="F530" i="17"/>
  <c r="F529" i="17"/>
  <c r="F528" i="17"/>
  <c r="F527" i="17"/>
  <c r="F526" i="17"/>
  <c r="F525" i="17"/>
  <c r="F524" i="17"/>
  <c r="F523" i="17"/>
  <c r="F522" i="17"/>
  <c r="F521" i="17"/>
  <c r="F520" i="17"/>
  <c r="F519" i="17"/>
  <c r="F518" i="17"/>
  <c r="F517" i="17"/>
  <c r="F516" i="17"/>
  <c r="F515" i="17"/>
  <c r="F514" i="17"/>
  <c r="F513" i="17"/>
  <c r="F512" i="17"/>
  <c r="F511" i="17"/>
  <c r="F510" i="17"/>
  <c r="F509" i="17"/>
  <c r="F508" i="17"/>
  <c r="F507" i="17"/>
  <c r="F506" i="17"/>
  <c r="F505" i="17"/>
  <c r="F504" i="17"/>
  <c r="F503" i="17"/>
  <c r="F502" i="17"/>
  <c r="F501" i="17"/>
  <c r="F500" i="17"/>
  <c r="F499" i="17"/>
  <c r="F498" i="17"/>
  <c r="F497" i="17"/>
  <c r="F496" i="17"/>
  <c r="F495" i="17"/>
  <c r="F494" i="17"/>
  <c r="F493" i="17"/>
  <c r="F492" i="17"/>
  <c r="F491" i="17"/>
  <c r="F490" i="17"/>
  <c r="F489" i="17"/>
  <c r="F488" i="17"/>
  <c r="F487" i="17"/>
  <c r="F486" i="17"/>
  <c r="F485" i="17"/>
  <c r="F484" i="17"/>
  <c r="F483" i="17"/>
  <c r="F482" i="17"/>
  <c r="F481" i="17"/>
  <c r="F480" i="17"/>
  <c r="F479" i="17"/>
  <c r="F478" i="17"/>
  <c r="F477" i="17"/>
  <c r="F476" i="17"/>
  <c r="F475" i="17"/>
  <c r="F474" i="17"/>
  <c r="F473" i="17"/>
  <c r="F472" i="17"/>
  <c r="F471" i="17"/>
  <c r="F470" i="17"/>
  <c r="F469" i="17"/>
  <c r="F468" i="17"/>
  <c r="F467" i="17"/>
  <c r="F466" i="17"/>
  <c r="F465" i="17"/>
  <c r="F464" i="17"/>
  <c r="F463" i="17"/>
  <c r="F462" i="17"/>
  <c r="F461" i="17"/>
  <c r="F460" i="17"/>
  <c r="F459" i="17"/>
  <c r="F458" i="17"/>
  <c r="F457" i="17"/>
  <c r="F456" i="17"/>
  <c r="F455" i="17"/>
  <c r="F454" i="17"/>
  <c r="F453" i="17"/>
  <c r="F452" i="17"/>
  <c r="F451" i="17"/>
  <c r="F450" i="17"/>
  <c r="F449" i="17"/>
  <c r="F448" i="17"/>
  <c r="F447" i="17"/>
  <c r="F446" i="17"/>
  <c r="F445" i="17"/>
  <c r="F444" i="17"/>
  <c r="F443" i="17"/>
  <c r="F442" i="17"/>
  <c r="F441" i="17"/>
  <c r="F440" i="17"/>
  <c r="F439" i="17"/>
  <c r="F438" i="17"/>
  <c r="F437" i="17"/>
  <c r="F436" i="17"/>
  <c r="F435" i="17"/>
  <c r="F434" i="17"/>
  <c r="F433" i="17"/>
  <c r="F432" i="17"/>
  <c r="F431" i="17"/>
  <c r="F430" i="17"/>
  <c r="F429" i="17"/>
  <c r="F428" i="17"/>
  <c r="F427" i="17"/>
  <c r="F426" i="17"/>
  <c r="F425" i="17"/>
  <c r="F424" i="17"/>
  <c r="F423" i="17"/>
  <c r="F422" i="17"/>
  <c r="F421" i="17"/>
  <c r="F420" i="17"/>
  <c r="F419" i="17"/>
  <c r="F418" i="17"/>
  <c r="F417" i="17"/>
  <c r="F416" i="17"/>
  <c r="F415" i="17"/>
  <c r="F414" i="17"/>
  <c r="F413" i="17"/>
  <c r="F412" i="17"/>
  <c r="F411" i="17"/>
  <c r="F410" i="17"/>
  <c r="F409" i="17"/>
  <c r="F408" i="17"/>
  <c r="F407" i="17"/>
  <c r="F406" i="17"/>
  <c r="F405" i="17"/>
  <c r="F404" i="17"/>
  <c r="F403" i="17"/>
  <c r="F402" i="17"/>
  <c r="F401" i="17"/>
  <c r="F400" i="17"/>
  <c r="F399" i="17"/>
  <c r="F398" i="17"/>
  <c r="F397" i="17"/>
  <c r="F396" i="17"/>
  <c r="F395" i="17"/>
  <c r="F394" i="17"/>
  <c r="F393" i="17"/>
  <c r="F392" i="17"/>
  <c r="F391" i="17"/>
  <c r="F390" i="17"/>
  <c r="F389" i="17"/>
  <c r="F388" i="17"/>
  <c r="F387" i="17"/>
  <c r="F386" i="17"/>
  <c r="F368" i="17"/>
  <c r="F367" i="17"/>
  <c r="F366" i="17"/>
  <c r="F365" i="17"/>
  <c r="F364" i="17"/>
  <c r="F362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2" i="17"/>
  <c r="F221" i="17"/>
  <c r="F220" i="17"/>
  <c r="F219" i="17"/>
  <c r="F218" i="17"/>
  <c r="F216" i="17"/>
  <c r="F215" i="17"/>
  <c r="F214" i="17"/>
  <c r="F213" i="17"/>
  <c r="F212" i="17"/>
  <c r="F211" i="17"/>
  <c r="F210" i="17"/>
  <c r="F209" i="17"/>
  <c r="F208" i="17"/>
  <c r="F207" i="17"/>
  <c r="F206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F176" i="17"/>
  <c r="F175" i="17"/>
  <c r="F174" i="17"/>
  <c r="F173" i="17"/>
  <c r="F172" i="17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J3640" i="1"/>
  <c r="G3640" i="1"/>
  <c r="J3639" i="1"/>
  <c r="G3639" i="1"/>
  <c r="J3638" i="1"/>
  <c r="G3638" i="1"/>
  <c r="J3637" i="1"/>
  <c r="G3637" i="1"/>
  <c r="J3636" i="1"/>
  <c r="G3636" i="1"/>
  <c r="J3635" i="1"/>
  <c r="G3635" i="1"/>
  <c r="J3634" i="1"/>
  <c r="G3634" i="1"/>
  <c r="J3633" i="1"/>
  <c r="G3633" i="1"/>
  <c r="J3632" i="1"/>
  <c r="G3632" i="1"/>
  <c r="J3631" i="1"/>
  <c r="G3631" i="1"/>
  <c r="J3630" i="1"/>
  <c r="G3630" i="1"/>
  <c r="J3629" i="1"/>
  <c r="G3629" i="1"/>
  <c r="J3628" i="1"/>
  <c r="G3628" i="1"/>
  <c r="J3627" i="1"/>
  <c r="G3627" i="1"/>
  <c r="J3626" i="1"/>
  <c r="G3626" i="1"/>
  <c r="J3625" i="1"/>
  <c r="G3625" i="1"/>
  <c r="J3624" i="1"/>
  <c r="G3624" i="1"/>
  <c r="J3623" i="1"/>
  <c r="G3623" i="1"/>
  <c r="J3622" i="1"/>
  <c r="G3622" i="1"/>
  <c r="J3621" i="1"/>
  <c r="G3621" i="1"/>
  <c r="J3620" i="1"/>
  <c r="G3620" i="1"/>
  <c r="J3619" i="1"/>
  <c r="G3619" i="1"/>
  <c r="J3618" i="1"/>
  <c r="G3618" i="1"/>
  <c r="J3617" i="1"/>
  <c r="G3617" i="1"/>
  <c r="J3616" i="1"/>
  <c r="G3616" i="1"/>
  <c r="J3615" i="1"/>
  <c r="G3615" i="1"/>
  <c r="J3614" i="1"/>
  <c r="G3614" i="1"/>
  <c r="J3613" i="1"/>
  <c r="G3613" i="1"/>
  <c r="J3612" i="1"/>
  <c r="G3612" i="1"/>
  <c r="J3611" i="1"/>
  <c r="G3611" i="1"/>
  <c r="J3610" i="1"/>
  <c r="G3610" i="1"/>
  <c r="J3609" i="1"/>
  <c r="G3609" i="1"/>
  <c r="J3608" i="1"/>
  <c r="G3608" i="1"/>
  <c r="J3607" i="1"/>
  <c r="G3607" i="1"/>
  <c r="J3606" i="1"/>
  <c r="G3606" i="1"/>
  <c r="J3605" i="1"/>
  <c r="G3605" i="1"/>
  <c r="J3604" i="1"/>
  <c r="G3604" i="1"/>
  <c r="J3603" i="1"/>
  <c r="G3603" i="1"/>
  <c r="J3602" i="1"/>
  <c r="G3602" i="1"/>
  <c r="J3601" i="1"/>
  <c r="G3601" i="1"/>
  <c r="J3600" i="1"/>
  <c r="G3600" i="1"/>
  <c r="J3599" i="1"/>
  <c r="G3599" i="1"/>
  <c r="J3598" i="1"/>
  <c r="G3598" i="1"/>
  <c r="J3597" i="1"/>
  <c r="G3597" i="1"/>
  <c r="J3596" i="1"/>
  <c r="G3596" i="1"/>
  <c r="J3595" i="1"/>
  <c r="G3595" i="1"/>
  <c r="J3594" i="1"/>
  <c r="G3594" i="1"/>
  <c r="J3593" i="1"/>
  <c r="G3593" i="1"/>
  <c r="J3592" i="1"/>
  <c r="G3592" i="1"/>
  <c r="J3591" i="1"/>
  <c r="G3591" i="1"/>
  <c r="J3590" i="1"/>
  <c r="G3590" i="1"/>
  <c r="J3589" i="1"/>
  <c r="G3589" i="1"/>
  <c r="J3588" i="1"/>
  <c r="G3588" i="1"/>
  <c r="J3587" i="1"/>
  <c r="G3587" i="1"/>
  <c r="J3586" i="1"/>
  <c r="G3586" i="1"/>
  <c r="J3585" i="1"/>
  <c r="G3585" i="1"/>
  <c r="J3584" i="1"/>
  <c r="G3584" i="1"/>
  <c r="J3583" i="1"/>
  <c r="G3583" i="1"/>
  <c r="J3582" i="1"/>
  <c r="G3582" i="1"/>
  <c r="J3581" i="1"/>
  <c r="G3581" i="1"/>
  <c r="J3580" i="1"/>
  <c r="G3580" i="1"/>
  <c r="J3579" i="1"/>
  <c r="G3579" i="1"/>
  <c r="J3578" i="1"/>
  <c r="G3578" i="1"/>
  <c r="J3577" i="1"/>
  <c r="G3577" i="1"/>
  <c r="J3576" i="1"/>
  <c r="G3576" i="1"/>
  <c r="J3575" i="1"/>
  <c r="G3575" i="1"/>
  <c r="J3574" i="1"/>
  <c r="G3574" i="1"/>
  <c r="J3573" i="1"/>
  <c r="G3573" i="1"/>
  <c r="J3572" i="1"/>
  <c r="G3572" i="1"/>
  <c r="J3571" i="1"/>
  <c r="G3571" i="1"/>
  <c r="J3570" i="1"/>
  <c r="G3570" i="1"/>
  <c r="J3569" i="1"/>
  <c r="G3569" i="1"/>
  <c r="J3568" i="1"/>
  <c r="G3568" i="1"/>
  <c r="J3567" i="1"/>
  <c r="G3567" i="1"/>
  <c r="J3566" i="1"/>
  <c r="G3566" i="1"/>
  <c r="J3565" i="1"/>
  <c r="G3565" i="1"/>
  <c r="J3564" i="1"/>
  <c r="G3564" i="1"/>
  <c r="J3563" i="1"/>
  <c r="G3563" i="1"/>
  <c r="J3562" i="1"/>
  <c r="G3562" i="1"/>
  <c r="J3561" i="1"/>
  <c r="G3561" i="1"/>
  <c r="J3560" i="1"/>
  <c r="G3560" i="1"/>
  <c r="J3559" i="1"/>
  <c r="G3559" i="1"/>
  <c r="J3558" i="1"/>
  <c r="G3558" i="1"/>
  <c r="J3557" i="1"/>
  <c r="G3557" i="1"/>
  <c r="J3556" i="1"/>
  <c r="G3556" i="1"/>
  <c r="J3555" i="1"/>
  <c r="G3555" i="1"/>
  <c r="J3554" i="1"/>
  <c r="G3554" i="1"/>
  <c r="J3553" i="1"/>
  <c r="G3553" i="1"/>
  <c r="J3552" i="1"/>
  <c r="G3552" i="1"/>
  <c r="J3551" i="1"/>
  <c r="G3551" i="1"/>
  <c r="J3550" i="1"/>
  <c r="G3550" i="1"/>
  <c r="J3549" i="1"/>
  <c r="G3549" i="1"/>
  <c r="J3548" i="1"/>
  <c r="G3548" i="1"/>
  <c r="J3547" i="1"/>
  <c r="G3547" i="1"/>
  <c r="J3546" i="1"/>
  <c r="G3546" i="1"/>
  <c r="J3545" i="1"/>
  <c r="G3545" i="1"/>
  <c r="J3544" i="1"/>
  <c r="G3544" i="1"/>
  <c r="J3543" i="1"/>
  <c r="G3543" i="1"/>
  <c r="J3542" i="1"/>
  <c r="G3542" i="1"/>
  <c r="J3541" i="1"/>
  <c r="G3541" i="1"/>
  <c r="J3540" i="1"/>
  <c r="G3540" i="1"/>
  <c r="J3539" i="1"/>
  <c r="G3539" i="1"/>
  <c r="J3538" i="1"/>
  <c r="G3538" i="1"/>
  <c r="J3537" i="1"/>
  <c r="G3537" i="1"/>
  <c r="J3536" i="1"/>
  <c r="G3536" i="1"/>
  <c r="J3535" i="1"/>
  <c r="G3535" i="1"/>
  <c r="J3534" i="1"/>
  <c r="G3534" i="1"/>
  <c r="J3533" i="1"/>
  <c r="G3533" i="1"/>
  <c r="J3532" i="1"/>
  <c r="G3532" i="1"/>
  <c r="J3531" i="1"/>
  <c r="G3531" i="1"/>
  <c r="J3530" i="1"/>
  <c r="G3530" i="1"/>
  <c r="J3529" i="1"/>
  <c r="G3529" i="1"/>
  <c r="J3528" i="1"/>
  <c r="G3528" i="1"/>
  <c r="J3527" i="1"/>
  <c r="G3527" i="1"/>
  <c r="J3526" i="1"/>
  <c r="G3526" i="1"/>
  <c r="J3525" i="1"/>
  <c r="G3525" i="1"/>
  <c r="J3524" i="1"/>
  <c r="G3524" i="1"/>
  <c r="J3523" i="1"/>
  <c r="G3523" i="1"/>
  <c r="J3522" i="1"/>
  <c r="G3522" i="1"/>
  <c r="J3521" i="1"/>
  <c r="G3521" i="1"/>
  <c r="J3520" i="1"/>
  <c r="G3520" i="1"/>
  <c r="J3519" i="1"/>
  <c r="G3519" i="1"/>
  <c r="J3518" i="1"/>
  <c r="G3518" i="1"/>
  <c r="J3517" i="1"/>
  <c r="G3517" i="1"/>
  <c r="J3516" i="1"/>
  <c r="G3516" i="1"/>
  <c r="J3515" i="1"/>
  <c r="G3515" i="1"/>
  <c r="J3514" i="1"/>
  <c r="G3514" i="1"/>
  <c r="J3513" i="1"/>
  <c r="G3513" i="1"/>
  <c r="J3512" i="1"/>
  <c r="G3512" i="1"/>
  <c r="J3511" i="1"/>
  <c r="G3511" i="1"/>
  <c r="J3510" i="1"/>
  <c r="G3510" i="1"/>
  <c r="J3509" i="1"/>
  <c r="G3509" i="1"/>
  <c r="J3508" i="1"/>
  <c r="G3508" i="1"/>
  <c r="J3507" i="1"/>
  <c r="G3507" i="1"/>
  <c r="J3506" i="1"/>
  <c r="G3506" i="1"/>
  <c r="J3505" i="1"/>
  <c r="G3505" i="1"/>
  <c r="J3504" i="1"/>
  <c r="G3504" i="1"/>
  <c r="J3503" i="1"/>
  <c r="G3503" i="1"/>
  <c r="J3502" i="1"/>
  <c r="G3502" i="1"/>
  <c r="J3501" i="1"/>
  <c r="G3501" i="1"/>
  <c r="J3500" i="1"/>
  <c r="G3500" i="1"/>
  <c r="J3499" i="1"/>
  <c r="G3499" i="1"/>
  <c r="J3498" i="1"/>
  <c r="G3498" i="1"/>
  <c r="J3497" i="1"/>
  <c r="G3497" i="1"/>
  <c r="J3496" i="1"/>
  <c r="G3496" i="1"/>
  <c r="J3495" i="1"/>
  <c r="G3495" i="1"/>
  <c r="J3494" i="1"/>
  <c r="G3494" i="1"/>
  <c r="J3493" i="1"/>
  <c r="G3493" i="1"/>
  <c r="J3492" i="1"/>
  <c r="G3492" i="1"/>
  <c r="J3491" i="1"/>
  <c r="G3491" i="1"/>
  <c r="J3490" i="1"/>
  <c r="G3490" i="1"/>
  <c r="J3489" i="1"/>
  <c r="G3489" i="1"/>
  <c r="J3488" i="1"/>
  <c r="G3488" i="1"/>
  <c r="J3487" i="1"/>
  <c r="G3487" i="1"/>
  <c r="J3486" i="1"/>
  <c r="G3486" i="1"/>
  <c r="J3485" i="1"/>
  <c r="G3485" i="1"/>
  <c r="J3484" i="1"/>
  <c r="G3484" i="1"/>
  <c r="J3483" i="1"/>
  <c r="G3483" i="1"/>
  <c r="J3482" i="1"/>
  <c r="G3482" i="1"/>
  <c r="J3481" i="1"/>
  <c r="G3481" i="1"/>
  <c r="J3480" i="1"/>
  <c r="G3480" i="1"/>
  <c r="J3479" i="1"/>
  <c r="G3479" i="1"/>
  <c r="J3478" i="1"/>
  <c r="G3478" i="1"/>
  <c r="J3477" i="1"/>
  <c r="G3477" i="1"/>
  <c r="J3476" i="1"/>
  <c r="G3476" i="1"/>
  <c r="J3475" i="1"/>
  <c r="G3475" i="1"/>
  <c r="J3474" i="1"/>
  <c r="G3474" i="1"/>
  <c r="J3473" i="1"/>
  <c r="G3473" i="1"/>
  <c r="J3472" i="1"/>
  <c r="G3472" i="1"/>
  <c r="J3471" i="1"/>
  <c r="G3471" i="1"/>
  <c r="J3470" i="1"/>
  <c r="G3470" i="1"/>
  <c r="J3469" i="1"/>
  <c r="G3469" i="1"/>
  <c r="J3468" i="1"/>
  <c r="G3468" i="1"/>
  <c r="J3467" i="1"/>
  <c r="G3467" i="1"/>
  <c r="J3466" i="1"/>
  <c r="G3466" i="1"/>
  <c r="J3465" i="1"/>
  <c r="G3465" i="1"/>
  <c r="J3464" i="1"/>
  <c r="G3464" i="1"/>
  <c r="J3463" i="1"/>
  <c r="G3463" i="1"/>
  <c r="J3462" i="1"/>
  <c r="G3462" i="1"/>
  <c r="J3461" i="1"/>
  <c r="G3461" i="1"/>
  <c r="J3460" i="1"/>
  <c r="G3460" i="1"/>
  <c r="J3459" i="1"/>
  <c r="G3459" i="1"/>
  <c r="J3458" i="1"/>
  <c r="G3458" i="1"/>
  <c r="J3457" i="1"/>
  <c r="G3457" i="1"/>
  <c r="J3456" i="1"/>
  <c r="G3456" i="1"/>
  <c r="J3455" i="1"/>
  <c r="G3455" i="1"/>
  <c r="J3454" i="1"/>
  <c r="G3454" i="1"/>
  <c r="J3453" i="1"/>
  <c r="G3453" i="1"/>
  <c r="J3452" i="1"/>
  <c r="G3452" i="1"/>
  <c r="J3451" i="1"/>
  <c r="G3451" i="1"/>
  <c r="J3450" i="1"/>
  <c r="G3450" i="1"/>
  <c r="J3449" i="1"/>
  <c r="G3449" i="1"/>
  <c r="J3448" i="1"/>
  <c r="G3448" i="1"/>
  <c r="J3447" i="1"/>
  <c r="G3447" i="1"/>
  <c r="J3446" i="1"/>
  <c r="G3446" i="1"/>
  <c r="J3445" i="1"/>
  <c r="G3445" i="1"/>
  <c r="J3444" i="1"/>
  <c r="G3444" i="1"/>
  <c r="J3443" i="1"/>
  <c r="G3443" i="1"/>
  <c r="J3442" i="1"/>
  <c r="G3442" i="1"/>
  <c r="J3441" i="1"/>
  <c r="G3441" i="1"/>
  <c r="J3440" i="1"/>
  <c r="G3440" i="1"/>
  <c r="J3439" i="1"/>
  <c r="G3439" i="1"/>
  <c r="J3438" i="1"/>
  <c r="G3438" i="1"/>
  <c r="J3437" i="1"/>
  <c r="G3437" i="1"/>
  <c r="J3436" i="1"/>
  <c r="G3436" i="1"/>
  <c r="J3435" i="1"/>
  <c r="G3435" i="1"/>
  <c r="J3434" i="1"/>
  <c r="G3434" i="1"/>
  <c r="J3433" i="1"/>
  <c r="G3433" i="1"/>
  <c r="J3432" i="1"/>
  <c r="G3432" i="1"/>
  <c r="J3431" i="1"/>
  <c r="G3431" i="1"/>
  <c r="J3430" i="1"/>
  <c r="G3430" i="1"/>
  <c r="J3429" i="1"/>
  <c r="G3429" i="1"/>
  <c r="J3428" i="1"/>
  <c r="G3428" i="1"/>
  <c r="J3427" i="1"/>
  <c r="G3427" i="1"/>
  <c r="J3426" i="1"/>
  <c r="G3426" i="1"/>
  <c r="J3425" i="1"/>
  <c r="G3425" i="1"/>
  <c r="J3424" i="1"/>
  <c r="G3424" i="1"/>
  <c r="J3423" i="1"/>
  <c r="G3423" i="1"/>
  <c r="J3422" i="1"/>
  <c r="G3422" i="1"/>
  <c r="J3421" i="1"/>
  <c r="G3421" i="1"/>
  <c r="J3420" i="1"/>
  <c r="G3420" i="1"/>
  <c r="J3419" i="1"/>
  <c r="G3419" i="1"/>
  <c r="J3418" i="1"/>
  <c r="G3418" i="1"/>
  <c r="J3417" i="1"/>
  <c r="G3417" i="1"/>
  <c r="J3416" i="1"/>
  <c r="G3416" i="1"/>
  <c r="J3415" i="1"/>
  <c r="G3415" i="1"/>
  <c r="J3414" i="1"/>
  <c r="G3414" i="1"/>
  <c r="J3413" i="1"/>
  <c r="G3413" i="1"/>
  <c r="J3412" i="1"/>
  <c r="G3412" i="1"/>
  <c r="J3411" i="1"/>
  <c r="G3411" i="1"/>
  <c r="J3410" i="1"/>
  <c r="G3410" i="1"/>
  <c r="J3409" i="1"/>
  <c r="G3409" i="1"/>
  <c r="J3408" i="1"/>
  <c r="G3408" i="1"/>
  <c r="J3407" i="1"/>
  <c r="G3407" i="1"/>
  <c r="J3406" i="1"/>
  <c r="G3406" i="1"/>
  <c r="J3405" i="1"/>
  <c r="G3405" i="1"/>
  <c r="J3404" i="1"/>
  <c r="G3404" i="1"/>
  <c r="J3403" i="1"/>
  <c r="G3403" i="1"/>
  <c r="J3402" i="1"/>
  <c r="G3402" i="1"/>
  <c r="J3401" i="1"/>
  <c r="G3401" i="1"/>
  <c r="J3400" i="1"/>
  <c r="G3400" i="1"/>
  <c r="J3399" i="1"/>
  <c r="G3399" i="1"/>
  <c r="J3398" i="1"/>
  <c r="G3398" i="1"/>
  <c r="J3397" i="1"/>
  <c r="G3397" i="1"/>
  <c r="J3396" i="1"/>
  <c r="G3396" i="1"/>
  <c r="J3395" i="1"/>
  <c r="G3395" i="1"/>
  <c r="J3394" i="1"/>
  <c r="G3394" i="1"/>
  <c r="J3393" i="1"/>
  <c r="G3393" i="1"/>
  <c r="J3392" i="1"/>
  <c r="G3392" i="1"/>
  <c r="J3391" i="1"/>
  <c r="G3391" i="1"/>
  <c r="J3390" i="1"/>
  <c r="G3390" i="1"/>
  <c r="J3389" i="1"/>
  <c r="G3389" i="1"/>
  <c r="J3388" i="1"/>
  <c r="G3388" i="1"/>
  <c r="J3387" i="1"/>
  <c r="G3387" i="1"/>
  <c r="J3386" i="1"/>
  <c r="G3386" i="1"/>
  <c r="J3385" i="1"/>
  <c r="G3385" i="1"/>
  <c r="J3384" i="1"/>
  <c r="G3384" i="1"/>
  <c r="J3383" i="1"/>
  <c r="G3383" i="1"/>
  <c r="J3382" i="1"/>
  <c r="G3382" i="1"/>
  <c r="J3381" i="1"/>
  <c r="G3381" i="1"/>
  <c r="J3380" i="1"/>
  <c r="G3380" i="1"/>
  <c r="J3379" i="1"/>
  <c r="G3379" i="1"/>
  <c r="J3378" i="1"/>
  <c r="G3378" i="1"/>
  <c r="J3377" i="1"/>
  <c r="G3377" i="1"/>
  <c r="J3376" i="1"/>
  <c r="G3376" i="1"/>
  <c r="J3375" i="1"/>
  <c r="G3375" i="1"/>
  <c r="J3374" i="1"/>
  <c r="G3374" i="1"/>
  <c r="J3373" i="1"/>
  <c r="G3373" i="1"/>
  <c r="J3372" i="1"/>
  <c r="G3372" i="1"/>
  <c r="J3371" i="1"/>
  <c r="G3371" i="1"/>
  <c r="J3370" i="1"/>
  <c r="G3370" i="1"/>
  <c r="J3369" i="1"/>
  <c r="G3369" i="1"/>
  <c r="J3368" i="1"/>
  <c r="G3368" i="1"/>
  <c r="J3367" i="1"/>
  <c r="G3367" i="1"/>
  <c r="J3366" i="1"/>
  <c r="G3366" i="1"/>
  <c r="J3365" i="1"/>
  <c r="G3365" i="1"/>
  <c r="J3364" i="1"/>
  <c r="G3364" i="1"/>
  <c r="J3363" i="1"/>
  <c r="G3363" i="1"/>
  <c r="J3362" i="1"/>
  <c r="G3362" i="1"/>
  <c r="J3361" i="1"/>
  <c r="G3361" i="1"/>
  <c r="J3360" i="1"/>
  <c r="G3360" i="1"/>
  <c r="J3359" i="1"/>
  <c r="G3359" i="1"/>
  <c r="J3358" i="1"/>
  <c r="G3358" i="1"/>
  <c r="J3357" i="1"/>
  <c r="G3357" i="1"/>
  <c r="J3356" i="1"/>
  <c r="G3356" i="1"/>
  <c r="J3355" i="1"/>
  <c r="G3355" i="1"/>
  <c r="J3354" i="1"/>
  <c r="G3354" i="1"/>
  <c r="J3353" i="1"/>
  <c r="G3353" i="1"/>
  <c r="J3352" i="1"/>
  <c r="G3352" i="1"/>
  <c r="J3351" i="1"/>
  <c r="G3351" i="1"/>
  <c r="J3350" i="1"/>
  <c r="G3350" i="1"/>
  <c r="J3349" i="1"/>
  <c r="G3349" i="1"/>
  <c r="J3348" i="1"/>
  <c r="G3348" i="1"/>
  <c r="J3347" i="1"/>
  <c r="G3347" i="1"/>
  <c r="J3346" i="1"/>
  <c r="G3346" i="1"/>
  <c r="J3345" i="1"/>
  <c r="G3345" i="1"/>
  <c r="J3344" i="1"/>
  <c r="G3344" i="1"/>
  <c r="J3343" i="1"/>
  <c r="G3343" i="1"/>
  <c r="J3342" i="1"/>
  <c r="G3342" i="1"/>
  <c r="J3341" i="1"/>
  <c r="G3341" i="1"/>
  <c r="J3340" i="1"/>
  <c r="G3340" i="1"/>
  <c r="J3339" i="1"/>
  <c r="G3339" i="1"/>
  <c r="J3338" i="1"/>
  <c r="G3338" i="1"/>
  <c r="J3337" i="1"/>
  <c r="G3337" i="1"/>
  <c r="J3336" i="1"/>
  <c r="G3336" i="1"/>
  <c r="J3335" i="1"/>
  <c r="G3335" i="1"/>
  <c r="J3334" i="1"/>
  <c r="G3334" i="1"/>
  <c r="J3333" i="1"/>
  <c r="G3333" i="1"/>
  <c r="J3332" i="1"/>
  <c r="G3332" i="1"/>
  <c r="J3331" i="1"/>
  <c r="G3331" i="1"/>
  <c r="J3330" i="1"/>
  <c r="G3330" i="1"/>
  <c r="J3329" i="1"/>
  <c r="G3329" i="1"/>
  <c r="J3328" i="1"/>
  <c r="G3328" i="1"/>
  <c r="J3327" i="1"/>
  <c r="G3327" i="1"/>
  <c r="J3326" i="1"/>
  <c r="G3326" i="1"/>
  <c r="J3325" i="1"/>
  <c r="G3325" i="1"/>
  <c r="J3324" i="1"/>
  <c r="G3324" i="1"/>
  <c r="J3323" i="1"/>
  <c r="G3323" i="1"/>
  <c r="J3322" i="1"/>
  <c r="G3322" i="1"/>
  <c r="J3321" i="1"/>
  <c r="G3321" i="1"/>
  <c r="J3320" i="1"/>
  <c r="G3320" i="1"/>
  <c r="J3319" i="1"/>
  <c r="G3319" i="1"/>
  <c r="J3318" i="1"/>
  <c r="G3318" i="1"/>
  <c r="J3317" i="1"/>
  <c r="G3317" i="1"/>
  <c r="J3316" i="1"/>
  <c r="G3316" i="1"/>
  <c r="J3315" i="1"/>
  <c r="G3315" i="1"/>
  <c r="J3314" i="1"/>
  <c r="G3314" i="1"/>
  <c r="J3313" i="1"/>
  <c r="G3313" i="1"/>
  <c r="J3312" i="1"/>
  <c r="G3312" i="1"/>
  <c r="J3311" i="1"/>
  <c r="G3311" i="1"/>
  <c r="J3310" i="1"/>
  <c r="G3310" i="1"/>
  <c r="J3309" i="1"/>
  <c r="G3309" i="1"/>
  <c r="J3308" i="1"/>
  <c r="G3308" i="1"/>
  <c r="J3307" i="1"/>
  <c r="G3307" i="1"/>
  <c r="J3306" i="1"/>
  <c r="G3306" i="1"/>
  <c r="J3305" i="1"/>
  <c r="G3305" i="1"/>
  <c r="J3304" i="1"/>
  <c r="G3304" i="1"/>
  <c r="J3303" i="1"/>
  <c r="G3303" i="1"/>
  <c r="J3302" i="1"/>
  <c r="G3302" i="1"/>
  <c r="J3301" i="1"/>
  <c r="G3301" i="1"/>
  <c r="J3300" i="1"/>
  <c r="G3300" i="1"/>
  <c r="J3299" i="1"/>
  <c r="G3299" i="1"/>
  <c r="J3298" i="1"/>
  <c r="G3298" i="1"/>
  <c r="J3297" i="1"/>
  <c r="G3297" i="1"/>
  <c r="J3296" i="1"/>
  <c r="G3296" i="1"/>
  <c r="J3295" i="1"/>
  <c r="G3295" i="1"/>
  <c r="J3294" i="1"/>
  <c r="G3294" i="1"/>
  <c r="J3293" i="1"/>
  <c r="G3293" i="1"/>
  <c r="J3292" i="1"/>
  <c r="G3292" i="1"/>
  <c r="J3291" i="1"/>
  <c r="G3291" i="1"/>
  <c r="J3290" i="1"/>
  <c r="G3290" i="1"/>
  <c r="J3289" i="1"/>
  <c r="G3289" i="1"/>
  <c r="J3288" i="1"/>
  <c r="G3288" i="1"/>
  <c r="J3287" i="1"/>
  <c r="G3287" i="1"/>
  <c r="J3286" i="1"/>
  <c r="G3286" i="1"/>
  <c r="J3285" i="1"/>
  <c r="G3285" i="1"/>
  <c r="J3284" i="1"/>
  <c r="G3284" i="1"/>
  <c r="J3283" i="1"/>
  <c r="G3283" i="1"/>
  <c r="J3282" i="1"/>
  <c r="G3282" i="1"/>
  <c r="J3281" i="1"/>
  <c r="G3281" i="1"/>
  <c r="J3280" i="1"/>
  <c r="G3280" i="1"/>
  <c r="J3279" i="1"/>
  <c r="G3279" i="1"/>
  <c r="J3278" i="1"/>
  <c r="G3278" i="1"/>
  <c r="J3277" i="1"/>
  <c r="G3277" i="1"/>
  <c r="J3276" i="1"/>
  <c r="G3276" i="1"/>
  <c r="J3275" i="1"/>
  <c r="G3275" i="1"/>
  <c r="J3274" i="1"/>
  <c r="G3274" i="1"/>
  <c r="J3273" i="1"/>
  <c r="G3273" i="1"/>
  <c r="J3272" i="1"/>
  <c r="G3272" i="1"/>
  <c r="J3271" i="1"/>
  <c r="G3271" i="1"/>
  <c r="J3270" i="1"/>
  <c r="G3270" i="1"/>
  <c r="J3269" i="1"/>
  <c r="G3269" i="1"/>
  <c r="J3268" i="1"/>
  <c r="G3268" i="1"/>
  <c r="J3267" i="1"/>
  <c r="G3267" i="1"/>
  <c r="J3266" i="1"/>
  <c r="G3266" i="1"/>
  <c r="J3265" i="1"/>
  <c r="G3265" i="1"/>
  <c r="J3264" i="1"/>
  <c r="G3264" i="1"/>
  <c r="J3263" i="1"/>
  <c r="G3263" i="1"/>
  <c r="J3262" i="1"/>
  <c r="G3262" i="1"/>
  <c r="J3261" i="1"/>
  <c r="G3261" i="1"/>
  <c r="J3260" i="1"/>
  <c r="G3260" i="1"/>
  <c r="J3259" i="1"/>
  <c r="G3259" i="1"/>
  <c r="J3258" i="1"/>
  <c r="G3258" i="1"/>
  <c r="J3257" i="1"/>
  <c r="G3257" i="1"/>
  <c r="J3256" i="1"/>
  <c r="G3256" i="1"/>
  <c r="J3255" i="1"/>
  <c r="G3255" i="1"/>
  <c r="J3254" i="1"/>
  <c r="G3254" i="1"/>
  <c r="J3253" i="1"/>
  <c r="G3253" i="1"/>
  <c r="J3252" i="1"/>
  <c r="G3252" i="1"/>
  <c r="J3251" i="1"/>
  <c r="G3251" i="1"/>
  <c r="J3250" i="1"/>
  <c r="G3250" i="1"/>
  <c r="J3249" i="1"/>
  <c r="G3249" i="1"/>
  <c r="J3248" i="1"/>
  <c r="G3248" i="1"/>
  <c r="J3247" i="1"/>
  <c r="G3247" i="1"/>
  <c r="J3246" i="1"/>
  <c r="G3246" i="1"/>
  <c r="J3245" i="1"/>
  <c r="G3245" i="1"/>
  <c r="J3244" i="1"/>
  <c r="G3244" i="1"/>
  <c r="J3243" i="1"/>
  <c r="G3243" i="1"/>
  <c r="J3242" i="1"/>
  <c r="G3242" i="1"/>
  <c r="J3241" i="1"/>
  <c r="G3241" i="1"/>
  <c r="J3240" i="1"/>
  <c r="G3240" i="1"/>
  <c r="J3239" i="1"/>
  <c r="G3239" i="1"/>
  <c r="J3238" i="1"/>
  <c r="G3238" i="1"/>
  <c r="J3237" i="1"/>
  <c r="G3237" i="1"/>
  <c r="J3236" i="1"/>
  <c r="G3236" i="1"/>
  <c r="J3235" i="1"/>
  <c r="G3235" i="1"/>
  <c r="J3234" i="1"/>
  <c r="G3234" i="1"/>
  <c r="J3233" i="1"/>
  <c r="G3233" i="1"/>
  <c r="J3232" i="1"/>
  <c r="G3232" i="1"/>
  <c r="J3231" i="1"/>
  <c r="G3231" i="1"/>
  <c r="J3230" i="1"/>
  <c r="G3230" i="1"/>
  <c r="J3229" i="1"/>
  <c r="G3229" i="1"/>
  <c r="J3228" i="1"/>
  <c r="G3228" i="1"/>
  <c r="J3227" i="1"/>
  <c r="G3227" i="1"/>
  <c r="J3226" i="1"/>
  <c r="G3226" i="1"/>
  <c r="J3225" i="1"/>
  <c r="G3225" i="1"/>
  <c r="J3224" i="1"/>
  <c r="G3224" i="1"/>
  <c r="J3223" i="1"/>
  <c r="G3223" i="1"/>
  <c r="J3222" i="1"/>
  <c r="G3222" i="1"/>
  <c r="J3221" i="1"/>
  <c r="G3221" i="1"/>
  <c r="J3220" i="1"/>
  <c r="G3220" i="1"/>
  <c r="J3219" i="1"/>
  <c r="G3219" i="1"/>
  <c r="J3218" i="1"/>
  <c r="G3218" i="1"/>
  <c r="J3217" i="1"/>
  <c r="G3217" i="1"/>
  <c r="J3216" i="1"/>
  <c r="G3216" i="1"/>
  <c r="J3215" i="1"/>
  <c r="G3215" i="1"/>
  <c r="J3214" i="1"/>
  <c r="G3214" i="1"/>
  <c r="J3213" i="1"/>
  <c r="G3213" i="1"/>
  <c r="J3212" i="1"/>
  <c r="G3212" i="1"/>
  <c r="J3211" i="1"/>
  <c r="G3211" i="1"/>
  <c r="J3210" i="1"/>
  <c r="G3210" i="1"/>
  <c r="J3209" i="1"/>
  <c r="G3209" i="1"/>
  <c r="J3208" i="1"/>
  <c r="G3208" i="1"/>
  <c r="J3207" i="1"/>
  <c r="G3207" i="1"/>
  <c r="J3206" i="1"/>
  <c r="G3206" i="1"/>
  <c r="J3205" i="1"/>
  <c r="G3205" i="1"/>
  <c r="J3204" i="1"/>
  <c r="G3204" i="1"/>
  <c r="J3203" i="1"/>
  <c r="G3203" i="1"/>
  <c r="J3202" i="1"/>
  <c r="G3202" i="1"/>
  <c r="J3201" i="1"/>
  <c r="G3201" i="1"/>
  <c r="J3200" i="1"/>
  <c r="G3200" i="1"/>
  <c r="J3199" i="1"/>
  <c r="G3199" i="1"/>
  <c r="J3198" i="1"/>
  <c r="G3198" i="1"/>
  <c r="J3197" i="1"/>
  <c r="G3197" i="1"/>
  <c r="J3196" i="1"/>
  <c r="G3196" i="1"/>
  <c r="J3195" i="1"/>
  <c r="G3195" i="1"/>
  <c r="J3194" i="1"/>
  <c r="G3194" i="1"/>
  <c r="J3193" i="1"/>
  <c r="G3193" i="1"/>
  <c r="J3192" i="1"/>
  <c r="G3192" i="1"/>
  <c r="J3191" i="1"/>
  <c r="G3191" i="1"/>
  <c r="J3190" i="1"/>
  <c r="G3190" i="1"/>
  <c r="J3189" i="1"/>
  <c r="G3189" i="1"/>
  <c r="J3188" i="1"/>
  <c r="G3188" i="1"/>
  <c r="J3187" i="1"/>
  <c r="G3187" i="1"/>
  <c r="J3186" i="1"/>
  <c r="G3186" i="1"/>
  <c r="J3185" i="1"/>
  <c r="G3185" i="1"/>
  <c r="J3184" i="1"/>
  <c r="G3184" i="1"/>
  <c r="J3183" i="1"/>
  <c r="G3183" i="1"/>
  <c r="J3182" i="1"/>
  <c r="G3182" i="1"/>
  <c r="J3181" i="1"/>
  <c r="G3181" i="1"/>
  <c r="J3180" i="1"/>
  <c r="G3180" i="1"/>
  <c r="J3179" i="1"/>
  <c r="G3179" i="1"/>
  <c r="J3178" i="1"/>
  <c r="G3178" i="1"/>
  <c r="J3177" i="1"/>
  <c r="G3177" i="1"/>
  <c r="J3176" i="1"/>
  <c r="G3176" i="1"/>
  <c r="J3175" i="1"/>
  <c r="G3175" i="1"/>
  <c r="J3174" i="1"/>
  <c r="G3174" i="1"/>
  <c r="J3173" i="1"/>
  <c r="G3173" i="1"/>
  <c r="J3172" i="1"/>
  <c r="G3172" i="1"/>
  <c r="J3171" i="1"/>
  <c r="G3171" i="1"/>
  <c r="J3170" i="1"/>
  <c r="G3170" i="1"/>
  <c r="J3169" i="1"/>
  <c r="G3169" i="1"/>
  <c r="J3168" i="1"/>
  <c r="G3168" i="1"/>
  <c r="J3167" i="1"/>
  <c r="G3167" i="1"/>
  <c r="J3166" i="1"/>
  <c r="G3166" i="1"/>
  <c r="J3165" i="1"/>
  <c r="G3165" i="1"/>
  <c r="J3164" i="1"/>
  <c r="G3164" i="1"/>
  <c r="J3163" i="1"/>
  <c r="G3163" i="1"/>
  <c r="J3162" i="1"/>
  <c r="G3162" i="1"/>
  <c r="J3161" i="1"/>
  <c r="G3161" i="1"/>
  <c r="J3160" i="1"/>
  <c r="G3160" i="1"/>
  <c r="J3159" i="1"/>
  <c r="G3159" i="1"/>
  <c r="J3158" i="1"/>
  <c r="G3158" i="1"/>
  <c r="J3157" i="1"/>
  <c r="G3157" i="1"/>
  <c r="J3156" i="1"/>
  <c r="G3156" i="1"/>
  <c r="J3155" i="1"/>
  <c r="G3155" i="1"/>
  <c r="J3154" i="1"/>
  <c r="G3154" i="1"/>
  <c r="J3153" i="1"/>
  <c r="G3153" i="1"/>
  <c r="J3152" i="1"/>
  <c r="G3152" i="1"/>
  <c r="J3151" i="1"/>
  <c r="G3151" i="1"/>
  <c r="J3150" i="1"/>
  <c r="G3150" i="1"/>
  <c r="J3149" i="1"/>
  <c r="G3149" i="1"/>
  <c r="J3148" i="1"/>
  <c r="G3148" i="1"/>
  <c r="J3147" i="1"/>
  <c r="G3147" i="1"/>
  <c r="J3146" i="1"/>
  <c r="G3146" i="1"/>
  <c r="J3145" i="1"/>
  <c r="G3145" i="1"/>
  <c r="J3144" i="1"/>
  <c r="G3144" i="1"/>
  <c r="J3143" i="1"/>
  <c r="G3143" i="1"/>
  <c r="J3142" i="1"/>
  <c r="G3142" i="1"/>
  <c r="J3141" i="1"/>
  <c r="G3141" i="1"/>
  <c r="J3140" i="1"/>
  <c r="G3140" i="1"/>
  <c r="J3139" i="1"/>
  <c r="G3139" i="1"/>
  <c r="J3138" i="1"/>
  <c r="G3138" i="1"/>
  <c r="J3137" i="1"/>
  <c r="G3137" i="1"/>
  <c r="J3136" i="1"/>
  <c r="G3136" i="1"/>
  <c r="J3135" i="1"/>
  <c r="G3135" i="1"/>
  <c r="J3134" i="1"/>
  <c r="G3134" i="1"/>
  <c r="J3133" i="1"/>
  <c r="G3133" i="1"/>
  <c r="J3132" i="1"/>
  <c r="G3132" i="1"/>
  <c r="J3131" i="1"/>
  <c r="G3131" i="1"/>
  <c r="J3130" i="1"/>
  <c r="G3130" i="1"/>
  <c r="J3129" i="1"/>
  <c r="G3129" i="1"/>
  <c r="J3128" i="1"/>
  <c r="G3128" i="1"/>
  <c r="J3127" i="1"/>
  <c r="G3127" i="1"/>
  <c r="J3126" i="1"/>
  <c r="G3126" i="1"/>
  <c r="J3125" i="1"/>
  <c r="G3125" i="1"/>
  <c r="J3124" i="1"/>
  <c r="G3124" i="1"/>
  <c r="J3123" i="1"/>
  <c r="G3123" i="1"/>
  <c r="J3122" i="1"/>
  <c r="G3122" i="1"/>
  <c r="J3121" i="1"/>
  <c r="G3121" i="1"/>
  <c r="J3120" i="1"/>
  <c r="G3120" i="1"/>
  <c r="J3119" i="1"/>
  <c r="G3119" i="1"/>
  <c r="J3118" i="1"/>
  <c r="G3118" i="1"/>
  <c r="J3117" i="1"/>
  <c r="G3117" i="1"/>
  <c r="J3116" i="1"/>
  <c r="G3116" i="1"/>
  <c r="J3115" i="1"/>
  <c r="G3115" i="1"/>
  <c r="J3114" i="1"/>
  <c r="G3114" i="1"/>
  <c r="J3113" i="1"/>
  <c r="G3113" i="1"/>
  <c r="J3112" i="1"/>
  <c r="G3112" i="1"/>
  <c r="J3111" i="1"/>
  <c r="G3111" i="1"/>
  <c r="J3110" i="1"/>
  <c r="G3110" i="1"/>
  <c r="J3109" i="1"/>
  <c r="G3109" i="1"/>
  <c r="J3108" i="1"/>
  <c r="G3108" i="1"/>
  <c r="J3107" i="1"/>
  <c r="G3107" i="1"/>
  <c r="J3106" i="1"/>
  <c r="G3106" i="1"/>
  <c r="J3105" i="1"/>
  <c r="G3105" i="1"/>
  <c r="J3104" i="1"/>
  <c r="G3104" i="1"/>
  <c r="J3103" i="1"/>
  <c r="G3103" i="1"/>
  <c r="J3102" i="1"/>
  <c r="G3102" i="1"/>
  <c r="J3101" i="1"/>
  <c r="G3101" i="1"/>
  <c r="J3100" i="1"/>
  <c r="G3100" i="1"/>
  <c r="J3099" i="1"/>
  <c r="G3099" i="1"/>
  <c r="J3098" i="1"/>
  <c r="G3098" i="1"/>
  <c r="J3097" i="1"/>
  <c r="G3097" i="1"/>
  <c r="J3096" i="1"/>
  <c r="G3096" i="1"/>
  <c r="J3095" i="1"/>
  <c r="G3095" i="1"/>
  <c r="J3094" i="1"/>
  <c r="G3094" i="1"/>
  <c r="J3093" i="1"/>
  <c r="G3093" i="1"/>
  <c r="J3092" i="1"/>
  <c r="G3092" i="1"/>
  <c r="J3091" i="1"/>
  <c r="G3091" i="1"/>
  <c r="J3090" i="1"/>
  <c r="G3090" i="1"/>
  <c r="J3089" i="1"/>
  <c r="G3089" i="1"/>
  <c r="J3088" i="1"/>
  <c r="G3088" i="1"/>
  <c r="J3087" i="1"/>
  <c r="G3087" i="1"/>
  <c r="J3086" i="1"/>
  <c r="G3086" i="1"/>
  <c r="J3085" i="1"/>
  <c r="G3085" i="1"/>
  <c r="J3084" i="1"/>
  <c r="G3084" i="1"/>
  <c r="J3083" i="1"/>
  <c r="G3083" i="1"/>
  <c r="J3082" i="1"/>
  <c r="G3082" i="1"/>
  <c r="J3081" i="1"/>
  <c r="G3081" i="1"/>
  <c r="J3080" i="1"/>
  <c r="G3080" i="1"/>
  <c r="J3079" i="1"/>
  <c r="G3079" i="1"/>
  <c r="J3078" i="1"/>
  <c r="G3078" i="1"/>
  <c r="J3077" i="1"/>
  <c r="G3077" i="1"/>
  <c r="J3076" i="1"/>
  <c r="G3076" i="1"/>
  <c r="J3075" i="1"/>
  <c r="G3075" i="1"/>
  <c r="J3074" i="1"/>
  <c r="G3074" i="1"/>
  <c r="J3073" i="1"/>
  <c r="G3073" i="1"/>
  <c r="J3072" i="1"/>
  <c r="G3072" i="1"/>
  <c r="J3071" i="1"/>
  <c r="G3071" i="1"/>
  <c r="J3070" i="1"/>
  <c r="G3070" i="1"/>
  <c r="J3069" i="1"/>
  <c r="G3069" i="1"/>
  <c r="J3068" i="1"/>
  <c r="G3068" i="1"/>
  <c r="J3067" i="1"/>
  <c r="G3067" i="1"/>
  <c r="J3066" i="1"/>
  <c r="G3066" i="1"/>
  <c r="J3065" i="1"/>
  <c r="G3065" i="1"/>
  <c r="J3064" i="1"/>
  <c r="G3064" i="1"/>
  <c r="J3063" i="1"/>
  <c r="G3063" i="1"/>
  <c r="J3062" i="1"/>
  <c r="G3062" i="1"/>
  <c r="J3061" i="1"/>
  <c r="G3061" i="1"/>
  <c r="J3060" i="1"/>
  <c r="G3060" i="1"/>
  <c r="J3059" i="1"/>
  <c r="G3059" i="1"/>
  <c r="J3058" i="1"/>
  <c r="G3058" i="1"/>
  <c r="J3057" i="1"/>
  <c r="G3057" i="1"/>
  <c r="J3056" i="1"/>
  <c r="G3056" i="1"/>
  <c r="J3055" i="1"/>
  <c r="G3055" i="1"/>
  <c r="J3054" i="1"/>
  <c r="G3054" i="1"/>
  <c r="J3053" i="1"/>
  <c r="G3053" i="1"/>
  <c r="J3052" i="1"/>
  <c r="G3052" i="1"/>
  <c r="J3051" i="1"/>
  <c r="G3051" i="1"/>
  <c r="J3050" i="1"/>
  <c r="G3050" i="1"/>
  <c r="J3049" i="1"/>
  <c r="G3049" i="1"/>
  <c r="J3048" i="1"/>
  <c r="G3048" i="1"/>
  <c r="J3047" i="1"/>
  <c r="G3047" i="1"/>
  <c r="J3046" i="1"/>
  <c r="G3046" i="1"/>
  <c r="J3045" i="1"/>
  <c r="G3045" i="1"/>
  <c r="J3044" i="1"/>
  <c r="G3044" i="1"/>
  <c r="J3043" i="1"/>
  <c r="G3043" i="1"/>
  <c r="J3042" i="1"/>
  <c r="G3042" i="1"/>
  <c r="J3041" i="1"/>
  <c r="G3041" i="1"/>
  <c r="J3040" i="1"/>
  <c r="G3040" i="1"/>
  <c r="J3039" i="1"/>
  <c r="G3039" i="1"/>
  <c r="J3038" i="1"/>
  <c r="G3038" i="1"/>
  <c r="J3037" i="1"/>
  <c r="G3037" i="1"/>
  <c r="J3036" i="1"/>
  <c r="G3036" i="1"/>
  <c r="J3035" i="1"/>
  <c r="G3035" i="1"/>
  <c r="J3034" i="1"/>
  <c r="G3034" i="1"/>
  <c r="J3033" i="1"/>
  <c r="G3033" i="1"/>
  <c r="J3032" i="1"/>
  <c r="G3032" i="1"/>
  <c r="J3031" i="1"/>
  <c r="G3031" i="1"/>
  <c r="J3030" i="1"/>
  <c r="G3030" i="1"/>
  <c r="J3029" i="1"/>
  <c r="G3029" i="1"/>
  <c r="J3028" i="1"/>
  <c r="G3028" i="1"/>
  <c r="J3027" i="1"/>
  <c r="G3027" i="1"/>
  <c r="J3026" i="1"/>
  <c r="G3026" i="1"/>
  <c r="J3025" i="1"/>
  <c r="G3025" i="1"/>
  <c r="J3024" i="1"/>
  <c r="G3024" i="1"/>
  <c r="J3023" i="1"/>
  <c r="G3023" i="1"/>
  <c r="J3022" i="1"/>
  <c r="G3022" i="1"/>
  <c r="J3021" i="1"/>
  <c r="G3021" i="1"/>
  <c r="J3020" i="1"/>
  <c r="G3020" i="1"/>
  <c r="J3019" i="1"/>
  <c r="G3019" i="1"/>
  <c r="J3018" i="1"/>
  <c r="G3018" i="1"/>
  <c r="J3017" i="1"/>
  <c r="G3017" i="1"/>
  <c r="J3016" i="1"/>
  <c r="G3016" i="1"/>
  <c r="J3015" i="1"/>
  <c r="G3015" i="1"/>
  <c r="J3014" i="1"/>
  <c r="G3014" i="1"/>
  <c r="J3013" i="1"/>
  <c r="G3013" i="1"/>
  <c r="J3012" i="1"/>
  <c r="G3012" i="1"/>
  <c r="J3011" i="1"/>
  <c r="G3011" i="1"/>
  <c r="J3010" i="1"/>
  <c r="G3010" i="1"/>
  <c r="J3009" i="1"/>
  <c r="G3009" i="1"/>
  <c r="J3008" i="1"/>
  <c r="G3008" i="1"/>
  <c r="J3007" i="1"/>
  <c r="G3007" i="1"/>
  <c r="J3006" i="1"/>
  <c r="G3006" i="1"/>
  <c r="J3005" i="1"/>
  <c r="G3005" i="1"/>
  <c r="J3004" i="1"/>
  <c r="G3004" i="1"/>
  <c r="J3003" i="1"/>
  <c r="G3003" i="1"/>
  <c r="J3002" i="1"/>
  <c r="G3002" i="1"/>
  <c r="J3001" i="1"/>
  <c r="G3001" i="1"/>
  <c r="J3000" i="1"/>
  <c r="G3000" i="1"/>
  <c r="J2999" i="1"/>
  <c r="G2999" i="1"/>
  <c r="J2998" i="1"/>
  <c r="G2998" i="1"/>
  <c r="J2997" i="1"/>
  <c r="G2997" i="1"/>
  <c r="J2996" i="1"/>
  <c r="G2996" i="1"/>
  <c r="J2995" i="1"/>
  <c r="G2995" i="1"/>
  <c r="J2994" i="1"/>
  <c r="G2994" i="1"/>
  <c r="J2993" i="1"/>
  <c r="G2993" i="1"/>
  <c r="J2992" i="1"/>
  <c r="G2992" i="1"/>
  <c r="J2991" i="1"/>
  <c r="G2991" i="1"/>
  <c r="J2990" i="1"/>
  <c r="G2990" i="1"/>
  <c r="J2989" i="1"/>
  <c r="G2989" i="1"/>
  <c r="J2988" i="1"/>
  <c r="G2988" i="1"/>
  <c r="J2987" i="1"/>
  <c r="G2987" i="1"/>
  <c r="J2986" i="1"/>
  <c r="G2986" i="1"/>
  <c r="J2985" i="1"/>
  <c r="G2985" i="1"/>
  <c r="J2984" i="1"/>
  <c r="G2984" i="1"/>
  <c r="J2983" i="1"/>
  <c r="G2983" i="1"/>
  <c r="J2982" i="1"/>
  <c r="G2982" i="1"/>
  <c r="J2981" i="1"/>
  <c r="G2981" i="1"/>
  <c r="J2980" i="1"/>
  <c r="G2980" i="1"/>
  <c r="J2979" i="1"/>
  <c r="G2979" i="1"/>
  <c r="J2978" i="1"/>
  <c r="G2978" i="1"/>
  <c r="J2977" i="1"/>
  <c r="G2977" i="1"/>
  <c r="J2976" i="1"/>
  <c r="G2976" i="1"/>
  <c r="J2975" i="1"/>
  <c r="G2975" i="1"/>
  <c r="J2974" i="1"/>
  <c r="G2974" i="1"/>
  <c r="J2973" i="1"/>
  <c r="G2973" i="1"/>
  <c r="J2972" i="1"/>
  <c r="G2972" i="1"/>
  <c r="J2971" i="1"/>
  <c r="G2971" i="1"/>
  <c r="J2970" i="1"/>
  <c r="G2970" i="1"/>
  <c r="J2969" i="1"/>
  <c r="G2969" i="1"/>
  <c r="J2968" i="1"/>
  <c r="G2968" i="1"/>
  <c r="J2967" i="1"/>
  <c r="G2967" i="1"/>
  <c r="J2966" i="1"/>
  <c r="G2966" i="1"/>
  <c r="J2965" i="1"/>
  <c r="G2965" i="1"/>
  <c r="J2964" i="1"/>
  <c r="G2964" i="1"/>
  <c r="J2963" i="1"/>
  <c r="G2963" i="1"/>
  <c r="J2962" i="1"/>
  <c r="G2962" i="1"/>
  <c r="J2961" i="1"/>
  <c r="G2961" i="1"/>
  <c r="J2960" i="1"/>
  <c r="G2960" i="1"/>
  <c r="J2959" i="1"/>
  <c r="G2959" i="1"/>
  <c r="J2958" i="1"/>
  <c r="G2958" i="1"/>
  <c r="J2957" i="1"/>
  <c r="G2957" i="1"/>
  <c r="J2956" i="1"/>
  <c r="G2956" i="1"/>
  <c r="J2955" i="1"/>
  <c r="G2955" i="1"/>
  <c r="J2954" i="1"/>
  <c r="G2954" i="1"/>
  <c r="J2953" i="1"/>
  <c r="G2953" i="1"/>
  <c r="J2952" i="1"/>
  <c r="G2952" i="1"/>
  <c r="J2951" i="1"/>
  <c r="G2951" i="1"/>
  <c r="J2950" i="1"/>
  <c r="G2950" i="1"/>
  <c r="J2949" i="1"/>
  <c r="G2949" i="1"/>
  <c r="J2948" i="1"/>
  <c r="G2948" i="1"/>
  <c r="J2947" i="1"/>
  <c r="G2947" i="1"/>
  <c r="J2946" i="1"/>
  <c r="G2946" i="1"/>
  <c r="J2945" i="1"/>
  <c r="G2945" i="1"/>
  <c r="J2944" i="1"/>
  <c r="G2944" i="1"/>
  <c r="J2943" i="1"/>
  <c r="G2943" i="1"/>
  <c r="J2942" i="1"/>
  <c r="G2942" i="1"/>
  <c r="J2941" i="1"/>
  <c r="G2941" i="1"/>
  <c r="J2940" i="1"/>
  <c r="G2940" i="1"/>
  <c r="J2939" i="1"/>
  <c r="G2939" i="1"/>
  <c r="J2938" i="1"/>
  <c r="G2938" i="1"/>
  <c r="J2937" i="1"/>
  <c r="G2937" i="1"/>
  <c r="J2936" i="1"/>
  <c r="G2936" i="1"/>
  <c r="J2935" i="1"/>
  <c r="G2935" i="1"/>
  <c r="J2934" i="1"/>
  <c r="G2934" i="1"/>
  <c r="J2933" i="1"/>
  <c r="G2933" i="1"/>
  <c r="J2932" i="1"/>
  <c r="G2932" i="1"/>
  <c r="J2931" i="1"/>
  <c r="G2931" i="1"/>
  <c r="J2930" i="1"/>
  <c r="G2930" i="1"/>
  <c r="J2929" i="1"/>
  <c r="G2929" i="1"/>
  <c r="J2928" i="1"/>
  <c r="G2928" i="1"/>
  <c r="J2927" i="1"/>
  <c r="G2927" i="1"/>
  <c r="J2926" i="1"/>
  <c r="G2926" i="1"/>
  <c r="J2925" i="1"/>
  <c r="G2925" i="1"/>
  <c r="J2924" i="1"/>
  <c r="G2924" i="1"/>
  <c r="J2923" i="1"/>
  <c r="G2923" i="1"/>
  <c r="J2922" i="1"/>
  <c r="G2922" i="1"/>
  <c r="J2921" i="1"/>
  <c r="G2921" i="1"/>
  <c r="J2920" i="1"/>
  <c r="G2920" i="1"/>
  <c r="J2919" i="1"/>
  <c r="G2919" i="1"/>
  <c r="J2918" i="1"/>
  <c r="G2918" i="1"/>
  <c r="J2917" i="1"/>
  <c r="G2917" i="1"/>
  <c r="J2916" i="1"/>
  <c r="G2916" i="1"/>
  <c r="J2915" i="1"/>
  <c r="G2915" i="1"/>
  <c r="J2914" i="1"/>
  <c r="G2914" i="1"/>
  <c r="J2913" i="1"/>
  <c r="G2913" i="1"/>
  <c r="J2912" i="1"/>
  <c r="G2912" i="1"/>
  <c r="J2911" i="1"/>
  <c r="G2911" i="1"/>
  <c r="J2910" i="1"/>
  <c r="G2910" i="1"/>
  <c r="J2909" i="1"/>
  <c r="G2909" i="1"/>
  <c r="J2908" i="1"/>
  <c r="G2908" i="1"/>
  <c r="J2907" i="1"/>
  <c r="G2907" i="1"/>
  <c r="J2906" i="1"/>
  <c r="G2906" i="1"/>
  <c r="J2905" i="1"/>
  <c r="G2905" i="1"/>
  <c r="J2904" i="1"/>
  <c r="G2904" i="1"/>
  <c r="J2903" i="1"/>
  <c r="G2903" i="1"/>
  <c r="J2902" i="1"/>
  <c r="G2902" i="1"/>
  <c r="J2901" i="1"/>
  <c r="G2901" i="1"/>
  <c r="J2900" i="1"/>
  <c r="G2900" i="1"/>
  <c r="J2899" i="1"/>
  <c r="G2899" i="1"/>
  <c r="J2898" i="1"/>
  <c r="G2898" i="1"/>
  <c r="J2897" i="1"/>
  <c r="G2897" i="1"/>
  <c r="J2896" i="1"/>
  <c r="G2896" i="1"/>
  <c r="J2895" i="1"/>
  <c r="G2895" i="1"/>
  <c r="J2894" i="1"/>
  <c r="G2894" i="1"/>
  <c r="J2893" i="1"/>
  <c r="G2893" i="1"/>
  <c r="J2892" i="1"/>
  <c r="G2892" i="1"/>
  <c r="J2891" i="1"/>
  <c r="G2891" i="1"/>
  <c r="J2890" i="1"/>
  <c r="G2890" i="1"/>
  <c r="J2889" i="1"/>
  <c r="G2889" i="1"/>
  <c r="J2888" i="1"/>
  <c r="G2888" i="1"/>
  <c r="J2887" i="1"/>
  <c r="G2887" i="1"/>
  <c r="J2886" i="1"/>
  <c r="G2886" i="1"/>
  <c r="J2885" i="1"/>
  <c r="G2885" i="1"/>
  <c r="J2884" i="1"/>
  <c r="G2884" i="1"/>
  <c r="J2883" i="1"/>
  <c r="G2883" i="1"/>
  <c r="J2882" i="1"/>
  <c r="G2882" i="1"/>
  <c r="J2881" i="1"/>
  <c r="G2881" i="1"/>
  <c r="J2880" i="1"/>
  <c r="G2880" i="1"/>
  <c r="J2879" i="1"/>
  <c r="G2879" i="1"/>
  <c r="J2878" i="1"/>
  <c r="G2878" i="1"/>
  <c r="J2877" i="1"/>
  <c r="G2877" i="1"/>
  <c r="J2876" i="1"/>
  <c r="G2876" i="1"/>
  <c r="J2875" i="1"/>
  <c r="G2875" i="1"/>
  <c r="J2874" i="1"/>
  <c r="G2874" i="1"/>
  <c r="J2873" i="1"/>
  <c r="G2873" i="1"/>
  <c r="J2872" i="1"/>
  <c r="G2872" i="1"/>
  <c r="J2871" i="1"/>
  <c r="G2871" i="1"/>
  <c r="J2870" i="1"/>
  <c r="G2870" i="1"/>
  <c r="J2869" i="1"/>
  <c r="G2869" i="1"/>
  <c r="J2868" i="1"/>
  <c r="G2868" i="1"/>
  <c r="J2867" i="1"/>
  <c r="G2867" i="1"/>
  <c r="J2866" i="1"/>
  <c r="G2866" i="1"/>
  <c r="J2865" i="1"/>
  <c r="G2865" i="1"/>
  <c r="J2864" i="1"/>
  <c r="G2864" i="1"/>
  <c r="J2863" i="1"/>
  <c r="G2863" i="1"/>
  <c r="J2862" i="1"/>
  <c r="G2862" i="1"/>
  <c r="J2861" i="1"/>
  <c r="G2861" i="1"/>
  <c r="J2860" i="1"/>
  <c r="G2860" i="1"/>
  <c r="J2859" i="1"/>
  <c r="G2859" i="1"/>
  <c r="J2858" i="1"/>
  <c r="G2858" i="1"/>
  <c r="J2857" i="1"/>
  <c r="G2857" i="1"/>
  <c r="J2856" i="1"/>
  <c r="G2856" i="1"/>
  <c r="J2855" i="1"/>
  <c r="G2855" i="1"/>
  <c r="J2854" i="1"/>
  <c r="G2854" i="1"/>
  <c r="J2853" i="1"/>
  <c r="G2853" i="1"/>
  <c r="J2852" i="1"/>
  <c r="G2852" i="1"/>
  <c r="J2851" i="1"/>
  <c r="G2851" i="1"/>
  <c r="J2850" i="1"/>
  <c r="G2850" i="1"/>
  <c r="J2849" i="1"/>
  <c r="G2849" i="1"/>
  <c r="J2848" i="1"/>
  <c r="G2848" i="1"/>
  <c r="J2847" i="1"/>
  <c r="G2847" i="1"/>
  <c r="J2846" i="1"/>
  <c r="G2846" i="1"/>
  <c r="J2845" i="1"/>
  <c r="G2845" i="1"/>
  <c r="J2844" i="1"/>
  <c r="G2844" i="1"/>
  <c r="J2843" i="1"/>
  <c r="G2843" i="1"/>
  <c r="J2842" i="1"/>
  <c r="G2842" i="1"/>
  <c r="J2841" i="1"/>
  <c r="G2841" i="1"/>
  <c r="J2840" i="1"/>
  <c r="G2840" i="1"/>
  <c r="J2839" i="1"/>
  <c r="G2839" i="1"/>
  <c r="J2838" i="1"/>
  <c r="G2838" i="1"/>
  <c r="J2837" i="1"/>
  <c r="G2837" i="1"/>
  <c r="J2836" i="1"/>
  <c r="G2836" i="1"/>
  <c r="J2835" i="1"/>
  <c r="G2835" i="1"/>
  <c r="J2834" i="1"/>
  <c r="G2834" i="1"/>
  <c r="J2833" i="1"/>
  <c r="G2833" i="1"/>
  <c r="J2832" i="1"/>
  <c r="G2832" i="1"/>
  <c r="J2831" i="1"/>
  <c r="G2831" i="1"/>
  <c r="J2830" i="1"/>
  <c r="G2830" i="1"/>
  <c r="J2829" i="1"/>
  <c r="G2829" i="1"/>
  <c r="J2828" i="1"/>
  <c r="G2828" i="1"/>
  <c r="J2827" i="1"/>
  <c r="G2827" i="1"/>
  <c r="J2826" i="1"/>
  <c r="G2826" i="1"/>
  <c r="J2825" i="1"/>
  <c r="G2825" i="1"/>
  <c r="J2824" i="1"/>
  <c r="G2824" i="1"/>
  <c r="J2823" i="1"/>
  <c r="G2823" i="1"/>
  <c r="J2822" i="1"/>
  <c r="G2822" i="1"/>
  <c r="J2821" i="1"/>
  <c r="G2821" i="1"/>
  <c r="J2820" i="1"/>
  <c r="G2820" i="1"/>
  <c r="J2819" i="1"/>
  <c r="G2819" i="1"/>
  <c r="J2818" i="1"/>
  <c r="G2818" i="1"/>
  <c r="J2817" i="1"/>
  <c r="G2817" i="1"/>
  <c r="J2816" i="1"/>
  <c r="G2816" i="1"/>
  <c r="J2815" i="1"/>
  <c r="G2815" i="1"/>
  <c r="J2814" i="1"/>
  <c r="G2814" i="1"/>
  <c r="J2813" i="1"/>
  <c r="G2813" i="1"/>
  <c r="J2812" i="1"/>
  <c r="G2812" i="1"/>
  <c r="J2811" i="1"/>
  <c r="G2811" i="1"/>
  <c r="J2810" i="1"/>
  <c r="G2810" i="1"/>
  <c r="J2809" i="1"/>
  <c r="G2809" i="1"/>
  <c r="J2808" i="1"/>
  <c r="G2808" i="1"/>
  <c r="J2807" i="1"/>
  <c r="G2807" i="1"/>
  <c r="J2806" i="1"/>
  <c r="G2806" i="1"/>
  <c r="J2805" i="1"/>
  <c r="G2805" i="1"/>
  <c r="J2804" i="1"/>
  <c r="G2804" i="1"/>
  <c r="J2803" i="1"/>
  <c r="G2803" i="1"/>
  <c r="J2802" i="1"/>
  <c r="G2802" i="1"/>
  <c r="J2801" i="1"/>
  <c r="G2801" i="1"/>
  <c r="J2800" i="1"/>
  <c r="G2800" i="1"/>
  <c r="J2799" i="1"/>
  <c r="G2799" i="1"/>
  <c r="J2798" i="1"/>
  <c r="G2798" i="1"/>
  <c r="J2797" i="1"/>
  <c r="G2797" i="1"/>
  <c r="J2796" i="1"/>
  <c r="G2796" i="1"/>
  <c r="J2795" i="1"/>
  <c r="G2795" i="1"/>
  <c r="J2794" i="1"/>
  <c r="G2794" i="1"/>
  <c r="J2793" i="1"/>
  <c r="G2793" i="1"/>
  <c r="J2792" i="1"/>
  <c r="G2792" i="1"/>
  <c r="J2791" i="1"/>
  <c r="G2791" i="1"/>
  <c r="J2790" i="1"/>
  <c r="G2790" i="1"/>
  <c r="J2789" i="1"/>
  <c r="G2789" i="1"/>
  <c r="J2788" i="1"/>
  <c r="G2788" i="1"/>
  <c r="J2787" i="1"/>
  <c r="G2787" i="1"/>
  <c r="J2786" i="1"/>
  <c r="G2786" i="1"/>
  <c r="J2785" i="1"/>
  <c r="G2785" i="1"/>
  <c r="J2784" i="1"/>
  <c r="G2784" i="1"/>
  <c r="J2783" i="1"/>
  <c r="G2783" i="1"/>
  <c r="J2782" i="1"/>
  <c r="G2782" i="1"/>
  <c r="J2781" i="1"/>
  <c r="G2781" i="1"/>
  <c r="J2780" i="1"/>
  <c r="G2780" i="1"/>
  <c r="J2779" i="1"/>
  <c r="G2779" i="1"/>
  <c r="J2778" i="1"/>
  <c r="G2778" i="1"/>
  <c r="J2777" i="1"/>
  <c r="G2777" i="1"/>
  <c r="J2776" i="1"/>
  <c r="G2776" i="1"/>
  <c r="J2775" i="1"/>
  <c r="G2775" i="1"/>
  <c r="J2774" i="1"/>
  <c r="G2774" i="1"/>
  <c r="J2773" i="1"/>
  <c r="G2773" i="1"/>
  <c r="J2772" i="1"/>
  <c r="G2772" i="1"/>
  <c r="J2771" i="1"/>
  <c r="G2771" i="1"/>
  <c r="J2770" i="1"/>
  <c r="G2770" i="1"/>
  <c r="J2769" i="1"/>
  <c r="G2769" i="1"/>
  <c r="J2768" i="1"/>
  <c r="G2768" i="1"/>
  <c r="J2767" i="1"/>
  <c r="G2767" i="1"/>
  <c r="J2766" i="1"/>
  <c r="G2766" i="1"/>
  <c r="J2765" i="1"/>
  <c r="G2765" i="1"/>
  <c r="J2764" i="1"/>
  <c r="G2764" i="1"/>
  <c r="J2763" i="1"/>
  <c r="G2763" i="1"/>
  <c r="J2762" i="1"/>
  <c r="G2762" i="1"/>
  <c r="J2761" i="1"/>
  <c r="G2761" i="1"/>
  <c r="J2760" i="1"/>
  <c r="G2760" i="1"/>
  <c r="J2759" i="1"/>
  <c r="G2759" i="1"/>
  <c r="J2758" i="1"/>
  <c r="G2758" i="1"/>
  <c r="J2757" i="1"/>
  <c r="G2757" i="1"/>
  <c r="J2756" i="1"/>
  <c r="G2756" i="1"/>
  <c r="J2755" i="1"/>
  <c r="G2755" i="1"/>
  <c r="J2754" i="1"/>
  <c r="G2754" i="1"/>
  <c r="J2753" i="1"/>
  <c r="G2753" i="1"/>
  <c r="J2752" i="1"/>
  <c r="G2752" i="1"/>
  <c r="J2751" i="1"/>
  <c r="G2751" i="1"/>
  <c r="J2750" i="1"/>
  <c r="G2750" i="1"/>
  <c r="J2749" i="1"/>
  <c r="G2749" i="1"/>
  <c r="J2748" i="1"/>
  <c r="G2748" i="1"/>
  <c r="J2747" i="1"/>
  <c r="G2747" i="1"/>
  <c r="J2746" i="1"/>
  <c r="G2746" i="1"/>
  <c r="J2745" i="1"/>
  <c r="G2745" i="1"/>
  <c r="J2744" i="1"/>
  <c r="G2744" i="1"/>
  <c r="J2743" i="1"/>
  <c r="G2743" i="1"/>
  <c r="J2742" i="1"/>
  <c r="G2742" i="1"/>
  <c r="J2741" i="1"/>
  <c r="G2741" i="1"/>
  <c r="J2740" i="1"/>
  <c r="G2740" i="1"/>
  <c r="J2739" i="1"/>
  <c r="G2739" i="1"/>
  <c r="J2738" i="1"/>
  <c r="G2738" i="1"/>
  <c r="J2737" i="1"/>
  <c r="G2737" i="1"/>
  <c r="J2736" i="1"/>
  <c r="G2736" i="1"/>
  <c r="J2735" i="1"/>
  <c r="G2735" i="1"/>
  <c r="J2734" i="1"/>
  <c r="G2734" i="1"/>
  <c r="J2733" i="1"/>
  <c r="G2733" i="1"/>
  <c r="J2732" i="1"/>
  <c r="G2732" i="1"/>
  <c r="J2731" i="1"/>
  <c r="G2731" i="1"/>
  <c r="J2730" i="1"/>
  <c r="G2730" i="1"/>
  <c r="J2729" i="1"/>
  <c r="G2729" i="1"/>
  <c r="J2728" i="1"/>
  <c r="G2728" i="1"/>
  <c r="J2727" i="1"/>
  <c r="G2727" i="1"/>
  <c r="J2726" i="1"/>
  <c r="G2726" i="1"/>
  <c r="J2725" i="1"/>
  <c r="G2725" i="1"/>
  <c r="J2724" i="1"/>
  <c r="G2724" i="1"/>
  <c r="J2723" i="1"/>
  <c r="G2723" i="1"/>
  <c r="J2722" i="1"/>
  <c r="G2722" i="1"/>
  <c r="J2721" i="1"/>
  <c r="G2721" i="1"/>
  <c r="J2720" i="1"/>
  <c r="G2720" i="1"/>
  <c r="J2719" i="1"/>
  <c r="G2719" i="1"/>
  <c r="J2718" i="1"/>
  <c r="G2718" i="1"/>
  <c r="J2717" i="1"/>
  <c r="G2717" i="1"/>
  <c r="J2716" i="1"/>
  <c r="G2716" i="1"/>
  <c r="J2715" i="1"/>
  <c r="G2715" i="1"/>
  <c r="J2714" i="1"/>
  <c r="G2714" i="1"/>
  <c r="J2713" i="1"/>
  <c r="G2713" i="1"/>
  <c r="J2712" i="1"/>
  <c r="G2712" i="1"/>
  <c r="J2711" i="1"/>
  <c r="G2711" i="1"/>
  <c r="J2710" i="1"/>
  <c r="G2710" i="1"/>
  <c r="J2709" i="1"/>
  <c r="G2709" i="1"/>
  <c r="J2708" i="1"/>
  <c r="G2708" i="1"/>
  <c r="J2707" i="1"/>
  <c r="G2707" i="1"/>
  <c r="J2706" i="1"/>
  <c r="G2706" i="1"/>
  <c r="J2705" i="1"/>
  <c r="G2705" i="1"/>
  <c r="J2704" i="1"/>
  <c r="G2704" i="1"/>
  <c r="J2703" i="1"/>
  <c r="G2703" i="1"/>
  <c r="J2702" i="1"/>
  <c r="G2702" i="1"/>
  <c r="J2701" i="1"/>
  <c r="G2701" i="1"/>
  <c r="J2700" i="1"/>
  <c r="G2700" i="1"/>
  <c r="J2699" i="1"/>
  <c r="G2699" i="1"/>
  <c r="J2698" i="1"/>
  <c r="G2698" i="1"/>
  <c r="J2697" i="1"/>
  <c r="G2697" i="1"/>
  <c r="J2696" i="1"/>
  <c r="G2696" i="1"/>
  <c r="J2695" i="1"/>
  <c r="G2695" i="1"/>
  <c r="J2694" i="1"/>
  <c r="G2694" i="1"/>
  <c r="J2693" i="1"/>
  <c r="G2693" i="1"/>
  <c r="J2692" i="1"/>
  <c r="G2692" i="1"/>
  <c r="J2691" i="1"/>
  <c r="G2691" i="1"/>
  <c r="J2690" i="1"/>
  <c r="G2690" i="1"/>
  <c r="J2689" i="1"/>
  <c r="G2689" i="1"/>
  <c r="J2688" i="1"/>
  <c r="G2688" i="1"/>
  <c r="J2687" i="1"/>
  <c r="G2687" i="1"/>
  <c r="J2686" i="1"/>
  <c r="G2686" i="1"/>
  <c r="J2685" i="1"/>
  <c r="G2685" i="1"/>
  <c r="J2684" i="1"/>
  <c r="G2684" i="1"/>
  <c r="J2683" i="1"/>
  <c r="G2683" i="1"/>
  <c r="J2682" i="1"/>
  <c r="G2682" i="1"/>
  <c r="J2681" i="1"/>
  <c r="G2681" i="1"/>
  <c r="J2680" i="1"/>
  <c r="G2680" i="1"/>
  <c r="J2679" i="1"/>
  <c r="G2679" i="1"/>
  <c r="J2678" i="1"/>
  <c r="G2678" i="1"/>
  <c r="J2677" i="1"/>
  <c r="G2677" i="1"/>
  <c r="J2676" i="1"/>
  <c r="G2676" i="1"/>
  <c r="J2675" i="1"/>
  <c r="G2675" i="1"/>
  <c r="J2674" i="1"/>
  <c r="G2674" i="1"/>
  <c r="J2673" i="1"/>
  <c r="G2673" i="1"/>
  <c r="J2672" i="1"/>
  <c r="G2672" i="1"/>
  <c r="J2671" i="1"/>
  <c r="G2671" i="1"/>
  <c r="J2670" i="1"/>
  <c r="G2670" i="1"/>
  <c r="J2669" i="1"/>
  <c r="G2669" i="1"/>
  <c r="J2668" i="1"/>
  <c r="G2668" i="1"/>
  <c r="J2667" i="1"/>
  <c r="G2667" i="1"/>
  <c r="J2666" i="1"/>
  <c r="G2666" i="1"/>
  <c r="J2665" i="1"/>
  <c r="G2665" i="1"/>
  <c r="J2664" i="1"/>
  <c r="G2664" i="1"/>
  <c r="J2663" i="1"/>
  <c r="G2663" i="1"/>
  <c r="J2662" i="1"/>
  <c r="G2662" i="1"/>
  <c r="J2661" i="1"/>
  <c r="G2661" i="1"/>
  <c r="J2660" i="1"/>
  <c r="G2660" i="1"/>
  <c r="J2659" i="1"/>
  <c r="G2659" i="1"/>
  <c r="J2658" i="1"/>
  <c r="G2658" i="1"/>
  <c r="J2657" i="1"/>
  <c r="G2657" i="1"/>
  <c r="J2656" i="1"/>
  <c r="G2656" i="1"/>
  <c r="J2655" i="1"/>
  <c r="G2655" i="1"/>
  <c r="J2654" i="1"/>
  <c r="G2654" i="1"/>
  <c r="J2653" i="1"/>
  <c r="G2653" i="1"/>
  <c r="J2652" i="1"/>
  <c r="G2652" i="1"/>
  <c r="J2651" i="1"/>
  <c r="G2651" i="1"/>
  <c r="J2650" i="1"/>
  <c r="G2650" i="1"/>
  <c r="J2649" i="1"/>
  <c r="G2649" i="1"/>
  <c r="J2648" i="1"/>
  <c r="G2648" i="1"/>
  <c r="J2647" i="1"/>
  <c r="G2647" i="1"/>
  <c r="J2646" i="1"/>
  <c r="G2646" i="1"/>
  <c r="J2645" i="1"/>
  <c r="G2645" i="1"/>
  <c r="J2644" i="1"/>
  <c r="G2644" i="1"/>
  <c r="J2643" i="1"/>
  <c r="G2643" i="1"/>
  <c r="J2642" i="1"/>
  <c r="G2642" i="1"/>
  <c r="J2641" i="1"/>
  <c r="G2641" i="1"/>
  <c r="J2640" i="1"/>
  <c r="G2640" i="1"/>
  <c r="J2639" i="1"/>
  <c r="G2639" i="1"/>
  <c r="J2638" i="1"/>
  <c r="G2638" i="1"/>
  <c r="J2637" i="1"/>
  <c r="G2637" i="1"/>
  <c r="J2636" i="1"/>
  <c r="G2636" i="1"/>
  <c r="J2635" i="1"/>
  <c r="G2635" i="1"/>
  <c r="J2634" i="1"/>
  <c r="G2634" i="1"/>
  <c r="J2633" i="1"/>
  <c r="G2633" i="1"/>
  <c r="J2632" i="1"/>
  <c r="G2632" i="1"/>
  <c r="J2631" i="1"/>
  <c r="G2631" i="1"/>
  <c r="J2630" i="1"/>
  <c r="G2630" i="1"/>
  <c r="J2629" i="1"/>
  <c r="G2629" i="1"/>
  <c r="J2628" i="1"/>
  <c r="G2628" i="1"/>
  <c r="J2627" i="1"/>
  <c r="G2627" i="1"/>
  <c r="J2626" i="1"/>
  <c r="G2626" i="1"/>
  <c r="J2625" i="1"/>
  <c r="G2625" i="1"/>
  <c r="J2624" i="1"/>
  <c r="G2624" i="1"/>
  <c r="J2623" i="1"/>
  <c r="G2623" i="1"/>
  <c r="J2622" i="1"/>
  <c r="G2622" i="1"/>
  <c r="J2621" i="1"/>
  <c r="G2621" i="1"/>
  <c r="J2620" i="1"/>
  <c r="G2620" i="1"/>
  <c r="J2619" i="1"/>
  <c r="G2619" i="1"/>
  <c r="J2618" i="1"/>
  <c r="G2618" i="1"/>
  <c r="J2617" i="1"/>
  <c r="G2617" i="1"/>
  <c r="J2616" i="1"/>
  <c r="G2616" i="1"/>
  <c r="J2615" i="1"/>
  <c r="G2615" i="1"/>
  <c r="J2614" i="1"/>
  <c r="G2614" i="1"/>
  <c r="J2613" i="1"/>
  <c r="G2613" i="1"/>
  <c r="J2612" i="1"/>
  <c r="G2612" i="1"/>
  <c r="J2611" i="1"/>
  <c r="G2611" i="1"/>
  <c r="J2610" i="1"/>
  <c r="G2610" i="1"/>
  <c r="J2609" i="1"/>
  <c r="G2609" i="1"/>
  <c r="J2608" i="1"/>
  <c r="G2608" i="1"/>
  <c r="J2607" i="1"/>
  <c r="G2607" i="1"/>
  <c r="J2606" i="1"/>
  <c r="G2606" i="1"/>
  <c r="J2605" i="1"/>
  <c r="G2605" i="1"/>
  <c r="J2604" i="1"/>
  <c r="G2604" i="1"/>
  <c r="J2603" i="1"/>
  <c r="G2603" i="1"/>
  <c r="J2602" i="1"/>
  <c r="G2602" i="1"/>
  <c r="J2601" i="1"/>
  <c r="G2601" i="1"/>
  <c r="J2600" i="1"/>
  <c r="G2600" i="1"/>
  <c r="J2599" i="1"/>
  <c r="G2599" i="1"/>
  <c r="J2598" i="1"/>
  <c r="G2598" i="1"/>
  <c r="J2597" i="1"/>
  <c r="G2597" i="1"/>
  <c r="J2596" i="1"/>
  <c r="G2596" i="1"/>
  <c r="J2595" i="1"/>
  <c r="G2595" i="1"/>
  <c r="J2594" i="1"/>
  <c r="G2594" i="1"/>
  <c r="J2593" i="1"/>
  <c r="G2593" i="1"/>
  <c r="J2592" i="1"/>
  <c r="G2592" i="1"/>
  <c r="J2591" i="1"/>
  <c r="G2591" i="1"/>
  <c r="J2590" i="1"/>
  <c r="G2590" i="1"/>
  <c r="J2589" i="1"/>
  <c r="G2589" i="1"/>
  <c r="J2588" i="1"/>
  <c r="G2588" i="1"/>
  <c r="J2587" i="1"/>
  <c r="G2587" i="1"/>
  <c r="J2586" i="1"/>
  <c r="G2586" i="1"/>
  <c r="J2585" i="1"/>
  <c r="G2585" i="1"/>
  <c r="J2584" i="1"/>
  <c r="G2584" i="1"/>
  <c r="J2583" i="1"/>
  <c r="G2583" i="1"/>
  <c r="J2582" i="1"/>
  <c r="G2582" i="1"/>
  <c r="J2581" i="1"/>
  <c r="G2581" i="1"/>
  <c r="J2580" i="1"/>
  <c r="G2580" i="1"/>
  <c r="J2579" i="1"/>
  <c r="G2579" i="1"/>
  <c r="J2578" i="1"/>
  <c r="G2578" i="1"/>
  <c r="J2577" i="1"/>
  <c r="G2577" i="1"/>
  <c r="J2576" i="1"/>
  <c r="G2576" i="1"/>
  <c r="J2575" i="1"/>
  <c r="G2575" i="1"/>
  <c r="J2574" i="1"/>
  <c r="G2574" i="1"/>
  <c r="J2573" i="1"/>
  <c r="G2573" i="1"/>
  <c r="J2572" i="1"/>
  <c r="G2572" i="1"/>
  <c r="J2571" i="1"/>
  <c r="G2571" i="1"/>
  <c r="J2570" i="1"/>
  <c r="G2570" i="1"/>
  <c r="J2569" i="1"/>
  <c r="G2569" i="1"/>
  <c r="J2568" i="1"/>
  <c r="G2568" i="1"/>
  <c r="J2567" i="1"/>
  <c r="G2567" i="1"/>
  <c r="J2566" i="1"/>
  <c r="G2566" i="1"/>
  <c r="J2565" i="1"/>
  <c r="G2565" i="1"/>
  <c r="J2564" i="1"/>
  <c r="G2564" i="1"/>
  <c r="J2563" i="1"/>
  <c r="G2563" i="1"/>
  <c r="J2562" i="1"/>
  <c r="G2562" i="1"/>
  <c r="J2561" i="1"/>
  <c r="G2561" i="1"/>
  <c r="J2560" i="1"/>
  <c r="G2560" i="1"/>
  <c r="J2559" i="1"/>
  <c r="G2559" i="1"/>
  <c r="J2558" i="1"/>
  <c r="G2558" i="1"/>
  <c r="J2557" i="1"/>
  <c r="G2557" i="1"/>
  <c r="J2556" i="1"/>
  <c r="G2556" i="1"/>
  <c r="J2555" i="1"/>
  <c r="G2555" i="1"/>
  <c r="J2554" i="1"/>
  <c r="G2554" i="1"/>
  <c r="J2553" i="1"/>
  <c r="G2553" i="1"/>
  <c r="J2552" i="1"/>
  <c r="G2552" i="1"/>
  <c r="J2551" i="1"/>
  <c r="G2551" i="1"/>
  <c r="J2550" i="1"/>
  <c r="G2550" i="1"/>
  <c r="J2549" i="1"/>
  <c r="G2549" i="1"/>
  <c r="J2548" i="1"/>
  <c r="G2548" i="1"/>
  <c r="J2547" i="1"/>
  <c r="G2547" i="1"/>
  <c r="J2546" i="1"/>
  <c r="G2546" i="1"/>
  <c r="J2545" i="1"/>
  <c r="G2545" i="1"/>
  <c r="J2544" i="1"/>
  <c r="G2544" i="1"/>
  <c r="J2543" i="1"/>
  <c r="G2543" i="1"/>
  <c r="J2542" i="1"/>
  <c r="G2542" i="1"/>
  <c r="J2541" i="1"/>
  <c r="G2541" i="1"/>
  <c r="J2540" i="1"/>
  <c r="G2540" i="1"/>
  <c r="J2539" i="1"/>
  <c r="G2539" i="1"/>
  <c r="J2538" i="1"/>
  <c r="G2538" i="1"/>
  <c r="J2537" i="1"/>
  <c r="G2537" i="1"/>
  <c r="J2536" i="1"/>
  <c r="G2536" i="1"/>
  <c r="J2535" i="1"/>
  <c r="G2535" i="1"/>
  <c r="J2534" i="1"/>
  <c r="G2534" i="1"/>
  <c r="J2533" i="1"/>
  <c r="G2533" i="1"/>
  <c r="J2532" i="1"/>
  <c r="G2532" i="1"/>
  <c r="J2531" i="1"/>
  <c r="G2531" i="1"/>
  <c r="J2530" i="1"/>
  <c r="G2530" i="1"/>
  <c r="J2529" i="1"/>
  <c r="G2529" i="1"/>
  <c r="J2528" i="1"/>
  <c r="G2528" i="1"/>
  <c r="J2527" i="1"/>
  <c r="G2527" i="1"/>
  <c r="J2526" i="1"/>
  <c r="G2526" i="1"/>
  <c r="J2525" i="1"/>
  <c r="G2525" i="1"/>
  <c r="J2524" i="1"/>
  <c r="G2524" i="1"/>
  <c r="J2523" i="1"/>
  <c r="G2523" i="1"/>
  <c r="J2522" i="1"/>
  <c r="G2522" i="1"/>
  <c r="J2521" i="1"/>
  <c r="G2521" i="1"/>
  <c r="J2520" i="1"/>
  <c r="G2520" i="1"/>
  <c r="J2519" i="1"/>
  <c r="G2519" i="1"/>
  <c r="J2518" i="1"/>
  <c r="G2518" i="1"/>
  <c r="J2517" i="1"/>
  <c r="G2517" i="1"/>
  <c r="J2516" i="1"/>
  <c r="G2516" i="1"/>
  <c r="J2515" i="1"/>
  <c r="G2515" i="1"/>
  <c r="J2514" i="1"/>
  <c r="G2514" i="1"/>
  <c r="J2513" i="1"/>
  <c r="G2513" i="1"/>
  <c r="J2512" i="1"/>
  <c r="G2512" i="1"/>
  <c r="J2511" i="1"/>
  <c r="G2511" i="1"/>
  <c r="J2510" i="1"/>
  <c r="G2510" i="1"/>
  <c r="J2509" i="1"/>
  <c r="G2509" i="1"/>
  <c r="J2508" i="1"/>
  <c r="G2508" i="1"/>
  <c r="J2507" i="1"/>
  <c r="G2507" i="1"/>
  <c r="J2506" i="1"/>
  <c r="G2506" i="1"/>
  <c r="J2505" i="1"/>
  <c r="G2505" i="1"/>
  <c r="J2504" i="1"/>
  <c r="G2504" i="1"/>
  <c r="J2503" i="1"/>
  <c r="G2503" i="1"/>
  <c r="J2502" i="1"/>
  <c r="G2502" i="1"/>
  <c r="J2501" i="1"/>
  <c r="G2501" i="1"/>
  <c r="J2500" i="1"/>
  <c r="G2500" i="1"/>
  <c r="J2499" i="1"/>
  <c r="G2499" i="1"/>
  <c r="J2498" i="1"/>
  <c r="G2498" i="1"/>
  <c r="J2497" i="1"/>
  <c r="G2497" i="1"/>
  <c r="J2496" i="1"/>
  <c r="G2496" i="1"/>
  <c r="J2495" i="1"/>
  <c r="G2495" i="1"/>
  <c r="J2494" i="1"/>
  <c r="G2494" i="1"/>
  <c r="J2493" i="1"/>
  <c r="G2493" i="1"/>
  <c r="J2492" i="1"/>
  <c r="G2492" i="1"/>
  <c r="J2491" i="1"/>
  <c r="G2491" i="1"/>
  <c r="J2490" i="1"/>
  <c r="G2490" i="1"/>
  <c r="J2489" i="1"/>
  <c r="G2489" i="1"/>
  <c r="J2488" i="1"/>
  <c r="G2488" i="1"/>
  <c r="J2487" i="1"/>
  <c r="G2487" i="1"/>
  <c r="J2486" i="1"/>
  <c r="G2486" i="1"/>
  <c r="J2485" i="1"/>
  <c r="G2485" i="1"/>
  <c r="J2484" i="1"/>
  <c r="G2484" i="1"/>
  <c r="J2483" i="1"/>
  <c r="G2483" i="1"/>
  <c r="J2482" i="1"/>
  <c r="G2482" i="1"/>
  <c r="J2481" i="1"/>
  <c r="G2481" i="1"/>
  <c r="J2480" i="1"/>
  <c r="G2480" i="1"/>
  <c r="J2479" i="1"/>
  <c r="G2479" i="1"/>
  <c r="J2478" i="1"/>
  <c r="G2478" i="1"/>
  <c r="J2477" i="1"/>
  <c r="G2477" i="1"/>
  <c r="J2476" i="1"/>
  <c r="G2476" i="1"/>
  <c r="J2475" i="1"/>
  <c r="G2475" i="1"/>
  <c r="J2474" i="1"/>
  <c r="G2474" i="1"/>
  <c r="J2473" i="1"/>
  <c r="G2473" i="1"/>
  <c r="J2472" i="1"/>
  <c r="G2472" i="1"/>
  <c r="J2471" i="1"/>
  <c r="G2471" i="1"/>
  <c r="J2470" i="1"/>
  <c r="G2470" i="1"/>
  <c r="J2469" i="1"/>
  <c r="G2469" i="1"/>
  <c r="J2468" i="1"/>
  <c r="G2468" i="1"/>
  <c r="J2467" i="1"/>
  <c r="G2467" i="1"/>
  <c r="J2466" i="1"/>
  <c r="G2466" i="1"/>
  <c r="J2465" i="1"/>
  <c r="G2465" i="1"/>
  <c r="J2464" i="1"/>
  <c r="G2464" i="1"/>
  <c r="J2463" i="1"/>
  <c r="G2463" i="1"/>
  <c r="J2462" i="1"/>
  <c r="G2462" i="1"/>
  <c r="J2461" i="1"/>
  <c r="G2461" i="1"/>
  <c r="J2460" i="1"/>
  <c r="G2460" i="1"/>
  <c r="J2459" i="1"/>
  <c r="G2459" i="1"/>
  <c r="J2458" i="1"/>
  <c r="G2458" i="1"/>
  <c r="J2457" i="1"/>
  <c r="G2457" i="1"/>
  <c r="J2456" i="1"/>
  <c r="G2456" i="1"/>
  <c r="J2455" i="1"/>
  <c r="G2455" i="1"/>
  <c r="J2454" i="1"/>
  <c r="G2454" i="1"/>
  <c r="J2453" i="1"/>
  <c r="G2453" i="1"/>
  <c r="J2452" i="1"/>
  <c r="G2452" i="1"/>
  <c r="J2451" i="1"/>
  <c r="G2451" i="1"/>
  <c r="J2450" i="1"/>
  <c r="G2450" i="1"/>
  <c r="J2449" i="1"/>
  <c r="G2449" i="1"/>
  <c r="J2448" i="1"/>
  <c r="G2448" i="1"/>
  <c r="J2447" i="1"/>
  <c r="G2447" i="1"/>
  <c r="J2446" i="1"/>
  <c r="G2446" i="1"/>
  <c r="J2445" i="1"/>
  <c r="G2445" i="1"/>
  <c r="J2444" i="1"/>
  <c r="G2444" i="1"/>
  <c r="J2443" i="1"/>
  <c r="G2443" i="1"/>
  <c r="J2442" i="1"/>
  <c r="G2442" i="1"/>
  <c r="J2441" i="1"/>
  <c r="G2441" i="1"/>
  <c r="J2440" i="1"/>
  <c r="G2440" i="1"/>
  <c r="J2439" i="1"/>
  <c r="G2439" i="1"/>
  <c r="J2438" i="1"/>
  <c r="G2438" i="1"/>
  <c r="J2437" i="1"/>
  <c r="G2437" i="1"/>
  <c r="J2436" i="1"/>
  <c r="G2436" i="1"/>
  <c r="J2435" i="1"/>
  <c r="G2435" i="1"/>
  <c r="J2434" i="1"/>
  <c r="G2434" i="1"/>
  <c r="J2433" i="1"/>
  <c r="G2433" i="1"/>
  <c r="J2432" i="1"/>
  <c r="G2432" i="1"/>
  <c r="J2431" i="1"/>
  <c r="G2431" i="1"/>
  <c r="J2430" i="1"/>
  <c r="G2430" i="1"/>
  <c r="J2429" i="1"/>
  <c r="G2429" i="1"/>
  <c r="J2428" i="1"/>
  <c r="G2428" i="1"/>
  <c r="J2427" i="1"/>
  <c r="G2427" i="1"/>
  <c r="J2426" i="1"/>
  <c r="G2426" i="1"/>
  <c r="J2425" i="1"/>
  <c r="G2425" i="1"/>
  <c r="J2424" i="1"/>
  <c r="G2424" i="1"/>
  <c r="J2423" i="1"/>
  <c r="G2423" i="1"/>
  <c r="J2422" i="1"/>
  <c r="G2422" i="1"/>
  <c r="J2421" i="1"/>
  <c r="G2421" i="1"/>
  <c r="J2420" i="1"/>
  <c r="G2420" i="1"/>
  <c r="J2419" i="1"/>
  <c r="G2419" i="1"/>
  <c r="J2418" i="1"/>
  <c r="G2418" i="1"/>
  <c r="J2417" i="1"/>
  <c r="G2417" i="1"/>
  <c r="J2416" i="1"/>
  <c r="G2416" i="1"/>
  <c r="J2415" i="1"/>
  <c r="G2415" i="1"/>
  <c r="J2414" i="1"/>
  <c r="G2414" i="1"/>
  <c r="J2413" i="1"/>
  <c r="G2413" i="1"/>
  <c r="J2412" i="1"/>
  <c r="G2412" i="1"/>
  <c r="J2411" i="1"/>
  <c r="G2411" i="1"/>
  <c r="J2410" i="1"/>
  <c r="G2410" i="1"/>
  <c r="J2409" i="1"/>
  <c r="G2409" i="1"/>
  <c r="J2408" i="1"/>
  <c r="G2408" i="1"/>
  <c r="J2407" i="1"/>
  <c r="G2407" i="1"/>
  <c r="J2406" i="1"/>
  <c r="G2406" i="1"/>
  <c r="J2405" i="1"/>
  <c r="G2405" i="1"/>
  <c r="J2404" i="1"/>
  <c r="G2404" i="1"/>
  <c r="J2403" i="1"/>
  <c r="G2403" i="1"/>
  <c r="J2402" i="1"/>
  <c r="G2402" i="1"/>
  <c r="J2401" i="1"/>
  <c r="G2401" i="1"/>
  <c r="J2400" i="1"/>
  <c r="G2400" i="1"/>
  <c r="J2399" i="1"/>
  <c r="G2399" i="1"/>
  <c r="J2398" i="1"/>
  <c r="G2398" i="1"/>
  <c r="J2397" i="1"/>
  <c r="G2397" i="1"/>
  <c r="J2396" i="1"/>
  <c r="G2396" i="1"/>
  <c r="J2395" i="1"/>
  <c r="G2395" i="1"/>
  <c r="J2394" i="1"/>
  <c r="G2394" i="1"/>
  <c r="J2393" i="1"/>
  <c r="G2393" i="1"/>
  <c r="J2392" i="1"/>
  <c r="G2392" i="1"/>
  <c r="J2391" i="1"/>
  <c r="G2391" i="1"/>
  <c r="J2390" i="1"/>
  <c r="G2390" i="1"/>
  <c r="J2389" i="1"/>
  <c r="G2389" i="1"/>
  <c r="J2388" i="1"/>
  <c r="G2388" i="1"/>
  <c r="J2387" i="1"/>
  <c r="G2387" i="1"/>
  <c r="J2386" i="1"/>
  <c r="G2386" i="1"/>
  <c r="J2385" i="1"/>
  <c r="G2385" i="1"/>
  <c r="J2384" i="1"/>
  <c r="G2384" i="1"/>
  <c r="J2383" i="1"/>
  <c r="G2383" i="1"/>
  <c r="J2382" i="1"/>
  <c r="G2382" i="1"/>
  <c r="J2381" i="1"/>
  <c r="G2381" i="1"/>
  <c r="J2380" i="1"/>
  <c r="G2380" i="1"/>
  <c r="J2379" i="1"/>
  <c r="G2379" i="1"/>
  <c r="J2378" i="1"/>
  <c r="G2378" i="1"/>
  <c r="J2377" i="1"/>
  <c r="G2377" i="1"/>
  <c r="J2376" i="1"/>
  <c r="G2376" i="1"/>
  <c r="J2375" i="1"/>
  <c r="G2375" i="1"/>
  <c r="J2374" i="1"/>
  <c r="G2374" i="1"/>
  <c r="J2373" i="1"/>
  <c r="G2373" i="1"/>
  <c r="J2372" i="1"/>
  <c r="G2372" i="1"/>
  <c r="J2371" i="1"/>
  <c r="G2371" i="1"/>
  <c r="J2370" i="1"/>
  <c r="G2370" i="1"/>
  <c r="J2369" i="1"/>
  <c r="G2369" i="1"/>
  <c r="J2368" i="1"/>
  <c r="G2368" i="1"/>
  <c r="J2367" i="1"/>
  <c r="G2367" i="1"/>
  <c r="J2366" i="1"/>
  <c r="G2366" i="1"/>
  <c r="J2365" i="1"/>
  <c r="G2365" i="1"/>
  <c r="J2364" i="1"/>
  <c r="G2364" i="1"/>
  <c r="J2363" i="1"/>
  <c r="G2363" i="1"/>
  <c r="J2362" i="1"/>
  <c r="G2362" i="1"/>
  <c r="J2361" i="1"/>
  <c r="G2361" i="1"/>
  <c r="J2360" i="1"/>
  <c r="G2360" i="1"/>
  <c r="J2359" i="1"/>
  <c r="G2359" i="1"/>
  <c r="J2358" i="1"/>
  <c r="G2358" i="1"/>
  <c r="J2357" i="1"/>
  <c r="G2357" i="1"/>
  <c r="J2356" i="1"/>
  <c r="G2356" i="1"/>
  <c r="J2355" i="1"/>
  <c r="G2355" i="1"/>
  <c r="J2354" i="1"/>
  <c r="G2354" i="1"/>
  <c r="J2353" i="1"/>
  <c r="G2353" i="1"/>
  <c r="J2352" i="1"/>
  <c r="G2352" i="1"/>
  <c r="J2351" i="1"/>
  <c r="G2351" i="1"/>
  <c r="J2350" i="1"/>
  <c r="G2350" i="1"/>
  <c r="J2349" i="1"/>
  <c r="G2349" i="1"/>
  <c r="J2348" i="1"/>
  <c r="G2348" i="1"/>
  <c r="J2347" i="1"/>
  <c r="G2347" i="1"/>
  <c r="J2346" i="1"/>
  <c r="G2346" i="1"/>
  <c r="J2345" i="1"/>
  <c r="G2345" i="1"/>
  <c r="J2344" i="1"/>
  <c r="G2344" i="1"/>
  <c r="J2343" i="1"/>
  <c r="G2343" i="1"/>
  <c r="J2342" i="1"/>
  <c r="G2342" i="1"/>
  <c r="J2341" i="1"/>
  <c r="G2341" i="1"/>
  <c r="J2340" i="1"/>
  <c r="G2340" i="1"/>
  <c r="J2339" i="1"/>
  <c r="G2339" i="1"/>
  <c r="J2338" i="1"/>
  <c r="G2338" i="1"/>
  <c r="J2337" i="1"/>
  <c r="G2337" i="1"/>
  <c r="J2336" i="1"/>
  <c r="G2336" i="1"/>
  <c r="J2335" i="1"/>
  <c r="G2335" i="1"/>
  <c r="J2334" i="1"/>
  <c r="G2334" i="1"/>
  <c r="J2333" i="1"/>
  <c r="G2333" i="1"/>
  <c r="J2332" i="1"/>
  <c r="G2332" i="1"/>
  <c r="J2331" i="1"/>
  <c r="G2331" i="1"/>
  <c r="J2330" i="1"/>
  <c r="G2330" i="1"/>
  <c r="J2329" i="1"/>
  <c r="G2329" i="1"/>
  <c r="J2328" i="1"/>
  <c r="G2328" i="1"/>
  <c r="J2327" i="1"/>
  <c r="G2327" i="1"/>
  <c r="J2326" i="1"/>
  <c r="G2326" i="1"/>
  <c r="J2325" i="1"/>
  <c r="G2325" i="1"/>
  <c r="J2324" i="1"/>
  <c r="G2324" i="1"/>
  <c r="J2323" i="1"/>
  <c r="G2323" i="1"/>
  <c r="J2322" i="1"/>
  <c r="G2322" i="1"/>
  <c r="J2321" i="1"/>
  <c r="G2321" i="1"/>
  <c r="J2320" i="1"/>
  <c r="G2320" i="1"/>
  <c r="J2319" i="1"/>
  <c r="G2319" i="1"/>
  <c r="J2318" i="1"/>
  <c r="G2318" i="1"/>
  <c r="J2317" i="1"/>
  <c r="G2317" i="1"/>
  <c r="J2316" i="1"/>
  <c r="G2316" i="1"/>
  <c r="J2315" i="1"/>
  <c r="G2315" i="1"/>
  <c r="J2314" i="1"/>
  <c r="G2314" i="1"/>
  <c r="J2313" i="1"/>
  <c r="G2313" i="1"/>
  <c r="J2312" i="1"/>
  <c r="G2312" i="1"/>
  <c r="J2311" i="1"/>
  <c r="G2311" i="1"/>
  <c r="J2310" i="1"/>
  <c r="G2310" i="1"/>
  <c r="J2309" i="1"/>
  <c r="G2309" i="1"/>
  <c r="J2308" i="1"/>
  <c r="G2308" i="1"/>
  <c r="J2307" i="1"/>
  <c r="G2307" i="1"/>
  <c r="J2306" i="1"/>
  <c r="G2306" i="1"/>
  <c r="J2305" i="1"/>
  <c r="G2305" i="1"/>
  <c r="J2304" i="1"/>
  <c r="G2304" i="1"/>
  <c r="J2303" i="1"/>
  <c r="G2303" i="1"/>
  <c r="J2302" i="1"/>
  <c r="G2302" i="1"/>
  <c r="J2301" i="1"/>
  <c r="G2301" i="1"/>
  <c r="J2300" i="1"/>
  <c r="G2300" i="1"/>
  <c r="J2299" i="1"/>
  <c r="G2299" i="1"/>
  <c r="J2298" i="1"/>
  <c r="G2298" i="1"/>
  <c r="J2297" i="1"/>
  <c r="G2297" i="1"/>
  <c r="J2296" i="1"/>
  <c r="G2296" i="1"/>
  <c r="J2295" i="1"/>
  <c r="G2295" i="1"/>
  <c r="J2294" i="1"/>
  <c r="G2294" i="1"/>
  <c r="J2293" i="1"/>
  <c r="G2293" i="1"/>
  <c r="J2292" i="1"/>
  <c r="G2292" i="1"/>
  <c r="J2291" i="1"/>
  <c r="G2291" i="1"/>
  <c r="J2290" i="1"/>
  <c r="G2290" i="1"/>
  <c r="J2289" i="1"/>
  <c r="G2289" i="1"/>
  <c r="J2288" i="1"/>
  <c r="G2288" i="1"/>
  <c r="J2287" i="1"/>
  <c r="G2287" i="1"/>
  <c r="J2286" i="1"/>
  <c r="G2286" i="1"/>
  <c r="J2285" i="1"/>
  <c r="G2285" i="1"/>
  <c r="J2284" i="1"/>
  <c r="G2284" i="1"/>
  <c r="J2283" i="1"/>
  <c r="G2283" i="1"/>
  <c r="J2282" i="1"/>
  <c r="G2282" i="1"/>
  <c r="J2281" i="1"/>
  <c r="G2281" i="1"/>
  <c r="J2280" i="1"/>
  <c r="G2280" i="1"/>
  <c r="J2279" i="1"/>
  <c r="G2279" i="1"/>
  <c r="J2278" i="1"/>
  <c r="G2278" i="1"/>
  <c r="J2277" i="1"/>
  <c r="G2277" i="1"/>
  <c r="J2276" i="1"/>
  <c r="G2276" i="1"/>
  <c r="J2275" i="1"/>
  <c r="G2275" i="1"/>
  <c r="J2274" i="1"/>
  <c r="G2274" i="1"/>
  <c r="J2273" i="1"/>
  <c r="G2273" i="1"/>
  <c r="J2272" i="1"/>
  <c r="G2272" i="1"/>
  <c r="J2271" i="1"/>
  <c r="G2271" i="1"/>
  <c r="J2270" i="1"/>
  <c r="G2270" i="1"/>
  <c r="J2269" i="1"/>
  <c r="G2269" i="1"/>
  <c r="J2268" i="1"/>
  <c r="G2268" i="1"/>
  <c r="J2267" i="1"/>
  <c r="G2267" i="1"/>
  <c r="J2266" i="1"/>
  <c r="G2266" i="1"/>
  <c r="J2265" i="1"/>
  <c r="G2265" i="1"/>
  <c r="J2264" i="1"/>
  <c r="G2264" i="1"/>
  <c r="J2263" i="1"/>
  <c r="G2263" i="1"/>
  <c r="J2262" i="1"/>
  <c r="G2262" i="1"/>
  <c r="J2261" i="1"/>
  <c r="G2261" i="1"/>
  <c r="J2260" i="1"/>
  <c r="G2260" i="1"/>
  <c r="J2259" i="1"/>
  <c r="G2259" i="1"/>
  <c r="J2258" i="1"/>
  <c r="G2258" i="1"/>
  <c r="J2257" i="1"/>
  <c r="G2257" i="1"/>
  <c r="J2256" i="1"/>
  <c r="G2256" i="1"/>
  <c r="J2255" i="1"/>
  <c r="G2255" i="1"/>
  <c r="J2254" i="1"/>
  <c r="G2254" i="1"/>
  <c r="J2253" i="1"/>
  <c r="G2253" i="1"/>
  <c r="J2252" i="1"/>
  <c r="G2252" i="1"/>
  <c r="J2251" i="1"/>
  <c r="G2251" i="1"/>
  <c r="J2250" i="1"/>
  <c r="G2250" i="1"/>
  <c r="J2249" i="1"/>
  <c r="G2249" i="1"/>
  <c r="J2248" i="1"/>
  <c r="G2248" i="1"/>
  <c r="J2247" i="1"/>
  <c r="G2247" i="1"/>
  <c r="J2246" i="1"/>
  <c r="G2246" i="1"/>
  <c r="J2245" i="1"/>
  <c r="G2245" i="1"/>
  <c r="J2244" i="1"/>
  <c r="G2244" i="1"/>
  <c r="J2243" i="1"/>
  <c r="G2243" i="1"/>
  <c r="J2242" i="1"/>
  <c r="G2242" i="1"/>
  <c r="J2241" i="1"/>
  <c r="G2241" i="1"/>
  <c r="J2240" i="1"/>
  <c r="G2240" i="1"/>
  <c r="J2239" i="1"/>
  <c r="G2239" i="1"/>
  <c r="J2238" i="1"/>
  <c r="G2238" i="1"/>
  <c r="J2237" i="1"/>
  <c r="G2237" i="1"/>
  <c r="J2236" i="1"/>
  <c r="G2236" i="1"/>
  <c r="J2235" i="1"/>
  <c r="G2235" i="1"/>
  <c r="J2234" i="1"/>
  <c r="G2234" i="1"/>
  <c r="J2233" i="1"/>
  <c r="G2233" i="1"/>
  <c r="J2232" i="1"/>
  <c r="G2232" i="1"/>
  <c r="J2231" i="1"/>
  <c r="G2231" i="1"/>
  <c r="J2230" i="1"/>
  <c r="G2230" i="1"/>
  <c r="J2229" i="1"/>
  <c r="G2229" i="1"/>
  <c r="J2228" i="1"/>
  <c r="G2228" i="1"/>
  <c r="J2227" i="1"/>
  <c r="G2227" i="1"/>
  <c r="J2226" i="1"/>
  <c r="G2226" i="1"/>
  <c r="J2225" i="1"/>
  <c r="G2225" i="1"/>
  <c r="J2224" i="1"/>
  <c r="G2224" i="1"/>
  <c r="J2223" i="1"/>
  <c r="G2223" i="1"/>
  <c r="J2222" i="1"/>
  <c r="G2222" i="1"/>
  <c r="J2221" i="1"/>
  <c r="G2221" i="1"/>
  <c r="J2220" i="1"/>
  <c r="G2220" i="1"/>
  <c r="J2219" i="1"/>
  <c r="G2219" i="1"/>
  <c r="J2218" i="1"/>
  <c r="G2218" i="1"/>
  <c r="J2217" i="1"/>
  <c r="G2217" i="1"/>
  <c r="J2216" i="1"/>
  <c r="G2216" i="1"/>
  <c r="J2215" i="1"/>
  <c r="G2215" i="1"/>
  <c r="J2214" i="1"/>
  <c r="G2214" i="1"/>
  <c r="J2213" i="1"/>
  <c r="G2213" i="1"/>
  <c r="J2212" i="1"/>
  <c r="G2212" i="1"/>
  <c r="J2211" i="1"/>
  <c r="G2211" i="1"/>
  <c r="J2210" i="1"/>
  <c r="G2210" i="1"/>
  <c r="J2209" i="1"/>
  <c r="G2209" i="1"/>
  <c r="J2208" i="1"/>
  <c r="G2208" i="1"/>
  <c r="J2207" i="1"/>
  <c r="G2207" i="1"/>
  <c r="J2206" i="1"/>
  <c r="G2206" i="1"/>
  <c r="J2205" i="1"/>
  <c r="G2205" i="1"/>
  <c r="J2204" i="1"/>
  <c r="G2204" i="1"/>
  <c r="J2203" i="1"/>
  <c r="G2203" i="1"/>
  <c r="J2202" i="1"/>
  <c r="G2202" i="1"/>
  <c r="J2201" i="1"/>
  <c r="G2201" i="1"/>
  <c r="J2200" i="1"/>
  <c r="G2200" i="1"/>
  <c r="J2199" i="1"/>
  <c r="G2199" i="1"/>
  <c r="J2198" i="1"/>
  <c r="G2198" i="1"/>
  <c r="J2197" i="1"/>
  <c r="G2197" i="1"/>
  <c r="J2196" i="1"/>
  <c r="G2196" i="1"/>
  <c r="J2195" i="1"/>
  <c r="G2195" i="1"/>
  <c r="J2194" i="1"/>
  <c r="G2194" i="1"/>
  <c r="J2193" i="1"/>
  <c r="G2193" i="1"/>
  <c r="J2192" i="1"/>
  <c r="G2192" i="1"/>
  <c r="J2191" i="1"/>
  <c r="G2191" i="1"/>
  <c r="J2190" i="1"/>
  <c r="G2190" i="1"/>
  <c r="J2189" i="1"/>
  <c r="G2189" i="1"/>
  <c r="J2188" i="1"/>
  <c r="G2188" i="1"/>
  <c r="J2187" i="1"/>
  <c r="G2187" i="1"/>
  <c r="J2186" i="1"/>
  <c r="G2186" i="1"/>
  <c r="J2185" i="1"/>
  <c r="G2185" i="1"/>
  <c r="J2184" i="1"/>
  <c r="G2184" i="1"/>
  <c r="J2183" i="1"/>
  <c r="G2183" i="1"/>
  <c r="J2182" i="1"/>
  <c r="G2182" i="1"/>
  <c r="J2181" i="1"/>
  <c r="G2181" i="1"/>
  <c r="J2180" i="1"/>
  <c r="G2180" i="1"/>
  <c r="J2179" i="1"/>
  <c r="G2179" i="1"/>
  <c r="J2178" i="1"/>
  <c r="G2178" i="1"/>
  <c r="J2177" i="1"/>
  <c r="G2177" i="1"/>
  <c r="J2176" i="1"/>
  <c r="G2176" i="1"/>
  <c r="J2175" i="1"/>
  <c r="G2175" i="1"/>
  <c r="J2174" i="1"/>
  <c r="G2174" i="1"/>
  <c r="J2173" i="1"/>
  <c r="G2173" i="1"/>
  <c r="J2172" i="1"/>
  <c r="G2172" i="1"/>
  <c r="J2171" i="1"/>
  <c r="G2171" i="1"/>
  <c r="J2170" i="1"/>
  <c r="G2170" i="1"/>
  <c r="J2169" i="1"/>
  <c r="G2169" i="1"/>
  <c r="J2168" i="1"/>
  <c r="G2168" i="1"/>
  <c r="J2167" i="1"/>
  <c r="G2167" i="1"/>
  <c r="J2166" i="1"/>
  <c r="G2166" i="1"/>
  <c r="J2165" i="1"/>
  <c r="G2165" i="1"/>
  <c r="J2164" i="1"/>
  <c r="G2164" i="1"/>
  <c r="J2163" i="1"/>
  <c r="G2163" i="1"/>
  <c r="J2162" i="1"/>
  <c r="G2162" i="1"/>
  <c r="J2161" i="1"/>
  <c r="G2161" i="1"/>
  <c r="J2160" i="1"/>
  <c r="G2160" i="1"/>
  <c r="J2159" i="1"/>
  <c r="G2159" i="1"/>
  <c r="J2158" i="1"/>
  <c r="G2158" i="1"/>
  <c r="J2157" i="1"/>
  <c r="G2157" i="1"/>
  <c r="J2156" i="1"/>
  <c r="G2156" i="1"/>
  <c r="J2155" i="1"/>
  <c r="G2155" i="1"/>
  <c r="J2154" i="1"/>
  <c r="G2154" i="1"/>
  <c r="J2153" i="1"/>
  <c r="G2153" i="1"/>
  <c r="J2152" i="1"/>
  <c r="G2152" i="1"/>
  <c r="J2151" i="1"/>
  <c r="G2151" i="1"/>
  <c r="J2150" i="1"/>
  <c r="G2150" i="1"/>
  <c r="J2149" i="1"/>
  <c r="G2149" i="1"/>
  <c r="J2148" i="1"/>
  <c r="G2148" i="1"/>
  <c r="J2147" i="1"/>
  <c r="G2147" i="1"/>
  <c r="J2146" i="1"/>
  <c r="G2146" i="1"/>
  <c r="J2145" i="1"/>
  <c r="G2145" i="1"/>
  <c r="J2144" i="1"/>
  <c r="G2144" i="1"/>
  <c r="J2143" i="1"/>
  <c r="G2143" i="1"/>
  <c r="J2142" i="1"/>
  <c r="G2142" i="1"/>
  <c r="J2141" i="1"/>
  <c r="G2141" i="1"/>
  <c r="J2140" i="1"/>
  <c r="G2140" i="1"/>
  <c r="J2139" i="1"/>
  <c r="G2139" i="1"/>
  <c r="J2138" i="1"/>
  <c r="G2138" i="1"/>
  <c r="J2137" i="1"/>
  <c r="G2137" i="1"/>
  <c r="J2136" i="1"/>
  <c r="G2136" i="1"/>
  <c r="J2135" i="1"/>
  <c r="G2135" i="1"/>
  <c r="J2134" i="1"/>
  <c r="G2134" i="1"/>
  <c r="J2133" i="1"/>
  <c r="G2133" i="1"/>
  <c r="J2132" i="1"/>
  <c r="G2132" i="1"/>
  <c r="J2131" i="1"/>
  <c r="G2131" i="1"/>
  <c r="J2130" i="1"/>
  <c r="G2130" i="1"/>
  <c r="J2129" i="1"/>
  <c r="G2129" i="1"/>
  <c r="J2128" i="1"/>
  <c r="G2128" i="1"/>
  <c r="J2127" i="1"/>
  <c r="G2127" i="1"/>
  <c r="J2126" i="1"/>
  <c r="G2126" i="1"/>
  <c r="J2125" i="1"/>
  <c r="G2125" i="1"/>
  <c r="J2124" i="1"/>
  <c r="G2124" i="1"/>
  <c r="J2123" i="1"/>
  <c r="G2123" i="1"/>
  <c r="J2122" i="1"/>
  <c r="G2122" i="1"/>
  <c r="J2121" i="1"/>
  <c r="G2121" i="1"/>
  <c r="J2120" i="1"/>
  <c r="G2120" i="1"/>
  <c r="J2119" i="1"/>
  <c r="G2119" i="1"/>
  <c r="J2118" i="1"/>
  <c r="G2118" i="1"/>
  <c r="J2117" i="1"/>
  <c r="G2117" i="1"/>
  <c r="J2116" i="1"/>
  <c r="G2116" i="1"/>
  <c r="J2115" i="1"/>
  <c r="G2115" i="1"/>
  <c r="J2114" i="1"/>
  <c r="G2114" i="1"/>
  <c r="J2113" i="1"/>
  <c r="G2113" i="1"/>
  <c r="J2112" i="1"/>
  <c r="G2112" i="1"/>
  <c r="J2111" i="1"/>
  <c r="G2111" i="1"/>
  <c r="J2110" i="1"/>
  <c r="G2110" i="1"/>
  <c r="J2109" i="1"/>
  <c r="G2109" i="1"/>
  <c r="J2108" i="1"/>
  <c r="G2108" i="1"/>
  <c r="J2107" i="1"/>
  <c r="G2107" i="1"/>
  <c r="J2106" i="1"/>
  <c r="G2106" i="1"/>
  <c r="J2105" i="1"/>
  <c r="G2105" i="1"/>
  <c r="J2104" i="1"/>
  <c r="G2104" i="1"/>
  <c r="J2103" i="1"/>
  <c r="G2103" i="1"/>
  <c r="J2102" i="1"/>
  <c r="G2102" i="1"/>
  <c r="J2101" i="1"/>
  <c r="G2101" i="1"/>
  <c r="J2100" i="1"/>
  <c r="G2100" i="1"/>
  <c r="J2099" i="1"/>
  <c r="G2099" i="1"/>
  <c r="J2098" i="1"/>
  <c r="G2098" i="1"/>
  <c r="J2097" i="1"/>
  <c r="G2097" i="1"/>
  <c r="J2096" i="1"/>
  <c r="G2096" i="1"/>
  <c r="J2095" i="1"/>
  <c r="G2095" i="1"/>
  <c r="J2094" i="1"/>
  <c r="G2094" i="1"/>
  <c r="J2093" i="1"/>
  <c r="G2093" i="1"/>
  <c r="J2092" i="1"/>
  <c r="G2092" i="1"/>
  <c r="J2091" i="1"/>
  <c r="G2091" i="1"/>
  <c r="J2090" i="1"/>
  <c r="G2090" i="1"/>
  <c r="J2089" i="1"/>
  <c r="G2089" i="1"/>
  <c r="J2088" i="1"/>
  <c r="G2088" i="1"/>
  <c r="J2087" i="1"/>
  <c r="G2087" i="1"/>
  <c r="J2086" i="1"/>
  <c r="G2086" i="1"/>
  <c r="J2085" i="1"/>
  <c r="G2085" i="1"/>
  <c r="J2084" i="1"/>
  <c r="G2084" i="1"/>
  <c r="J2083" i="1"/>
  <c r="G2083" i="1"/>
  <c r="J2082" i="1"/>
  <c r="G2082" i="1"/>
  <c r="J2081" i="1"/>
  <c r="G2081" i="1"/>
  <c r="J2080" i="1"/>
  <c r="G2080" i="1"/>
  <c r="J2079" i="1"/>
  <c r="G2079" i="1"/>
  <c r="J2078" i="1"/>
  <c r="G2078" i="1"/>
  <c r="J2077" i="1"/>
  <c r="G2077" i="1"/>
  <c r="J2076" i="1"/>
  <c r="G2076" i="1"/>
  <c r="J2075" i="1"/>
  <c r="G2075" i="1"/>
  <c r="J2074" i="1"/>
  <c r="G2074" i="1"/>
  <c r="J2073" i="1"/>
  <c r="G2073" i="1"/>
  <c r="J2072" i="1"/>
  <c r="G2072" i="1"/>
  <c r="J2071" i="1"/>
  <c r="G2071" i="1"/>
  <c r="J2070" i="1"/>
  <c r="G2070" i="1"/>
  <c r="J2069" i="1"/>
  <c r="G2069" i="1"/>
  <c r="J2068" i="1"/>
  <c r="G2068" i="1"/>
  <c r="J2067" i="1"/>
  <c r="G2067" i="1"/>
  <c r="J2066" i="1"/>
  <c r="G2066" i="1"/>
  <c r="J2065" i="1"/>
  <c r="G2065" i="1"/>
  <c r="J2064" i="1"/>
  <c r="G2064" i="1"/>
  <c r="J2063" i="1"/>
  <c r="G2063" i="1"/>
  <c r="J2062" i="1"/>
  <c r="G2062" i="1"/>
  <c r="J2061" i="1"/>
  <c r="G2061" i="1"/>
  <c r="J2060" i="1"/>
  <c r="G2060" i="1"/>
  <c r="J2059" i="1"/>
  <c r="G2059" i="1"/>
  <c r="J2058" i="1"/>
  <c r="G2058" i="1"/>
  <c r="J2057" i="1"/>
  <c r="G2057" i="1"/>
  <c r="J2056" i="1"/>
  <c r="G2056" i="1"/>
  <c r="J2055" i="1"/>
  <c r="G2055" i="1"/>
  <c r="J2054" i="1"/>
  <c r="G2054" i="1"/>
  <c r="J2053" i="1"/>
  <c r="G2053" i="1"/>
  <c r="J2052" i="1"/>
  <c r="G2052" i="1"/>
  <c r="J2051" i="1"/>
  <c r="G2051" i="1"/>
  <c r="J2050" i="1"/>
  <c r="G2050" i="1"/>
  <c r="J2049" i="1"/>
  <c r="G2049" i="1"/>
  <c r="J2048" i="1"/>
  <c r="G2048" i="1"/>
  <c r="J2047" i="1"/>
  <c r="G2047" i="1"/>
  <c r="J2046" i="1"/>
  <c r="G2046" i="1"/>
  <c r="J2045" i="1"/>
  <c r="G2045" i="1"/>
  <c r="J2044" i="1"/>
  <c r="G2044" i="1"/>
  <c r="J2043" i="1"/>
  <c r="G2043" i="1"/>
  <c r="J2042" i="1"/>
  <c r="G2042" i="1"/>
  <c r="J2041" i="1"/>
  <c r="G2041" i="1"/>
  <c r="J2040" i="1"/>
  <c r="G2040" i="1"/>
  <c r="J2039" i="1"/>
  <c r="G2039" i="1"/>
  <c r="J2038" i="1"/>
  <c r="G2038" i="1"/>
  <c r="J2037" i="1"/>
  <c r="G2037" i="1"/>
  <c r="J2036" i="1"/>
  <c r="G2036" i="1"/>
  <c r="J2035" i="1"/>
  <c r="G2035" i="1"/>
  <c r="J2034" i="1"/>
  <c r="G2034" i="1"/>
  <c r="J2033" i="1"/>
  <c r="G2033" i="1"/>
  <c r="J2032" i="1"/>
  <c r="G2032" i="1"/>
  <c r="J2031" i="1"/>
  <c r="G2031" i="1"/>
  <c r="J2030" i="1"/>
  <c r="G2030" i="1"/>
  <c r="J2029" i="1"/>
  <c r="G2029" i="1"/>
  <c r="J2028" i="1"/>
  <c r="G2028" i="1"/>
  <c r="J2027" i="1"/>
  <c r="G2027" i="1"/>
  <c r="J2026" i="1"/>
  <c r="G2026" i="1"/>
  <c r="J2025" i="1"/>
  <c r="G2025" i="1"/>
  <c r="J2024" i="1"/>
  <c r="G2024" i="1"/>
  <c r="J2023" i="1"/>
  <c r="G2023" i="1"/>
  <c r="J2022" i="1"/>
  <c r="G2022" i="1"/>
  <c r="J2021" i="1"/>
  <c r="G2021" i="1"/>
  <c r="J2020" i="1"/>
  <c r="G2020" i="1"/>
  <c r="J2019" i="1"/>
  <c r="G2019" i="1"/>
  <c r="J2018" i="1"/>
  <c r="G2018" i="1"/>
  <c r="J2017" i="1"/>
  <c r="G2017" i="1"/>
  <c r="J2016" i="1"/>
  <c r="G2016" i="1"/>
  <c r="J2015" i="1"/>
  <c r="G2015" i="1"/>
  <c r="J2014" i="1"/>
  <c r="G2014" i="1"/>
  <c r="J2013" i="1"/>
  <c r="G2013" i="1"/>
  <c r="J2012" i="1"/>
  <c r="G2012" i="1"/>
  <c r="J2011" i="1"/>
  <c r="G2011" i="1"/>
  <c r="J2010" i="1"/>
  <c r="G2010" i="1"/>
  <c r="J2009" i="1"/>
  <c r="G2009" i="1"/>
  <c r="J2008" i="1"/>
  <c r="G2008" i="1"/>
  <c r="J2007" i="1"/>
  <c r="G2007" i="1"/>
  <c r="J2006" i="1"/>
  <c r="G2006" i="1"/>
  <c r="J2005" i="1"/>
  <c r="G2005" i="1"/>
  <c r="J2004" i="1"/>
  <c r="G2004" i="1"/>
  <c r="J2003" i="1"/>
  <c r="G2003" i="1"/>
  <c r="J2002" i="1"/>
  <c r="G2002" i="1"/>
  <c r="J2001" i="1"/>
  <c r="G2001" i="1"/>
  <c r="J2000" i="1"/>
  <c r="G2000" i="1"/>
  <c r="J1999" i="1"/>
  <c r="G1999" i="1"/>
  <c r="J1998" i="1"/>
  <c r="G1998" i="1"/>
  <c r="J1997" i="1"/>
  <c r="G1997" i="1"/>
  <c r="J1996" i="1"/>
  <c r="G1996" i="1"/>
  <c r="J1995" i="1"/>
  <c r="G1995" i="1"/>
  <c r="J1994" i="1"/>
  <c r="G1994" i="1"/>
  <c r="J1993" i="1"/>
  <c r="G1993" i="1"/>
  <c r="J1992" i="1"/>
  <c r="G1992" i="1"/>
  <c r="J1991" i="1"/>
  <c r="G1991" i="1"/>
  <c r="J1990" i="1"/>
  <c r="G1990" i="1"/>
  <c r="J1989" i="1"/>
  <c r="G1989" i="1"/>
  <c r="J1988" i="1"/>
  <c r="G1988" i="1"/>
  <c r="J1987" i="1"/>
  <c r="G1987" i="1"/>
  <c r="J1986" i="1"/>
  <c r="G1986" i="1"/>
  <c r="J1985" i="1"/>
  <c r="G1985" i="1"/>
  <c r="J1984" i="1"/>
  <c r="G1984" i="1"/>
  <c r="J1983" i="1"/>
  <c r="G1983" i="1"/>
  <c r="J1982" i="1"/>
  <c r="G1982" i="1"/>
  <c r="J1981" i="1"/>
  <c r="G1981" i="1"/>
  <c r="J1980" i="1"/>
  <c r="G1980" i="1"/>
  <c r="J1979" i="1"/>
  <c r="G1979" i="1"/>
  <c r="J1978" i="1"/>
  <c r="G1978" i="1"/>
  <c r="J1977" i="1"/>
  <c r="G1977" i="1"/>
  <c r="J1976" i="1"/>
  <c r="G1976" i="1"/>
  <c r="J1975" i="1"/>
  <c r="G1975" i="1"/>
  <c r="J1974" i="1"/>
  <c r="G1974" i="1"/>
  <c r="J1973" i="1"/>
  <c r="G1973" i="1"/>
  <c r="J1972" i="1"/>
  <c r="G1972" i="1"/>
  <c r="J1971" i="1"/>
  <c r="G1971" i="1"/>
  <c r="J1970" i="1"/>
  <c r="G1970" i="1"/>
  <c r="J1969" i="1"/>
  <c r="G1969" i="1"/>
  <c r="J1968" i="1"/>
  <c r="G1968" i="1"/>
  <c r="J1967" i="1"/>
  <c r="G1967" i="1"/>
  <c r="J1966" i="1"/>
  <c r="G1966" i="1"/>
  <c r="J1965" i="1"/>
  <c r="G1965" i="1"/>
  <c r="J1964" i="1"/>
  <c r="G1964" i="1"/>
  <c r="J1963" i="1"/>
  <c r="G1963" i="1"/>
  <c r="J1962" i="1"/>
  <c r="G1962" i="1"/>
  <c r="J1961" i="1"/>
  <c r="G1961" i="1"/>
  <c r="J1960" i="1"/>
  <c r="G1960" i="1"/>
  <c r="J1959" i="1"/>
  <c r="G1959" i="1"/>
  <c r="J1958" i="1"/>
  <c r="G1958" i="1"/>
  <c r="J1957" i="1"/>
  <c r="G1957" i="1"/>
  <c r="J1956" i="1"/>
  <c r="G1956" i="1"/>
  <c r="J1955" i="1"/>
  <c r="G1955" i="1"/>
  <c r="J1954" i="1"/>
  <c r="G1954" i="1"/>
  <c r="J1953" i="1"/>
  <c r="G1953" i="1"/>
  <c r="J1952" i="1"/>
  <c r="G1952" i="1"/>
  <c r="J1951" i="1"/>
  <c r="G1951" i="1"/>
  <c r="J1950" i="1"/>
  <c r="G1950" i="1"/>
  <c r="J1949" i="1"/>
  <c r="G1949" i="1"/>
  <c r="J1948" i="1"/>
  <c r="G1948" i="1"/>
  <c r="J1947" i="1"/>
  <c r="G1947" i="1"/>
  <c r="J1946" i="1"/>
  <c r="G1946" i="1"/>
  <c r="J1945" i="1"/>
  <c r="G1945" i="1"/>
  <c r="J1944" i="1"/>
  <c r="G1944" i="1"/>
  <c r="J1943" i="1"/>
  <c r="G1943" i="1"/>
  <c r="J1942" i="1"/>
  <c r="G1942" i="1"/>
  <c r="J1941" i="1"/>
  <c r="G1941" i="1"/>
  <c r="J1940" i="1"/>
  <c r="G1940" i="1"/>
  <c r="J1939" i="1"/>
  <c r="G1939" i="1"/>
  <c r="J1938" i="1"/>
  <c r="G1938" i="1"/>
  <c r="J1937" i="1"/>
  <c r="G1937" i="1"/>
  <c r="J1936" i="1"/>
  <c r="G1936" i="1"/>
  <c r="J1935" i="1"/>
  <c r="G1935" i="1"/>
  <c r="J1934" i="1"/>
  <c r="G1934" i="1"/>
  <c r="J1933" i="1"/>
  <c r="G1933" i="1"/>
  <c r="J1932" i="1"/>
  <c r="G1932" i="1"/>
  <c r="J1931" i="1"/>
  <c r="G1931" i="1"/>
  <c r="J1930" i="1"/>
  <c r="G1930" i="1"/>
  <c r="J1929" i="1"/>
  <c r="G1929" i="1"/>
  <c r="J1928" i="1"/>
  <c r="G1928" i="1"/>
  <c r="J1927" i="1"/>
  <c r="G1927" i="1"/>
  <c r="J1926" i="1"/>
  <c r="G1926" i="1"/>
  <c r="J1925" i="1"/>
  <c r="G1925" i="1"/>
  <c r="J1924" i="1"/>
  <c r="G1924" i="1"/>
  <c r="J1923" i="1"/>
  <c r="G1923" i="1"/>
  <c r="J1922" i="1"/>
  <c r="G1922" i="1"/>
  <c r="J1921" i="1"/>
  <c r="G1921" i="1"/>
  <c r="J1920" i="1"/>
  <c r="G1920" i="1"/>
  <c r="J1919" i="1"/>
  <c r="G1919" i="1"/>
  <c r="J1918" i="1"/>
  <c r="G1918" i="1"/>
  <c r="J1917" i="1"/>
  <c r="G1917" i="1"/>
  <c r="J1916" i="1"/>
  <c r="G1916" i="1"/>
  <c r="J1915" i="1"/>
  <c r="G1915" i="1"/>
  <c r="J1914" i="1"/>
  <c r="G1914" i="1"/>
  <c r="J1913" i="1"/>
  <c r="G1913" i="1"/>
  <c r="J1912" i="1"/>
  <c r="G1912" i="1"/>
  <c r="J1911" i="1"/>
  <c r="G1911" i="1"/>
  <c r="J1910" i="1"/>
  <c r="G1910" i="1"/>
  <c r="J1909" i="1"/>
  <c r="G1909" i="1"/>
  <c r="J1908" i="1"/>
  <c r="G1908" i="1"/>
  <c r="J1907" i="1"/>
  <c r="G1907" i="1"/>
  <c r="J1906" i="1"/>
  <c r="G1906" i="1"/>
  <c r="J1905" i="1"/>
  <c r="G1905" i="1"/>
  <c r="J1904" i="1"/>
  <c r="G1904" i="1"/>
  <c r="J1903" i="1"/>
  <c r="G1903" i="1"/>
  <c r="J1902" i="1"/>
  <c r="G1902" i="1"/>
  <c r="J1901" i="1"/>
  <c r="G1901" i="1"/>
  <c r="J1900" i="1"/>
  <c r="G1900" i="1"/>
  <c r="J1899" i="1"/>
  <c r="G1899" i="1"/>
  <c r="J1898" i="1"/>
  <c r="G1898" i="1"/>
  <c r="J1897" i="1"/>
  <c r="G1897" i="1"/>
  <c r="J1896" i="1"/>
  <c r="G1896" i="1"/>
  <c r="J1895" i="1"/>
  <c r="G1895" i="1"/>
  <c r="J1894" i="1"/>
  <c r="G1894" i="1"/>
  <c r="J1893" i="1"/>
  <c r="G1893" i="1"/>
  <c r="J1892" i="1"/>
  <c r="G1892" i="1"/>
  <c r="J1891" i="1"/>
  <c r="G1891" i="1"/>
  <c r="J1890" i="1"/>
  <c r="G1890" i="1"/>
  <c r="J1889" i="1"/>
  <c r="G1889" i="1"/>
  <c r="J1888" i="1"/>
  <c r="G1888" i="1"/>
  <c r="J1887" i="1"/>
  <c r="G1887" i="1"/>
  <c r="J1886" i="1"/>
  <c r="G1886" i="1"/>
  <c r="J1885" i="1"/>
  <c r="G1885" i="1"/>
  <c r="J1884" i="1"/>
  <c r="G1884" i="1"/>
  <c r="J1883" i="1"/>
  <c r="G1883" i="1"/>
  <c r="J1882" i="1"/>
  <c r="G1882" i="1"/>
  <c r="J1881" i="1"/>
  <c r="G1881" i="1"/>
  <c r="J1880" i="1"/>
  <c r="G1880" i="1"/>
  <c r="J1879" i="1"/>
  <c r="G1879" i="1"/>
  <c r="J1878" i="1"/>
  <c r="G1878" i="1"/>
  <c r="J1877" i="1"/>
  <c r="G1877" i="1"/>
  <c r="J1876" i="1"/>
  <c r="G1876" i="1"/>
  <c r="J1875" i="1"/>
  <c r="G1875" i="1"/>
  <c r="J1874" i="1"/>
  <c r="G1874" i="1"/>
  <c r="J1873" i="1"/>
  <c r="G1873" i="1"/>
  <c r="J1872" i="1"/>
  <c r="G1872" i="1"/>
  <c r="J1871" i="1"/>
  <c r="G1871" i="1"/>
  <c r="J1870" i="1"/>
  <c r="G1870" i="1"/>
  <c r="J1869" i="1"/>
  <c r="G1869" i="1"/>
  <c r="J1868" i="1"/>
  <c r="G1868" i="1"/>
  <c r="J1867" i="1"/>
  <c r="G1867" i="1"/>
  <c r="J1866" i="1"/>
  <c r="G1866" i="1"/>
  <c r="J1865" i="1"/>
  <c r="G1865" i="1"/>
  <c r="J1864" i="1"/>
  <c r="G1864" i="1"/>
  <c r="J1863" i="1"/>
  <c r="G1863" i="1"/>
  <c r="J1862" i="1"/>
  <c r="G1862" i="1"/>
  <c r="J1861" i="1"/>
  <c r="G1861" i="1"/>
  <c r="J1860" i="1"/>
  <c r="G1860" i="1"/>
  <c r="J1859" i="1"/>
  <c r="G1859" i="1"/>
  <c r="J1858" i="1"/>
  <c r="G1858" i="1"/>
  <c r="J1857" i="1"/>
  <c r="G1857" i="1"/>
  <c r="J1856" i="1"/>
  <c r="G1856" i="1"/>
  <c r="J1855" i="1"/>
  <c r="G1855" i="1"/>
  <c r="J1854" i="1"/>
  <c r="G1854" i="1"/>
  <c r="J1853" i="1"/>
  <c r="G1853" i="1"/>
  <c r="J1852" i="1"/>
  <c r="G1852" i="1"/>
  <c r="J1851" i="1"/>
  <c r="G1851" i="1"/>
  <c r="J1850" i="1"/>
  <c r="G1850" i="1"/>
  <c r="J1849" i="1"/>
  <c r="G1849" i="1"/>
  <c r="J1848" i="1"/>
  <c r="G1848" i="1"/>
  <c r="J1847" i="1"/>
  <c r="G1847" i="1"/>
  <c r="J1846" i="1"/>
  <c r="G1846" i="1"/>
  <c r="J1845" i="1"/>
  <c r="G1845" i="1"/>
  <c r="J1844" i="1"/>
  <c r="G1844" i="1"/>
  <c r="J1843" i="1"/>
  <c r="G1843" i="1"/>
  <c r="J1842" i="1"/>
  <c r="G1842" i="1"/>
  <c r="J1841" i="1"/>
  <c r="G1841" i="1"/>
  <c r="J1840" i="1"/>
  <c r="G1840" i="1"/>
  <c r="J1839" i="1"/>
  <c r="G1839" i="1"/>
  <c r="J1838" i="1"/>
  <c r="G1838" i="1"/>
  <c r="J1837" i="1"/>
  <c r="G1837" i="1"/>
  <c r="J1836" i="1"/>
  <c r="G1836" i="1"/>
  <c r="J1835" i="1"/>
  <c r="G1835" i="1"/>
  <c r="J1834" i="1"/>
  <c r="G1834" i="1"/>
  <c r="J1833" i="1"/>
  <c r="G1833" i="1"/>
  <c r="J1832" i="1"/>
  <c r="G1832" i="1"/>
  <c r="J1831" i="1"/>
  <c r="G1831" i="1"/>
  <c r="J1830" i="1"/>
  <c r="G1830" i="1"/>
  <c r="J1829" i="1"/>
  <c r="G1829" i="1"/>
  <c r="J1828" i="1"/>
  <c r="G1828" i="1"/>
  <c r="J1827" i="1"/>
  <c r="G1827" i="1"/>
  <c r="J1826" i="1"/>
  <c r="G1826" i="1"/>
  <c r="J1825" i="1"/>
  <c r="G1825" i="1"/>
  <c r="J1824" i="1"/>
  <c r="G1824" i="1"/>
  <c r="J1823" i="1"/>
  <c r="G1823" i="1"/>
  <c r="J1822" i="1"/>
  <c r="G1822" i="1"/>
  <c r="J1821" i="1"/>
  <c r="G1821" i="1"/>
  <c r="J1820" i="1"/>
  <c r="G1820" i="1"/>
  <c r="J1819" i="1"/>
  <c r="G1819" i="1"/>
  <c r="J1818" i="1"/>
  <c r="G1818" i="1"/>
  <c r="J1817" i="1"/>
  <c r="G1817" i="1"/>
  <c r="J1816" i="1"/>
  <c r="G1816" i="1"/>
  <c r="J1815" i="1"/>
  <c r="G1815" i="1"/>
  <c r="J1814" i="1"/>
  <c r="G1814" i="1"/>
  <c r="J1813" i="1"/>
  <c r="G1813" i="1"/>
  <c r="J1812" i="1"/>
  <c r="G1812" i="1"/>
  <c r="J1811" i="1"/>
  <c r="G1811" i="1"/>
  <c r="J1810" i="1"/>
  <c r="G1810" i="1"/>
  <c r="J1809" i="1"/>
  <c r="G1809" i="1"/>
  <c r="J1808" i="1"/>
  <c r="G1808" i="1"/>
  <c r="J1807" i="1"/>
  <c r="G1807" i="1"/>
  <c r="J1806" i="1"/>
  <c r="G1806" i="1"/>
  <c r="J1805" i="1"/>
  <c r="G1805" i="1"/>
  <c r="J1804" i="1"/>
  <c r="G1804" i="1"/>
  <c r="J1803" i="1"/>
  <c r="G1803" i="1"/>
  <c r="J1802" i="1"/>
  <c r="G1802" i="1"/>
  <c r="J1801" i="1"/>
  <c r="G1801" i="1"/>
  <c r="J1800" i="1"/>
  <c r="G1800" i="1"/>
  <c r="J1799" i="1"/>
  <c r="G1799" i="1"/>
  <c r="J1798" i="1"/>
  <c r="G1798" i="1"/>
  <c r="J1797" i="1"/>
  <c r="G1797" i="1"/>
  <c r="J1796" i="1"/>
  <c r="G1796" i="1"/>
  <c r="J1795" i="1"/>
  <c r="G1795" i="1"/>
  <c r="J1794" i="1"/>
  <c r="G1794" i="1"/>
  <c r="J1793" i="1"/>
  <c r="G1793" i="1"/>
  <c r="J1792" i="1"/>
  <c r="G1792" i="1"/>
  <c r="J1791" i="1"/>
  <c r="G1791" i="1"/>
  <c r="J1790" i="1"/>
  <c r="G1790" i="1"/>
  <c r="J1789" i="1"/>
  <c r="G1789" i="1"/>
  <c r="J1788" i="1"/>
  <c r="G1788" i="1"/>
  <c r="J1787" i="1"/>
  <c r="G1787" i="1"/>
  <c r="J1786" i="1"/>
  <c r="G1786" i="1"/>
  <c r="J1785" i="1"/>
  <c r="G1785" i="1"/>
  <c r="J1784" i="1"/>
  <c r="G1784" i="1"/>
  <c r="J1783" i="1"/>
  <c r="G1783" i="1"/>
  <c r="J1782" i="1"/>
  <c r="G1782" i="1"/>
  <c r="J1781" i="1"/>
  <c r="G1781" i="1"/>
  <c r="J1780" i="1"/>
  <c r="G1780" i="1"/>
  <c r="J1779" i="1"/>
  <c r="G1779" i="1"/>
  <c r="J1778" i="1"/>
  <c r="G1778" i="1"/>
  <c r="J1777" i="1"/>
  <c r="G1777" i="1"/>
  <c r="J1776" i="1"/>
  <c r="G1776" i="1"/>
  <c r="J1775" i="1"/>
  <c r="G1775" i="1"/>
  <c r="J1774" i="1"/>
  <c r="G1774" i="1"/>
  <c r="J1773" i="1"/>
  <c r="G1773" i="1"/>
  <c r="J1772" i="1"/>
  <c r="G1772" i="1"/>
  <c r="J1771" i="1"/>
  <c r="G1771" i="1"/>
  <c r="J1770" i="1"/>
  <c r="G1770" i="1"/>
  <c r="J1769" i="1"/>
  <c r="G1769" i="1"/>
  <c r="J1768" i="1"/>
  <c r="G1768" i="1"/>
  <c r="J1767" i="1"/>
  <c r="G1767" i="1"/>
  <c r="J1766" i="1"/>
  <c r="G1766" i="1"/>
  <c r="J1765" i="1"/>
  <c r="G1765" i="1"/>
  <c r="J1764" i="1"/>
  <c r="G1764" i="1"/>
  <c r="J1763" i="1"/>
  <c r="G1763" i="1"/>
  <c r="J1762" i="1"/>
  <c r="G1762" i="1"/>
  <c r="J1761" i="1"/>
  <c r="G1761" i="1"/>
  <c r="J1760" i="1"/>
  <c r="G1760" i="1"/>
  <c r="J1759" i="1"/>
  <c r="G1759" i="1"/>
  <c r="J1758" i="1"/>
  <c r="G1758" i="1"/>
  <c r="J1757" i="1"/>
  <c r="G1757" i="1"/>
  <c r="J1756" i="1"/>
  <c r="G1756" i="1"/>
  <c r="J1755" i="1"/>
  <c r="G1755" i="1"/>
  <c r="J1754" i="1"/>
  <c r="G1754" i="1"/>
  <c r="J1753" i="1"/>
  <c r="G1753" i="1"/>
  <c r="J1752" i="1"/>
  <c r="G1752" i="1"/>
  <c r="J1751" i="1"/>
  <c r="G1751" i="1"/>
  <c r="J1750" i="1"/>
  <c r="G1750" i="1"/>
  <c r="J1749" i="1"/>
  <c r="G1749" i="1"/>
  <c r="J1748" i="1"/>
  <c r="G1748" i="1"/>
  <c r="J1747" i="1"/>
  <c r="G1747" i="1"/>
  <c r="J1746" i="1"/>
  <c r="G1746" i="1"/>
  <c r="J1745" i="1"/>
  <c r="G1745" i="1"/>
  <c r="J1744" i="1"/>
  <c r="G1744" i="1"/>
  <c r="J1743" i="1"/>
  <c r="G1743" i="1"/>
  <c r="J1742" i="1"/>
  <c r="G1742" i="1"/>
  <c r="J1741" i="1"/>
  <c r="G1741" i="1"/>
  <c r="J1740" i="1"/>
  <c r="G1740" i="1"/>
  <c r="J1739" i="1"/>
  <c r="G1739" i="1"/>
  <c r="J1738" i="1"/>
  <c r="G1738" i="1"/>
  <c r="J1737" i="1"/>
  <c r="G1737" i="1"/>
  <c r="J1736" i="1"/>
  <c r="G1736" i="1"/>
  <c r="J1735" i="1"/>
  <c r="G1735" i="1"/>
  <c r="J1734" i="1"/>
  <c r="G1734" i="1"/>
  <c r="J1733" i="1"/>
  <c r="G1733" i="1"/>
  <c r="J1732" i="1"/>
  <c r="G1732" i="1"/>
  <c r="J1731" i="1"/>
  <c r="G1731" i="1"/>
  <c r="J1730" i="1"/>
  <c r="G1730" i="1"/>
  <c r="J1729" i="1"/>
  <c r="G1729" i="1"/>
  <c r="J1728" i="1"/>
  <c r="G1728" i="1"/>
  <c r="J1727" i="1"/>
  <c r="G1727" i="1"/>
  <c r="J1726" i="1"/>
  <c r="G1726" i="1"/>
  <c r="J1725" i="1"/>
  <c r="G1725" i="1"/>
  <c r="J1724" i="1"/>
  <c r="G1724" i="1"/>
  <c r="J1723" i="1"/>
  <c r="G1723" i="1"/>
  <c r="J1722" i="1"/>
  <c r="G1722" i="1"/>
  <c r="J1721" i="1"/>
  <c r="G1721" i="1"/>
  <c r="J1720" i="1"/>
  <c r="G1720" i="1"/>
  <c r="J1719" i="1"/>
  <c r="G1719" i="1"/>
  <c r="J1718" i="1"/>
  <c r="G1718" i="1"/>
  <c r="J1717" i="1"/>
  <c r="G1717" i="1"/>
  <c r="J1716" i="1"/>
  <c r="G1716" i="1"/>
  <c r="J1715" i="1"/>
  <c r="G1715" i="1"/>
  <c r="J1714" i="1"/>
  <c r="G1714" i="1"/>
  <c r="J1713" i="1"/>
  <c r="G1713" i="1"/>
  <c r="J1712" i="1"/>
  <c r="G1712" i="1"/>
  <c r="J1711" i="1"/>
  <c r="G1711" i="1"/>
  <c r="J1710" i="1"/>
  <c r="G1710" i="1"/>
  <c r="J1709" i="1"/>
  <c r="G1709" i="1"/>
  <c r="J1708" i="1"/>
  <c r="G1708" i="1"/>
  <c r="J1707" i="1"/>
  <c r="G1707" i="1"/>
  <c r="J1706" i="1"/>
  <c r="G1706" i="1"/>
  <c r="J1705" i="1"/>
  <c r="G1705" i="1"/>
  <c r="J1704" i="1"/>
  <c r="G1704" i="1"/>
  <c r="J1703" i="1"/>
  <c r="G1703" i="1"/>
  <c r="J1702" i="1"/>
  <c r="G1702" i="1"/>
  <c r="J1701" i="1"/>
  <c r="G1701" i="1"/>
  <c r="J1700" i="1"/>
  <c r="G1700" i="1"/>
  <c r="J1699" i="1"/>
  <c r="G1699" i="1"/>
  <c r="J1698" i="1"/>
  <c r="G1698" i="1"/>
  <c r="J1697" i="1"/>
  <c r="G1697" i="1"/>
  <c r="J1696" i="1"/>
  <c r="G1696" i="1"/>
  <c r="J1695" i="1"/>
  <c r="G1695" i="1"/>
  <c r="J1694" i="1"/>
  <c r="G1694" i="1"/>
  <c r="J1693" i="1"/>
  <c r="G1693" i="1"/>
  <c r="J1692" i="1"/>
  <c r="G1692" i="1"/>
  <c r="J1691" i="1"/>
  <c r="G1691" i="1"/>
  <c r="J1690" i="1"/>
  <c r="G1690" i="1"/>
  <c r="J1689" i="1"/>
  <c r="G1689" i="1"/>
  <c r="J1688" i="1"/>
  <c r="G1688" i="1"/>
  <c r="J1687" i="1"/>
  <c r="G1687" i="1"/>
  <c r="J1686" i="1"/>
  <c r="G1686" i="1"/>
  <c r="J1685" i="1"/>
  <c r="G1685" i="1"/>
  <c r="J1684" i="1"/>
  <c r="G1684" i="1"/>
  <c r="J1683" i="1"/>
  <c r="G1683" i="1"/>
  <c r="J1682" i="1"/>
  <c r="G1682" i="1"/>
  <c r="J1681" i="1"/>
  <c r="G1681" i="1"/>
  <c r="J1680" i="1"/>
  <c r="G1680" i="1"/>
  <c r="J1679" i="1"/>
  <c r="G1679" i="1"/>
  <c r="J1678" i="1"/>
  <c r="G1678" i="1"/>
  <c r="J1677" i="1"/>
  <c r="G1677" i="1"/>
  <c r="J1676" i="1"/>
  <c r="G1676" i="1"/>
  <c r="J1675" i="1"/>
  <c r="G1675" i="1"/>
  <c r="J1674" i="1"/>
  <c r="G1674" i="1"/>
  <c r="J1673" i="1"/>
  <c r="G1673" i="1"/>
  <c r="J1672" i="1"/>
  <c r="G1672" i="1"/>
  <c r="J1671" i="1"/>
  <c r="G1671" i="1"/>
  <c r="J1670" i="1"/>
  <c r="G1670" i="1"/>
  <c r="J1669" i="1"/>
  <c r="G1669" i="1"/>
  <c r="J1668" i="1"/>
  <c r="G1668" i="1"/>
  <c r="J1667" i="1"/>
  <c r="G1667" i="1"/>
  <c r="J1666" i="1"/>
  <c r="G1666" i="1"/>
  <c r="J1665" i="1"/>
  <c r="G1665" i="1"/>
  <c r="J1664" i="1"/>
  <c r="G1664" i="1"/>
  <c r="J1663" i="1"/>
  <c r="G1663" i="1"/>
  <c r="J1662" i="1"/>
  <c r="G1662" i="1"/>
  <c r="J1661" i="1"/>
  <c r="G1661" i="1"/>
  <c r="J1660" i="1"/>
  <c r="G1660" i="1"/>
  <c r="J1659" i="1"/>
  <c r="G1659" i="1"/>
  <c r="J1658" i="1"/>
  <c r="G1658" i="1"/>
  <c r="J1657" i="1"/>
  <c r="G1657" i="1"/>
  <c r="J1656" i="1"/>
  <c r="G1656" i="1"/>
  <c r="J1655" i="1"/>
  <c r="G1655" i="1"/>
  <c r="J1654" i="1"/>
  <c r="G1654" i="1"/>
  <c r="J1653" i="1"/>
  <c r="G1653" i="1"/>
  <c r="J1652" i="1"/>
  <c r="G1652" i="1"/>
  <c r="J1651" i="1"/>
  <c r="G1651" i="1"/>
  <c r="J1650" i="1"/>
  <c r="G1650" i="1"/>
  <c r="J1649" i="1"/>
  <c r="G1649" i="1"/>
  <c r="J1648" i="1"/>
  <c r="G1648" i="1"/>
  <c r="J1647" i="1"/>
  <c r="G1647" i="1"/>
  <c r="J1646" i="1"/>
  <c r="G1646" i="1"/>
  <c r="J1645" i="1"/>
  <c r="G1645" i="1"/>
  <c r="J1644" i="1"/>
  <c r="G1644" i="1"/>
  <c r="J1643" i="1"/>
  <c r="G1643" i="1"/>
  <c r="J1642" i="1"/>
  <c r="G1642" i="1"/>
  <c r="J1641" i="1"/>
  <c r="G1641" i="1"/>
  <c r="J1640" i="1"/>
  <c r="G1640" i="1"/>
  <c r="J1639" i="1"/>
  <c r="G1639" i="1"/>
  <c r="J1638" i="1"/>
  <c r="G1638" i="1"/>
  <c r="J1637" i="1"/>
  <c r="G1637" i="1"/>
  <c r="J1636" i="1"/>
  <c r="G1636" i="1"/>
  <c r="J1635" i="1"/>
  <c r="G1635" i="1"/>
  <c r="J1634" i="1"/>
  <c r="G1634" i="1"/>
  <c r="J1633" i="1"/>
  <c r="G1633" i="1"/>
  <c r="J1632" i="1"/>
  <c r="G1632" i="1"/>
  <c r="J1631" i="1"/>
  <c r="G1631" i="1"/>
  <c r="J1630" i="1"/>
  <c r="G1630" i="1"/>
  <c r="J1629" i="1"/>
  <c r="G1629" i="1"/>
  <c r="J1628" i="1"/>
  <c r="G1628" i="1"/>
  <c r="J1627" i="1"/>
  <c r="G1627" i="1"/>
  <c r="J1626" i="1"/>
  <c r="G1626" i="1"/>
  <c r="J1625" i="1"/>
  <c r="G1625" i="1"/>
  <c r="J1624" i="1"/>
  <c r="G1624" i="1"/>
  <c r="J1623" i="1"/>
  <c r="G1623" i="1"/>
  <c r="J1622" i="1"/>
  <c r="G1622" i="1"/>
  <c r="J1621" i="1"/>
  <c r="G1621" i="1"/>
  <c r="J1620" i="1"/>
  <c r="G1620" i="1"/>
  <c r="J1619" i="1"/>
  <c r="G1619" i="1"/>
  <c r="J1618" i="1"/>
  <c r="G1618" i="1"/>
  <c r="J1617" i="1"/>
  <c r="G1617" i="1"/>
  <c r="J1616" i="1"/>
  <c r="G1616" i="1"/>
  <c r="J1615" i="1"/>
  <c r="G1615" i="1"/>
  <c r="J1614" i="1"/>
  <c r="G1614" i="1"/>
  <c r="J1613" i="1"/>
  <c r="G1613" i="1"/>
  <c r="J1612" i="1"/>
  <c r="G1612" i="1"/>
  <c r="J1611" i="1"/>
  <c r="G1611" i="1"/>
  <c r="J1610" i="1"/>
  <c r="G1610" i="1"/>
  <c r="J1609" i="1"/>
  <c r="G1609" i="1"/>
  <c r="J1608" i="1"/>
  <c r="G1608" i="1"/>
  <c r="J1607" i="1"/>
  <c r="G1607" i="1"/>
  <c r="J1606" i="1"/>
  <c r="G1606" i="1"/>
  <c r="J1605" i="1"/>
  <c r="G1605" i="1"/>
  <c r="J1604" i="1"/>
  <c r="G1604" i="1"/>
  <c r="J1603" i="1"/>
  <c r="G1603" i="1"/>
  <c r="J1602" i="1"/>
  <c r="G1602" i="1"/>
  <c r="J1601" i="1"/>
  <c r="G1601" i="1"/>
  <c r="J1600" i="1"/>
  <c r="G1600" i="1"/>
  <c r="J1599" i="1"/>
  <c r="G1599" i="1"/>
  <c r="J1598" i="1"/>
  <c r="G1598" i="1"/>
  <c r="J1597" i="1"/>
  <c r="G1597" i="1"/>
  <c r="J1596" i="1"/>
  <c r="G1596" i="1"/>
  <c r="J1595" i="1"/>
  <c r="G1595" i="1"/>
  <c r="J1594" i="1"/>
  <c r="G1594" i="1"/>
  <c r="J1593" i="1"/>
  <c r="G1593" i="1"/>
  <c r="J1592" i="1"/>
  <c r="G1592" i="1"/>
  <c r="J1591" i="1"/>
  <c r="G1591" i="1"/>
  <c r="J1590" i="1"/>
  <c r="G1590" i="1"/>
  <c r="J1589" i="1"/>
  <c r="G1589" i="1"/>
  <c r="J1588" i="1"/>
  <c r="G1588" i="1"/>
  <c r="J1587" i="1"/>
  <c r="G1587" i="1"/>
  <c r="J1586" i="1"/>
  <c r="G1586" i="1"/>
  <c r="J1585" i="1"/>
  <c r="G1585" i="1"/>
  <c r="J1584" i="1"/>
  <c r="G1584" i="1"/>
  <c r="J1583" i="1"/>
  <c r="G1583" i="1"/>
  <c r="J1582" i="1"/>
  <c r="G1582" i="1"/>
  <c r="J1581" i="1"/>
  <c r="G1581" i="1"/>
  <c r="J1580" i="1"/>
  <c r="G1580" i="1"/>
  <c r="J1579" i="1"/>
  <c r="G1579" i="1"/>
  <c r="J1578" i="1"/>
  <c r="G1578" i="1"/>
  <c r="J1577" i="1"/>
  <c r="G1577" i="1"/>
  <c r="J1576" i="1"/>
  <c r="G1576" i="1"/>
  <c r="J1575" i="1"/>
  <c r="G1575" i="1"/>
  <c r="J1574" i="1"/>
  <c r="G1574" i="1"/>
  <c r="J1573" i="1"/>
  <c r="G1573" i="1"/>
  <c r="J1572" i="1"/>
  <c r="G1572" i="1"/>
  <c r="J1571" i="1"/>
  <c r="G1571" i="1"/>
  <c r="J1570" i="1"/>
  <c r="G1570" i="1"/>
  <c r="J1569" i="1"/>
  <c r="G1569" i="1"/>
  <c r="J1568" i="1"/>
  <c r="G1568" i="1"/>
  <c r="J1567" i="1"/>
  <c r="G1567" i="1"/>
  <c r="J1566" i="1"/>
  <c r="G1566" i="1"/>
  <c r="J1565" i="1"/>
  <c r="G1565" i="1"/>
  <c r="J1564" i="1"/>
  <c r="G1564" i="1"/>
  <c r="J1563" i="1"/>
  <c r="G1563" i="1"/>
  <c r="J1562" i="1"/>
  <c r="G1562" i="1"/>
  <c r="J1561" i="1"/>
  <c r="G1561" i="1"/>
  <c r="J1560" i="1"/>
  <c r="G1560" i="1"/>
  <c r="J1559" i="1"/>
  <c r="G1559" i="1"/>
  <c r="J1558" i="1"/>
  <c r="G1558" i="1"/>
  <c r="J1557" i="1"/>
  <c r="G1557" i="1"/>
  <c r="J1556" i="1"/>
  <c r="G1556" i="1"/>
  <c r="J1555" i="1"/>
  <c r="G1555" i="1"/>
  <c r="J1554" i="1"/>
  <c r="G1554" i="1"/>
  <c r="J1553" i="1"/>
  <c r="G1553" i="1"/>
  <c r="J1552" i="1"/>
  <c r="G1552" i="1"/>
  <c r="J1551" i="1"/>
  <c r="G1551" i="1"/>
  <c r="J1550" i="1"/>
  <c r="G1550" i="1"/>
  <c r="J1549" i="1"/>
  <c r="G1549" i="1"/>
  <c r="J1548" i="1"/>
  <c r="G1548" i="1"/>
  <c r="J1547" i="1"/>
  <c r="G1547" i="1"/>
  <c r="J1546" i="1"/>
  <c r="G1546" i="1"/>
  <c r="J1545" i="1"/>
  <c r="G1545" i="1"/>
  <c r="J1544" i="1"/>
  <c r="G1544" i="1"/>
  <c r="J1543" i="1"/>
  <c r="G1543" i="1"/>
  <c r="J1542" i="1"/>
  <c r="G1542" i="1"/>
  <c r="J1541" i="1"/>
  <c r="G1541" i="1"/>
  <c r="J1540" i="1"/>
  <c r="G1540" i="1"/>
  <c r="J1539" i="1"/>
  <c r="G1539" i="1"/>
  <c r="J1538" i="1"/>
  <c r="G1538" i="1"/>
  <c r="J1537" i="1"/>
  <c r="G1537" i="1"/>
  <c r="J1536" i="1"/>
  <c r="G1536" i="1"/>
  <c r="J1535" i="1"/>
  <c r="G1535" i="1"/>
  <c r="J1534" i="1"/>
  <c r="G1534" i="1"/>
  <c r="J1533" i="1"/>
  <c r="G1533" i="1"/>
  <c r="J1532" i="1"/>
  <c r="G1532" i="1"/>
  <c r="J1531" i="1"/>
  <c r="G1531" i="1"/>
  <c r="J1530" i="1"/>
  <c r="G1530" i="1"/>
  <c r="J1529" i="1"/>
  <c r="G1529" i="1"/>
  <c r="J1528" i="1"/>
  <c r="G1528" i="1"/>
  <c r="J1527" i="1"/>
  <c r="G1527" i="1"/>
  <c r="J1526" i="1"/>
  <c r="G1526" i="1"/>
  <c r="J1525" i="1"/>
  <c r="G1525" i="1"/>
  <c r="J1524" i="1"/>
  <c r="G1524" i="1"/>
  <c r="J1523" i="1"/>
  <c r="G1523" i="1"/>
  <c r="J1522" i="1"/>
  <c r="G1522" i="1"/>
  <c r="J1521" i="1"/>
  <c r="G1521" i="1"/>
  <c r="J1520" i="1"/>
  <c r="G1520" i="1"/>
  <c r="J1519" i="1"/>
  <c r="G1519" i="1"/>
  <c r="J1518" i="1"/>
  <c r="G1518" i="1"/>
  <c r="J1517" i="1"/>
  <c r="G1517" i="1"/>
  <c r="J1516" i="1"/>
  <c r="G1516" i="1"/>
  <c r="J1515" i="1"/>
  <c r="G1515" i="1"/>
  <c r="J1514" i="1"/>
  <c r="G1514" i="1"/>
  <c r="J1513" i="1"/>
  <c r="G1513" i="1"/>
  <c r="J1512" i="1"/>
  <c r="G1512" i="1"/>
  <c r="J1511" i="1"/>
  <c r="G1511" i="1"/>
  <c r="J1510" i="1"/>
  <c r="G1510" i="1"/>
  <c r="J1509" i="1"/>
  <c r="G1509" i="1"/>
  <c r="J1508" i="1"/>
  <c r="G1508" i="1"/>
  <c r="J1507" i="1"/>
  <c r="G1507" i="1"/>
  <c r="J1506" i="1"/>
  <c r="G1506" i="1"/>
  <c r="J1505" i="1"/>
  <c r="G1505" i="1"/>
  <c r="J1504" i="1"/>
  <c r="G1504" i="1"/>
  <c r="J1503" i="1"/>
  <c r="G1503" i="1"/>
  <c r="J1502" i="1"/>
  <c r="G1502" i="1"/>
  <c r="J1501" i="1"/>
  <c r="G1501" i="1"/>
  <c r="J1500" i="1"/>
  <c r="G1500" i="1"/>
  <c r="J1499" i="1"/>
  <c r="G1499" i="1"/>
  <c r="J1498" i="1"/>
  <c r="G1498" i="1"/>
  <c r="J1497" i="1"/>
  <c r="G1497" i="1"/>
  <c r="J1496" i="1"/>
  <c r="G1496" i="1"/>
  <c r="J1495" i="1"/>
  <c r="G1495" i="1"/>
  <c r="J1494" i="1"/>
  <c r="G1494" i="1"/>
  <c r="J1493" i="1"/>
  <c r="G1493" i="1"/>
  <c r="J1492" i="1"/>
  <c r="G1492" i="1"/>
  <c r="J1491" i="1"/>
  <c r="G1491" i="1"/>
  <c r="J1490" i="1"/>
  <c r="G1490" i="1"/>
  <c r="J1489" i="1"/>
  <c r="G1489" i="1"/>
  <c r="J1488" i="1"/>
  <c r="G1488" i="1"/>
  <c r="J1487" i="1"/>
  <c r="G1487" i="1"/>
  <c r="J1486" i="1"/>
  <c r="G1486" i="1"/>
  <c r="J1485" i="1"/>
  <c r="G1485" i="1"/>
  <c r="J1484" i="1"/>
  <c r="G1484" i="1"/>
  <c r="J1483" i="1"/>
  <c r="G1483" i="1"/>
  <c r="J1482" i="1"/>
  <c r="G1482" i="1"/>
  <c r="J1481" i="1"/>
  <c r="G1481" i="1"/>
  <c r="J1480" i="1"/>
  <c r="G1480" i="1"/>
  <c r="J1479" i="1"/>
  <c r="G1479" i="1"/>
  <c r="J1478" i="1"/>
  <c r="G1478" i="1"/>
  <c r="J1477" i="1"/>
  <c r="G1477" i="1"/>
  <c r="J1476" i="1"/>
  <c r="G1476" i="1"/>
  <c r="J1475" i="1"/>
  <c r="G1475" i="1"/>
  <c r="J1474" i="1"/>
  <c r="G1474" i="1"/>
  <c r="J1473" i="1"/>
  <c r="G1473" i="1"/>
  <c r="J1472" i="1"/>
  <c r="G1472" i="1"/>
  <c r="J1471" i="1"/>
  <c r="G1471" i="1"/>
  <c r="J1470" i="1"/>
  <c r="G1470" i="1"/>
  <c r="J1469" i="1"/>
  <c r="G1469" i="1"/>
  <c r="J1468" i="1"/>
  <c r="G1468" i="1"/>
  <c r="J1467" i="1"/>
  <c r="G1467" i="1"/>
  <c r="J1466" i="1"/>
  <c r="G1466" i="1"/>
  <c r="J1465" i="1"/>
  <c r="G1465" i="1"/>
  <c r="J1464" i="1"/>
  <c r="G1464" i="1"/>
  <c r="J1463" i="1"/>
  <c r="G1463" i="1"/>
  <c r="J1462" i="1"/>
  <c r="G1462" i="1"/>
  <c r="J1461" i="1"/>
  <c r="G1461" i="1"/>
  <c r="J1460" i="1"/>
  <c r="G1460" i="1"/>
  <c r="J1459" i="1"/>
  <c r="G1459" i="1"/>
  <c r="J1458" i="1"/>
  <c r="G1458" i="1"/>
  <c r="J1457" i="1"/>
  <c r="G1457" i="1"/>
  <c r="J1456" i="1"/>
  <c r="G1456" i="1"/>
  <c r="J1455" i="1"/>
  <c r="G1455" i="1"/>
  <c r="J1454" i="1"/>
  <c r="G1454" i="1"/>
  <c r="J1453" i="1"/>
  <c r="G1453" i="1"/>
  <c r="J1452" i="1"/>
  <c r="G1452" i="1"/>
  <c r="J1451" i="1"/>
  <c r="G1451" i="1"/>
  <c r="J1450" i="1"/>
  <c r="G1450" i="1"/>
  <c r="J1449" i="1"/>
  <c r="G1449" i="1"/>
  <c r="J1448" i="1"/>
  <c r="G1448" i="1"/>
  <c r="J1447" i="1"/>
  <c r="G1447" i="1"/>
  <c r="J1446" i="1"/>
  <c r="G1446" i="1"/>
  <c r="J1445" i="1"/>
  <c r="G1445" i="1"/>
  <c r="J1444" i="1"/>
  <c r="G1444" i="1"/>
  <c r="J1443" i="1"/>
  <c r="G1443" i="1"/>
  <c r="J1442" i="1"/>
  <c r="G1442" i="1"/>
  <c r="J1441" i="1"/>
  <c r="G1441" i="1"/>
  <c r="J1440" i="1"/>
  <c r="G1440" i="1"/>
  <c r="J1439" i="1"/>
  <c r="G1439" i="1"/>
  <c r="J1438" i="1"/>
  <c r="G1438" i="1"/>
  <c r="J1437" i="1"/>
  <c r="G1437" i="1"/>
  <c r="J1436" i="1"/>
  <c r="G1436" i="1"/>
  <c r="J1435" i="1"/>
  <c r="G1435" i="1"/>
  <c r="J1434" i="1"/>
  <c r="G1434" i="1"/>
  <c r="J1433" i="1"/>
  <c r="G1433" i="1"/>
  <c r="J1432" i="1"/>
  <c r="G1432" i="1"/>
  <c r="J1431" i="1"/>
  <c r="G1431" i="1"/>
  <c r="J1430" i="1"/>
  <c r="G1430" i="1"/>
  <c r="J1429" i="1"/>
  <c r="G1429" i="1"/>
  <c r="J1428" i="1"/>
  <c r="G1428" i="1"/>
  <c r="J1427" i="1"/>
  <c r="G1427" i="1"/>
  <c r="J1426" i="1"/>
  <c r="G1426" i="1"/>
  <c r="J1425" i="1"/>
  <c r="G1425" i="1"/>
  <c r="J1424" i="1"/>
  <c r="G1424" i="1"/>
  <c r="J1423" i="1"/>
  <c r="G1423" i="1"/>
  <c r="J1422" i="1"/>
  <c r="G1422" i="1"/>
  <c r="J1421" i="1"/>
  <c r="G1421" i="1"/>
  <c r="J1420" i="1"/>
  <c r="G1420" i="1"/>
  <c r="J1419" i="1"/>
  <c r="G1419" i="1"/>
  <c r="J1418" i="1"/>
  <c r="G1418" i="1"/>
  <c r="J1417" i="1"/>
  <c r="G1417" i="1"/>
  <c r="J1416" i="1"/>
  <c r="G1416" i="1"/>
  <c r="J1415" i="1"/>
  <c r="G1415" i="1"/>
  <c r="J1414" i="1"/>
  <c r="G1414" i="1"/>
  <c r="J1413" i="1"/>
  <c r="G1413" i="1"/>
  <c r="J1412" i="1"/>
  <c r="G1412" i="1"/>
  <c r="J1411" i="1"/>
  <c r="G1411" i="1"/>
  <c r="J1410" i="1"/>
  <c r="G1410" i="1"/>
  <c r="J1409" i="1"/>
  <c r="G1409" i="1"/>
  <c r="J1408" i="1"/>
  <c r="G1408" i="1"/>
  <c r="J1407" i="1"/>
  <c r="G1407" i="1"/>
  <c r="J1406" i="1"/>
  <c r="G1406" i="1"/>
  <c r="J1405" i="1"/>
  <c r="G1405" i="1"/>
  <c r="J1404" i="1"/>
  <c r="G1404" i="1"/>
  <c r="J1403" i="1"/>
  <c r="G1403" i="1"/>
  <c r="J1402" i="1"/>
  <c r="G1402" i="1"/>
  <c r="J1401" i="1"/>
  <c r="G1401" i="1"/>
  <c r="J1400" i="1"/>
  <c r="G1400" i="1"/>
  <c r="J1399" i="1"/>
  <c r="G1399" i="1"/>
  <c r="J1398" i="1"/>
  <c r="G1398" i="1"/>
  <c r="J1397" i="1"/>
  <c r="G1397" i="1"/>
  <c r="J1396" i="1"/>
  <c r="G1396" i="1"/>
  <c r="J1395" i="1"/>
  <c r="G1395" i="1"/>
  <c r="J1394" i="1"/>
  <c r="G1394" i="1"/>
  <c r="J1393" i="1"/>
  <c r="G1393" i="1"/>
  <c r="J1392" i="1"/>
  <c r="G1392" i="1"/>
  <c r="J1391" i="1"/>
  <c r="G1391" i="1"/>
  <c r="J1390" i="1"/>
  <c r="G1390" i="1"/>
  <c r="J1389" i="1"/>
  <c r="G1389" i="1"/>
  <c r="J1388" i="1"/>
  <c r="G1388" i="1"/>
  <c r="J1387" i="1"/>
  <c r="G1387" i="1"/>
  <c r="J1386" i="1"/>
  <c r="G1386" i="1"/>
  <c r="J1385" i="1"/>
  <c r="G1385" i="1"/>
  <c r="J1384" i="1"/>
  <c r="G1384" i="1"/>
  <c r="J1383" i="1"/>
  <c r="G1383" i="1"/>
  <c r="J1382" i="1"/>
  <c r="G1382" i="1"/>
  <c r="J1381" i="1"/>
  <c r="G1381" i="1"/>
  <c r="J1380" i="1"/>
  <c r="G1380" i="1"/>
  <c r="J1379" i="1"/>
  <c r="G1379" i="1"/>
  <c r="J1378" i="1"/>
  <c r="G1378" i="1"/>
  <c r="J1377" i="1"/>
  <c r="G1377" i="1"/>
  <c r="J1376" i="1"/>
  <c r="G1376" i="1"/>
  <c r="J1375" i="1"/>
  <c r="G1375" i="1"/>
  <c r="J1374" i="1"/>
  <c r="G1374" i="1"/>
  <c r="J1373" i="1"/>
  <c r="G1373" i="1"/>
  <c r="J1372" i="1"/>
  <c r="G1372" i="1"/>
  <c r="J1371" i="1"/>
  <c r="G1371" i="1"/>
  <c r="J1370" i="1"/>
  <c r="G1370" i="1"/>
  <c r="J1369" i="1"/>
  <c r="G1369" i="1"/>
  <c r="J1368" i="1"/>
  <c r="G1368" i="1"/>
  <c r="J1367" i="1"/>
  <c r="G1367" i="1"/>
  <c r="J1366" i="1"/>
  <c r="G1366" i="1"/>
  <c r="J1365" i="1"/>
  <c r="G1365" i="1"/>
  <c r="J1364" i="1"/>
  <c r="G1364" i="1"/>
  <c r="J1363" i="1"/>
  <c r="G1363" i="1"/>
  <c r="J1362" i="1"/>
  <c r="G1362" i="1"/>
  <c r="J1361" i="1"/>
  <c r="G1361" i="1"/>
  <c r="J1360" i="1"/>
  <c r="G1360" i="1"/>
  <c r="J1359" i="1"/>
  <c r="G1359" i="1"/>
  <c r="J1358" i="1"/>
  <c r="G1358" i="1"/>
  <c r="J1357" i="1"/>
  <c r="G1357" i="1"/>
  <c r="J1356" i="1"/>
  <c r="G1356" i="1"/>
  <c r="J1355" i="1"/>
  <c r="G1355" i="1"/>
  <c r="J1354" i="1"/>
  <c r="G1354" i="1"/>
  <c r="J1353" i="1"/>
  <c r="G1353" i="1"/>
  <c r="J1352" i="1"/>
  <c r="G1352" i="1"/>
  <c r="J1351" i="1"/>
  <c r="G1351" i="1"/>
  <c r="J1350" i="1"/>
  <c r="G1350" i="1"/>
  <c r="J1349" i="1"/>
  <c r="G1349" i="1"/>
  <c r="J1348" i="1"/>
  <c r="G1348" i="1"/>
  <c r="J1347" i="1"/>
  <c r="G1347" i="1"/>
  <c r="J1346" i="1"/>
  <c r="G1346" i="1"/>
  <c r="J1345" i="1"/>
  <c r="G1345" i="1"/>
  <c r="J1344" i="1"/>
  <c r="G1344" i="1"/>
  <c r="J1343" i="1"/>
  <c r="G1343" i="1"/>
  <c r="J1342" i="1"/>
  <c r="G1342" i="1"/>
  <c r="J1341" i="1"/>
  <c r="G1341" i="1"/>
  <c r="J1340" i="1"/>
  <c r="G1340" i="1"/>
  <c r="J1339" i="1"/>
  <c r="G1339" i="1"/>
  <c r="J1338" i="1"/>
  <c r="G1338" i="1"/>
  <c r="J1337" i="1"/>
  <c r="G1337" i="1"/>
  <c r="J1336" i="1"/>
  <c r="G1336" i="1"/>
  <c r="J1335" i="1"/>
  <c r="G1335" i="1"/>
  <c r="J1334" i="1"/>
  <c r="G1334" i="1"/>
  <c r="J1333" i="1"/>
  <c r="G1333" i="1"/>
  <c r="J1332" i="1"/>
  <c r="G1332" i="1"/>
  <c r="J1331" i="1"/>
  <c r="G1331" i="1"/>
  <c r="J1330" i="1"/>
  <c r="G1330" i="1"/>
  <c r="J1329" i="1"/>
  <c r="G1329" i="1"/>
  <c r="J1328" i="1"/>
  <c r="G1328" i="1"/>
  <c r="J1327" i="1"/>
  <c r="G1327" i="1"/>
  <c r="J1326" i="1"/>
  <c r="G1326" i="1"/>
  <c r="J1325" i="1"/>
  <c r="G1325" i="1"/>
  <c r="J1324" i="1"/>
  <c r="G1324" i="1"/>
  <c r="J1323" i="1"/>
  <c r="G1323" i="1"/>
  <c r="J1322" i="1"/>
  <c r="G1322" i="1"/>
  <c r="J1321" i="1"/>
  <c r="G1321" i="1"/>
  <c r="J1320" i="1"/>
  <c r="G1320" i="1"/>
  <c r="J1319" i="1"/>
  <c r="G1319" i="1"/>
  <c r="J1318" i="1"/>
  <c r="G1318" i="1"/>
  <c r="J1317" i="1"/>
  <c r="G1317" i="1"/>
  <c r="J1316" i="1"/>
  <c r="G1316" i="1"/>
  <c r="J1315" i="1"/>
  <c r="G1315" i="1"/>
  <c r="J1314" i="1"/>
  <c r="G1314" i="1"/>
  <c r="J1313" i="1"/>
  <c r="G1313" i="1"/>
  <c r="J1312" i="1"/>
  <c r="G1312" i="1"/>
  <c r="J1311" i="1"/>
  <c r="G1311" i="1"/>
  <c r="J1310" i="1"/>
  <c r="G1310" i="1"/>
  <c r="J1309" i="1"/>
  <c r="G1309" i="1"/>
  <c r="J1308" i="1"/>
  <c r="G1308" i="1"/>
  <c r="J1307" i="1"/>
  <c r="G1307" i="1"/>
  <c r="J1306" i="1"/>
  <c r="G1306" i="1"/>
  <c r="J1305" i="1"/>
  <c r="G1305" i="1"/>
  <c r="J1304" i="1"/>
  <c r="G1304" i="1"/>
  <c r="J1303" i="1"/>
  <c r="G1303" i="1"/>
  <c r="J1302" i="1"/>
  <c r="G1302" i="1"/>
  <c r="J1301" i="1"/>
  <c r="G1301" i="1"/>
  <c r="J1300" i="1"/>
  <c r="G1300" i="1"/>
  <c r="J1299" i="1"/>
  <c r="G1299" i="1"/>
  <c r="J1298" i="1"/>
  <c r="G1298" i="1"/>
  <c r="J1297" i="1"/>
  <c r="G1297" i="1"/>
  <c r="J1296" i="1"/>
  <c r="G1296" i="1"/>
  <c r="J1295" i="1"/>
  <c r="G1295" i="1"/>
  <c r="J1294" i="1"/>
  <c r="G1294" i="1"/>
  <c r="J1293" i="1"/>
  <c r="G1293" i="1"/>
  <c r="J1292" i="1"/>
  <c r="G1292" i="1"/>
  <c r="J1291" i="1"/>
  <c r="G1291" i="1"/>
  <c r="J1290" i="1"/>
  <c r="G1290" i="1"/>
  <c r="J1289" i="1"/>
  <c r="G1289" i="1"/>
  <c r="J1288" i="1"/>
  <c r="G1288" i="1"/>
  <c r="J1287" i="1"/>
  <c r="G1287" i="1"/>
  <c r="J1286" i="1"/>
  <c r="G1286" i="1"/>
  <c r="J1285" i="1"/>
  <c r="G1285" i="1"/>
  <c r="J1284" i="1"/>
  <c r="G1284" i="1"/>
  <c r="J1283" i="1"/>
  <c r="G1283" i="1"/>
  <c r="J1282" i="1"/>
  <c r="G1282" i="1"/>
  <c r="J1281" i="1"/>
  <c r="G1281" i="1"/>
  <c r="J1280" i="1"/>
  <c r="G1280" i="1"/>
  <c r="J1279" i="1"/>
  <c r="G1279" i="1"/>
  <c r="J1278" i="1"/>
  <c r="G1278" i="1"/>
  <c r="J1277" i="1"/>
  <c r="G1277" i="1"/>
  <c r="J1276" i="1"/>
  <c r="G1276" i="1"/>
  <c r="J1275" i="1"/>
  <c r="G1275" i="1"/>
  <c r="J1274" i="1"/>
  <c r="G1274" i="1"/>
  <c r="J1273" i="1"/>
  <c r="G1273" i="1"/>
  <c r="J1272" i="1"/>
  <c r="G1272" i="1"/>
  <c r="J1271" i="1"/>
  <c r="G1271" i="1"/>
  <c r="J1270" i="1"/>
  <c r="G1270" i="1"/>
  <c r="J1269" i="1"/>
  <c r="G1269" i="1"/>
  <c r="J1268" i="1"/>
  <c r="G1268" i="1"/>
  <c r="J1267" i="1"/>
  <c r="G1267" i="1"/>
  <c r="J1266" i="1"/>
  <c r="G1266" i="1"/>
  <c r="J1265" i="1"/>
  <c r="G1265" i="1"/>
  <c r="J1264" i="1"/>
  <c r="G1264" i="1"/>
  <c r="J1263" i="1"/>
  <c r="G1263" i="1"/>
  <c r="J1262" i="1"/>
  <c r="G1262" i="1"/>
  <c r="J1261" i="1"/>
  <c r="G1261" i="1"/>
  <c r="J1260" i="1"/>
  <c r="G1260" i="1"/>
  <c r="J1259" i="1"/>
  <c r="G1259" i="1"/>
  <c r="J1258" i="1"/>
  <c r="G1258" i="1"/>
  <c r="J1257" i="1"/>
  <c r="G1257" i="1"/>
  <c r="J1256" i="1"/>
  <c r="G1256" i="1"/>
  <c r="J1255" i="1"/>
  <c r="G1255" i="1"/>
  <c r="J1254" i="1"/>
  <c r="G1254" i="1"/>
  <c r="J1253" i="1"/>
  <c r="G1253" i="1"/>
  <c r="J1252" i="1"/>
  <c r="G1252" i="1"/>
  <c r="J1251" i="1"/>
  <c r="G1251" i="1"/>
  <c r="J1250" i="1"/>
  <c r="G1250" i="1"/>
  <c r="J1249" i="1"/>
  <c r="G1249" i="1"/>
  <c r="J1248" i="1"/>
  <c r="G1248" i="1"/>
  <c r="J1247" i="1"/>
  <c r="G1247" i="1"/>
  <c r="J1246" i="1"/>
  <c r="G1246" i="1"/>
  <c r="J1245" i="1"/>
  <c r="G1245" i="1"/>
  <c r="J1244" i="1"/>
  <c r="G1244" i="1"/>
  <c r="J1243" i="1"/>
  <c r="G1243" i="1"/>
  <c r="J1242" i="1"/>
  <c r="G1242" i="1"/>
  <c r="J1241" i="1"/>
  <c r="G1241" i="1"/>
  <c r="J1240" i="1"/>
  <c r="G1240" i="1"/>
  <c r="J1239" i="1"/>
  <c r="G1239" i="1"/>
  <c r="J1238" i="1"/>
  <c r="G1238" i="1"/>
  <c r="J1237" i="1"/>
  <c r="G1237" i="1"/>
  <c r="J1236" i="1"/>
  <c r="G1236" i="1"/>
  <c r="J1235" i="1"/>
  <c r="G1235" i="1"/>
  <c r="J1234" i="1"/>
  <c r="G1234" i="1"/>
  <c r="J1233" i="1"/>
  <c r="G1233" i="1"/>
  <c r="J1232" i="1"/>
  <c r="G1232" i="1"/>
  <c r="J1231" i="1"/>
  <c r="G1231" i="1"/>
  <c r="J1230" i="1"/>
  <c r="G1230" i="1"/>
  <c r="J1229" i="1"/>
  <c r="G1229" i="1"/>
  <c r="J1228" i="1"/>
  <c r="G1228" i="1"/>
  <c r="J1227" i="1"/>
  <c r="G1227" i="1"/>
  <c r="J1226" i="1"/>
  <c r="G1226" i="1"/>
  <c r="J1225" i="1"/>
  <c r="G1225" i="1"/>
  <c r="J1224" i="1"/>
  <c r="G1224" i="1"/>
  <c r="J1223" i="1"/>
  <c r="G1223" i="1"/>
  <c r="J1222" i="1"/>
  <c r="G1222" i="1"/>
  <c r="J1221" i="1"/>
  <c r="G1221" i="1"/>
  <c r="J1220" i="1"/>
  <c r="G1220" i="1"/>
  <c r="J1219" i="1"/>
  <c r="G1219" i="1"/>
  <c r="J1218" i="1"/>
  <c r="G1218" i="1"/>
  <c r="J1217" i="1"/>
  <c r="G1217" i="1"/>
  <c r="J1216" i="1"/>
  <c r="G1216" i="1"/>
  <c r="J1215" i="1"/>
  <c r="G1215" i="1"/>
  <c r="J1214" i="1"/>
  <c r="G1214" i="1"/>
  <c r="J1213" i="1"/>
  <c r="G1213" i="1"/>
  <c r="J1212" i="1"/>
  <c r="G1212" i="1"/>
  <c r="J1211" i="1"/>
  <c r="G1211" i="1"/>
  <c r="J1210" i="1"/>
  <c r="G1210" i="1"/>
  <c r="J1209" i="1"/>
  <c r="G1209" i="1"/>
  <c r="J1208" i="1"/>
  <c r="G1208" i="1"/>
  <c r="J1207" i="1"/>
  <c r="G1207" i="1"/>
  <c r="J1206" i="1"/>
  <c r="G1206" i="1"/>
  <c r="J1205" i="1"/>
  <c r="G1205" i="1"/>
  <c r="J1204" i="1"/>
  <c r="G1204" i="1"/>
  <c r="J1203" i="1"/>
  <c r="G1203" i="1"/>
  <c r="J1202" i="1"/>
  <c r="G1202" i="1"/>
  <c r="J1201" i="1"/>
  <c r="G1201" i="1"/>
  <c r="J1200" i="1"/>
  <c r="G1200" i="1"/>
  <c r="J1199" i="1"/>
  <c r="G1199" i="1"/>
  <c r="J1198" i="1"/>
  <c r="G1198" i="1"/>
  <c r="J1197" i="1"/>
  <c r="G1197" i="1"/>
  <c r="J1196" i="1"/>
  <c r="G1196" i="1"/>
  <c r="J1195" i="1"/>
  <c r="G1195" i="1"/>
  <c r="J1194" i="1"/>
  <c r="G1194" i="1"/>
  <c r="J1193" i="1"/>
  <c r="G1193" i="1"/>
  <c r="J1192" i="1"/>
  <c r="G1192" i="1"/>
  <c r="J1191" i="1"/>
  <c r="G1191" i="1"/>
  <c r="J1190" i="1"/>
  <c r="G1190" i="1"/>
  <c r="J1189" i="1"/>
  <c r="G1189" i="1"/>
  <c r="J1188" i="1"/>
  <c r="G1188" i="1"/>
  <c r="J1187" i="1"/>
  <c r="G1187" i="1"/>
  <c r="J1186" i="1"/>
  <c r="G1186" i="1"/>
  <c r="J1185" i="1"/>
  <c r="G1185" i="1"/>
  <c r="J1184" i="1"/>
  <c r="G1184" i="1"/>
  <c r="J1183" i="1"/>
  <c r="G1183" i="1"/>
  <c r="J1182" i="1"/>
  <c r="G1182" i="1"/>
  <c r="J1181" i="1"/>
  <c r="G1181" i="1"/>
  <c r="J1180" i="1"/>
  <c r="G1180" i="1"/>
  <c r="J1179" i="1"/>
  <c r="G1179" i="1"/>
  <c r="J1178" i="1"/>
  <c r="G1178" i="1"/>
  <c r="J1177" i="1"/>
  <c r="G1177" i="1"/>
  <c r="J1176" i="1"/>
  <c r="G1176" i="1"/>
  <c r="J1175" i="1"/>
  <c r="G1175" i="1"/>
  <c r="J1174" i="1"/>
  <c r="G1174" i="1"/>
  <c r="J1173" i="1"/>
  <c r="G1173" i="1"/>
  <c r="J1172" i="1"/>
  <c r="G1172" i="1"/>
  <c r="J1171" i="1"/>
  <c r="G1171" i="1"/>
  <c r="J1170" i="1"/>
  <c r="G1170" i="1"/>
  <c r="J1169" i="1"/>
  <c r="G1169" i="1"/>
  <c r="J1168" i="1"/>
  <c r="G1168" i="1"/>
  <c r="J1167" i="1"/>
  <c r="G1167" i="1"/>
  <c r="J1166" i="1"/>
  <c r="G1166" i="1"/>
  <c r="J1165" i="1"/>
  <c r="G1165" i="1"/>
  <c r="J1164" i="1"/>
  <c r="G1164" i="1"/>
  <c r="J1163" i="1"/>
  <c r="G1163" i="1"/>
  <c r="J1162" i="1"/>
  <c r="G1162" i="1"/>
  <c r="J1161" i="1"/>
  <c r="G1161" i="1"/>
  <c r="J1160" i="1"/>
  <c r="G1160" i="1"/>
  <c r="J1159" i="1"/>
  <c r="G1159" i="1"/>
  <c r="J1158" i="1"/>
  <c r="G1158" i="1"/>
  <c r="J1157" i="1"/>
  <c r="G1157" i="1"/>
  <c r="J1156" i="1"/>
  <c r="G1156" i="1"/>
  <c r="J1155" i="1"/>
  <c r="G1155" i="1"/>
  <c r="J1154" i="1"/>
  <c r="G1154" i="1"/>
  <c r="J1153" i="1"/>
  <c r="G1153" i="1"/>
  <c r="J1152" i="1"/>
  <c r="G1152" i="1"/>
  <c r="J1151" i="1"/>
  <c r="G1151" i="1"/>
  <c r="J1150" i="1"/>
  <c r="G1150" i="1"/>
  <c r="J1149" i="1"/>
  <c r="G1149" i="1"/>
  <c r="J1148" i="1"/>
  <c r="G1148" i="1"/>
  <c r="J1147" i="1"/>
  <c r="G1147" i="1"/>
  <c r="J1146" i="1"/>
  <c r="G1146" i="1"/>
  <c r="J1145" i="1"/>
  <c r="G1145" i="1"/>
  <c r="J1144" i="1"/>
  <c r="G1144" i="1"/>
  <c r="J1143" i="1"/>
  <c r="G1143" i="1"/>
  <c r="J1142" i="1"/>
  <c r="G1142" i="1"/>
  <c r="J1141" i="1"/>
  <c r="G1141" i="1"/>
  <c r="J1140" i="1"/>
  <c r="G1140" i="1"/>
  <c r="J1139" i="1"/>
  <c r="G1139" i="1"/>
  <c r="J1138" i="1"/>
  <c r="G1138" i="1"/>
  <c r="J1137" i="1"/>
  <c r="G1137" i="1"/>
  <c r="J1136" i="1"/>
  <c r="G1136" i="1"/>
  <c r="J1135" i="1"/>
  <c r="G1135" i="1"/>
  <c r="J1134" i="1"/>
  <c r="G1134" i="1"/>
  <c r="J1133" i="1"/>
  <c r="G1133" i="1"/>
  <c r="J1132" i="1"/>
  <c r="G1132" i="1"/>
  <c r="J1131" i="1"/>
  <c r="G1131" i="1"/>
  <c r="J1130" i="1"/>
  <c r="G1130" i="1"/>
  <c r="J1129" i="1"/>
  <c r="G1129" i="1"/>
  <c r="J1128" i="1"/>
  <c r="G1128" i="1"/>
  <c r="J1127" i="1"/>
  <c r="G1127" i="1"/>
  <c r="J1126" i="1"/>
  <c r="G1126" i="1"/>
  <c r="J1125" i="1"/>
  <c r="G1125" i="1"/>
  <c r="J1124" i="1"/>
  <c r="G1124" i="1"/>
  <c r="J1123" i="1"/>
  <c r="G1123" i="1"/>
  <c r="J1122" i="1"/>
  <c r="G1122" i="1"/>
  <c r="J1121" i="1"/>
  <c r="G1121" i="1"/>
  <c r="J1120" i="1"/>
  <c r="G1120" i="1"/>
  <c r="J1119" i="1"/>
  <c r="G1119" i="1"/>
  <c r="J1118" i="1"/>
  <c r="G1118" i="1"/>
  <c r="J1117" i="1"/>
  <c r="G1117" i="1"/>
  <c r="J1116" i="1"/>
  <c r="G1116" i="1"/>
  <c r="J1115" i="1"/>
  <c r="G1115" i="1"/>
  <c r="J1114" i="1"/>
  <c r="G1114" i="1"/>
  <c r="J1113" i="1"/>
  <c r="G1113" i="1"/>
  <c r="J1112" i="1"/>
  <c r="G1112" i="1"/>
  <c r="J1111" i="1"/>
  <c r="G1111" i="1"/>
  <c r="J1110" i="1"/>
  <c r="G1110" i="1"/>
  <c r="J1109" i="1"/>
  <c r="G1109" i="1"/>
  <c r="J1108" i="1"/>
  <c r="G1108" i="1"/>
  <c r="J1107" i="1"/>
  <c r="G1107" i="1"/>
  <c r="J1106" i="1"/>
  <c r="G1106" i="1"/>
  <c r="J1105" i="1"/>
  <c r="G1105" i="1"/>
  <c r="J1104" i="1"/>
  <c r="G1104" i="1"/>
  <c r="J1103" i="1"/>
  <c r="G1103" i="1"/>
  <c r="J1102" i="1"/>
  <c r="G1102" i="1"/>
  <c r="J1101" i="1"/>
  <c r="G1101" i="1"/>
  <c r="J1100" i="1"/>
  <c r="G1100" i="1"/>
  <c r="J1099" i="1"/>
  <c r="G1099" i="1"/>
  <c r="J1098" i="1"/>
  <c r="G1098" i="1"/>
  <c r="J1097" i="1"/>
  <c r="G1097" i="1"/>
  <c r="J1096" i="1"/>
  <c r="G1096" i="1"/>
  <c r="J1095" i="1"/>
  <c r="G1095" i="1"/>
  <c r="J1094" i="1"/>
  <c r="G1094" i="1"/>
  <c r="J1093" i="1"/>
  <c r="G1093" i="1"/>
  <c r="J1092" i="1"/>
  <c r="G1092" i="1"/>
  <c r="J1091" i="1"/>
  <c r="G1091" i="1"/>
  <c r="J1090" i="1"/>
  <c r="G1090" i="1"/>
  <c r="J1089" i="1"/>
  <c r="G1089" i="1"/>
  <c r="J1088" i="1"/>
  <c r="G1088" i="1"/>
  <c r="J1087" i="1"/>
  <c r="G1087" i="1"/>
  <c r="J1086" i="1"/>
  <c r="G1086" i="1"/>
  <c r="J1085" i="1"/>
  <c r="G1085" i="1"/>
  <c r="J1084" i="1"/>
  <c r="G1084" i="1"/>
  <c r="J1083" i="1"/>
  <c r="G1083" i="1"/>
  <c r="J1082" i="1"/>
  <c r="G1082" i="1"/>
  <c r="J1081" i="1"/>
  <c r="G1081" i="1"/>
  <c r="J1080" i="1"/>
  <c r="G1080" i="1"/>
  <c r="J1079" i="1"/>
  <c r="G1079" i="1"/>
  <c r="J1078" i="1"/>
  <c r="G1078" i="1"/>
  <c r="J1077" i="1"/>
  <c r="G1077" i="1"/>
  <c r="J1076" i="1"/>
  <c r="G1076" i="1"/>
  <c r="J1075" i="1"/>
  <c r="G1075" i="1"/>
  <c r="J1074" i="1"/>
  <c r="G1074" i="1"/>
  <c r="J1073" i="1"/>
  <c r="G1073" i="1"/>
  <c r="J1072" i="1"/>
  <c r="G1072" i="1"/>
  <c r="J1071" i="1"/>
  <c r="G1071" i="1"/>
  <c r="J1070" i="1"/>
  <c r="G1070" i="1"/>
  <c r="J1069" i="1"/>
  <c r="G1069" i="1"/>
  <c r="J1068" i="1"/>
  <c r="G1068" i="1"/>
  <c r="J1067" i="1"/>
  <c r="G1067" i="1"/>
  <c r="J1066" i="1"/>
  <c r="G1066" i="1"/>
  <c r="J1065" i="1"/>
  <c r="G1065" i="1"/>
  <c r="J1064" i="1"/>
  <c r="G1064" i="1"/>
  <c r="J1063" i="1"/>
  <c r="G1063" i="1"/>
  <c r="J1062" i="1"/>
  <c r="G1062" i="1"/>
  <c r="J1061" i="1"/>
  <c r="G1061" i="1"/>
  <c r="J1060" i="1"/>
  <c r="G1060" i="1"/>
  <c r="J1059" i="1"/>
  <c r="G1059" i="1"/>
  <c r="J1058" i="1"/>
  <c r="G1058" i="1"/>
  <c r="J1057" i="1"/>
  <c r="G1057" i="1"/>
  <c r="J1056" i="1"/>
  <c r="G1056" i="1"/>
  <c r="J1055" i="1"/>
  <c r="G1055" i="1"/>
  <c r="J1054" i="1"/>
  <c r="G1054" i="1"/>
  <c r="J1053" i="1"/>
  <c r="G1053" i="1"/>
  <c r="J1052" i="1"/>
  <c r="G1052" i="1"/>
  <c r="J1051" i="1"/>
  <c r="G1051" i="1"/>
  <c r="J1050" i="1"/>
  <c r="G1050" i="1"/>
  <c r="J1049" i="1"/>
  <c r="G1049" i="1"/>
  <c r="J1048" i="1"/>
  <c r="G1048" i="1"/>
  <c r="J1047" i="1"/>
  <c r="G1047" i="1"/>
  <c r="J1046" i="1"/>
  <c r="G1046" i="1"/>
  <c r="J1045" i="1"/>
  <c r="G1045" i="1"/>
  <c r="J1044" i="1"/>
  <c r="G1044" i="1"/>
  <c r="J1043" i="1"/>
  <c r="G1043" i="1"/>
  <c r="J1042" i="1"/>
  <c r="G1042" i="1"/>
  <c r="J1041" i="1"/>
  <c r="G1041" i="1"/>
  <c r="J1040" i="1"/>
  <c r="G1040" i="1"/>
  <c r="J1039" i="1"/>
  <c r="G1039" i="1"/>
  <c r="J1038" i="1"/>
  <c r="G1038" i="1"/>
  <c r="J1037" i="1"/>
  <c r="G1037" i="1"/>
  <c r="J1036" i="1"/>
  <c r="G1036" i="1"/>
  <c r="J1035" i="1"/>
  <c r="G1035" i="1"/>
  <c r="J1034" i="1"/>
  <c r="G1034" i="1"/>
  <c r="J1033" i="1"/>
  <c r="G1033" i="1"/>
  <c r="J1032" i="1"/>
  <c r="G1032" i="1"/>
  <c r="J1031" i="1"/>
  <c r="G1031" i="1"/>
  <c r="J1030" i="1"/>
  <c r="G1030" i="1"/>
  <c r="J1029" i="1"/>
  <c r="G1029" i="1"/>
  <c r="J1028" i="1"/>
  <c r="G1028" i="1"/>
  <c r="J1027" i="1"/>
  <c r="G1027" i="1"/>
  <c r="J1026" i="1"/>
  <c r="G1026" i="1"/>
  <c r="J1025" i="1"/>
  <c r="G1025" i="1"/>
  <c r="J1024" i="1"/>
  <c r="G1024" i="1"/>
  <c r="J1023" i="1"/>
  <c r="G1023" i="1"/>
  <c r="J1022" i="1"/>
  <c r="G1022" i="1"/>
  <c r="J1021" i="1"/>
  <c r="G1021" i="1"/>
  <c r="J1020" i="1"/>
  <c r="G1020" i="1"/>
  <c r="J1019" i="1"/>
  <c r="G1019" i="1"/>
  <c r="J1018" i="1"/>
  <c r="G1018" i="1"/>
  <c r="J1017" i="1"/>
  <c r="G1017" i="1"/>
  <c r="J1016" i="1"/>
  <c r="G1016" i="1"/>
  <c r="J1015" i="1"/>
  <c r="G1015" i="1"/>
  <c r="J1014" i="1"/>
  <c r="G1014" i="1"/>
  <c r="J1013" i="1"/>
  <c r="G1013" i="1"/>
  <c r="J1012" i="1"/>
  <c r="G1012" i="1"/>
  <c r="J1011" i="1"/>
  <c r="G1011" i="1"/>
  <c r="J1010" i="1"/>
  <c r="G1010" i="1"/>
  <c r="J1009" i="1"/>
  <c r="G1009" i="1"/>
  <c r="J1008" i="1"/>
  <c r="G1008" i="1"/>
  <c r="J1007" i="1"/>
  <c r="G1007" i="1"/>
  <c r="J1006" i="1"/>
  <c r="G1006" i="1"/>
  <c r="J1005" i="1"/>
  <c r="G1005" i="1"/>
  <c r="J1004" i="1"/>
  <c r="G1004" i="1"/>
  <c r="J1003" i="1"/>
  <c r="G1003" i="1"/>
  <c r="J1002" i="1"/>
  <c r="G1002" i="1"/>
  <c r="J1001" i="1"/>
  <c r="G1001" i="1"/>
  <c r="J1000" i="1"/>
  <c r="G1000" i="1"/>
  <c r="J999" i="1"/>
  <c r="G999" i="1"/>
  <c r="J998" i="1"/>
  <c r="G998" i="1"/>
  <c r="J997" i="1"/>
  <c r="G997" i="1"/>
  <c r="J996" i="1"/>
  <c r="G996" i="1"/>
  <c r="J995" i="1"/>
  <c r="G995" i="1"/>
  <c r="J994" i="1"/>
  <c r="G994" i="1"/>
  <c r="J993" i="1"/>
  <c r="G993" i="1"/>
  <c r="J992" i="1"/>
  <c r="G992" i="1"/>
  <c r="J991" i="1"/>
  <c r="G991" i="1"/>
  <c r="J990" i="1"/>
  <c r="G990" i="1"/>
  <c r="J989" i="1"/>
  <c r="G989" i="1"/>
  <c r="J988" i="1"/>
  <c r="G988" i="1"/>
  <c r="J987" i="1"/>
  <c r="G987" i="1"/>
  <c r="J986" i="1"/>
  <c r="G986" i="1"/>
  <c r="J985" i="1"/>
  <c r="G985" i="1"/>
  <c r="J984" i="1"/>
  <c r="G984" i="1"/>
  <c r="J983" i="1"/>
  <c r="G983" i="1"/>
  <c r="J982" i="1"/>
  <c r="G982" i="1"/>
  <c r="J981" i="1"/>
  <c r="G981" i="1"/>
  <c r="J980" i="1"/>
  <c r="G980" i="1"/>
  <c r="J979" i="1"/>
  <c r="G979" i="1"/>
  <c r="J978" i="1"/>
  <c r="G978" i="1"/>
  <c r="J977" i="1"/>
  <c r="G977" i="1"/>
  <c r="J976" i="1"/>
  <c r="G976" i="1"/>
  <c r="J975" i="1"/>
  <c r="G975" i="1"/>
  <c r="J974" i="1"/>
  <c r="G974" i="1"/>
  <c r="J973" i="1"/>
  <c r="G973" i="1"/>
  <c r="J972" i="1"/>
  <c r="G972" i="1"/>
  <c r="J971" i="1"/>
  <c r="G971" i="1"/>
  <c r="J970" i="1"/>
  <c r="G970" i="1"/>
  <c r="J969" i="1"/>
  <c r="G969" i="1"/>
  <c r="J968" i="1"/>
  <c r="G968" i="1"/>
  <c r="J967" i="1"/>
  <c r="G967" i="1"/>
  <c r="J966" i="1"/>
  <c r="G966" i="1"/>
  <c r="J965" i="1"/>
  <c r="G965" i="1"/>
  <c r="J964" i="1"/>
  <c r="G964" i="1"/>
  <c r="J963" i="1"/>
  <c r="G963" i="1"/>
  <c r="J962" i="1"/>
  <c r="G962" i="1"/>
  <c r="J961" i="1"/>
  <c r="G961" i="1"/>
  <c r="J960" i="1"/>
  <c r="G960" i="1"/>
  <c r="J959" i="1"/>
  <c r="G959" i="1"/>
  <c r="J958" i="1"/>
  <c r="G958" i="1"/>
  <c r="J957" i="1"/>
  <c r="G957" i="1"/>
  <c r="J956" i="1"/>
  <c r="G956" i="1"/>
  <c r="J955" i="1"/>
  <c r="G955" i="1"/>
  <c r="J954" i="1"/>
  <c r="G954" i="1"/>
  <c r="J953" i="1"/>
  <c r="G953" i="1"/>
  <c r="J952" i="1"/>
  <c r="G952" i="1"/>
  <c r="J951" i="1"/>
  <c r="G951" i="1"/>
  <c r="J950" i="1"/>
  <c r="G950" i="1"/>
  <c r="J949" i="1"/>
  <c r="G949" i="1"/>
  <c r="J948" i="1"/>
  <c r="G948" i="1"/>
  <c r="J947" i="1"/>
  <c r="G947" i="1"/>
  <c r="J946" i="1"/>
  <c r="G946" i="1"/>
  <c r="J945" i="1"/>
  <c r="G945" i="1"/>
  <c r="J944" i="1"/>
  <c r="G944" i="1"/>
  <c r="J943" i="1"/>
  <c r="G943" i="1"/>
  <c r="J942" i="1"/>
  <c r="G942" i="1"/>
  <c r="J941" i="1"/>
  <c r="G941" i="1"/>
  <c r="J940" i="1"/>
  <c r="G940" i="1"/>
  <c r="J939" i="1"/>
  <c r="G939" i="1"/>
  <c r="J938" i="1"/>
  <c r="G938" i="1"/>
  <c r="J937" i="1"/>
  <c r="G937" i="1"/>
  <c r="J936" i="1"/>
  <c r="G936" i="1"/>
  <c r="J935" i="1"/>
  <c r="G935" i="1"/>
  <c r="J934" i="1"/>
  <c r="G934" i="1"/>
  <c r="J933" i="1"/>
  <c r="G933" i="1"/>
  <c r="J932" i="1"/>
  <c r="G932" i="1"/>
  <c r="J931" i="1"/>
  <c r="G931" i="1"/>
  <c r="J930" i="1"/>
  <c r="G930" i="1"/>
  <c r="J929" i="1"/>
  <c r="G929" i="1"/>
  <c r="J928" i="1"/>
  <c r="G928" i="1"/>
  <c r="J927" i="1"/>
  <c r="G927" i="1"/>
  <c r="J926" i="1"/>
  <c r="G926" i="1"/>
  <c r="J925" i="1"/>
  <c r="G925" i="1"/>
  <c r="J924" i="1"/>
  <c r="G924" i="1"/>
  <c r="J923" i="1"/>
  <c r="G923" i="1"/>
  <c r="J922" i="1"/>
  <c r="G922" i="1"/>
  <c r="J921" i="1"/>
  <c r="G921" i="1"/>
  <c r="J920" i="1"/>
  <c r="G920" i="1"/>
  <c r="J919" i="1"/>
  <c r="G919" i="1"/>
  <c r="J918" i="1"/>
  <c r="G918" i="1"/>
  <c r="J917" i="1"/>
  <c r="G917" i="1"/>
  <c r="J916" i="1"/>
  <c r="G916" i="1"/>
  <c r="J915" i="1"/>
  <c r="G915" i="1"/>
  <c r="J914" i="1"/>
  <c r="G914" i="1"/>
  <c r="J913" i="1"/>
  <c r="G913" i="1"/>
  <c r="J912" i="1"/>
  <c r="G912" i="1"/>
  <c r="J911" i="1"/>
  <c r="G911" i="1"/>
  <c r="J910" i="1"/>
  <c r="G910" i="1"/>
  <c r="J909" i="1"/>
  <c r="G909" i="1"/>
  <c r="J908" i="1"/>
  <c r="G908" i="1"/>
  <c r="J907" i="1"/>
  <c r="G907" i="1"/>
  <c r="J906" i="1"/>
  <c r="G906" i="1"/>
  <c r="J905" i="1"/>
  <c r="G905" i="1"/>
  <c r="J904" i="1"/>
  <c r="G904" i="1"/>
  <c r="J903" i="1"/>
  <c r="G903" i="1"/>
  <c r="J902" i="1"/>
  <c r="G902" i="1"/>
  <c r="J901" i="1"/>
  <c r="G901" i="1"/>
  <c r="J900" i="1"/>
  <c r="G900" i="1"/>
  <c r="J899" i="1"/>
  <c r="G899" i="1"/>
  <c r="J898" i="1"/>
  <c r="G898" i="1"/>
  <c r="J897" i="1"/>
  <c r="G897" i="1"/>
  <c r="J896" i="1"/>
  <c r="G896" i="1"/>
  <c r="J895" i="1"/>
  <c r="G895" i="1"/>
  <c r="J894" i="1"/>
  <c r="G894" i="1"/>
  <c r="J893" i="1"/>
  <c r="G893" i="1"/>
  <c r="J892" i="1"/>
  <c r="G892" i="1"/>
  <c r="J891" i="1"/>
  <c r="G891" i="1"/>
  <c r="J890" i="1"/>
  <c r="G890" i="1"/>
  <c r="J889" i="1"/>
  <c r="G889" i="1"/>
  <c r="J888" i="1"/>
  <c r="G888" i="1"/>
  <c r="J887" i="1"/>
  <c r="G887" i="1"/>
  <c r="J886" i="1"/>
  <c r="G886" i="1"/>
  <c r="J885" i="1"/>
  <c r="G885" i="1"/>
  <c r="J884" i="1"/>
  <c r="G884" i="1"/>
  <c r="J883" i="1"/>
  <c r="G883" i="1"/>
  <c r="J882" i="1"/>
  <c r="G882" i="1"/>
  <c r="J881" i="1"/>
  <c r="G881" i="1"/>
  <c r="J880" i="1"/>
  <c r="G880" i="1"/>
  <c r="J879" i="1"/>
  <c r="G879" i="1"/>
  <c r="J878" i="1"/>
  <c r="G878" i="1"/>
  <c r="J877" i="1"/>
  <c r="G877" i="1"/>
  <c r="J876" i="1"/>
  <c r="G876" i="1"/>
  <c r="J875" i="1"/>
  <c r="G875" i="1"/>
  <c r="J874" i="1"/>
  <c r="G874" i="1"/>
  <c r="J873" i="1"/>
  <c r="G873" i="1"/>
  <c r="J872" i="1"/>
  <c r="G872" i="1"/>
  <c r="J871" i="1"/>
  <c r="G871" i="1"/>
  <c r="J870" i="1"/>
  <c r="G870" i="1"/>
  <c r="J869" i="1"/>
  <c r="G869" i="1"/>
  <c r="J868" i="1"/>
  <c r="G868" i="1"/>
  <c r="J867" i="1"/>
  <c r="G867" i="1"/>
  <c r="J866" i="1"/>
  <c r="G866" i="1"/>
  <c r="J865" i="1"/>
  <c r="G865" i="1"/>
  <c r="J864" i="1"/>
  <c r="G864" i="1"/>
  <c r="J863" i="1"/>
  <c r="G863" i="1"/>
  <c r="J862" i="1"/>
  <c r="G862" i="1"/>
  <c r="J861" i="1"/>
  <c r="G861" i="1"/>
  <c r="J860" i="1"/>
  <c r="G860" i="1"/>
  <c r="J859" i="1"/>
  <c r="G859" i="1"/>
  <c r="J858" i="1"/>
  <c r="G858" i="1"/>
  <c r="J857" i="1"/>
  <c r="G857" i="1"/>
  <c r="J856" i="1"/>
  <c r="G856" i="1"/>
  <c r="J855" i="1"/>
  <c r="G855" i="1"/>
  <c r="J854" i="1"/>
  <c r="G854" i="1"/>
  <c r="J853" i="1"/>
  <c r="G853" i="1"/>
  <c r="J852" i="1"/>
  <c r="G852" i="1"/>
  <c r="J851" i="1"/>
  <c r="G851" i="1"/>
  <c r="J850" i="1"/>
  <c r="G850" i="1"/>
  <c r="J849" i="1"/>
  <c r="G849" i="1"/>
  <c r="J848" i="1"/>
  <c r="G848" i="1"/>
  <c r="J847" i="1"/>
  <c r="G847" i="1"/>
  <c r="J846" i="1"/>
  <c r="G846" i="1"/>
  <c r="J845" i="1"/>
  <c r="G845" i="1"/>
  <c r="J844" i="1"/>
  <c r="G844" i="1"/>
  <c r="J843" i="1"/>
  <c r="G843" i="1"/>
  <c r="J842" i="1"/>
  <c r="G842" i="1"/>
  <c r="J841" i="1"/>
  <c r="G841" i="1"/>
  <c r="J840" i="1"/>
  <c r="G840" i="1"/>
  <c r="J839" i="1"/>
  <c r="G839" i="1"/>
  <c r="J838" i="1"/>
  <c r="G838" i="1"/>
  <c r="J837" i="1"/>
  <c r="G837" i="1"/>
  <c r="J836" i="1"/>
  <c r="G836" i="1"/>
  <c r="J835" i="1"/>
  <c r="G835" i="1"/>
  <c r="J834" i="1"/>
  <c r="G834" i="1"/>
  <c r="J833" i="1"/>
  <c r="G833" i="1"/>
  <c r="J832" i="1"/>
  <c r="G832" i="1"/>
  <c r="J831" i="1"/>
  <c r="G831" i="1"/>
  <c r="J830" i="1"/>
  <c r="G830" i="1"/>
  <c r="J829" i="1"/>
  <c r="G829" i="1"/>
  <c r="J828" i="1"/>
  <c r="G828" i="1"/>
  <c r="J827" i="1"/>
  <c r="G827" i="1"/>
  <c r="J826" i="1"/>
  <c r="G826" i="1"/>
  <c r="J825" i="1"/>
  <c r="G825" i="1"/>
  <c r="J824" i="1"/>
  <c r="G824" i="1"/>
  <c r="J823" i="1"/>
  <c r="G823" i="1"/>
  <c r="J822" i="1"/>
  <c r="G822" i="1"/>
  <c r="J821" i="1"/>
  <c r="G821" i="1"/>
  <c r="J820" i="1"/>
  <c r="G820" i="1"/>
  <c r="J819" i="1"/>
  <c r="G819" i="1"/>
  <c r="J818" i="1"/>
  <c r="G818" i="1"/>
  <c r="J817" i="1"/>
  <c r="G817" i="1"/>
  <c r="J816" i="1"/>
  <c r="G816" i="1"/>
  <c r="J815" i="1"/>
  <c r="G815" i="1"/>
  <c r="J814" i="1"/>
  <c r="G814" i="1"/>
  <c r="J813" i="1"/>
  <c r="G813" i="1"/>
  <c r="J812" i="1"/>
  <c r="G812" i="1"/>
  <c r="J811" i="1"/>
  <c r="G811" i="1"/>
  <c r="J810" i="1"/>
  <c r="G810" i="1"/>
  <c r="J809" i="1"/>
  <c r="G809" i="1"/>
  <c r="J808" i="1"/>
  <c r="G808" i="1"/>
  <c r="J807" i="1"/>
  <c r="G807" i="1"/>
  <c r="J806" i="1"/>
  <c r="G806" i="1"/>
  <c r="J805" i="1"/>
  <c r="G805" i="1"/>
  <c r="J804" i="1"/>
  <c r="G804" i="1"/>
  <c r="J803" i="1"/>
  <c r="G803" i="1"/>
  <c r="J802" i="1"/>
  <c r="G802" i="1"/>
  <c r="J801" i="1"/>
  <c r="G801" i="1"/>
  <c r="J800" i="1"/>
  <c r="G800" i="1"/>
  <c r="J799" i="1"/>
  <c r="G799" i="1"/>
  <c r="J798" i="1"/>
  <c r="G798" i="1"/>
  <c r="J797" i="1"/>
  <c r="G797" i="1"/>
  <c r="J796" i="1"/>
  <c r="G796" i="1"/>
  <c r="J795" i="1"/>
  <c r="G795" i="1"/>
  <c r="J794" i="1"/>
  <c r="G794" i="1"/>
  <c r="J793" i="1"/>
  <c r="G793" i="1"/>
  <c r="J792" i="1"/>
  <c r="G792" i="1"/>
  <c r="J791" i="1"/>
  <c r="G791" i="1"/>
  <c r="J790" i="1"/>
  <c r="G790" i="1"/>
  <c r="J789" i="1"/>
  <c r="G789" i="1"/>
  <c r="J788" i="1"/>
  <c r="G788" i="1"/>
  <c r="J787" i="1"/>
  <c r="G787" i="1"/>
  <c r="J786" i="1"/>
  <c r="G786" i="1"/>
  <c r="J785" i="1"/>
  <c r="G785" i="1"/>
  <c r="J784" i="1"/>
  <c r="G784" i="1"/>
  <c r="J783" i="1"/>
  <c r="G783" i="1"/>
  <c r="J782" i="1"/>
  <c r="G782" i="1"/>
  <c r="J781" i="1"/>
  <c r="G781" i="1"/>
  <c r="J780" i="1"/>
  <c r="G780" i="1"/>
  <c r="J779" i="1"/>
  <c r="G779" i="1"/>
  <c r="J778" i="1"/>
  <c r="G778" i="1"/>
  <c r="J777" i="1"/>
  <c r="G777" i="1"/>
  <c r="J776" i="1"/>
  <c r="G776" i="1"/>
  <c r="J775" i="1"/>
  <c r="G775" i="1"/>
  <c r="J774" i="1"/>
  <c r="G774" i="1"/>
  <c r="J773" i="1"/>
  <c r="G773" i="1"/>
  <c r="J772" i="1"/>
  <c r="G772" i="1"/>
  <c r="J771" i="1"/>
  <c r="G771" i="1"/>
  <c r="J770" i="1"/>
  <c r="G770" i="1"/>
  <c r="J769" i="1"/>
  <c r="G769" i="1"/>
  <c r="J768" i="1"/>
  <c r="G768" i="1"/>
  <c r="J767" i="1"/>
  <c r="G767" i="1"/>
  <c r="J766" i="1"/>
  <c r="G766" i="1"/>
  <c r="J765" i="1"/>
  <c r="G765" i="1"/>
  <c r="J764" i="1"/>
  <c r="G764" i="1"/>
  <c r="J763" i="1"/>
  <c r="G763" i="1"/>
  <c r="J762" i="1"/>
  <c r="G762" i="1"/>
  <c r="J761" i="1"/>
  <c r="G761" i="1"/>
  <c r="J760" i="1"/>
  <c r="G760" i="1"/>
  <c r="J759" i="1"/>
  <c r="G759" i="1"/>
  <c r="J758" i="1"/>
  <c r="G758" i="1"/>
  <c r="J757" i="1"/>
  <c r="G757" i="1"/>
  <c r="J756" i="1"/>
  <c r="G756" i="1"/>
  <c r="J755" i="1"/>
  <c r="G755" i="1"/>
  <c r="J754" i="1"/>
  <c r="G754" i="1"/>
  <c r="J753" i="1"/>
  <c r="G753" i="1"/>
  <c r="J752" i="1"/>
  <c r="G752" i="1"/>
  <c r="J751" i="1"/>
  <c r="G751" i="1"/>
  <c r="J750" i="1"/>
  <c r="G750" i="1"/>
  <c r="J749" i="1"/>
  <c r="G749" i="1"/>
  <c r="J748" i="1"/>
  <c r="G748" i="1"/>
  <c r="J747" i="1"/>
  <c r="G747" i="1"/>
  <c r="J746" i="1"/>
  <c r="G746" i="1"/>
  <c r="J745" i="1"/>
  <c r="G745" i="1"/>
  <c r="J744" i="1"/>
  <c r="G744" i="1"/>
  <c r="J743" i="1"/>
  <c r="G743" i="1"/>
  <c r="J742" i="1"/>
  <c r="G742" i="1"/>
  <c r="J741" i="1"/>
  <c r="G741" i="1"/>
  <c r="J740" i="1"/>
  <c r="G740" i="1"/>
  <c r="J739" i="1"/>
  <c r="G739" i="1"/>
  <c r="J738" i="1"/>
  <c r="G738" i="1"/>
  <c r="J737" i="1"/>
  <c r="G737" i="1"/>
  <c r="J736" i="1"/>
  <c r="G736" i="1"/>
  <c r="J735" i="1"/>
  <c r="G735" i="1"/>
  <c r="J734" i="1"/>
  <c r="G734" i="1"/>
  <c r="J733" i="1"/>
  <c r="G733" i="1"/>
  <c r="J732" i="1"/>
  <c r="G732" i="1"/>
  <c r="J731" i="1"/>
  <c r="G731" i="1"/>
  <c r="J730" i="1"/>
  <c r="G730" i="1"/>
  <c r="J729" i="1"/>
  <c r="G729" i="1"/>
  <c r="J728" i="1"/>
  <c r="G728" i="1"/>
  <c r="J727" i="1"/>
  <c r="G727" i="1"/>
  <c r="J726" i="1"/>
  <c r="G726" i="1"/>
  <c r="J725" i="1"/>
  <c r="G725" i="1"/>
  <c r="J724" i="1"/>
  <c r="G724" i="1"/>
  <c r="J723" i="1"/>
  <c r="G723" i="1"/>
  <c r="J722" i="1"/>
  <c r="G722" i="1"/>
  <c r="J721" i="1"/>
  <c r="G721" i="1"/>
  <c r="J720" i="1"/>
  <c r="G720" i="1"/>
  <c r="J719" i="1"/>
  <c r="G719" i="1"/>
  <c r="J718" i="1"/>
  <c r="G718" i="1"/>
  <c r="J717" i="1"/>
  <c r="G717" i="1"/>
  <c r="J716" i="1"/>
  <c r="G716" i="1"/>
  <c r="J715" i="1"/>
  <c r="G715" i="1"/>
  <c r="J714" i="1"/>
  <c r="G714" i="1"/>
  <c r="J713" i="1"/>
  <c r="G713" i="1"/>
  <c r="J712" i="1"/>
  <c r="G712" i="1"/>
  <c r="J711" i="1"/>
  <c r="G711" i="1"/>
  <c r="J710" i="1"/>
  <c r="G710" i="1"/>
  <c r="J709" i="1"/>
  <c r="G709" i="1"/>
  <c r="J708" i="1"/>
  <c r="G708" i="1"/>
  <c r="J707" i="1"/>
  <c r="G707" i="1"/>
  <c r="J706" i="1"/>
  <c r="G706" i="1"/>
  <c r="J705" i="1"/>
  <c r="G705" i="1"/>
  <c r="J704" i="1"/>
  <c r="G704" i="1"/>
  <c r="J703" i="1"/>
  <c r="G703" i="1"/>
  <c r="J702" i="1"/>
  <c r="G702" i="1"/>
  <c r="J701" i="1"/>
  <c r="G701" i="1"/>
  <c r="J700" i="1"/>
  <c r="G700" i="1"/>
  <c r="J699" i="1"/>
  <c r="G699" i="1"/>
  <c r="J698" i="1"/>
  <c r="G698" i="1"/>
  <c r="J697" i="1"/>
  <c r="G697" i="1"/>
  <c r="J696" i="1"/>
  <c r="G696" i="1"/>
  <c r="J695" i="1"/>
  <c r="G695" i="1"/>
  <c r="J694" i="1"/>
  <c r="G694" i="1"/>
  <c r="J693" i="1"/>
  <c r="G693" i="1"/>
  <c r="J692" i="1"/>
  <c r="G692" i="1"/>
  <c r="J691" i="1"/>
  <c r="G691" i="1"/>
  <c r="J690" i="1"/>
  <c r="G690" i="1"/>
  <c r="J689" i="1"/>
  <c r="G689" i="1"/>
  <c r="J688" i="1"/>
  <c r="G688" i="1"/>
  <c r="J687" i="1"/>
  <c r="G687" i="1"/>
  <c r="J686" i="1"/>
  <c r="G686" i="1"/>
  <c r="J685" i="1"/>
  <c r="G685" i="1"/>
  <c r="J684" i="1"/>
  <c r="G684" i="1"/>
  <c r="J683" i="1"/>
  <c r="G683" i="1"/>
  <c r="J682" i="1"/>
  <c r="G682" i="1"/>
  <c r="J681" i="1"/>
  <c r="G681" i="1"/>
  <c r="J680" i="1"/>
  <c r="G680" i="1"/>
  <c r="J679" i="1"/>
  <c r="G679" i="1"/>
  <c r="J678" i="1"/>
  <c r="G678" i="1"/>
  <c r="J677" i="1"/>
  <c r="G677" i="1"/>
  <c r="J676" i="1"/>
  <c r="G676" i="1"/>
  <c r="J675" i="1"/>
  <c r="G675" i="1"/>
  <c r="J674" i="1"/>
  <c r="G674" i="1"/>
  <c r="J673" i="1"/>
  <c r="G673" i="1"/>
  <c r="J672" i="1"/>
  <c r="G672" i="1"/>
  <c r="J671" i="1"/>
  <c r="G671" i="1"/>
  <c r="J670" i="1"/>
  <c r="G670" i="1"/>
  <c r="J669" i="1"/>
  <c r="G669" i="1"/>
  <c r="J668" i="1"/>
  <c r="G668" i="1"/>
  <c r="J667" i="1"/>
  <c r="G667" i="1"/>
  <c r="J666" i="1"/>
  <c r="G666" i="1"/>
  <c r="J665" i="1"/>
  <c r="G665" i="1"/>
  <c r="J664" i="1"/>
  <c r="G664" i="1"/>
  <c r="J663" i="1"/>
  <c r="G663" i="1"/>
  <c r="J662" i="1"/>
  <c r="G662" i="1"/>
  <c r="J661" i="1"/>
  <c r="G661" i="1"/>
  <c r="J660" i="1"/>
  <c r="G660" i="1"/>
  <c r="J659" i="1"/>
  <c r="G659" i="1"/>
  <c r="J658" i="1"/>
  <c r="G658" i="1"/>
  <c r="J657" i="1"/>
  <c r="G657" i="1"/>
  <c r="J656" i="1"/>
  <c r="G656" i="1"/>
  <c r="J655" i="1"/>
  <c r="G655" i="1"/>
  <c r="J654" i="1"/>
  <c r="G654" i="1"/>
  <c r="J653" i="1"/>
  <c r="G653" i="1"/>
  <c r="J652" i="1"/>
  <c r="G652" i="1"/>
  <c r="J651" i="1"/>
  <c r="G651" i="1"/>
  <c r="J650" i="1"/>
  <c r="G650" i="1"/>
  <c r="J649" i="1"/>
  <c r="G649" i="1"/>
  <c r="J648" i="1"/>
  <c r="G648" i="1"/>
  <c r="J647" i="1"/>
  <c r="G647" i="1"/>
  <c r="J646" i="1"/>
  <c r="G646" i="1"/>
  <c r="J645" i="1"/>
  <c r="G645" i="1"/>
  <c r="J644" i="1"/>
  <c r="G644" i="1"/>
  <c r="J643" i="1"/>
  <c r="G643" i="1"/>
  <c r="J642" i="1"/>
  <c r="G642" i="1"/>
  <c r="J641" i="1"/>
  <c r="G641" i="1"/>
  <c r="J640" i="1"/>
  <c r="G640" i="1"/>
  <c r="J639" i="1"/>
  <c r="G639" i="1"/>
  <c r="J638" i="1"/>
  <c r="G638" i="1"/>
  <c r="J637" i="1"/>
  <c r="G637" i="1"/>
  <c r="J636" i="1"/>
  <c r="G636" i="1"/>
  <c r="J635" i="1"/>
  <c r="G635" i="1"/>
  <c r="J634" i="1"/>
  <c r="G634" i="1"/>
  <c r="J633" i="1"/>
  <c r="G633" i="1"/>
  <c r="J632" i="1"/>
  <c r="G632" i="1"/>
  <c r="J631" i="1"/>
  <c r="G631" i="1"/>
  <c r="J630" i="1"/>
  <c r="G630" i="1"/>
  <c r="J629" i="1"/>
  <c r="G629" i="1"/>
  <c r="J628" i="1"/>
  <c r="G628" i="1"/>
  <c r="J627" i="1"/>
  <c r="G627" i="1"/>
  <c r="J626" i="1"/>
  <c r="G626" i="1"/>
  <c r="J625" i="1"/>
  <c r="G625" i="1"/>
  <c r="J624" i="1"/>
  <c r="G624" i="1"/>
  <c r="J623" i="1"/>
  <c r="G623" i="1"/>
  <c r="J622" i="1"/>
  <c r="G622" i="1"/>
  <c r="J621" i="1"/>
  <c r="G621" i="1"/>
  <c r="J620" i="1"/>
  <c r="G620" i="1"/>
  <c r="J619" i="1"/>
  <c r="G619" i="1"/>
  <c r="J618" i="1"/>
  <c r="G618" i="1"/>
  <c r="J617" i="1"/>
  <c r="G617" i="1"/>
  <c r="J616" i="1"/>
  <c r="G616" i="1"/>
  <c r="J615" i="1"/>
  <c r="G615" i="1"/>
  <c r="J614" i="1"/>
  <c r="G614" i="1"/>
  <c r="J613" i="1"/>
  <c r="G613" i="1"/>
  <c r="J612" i="1"/>
  <c r="G612" i="1"/>
  <c r="J611" i="1"/>
  <c r="G611" i="1"/>
  <c r="J610" i="1"/>
  <c r="G610" i="1"/>
  <c r="J609" i="1"/>
  <c r="G609" i="1"/>
  <c r="J608" i="1"/>
  <c r="G608" i="1"/>
  <c r="J607" i="1"/>
  <c r="G607" i="1"/>
  <c r="J606" i="1"/>
  <c r="G606" i="1"/>
  <c r="J605" i="1"/>
  <c r="G605" i="1"/>
  <c r="J604" i="1"/>
  <c r="G604" i="1"/>
  <c r="J603" i="1"/>
  <c r="G603" i="1"/>
  <c r="J602" i="1"/>
  <c r="G602" i="1"/>
  <c r="J601" i="1"/>
  <c r="G601" i="1"/>
  <c r="J600" i="1"/>
  <c r="G600" i="1"/>
  <c r="J599" i="1"/>
  <c r="G599" i="1"/>
  <c r="J598" i="1"/>
  <c r="G598" i="1"/>
  <c r="J597" i="1"/>
  <c r="G597" i="1"/>
  <c r="J596" i="1"/>
  <c r="G596" i="1"/>
  <c r="J595" i="1"/>
  <c r="G595" i="1"/>
  <c r="J594" i="1"/>
  <c r="G594" i="1"/>
  <c r="J593" i="1"/>
  <c r="G593" i="1"/>
  <c r="J592" i="1"/>
  <c r="G592" i="1"/>
  <c r="J591" i="1"/>
  <c r="G591" i="1"/>
  <c r="J590" i="1"/>
  <c r="G590" i="1"/>
  <c r="J589" i="1"/>
  <c r="G589" i="1"/>
  <c r="J588" i="1"/>
  <c r="G588" i="1"/>
  <c r="J587" i="1"/>
  <c r="G587" i="1"/>
  <c r="J586" i="1"/>
  <c r="G586" i="1"/>
  <c r="J585" i="1"/>
  <c r="G585" i="1"/>
  <c r="J584" i="1"/>
  <c r="G584" i="1"/>
  <c r="J583" i="1"/>
  <c r="G583" i="1"/>
  <c r="J582" i="1"/>
  <c r="G582" i="1"/>
  <c r="J581" i="1"/>
  <c r="G581" i="1"/>
  <c r="J580" i="1"/>
  <c r="G580" i="1"/>
  <c r="J579" i="1"/>
  <c r="G579" i="1"/>
  <c r="J578" i="1"/>
  <c r="G578" i="1"/>
  <c r="J577" i="1"/>
  <c r="G577" i="1"/>
  <c r="J576" i="1"/>
  <c r="G576" i="1"/>
  <c r="J575" i="1"/>
  <c r="G575" i="1"/>
  <c r="J574" i="1"/>
  <c r="G574" i="1"/>
  <c r="J573" i="1"/>
  <c r="G573" i="1"/>
  <c r="J572" i="1"/>
  <c r="G572" i="1"/>
  <c r="J571" i="1"/>
  <c r="G571" i="1"/>
  <c r="J570" i="1"/>
  <c r="G570" i="1"/>
  <c r="J569" i="1"/>
  <c r="G569" i="1"/>
  <c r="J568" i="1"/>
  <c r="G568" i="1"/>
  <c r="J567" i="1"/>
  <c r="G567" i="1"/>
  <c r="J566" i="1"/>
  <c r="G566" i="1"/>
  <c r="J565" i="1"/>
  <c r="G565" i="1"/>
  <c r="J564" i="1"/>
  <c r="G564" i="1"/>
  <c r="J563" i="1"/>
  <c r="G563" i="1"/>
  <c r="J562" i="1"/>
  <c r="G562" i="1"/>
  <c r="J561" i="1"/>
  <c r="G561" i="1"/>
  <c r="J560" i="1"/>
  <c r="G560" i="1"/>
  <c r="J559" i="1"/>
  <c r="G559" i="1"/>
  <c r="J558" i="1"/>
  <c r="G558" i="1"/>
  <c r="J557" i="1"/>
  <c r="G557" i="1"/>
  <c r="J556" i="1"/>
  <c r="G556" i="1"/>
  <c r="J555" i="1"/>
  <c r="G555" i="1"/>
  <c r="J554" i="1"/>
  <c r="G554" i="1"/>
  <c r="J553" i="1"/>
  <c r="G553" i="1"/>
  <c r="J552" i="1"/>
  <c r="G552" i="1"/>
  <c r="J551" i="1"/>
  <c r="G551" i="1"/>
  <c r="J550" i="1"/>
  <c r="G550" i="1"/>
  <c r="J549" i="1"/>
  <c r="G549" i="1"/>
  <c r="J548" i="1"/>
  <c r="G548" i="1"/>
  <c r="J547" i="1"/>
  <c r="G547" i="1"/>
  <c r="J546" i="1"/>
  <c r="G546" i="1"/>
  <c r="J545" i="1"/>
  <c r="G545" i="1"/>
  <c r="J544" i="1"/>
  <c r="G544" i="1"/>
  <c r="J543" i="1"/>
  <c r="G543" i="1"/>
  <c r="J542" i="1"/>
  <c r="G542" i="1"/>
  <c r="J541" i="1"/>
  <c r="G541" i="1"/>
  <c r="J540" i="1"/>
  <c r="G540" i="1"/>
  <c r="J539" i="1"/>
  <c r="G539" i="1"/>
  <c r="J538" i="1"/>
  <c r="G538" i="1"/>
  <c r="J537" i="1"/>
  <c r="G537" i="1"/>
  <c r="J536" i="1"/>
  <c r="G536" i="1"/>
  <c r="J535" i="1"/>
  <c r="G535" i="1"/>
  <c r="J534" i="1"/>
  <c r="G534" i="1"/>
  <c r="J533" i="1"/>
  <c r="G533" i="1"/>
  <c r="J532" i="1"/>
  <c r="G532" i="1"/>
  <c r="J531" i="1"/>
  <c r="G531" i="1"/>
  <c r="J530" i="1"/>
  <c r="G530" i="1"/>
  <c r="J529" i="1"/>
  <c r="G529" i="1"/>
  <c r="J528" i="1"/>
  <c r="G528" i="1"/>
  <c r="J527" i="1"/>
  <c r="G527" i="1"/>
  <c r="J526" i="1"/>
  <c r="G526" i="1"/>
  <c r="J525" i="1"/>
  <c r="G525" i="1"/>
  <c r="J524" i="1"/>
  <c r="G524" i="1"/>
  <c r="J523" i="1"/>
  <c r="G523" i="1"/>
  <c r="J522" i="1"/>
  <c r="G522" i="1"/>
  <c r="J521" i="1"/>
  <c r="G521" i="1"/>
  <c r="J520" i="1"/>
  <c r="G520" i="1"/>
  <c r="J519" i="1"/>
  <c r="G519" i="1"/>
  <c r="J518" i="1"/>
  <c r="G518" i="1"/>
  <c r="J517" i="1"/>
  <c r="G517" i="1"/>
  <c r="J516" i="1"/>
  <c r="G516" i="1"/>
  <c r="J515" i="1"/>
  <c r="G515" i="1"/>
  <c r="J514" i="1"/>
  <c r="G514" i="1"/>
  <c r="J513" i="1"/>
  <c r="G513" i="1"/>
  <c r="J512" i="1"/>
  <c r="G512" i="1"/>
  <c r="J511" i="1"/>
  <c r="G511" i="1"/>
  <c r="J510" i="1"/>
  <c r="G510" i="1"/>
  <c r="J509" i="1"/>
  <c r="G509" i="1"/>
  <c r="J508" i="1"/>
  <c r="G508" i="1"/>
  <c r="J507" i="1"/>
  <c r="G507" i="1"/>
  <c r="J506" i="1"/>
  <c r="G506" i="1"/>
  <c r="J505" i="1"/>
  <c r="G505" i="1"/>
  <c r="J504" i="1"/>
  <c r="G504" i="1"/>
  <c r="J503" i="1"/>
  <c r="G503" i="1"/>
  <c r="J502" i="1"/>
  <c r="G502" i="1"/>
  <c r="J501" i="1"/>
  <c r="G501" i="1"/>
  <c r="J500" i="1"/>
  <c r="G500" i="1"/>
  <c r="J499" i="1"/>
  <c r="G499" i="1"/>
  <c r="J498" i="1"/>
  <c r="G498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G407" i="1"/>
  <c r="K407" i="1" s="1"/>
  <c r="J406" i="1"/>
  <c r="K406" i="1" s="1"/>
  <c r="J405" i="1"/>
  <c r="K405" i="1" s="1"/>
  <c r="J404" i="1"/>
  <c r="K404" i="1" s="1"/>
  <c r="J403" i="1"/>
  <c r="K403" i="1" s="1"/>
  <c r="J402" i="1"/>
  <c r="K402" i="1" s="1"/>
  <c r="J401" i="1"/>
  <c r="K401" i="1" s="1"/>
  <c r="J400" i="1"/>
  <c r="K400" i="1" s="1"/>
  <c r="J399" i="1"/>
  <c r="K399" i="1" s="1"/>
  <c r="J397" i="1"/>
  <c r="K397" i="1" s="1"/>
  <c r="J396" i="1"/>
  <c r="K396" i="1" s="1"/>
  <c r="J395" i="1"/>
  <c r="K395" i="1" s="1"/>
  <c r="J394" i="1"/>
  <c r="K394" i="1" s="1"/>
  <c r="J393" i="1"/>
  <c r="K393" i="1" s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J382" i="1"/>
  <c r="J381" i="1"/>
  <c r="J380" i="1"/>
  <c r="G380" i="1"/>
  <c r="J379" i="1"/>
  <c r="G379" i="1"/>
  <c r="J378" i="1"/>
  <c r="G378" i="1"/>
  <c r="J377" i="1"/>
  <c r="G377" i="1"/>
  <c r="J376" i="1"/>
  <c r="G376" i="1"/>
  <c r="J375" i="1"/>
  <c r="G375" i="1"/>
  <c r="J374" i="1"/>
  <c r="G374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4" i="1"/>
  <c r="G364" i="1"/>
  <c r="J363" i="1"/>
  <c r="G363" i="1"/>
  <c r="J362" i="1"/>
  <c r="G362" i="1"/>
  <c r="J361" i="1"/>
  <c r="G361" i="1"/>
  <c r="J360" i="1"/>
  <c r="G360" i="1"/>
  <c r="J359" i="1"/>
  <c r="G359" i="1"/>
  <c r="J358" i="1"/>
  <c r="G358" i="1"/>
  <c r="J357" i="1"/>
  <c r="G357" i="1"/>
  <c r="J355" i="1"/>
  <c r="G355" i="1"/>
  <c r="J353" i="1"/>
  <c r="G353" i="1"/>
  <c r="J352" i="1"/>
  <c r="G352" i="1"/>
  <c r="J351" i="1"/>
  <c r="G351" i="1"/>
  <c r="J350" i="1"/>
  <c r="J349" i="1"/>
  <c r="J348" i="1"/>
  <c r="J347" i="1"/>
  <c r="J346" i="1"/>
  <c r="J345" i="1"/>
  <c r="J342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6" i="1"/>
  <c r="G326" i="1"/>
  <c r="J325" i="1"/>
  <c r="G325" i="1"/>
  <c r="J324" i="1"/>
  <c r="G324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7" i="1"/>
  <c r="G307" i="1"/>
  <c r="J306" i="1"/>
  <c r="G306" i="1"/>
  <c r="J305" i="1"/>
  <c r="G305" i="1"/>
  <c r="J304" i="1"/>
  <c r="G304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9" i="1"/>
  <c r="G289" i="1"/>
  <c r="J288" i="1"/>
  <c r="G288" i="1"/>
  <c r="J287" i="1"/>
  <c r="G287" i="1"/>
  <c r="J286" i="1"/>
  <c r="G286" i="1"/>
  <c r="J285" i="1"/>
  <c r="G285" i="1"/>
  <c r="J284" i="1"/>
  <c r="G284" i="1"/>
  <c r="J283" i="1"/>
  <c r="G283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1" i="1"/>
  <c r="G271" i="1"/>
  <c r="J270" i="1"/>
  <c r="G270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3" i="1"/>
  <c r="G253" i="1"/>
  <c r="J252" i="1"/>
  <c r="G252" i="1"/>
  <c r="J251" i="1"/>
  <c r="G251" i="1"/>
  <c r="J250" i="1"/>
  <c r="G250" i="1"/>
  <c r="J249" i="1"/>
  <c r="G249" i="1"/>
  <c r="J247" i="1"/>
  <c r="G247" i="1"/>
  <c r="J246" i="1"/>
  <c r="G246" i="1"/>
  <c r="J244" i="1"/>
  <c r="G244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5" i="1"/>
  <c r="G235" i="1"/>
  <c r="J232" i="1"/>
  <c r="G232" i="1"/>
  <c r="J231" i="1"/>
  <c r="G231" i="1"/>
  <c r="J230" i="1"/>
  <c r="G230" i="1"/>
  <c r="J229" i="1"/>
  <c r="G229" i="1"/>
  <c r="J228" i="1"/>
  <c r="G228" i="1"/>
  <c r="J226" i="1"/>
  <c r="G226" i="1"/>
  <c r="J225" i="1"/>
  <c r="G225" i="1"/>
  <c r="J224" i="1"/>
  <c r="G224" i="1"/>
  <c r="J223" i="1"/>
  <c r="G223" i="1"/>
  <c r="J222" i="1"/>
  <c r="G222" i="1"/>
  <c r="J216" i="1"/>
  <c r="G216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9" i="1"/>
  <c r="G199" i="1"/>
  <c r="J198" i="1"/>
  <c r="G198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81" i="1"/>
  <c r="G181" i="1"/>
  <c r="J180" i="1"/>
  <c r="G180" i="1"/>
  <c r="J179" i="1"/>
  <c r="G179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3" i="1"/>
  <c r="G163" i="1"/>
  <c r="J162" i="1"/>
  <c r="G162" i="1"/>
  <c r="J161" i="1"/>
  <c r="G161" i="1"/>
  <c r="J160" i="1"/>
  <c r="G160" i="1"/>
  <c r="J159" i="1"/>
  <c r="G159" i="1"/>
  <c r="J157" i="1"/>
  <c r="G157" i="1"/>
  <c r="J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5" i="1"/>
  <c r="G145" i="1"/>
  <c r="J144" i="1"/>
  <c r="G144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J113" i="1"/>
  <c r="G113" i="1"/>
  <c r="J112" i="1"/>
  <c r="G112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K409" i="1" l="1"/>
  <c r="K410" i="1"/>
  <c r="K413" i="1"/>
  <c r="K411" i="1"/>
  <c r="K408" i="1"/>
  <c r="K412" i="1"/>
  <c r="K197" i="1"/>
  <c r="J1" i="1"/>
  <c r="G1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8" i="1"/>
  <c r="K609" i="1"/>
  <c r="K610" i="1"/>
  <c r="K612" i="1"/>
  <c r="K613" i="1"/>
  <c r="K614" i="1"/>
  <c r="K616" i="1"/>
  <c r="K617" i="1"/>
  <c r="K618" i="1"/>
  <c r="K620" i="1"/>
  <c r="K621" i="1"/>
  <c r="K622" i="1"/>
  <c r="K624" i="1"/>
  <c r="K625" i="1"/>
  <c r="K626" i="1"/>
  <c r="K628" i="1"/>
  <c r="K629" i="1"/>
  <c r="K630" i="1"/>
  <c r="K632" i="1"/>
  <c r="K633" i="1"/>
  <c r="K634" i="1"/>
  <c r="K636" i="1"/>
  <c r="K637" i="1"/>
  <c r="K638" i="1"/>
  <c r="K640" i="1"/>
  <c r="K641" i="1"/>
  <c r="K642" i="1"/>
  <c r="K644" i="1"/>
  <c r="K645" i="1"/>
  <c r="K646" i="1"/>
  <c r="K648" i="1"/>
  <c r="K649" i="1"/>
  <c r="K650" i="1"/>
  <c r="K652" i="1"/>
  <c r="K653" i="1"/>
  <c r="K654" i="1"/>
  <c r="K656" i="1"/>
  <c r="K657" i="1"/>
  <c r="K658" i="1"/>
  <c r="K660" i="1"/>
  <c r="K661" i="1"/>
  <c r="K662" i="1"/>
  <c r="K664" i="1"/>
  <c r="K665" i="1"/>
  <c r="K666" i="1"/>
  <c r="K668" i="1"/>
  <c r="K669" i="1"/>
  <c r="K670" i="1"/>
  <c r="K672" i="1"/>
  <c r="K673" i="1"/>
  <c r="K674" i="1"/>
  <c r="K676" i="1"/>
  <c r="K677" i="1"/>
  <c r="K678" i="1"/>
  <c r="K680" i="1"/>
  <c r="K681" i="1"/>
  <c r="K682" i="1"/>
  <c r="K684" i="1"/>
  <c r="K685" i="1"/>
  <c r="K686" i="1"/>
  <c r="K688" i="1"/>
  <c r="K689" i="1"/>
  <c r="K690" i="1"/>
  <c r="K692" i="1"/>
  <c r="K693" i="1"/>
  <c r="K694" i="1"/>
  <c r="K696" i="1"/>
  <c r="K697" i="1"/>
  <c r="K698" i="1"/>
  <c r="K700" i="1"/>
  <c r="K701" i="1"/>
  <c r="K702" i="1"/>
  <c r="K704" i="1"/>
  <c r="K705" i="1"/>
  <c r="K706" i="1"/>
  <c r="K708" i="1"/>
  <c r="K709" i="1"/>
  <c r="K710" i="1"/>
  <c r="K712" i="1"/>
  <c r="K713" i="1"/>
  <c r="K714" i="1"/>
  <c r="K716" i="1"/>
  <c r="K717" i="1"/>
  <c r="K718" i="1"/>
  <c r="K720" i="1"/>
  <c r="K721" i="1"/>
  <c r="K722" i="1"/>
  <c r="K724" i="1"/>
  <c r="K725" i="1"/>
  <c r="K726" i="1"/>
  <c r="K728" i="1"/>
  <c r="K729" i="1"/>
  <c r="K730" i="1"/>
  <c r="K732" i="1"/>
  <c r="K733" i="1"/>
  <c r="K734" i="1"/>
  <c r="K736" i="1"/>
  <c r="K737" i="1"/>
  <c r="K738" i="1"/>
  <c r="K740" i="1"/>
  <c r="K741" i="1"/>
  <c r="K742" i="1"/>
  <c r="K744" i="1"/>
  <c r="K745" i="1"/>
  <c r="K746" i="1"/>
  <c r="K748" i="1"/>
  <c r="K749" i="1"/>
  <c r="K750" i="1"/>
  <c r="K752" i="1"/>
  <c r="K753" i="1"/>
  <c r="K754" i="1"/>
  <c r="K756" i="1"/>
  <c r="K757" i="1"/>
  <c r="K758" i="1"/>
  <c r="K760" i="1"/>
  <c r="K761" i="1"/>
  <c r="K762" i="1"/>
  <c r="K764" i="1"/>
  <c r="K765" i="1"/>
  <c r="K766" i="1"/>
  <c r="K768" i="1"/>
  <c r="K769" i="1"/>
  <c r="K770" i="1"/>
  <c r="K772" i="1"/>
  <c r="K773" i="1"/>
  <c r="K774" i="1"/>
  <c r="K776" i="1"/>
  <c r="K777" i="1"/>
  <c r="K778" i="1"/>
  <c r="K780" i="1"/>
  <c r="K781" i="1"/>
  <c r="K782" i="1"/>
  <c r="K784" i="1"/>
  <c r="K785" i="1"/>
  <c r="K786" i="1"/>
  <c r="K788" i="1"/>
  <c r="K789" i="1"/>
  <c r="K790" i="1"/>
  <c r="K792" i="1"/>
  <c r="K793" i="1"/>
  <c r="K794" i="1"/>
  <c r="K796" i="1"/>
  <c r="K797" i="1"/>
  <c r="K798" i="1"/>
  <c r="K800" i="1"/>
  <c r="K801" i="1"/>
  <c r="K802" i="1"/>
  <c r="K804" i="1"/>
  <c r="K805" i="1"/>
  <c r="K806" i="1"/>
  <c r="K808" i="1"/>
  <c r="K809" i="1"/>
  <c r="K810" i="1"/>
  <c r="K812" i="1"/>
  <c r="K813" i="1"/>
  <c r="K814" i="1"/>
  <c r="K816" i="1"/>
  <c r="K817" i="1"/>
  <c r="K818" i="1"/>
  <c r="K820" i="1"/>
  <c r="K821" i="1"/>
  <c r="K822" i="1"/>
  <c r="K824" i="1"/>
  <c r="K825" i="1"/>
  <c r="K826" i="1"/>
  <c r="K828" i="1"/>
  <c r="K829" i="1"/>
  <c r="K830" i="1"/>
  <c r="K832" i="1"/>
  <c r="K833" i="1"/>
  <c r="K834" i="1"/>
  <c r="K836" i="1"/>
  <c r="K837" i="1"/>
  <c r="K838" i="1"/>
  <c r="K840" i="1"/>
  <c r="K841" i="1"/>
  <c r="K842" i="1"/>
  <c r="K844" i="1"/>
  <c r="K845" i="1"/>
  <c r="K846" i="1"/>
  <c r="K848" i="1"/>
  <c r="K849" i="1"/>
  <c r="K850" i="1"/>
  <c r="K852" i="1"/>
  <c r="K853" i="1"/>
  <c r="K854" i="1"/>
  <c r="K856" i="1"/>
  <c r="K857" i="1"/>
  <c r="K858" i="1"/>
  <c r="K860" i="1"/>
  <c r="K861" i="1"/>
  <c r="K862" i="1"/>
  <c r="K864" i="1"/>
  <c r="K865" i="1"/>
  <c r="K866" i="1"/>
  <c r="K868" i="1"/>
  <c r="K869" i="1"/>
  <c r="K870" i="1"/>
  <c r="K872" i="1"/>
  <c r="K873" i="1"/>
  <c r="K874" i="1"/>
  <c r="K876" i="1"/>
  <c r="K877" i="1"/>
  <c r="K878" i="1"/>
  <c r="K880" i="1"/>
  <c r="K881" i="1"/>
  <c r="K882" i="1"/>
  <c r="K884" i="1"/>
  <c r="K885" i="1"/>
  <c r="K886" i="1"/>
  <c r="K888" i="1"/>
  <c r="K889" i="1"/>
  <c r="K890" i="1"/>
  <c r="K892" i="1"/>
  <c r="K893" i="1"/>
  <c r="K894" i="1"/>
  <c r="K896" i="1"/>
  <c r="K897" i="1"/>
  <c r="K898" i="1"/>
  <c r="K900" i="1"/>
  <c r="K901" i="1"/>
  <c r="K902" i="1"/>
  <c r="K904" i="1"/>
  <c r="K905" i="1"/>
  <c r="K906" i="1"/>
  <c r="K908" i="1"/>
  <c r="K909" i="1"/>
  <c r="K910" i="1"/>
  <c r="K912" i="1"/>
  <c r="K913" i="1"/>
  <c r="K914" i="1"/>
  <c r="K916" i="1"/>
  <c r="K917" i="1"/>
  <c r="K918" i="1"/>
  <c r="K920" i="1"/>
  <c r="K921" i="1"/>
  <c r="K922" i="1"/>
  <c r="K924" i="1"/>
  <c r="K925" i="1"/>
  <c r="K926" i="1"/>
  <c r="K928" i="1"/>
  <c r="K929" i="1"/>
  <c r="K930" i="1"/>
  <c r="K932" i="1"/>
  <c r="K933" i="1"/>
  <c r="K934" i="1"/>
  <c r="K936" i="1"/>
  <c r="K937" i="1"/>
  <c r="K938" i="1"/>
  <c r="K940" i="1"/>
  <c r="K941" i="1"/>
  <c r="K942" i="1"/>
  <c r="K944" i="1"/>
  <c r="K945" i="1"/>
  <c r="K946" i="1"/>
  <c r="K948" i="1"/>
  <c r="K949" i="1"/>
  <c r="K950" i="1"/>
  <c r="K952" i="1"/>
  <c r="K953" i="1"/>
  <c r="K954" i="1"/>
  <c r="K956" i="1"/>
  <c r="K957" i="1"/>
  <c r="K958" i="1"/>
  <c r="K960" i="1"/>
  <c r="K961" i="1"/>
  <c r="K962" i="1"/>
  <c r="K964" i="1"/>
  <c r="K965" i="1"/>
  <c r="K966" i="1"/>
  <c r="K968" i="1"/>
  <c r="K969" i="1"/>
  <c r="K970" i="1"/>
  <c r="K972" i="1"/>
  <c r="K973" i="1"/>
  <c r="K974" i="1"/>
  <c r="K976" i="1"/>
  <c r="K977" i="1"/>
  <c r="K978" i="1"/>
  <c r="K980" i="1"/>
  <c r="K981" i="1"/>
  <c r="K982" i="1"/>
  <c r="K984" i="1"/>
  <c r="K985" i="1"/>
  <c r="K986" i="1"/>
  <c r="K988" i="1"/>
  <c r="K989" i="1"/>
  <c r="K990" i="1"/>
  <c r="K992" i="1"/>
  <c r="K993" i="1"/>
  <c r="K994" i="1"/>
  <c r="K996" i="1"/>
  <c r="K997" i="1"/>
  <c r="K998" i="1"/>
  <c r="K1000" i="1"/>
  <c r="K1001" i="1"/>
  <c r="K1002" i="1"/>
  <c r="K1004" i="1"/>
  <c r="K1005" i="1"/>
  <c r="K1006" i="1"/>
  <c r="K1008" i="1"/>
  <c r="K1009" i="1"/>
  <c r="K1010" i="1"/>
  <c r="K1012" i="1"/>
  <c r="K1013" i="1"/>
  <c r="K1014" i="1"/>
  <c r="K1016" i="1"/>
  <c r="K1017" i="1"/>
  <c r="K1018" i="1"/>
  <c r="K1020" i="1"/>
  <c r="K1021" i="1"/>
  <c r="K1022" i="1"/>
  <c r="K1024" i="1"/>
  <c r="K1025" i="1"/>
  <c r="K1026" i="1"/>
  <c r="K1028" i="1"/>
  <c r="K1029" i="1"/>
  <c r="K1030" i="1"/>
  <c r="K1032" i="1"/>
  <c r="K1033" i="1"/>
  <c r="K1034" i="1"/>
  <c r="K1036" i="1"/>
  <c r="K1037" i="1"/>
  <c r="K1038" i="1"/>
  <c r="K1040" i="1"/>
  <c r="K1041" i="1"/>
  <c r="K1042" i="1"/>
  <c r="K1044" i="1"/>
  <c r="K1045" i="1"/>
  <c r="K1046" i="1"/>
  <c r="K1048" i="1"/>
  <c r="K1049" i="1"/>
  <c r="K1050" i="1"/>
  <c r="K1052" i="1"/>
  <c r="K1053" i="1"/>
  <c r="K1054" i="1"/>
  <c r="K1056" i="1"/>
  <c r="K1057" i="1"/>
  <c r="K1058" i="1"/>
  <c r="K1060" i="1"/>
  <c r="K1061" i="1"/>
  <c r="K1062" i="1"/>
  <c r="K1064" i="1"/>
  <c r="K1065" i="1"/>
  <c r="K1066" i="1"/>
  <c r="K1068" i="1"/>
  <c r="K1069" i="1"/>
  <c r="K1070" i="1"/>
  <c r="K1072" i="1"/>
  <c r="K1073" i="1"/>
  <c r="K1074" i="1"/>
  <c r="K1076" i="1"/>
  <c r="K1077" i="1"/>
  <c r="K3369" i="1"/>
  <c r="K3370" i="1"/>
  <c r="K3371" i="1"/>
  <c r="K3373" i="1"/>
  <c r="K3374" i="1"/>
  <c r="K3375" i="1"/>
  <c r="K3377" i="1"/>
  <c r="K3378" i="1"/>
  <c r="K3379" i="1"/>
  <c r="K3381" i="1"/>
  <c r="K3382" i="1"/>
  <c r="K3383" i="1"/>
  <c r="K3385" i="1"/>
  <c r="K3386" i="1"/>
  <c r="K3387" i="1"/>
  <c r="K3389" i="1"/>
  <c r="K3390" i="1"/>
  <c r="K3391" i="1"/>
  <c r="K3393" i="1"/>
  <c r="K3394" i="1"/>
  <c r="K3395" i="1"/>
  <c r="K3397" i="1"/>
  <c r="K3398" i="1"/>
  <c r="K3399" i="1"/>
  <c r="K3401" i="1"/>
  <c r="K3402" i="1"/>
  <c r="K3403" i="1"/>
  <c r="K3405" i="1"/>
  <c r="K3406" i="1"/>
  <c r="K3407" i="1"/>
  <c r="K3409" i="1"/>
  <c r="K3410" i="1"/>
  <c r="K3411" i="1"/>
  <c r="K3413" i="1"/>
  <c r="K3414" i="1"/>
  <c r="K3415" i="1"/>
  <c r="K3417" i="1"/>
  <c r="K3418" i="1"/>
  <c r="K3419" i="1"/>
  <c r="K3421" i="1"/>
  <c r="K3422" i="1"/>
  <c r="K3423" i="1"/>
  <c r="K3425" i="1"/>
  <c r="K3426" i="1"/>
  <c r="K3427" i="1"/>
  <c r="K3429" i="1"/>
  <c r="K3430" i="1"/>
  <c r="K3431" i="1"/>
  <c r="K3433" i="1"/>
  <c r="K3434" i="1"/>
  <c r="K3435" i="1"/>
  <c r="K3437" i="1"/>
  <c r="K3438" i="1"/>
  <c r="K3439" i="1"/>
  <c r="K3441" i="1"/>
  <c r="K3442" i="1"/>
  <c r="K3443" i="1"/>
  <c r="K3445" i="1"/>
  <c r="K3446" i="1"/>
  <c r="K3447" i="1"/>
  <c r="K3449" i="1"/>
  <c r="K3450" i="1"/>
  <c r="K3451" i="1"/>
  <c r="K3453" i="1"/>
  <c r="K3454" i="1"/>
  <c r="K3455" i="1"/>
  <c r="K3457" i="1"/>
  <c r="K3458" i="1"/>
  <c r="K3459" i="1"/>
  <c r="K3461" i="1"/>
  <c r="K3462" i="1"/>
  <c r="K3463" i="1"/>
  <c r="K3465" i="1"/>
  <c r="K3466" i="1"/>
  <c r="K3467" i="1"/>
  <c r="K3469" i="1"/>
  <c r="K3470" i="1"/>
  <c r="K3471" i="1"/>
  <c r="K3472" i="1"/>
  <c r="K3474" i="1"/>
  <c r="K3475" i="1"/>
  <c r="K3476" i="1"/>
  <c r="K3478" i="1"/>
  <c r="K3479" i="1"/>
  <c r="K3480" i="1"/>
  <c r="K3482" i="1"/>
  <c r="K3483" i="1"/>
  <c r="K3484" i="1"/>
  <c r="K3486" i="1"/>
  <c r="K3487" i="1"/>
  <c r="K3488" i="1"/>
  <c r="K3490" i="1"/>
  <c r="K3491" i="1"/>
  <c r="K3492" i="1"/>
  <c r="K3494" i="1"/>
  <c r="K3495" i="1"/>
  <c r="K3496" i="1"/>
  <c r="K3498" i="1"/>
  <c r="K3499" i="1"/>
  <c r="K3500" i="1"/>
  <c r="K3502" i="1"/>
  <c r="K3503" i="1"/>
  <c r="K3504" i="1"/>
  <c r="K3506" i="1"/>
  <c r="K3507" i="1"/>
  <c r="K3508" i="1"/>
  <c r="K3510" i="1"/>
  <c r="K3511" i="1"/>
  <c r="K3512" i="1"/>
  <c r="K3514" i="1"/>
  <c r="K3515" i="1"/>
  <c r="K3516" i="1"/>
  <c r="K3518" i="1"/>
  <c r="K3519" i="1"/>
  <c r="K3520" i="1"/>
  <c r="K3522" i="1"/>
  <c r="K3523" i="1"/>
  <c r="K3524" i="1"/>
  <c r="K3526" i="1"/>
  <c r="K3527" i="1"/>
  <c r="K3528" i="1"/>
  <c r="K3530" i="1"/>
  <c r="K3531" i="1"/>
  <c r="K3532" i="1"/>
  <c r="K3534" i="1"/>
  <c r="K3535" i="1"/>
  <c r="K3536" i="1"/>
  <c r="K3538" i="1"/>
  <c r="K3539" i="1"/>
  <c r="K3540" i="1"/>
  <c r="K3542" i="1"/>
  <c r="K3543" i="1"/>
  <c r="K3544" i="1"/>
  <c r="K3546" i="1"/>
  <c r="K3547" i="1"/>
  <c r="K3548" i="1"/>
  <c r="K3550" i="1"/>
  <c r="K3551" i="1"/>
  <c r="K3552" i="1"/>
  <c r="K3554" i="1"/>
  <c r="K3555" i="1"/>
  <c r="K3556" i="1"/>
  <c r="K3558" i="1"/>
  <c r="K3559" i="1"/>
  <c r="K3560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22" i="1"/>
  <c r="K223" i="1"/>
  <c r="K224" i="1"/>
  <c r="K225" i="1"/>
  <c r="K226" i="1"/>
  <c r="K228" i="1"/>
  <c r="K229" i="1"/>
  <c r="K230" i="1"/>
  <c r="K231" i="1"/>
  <c r="K232" i="1"/>
  <c r="K235" i="1"/>
  <c r="K236" i="1"/>
  <c r="K237" i="1"/>
  <c r="K238" i="1"/>
  <c r="K239" i="1"/>
  <c r="K240" i="1"/>
  <c r="K241" i="1"/>
  <c r="K242" i="1"/>
  <c r="K244" i="1"/>
  <c r="K246" i="1"/>
  <c r="K247" i="1"/>
  <c r="K249" i="1"/>
  <c r="K250" i="1"/>
  <c r="K251" i="1"/>
  <c r="K252" i="1"/>
  <c r="K253" i="1"/>
  <c r="K255" i="1"/>
  <c r="K256" i="1"/>
  <c r="K257" i="1"/>
  <c r="K258" i="1"/>
  <c r="K259" i="1"/>
  <c r="K260" i="1"/>
  <c r="K261" i="1"/>
  <c r="K263" i="1"/>
  <c r="K264" i="1"/>
  <c r="K265" i="1"/>
  <c r="K266" i="1"/>
  <c r="K267" i="1"/>
  <c r="K268" i="1"/>
  <c r="K269" i="1"/>
  <c r="K270" i="1"/>
  <c r="K271" i="1"/>
  <c r="K273" i="1"/>
  <c r="K274" i="1"/>
  <c r="K275" i="1"/>
  <c r="K276" i="1"/>
  <c r="K277" i="1"/>
  <c r="K278" i="1"/>
  <c r="K279" i="1"/>
  <c r="K280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5" i="1"/>
  <c r="K346" i="1"/>
  <c r="K347" i="1"/>
  <c r="K348" i="1"/>
  <c r="K349" i="1"/>
  <c r="K350" i="1"/>
  <c r="K351" i="1"/>
  <c r="K352" i="1"/>
  <c r="K353" i="1"/>
  <c r="K355" i="1"/>
  <c r="K357" i="1"/>
  <c r="K358" i="1"/>
  <c r="K359" i="1"/>
  <c r="K360" i="1"/>
  <c r="K361" i="1"/>
  <c r="K362" i="1"/>
  <c r="K363" i="1"/>
  <c r="K364" i="1"/>
  <c r="K366" i="1"/>
  <c r="K367" i="1"/>
  <c r="K368" i="1"/>
  <c r="K369" i="1"/>
  <c r="K370" i="1"/>
  <c r="K371" i="1"/>
  <c r="K374" i="1"/>
  <c r="K375" i="1"/>
  <c r="K376" i="1"/>
  <c r="K377" i="1"/>
  <c r="K378" i="1"/>
  <c r="K379" i="1"/>
  <c r="K380" i="1"/>
  <c r="K381" i="1"/>
  <c r="K382" i="1"/>
  <c r="K383" i="1"/>
  <c r="K1078" i="1"/>
  <c r="K1080" i="1"/>
  <c r="K1081" i="1"/>
  <c r="K1082" i="1"/>
  <c r="K1084" i="1"/>
  <c r="K1085" i="1"/>
  <c r="K1086" i="1"/>
  <c r="K1088" i="1"/>
  <c r="K1089" i="1"/>
  <c r="K1090" i="1"/>
  <c r="K1092" i="1"/>
  <c r="K1093" i="1"/>
  <c r="K1094" i="1"/>
  <c r="K1096" i="1"/>
  <c r="K1097" i="1"/>
  <c r="K1098" i="1"/>
  <c r="K1100" i="1"/>
  <c r="K1101" i="1"/>
  <c r="K1102" i="1"/>
  <c r="K1104" i="1"/>
  <c r="K1105" i="1"/>
  <c r="K1106" i="1"/>
  <c r="K1108" i="1"/>
  <c r="K1109" i="1"/>
  <c r="K1110" i="1"/>
  <c r="K1112" i="1"/>
  <c r="K1113" i="1"/>
  <c r="K1114" i="1"/>
  <c r="K1116" i="1"/>
  <c r="K1117" i="1"/>
  <c r="K1118" i="1"/>
  <c r="K1120" i="1"/>
  <c r="K1121" i="1"/>
  <c r="K1122" i="1"/>
  <c r="K1124" i="1"/>
  <c r="K1125" i="1"/>
  <c r="K1126" i="1"/>
  <c r="K1128" i="1"/>
  <c r="K1129" i="1"/>
  <c r="K1130" i="1"/>
  <c r="K1132" i="1"/>
  <c r="K1133" i="1"/>
  <c r="K1134" i="1"/>
  <c r="K1136" i="1"/>
  <c r="K1137" i="1"/>
  <c r="K1138" i="1"/>
  <c r="K1140" i="1"/>
  <c r="K1141" i="1"/>
  <c r="K1142" i="1"/>
  <c r="K1144" i="1"/>
  <c r="K1145" i="1"/>
  <c r="K1146" i="1"/>
  <c r="K1148" i="1"/>
  <c r="K1149" i="1"/>
  <c r="K1150" i="1"/>
  <c r="K1152" i="1"/>
  <c r="K1153" i="1"/>
  <c r="K1154" i="1"/>
  <c r="K1156" i="1"/>
  <c r="K1157" i="1"/>
  <c r="K1158" i="1"/>
  <c r="K1160" i="1"/>
  <c r="K1161" i="1"/>
  <c r="K1162" i="1"/>
  <c r="K1164" i="1"/>
  <c r="K1165" i="1"/>
  <c r="K1166" i="1"/>
  <c r="K1168" i="1"/>
  <c r="K1169" i="1"/>
  <c r="K1170" i="1"/>
  <c r="K1172" i="1"/>
  <c r="K1173" i="1"/>
  <c r="K1174" i="1"/>
  <c r="K1176" i="1"/>
  <c r="K1177" i="1"/>
  <c r="K1178" i="1"/>
  <c r="K1180" i="1"/>
  <c r="K1181" i="1"/>
  <c r="K1182" i="1"/>
  <c r="K1184" i="1"/>
  <c r="K1185" i="1"/>
  <c r="K1186" i="1"/>
  <c r="K1188" i="1"/>
  <c r="K1189" i="1"/>
  <c r="K1190" i="1"/>
  <c r="K1192" i="1"/>
  <c r="K1193" i="1"/>
  <c r="K1194" i="1"/>
  <c r="K1196" i="1"/>
  <c r="K1197" i="1"/>
  <c r="K1198" i="1"/>
  <c r="K1200" i="1"/>
  <c r="K1201" i="1"/>
  <c r="K1202" i="1"/>
  <c r="K1204" i="1"/>
  <c r="K1205" i="1"/>
  <c r="K1206" i="1"/>
  <c r="K1207" i="1"/>
  <c r="K1208" i="1"/>
  <c r="K1210" i="1"/>
  <c r="K1211" i="1"/>
  <c r="K1212" i="1"/>
  <c r="K1214" i="1"/>
  <c r="K1215" i="1"/>
  <c r="K1216" i="1"/>
  <c r="K1218" i="1"/>
  <c r="K1219" i="1"/>
  <c r="K1220" i="1"/>
  <c r="K1222" i="1"/>
  <c r="K1223" i="1"/>
  <c r="K1224" i="1"/>
  <c r="K1226" i="1"/>
  <c r="K1227" i="1"/>
  <c r="K1228" i="1"/>
  <c r="K1230" i="1"/>
  <c r="K1231" i="1"/>
  <c r="K1232" i="1"/>
  <c r="K1234" i="1"/>
  <c r="K1235" i="1"/>
  <c r="K1236" i="1"/>
  <c r="K1238" i="1"/>
  <c r="K1239" i="1"/>
  <c r="K1240" i="1"/>
  <c r="K1242" i="1"/>
  <c r="K1243" i="1"/>
  <c r="K1244" i="1"/>
  <c r="K1246" i="1"/>
  <c r="K1247" i="1"/>
  <c r="K1248" i="1"/>
  <c r="K1250" i="1"/>
  <c r="K1251" i="1"/>
  <c r="K1252" i="1"/>
  <c r="K1254" i="1"/>
  <c r="K1255" i="1"/>
  <c r="K1256" i="1"/>
  <c r="K1258" i="1"/>
  <c r="K1259" i="1"/>
  <c r="K1260" i="1"/>
  <c r="K1262" i="1"/>
  <c r="K1263" i="1"/>
  <c r="K1264" i="1"/>
  <c r="K1266" i="1"/>
  <c r="K1267" i="1"/>
  <c r="K1268" i="1"/>
  <c r="K1270" i="1"/>
  <c r="K1271" i="1"/>
  <c r="K1272" i="1"/>
  <c r="K1274" i="1"/>
  <c r="K1275" i="1"/>
  <c r="K1276" i="1"/>
  <c r="K1278" i="1"/>
  <c r="K1279" i="1"/>
  <c r="K1280" i="1"/>
  <c r="K1282" i="1"/>
  <c r="K1283" i="1"/>
  <c r="K1284" i="1"/>
  <c r="K1286" i="1"/>
  <c r="K1287" i="1"/>
  <c r="K1288" i="1"/>
  <c r="K1290" i="1"/>
  <c r="K1291" i="1"/>
  <c r="K1292" i="1"/>
  <c r="K1294" i="1"/>
  <c r="K1295" i="1"/>
  <c r="K1296" i="1"/>
  <c r="K1298" i="1"/>
  <c r="K1299" i="1"/>
  <c r="K1300" i="1"/>
  <c r="K1302" i="1"/>
  <c r="K1303" i="1"/>
  <c r="K1304" i="1"/>
  <c r="K1306" i="1"/>
  <c r="K1307" i="1"/>
  <c r="K1308" i="1"/>
  <c r="K1310" i="1"/>
  <c r="K1311" i="1"/>
  <c r="K1312" i="1"/>
  <c r="K1314" i="1"/>
  <c r="K1315" i="1"/>
  <c r="K1316" i="1"/>
  <c r="K1318" i="1"/>
  <c r="K1319" i="1"/>
  <c r="K1320" i="1"/>
  <c r="K1322" i="1"/>
  <c r="K1323" i="1"/>
  <c r="K1324" i="1"/>
  <c r="K1326" i="1"/>
  <c r="K1327" i="1"/>
  <c r="K1328" i="1"/>
  <c r="K1330" i="1"/>
  <c r="K1331" i="1"/>
  <c r="K1332" i="1"/>
  <c r="K1334" i="1"/>
  <c r="K1335" i="1"/>
  <c r="K1336" i="1"/>
  <c r="K1338" i="1"/>
  <c r="K1339" i="1"/>
  <c r="K1340" i="1"/>
  <c r="K1342" i="1"/>
  <c r="K1343" i="1"/>
  <c r="K1344" i="1"/>
  <c r="K1346" i="1"/>
  <c r="K1347" i="1"/>
  <c r="K1348" i="1"/>
  <c r="K1350" i="1"/>
  <c r="K1351" i="1"/>
  <c r="K1352" i="1"/>
  <c r="K1354" i="1"/>
  <c r="K1355" i="1"/>
  <c r="K1356" i="1"/>
  <c r="K1358" i="1"/>
  <c r="K1359" i="1"/>
  <c r="K1360" i="1"/>
  <c r="K1362" i="1"/>
  <c r="K1363" i="1"/>
  <c r="K1364" i="1"/>
  <c r="K1366" i="1"/>
  <c r="K1367" i="1"/>
  <c r="K1368" i="1"/>
  <c r="K1370" i="1"/>
  <c r="K1371" i="1"/>
  <c r="K1372" i="1"/>
  <c r="K1374" i="1"/>
  <c r="K1375" i="1"/>
  <c r="K1376" i="1"/>
  <c r="K1378" i="1"/>
  <c r="K1379" i="1"/>
  <c r="K1380" i="1"/>
  <c r="K1382" i="1"/>
  <c r="K1383" i="1"/>
  <c r="K1384" i="1"/>
  <c r="K1386" i="1"/>
  <c r="K1387" i="1"/>
  <c r="K1388" i="1"/>
  <c r="K1390" i="1"/>
  <c r="K1391" i="1"/>
  <c r="K1392" i="1"/>
  <c r="K1394" i="1"/>
  <c r="K1395" i="1"/>
  <c r="K1396" i="1"/>
  <c r="K1398" i="1"/>
  <c r="K1399" i="1"/>
  <c r="K1400" i="1"/>
  <c r="K1402" i="1"/>
  <c r="K1403" i="1"/>
  <c r="K1404" i="1"/>
  <c r="K1406" i="1"/>
  <c r="K1407" i="1"/>
  <c r="K1408" i="1"/>
  <c r="K1410" i="1"/>
  <c r="K1411" i="1"/>
  <c r="K1412" i="1"/>
  <c r="K1414" i="1"/>
  <c r="K1415" i="1"/>
  <c r="K1416" i="1"/>
  <c r="K1418" i="1"/>
  <c r="K1419" i="1"/>
  <c r="K1420" i="1"/>
  <c r="K1422" i="1"/>
  <c r="K1423" i="1"/>
  <c r="K1424" i="1"/>
  <c r="K1426" i="1"/>
  <c r="K1427" i="1"/>
  <c r="K1428" i="1"/>
  <c r="K1430" i="1"/>
  <c r="K1431" i="1"/>
  <c r="K1432" i="1"/>
  <c r="K1434" i="1"/>
  <c r="K1435" i="1"/>
  <c r="K1436" i="1"/>
  <c r="K1438" i="1"/>
  <c r="K1439" i="1"/>
  <c r="K1440" i="1"/>
  <c r="K1442" i="1"/>
  <c r="K1443" i="1"/>
  <c r="K1444" i="1"/>
  <c r="K1446" i="1"/>
  <c r="K1447" i="1"/>
  <c r="K1448" i="1"/>
  <c r="K1450" i="1"/>
  <c r="K1451" i="1"/>
  <c r="K1452" i="1"/>
  <c r="K1454" i="1"/>
  <c r="K1455" i="1"/>
  <c r="K1456" i="1"/>
  <c r="K1458" i="1"/>
  <c r="K1459" i="1"/>
  <c r="K1460" i="1"/>
  <c r="K1462" i="1"/>
  <c r="K1463" i="1"/>
  <c r="K1464" i="1"/>
  <c r="K1466" i="1"/>
  <c r="K1467" i="1"/>
  <c r="K1468" i="1"/>
  <c r="K1470" i="1"/>
  <c r="K1471" i="1"/>
  <c r="K1472" i="1"/>
  <c r="K1474" i="1"/>
  <c r="K1475" i="1"/>
  <c r="K1476" i="1"/>
  <c r="K1478" i="1"/>
  <c r="K1479" i="1"/>
  <c r="K1480" i="1"/>
  <c r="K1482" i="1"/>
  <c r="K1483" i="1"/>
  <c r="K1484" i="1"/>
  <c r="K1486" i="1"/>
  <c r="K1487" i="1"/>
  <c r="K1488" i="1"/>
  <c r="K1490" i="1"/>
  <c r="K1491" i="1"/>
  <c r="K1492" i="1"/>
  <c r="K1494" i="1"/>
  <c r="K1495" i="1"/>
  <c r="K1496" i="1"/>
  <c r="K1498" i="1"/>
  <c r="K1499" i="1"/>
  <c r="K1500" i="1"/>
  <c r="K1502" i="1"/>
  <c r="K1503" i="1"/>
  <c r="K1504" i="1"/>
  <c r="K1506" i="1"/>
  <c r="K1507" i="1"/>
  <c r="K1508" i="1"/>
  <c r="K1510" i="1"/>
  <c r="K1511" i="1"/>
  <c r="K1512" i="1"/>
  <c r="K1514" i="1"/>
  <c r="K1515" i="1"/>
  <c r="K1516" i="1"/>
  <c r="K1518" i="1"/>
  <c r="K1519" i="1"/>
  <c r="K1520" i="1"/>
  <c r="K1522" i="1"/>
  <c r="K1523" i="1"/>
  <c r="K1524" i="1"/>
  <c r="K1526" i="1"/>
  <c r="K1527" i="1"/>
  <c r="K1528" i="1"/>
  <c r="K1530" i="1"/>
  <c r="K1531" i="1"/>
  <c r="K1532" i="1"/>
  <c r="K1534" i="1"/>
  <c r="K1535" i="1"/>
  <c r="K1536" i="1"/>
  <c r="K1538" i="1"/>
  <c r="K1539" i="1"/>
  <c r="K1540" i="1"/>
  <c r="K1542" i="1"/>
  <c r="K1543" i="1"/>
  <c r="K1544" i="1"/>
  <c r="K1546" i="1"/>
  <c r="K1547" i="1"/>
  <c r="K1548" i="1"/>
  <c r="K1550" i="1"/>
  <c r="K1551" i="1"/>
  <c r="K1552" i="1"/>
  <c r="K1554" i="1"/>
  <c r="K1555" i="1"/>
  <c r="K1556" i="1"/>
  <c r="K1558" i="1"/>
  <c r="K1559" i="1"/>
  <c r="K1560" i="1"/>
  <c r="K1562" i="1"/>
  <c r="K1563" i="1"/>
  <c r="K1564" i="1"/>
  <c r="K1566" i="1"/>
  <c r="K1567" i="1"/>
  <c r="K1568" i="1"/>
  <c r="K1570" i="1"/>
  <c r="K1571" i="1"/>
  <c r="K1572" i="1"/>
  <c r="K1574" i="1"/>
  <c r="K1575" i="1"/>
  <c r="K1576" i="1"/>
  <c r="K1578" i="1"/>
  <c r="K1579" i="1"/>
  <c r="K1580" i="1"/>
  <c r="K1582" i="1"/>
  <c r="K1583" i="1"/>
  <c r="K1584" i="1"/>
  <c r="K1586" i="1"/>
  <c r="K1587" i="1"/>
  <c r="K1588" i="1"/>
  <c r="K1590" i="1"/>
  <c r="K1591" i="1"/>
  <c r="K1592" i="1"/>
  <c r="K1594" i="1"/>
  <c r="K1595" i="1"/>
  <c r="K1596" i="1"/>
  <c r="K1598" i="1"/>
  <c r="K1599" i="1"/>
  <c r="K1600" i="1"/>
  <c r="K1602" i="1"/>
  <c r="K1603" i="1"/>
  <c r="K1604" i="1"/>
  <c r="K1606" i="1"/>
  <c r="K1607" i="1"/>
  <c r="K1608" i="1"/>
  <c r="K1610" i="1"/>
  <c r="K1611" i="1"/>
  <c r="K1612" i="1"/>
  <c r="K1614" i="1"/>
  <c r="K1615" i="1"/>
  <c r="K1616" i="1"/>
  <c r="K1618" i="1"/>
  <c r="K1619" i="1"/>
  <c r="K1620" i="1"/>
  <c r="K1622" i="1"/>
  <c r="K1623" i="1"/>
  <c r="K1624" i="1"/>
  <c r="K1626" i="1"/>
  <c r="K1627" i="1"/>
  <c r="K1628" i="1"/>
  <c r="K1630" i="1"/>
  <c r="K1631" i="1"/>
  <c r="K1632" i="1"/>
  <c r="K1634" i="1"/>
  <c r="K1635" i="1"/>
  <c r="K1636" i="1"/>
  <c r="K1638" i="1"/>
  <c r="K1639" i="1"/>
  <c r="K1640" i="1"/>
  <c r="K1642" i="1"/>
  <c r="K1643" i="1"/>
  <c r="K1644" i="1"/>
  <c r="K1646" i="1"/>
  <c r="K1647" i="1"/>
  <c r="K1648" i="1"/>
  <c r="K1650" i="1"/>
  <c r="K1651" i="1"/>
  <c r="K1652" i="1"/>
  <c r="K1654" i="1"/>
  <c r="K1655" i="1"/>
  <c r="K1656" i="1"/>
  <c r="K1658" i="1"/>
  <c r="K1659" i="1"/>
  <c r="K1660" i="1"/>
  <c r="K1662" i="1"/>
  <c r="K1663" i="1"/>
  <c r="K1664" i="1"/>
  <c r="K1666" i="1"/>
  <c r="K1667" i="1"/>
  <c r="K1668" i="1"/>
  <c r="K1670" i="1"/>
  <c r="K1671" i="1"/>
  <c r="K1672" i="1"/>
  <c r="K1674" i="1"/>
  <c r="K1675" i="1"/>
  <c r="K1676" i="1"/>
  <c r="K1678" i="1"/>
  <c r="K1679" i="1"/>
  <c r="K1680" i="1"/>
  <c r="K1682" i="1"/>
  <c r="K1683" i="1"/>
  <c r="K1684" i="1"/>
  <c r="K1686" i="1"/>
  <c r="K1687" i="1"/>
  <c r="K1688" i="1"/>
  <c r="K1690" i="1"/>
  <c r="K1691" i="1"/>
  <c r="K1692" i="1"/>
  <c r="K1694" i="1"/>
  <c r="K1695" i="1"/>
  <c r="K1696" i="1"/>
  <c r="K1698" i="1"/>
  <c r="K1699" i="1"/>
  <c r="K1700" i="1"/>
  <c r="K1702" i="1"/>
  <c r="K1703" i="1"/>
  <c r="K1704" i="1"/>
  <c r="K1706" i="1"/>
  <c r="K1707" i="1"/>
  <c r="K1708" i="1"/>
  <c r="K1710" i="1"/>
  <c r="K1711" i="1"/>
  <c r="K1712" i="1"/>
  <c r="K1714" i="1"/>
  <c r="K1715" i="1"/>
  <c r="K1716" i="1"/>
  <c r="K1718" i="1"/>
  <c r="K1719" i="1"/>
  <c r="K1720" i="1"/>
  <c r="K1722" i="1"/>
  <c r="K1723" i="1"/>
  <c r="K1724" i="1"/>
  <c r="K1726" i="1"/>
  <c r="K1727" i="1"/>
  <c r="K1728" i="1"/>
  <c r="K1730" i="1"/>
  <c r="K1731" i="1"/>
  <c r="K1732" i="1"/>
  <c r="K1734" i="1"/>
  <c r="K1735" i="1"/>
  <c r="K1736" i="1"/>
  <c r="K1738" i="1"/>
  <c r="K1739" i="1"/>
  <c r="K1740" i="1"/>
  <c r="K1742" i="1"/>
  <c r="K1743" i="1"/>
  <c r="K1744" i="1"/>
  <c r="K1746" i="1"/>
  <c r="K1747" i="1"/>
  <c r="K1748" i="1"/>
  <c r="K1750" i="1"/>
  <c r="K1751" i="1"/>
  <c r="K1752" i="1"/>
  <c r="K1754" i="1"/>
  <c r="K1755" i="1"/>
  <c r="K1756" i="1"/>
  <c r="K1758" i="1"/>
  <c r="K1759" i="1"/>
  <c r="K1760" i="1"/>
  <c r="K1762" i="1"/>
  <c r="K1763" i="1"/>
  <c r="K1764" i="1"/>
  <c r="K1766" i="1"/>
  <c r="K1767" i="1"/>
  <c r="K1768" i="1"/>
  <c r="K1770" i="1"/>
  <c r="K1771" i="1"/>
  <c r="K1772" i="1"/>
  <c r="K1774" i="1"/>
  <c r="K1775" i="1"/>
  <c r="K1776" i="1"/>
  <c r="K1778" i="1"/>
  <c r="K1779" i="1"/>
  <c r="K1780" i="1"/>
  <c r="K1782" i="1"/>
  <c r="K1783" i="1"/>
  <c r="K1784" i="1"/>
  <c r="K1786" i="1"/>
  <c r="K1787" i="1"/>
  <c r="K1788" i="1"/>
  <c r="K1790" i="1"/>
  <c r="K1791" i="1"/>
  <c r="K1792" i="1"/>
  <c r="K1794" i="1"/>
  <c r="K1795" i="1"/>
  <c r="K1796" i="1"/>
  <c r="K1798" i="1"/>
  <c r="K1799" i="1"/>
  <c r="K1800" i="1"/>
  <c r="K1802" i="1"/>
  <c r="K1803" i="1"/>
  <c r="K1804" i="1"/>
  <c r="K1806" i="1"/>
  <c r="K1807" i="1"/>
  <c r="K1808" i="1"/>
  <c r="K1810" i="1"/>
  <c r="K1811" i="1"/>
  <c r="K1812" i="1"/>
  <c r="K1814" i="1"/>
  <c r="K1815" i="1"/>
  <c r="K1816" i="1"/>
  <c r="K1818" i="1"/>
  <c r="K1819" i="1"/>
  <c r="K1820" i="1"/>
  <c r="K1822" i="1"/>
  <c r="K1823" i="1"/>
  <c r="K1824" i="1"/>
  <c r="K1826" i="1"/>
  <c r="K1827" i="1"/>
  <c r="K1828" i="1"/>
  <c r="K1830" i="1"/>
  <c r="K1831" i="1"/>
  <c r="K1832" i="1"/>
  <c r="K1834" i="1"/>
  <c r="K1835" i="1"/>
  <c r="K1836" i="1"/>
  <c r="K1838" i="1"/>
  <c r="K1839" i="1"/>
  <c r="K1840" i="1"/>
  <c r="K1842" i="1"/>
  <c r="K1843" i="1"/>
  <c r="K1844" i="1"/>
  <c r="K1846" i="1"/>
  <c r="K1847" i="1"/>
  <c r="K1848" i="1"/>
  <c r="K1850" i="1"/>
  <c r="K1851" i="1"/>
  <c r="K1852" i="1"/>
  <c r="K1854" i="1"/>
  <c r="K1855" i="1"/>
  <c r="K1856" i="1"/>
  <c r="K1858" i="1"/>
  <c r="K1859" i="1"/>
  <c r="K1860" i="1"/>
  <c r="K1862" i="1"/>
  <c r="K1863" i="1"/>
  <c r="K1864" i="1"/>
  <c r="K1866" i="1"/>
  <c r="K1867" i="1"/>
  <c r="K1868" i="1"/>
  <c r="K1870" i="1"/>
  <c r="K1871" i="1"/>
  <c r="K1872" i="1"/>
  <c r="K1874" i="1"/>
  <c r="K1875" i="1"/>
  <c r="K1876" i="1"/>
  <c r="K1878" i="1"/>
  <c r="K1879" i="1"/>
  <c r="K1880" i="1"/>
  <c r="K1882" i="1"/>
  <c r="K1883" i="1"/>
  <c r="K1884" i="1"/>
  <c r="K1886" i="1"/>
  <c r="K1887" i="1"/>
  <c r="K1888" i="1"/>
  <c r="K1890" i="1"/>
  <c r="K1891" i="1"/>
  <c r="K1892" i="1"/>
  <c r="K1894" i="1"/>
  <c r="K1895" i="1"/>
  <c r="K1896" i="1"/>
  <c r="K1898" i="1"/>
  <c r="K1899" i="1"/>
  <c r="K1900" i="1"/>
  <c r="K1902" i="1"/>
  <c r="K1903" i="1"/>
  <c r="K1904" i="1"/>
  <c r="K1906" i="1"/>
  <c r="K1907" i="1"/>
  <c r="K1908" i="1"/>
  <c r="K1910" i="1"/>
  <c r="K1911" i="1"/>
  <c r="K1912" i="1"/>
  <c r="K1914" i="1"/>
  <c r="K1915" i="1"/>
  <c r="K1916" i="1"/>
  <c r="K1918" i="1"/>
  <c r="K1919" i="1"/>
  <c r="K1920" i="1"/>
  <c r="K1922" i="1"/>
  <c r="K1923" i="1"/>
  <c r="K1924" i="1"/>
  <c r="K1926" i="1"/>
  <c r="K1927" i="1"/>
  <c r="K1928" i="1"/>
  <c r="K1930" i="1"/>
  <c r="K1931" i="1"/>
  <c r="K1932" i="1"/>
  <c r="K1934" i="1"/>
  <c r="K1935" i="1"/>
  <c r="K1936" i="1"/>
  <c r="K1938" i="1"/>
  <c r="K1939" i="1"/>
  <c r="K1940" i="1"/>
  <c r="K1942" i="1"/>
  <c r="K1943" i="1"/>
  <c r="K1944" i="1"/>
  <c r="K1946" i="1"/>
  <c r="K1947" i="1"/>
  <c r="K1948" i="1"/>
  <c r="K1950" i="1"/>
  <c r="K1951" i="1"/>
  <c r="K1952" i="1"/>
  <c r="K1954" i="1"/>
  <c r="K1955" i="1"/>
  <c r="K1956" i="1"/>
  <c r="K1958" i="1"/>
  <c r="K1959" i="1"/>
  <c r="K1960" i="1"/>
  <c r="K1962" i="1"/>
  <c r="K1963" i="1"/>
  <c r="K1964" i="1"/>
  <c r="K1966" i="1"/>
  <c r="K1967" i="1"/>
  <c r="K1968" i="1"/>
  <c r="K1970" i="1"/>
  <c r="K1971" i="1"/>
  <c r="K1972" i="1"/>
  <c r="K1974" i="1"/>
  <c r="K1975" i="1"/>
  <c r="K1976" i="1"/>
  <c r="K1978" i="1"/>
  <c r="K1979" i="1"/>
  <c r="K1980" i="1"/>
  <c r="K1982" i="1"/>
  <c r="K1983" i="1"/>
  <c r="K1984" i="1"/>
  <c r="K1986" i="1"/>
  <c r="K1987" i="1"/>
  <c r="K1988" i="1"/>
  <c r="K1990" i="1"/>
  <c r="K1991" i="1"/>
  <c r="K1992" i="1"/>
  <c r="K1994" i="1"/>
  <c r="K1995" i="1"/>
  <c r="K1996" i="1"/>
  <c r="K1998" i="1"/>
  <c r="K1999" i="1"/>
  <c r="K2000" i="1"/>
  <c r="K2001" i="1"/>
  <c r="K2003" i="1"/>
  <c r="K2004" i="1"/>
  <c r="K2005" i="1"/>
  <c r="K2007" i="1"/>
  <c r="K2008" i="1"/>
  <c r="K2009" i="1"/>
  <c r="K2011" i="1"/>
  <c r="K2012" i="1"/>
  <c r="K2013" i="1"/>
  <c r="K2015" i="1"/>
  <c r="K2016" i="1"/>
  <c r="K2017" i="1"/>
  <c r="K2019" i="1"/>
  <c r="K2020" i="1"/>
  <c r="K2021" i="1"/>
  <c r="K2023" i="1"/>
  <c r="K2024" i="1"/>
  <c r="K2025" i="1"/>
  <c r="K2027" i="1"/>
  <c r="K2028" i="1"/>
  <c r="K2029" i="1"/>
  <c r="K2031" i="1"/>
  <c r="K2032" i="1"/>
  <c r="K2033" i="1"/>
  <c r="K2035" i="1"/>
  <c r="K2036" i="1"/>
  <c r="K2037" i="1"/>
  <c r="K2039" i="1"/>
  <c r="K2040" i="1"/>
  <c r="K2041" i="1"/>
  <c r="K2043" i="1"/>
  <c r="K2044" i="1"/>
  <c r="K2045" i="1"/>
  <c r="K2047" i="1"/>
  <c r="K2048" i="1"/>
  <c r="K2049" i="1"/>
  <c r="K2051" i="1"/>
  <c r="K2052" i="1"/>
  <c r="K2053" i="1"/>
  <c r="K2055" i="1"/>
  <c r="K2056" i="1"/>
  <c r="K2057" i="1"/>
  <c r="K2059" i="1"/>
  <c r="K2060" i="1"/>
  <c r="K2061" i="1"/>
  <c r="K2063" i="1"/>
  <c r="K2064" i="1"/>
  <c r="K2065" i="1"/>
  <c r="K2067" i="1"/>
  <c r="K2068" i="1"/>
  <c r="K2069" i="1"/>
  <c r="K2071" i="1"/>
  <c r="K2072" i="1"/>
  <c r="K2073" i="1"/>
  <c r="K2075" i="1"/>
  <c r="K2076" i="1"/>
  <c r="K2077" i="1"/>
  <c r="K2079" i="1"/>
  <c r="K2080" i="1"/>
  <c r="K2081" i="1"/>
  <c r="K2083" i="1"/>
  <c r="K2084" i="1"/>
  <c r="K2085" i="1"/>
  <c r="K2087" i="1"/>
  <c r="K2088" i="1"/>
  <c r="K2089" i="1"/>
  <c r="K2091" i="1"/>
  <c r="K2092" i="1"/>
  <c r="K2093" i="1"/>
  <c r="K2095" i="1"/>
  <c r="K2096" i="1"/>
  <c r="K2097" i="1"/>
  <c r="K2099" i="1"/>
  <c r="K2100" i="1"/>
  <c r="K2101" i="1"/>
  <c r="K2103" i="1"/>
  <c r="K2104" i="1"/>
  <c r="K2105" i="1"/>
  <c r="K2107" i="1"/>
  <c r="K2108" i="1"/>
  <c r="K2109" i="1"/>
  <c r="K2111" i="1"/>
  <c r="K2112" i="1"/>
  <c r="K2113" i="1"/>
  <c r="K2115" i="1"/>
  <c r="K2116" i="1"/>
  <c r="K2117" i="1"/>
  <c r="K2119" i="1"/>
  <c r="K2120" i="1"/>
  <c r="K2121" i="1"/>
  <c r="K2123" i="1"/>
  <c r="K2124" i="1"/>
  <c r="K2125" i="1"/>
  <c r="K2127" i="1"/>
  <c r="K2128" i="1"/>
  <c r="K2129" i="1"/>
  <c r="K2131" i="1"/>
  <c r="K2132" i="1"/>
  <c r="K2133" i="1"/>
  <c r="K2135" i="1"/>
  <c r="K2136" i="1"/>
  <c r="K2137" i="1"/>
  <c r="K2139" i="1"/>
  <c r="K2140" i="1"/>
  <c r="K2141" i="1"/>
  <c r="K2143" i="1"/>
  <c r="K2144" i="1"/>
  <c r="K2145" i="1"/>
  <c r="K2147" i="1"/>
  <c r="K2148" i="1"/>
  <c r="K2149" i="1"/>
  <c r="K2151" i="1"/>
  <c r="K2152" i="1"/>
  <c r="K2153" i="1"/>
  <c r="K2155" i="1"/>
  <c r="K2156" i="1"/>
  <c r="K2157" i="1"/>
  <c r="K2159" i="1"/>
  <c r="K2160" i="1"/>
  <c r="K2161" i="1"/>
  <c r="K2163" i="1"/>
  <c r="K2164" i="1"/>
  <c r="K2165" i="1"/>
  <c r="K2167" i="1"/>
  <c r="K2168" i="1"/>
  <c r="K2169" i="1"/>
  <c r="K2171" i="1"/>
  <c r="K2172" i="1"/>
  <c r="K2173" i="1"/>
  <c r="K2175" i="1"/>
  <c r="K2176" i="1"/>
  <c r="K2177" i="1"/>
  <c r="K2179" i="1"/>
  <c r="K2180" i="1"/>
  <c r="K2181" i="1"/>
  <c r="K2183" i="1"/>
  <c r="K2184" i="1"/>
  <c r="K2185" i="1"/>
  <c r="K2187" i="1"/>
  <c r="K2188" i="1"/>
  <c r="K2189" i="1"/>
  <c r="K2191" i="1"/>
  <c r="K2192" i="1"/>
  <c r="K2193" i="1"/>
  <c r="K2195" i="1"/>
  <c r="K2196" i="1"/>
  <c r="K2197" i="1"/>
  <c r="K2199" i="1"/>
  <c r="K2200" i="1"/>
  <c r="K2201" i="1"/>
  <c r="K2203" i="1"/>
  <c r="K2204" i="1"/>
  <c r="K2205" i="1"/>
  <c r="K2207" i="1"/>
  <c r="K2208" i="1"/>
  <c r="K2209" i="1"/>
  <c r="K2211" i="1"/>
  <c r="K2212" i="1"/>
  <c r="K2213" i="1"/>
  <c r="K2215" i="1"/>
  <c r="K2216" i="1"/>
  <c r="K2217" i="1"/>
  <c r="K2219" i="1"/>
  <c r="K2220" i="1"/>
  <c r="K2221" i="1"/>
  <c r="K2223" i="1"/>
  <c r="K2224" i="1"/>
  <c r="K2225" i="1"/>
  <c r="K2227" i="1"/>
  <c r="K2228" i="1"/>
  <c r="K2229" i="1"/>
  <c r="K2231" i="1"/>
  <c r="K2232" i="1"/>
  <c r="K2233" i="1"/>
  <c r="K2235" i="1"/>
  <c r="K2236" i="1"/>
  <c r="K2237" i="1"/>
  <c r="K2239" i="1"/>
  <c r="K2240" i="1"/>
  <c r="K2241" i="1"/>
  <c r="K2243" i="1"/>
  <c r="K2244" i="1"/>
  <c r="K2245" i="1"/>
  <c r="K2247" i="1"/>
  <c r="K2248" i="1"/>
  <c r="K2249" i="1"/>
  <c r="K2251" i="1"/>
  <c r="K2252" i="1"/>
  <c r="K2253" i="1"/>
  <c r="K2255" i="1"/>
  <c r="K2256" i="1"/>
  <c r="K2257" i="1"/>
  <c r="K2259" i="1"/>
  <c r="K2260" i="1"/>
  <c r="K2261" i="1"/>
  <c r="K2263" i="1"/>
  <c r="K2264" i="1"/>
  <c r="K2265" i="1"/>
  <c r="K2267" i="1"/>
  <c r="K2268" i="1"/>
  <c r="K2269" i="1"/>
  <c r="K2271" i="1"/>
  <c r="K2272" i="1"/>
  <c r="K2273" i="1"/>
  <c r="K2275" i="1"/>
  <c r="K2276" i="1"/>
  <c r="K2277" i="1"/>
  <c r="K2279" i="1"/>
  <c r="K2280" i="1"/>
  <c r="K2281" i="1"/>
  <c r="K2283" i="1"/>
  <c r="K2284" i="1"/>
  <c r="K2285" i="1"/>
  <c r="K2287" i="1"/>
  <c r="K2288" i="1"/>
  <c r="K2289" i="1"/>
  <c r="K2291" i="1"/>
  <c r="K2292" i="1"/>
  <c r="K2293" i="1"/>
  <c r="K2295" i="1"/>
  <c r="K2296" i="1"/>
  <c r="K2297" i="1"/>
  <c r="K2299" i="1"/>
  <c r="K2300" i="1"/>
  <c r="K2301" i="1"/>
  <c r="K2303" i="1"/>
  <c r="K2304" i="1"/>
  <c r="K2305" i="1"/>
  <c r="K2307" i="1"/>
  <c r="K2308" i="1"/>
  <c r="K2309" i="1"/>
  <c r="K2311" i="1"/>
  <c r="K2312" i="1"/>
  <c r="K2313" i="1"/>
  <c r="K2315" i="1"/>
  <c r="K2316" i="1"/>
  <c r="K2317" i="1"/>
  <c r="K2319" i="1"/>
  <c r="K2320" i="1"/>
  <c r="K2321" i="1"/>
  <c r="K2323" i="1"/>
  <c r="K2324" i="1"/>
  <c r="K2325" i="1"/>
  <c r="K2327" i="1"/>
  <c r="K2328" i="1"/>
  <c r="K2329" i="1"/>
  <c r="K2331" i="1"/>
  <c r="K2332" i="1"/>
  <c r="K2333" i="1"/>
  <c r="K2335" i="1"/>
  <c r="K2336" i="1"/>
  <c r="K2337" i="1"/>
  <c r="K2339" i="1"/>
  <c r="K2340" i="1"/>
  <c r="K2341" i="1"/>
  <c r="K2343" i="1"/>
  <c r="K2344" i="1"/>
  <c r="K2345" i="1"/>
  <c r="K2347" i="1"/>
  <c r="K2348" i="1"/>
  <c r="K2349" i="1"/>
  <c r="K2351" i="1"/>
  <c r="K2352" i="1"/>
  <c r="K2353" i="1"/>
  <c r="K2355" i="1"/>
  <c r="K2356" i="1"/>
  <c r="K2357" i="1"/>
  <c r="K2359" i="1"/>
  <c r="K2360" i="1"/>
  <c r="K2361" i="1"/>
  <c r="K2363" i="1"/>
  <c r="K2364" i="1"/>
  <c r="K2365" i="1"/>
  <c r="K2367" i="1"/>
  <c r="K2368" i="1"/>
  <c r="K2369" i="1"/>
  <c r="K2371" i="1"/>
  <c r="K2372" i="1"/>
  <c r="K2373" i="1"/>
  <c r="K2375" i="1"/>
  <c r="K2376" i="1"/>
  <c r="K2377" i="1"/>
  <c r="K2379" i="1"/>
  <c r="K2380" i="1"/>
  <c r="K2381" i="1"/>
  <c r="K2383" i="1"/>
  <c r="K2384" i="1"/>
  <c r="K2385" i="1"/>
  <c r="K2387" i="1"/>
  <c r="K2388" i="1"/>
  <c r="K2389" i="1"/>
  <c r="K2391" i="1"/>
  <c r="K2392" i="1"/>
  <c r="K2393" i="1"/>
  <c r="K2395" i="1"/>
  <c r="K2396" i="1"/>
  <c r="K2397" i="1"/>
  <c r="K2399" i="1"/>
  <c r="K2400" i="1"/>
  <c r="K2401" i="1"/>
  <c r="K2403" i="1"/>
  <c r="K2404" i="1"/>
  <c r="K2405" i="1"/>
  <c r="K2407" i="1"/>
  <c r="K2408" i="1"/>
  <c r="K2409" i="1"/>
  <c r="K2411" i="1"/>
  <c r="K2412" i="1"/>
  <c r="K2413" i="1"/>
  <c r="K2415" i="1"/>
  <c r="K2416" i="1"/>
  <c r="K2417" i="1"/>
  <c r="K2419" i="1"/>
  <c r="K2420" i="1"/>
  <c r="K2421" i="1"/>
  <c r="K2423" i="1"/>
  <c r="K2424" i="1"/>
  <c r="K2425" i="1"/>
  <c r="K2427" i="1"/>
  <c r="K2428" i="1"/>
  <c r="K2429" i="1"/>
  <c r="K2431" i="1"/>
  <c r="K2432" i="1"/>
  <c r="K2433" i="1"/>
  <c r="K2435" i="1"/>
  <c r="K2436" i="1"/>
  <c r="K2437" i="1"/>
  <c r="K2439" i="1"/>
  <c r="K2440" i="1"/>
  <c r="K2441" i="1"/>
  <c r="K2443" i="1"/>
  <c r="K2444" i="1"/>
  <c r="K2445" i="1"/>
  <c r="K2447" i="1"/>
  <c r="K2448" i="1"/>
  <c r="K2449" i="1"/>
  <c r="K2451" i="1"/>
  <c r="K2452" i="1"/>
  <c r="K2453" i="1"/>
  <c r="K2455" i="1"/>
  <c r="K2456" i="1"/>
  <c r="K2457" i="1"/>
  <c r="K2459" i="1"/>
  <c r="K2460" i="1"/>
  <c r="K2461" i="1"/>
  <c r="K2463" i="1"/>
  <c r="K2464" i="1"/>
  <c r="K2465" i="1"/>
  <c r="K2467" i="1"/>
  <c r="K2468" i="1"/>
  <c r="K2469" i="1"/>
  <c r="K2471" i="1"/>
  <c r="K2472" i="1"/>
  <c r="K2473" i="1"/>
  <c r="K2475" i="1"/>
  <c r="K2476" i="1"/>
  <c r="K2477" i="1"/>
  <c r="K2479" i="1"/>
  <c r="K2480" i="1"/>
  <c r="K2481" i="1"/>
  <c r="K2483" i="1"/>
  <c r="K2484" i="1"/>
  <c r="K2485" i="1"/>
  <c r="K2487" i="1"/>
  <c r="K2488" i="1"/>
  <c r="K2489" i="1"/>
  <c r="K2491" i="1"/>
  <c r="K2492" i="1"/>
  <c r="K2493" i="1"/>
  <c r="K2495" i="1"/>
  <c r="K2496" i="1"/>
  <c r="K2497" i="1"/>
  <c r="K2499" i="1"/>
  <c r="K2500" i="1"/>
  <c r="K2501" i="1"/>
  <c r="K2503" i="1"/>
  <c r="K2504" i="1"/>
  <c r="K2505" i="1"/>
  <c r="K2507" i="1"/>
  <c r="K2508" i="1"/>
  <c r="K2509" i="1"/>
  <c r="K2511" i="1"/>
  <c r="K2512" i="1"/>
  <c r="K2513" i="1"/>
  <c r="K2515" i="1"/>
  <c r="K2516" i="1"/>
  <c r="K2517" i="1"/>
  <c r="K2519" i="1"/>
  <c r="K2520" i="1"/>
  <c r="K2521" i="1"/>
  <c r="K2523" i="1"/>
  <c r="K2524" i="1"/>
  <c r="K2525" i="1"/>
  <c r="K2527" i="1"/>
  <c r="K2528" i="1"/>
  <c r="K2529" i="1"/>
  <c r="K2531" i="1"/>
  <c r="K2532" i="1"/>
  <c r="K2533" i="1"/>
  <c r="K2535" i="1"/>
  <c r="K2536" i="1"/>
  <c r="K2537" i="1"/>
  <c r="K2539" i="1"/>
  <c r="K2540" i="1"/>
  <c r="K2541" i="1"/>
  <c r="K2543" i="1"/>
  <c r="K2544" i="1"/>
  <c r="K2545" i="1"/>
  <c r="K2547" i="1"/>
  <c r="K2548" i="1"/>
  <c r="K2549" i="1"/>
  <c r="K2551" i="1"/>
  <c r="K2552" i="1"/>
  <c r="K2553" i="1"/>
  <c r="K2555" i="1"/>
  <c r="K2556" i="1"/>
  <c r="K2557" i="1"/>
  <c r="K2559" i="1"/>
  <c r="K2560" i="1"/>
  <c r="K2561" i="1"/>
  <c r="K2563" i="1"/>
  <c r="K2564" i="1"/>
  <c r="K2565" i="1"/>
  <c r="K2567" i="1"/>
  <c r="K2568" i="1"/>
  <c r="K2569" i="1"/>
  <c r="K2571" i="1"/>
  <c r="K2572" i="1"/>
  <c r="K2573" i="1"/>
  <c r="K2575" i="1"/>
  <c r="K2576" i="1"/>
  <c r="K2577" i="1"/>
  <c r="K2579" i="1"/>
  <c r="K2580" i="1"/>
  <c r="K2581" i="1"/>
  <c r="K2583" i="1"/>
  <c r="K2584" i="1"/>
  <c r="K2585" i="1"/>
  <c r="K2587" i="1"/>
  <c r="K2588" i="1"/>
  <c r="K2589" i="1"/>
  <c r="K2591" i="1"/>
  <c r="K2592" i="1"/>
  <c r="K2593" i="1"/>
  <c r="K2595" i="1"/>
  <c r="K2596" i="1"/>
  <c r="K2597" i="1"/>
  <c r="K2599" i="1"/>
  <c r="K2600" i="1"/>
  <c r="K2601" i="1"/>
  <c r="K2603" i="1"/>
  <c r="K2604" i="1"/>
  <c r="K2605" i="1"/>
  <c r="K2607" i="1"/>
  <c r="K2608" i="1"/>
  <c r="K2609" i="1"/>
  <c r="K2611" i="1"/>
  <c r="K2612" i="1"/>
  <c r="K2613" i="1"/>
  <c r="K2615" i="1"/>
  <c r="K2616" i="1"/>
  <c r="K2617" i="1"/>
  <c r="K2619" i="1"/>
  <c r="K2620" i="1"/>
  <c r="K2621" i="1"/>
  <c r="K2623" i="1"/>
  <c r="K2624" i="1"/>
  <c r="K2625" i="1"/>
  <c r="K2627" i="1"/>
  <c r="K2628" i="1"/>
  <c r="K2629" i="1"/>
  <c r="K2631" i="1"/>
  <c r="K2632" i="1"/>
  <c r="K2633" i="1"/>
  <c r="K2635" i="1"/>
  <c r="K2636" i="1"/>
  <c r="K2637" i="1"/>
  <c r="K2639" i="1"/>
  <c r="K2640" i="1"/>
  <c r="K2641" i="1"/>
  <c r="K2643" i="1"/>
  <c r="K2644" i="1"/>
  <c r="K2645" i="1"/>
  <c r="K2647" i="1"/>
  <c r="K2648" i="1"/>
  <c r="K2649" i="1"/>
  <c r="K2651" i="1"/>
  <c r="K2652" i="1"/>
  <c r="K2653" i="1"/>
  <c r="K2655" i="1"/>
  <c r="K2656" i="1"/>
  <c r="K2657" i="1"/>
  <c r="K2659" i="1"/>
  <c r="K2660" i="1"/>
  <c r="K2661" i="1"/>
  <c r="K2663" i="1"/>
  <c r="K2664" i="1"/>
  <c r="K2665" i="1"/>
  <c r="K2667" i="1"/>
  <c r="K2668" i="1"/>
  <c r="K2669" i="1"/>
  <c r="K2671" i="1"/>
  <c r="K2672" i="1"/>
  <c r="K2673" i="1"/>
  <c r="K2675" i="1"/>
  <c r="K2676" i="1"/>
  <c r="K2677" i="1"/>
  <c r="K2679" i="1"/>
  <c r="K2680" i="1"/>
  <c r="K2681" i="1"/>
  <c r="K2683" i="1"/>
  <c r="K2684" i="1"/>
  <c r="K2685" i="1"/>
  <c r="K2687" i="1"/>
  <c r="K2688" i="1"/>
  <c r="K2689" i="1"/>
  <c r="K2691" i="1"/>
  <c r="K2692" i="1"/>
  <c r="K2693" i="1"/>
  <c r="K2695" i="1"/>
  <c r="K2696" i="1"/>
  <c r="K2697" i="1"/>
  <c r="K2699" i="1"/>
  <c r="K2700" i="1"/>
  <c r="K2701" i="1"/>
  <c r="K2703" i="1"/>
  <c r="K2704" i="1"/>
  <c r="K2705" i="1"/>
  <c r="K2707" i="1"/>
  <c r="K2708" i="1"/>
  <c r="K2709" i="1"/>
  <c r="K2711" i="1"/>
  <c r="K2712" i="1"/>
  <c r="K2713" i="1"/>
  <c r="K2715" i="1"/>
  <c r="K2716" i="1"/>
  <c r="K2717" i="1"/>
  <c r="K2719" i="1"/>
  <c r="K2720" i="1"/>
  <c r="K2721" i="1"/>
  <c r="K2723" i="1"/>
  <c r="K2724" i="1"/>
  <c r="K2725" i="1"/>
  <c r="K2727" i="1"/>
  <c r="K2728" i="1"/>
  <c r="K2729" i="1"/>
  <c r="K2731" i="1"/>
  <c r="K2732" i="1"/>
  <c r="K2733" i="1"/>
  <c r="K2735" i="1"/>
  <c r="K2736" i="1"/>
  <c r="K2737" i="1"/>
  <c r="K2739" i="1"/>
  <c r="K2740" i="1"/>
  <c r="K2741" i="1"/>
  <c r="K2743" i="1"/>
  <c r="K2744" i="1"/>
  <c r="K2745" i="1"/>
  <c r="K2747" i="1"/>
  <c r="K2748" i="1"/>
  <c r="K2749" i="1"/>
  <c r="K2751" i="1"/>
  <c r="K2752" i="1"/>
  <c r="K2753" i="1"/>
  <c r="K2755" i="1"/>
  <c r="K2756" i="1"/>
  <c r="K2757" i="1"/>
  <c r="K2759" i="1"/>
  <c r="K2760" i="1"/>
  <c r="K2761" i="1"/>
  <c r="K2763" i="1"/>
  <c r="K2764" i="1"/>
  <c r="K2765" i="1"/>
  <c r="K2767" i="1"/>
  <c r="K2768" i="1"/>
  <c r="K2769" i="1"/>
  <c r="K2771" i="1"/>
  <c r="K2772" i="1"/>
  <c r="K2773" i="1"/>
  <c r="K2775" i="1"/>
  <c r="K2776" i="1"/>
  <c r="K2777" i="1"/>
  <c r="K2779" i="1"/>
  <c r="K2780" i="1"/>
  <c r="K2781" i="1"/>
  <c r="K2783" i="1"/>
  <c r="K2784" i="1"/>
  <c r="K2785" i="1"/>
  <c r="K2787" i="1"/>
  <c r="K2788" i="1"/>
  <c r="K2789" i="1"/>
  <c r="K2791" i="1"/>
  <c r="K2792" i="1"/>
  <c r="K2793" i="1"/>
  <c r="K2795" i="1"/>
  <c r="K2796" i="1"/>
  <c r="K2797" i="1"/>
  <c r="K2799" i="1"/>
  <c r="K2800" i="1"/>
  <c r="K2801" i="1"/>
  <c r="K2803" i="1"/>
  <c r="K2804" i="1"/>
  <c r="K2805" i="1"/>
  <c r="K2807" i="1"/>
  <c r="K2808" i="1"/>
  <c r="K2809" i="1"/>
  <c r="K2811" i="1"/>
  <c r="K2812" i="1"/>
  <c r="K2813" i="1"/>
  <c r="K2815" i="1"/>
  <c r="K2816" i="1"/>
  <c r="K2817" i="1"/>
  <c r="K2819" i="1"/>
  <c r="K2820" i="1"/>
  <c r="K2821" i="1"/>
  <c r="K2823" i="1"/>
  <c r="K2824" i="1"/>
  <c r="K2825" i="1"/>
  <c r="K2827" i="1"/>
  <c r="K2828" i="1"/>
  <c r="K2829" i="1"/>
  <c r="K2831" i="1"/>
  <c r="K2833" i="1"/>
  <c r="K2834" i="1"/>
  <c r="K2835" i="1"/>
  <c r="K2837" i="1"/>
  <c r="K2838" i="1"/>
  <c r="K2839" i="1"/>
  <c r="K2841" i="1"/>
  <c r="K2842" i="1"/>
  <c r="K2843" i="1"/>
  <c r="K2845" i="1"/>
  <c r="K2846" i="1"/>
  <c r="K2847" i="1"/>
  <c r="K2849" i="1"/>
  <c r="K2850" i="1"/>
  <c r="K2851" i="1"/>
  <c r="K2853" i="1"/>
  <c r="K2854" i="1"/>
  <c r="K2855" i="1"/>
  <c r="K2857" i="1"/>
  <c r="K2858" i="1"/>
  <c r="K2859" i="1"/>
  <c r="K2861" i="1"/>
  <c r="K2862" i="1"/>
  <c r="K2863" i="1"/>
  <c r="K2865" i="1"/>
  <c r="K2866" i="1"/>
  <c r="K2867" i="1"/>
  <c r="K2869" i="1"/>
  <c r="K2870" i="1"/>
  <c r="K2871" i="1"/>
  <c r="K2873" i="1"/>
  <c r="K2874" i="1"/>
  <c r="K2875" i="1"/>
  <c r="K2877" i="1"/>
  <c r="K2878" i="1"/>
  <c r="K2879" i="1"/>
  <c r="K2881" i="1"/>
  <c r="K2882" i="1"/>
  <c r="K2883" i="1"/>
  <c r="K2885" i="1"/>
  <c r="K2886" i="1"/>
  <c r="K2887" i="1"/>
  <c r="K2889" i="1"/>
  <c r="K2890" i="1"/>
  <c r="K2891" i="1"/>
  <c r="K2893" i="1"/>
  <c r="K2894" i="1"/>
  <c r="K2895" i="1"/>
  <c r="K2897" i="1"/>
  <c r="K2898" i="1"/>
  <c r="K2899" i="1"/>
  <c r="K2901" i="1"/>
  <c r="K2902" i="1"/>
  <c r="K2903" i="1"/>
  <c r="K2905" i="1"/>
  <c r="K2906" i="1"/>
  <c r="K2907" i="1"/>
  <c r="K2909" i="1"/>
  <c r="K2910" i="1"/>
  <c r="K2911" i="1"/>
  <c r="K2913" i="1"/>
  <c r="K2914" i="1"/>
  <c r="K2915" i="1"/>
  <c r="K2917" i="1"/>
  <c r="K2918" i="1"/>
  <c r="K2919" i="1"/>
  <c r="K2921" i="1"/>
  <c r="K2922" i="1"/>
  <c r="K2923" i="1"/>
  <c r="K2925" i="1"/>
  <c r="K2926" i="1"/>
  <c r="K2927" i="1"/>
  <c r="K2929" i="1"/>
  <c r="K2930" i="1"/>
  <c r="K2931" i="1"/>
  <c r="K2933" i="1"/>
  <c r="K2934" i="1"/>
  <c r="K2935" i="1"/>
  <c r="K2937" i="1"/>
  <c r="K2938" i="1"/>
  <c r="K2939" i="1"/>
  <c r="K2941" i="1"/>
  <c r="K2942" i="1"/>
  <c r="K2943" i="1"/>
  <c r="K2945" i="1"/>
  <c r="K2946" i="1"/>
  <c r="K2947" i="1"/>
  <c r="K2949" i="1"/>
  <c r="K2950" i="1"/>
  <c r="K2951" i="1"/>
  <c r="K2953" i="1"/>
  <c r="K2954" i="1"/>
  <c r="K2955" i="1"/>
  <c r="K2957" i="1"/>
  <c r="K2958" i="1"/>
  <c r="K2959" i="1"/>
  <c r="K2961" i="1"/>
  <c r="K2962" i="1"/>
  <c r="K2963" i="1"/>
  <c r="K2965" i="1"/>
  <c r="K2966" i="1"/>
  <c r="K2967" i="1"/>
  <c r="K2969" i="1"/>
  <c r="K2970" i="1"/>
  <c r="K2971" i="1"/>
  <c r="K2973" i="1"/>
  <c r="K2974" i="1"/>
  <c r="K2975" i="1"/>
  <c r="K2977" i="1"/>
  <c r="K2978" i="1"/>
  <c r="K2979" i="1"/>
  <c r="K2981" i="1"/>
  <c r="K2982" i="1"/>
  <c r="K2983" i="1"/>
  <c r="K2985" i="1"/>
  <c r="K2986" i="1"/>
  <c r="K2987" i="1"/>
  <c r="K2989" i="1"/>
  <c r="K2990" i="1"/>
  <c r="K2991" i="1"/>
  <c r="K2993" i="1"/>
  <c r="K2994" i="1"/>
  <c r="K2995" i="1"/>
  <c r="K2997" i="1"/>
  <c r="K2998" i="1"/>
  <c r="K2999" i="1"/>
  <c r="K3001" i="1"/>
  <c r="K3002" i="1"/>
  <c r="K3003" i="1"/>
  <c r="K3005" i="1"/>
  <c r="K3006" i="1"/>
  <c r="K3007" i="1"/>
  <c r="K3009" i="1"/>
  <c r="K3010" i="1"/>
  <c r="K3011" i="1"/>
  <c r="K3013" i="1"/>
  <c r="K3014" i="1"/>
  <c r="K3015" i="1"/>
  <c r="K3017" i="1"/>
  <c r="K3018" i="1"/>
  <c r="K3019" i="1"/>
  <c r="K3021" i="1"/>
  <c r="K3022" i="1"/>
  <c r="K3023" i="1"/>
  <c r="K3025" i="1"/>
  <c r="K3026" i="1"/>
  <c r="K3027" i="1"/>
  <c r="K3029" i="1"/>
  <c r="K3030" i="1"/>
  <c r="K3031" i="1"/>
  <c r="K3033" i="1"/>
  <c r="K3034" i="1"/>
  <c r="K3035" i="1"/>
  <c r="K3037" i="1"/>
  <c r="K3038" i="1"/>
  <c r="K3039" i="1"/>
  <c r="K3041" i="1"/>
  <c r="K3042" i="1"/>
  <c r="K3043" i="1"/>
  <c r="K3045" i="1"/>
  <c r="K3046" i="1"/>
  <c r="K3047" i="1"/>
  <c r="K3049" i="1"/>
  <c r="K3050" i="1"/>
  <c r="K3051" i="1"/>
  <c r="K3053" i="1"/>
  <c r="K3054" i="1"/>
  <c r="K3055" i="1"/>
  <c r="K3057" i="1"/>
  <c r="K3058" i="1"/>
  <c r="K3059" i="1"/>
  <c r="K3061" i="1"/>
  <c r="K3062" i="1"/>
  <c r="K3063" i="1"/>
  <c r="K3065" i="1"/>
  <c r="K3066" i="1"/>
  <c r="K3067" i="1"/>
  <c r="K3069" i="1"/>
  <c r="K3070" i="1"/>
  <c r="K3071" i="1"/>
  <c r="K3073" i="1"/>
  <c r="K3074" i="1"/>
  <c r="K3075" i="1"/>
  <c r="K3077" i="1"/>
  <c r="K3078" i="1"/>
  <c r="K3079" i="1"/>
  <c r="K3081" i="1"/>
  <c r="K3082" i="1"/>
  <c r="K3083" i="1"/>
  <c r="K3085" i="1"/>
  <c r="K3086" i="1"/>
  <c r="K3087" i="1"/>
  <c r="K3089" i="1"/>
  <c r="K3090" i="1"/>
  <c r="K3091" i="1"/>
  <c r="K3093" i="1"/>
  <c r="K3094" i="1"/>
  <c r="K3095" i="1"/>
  <c r="K3097" i="1"/>
  <c r="K3098" i="1"/>
  <c r="K3099" i="1"/>
  <c r="K3101" i="1"/>
  <c r="K3102" i="1"/>
  <c r="K3103" i="1"/>
  <c r="K3105" i="1"/>
  <c r="K3106" i="1"/>
  <c r="K3107" i="1"/>
  <c r="K3109" i="1"/>
  <c r="K3110" i="1"/>
  <c r="K3111" i="1"/>
  <c r="K3113" i="1"/>
  <c r="K3114" i="1"/>
  <c r="K3115" i="1"/>
  <c r="K3117" i="1"/>
  <c r="K3118" i="1"/>
  <c r="K3119" i="1"/>
  <c r="K3121" i="1"/>
  <c r="K3122" i="1"/>
  <c r="K3123" i="1"/>
  <c r="K3125" i="1"/>
  <c r="K3126" i="1"/>
  <c r="K3127" i="1"/>
  <c r="K3129" i="1"/>
  <c r="K3130" i="1"/>
  <c r="K3131" i="1"/>
  <c r="K3133" i="1"/>
  <c r="K3134" i="1"/>
  <c r="K3135" i="1"/>
  <c r="K3137" i="1"/>
  <c r="K3138" i="1"/>
  <c r="K3139" i="1"/>
  <c r="K3141" i="1"/>
  <c r="K3142" i="1"/>
  <c r="K3143" i="1"/>
  <c r="K3145" i="1"/>
  <c r="K3146" i="1"/>
  <c r="K3147" i="1"/>
  <c r="K3149" i="1"/>
  <c r="K3150" i="1"/>
  <c r="K3151" i="1"/>
  <c r="K3153" i="1"/>
  <c r="K3154" i="1"/>
  <c r="K3155" i="1"/>
  <c r="K3157" i="1"/>
  <c r="K3158" i="1"/>
  <c r="K3159" i="1"/>
  <c r="K3161" i="1"/>
  <c r="K3162" i="1"/>
  <c r="K3163" i="1"/>
  <c r="K3165" i="1"/>
  <c r="K3166" i="1"/>
  <c r="K3167" i="1"/>
  <c r="K3169" i="1"/>
  <c r="K3170" i="1"/>
  <c r="K3171" i="1"/>
  <c r="K3173" i="1"/>
  <c r="K3174" i="1"/>
  <c r="K3175" i="1"/>
  <c r="K3177" i="1"/>
  <c r="K3178" i="1"/>
  <c r="K3179" i="1"/>
  <c r="K3181" i="1"/>
  <c r="K3182" i="1"/>
  <c r="K3183" i="1"/>
  <c r="K3185" i="1"/>
  <c r="K3186" i="1"/>
  <c r="K3187" i="1"/>
  <c r="K3189" i="1"/>
  <c r="K3190" i="1"/>
  <c r="K3191" i="1"/>
  <c r="K3193" i="1"/>
  <c r="K3194" i="1"/>
  <c r="K3195" i="1"/>
  <c r="K3197" i="1"/>
  <c r="K3198" i="1"/>
  <c r="K3199" i="1"/>
  <c r="K3201" i="1"/>
  <c r="K3202" i="1"/>
  <c r="K3203" i="1"/>
  <c r="K3205" i="1"/>
  <c r="K3206" i="1"/>
  <c r="K3207" i="1"/>
  <c r="K3209" i="1"/>
  <c r="K3210" i="1"/>
  <c r="K3211" i="1"/>
  <c r="K3213" i="1"/>
  <c r="K3214" i="1"/>
  <c r="K3215" i="1"/>
  <c r="K3217" i="1"/>
  <c r="K3218" i="1"/>
  <c r="K3219" i="1"/>
  <c r="K3221" i="1"/>
  <c r="K3222" i="1"/>
  <c r="K3223" i="1"/>
  <c r="K3225" i="1"/>
  <c r="K3226" i="1"/>
  <c r="K3227" i="1"/>
  <c r="K3229" i="1"/>
  <c r="K3230" i="1"/>
  <c r="K3231" i="1"/>
  <c r="K3233" i="1"/>
  <c r="K3234" i="1"/>
  <c r="K3235" i="1"/>
  <c r="K3237" i="1"/>
  <c r="K3238" i="1"/>
  <c r="K3239" i="1"/>
  <c r="K3241" i="1"/>
  <c r="K3242" i="1"/>
  <c r="K3243" i="1"/>
  <c r="K3245" i="1"/>
  <c r="K3246" i="1"/>
  <c r="K3247" i="1"/>
  <c r="K3249" i="1"/>
  <c r="K3250" i="1"/>
  <c r="K3251" i="1"/>
  <c r="K3253" i="1"/>
  <c r="K3254" i="1"/>
  <c r="K3255" i="1"/>
  <c r="K3257" i="1"/>
  <c r="K3258" i="1"/>
  <c r="K3259" i="1"/>
  <c r="K3261" i="1"/>
  <c r="K3262" i="1"/>
  <c r="K3263" i="1"/>
  <c r="K3265" i="1"/>
  <c r="K3266" i="1"/>
  <c r="K3267" i="1"/>
  <c r="K3269" i="1"/>
  <c r="K3270" i="1"/>
  <c r="K3271" i="1"/>
  <c r="K3273" i="1"/>
  <c r="K3274" i="1"/>
  <c r="K3275" i="1"/>
  <c r="K3277" i="1"/>
  <c r="K3278" i="1"/>
  <c r="K3279" i="1"/>
  <c r="K3281" i="1"/>
  <c r="K3282" i="1"/>
  <c r="K3283" i="1"/>
  <c r="K3285" i="1"/>
  <c r="K3286" i="1"/>
  <c r="K3287" i="1"/>
  <c r="K3289" i="1"/>
  <c r="K3290" i="1"/>
  <c r="K3291" i="1"/>
  <c r="K3293" i="1"/>
  <c r="K3294" i="1"/>
  <c r="K3295" i="1"/>
  <c r="K3297" i="1"/>
  <c r="K3298" i="1"/>
  <c r="K3299" i="1"/>
  <c r="K3301" i="1"/>
  <c r="K3302" i="1"/>
  <c r="K3303" i="1"/>
  <c r="K3305" i="1"/>
  <c r="K3306" i="1"/>
  <c r="K3307" i="1"/>
  <c r="K3309" i="1"/>
  <c r="K3310" i="1"/>
  <c r="K3311" i="1"/>
  <c r="K3313" i="1"/>
  <c r="K3314" i="1"/>
  <c r="K3315" i="1"/>
  <c r="K3317" i="1"/>
  <c r="K3318" i="1"/>
  <c r="K3319" i="1"/>
  <c r="K3321" i="1"/>
  <c r="K3322" i="1"/>
  <c r="K3323" i="1"/>
  <c r="K3325" i="1"/>
  <c r="K3326" i="1"/>
  <c r="K3327" i="1"/>
  <c r="K3329" i="1"/>
  <c r="K3330" i="1"/>
  <c r="K3331" i="1"/>
  <c r="K3333" i="1"/>
  <c r="K3334" i="1"/>
  <c r="K3335" i="1"/>
  <c r="K3337" i="1"/>
  <c r="K3338" i="1"/>
  <c r="K3339" i="1"/>
  <c r="K3341" i="1"/>
  <c r="K3342" i="1"/>
  <c r="K3343" i="1"/>
  <c r="K3345" i="1"/>
  <c r="K3346" i="1"/>
  <c r="K3347" i="1"/>
  <c r="K3349" i="1"/>
  <c r="K3350" i="1"/>
  <c r="K3351" i="1"/>
  <c r="K3353" i="1"/>
  <c r="K3354" i="1"/>
  <c r="K3355" i="1"/>
  <c r="K3357" i="1"/>
  <c r="K3358" i="1"/>
  <c r="K3359" i="1"/>
  <c r="K3361" i="1"/>
  <c r="K3362" i="1"/>
  <c r="K3363" i="1"/>
  <c r="K3365" i="1"/>
  <c r="K3366" i="1"/>
  <c r="K3367" i="1"/>
  <c r="K3562" i="1"/>
  <c r="K3563" i="1"/>
  <c r="K3564" i="1"/>
  <c r="K3566" i="1"/>
  <c r="K3567" i="1"/>
  <c r="K3568" i="1"/>
  <c r="K3570" i="1"/>
  <c r="K3571" i="1"/>
  <c r="K3572" i="1"/>
  <c r="K3574" i="1"/>
  <c r="K3575" i="1"/>
  <c r="K3576" i="1"/>
  <c r="K3578" i="1"/>
  <c r="K3579" i="1"/>
  <c r="K3580" i="1"/>
  <c r="K3582" i="1"/>
  <c r="K3583" i="1"/>
  <c r="K3584" i="1"/>
  <c r="K3586" i="1"/>
  <c r="K3587" i="1"/>
  <c r="K3588" i="1"/>
  <c r="K3590" i="1"/>
  <c r="K3591" i="1"/>
  <c r="K3592" i="1"/>
  <c r="K3594" i="1"/>
  <c r="K3595" i="1"/>
  <c r="K3596" i="1"/>
  <c r="K3598" i="1"/>
  <c r="K3599" i="1"/>
  <c r="K3600" i="1"/>
  <c r="K3602" i="1"/>
  <c r="K3603" i="1"/>
  <c r="K3604" i="1"/>
  <c r="K3606" i="1"/>
  <c r="K3607" i="1"/>
  <c r="K3608" i="1"/>
  <c r="K3610" i="1"/>
  <c r="K3611" i="1"/>
  <c r="K3612" i="1"/>
  <c r="K3614" i="1"/>
  <c r="K3615" i="1"/>
  <c r="K3616" i="1"/>
  <c r="K3618" i="1"/>
  <c r="K3619" i="1"/>
  <c r="K3620" i="1"/>
  <c r="K3622" i="1"/>
  <c r="K3623" i="1"/>
  <c r="K3624" i="1"/>
  <c r="K3626" i="1"/>
  <c r="K3627" i="1"/>
  <c r="K3628" i="1"/>
  <c r="K3630" i="1"/>
  <c r="K3631" i="1"/>
  <c r="K3632" i="1"/>
  <c r="K3634" i="1"/>
  <c r="K3635" i="1"/>
  <c r="K3636" i="1"/>
  <c r="K3638" i="1"/>
  <c r="K3639" i="1"/>
  <c r="K3640" i="1"/>
  <c r="K607" i="1"/>
  <c r="K611" i="1"/>
  <c r="K615" i="1"/>
  <c r="K619" i="1"/>
  <c r="K623" i="1"/>
  <c r="K627" i="1"/>
  <c r="K631" i="1"/>
  <c r="K635" i="1"/>
  <c r="K639" i="1"/>
  <c r="K643" i="1"/>
  <c r="K647" i="1"/>
  <c r="K651" i="1"/>
  <c r="K655" i="1"/>
  <c r="K659" i="1"/>
  <c r="K663" i="1"/>
  <c r="K667" i="1"/>
  <c r="K671" i="1"/>
  <c r="K675" i="1"/>
  <c r="K679" i="1"/>
  <c r="K683" i="1"/>
  <c r="K687" i="1"/>
  <c r="K691" i="1"/>
  <c r="K695" i="1"/>
  <c r="K699" i="1"/>
  <c r="K703" i="1"/>
  <c r="K707" i="1"/>
  <c r="K711" i="1"/>
  <c r="K715" i="1"/>
  <c r="K719" i="1"/>
  <c r="K723" i="1"/>
  <c r="K727" i="1"/>
  <c r="K731" i="1"/>
  <c r="K735" i="1"/>
  <c r="K739" i="1"/>
  <c r="K743" i="1"/>
  <c r="K747" i="1"/>
  <c r="K751" i="1"/>
  <c r="K755" i="1"/>
  <c r="K759" i="1"/>
  <c r="K763" i="1"/>
  <c r="K767" i="1"/>
  <c r="K771" i="1"/>
  <c r="K775" i="1"/>
  <c r="K779" i="1"/>
  <c r="K783" i="1"/>
  <c r="K787" i="1"/>
  <c r="K791" i="1"/>
  <c r="K795" i="1"/>
  <c r="K799" i="1"/>
  <c r="K803" i="1"/>
  <c r="K807" i="1"/>
  <c r="K811" i="1"/>
  <c r="K815" i="1"/>
  <c r="K819" i="1"/>
  <c r="K823" i="1"/>
  <c r="K827" i="1"/>
  <c r="K831" i="1"/>
  <c r="K835" i="1"/>
  <c r="K839" i="1"/>
  <c r="K843" i="1"/>
  <c r="K847" i="1"/>
  <c r="K851" i="1"/>
  <c r="K855" i="1"/>
  <c r="K859" i="1"/>
  <c r="K863" i="1"/>
  <c r="K867" i="1"/>
  <c r="K871" i="1"/>
  <c r="K875" i="1"/>
  <c r="K879" i="1"/>
  <c r="K883" i="1"/>
  <c r="K887" i="1"/>
  <c r="K891" i="1"/>
  <c r="K895" i="1"/>
  <c r="K899" i="1"/>
  <c r="K903" i="1"/>
  <c r="K907" i="1"/>
  <c r="K911" i="1"/>
  <c r="K915" i="1"/>
  <c r="K919" i="1"/>
  <c r="K923" i="1"/>
  <c r="K927" i="1"/>
  <c r="K931" i="1"/>
  <c r="K935" i="1"/>
  <c r="K939" i="1"/>
  <c r="K943" i="1"/>
  <c r="K947" i="1"/>
  <c r="K951" i="1"/>
  <c r="K955" i="1"/>
  <c r="K959" i="1"/>
  <c r="K963" i="1"/>
  <c r="K967" i="1"/>
  <c r="K971" i="1"/>
  <c r="K975" i="1"/>
  <c r="K979" i="1"/>
  <c r="K983" i="1"/>
  <c r="K987" i="1"/>
  <c r="K991" i="1"/>
  <c r="K995" i="1"/>
  <c r="K999" i="1"/>
  <c r="K1003" i="1"/>
  <c r="K1007" i="1"/>
  <c r="K1011" i="1"/>
  <c r="K1015" i="1"/>
  <c r="K1019" i="1"/>
  <c r="K1023" i="1"/>
  <c r="K1027" i="1"/>
  <c r="K1031" i="1"/>
  <c r="K1035" i="1"/>
  <c r="K1039" i="1"/>
  <c r="K1043" i="1"/>
  <c r="K1047" i="1"/>
  <c r="K1051" i="1"/>
  <c r="K1055" i="1"/>
  <c r="K1059" i="1"/>
  <c r="K1063" i="1"/>
  <c r="K1067" i="1"/>
  <c r="K1071" i="1"/>
  <c r="K1075" i="1"/>
  <c r="K1079" i="1"/>
  <c r="K1083" i="1"/>
  <c r="K1087" i="1"/>
  <c r="K1091" i="1"/>
  <c r="K1095" i="1"/>
  <c r="K1099" i="1"/>
  <c r="K1103" i="1"/>
  <c r="K1107" i="1"/>
  <c r="K1111" i="1"/>
  <c r="K1115" i="1"/>
  <c r="K1119" i="1"/>
  <c r="K1123" i="1"/>
  <c r="K1127" i="1"/>
  <c r="K1131" i="1"/>
  <c r="K1135" i="1"/>
  <c r="K1139" i="1"/>
  <c r="K1143" i="1"/>
  <c r="K1147" i="1"/>
  <c r="K1151" i="1"/>
  <c r="K1155" i="1"/>
  <c r="K1159" i="1"/>
  <c r="K1163" i="1"/>
  <c r="K1167" i="1"/>
  <c r="K1171" i="1"/>
  <c r="K1175" i="1"/>
  <c r="K1179" i="1"/>
  <c r="K1183" i="1"/>
  <c r="K1187" i="1"/>
  <c r="K1191" i="1"/>
  <c r="K1195" i="1"/>
  <c r="K1199" i="1"/>
  <c r="K1203" i="1"/>
  <c r="K1209" i="1"/>
  <c r="K1213" i="1"/>
  <c r="K1217" i="1"/>
  <c r="K1221" i="1"/>
  <c r="K1225" i="1"/>
  <c r="K1229" i="1"/>
  <c r="K1233" i="1"/>
  <c r="K1237" i="1"/>
  <c r="K1241" i="1"/>
  <c r="K1245" i="1"/>
  <c r="K1249" i="1"/>
  <c r="K1253" i="1"/>
  <c r="K1257" i="1"/>
  <c r="K1261" i="1"/>
  <c r="K1265" i="1"/>
  <c r="K1269" i="1"/>
  <c r="K1273" i="1"/>
  <c r="K1277" i="1"/>
  <c r="K1281" i="1"/>
  <c r="K1285" i="1"/>
  <c r="K1289" i="1"/>
  <c r="K1293" i="1"/>
  <c r="K1297" i="1"/>
  <c r="K1301" i="1"/>
  <c r="K1305" i="1"/>
  <c r="K1309" i="1"/>
  <c r="K1313" i="1"/>
  <c r="K1317" i="1"/>
  <c r="K1321" i="1"/>
  <c r="K1325" i="1"/>
  <c r="K1329" i="1"/>
  <c r="K1333" i="1"/>
  <c r="K1337" i="1"/>
  <c r="K1341" i="1"/>
  <c r="K1345" i="1"/>
  <c r="K1349" i="1"/>
  <c r="K1353" i="1"/>
  <c r="K1357" i="1"/>
  <c r="K1361" i="1"/>
  <c r="K1365" i="1"/>
  <c r="K1369" i="1"/>
  <c r="K1373" i="1"/>
  <c r="K1377" i="1"/>
  <c r="K1381" i="1"/>
  <c r="K1385" i="1"/>
  <c r="K1389" i="1"/>
  <c r="K1393" i="1"/>
  <c r="K1397" i="1"/>
  <c r="K1401" i="1"/>
  <c r="K1405" i="1"/>
  <c r="K1409" i="1"/>
  <c r="K1413" i="1"/>
  <c r="K1417" i="1"/>
  <c r="K1421" i="1"/>
  <c r="K1425" i="1"/>
  <c r="K1429" i="1"/>
  <c r="K1433" i="1"/>
  <c r="K1437" i="1"/>
  <c r="K1441" i="1"/>
  <c r="K1445" i="1"/>
  <c r="K1449" i="1"/>
  <c r="K1453" i="1"/>
  <c r="K1457" i="1"/>
  <c r="K1461" i="1"/>
  <c r="K1465" i="1"/>
  <c r="K1469" i="1"/>
  <c r="K1473" i="1"/>
  <c r="K1477" i="1"/>
  <c r="K1481" i="1"/>
  <c r="K1485" i="1"/>
  <c r="K1489" i="1"/>
  <c r="K1493" i="1"/>
  <c r="K1497" i="1"/>
  <c r="K1501" i="1"/>
  <c r="K1505" i="1"/>
  <c r="K1509" i="1"/>
  <c r="K1513" i="1"/>
  <c r="K1517" i="1"/>
  <c r="K1521" i="1"/>
  <c r="K1525" i="1"/>
  <c r="K1529" i="1"/>
  <c r="K1533" i="1"/>
  <c r="K1537" i="1"/>
  <c r="K1541" i="1"/>
  <c r="K1545" i="1"/>
  <c r="K1549" i="1"/>
  <c r="K1553" i="1"/>
  <c r="K1557" i="1"/>
  <c r="K1561" i="1"/>
  <c r="K1565" i="1"/>
  <c r="K1569" i="1"/>
  <c r="K1573" i="1"/>
  <c r="K1577" i="1"/>
  <c r="K1581" i="1"/>
  <c r="K1585" i="1"/>
  <c r="K1589" i="1"/>
  <c r="K1593" i="1"/>
  <c r="K1597" i="1"/>
  <c r="K1601" i="1"/>
  <c r="K1605" i="1"/>
  <c r="K1609" i="1"/>
  <c r="K1613" i="1"/>
  <c r="K1617" i="1"/>
  <c r="K1621" i="1"/>
  <c r="K1625" i="1"/>
  <c r="K1629" i="1"/>
  <c r="K1633" i="1"/>
  <c r="K1637" i="1"/>
  <c r="K1641" i="1"/>
  <c r="K1645" i="1"/>
  <c r="K1649" i="1"/>
  <c r="K1653" i="1"/>
  <c r="K1657" i="1"/>
  <c r="K1661" i="1"/>
  <c r="K1665" i="1"/>
  <c r="K1669" i="1"/>
  <c r="K1673" i="1"/>
  <c r="K1677" i="1"/>
  <c r="K1681" i="1"/>
  <c r="K1685" i="1"/>
  <c r="K1689" i="1"/>
  <c r="K1693" i="1"/>
  <c r="K1697" i="1"/>
  <c r="K1701" i="1"/>
  <c r="K1705" i="1"/>
  <c r="K1709" i="1"/>
  <c r="K1713" i="1"/>
  <c r="K1717" i="1"/>
  <c r="K1721" i="1"/>
  <c r="K1725" i="1"/>
  <c r="K1729" i="1"/>
  <c r="K1733" i="1"/>
  <c r="K1737" i="1"/>
  <c r="K1741" i="1"/>
  <c r="K1745" i="1"/>
  <c r="K1749" i="1"/>
  <c r="K1753" i="1"/>
  <c r="K1757" i="1"/>
  <c r="K1761" i="1"/>
  <c r="K1765" i="1"/>
  <c r="K1769" i="1"/>
  <c r="K1773" i="1"/>
  <c r="K1777" i="1"/>
  <c r="K1781" i="1"/>
  <c r="K1785" i="1"/>
  <c r="K1789" i="1"/>
  <c r="K1793" i="1"/>
  <c r="K1797" i="1"/>
  <c r="K1801" i="1"/>
  <c r="K1805" i="1"/>
  <c r="K1809" i="1"/>
  <c r="K1813" i="1"/>
  <c r="K1817" i="1"/>
  <c r="K1821" i="1"/>
  <c r="K1825" i="1"/>
  <c r="K1829" i="1"/>
  <c r="K1833" i="1"/>
  <c r="K1837" i="1"/>
  <c r="K1841" i="1"/>
  <c r="K1845" i="1"/>
  <c r="K1849" i="1"/>
  <c r="K1853" i="1"/>
  <c r="K1857" i="1"/>
  <c r="K1861" i="1"/>
  <c r="K1865" i="1"/>
  <c r="K1869" i="1"/>
  <c r="K1873" i="1"/>
  <c r="K1877" i="1"/>
  <c r="K1881" i="1"/>
  <c r="K1885" i="1"/>
  <c r="K1889" i="1"/>
  <c r="K1893" i="1"/>
  <c r="K1897" i="1"/>
  <c r="K1901" i="1"/>
  <c r="K1905" i="1"/>
  <c r="K1909" i="1"/>
  <c r="K1913" i="1"/>
  <c r="K1917" i="1"/>
  <c r="K1921" i="1"/>
  <c r="K1925" i="1"/>
  <c r="K1929" i="1"/>
  <c r="K1933" i="1"/>
  <c r="K1937" i="1"/>
  <c r="K1941" i="1"/>
  <c r="K1945" i="1"/>
  <c r="K1949" i="1"/>
  <c r="K1953" i="1"/>
  <c r="K1957" i="1"/>
  <c r="K1961" i="1"/>
  <c r="K1965" i="1"/>
  <c r="K1969" i="1"/>
  <c r="K1973" i="1"/>
  <c r="K1977" i="1"/>
  <c r="K1981" i="1"/>
  <c r="K1985" i="1"/>
  <c r="K1989" i="1"/>
  <c r="K1993" i="1"/>
  <c r="K1997" i="1"/>
  <c r="K2002" i="1"/>
  <c r="K2006" i="1"/>
  <c r="K2010" i="1"/>
  <c r="K2014" i="1"/>
  <c r="K2018" i="1"/>
  <c r="K2022" i="1"/>
  <c r="K2026" i="1"/>
  <c r="K2030" i="1"/>
  <c r="K2034" i="1"/>
  <c r="K2038" i="1"/>
  <c r="K2042" i="1"/>
  <c r="K2046" i="1"/>
  <c r="K2050" i="1"/>
  <c r="K2054" i="1"/>
  <c r="K2058" i="1"/>
  <c r="K2062" i="1"/>
  <c r="K2066" i="1"/>
  <c r="K2070" i="1"/>
  <c r="K2074" i="1"/>
  <c r="K2078" i="1"/>
  <c r="K2082" i="1"/>
  <c r="K2086" i="1"/>
  <c r="K2090" i="1"/>
  <c r="K2094" i="1"/>
  <c r="K2098" i="1"/>
  <c r="K2102" i="1"/>
  <c r="K2106" i="1"/>
  <c r="K2110" i="1"/>
  <c r="K2114" i="1"/>
  <c r="K2118" i="1"/>
  <c r="K2122" i="1"/>
  <c r="K2126" i="1"/>
  <c r="K2130" i="1"/>
  <c r="K2134" i="1"/>
  <c r="K2138" i="1"/>
  <c r="K2142" i="1"/>
  <c r="K2146" i="1"/>
  <c r="K2150" i="1"/>
  <c r="K2154" i="1"/>
  <c r="K2158" i="1"/>
  <c r="K2162" i="1"/>
  <c r="K2166" i="1"/>
  <c r="K2170" i="1"/>
  <c r="K2174" i="1"/>
  <c r="K2178" i="1"/>
  <c r="K2182" i="1"/>
  <c r="K2186" i="1"/>
  <c r="K2190" i="1"/>
  <c r="K2194" i="1"/>
  <c r="K2198" i="1"/>
  <c r="K2202" i="1"/>
  <c r="K2206" i="1"/>
  <c r="K2210" i="1"/>
  <c r="K2214" i="1"/>
  <c r="K2218" i="1"/>
  <c r="K2222" i="1"/>
  <c r="K2226" i="1"/>
  <c r="K2230" i="1"/>
  <c r="K2234" i="1"/>
  <c r="K2238" i="1"/>
  <c r="K2242" i="1"/>
  <c r="K2246" i="1"/>
  <c r="K2250" i="1"/>
  <c r="K2254" i="1"/>
  <c r="K2258" i="1"/>
  <c r="K2262" i="1"/>
  <c r="K2266" i="1"/>
  <c r="K2270" i="1"/>
  <c r="K2274" i="1"/>
  <c r="K2278" i="1"/>
  <c r="K2282" i="1"/>
  <c r="K2286" i="1"/>
  <c r="K2290" i="1"/>
  <c r="K2294" i="1"/>
  <c r="K2298" i="1"/>
  <c r="K2302" i="1"/>
  <c r="K2306" i="1"/>
  <c r="K2310" i="1"/>
  <c r="K2314" i="1"/>
  <c r="K2318" i="1"/>
  <c r="K2322" i="1"/>
  <c r="K2326" i="1"/>
  <c r="K2330" i="1"/>
  <c r="K2334" i="1"/>
  <c r="K2338" i="1"/>
  <c r="K2342" i="1"/>
  <c r="K2346" i="1"/>
  <c r="K2350" i="1"/>
  <c r="K2354" i="1"/>
  <c r="K2358" i="1"/>
  <c r="K2362" i="1"/>
  <c r="K2366" i="1"/>
  <c r="K2370" i="1"/>
  <c r="K2374" i="1"/>
  <c r="K2378" i="1"/>
  <c r="K2382" i="1"/>
  <c r="K2386" i="1"/>
  <c r="K2390" i="1"/>
  <c r="K2394" i="1"/>
  <c r="K2398" i="1"/>
  <c r="K2402" i="1"/>
  <c r="K2406" i="1"/>
  <c r="K2410" i="1"/>
  <c r="K2414" i="1"/>
  <c r="K2418" i="1"/>
  <c r="K2422" i="1"/>
  <c r="K2426" i="1"/>
  <c r="K2430" i="1"/>
  <c r="K2434" i="1"/>
  <c r="K2438" i="1"/>
  <c r="K2442" i="1"/>
  <c r="K2446" i="1"/>
  <c r="K2450" i="1"/>
  <c r="K2454" i="1"/>
  <c r="K2458" i="1"/>
  <c r="K2462" i="1"/>
  <c r="K2466" i="1"/>
  <c r="K2470" i="1"/>
  <c r="K2474" i="1"/>
  <c r="K2478" i="1"/>
  <c r="K2482" i="1"/>
  <c r="K2486" i="1"/>
  <c r="K2490" i="1"/>
  <c r="K2494" i="1"/>
  <c r="K2498" i="1"/>
  <c r="K2502" i="1"/>
  <c r="K2506" i="1"/>
  <c r="K2510" i="1"/>
  <c r="K2514" i="1"/>
  <c r="K2518" i="1"/>
  <c r="K2522" i="1"/>
  <c r="K2526" i="1"/>
  <c r="K2530" i="1"/>
  <c r="K2534" i="1"/>
  <c r="K2538" i="1"/>
  <c r="K2542" i="1"/>
  <c r="K2546" i="1"/>
  <c r="K2550" i="1"/>
  <c r="K2554" i="1"/>
  <c r="K2558" i="1"/>
  <c r="K2562" i="1"/>
  <c r="K2566" i="1"/>
  <c r="K2570" i="1"/>
  <c r="K2574" i="1"/>
  <c r="K2578" i="1"/>
  <c r="K2582" i="1"/>
  <c r="K2586" i="1"/>
  <c r="K2590" i="1"/>
  <c r="K2594" i="1"/>
  <c r="K2598" i="1"/>
  <c r="K2602" i="1"/>
  <c r="K2606" i="1"/>
  <c r="K2610" i="1"/>
  <c r="K2614" i="1"/>
  <c r="K2618" i="1"/>
  <c r="K2622" i="1"/>
  <c r="K2626" i="1"/>
  <c r="K2630" i="1"/>
  <c r="K2634" i="1"/>
  <c r="K2638" i="1"/>
  <c r="K2642" i="1"/>
  <c r="K2646" i="1"/>
  <c r="K2650" i="1"/>
  <c r="K2654" i="1"/>
  <c r="K2658" i="1"/>
  <c r="K2662" i="1"/>
  <c r="K2666" i="1"/>
  <c r="K2670" i="1"/>
  <c r="K2674" i="1"/>
  <c r="K2678" i="1"/>
  <c r="K2682" i="1"/>
  <c r="K2686" i="1"/>
  <c r="K2690" i="1"/>
  <c r="K2694" i="1"/>
  <c r="K2698" i="1"/>
  <c r="K2702" i="1"/>
  <c r="K2706" i="1"/>
  <c r="K2710" i="1"/>
  <c r="K2714" i="1"/>
  <c r="K2718" i="1"/>
  <c r="K2722" i="1"/>
  <c r="K2726" i="1"/>
  <c r="K2730" i="1"/>
  <c r="K2734" i="1"/>
  <c r="K2738" i="1"/>
  <c r="K2742" i="1"/>
  <c r="K2746" i="1"/>
  <c r="K2750" i="1"/>
  <c r="K2754" i="1"/>
  <c r="K2758" i="1"/>
  <c r="K2762" i="1"/>
  <c r="K2766" i="1"/>
  <c r="K2770" i="1"/>
  <c r="K2774" i="1"/>
  <c r="K2778" i="1"/>
  <c r="K2782" i="1"/>
  <c r="K2786" i="1"/>
  <c r="K2790" i="1"/>
  <c r="K2794" i="1"/>
  <c r="K2798" i="1"/>
  <c r="K2802" i="1"/>
  <c r="K2806" i="1"/>
  <c r="K2810" i="1"/>
  <c r="K2814" i="1"/>
  <c r="K2818" i="1"/>
  <c r="K2822" i="1"/>
  <c r="K2826" i="1"/>
  <c r="K2830" i="1"/>
  <c r="K2832" i="1"/>
  <c r="K2836" i="1"/>
  <c r="K2840" i="1"/>
  <c r="K2844" i="1"/>
  <c r="K2848" i="1"/>
  <c r="K2852" i="1"/>
  <c r="K2856" i="1"/>
  <c r="K2860" i="1"/>
  <c r="K2864" i="1"/>
  <c r="K2868" i="1"/>
  <c r="K2872" i="1"/>
  <c r="K2876" i="1"/>
  <c r="K2880" i="1"/>
  <c r="K2884" i="1"/>
  <c r="K2888" i="1"/>
  <c r="K2892" i="1"/>
  <c r="K2896" i="1"/>
  <c r="K2900" i="1"/>
  <c r="K2904" i="1"/>
  <c r="K2908" i="1"/>
  <c r="K2912" i="1"/>
  <c r="K2916" i="1"/>
  <c r="K2920" i="1"/>
  <c r="K2924" i="1"/>
  <c r="K2928" i="1"/>
  <c r="K2932" i="1"/>
  <c r="K2936" i="1"/>
  <c r="K2940" i="1"/>
  <c r="K2944" i="1"/>
  <c r="K2948" i="1"/>
  <c r="K2952" i="1"/>
  <c r="K2956" i="1"/>
  <c r="K2960" i="1"/>
  <c r="K2964" i="1"/>
  <c r="K2968" i="1"/>
  <c r="K2972" i="1"/>
  <c r="K2976" i="1"/>
  <c r="K2980" i="1"/>
  <c r="K2984" i="1"/>
  <c r="K2988" i="1"/>
  <c r="K2992" i="1"/>
  <c r="K2996" i="1"/>
  <c r="K3000" i="1"/>
  <c r="K3004" i="1"/>
  <c r="K3008" i="1"/>
  <c r="K3012" i="1"/>
  <c r="K3016" i="1"/>
  <c r="K3020" i="1"/>
  <c r="K3024" i="1"/>
  <c r="K3028" i="1"/>
  <c r="K3032" i="1"/>
  <c r="K3036" i="1"/>
  <c r="K3040" i="1"/>
  <c r="K3044" i="1"/>
  <c r="K3048" i="1"/>
  <c r="K3052" i="1"/>
  <c r="K3056" i="1"/>
  <c r="K3060" i="1"/>
  <c r="K3064" i="1"/>
  <c r="K3068" i="1"/>
  <c r="K3072" i="1"/>
  <c r="K3076" i="1"/>
  <c r="K3080" i="1"/>
  <c r="K3084" i="1"/>
  <c r="K3088" i="1"/>
  <c r="K3092" i="1"/>
  <c r="K3096" i="1"/>
  <c r="K3100" i="1"/>
  <c r="K3104" i="1"/>
  <c r="K3108" i="1"/>
  <c r="K3112" i="1"/>
  <c r="K3116" i="1"/>
  <c r="K3120" i="1"/>
  <c r="K3124" i="1"/>
  <c r="K3128" i="1"/>
  <c r="K3132" i="1"/>
  <c r="K3136" i="1"/>
  <c r="K3140" i="1"/>
  <c r="K3144" i="1"/>
  <c r="K3148" i="1"/>
  <c r="K3152" i="1"/>
  <c r="K3156" i="1"/>
  <c r="K3160" i="1"/>
  <c r="K3164" i="1"/>
  <c r="K3168" i="1"/>
  <c r="K3172" i="1"/>
  <c r="K3176" i="1"/>
  <c r="K3180" i="1"/>
  <c r="K3184" i="1"/>
  <c r="K3188" i="1"/>
  <c r="K3192" i="1"/>
  <c r="K3196" i="1"/>
  <c r="K3200" i="1"/>
  <c r="K3204" i="1"/>
  <c r="K3208" i="1"/>
  <c r="K3212" i="1"/>
  <c r="K3216" i="1"/>
  <c r="K3220" i="1"/>
  <c r="K3224" i="1"/>
  <c r="K3228" i="1"/>
  <c r="K3232" i="1"/>
  <c r="K3236" i="1"/>
  <c r="K3240" i="1"/>
  <c r="K3244" i="1"/>
  <c r="K3248" i="1"/>
  <c r="K3252" i="1"/>
  <c r="K3256" i="1"/>
  <c r="K3260" i="1"/>
  <c r="K3264" i="1"/>
  <c r="K3268" i="1"/>
  <c r="K3272" i="1"/>
  <c r="K3276" i="1"/>
  <c r="K3280" i="1"/>
  <c r="K3284" i="1"/>
  <c r="K3288" i="1"/>
  <c r="K3292" i="1"/>
  <c r="K3296" i="1"/>
  <c r="K3300" i="1"/>
  <c r="K3304" i="1"/>
  <c r="K3308" i="1"/>
  <c r="K3312" i="1"/>
  <c r="K3316" i="1"/>
  <c r="K3320" i="1"/>
  <c r="K3324" i="1"/>
  <c r="K3328" i="1"/>
  <c r="K3332" i="1"/>
  <c r="K3336" i="1"/>
  <c r="K3340" i="1"/>
  <c r="K3344" i="1"/>
  <c r="K3348" i="1"/>
  <c r="K3352" i="1"/>
  <c r="K3356" i="1"/>
  <c r="K3360" i="1"/>
  <c r="K3364" i="1"/>
  <c r="K3368" i="1"/>
  <c r="K3372" i="1"/>
  <c r="K3376" i="1"/>
  <c r="K3380" i="1"/>
  <c r="K3384" i="1"/>
  <c r="K3388" i="1"/>
  <c r="K3392" i="1"/>
  <c r="K3396" i="1"/>
  <c r="K3400" i="1"/>
  <c r="K3404" i="1"/>
  <c r="K3408" i="1"/>
  <c r="K3412" i="1"/>
  <c r="K3416" i="1"/>
  <c r="K3420" i="1"/>
  <c r="K3424" i="1"/>
  <c r="K3428" i="1"/>
  <c r="K3432" i="1"/>
  <c r="K3436" i="1"/>
  <c r="K3440" i="1"/>
  <c r="K3444" i="1"/>
  <c r="K3448" i="1"/>
  <c r="K3452" i="1"/>
  <c r="K3456" i="1"/>
  <c r="K3460" i="1"/>
  <c r="K3464" i="1"/>
  <c r="K3468" i="1"/>
  <c r="K3473" i="1"/>
  <c r="K3477" i="1"/>
  <c r="K3481" i="1"/>
  <c r="K3485" i="1"/>
  <c r="K3489" i="1"/>
  <c r="K3493" i="1"/>
  <c r="K3497" i="1"/>
  <c r="K3501" i="1"/>
  <c r="K3505" i="1"/>
  <c r="K3509" i="1"/>
  <c r="K3513" i="1"/>
  <c r="K3517" i="1"/>
  <c r="K3521" i="1"/>
  <c r="K3525" i="1"/>
  <c r="K3529" i="1"/>
  <c r="K3533" i="1"/>
  <c r="K3537" i="1"/>
  <c r="K3541" i="1"/>
  <c r="K3545" i="1"/>
  <c r="K3549" i="1"/>
  <c r="K3553" i="1"/>
  <c r="K3557" i="1"/>
  <c r="K3561" i="1"/>
  <c r="K3565" i="1"/>
  <c r="K3569" i="1"/>
  <c r="K3573" i="1"/>
  <c r="K3577" i="1"/>
  <c r="K3581" i="1"/>
  <c r="K3585" i="1"/>
  <c r="K3589" i="1"/>
  <c r="K3593" i="1"/>
  <c r="K3597" i="1"/>
  <c r="K3601" i="1"/>
  <c r="K3605" i="1"/>
  <c r="K3609" i="1"/>
  <c r="K3613" i="1"/>
  <c r="K3617" i="1"/>
  <c r="K3621" i="1"/>
  <c r="K3625" i="1"/>
  <c r="K3629" i="1"/>
  <c r="K3633" i="1"/>
  <c r="K3637" i="1"/>
  <c r="K1" i="1" l="1"/>
</calcChain>
</file>

<file path=xl/connections.xml><?xml version="1.0" encoding="utf-8"?>
<connections xmlns="http://schemas.openxmlformats.org/spreadsheetml/2006/main">
  <connection id="1" keepAlive="1" name="Запрос — КОЛДИК" description="Соединение с запросом &quot;КОЛДИК&quot; в книге." type="5" refreshedVersion="0" background="1">
    <dbPr connection="Provider=Microsoft.Mashup.OleDb.1;Data Source=$Workbook$;Location=КОЛДИК" command="SELECT * FROM [КОЛДИК]"/>
  </connection>
  <connection id="2" keepAlive="1" interval="15" name="Запрос — КОНЕЧНЫЙ ҚОЛДИҚ" description="Соединение с запросом &quot;КОНЕЧНЫЙ ҚОЛДИҚ&quot; в книге." type="5" refreshedVersion="6" background="1" refreshOnLoad="1" saveData="1">
    <dbPr connection="Provider=Microsoft.Mashup.OleDb.1;Data Source=$Workbook$;Location=КОНЕЧНЫЙ ҚОЛДИҚ;Extended Properties=&quot;&quot;" command="SELECT * FROM [КОНЕЧНЫЙ ҚОЛДИҚ]"/>
  </connection>
  <connection id="3" keepAlive="1" name="Запрос — ПЕРЕДАЧА_СКЛАД" description="Соединение с запросом &quot;ПЕРЕДАЧА_СКЛАД&quot; в книге." type="5" refreshedVersion="0" background="1">
    <dbPr connection="Provider=Microsoft.Mashup.OleDb.1;Data Source=$Workbook$;Location=ПЕРЕДАЧА_СКЛАД" command="SELECT * FROM [ПЕРЕДАЧА_СКЛАД]"/>
  </connection>
  <connection id="4" keepAlive="1" name="Запрос — ПЛАТЕЖИ" description="Соединение с запросом &quot;ПЛАТЕЖИ&quot; в книге." type="5" refreshedVersion="0" background="1">
    <dbPr connection="Provider=Microsoft.Mashup.OleDb.1;Data Source=$Workbook$;Location=ПЛАТЕЖИ" command="SELECT * FROM [ПЛАТЕЖИ]"/>
  </connection>
  <connection id="5" keepAlive="1" name="Запрос — РЕАЛИЗАЦИЯ" description="Соединение с запросом &quot;РЕАЛИЗАЦИЯ&quot; в книге." type="5" refreshedVersion="0" background="1">
    <dbPr connection="Provider=Microsoft.Mashup.OleDb.1;Data Source=$Workbook$;Location=РЕАЛИЗАЦИЯ" command="SELECT * FROM [РЕАЛИЗАЦИЯ]"/>
  </connection>
  <connection id="6" keepAlive="1" name="Запрос — РЕАЛИЗАЦИЯ (2)" description="Соединение с запросом &quot;РЕАЛИЗАЦИЯ (2)&quot; в книге." type="5" refreshedVersion="0" background="1">
    <dbPr connection="Provider=Microsoft.Mashup.OleDb.1;Data Source=$Workbook$;Location=&quot;РЕАЛИЗАЦИЯ (2)&quot;" command="SELECT * FROM [РЕАЛИЗАЦИЯ (2)]"/>
  </connection>
  <connection id="7" keepAlive="1" name="Запрос — САЛЬДО" description="Соединение с запросом &quot;САЛЬДО&quot; в книге." type="5" refreshedVersion="0" background="1">
    <dbPr connection="Provider=Microsoft.Mashup.OleDb.1;Data Source=$Workbook$;Location=САЛЬДО" command="SELECT * FROM [САЛЬДО]"/>
  </connection>
</connections>
</file>

<file path=xl/sharedStrings.xml><?xml version="1.0" encoding="utf-8"?>
<sst xmlns="http://schemas.openxmlformats.org/spreadsheetml/2006/main" count="3584" uniqueCount="1014">
  <si>
    <t>КОНТРАГЕНТ</t>
  </si>
  <si>
    <t>ПЕРЕЧИСЛЕНИЯ</t>
  </si>
  <si>
    <t>НАЛИЧНЫЙ</t>
  </si>
  <si>
    <t>РЕАЛИЗАЦИЯ</t>
  </si>
  <si>
    <t>ЕД.ИЗМ</t>
  </si>
  <si>
    <t>ТОВАРЫ</t>
  </si>
  <si>
    <t>ВИД СРЕДСТВ</t>
  </si>
  <si>
    <t>КГ</t>
  </si>
  <si>
    <t>ШТ.</t>
  </si>
  <si>
    <t>ҚАРЗ</t>
  </si>
  <si>
    <t>Столбец1</t>
  </si>
  <si>
    <t>АВАНС</t>
  </si>
  <si>
    <t>РАСЧЕТ</t>
  </si>
  <si>
    <t>Общий итог</t>
  </si>
  <si>
    <t>(Все)</t>
  </si>
  <si>
    <t>САНА</t>
  </si>
  <si>
    <t>МИЖОЗ</t>
  </si>
  <si>
    <t>ТОВАР</t>
  </si>
  <si>
    <t>ЎЛ.БИР</t>
  </si>
  <si>
    <t>СОНИ</t>
  </si>
  <si>
    <t>НАРХИ</t>
  </si>
  <si>
    <t>ЖАМИ</t>
  </si>
  <si>
    <t>ОҒИРЛИГИ</t>
  </si>
  <si>
    <t>СЎМ</t>
  </si>
  <si>
    <t>ВАЛЮТА</t>
  </si>
  <si>
    <t>КУРС</t>
  </si>
  <si>
    <t>ТЎЛОВ ТУРИ</t>
  </si>
  <si>
    <t>ТОВАР НОМИ</t>
  </si>
  <si>
    <t>ВАЗНИ</t>
  </si>
  <si>
    <t>СОТИЛГАН ТОВАР ВАЗНИ</t>
  </si>
  <si>
    <t>КЕЛГАН СУММА</t>
  </si>
  <si>
    <t>САЛЬДО</t>
  </si>
  <si>
    <t>ОСТАТКА</t>
  </si>
  <si>
    <t>СОТИЛГАН ТОВАР</t>
  </si>
  <si>
    <t>ИЗОХ</t>
  </si>
  <si>
    <t>ТОВАР СОНИ</t>
  </si>
  <si>
    <t>СУММАСИ</t>
  </si>
  <si>
    <t>ТОВАР НАРХИ</t>
  </si>
  <si>
    <t>ПЕРЕВЕС</t>
  </si>
  <si>
    <t xml:space="preserve">                                                                                                          </t>
  </si>
  <si>
    <t>ТЎЛАНДИ</t>
  </si>
  <si>
    <t>СОТИЛДИ</t>
  </si>
  <si>
    <t>ОҚ</t>
  </si>
  <si>
    <t>ҚОРА</t>
  </si>
  <si>
    <t>КЎК</t>
  </si>
  <si>
    <t>ХАМИДУЛЛА ИЗЗА</t>
  </si>
  <si>
    <t>ДИЛШОД БЕК ТЎПИ 99 929 22 29</t>
  </si>
  <si>
    <t>ТЕМУР ЧИРЧИҚ 99 894 14 42</t>
  </si>
  <si>
    <t>АХМАДАЛИ ЯЛЛАМА 97 773 73 07</t>
  </si>
  <si>
    <t>СОБИР ҚЎЙЛИҚ 90 114 50 79</t>
  </si>
  <si>
    <t>АКБАР БЕК ТЎПИ 97 727 80 10</t>
  </si>
  <si>
    <t>ШАВКАТ ЯШНАБОД 90 817 03 15</t>
  </si>
  <si>
    <t>РУСТАМ ҚЎЙЛИҚ 90 317 48 05</t>
  </si>
  <si>
    <t>ФУРҚАТ ЧИНОЗ 97 737 65 77</t>
  </si>
  <si>
    <t>АСАД ХОНОБОД 97 034 38 58</t>
  </si>
  <si>
    <t>САИД ЧОШТЕПА 99 929 21 21</t>
  </si>
  <si>
    <t>ШАВКАТ ХАСАНБОЙ 97 740 32 31</t>
  </si>
  <si>
    <t>ЖАМОЛ ХАСАНБОЙ 90 944 27 83</t>
  </si>
  <si>
    <t>АБДУҚАЮМ ДАЛИГУЗАР 99 851 16 13</t>
  </si>
  <si>
    <t>АЗАМАТ ТИЯ БОЗОР 97 716 46 00</t>
  </si>
  <si>
    <t>ДИЛШОД БЕКОБОД 93 060 47 49</t>
  </si>
  <si>
    <t>ИСМОИЛ ОҚҚЎРҒОН 90 331 66 00</t>
  </si>
  <si>
    <t>АБДУРАУФ ОЛМАЛИҚ 93 040 77 15</t>
  </si>
  <si>
    <t>ОЛДИ</t>
  </si>
  <si>
    <t>ИЗОХ 2</t>
  </si>
  <si>
    <t>МУЗАФФАР УНИВЕРСАМ 94 659 07 78</t>
  </si>
  <si>
    <t>ХУРМАТИЛЛА ЧИНОЗ 97 112 00 72</t>
  </si>
  <si>
    <t>ГУЛЯ ТТЗ 99 720 24 34</t>
  </si>
  <si>
    <t>АСЛИДДИН ТТЗ 90 371 33 09</t>
  </si>
  <si>
    <t>НИЗОМИДДИН ЧИРЧИҚ 90 111 27 67</t>
  </si>
  <si>
    <t>ЖОНИБЕК ЮНУСОБОД 90 914 09 14</t>
  </si>
  <si>
    <t>БАХРОМ ОЛМАЛИҚ 97 741 01 31</t>
  </si>
  <si>
    <t>ШОКИР СЕРГЕЛИ 97 414 44 05</t>
  </si>
  <si>
    <t>АБДУЖАЛИЛ БЕКТЕМИР 90 909 64 74</t>
  </si>
  <si>
    <t>(пусто)</t>
  </si>
  <si>
    <t>ҒИЁСИДДИН ЮНУСОБОД 99 546 90 48</t>
  </si>
  <si>
    <t>БЕРДИҚУЛ ЎРИКЗОР 90 942 91 00</t>
  </si>
  <si>
    <t>ИЛЁС ҚЎЙЛИҚ 90 123 54 69</t>
  </si>
  <si>
    <t>НОВВОТ</t>
  </si>
  <si>
    <t>ХУСАН ЧИНОЗ 97 537 21 21</t>
  </si>
  <si>
    <t>ЖАВОХИР ДЎМБИРОБОД 95 030 01 06</t>
  </si>
  <si>
    <t>ҒАНИШЕР ЦАЛКОВСКИЙ 93 721 29 80</t>
  </si>
  <si>
    <t>ФАРРУХ ГВАРДЕЙСКИЙ 90 004 46 46</t>
  </si>
  <si>
    <t>РУСТАМ ЖОМЕ 97 442 88 99</t>
  </si>
  <si>
    <t>ХАСАН АРЧА КЎЧА 88 170 51 02</t>
  </si>
  <si>
    <t>БОТИР КЕЛЕС 99 843 11 01</t>
  </si>
  <si>
    <t>ХАБИБУЛЛО БЕК ТЎПИ 93 537 00 08</t>
  </si>
  <si>
    <t>УЛУҒБЕК ЧИЛОНЗОР 90 373 83 07</t>
  </si>
  <si>
    <t>ДОНИЁР ТАНСИҚБОЙ 90 806 13 13</t>
  </si>
  <si>
    <t>ИЛХОМ БАРДАНКЎЛ 97 460 90 95</t>
  </si>
  <si>
    <t>ШОХРУХ 40 ЛЕТ 97 339 98 03</t>
  </si>
  <si>
    <t>МУРОД МЕГАПЛАНЕТ 90 961 38 98</t>
  </si>
  <si>
    <t>САМАНДАР ДЎМБИРОБОД 95 015 30 03</t>
  </si>
  <si>
    <t>ЗОХИД ТЕМИРЙЎЛ ИНСТУТ 99 844 60 47</t>
  </si>
  <si>
    <t>АСЛИДДИН ЧИННИ БОЗОР 90 717 58 08</t>
  </si>
  <si>
    <t>АЗИЗ ИЗЗА 90 944 42 40</t>
  </si>
  <si>
    <t>ҒАЙБУЛЛА ЧИННИ БОЗОР 90 916 66 38</t>
  </si>
  <si>
    <t>МАНСУР РАМАДАН 50 ЙИЛ 90 391 00 05</t>
  </si>
  <si>
    <t>ОДИЛ ЧИРЧИҚ 99 845 80 67</t>
  </si>
  <si>
    <t>МАХМУД ТЎЙ ТЕПА 94 729 98 88</t>
  </si>
  <si>
    <t>САРДОР СЕРГЕЛИ 94 622 56 16</t>
  </si>
  <si>
    <t>НУРИДДИН БЕКОБОД 90 126 33 77</t>
  </si>
  <si>
    <t>ИКРОМ КЕЛЕС 98 305 66 63</t>
  </si>
  <si>
    <t>МАХКАМ ҚОРАСУВ 97 140 32 32</t>
  </si>
  <si>
    <t>ТЎЙЧИ ГУМБАЗ БОЗОР 99 020 50 89</t>
  </si>
  <si>
    <t>ШУХРАТ ТЎЙ ТЕПА 93 557 30 31</t>
  </si>
  <si>
    <t>ОТАБЕК ГВАРДЕЙСКИЙ 90 063 49 97</t>
  </si>
  <si>
    <t>ХАМИДУЛЛА ЧОРСУ 90 319 07 25</t>
  </si>
  <si>
    <t>САРДОР ЧОРСУ 99 132 99 99</t>
  </si>
  <si>
    <t>АСИЛБЕК СЕРГЕЛИ 77 037 17 56</t>
  </si>
  <si>
    <t>МАНСУР ЧИННИ БОЗОР 93 575 06 00</t>
  </si>
  <si>
    <t>ЖАХОНГИР ОҚТЕПА 88 177 65 65</t>
  </si>
  <si>
    <t>АКМАЛ СОРТЕПА 97 739 23 35</t>
  </si>
  <si>
    <t>АБДУЛАТИФ ВОДНИК 99 800 00 98</t>
  </si>
  <si>
    <t>ШУХРАТ ЮНУСОБОД 97 773 34 44</t>
  </si>
  <si>
    <t>ЭШМАМАТ СЕРГЕЛИ 90 812 76 67</t>
  </si>
  <si>
    <t>ШОБЕРДИ ЦАЛКОВСКИЙ 90 376 99 93</t>
  </si>
  <si>
    <t>ШОМУРОД 93 743 44 41</t>
  </si>
  <si>
    <t>ЗОКИР ТТЗ 97 401 72 22</t>
  </si>
  <si>
    <t>АБДУҚАХХОР ҚУШ БОЗОР 97 778 76 66</t>
  </si>
  <si>
    <t>АТХАМ ЧИРЧИҚ 99 407 40 74</t>
  </si>
  <si>
    <t>ИЛХОМ ХОНОБОД 88 468 88 83</t>
  </si>
  <si>
    <t>ОБИД ПАНЕЛНИЙ 93 800 89 89</t>
  </si>
  <si>
    <t>БАХОДИР КЕЛЕС 93 511 89 42</t>
  </si>
  <si>
    <t>ИСМОИЛ СЎҚОҚ 97 544 00 73</t>
  </si>
  <si>
    <t>ШОХРУХ МАССИВ 5 97 470 40 50</t>
  </si>
  <si>
    <t>ФАРХОД ПОВОРОТ 90 110 22 99</t>
  </si>
  <si>
    <t>АНВАР ЦАЛКОВСКИЙ 90 964 55 08</t>
  </si>
  <si>
    <t>БЕГЗОД ҚЎЙЛИҚ 97 000 57 46</t>
  </si>
  <si>
    <t>АЗАМАТ ҚЎЙЛИҚ 90 138 36 63</t>
  </si>
  <si>
    <t>АЗАМАТ ҚИБРАЙ 94 932 91 91</t>
  </si>
  <si>
    <t>АЗИМШЕР 40 ЛЕТ 90 137 16 00</t>
  </si>
  <si>
    <t>ЖАСУР 40 ЛЕТ 97 760 17 02</t>
  </si>
  <si>
    <t>САИДМУРОД ВОДНИК 93 382 55 66</t>
  </si>
  <si>
    <t>УМИР ЧИРЧИҚ 97 364 98 00</t>
  </si>
  <si>
    <t>АЛИШЕР САМ.ДАРВОЗА 97 155 11 56</t>
  </si>
  <si>
    <t>АСРОР УЗБОМ 99 831 42 04</t>
  </si>
  <si>
    <t>МИРОБИД 16-БАНИСА 90 992 08 26</t>
  </si>
  <si>
    <t>ДИЛМУРОД ЧИНОЗ 97 772 07 17</t>
  </si>
  <si>
    <t>ХАСАН РОХАТ 99 415 07 37</t>
  </si>
  <si>
    <t>АЛИШЕР ПАРКЕНТСКИЙ 97 770 03 79</t>
  </si>
  <si>
    <t>НОСИР СЕРГЕЛИ 99 333 33 54</t>
  </si>
  <si>
    <t>УМИД СЕРГЕЛИ 98 101 36 56</t>
  </si>
  <si>
    <t>МУХАММАД ХАСАНБОЙ 97 443 51 18</t>
  </si>
  <si>
    <t>УМИД ПОВОРОТ 99 934 99 96</t>
  </si>
  <si>
    <t>МИРОҚИЛ КЕЛЕС 88 111 35 35</t>
  </si>
  <si>
    <t>ДИЛШОД ЦАЛКОВСКИЙ 99 855 87 62</t>
  </si>
  <si>
    <t>АСҚАР ҚЎЙЛИҚ 97 490 80 15</t>
  </si>
  <si>
    <t>САМАНДАР ДЎМБИРОБОД 99 341 76 44</t>
  </si>
  <si>
    <t>ТОХИР КЕЛЕС 97 747 60 60</t>
  </si>
  <si>
    <t>АНВАР ФАРХАДСКИЙ 94 605 00 14</t>
  </si>
  <si>
    <t>САЛИМ ДУБОВИЙ 99 814 58 23</t>
  </si>
  <si>
    <t>ДИЁРБЕК ПАРКЕНТ 94 931 40 66</t>
  </si>
  <si>
    <t>АБДУЛАТИФ КАДИШВА 97 754 16 12</t>
  </si>
  <si>
    <t>БАХТИЁР РИСОВИЙ 97 772 09 90</t>
  </si>
  <si>
    <t>САИДҒАНИ ПАРЛАМЕНТ 98 126 72 05</t>
  </si>
  <si>
    <t>СИРОЖИДДИН ПАНЕЛНИЙ 90 980 61 74</t>
  </si>
  <si>
    <t>АЗАМ ЧОШТЕПА 99 846 46 15</t>
  </si>
  <si>
    <t>АЛИЖОН КЕЛЕС 99 992 62 66</t>
  </si>
  <si>
    <t>АНСОР СЕБЗОР 99 711 16 11</t>
  </si>
  <si>
    <t>ШАВКАТ ОҚТЕПА СОХИЛБЎЙИ 94 893 00 53</t>
  </si>
  <si>
    <t>АЗАМ КЕЛЕС 97 753 72 07</t>
  </si>
  <si>
    <t>ЭРКИН АСКИЯ БОЗОР 90 946 76 96</t>
  </si>
  <si>
    <t>МУЗАФФАР ПАРКЕНТ 99 804 74 75</t>
  </si>
  <si>
    <t>ШАВКАТ ҚИБРАЙ 97 775 19 78</t>
  </si>
  <si>
    <t>ШАВКАТ ЯШНАБОД 90 960 69 00</t>
  </si>
  <si>
    <t>ЎРОЛБЕК РИСОВИЙ 94 630 00 92</t>
  </si>
  <si>
    <t>СОБИТЖОН ИЛОНЛИ ОТА 90 946 54 05</t>
  </si>
  <si>
    <t>ФАРРУХ ФАРХАДСКИЙ 97 109 40 22</t>
  </si>
  <si>
    <t>АЛИШЕР ГЕНЕРАЛ УЗОҚОВ 94 688 45 94</t>
  </si>
  <si>
    <t>ХУСАН УЗБОМ 90 009 89 56</t>
  </si>
  <si>
    <t>БОБУР ТЎЙ ТЕПА 99 891 41 75</t>
  </si>
  <si>
    <t>ФАХРИДДИН ЮНУСОБОД 99 051 53 10</t>
  </si>
  <si>
    <t>САЙФУЛЛА ҚОРАСАРОЙ 99 835 36 86</t>
  </si>
  <si>
    <t>АБДУЛБОСИТ КАДИШВА 97 409 81 11</t>
  </si>
  <si>
    <t>ҚУДРАТИЛЛА МЕДГОРОДОК 97 724 43 55</t>
  </si>
  <si>
    <t>МУЗАФФАР ТЕМИРЙЎЛ ИНС. 99 809 36 68</t>
  </si>
  <si>
    <t>РАСУЛ МИРОБОД 97 770 39 39</t>
  </si>
  <si>
    <t>РУСТАМ ЯНГИБОЗОР 94 935 15 22</t>
  </si>
  <si>
    <t>ХАКИМ МАССИВ 1 93 514 82 22</t>
  </si>
  <si>
    <t>АДХАМ ТАНСИҚБОЙ 90 996 11 58</t>
  </si>
  <si>
    <t>МИРМУХСИН СЕРГЕЛИ 90 018 71 74</t>
  </si>
  <si>
    <t>ИКРОМ ҒУНЧА 90 167 88 62</t>
  </si>
  <si>
    <t>НОДИР УЧ ҚАХРАМОН 99 891 76 67</t>
  </si>
  <si>
    <t>АЗАМ ЧИННИ БОЗОР 90 324 92 19</t>
  </si>
  <si>
    <t>ШУХРАТ ҚЎЙЛИҚ 99 986 46 02</t>
  </si>
  <si>
    <t>ДОНИЁР БАРДАНКЎЛ 99 827 57 29</t>
  </si>
  <si>
    <t>БАХТИЁР ЮНУСОБОТ 97 766 75 70</t>
  </si>
  <si>
    <t>АБДУЛЛОХ ПАНЕЛНИЙ 99 819 85 15</t>
  </si>
  <si>
    <t>МУХИДДИН ВОДНИК 90 979 50 50</t>
  </si>
  <si>
    <t>ДАВРОН КЕЛЕС 99 638 07 07</t>
  </si>
  <si>
    <t>ЖЎРАВОЙ ЖОМЕ 97 757 70 73</t>
  </si>
  <si>
    <t>МИРАКМАЛ ОХУНБОБОЕВ 97 772 62 62</t>
  </si>
  <si>
    <t>РУСТАМ ПАРКЕНТ 99 819 75 70</t>
  </si>
  <si>
    <t>ОЛИМ КЕЛЕС 95 989 76 67</t>
  </si>
  <si>
    <t>АБДУЛАЗИЗ А НАБИЕВ 90 957 33 11</t>
  </si>
  <si>
    <t>АХРОР САМАРҚАНД Д. 99 816 06 88</t>
  </si>
  <si>
    <t>ЖАХОНГИР ОЛМАЛИҚ 98 309 01 33</t>
  </si>
  <si>
    <t>ХУСАН УЗБОМ 98 125 23 88</t>
  </si>
  <si>
    <t>АЗИМ ЎЗГАРИШ 97 736 57 67</t>
  </si>
  <si>
    <r>
      <t xml:space="preserve">АЗАМАТ ҚИБРАЙ </t>
    </r>
    <r>
      <rPr>
        <sz val="14"/>
        <color theme="1"/>
        <rFont val="Calibri"/>
        <family val="2"/>
        <charset val="204"/>
        <scheme val="minor"/>
      </rPr>
      <t>90 993 62 11. 94 701 11 77</t>
    </r>
  </si>
  <si>
    <t>АНВАР ГВАРДЕЙСКИЙ 90 039 49 98</t>
  </si>
  <si>
    <t>ОҒАБЕК ЯНГИБОЗОР 97 544 00 73</t>
  </si>
  <si>
    <t>КОЗИМ ҚОРАСУВ 97 414 65 43</t>
  </si>
  <si>
    <t>ЗИЁДУЛЛОХ СОЛНЕЧНИЙ 90 990 26 56</t>
  </si>
  <si>
    <t>МУХАММАД СЕРГЕЛИ 93 518 30 10</t>
  </si>
  <si>
    <t>ИСРОИЛ ЯНГИЙЎЛ 99 806 88 33</t>
  </si>
  <si>
    <t>ШУХРАТ ТОРГОВИЙ 88 178 08 05</t>
  </si>
  <si>
    <t>МАХМУД ТИНЧЛИК 94 684 83 83</t>
  </si>
  <si>
    <t>КАМРОН 97 180 45 67</t>
  </si>
  <si>
    <t>ИХТИЁР КЕЛЕС 99 777 73 80. 99 777 75 49</t>
  </si>
  <si>
    <t>ДИЛОБАР ҚОРАСУВ 88 122 99 90</t>
  </si>
  <si>
    <t>МУХАММАД ИБН СИНО 99 046 10 38</t>
  </si>
  <si>
    <t>САНЖАР МТС</t>
  </si>
  <si>
    <t>ИСРОИЛ ЧИРЧИҚ 88 878 68 48</t>
  </si>
  <si>
    <t>АДХАМ ЧИРЧИҚ 99 407 40 74</t>
  </si>
  <si>
    <t>АБДУШУКУР ДЎМБИРОБОД 98 777 99 22</t>
  </si>
  <si>
    <t>ЙЎЛДОШ МАССИВ 5 90 929 00 07</t>
  </si>
  <si>
    <t>БАХРОМ ЗАНГИОТА 99 814 06 60</t>
  </si>
  <si>
    <t>АХРОР ЖУРЖОНИЙ 99 609 50 89</t>
  </si>
  <si>
    <t>ОЙБЕК МЕДГОРОДОК 97 401 55 52</t>
  </si>
  <si>
    <t>АКМАЛ НАЗАРБЕК 97 752 16 76</t>
  </si>
  <si>
    <t>ДАВРОН ЮНУСОБОД 90 986 70 88</t>
  </si>
  <si>
    <t>ИЛЁС СЕРГЕЛИ 97 711 90 70</t>
  </si>
  <si>
    <t>ПАНЖИ ЦАЛКОВСКИЙ 99 998 75 28</t>
  </si>
  <si>
    <t>ТИНЧЛИК МЕТРО 97 765 06 08</t>
  </si>
  <si>
    <t>ЖАМИЛА ҚОРАСУВ 33 831 06 30</t>
  </si>
  <si>
    <t>ЖАВОХИР РИСОВИЙ 97 777 37 01</t>
  </si>
  <si>
    <t>АКМАЛ ЦУМ 99 004 00 46</t>
  </si>
  <si>
    <t>САНЖАР ЧИНОЗ 93 700 00 20</t>
  </si>
  <si>
    <t>ТОХИР КЕЛЕС 97 755 74 48</t>
  </si>
  <si>
    <t>АБДУҒОФУР АЛГАРИТМ 90 925 82 72</t>
  </si>
  <si>
    <t>ОТАБЕК ҚИБРАЙ 97 721 62 02</t>
  </si>
  <si>
    <t>ТЎРАВОЙ СЕБЗОР 99 610 51 46</t>
  </si>
  <si>
    <t>ЙЎЛДОШ ТТЗ 93 009 41 07</t>
  </si>
  <si>
    <t>ШУХРАТ СОРТЕПА 97 757 77 95 АБДУҒАНИ</t>
  </si>
  <si>
    <t>ШУХРАТ ЧОРСУ 93 533 28 53</t>
  </si>
  <si>
    <t>МУЗАФФАР ЧОРСУ 90 328 23 24</t>
  </si>
  <si>
    <t>РАВШАН КАДИШВА 97 726 35 55</t>
  </si>
  <si>
    <t>САРВАР РИСОВИЙ 93 577 88 82</t>
  </si>
  <si>
    <t>СЕВАРА РОХАТ 90 052 61 61</t>
  </si>
  <si>
    <t>ОТАБЕК ПАРКЕНТСКИЙ 99 851 63 31</t>
  </si>
  <si>
    <t>ИХТИЁР КЕЛЕС 97 747 73 25</t>
  </si>
  <si>
    <t>БУНЁД ЮНУСОБОТ 99 829 05 37</t>
  </si>
  <si>
    <t>РЎЗИВОЙ ҚОРАСУВ 88 018 19 91</t>
  </si>
  <si>
    <t>УЛУҒБЕК КАДИШВА 90 235 97 07</t>
  </si>
  <si>
    <t>АБДУШУКУР ПАРКЕНТСКИЙ Б 99 309 64 52</t>
  </si>
  <si>
    <t>ЭЛДОР ЮҚОРИ ЧИРЧИҚ 93 165 63 77</t>
  </si>
  <si>
    <t>УМИД ТУРКИСТОН 97 752 62 12</t>
  </si>
  <si>
    <t>ДИЛМУРОД ҚЎЙЛИҚ 90 120 62 00</t>
  </si>
  <si>
    <t>НУРИДДИН ҚЎЙЛИҚ 90 333 89 33</t>
  </si>
  <si>
    <t>ДИЛШОД ПАРЛАМЕНТ 95 001 23 20</t>
  </si>
  <si>
    <t>АБДУЛЛО СЕБЗОР 97 744 70 90</t>
  </si>
  <si>
    <t>ФАРХОД ТТЗ 99 822 76 66</t>
  </si>
  <si>
    <t>НАСИБА ТАШ. Г. РЕС. 97 774 84 76</t>
  </si>
  <si>
    <t>АХАТҚУЛ СЕРГЕЛИ 90 359 35 06</t>
  </si>
  <si>
    <t>АБДУРАСУЛ ГВАРДЕЙСКИЙ 99 883 74 32</t>
  </si>
  <si>
    <t>ИХТИЁР ҚЎЙЛИҚ 97 433 73 63</t>
  </si>
  <si>
    <t>СУННАТХОН</t>
  </si>
  <si>
    <t>ХОТАМ ЧЎПОНОТА 91 164 68 10</t>
  </si>
  <si>
    <t>ЗОКИР ТЎЙ ТЕПА 90 347 16 11</t>
  </si>
  <si>
    <t>АБДУХАЛИМ СЕРГЕЛИ 90 824 44 00</t>
  </si>
  <si>
    <t>ШОМАХСУД УЧҚАХРАМОН 93 555 21 21</t>
  </si>
  <si>
    <t>ШУХРАТ НАЗАРБЕК 90 935 68 66</t>
  </si>
  <si>
    <t>БАХРОМ ХАСАНБОЙ 90 952 40 00</t>
  </si>
  <si>
    <t>ТОХИР ТТЗ 99 868 00 71</t>
  </si>
  <si>
    <t>ХУСНИДДИН ЯНГИЙЎЛ 90 955 71 44</t>
  </si>
  <si>
    <t>ХАМИДУЛЛА МИРОБОД 90 978 61 61</t>
  </si>
  <si>
    <t>ДАВИД ЯНГИБОЗОР 93 545 88 55</t>
  </si>
  <si>
    <t>НОДИР ЧИНОЗ 33 771 71 07</t>
  </si>
  <si>
    <t>ЧОРИ ГВАРДЕЙСКИЙ 90 091 41 00</t>
  </si>
  <si>
    <t>МИРАЗИЗ ХАМЗА МЕТРО 97 775 50 77</t>
  </si>
  <si>
    <t>БОХОДИР ЮНУСОБОТ 90 941 51 09</t>
  </si>
  <si>
    <t>ШАҒЗОД ҚОРАСУВ 90 875 28 16</t>
  </si>
  <si>
    <t>БАХТИЁР ЧИРЧИҚ 97 446 27 78</t>
  </si>
  <si>
    <t>АБДУРАШИД ОЛТИНТЕПА 99 835 80 30</t>
  </si>
  <si>
    <t>СУННАТ ҚЎЙЛИҚ 97 351 33 23,90 099 43 33</t>
  </si>
  <si>
    <t>АСҚАР ПАРКЕНТ 90 905 90 91</t>
  </si>
  <si>
    <t>ДИЛШОД УЧ ҚАХРАМОН 33 555 52 55</t>
  </si>
  <si>
    <t>ТОЛИБ ЦАЛКОВСКИЙ 90 720 41 94</t>
  </si>
  <si>
    <t>БЕКТОШ ЦАЛКОВСКИЙ 99 886 08 98</t>
  </si>
  <si>
    <t>ШАХРИДДИН ЯНГИОБОД 99 016 04 44</t>
  </si>
  <si>
    <t>ШОАКБАР ХОНОБОД 90 907 30 03</t>
  </si>
  <si>
    <t>АЗАМАТ ГВАРДЕЙСКИЙ 99 318 97 95</t>
  </si>
  <si>
    <t>ХИЛОЛА СЕРГЕЛИ 94 698 40 30</t>
  </si>
  <si>
    <t>ШУХРАТ ТТЗ 93 516 36 15</t>
  </si>
  <si>
    <t>БАХТИЁР УЗБОМ 99 853 11 43, 99 434 67 43</t>
  </si>
  <si>
    <t>ИНОЯТ ОПА МЕДГОРОДОК 90 350 92 01</t>
  </si>
  <si>
    <t>РАСУЛ ГВАРДЕЙСКИЙ 99 883 74 32</t>
  </si>
  <si>
    <t>ХИММАТ ҚОРАСУВ 94 634 29 91</t>
  </si>
  <si>
    <t>ОТАБЕК КЕЛЕС 97 774 06 08</t>
  </si>
  <si>
    <t>ФАЗЛИДДИН ТЎЙ ТЕПА 90 827 13 11</t>
  </si>
  <si>
    <t>БАХТИЁР МЕДГОРОДОК 90 358 07 54</t>
  </si>
  <si>
    <t>БАЛЛИ СЕРГЕЛИ 93 803 49 49</t>
  </si>
  <si>
    <t>ВАСИЛА ХОЛА СЕРГЕЛИ 94 699 53 93</t>
  </si>
  <si>
    <t>ХАЙРУЛЛА ЗАНГИОТА</t>
  </si>
  <si>
    <t>САНЖАР Ц5 93 108 08 08</t>
  </si>
  <si>
    <t>ОЙБЕК ПАРКЕНТСКИЙ 93 544 36 47</t>
  </si>
  <si>
    <t>МУАЗЗАМ КАДИШВА 99 972 89 98</t>
  </si>
  <si>
    <t>ХАКИМ СЕРГЕЛИ 99 340 62 51</t>
  </si>
  <si>
    <t>ФУРҚАТ ЖОМЕ 93 804 99 40</t>
  </si>
  <si>
    <t>РАВШАН ШОПАЙЗ 93 818 00 03</t>
  </si>
  <si>
    <t>УМАРХОН СЕБЗОР 90 120 71 72</t>
  </si>
  <si>
    <t>ФАРХОД СЕРГЕЛИ 90 904 07 05</t>
  </si>
  <si>
    <t>МАХМУД ҒУНЧА 94 684 83 83</t>
  </si>
  <si>
    <t>МАНСУР ДЎМБИРОБОД 91 015 08 98</t>
  </si>
  <si>
    <t>НУРБЕК ЎРИКЗОР 93 578 22 06</t>
  </si>
  <si>
    <t>АЛИШЕР САМАРҚАНД.Д 97 155 11 56</t>
  </si>
  <si>
    <t>ОЙБЕК ҚИБРАЙ 97 743 74 76</t>
  </si>
  <si>
    <t>АЗИЗХЎЖА ЧЕРНЕВКА 97 155 61 06</t>
  </si>
  <si>
    <t>ЯЙРА ТЎЙТЕПА 90 964 00 26</t>
  </si>
  <si>
    <t>ОҒАБЕК ЯНГИБОЗОР 33 310 20 00</t>
  </si>
  <si>
    <t>ШЕРЗОД ТТЗ 93 510 10 40</t>
  </si>
  <si>
    <t>ИБРОХИМ МЕД ГОРОДОК 97 420 19 94</t>
  </si>
  <si>
    <t>АБДУЛЛОХ ЖАР АРИҚ 99 168 33 33</t>
  </si>
  <si>
    <t>РУСТАМ БЎЗ БОЗОР 97 707 07 28</t>
  </si>
  <si>
    <t xml:space="preserve">ЖАХОНГИР САМАРҚАНД.Д </t>
  </si>
  <si>
    <t>ШАРОФ СЕРГЕЛИ 4</t>
  </si>
  <si>
    <t>БОХОДИР ТИНЧЛИК 90 906 45 53</t>
  </si>
  <si>
    <t>ОЛИМ ЧИРЧИҚ 90 331 77 70</t>
  </si>
  <si>
    <t>НУСРАТИЛЛА ЖОЪМЕ 88 860 88 88</t>
  </si>
  <si>
    <t>ШУХРАТ КЕЛЕС 99 800 19 00</t>
  </si>
  <si>
    <t>БЕГЗОД СЕРГЕЛИ 4</t>
  </si>
  <si>
    <t>ОТАБЕК БЕК ТЎПИ 99 404 28 42</t>
  </si>
  <si>
    <t>РУСТАМ ЧИНОЗ 99 895 84 93</t>
  </si>
  <si>
    <t>ОТАБЕК ҚОРА СУВ</t>
  </si>
  <si>
    <t>ОТАБЕК ТЎЙТЕПА</t>
  </si>
  <si>
    <t>ЖАСУР РИССВИЙ 97 702 93 36</t>
  </si>
  <si>
    <t>САРВАР ДЎРМОН МАХ</t>
  </si>
  <si>
    <t>ШЕРЗОД УНИВЕРСАМ 99 530 01 85</t>
  </si>
  <si>
    <t>АЪЗАМ КЕЛЕС</t>
  </si>
  <si>
    <t>ШАВКАТ УМАР ТОШМИ</t>
  </si>
  <si>
    <t>РИХСИТИЛЛА ШТАБ 99 999 40 14</t>
  </si>
  <si>
    <t>ШУХРАТ ДЎМБИРОБОД 94 248 00 48</t>
  </si>
  <si>
    <t>ОЙБЕК ҚИБРАЙ 99 000 40 89</t>
  </si>
  <si>
    <t>ФУРҚАТ СОЛНЧНИЙ 99 102 91 65</t>
  </si>
  <si>
    <t>МУХАММАДЖОН ИБН СИНО 99 046 10 38</t>
  </si>
  <si>
    <t>МУРОДЖОН ОХУНБОБОЕВ 99 815 00 81</t>
  </si>
  <si>
    <t>АЗИЗ ЮНУСОБОД 11 КВ 97 447 22 90</t>
  </si>
  <si>
    <t>ШУХРАТ ЮНУСОБОД 15 КВ 99 818 34 24</t>
  </si>
  <si>
    <t>ОТАБЕК ЦИОЛКОВСКИЙ 94 213 71 50</t>
  </si>
  <si>
    <t>САМАНДАР ҚЎЙЛИҚ 93 202 06 05</t>
  </si>
  <si>
    <t>ИЗЗАТИЛЛА ЧИННИ БОЗОР 90 952 77 82</t>
  </si>
  <si>
    <t>САХОБИДДИН ЮНУСОБОД 19 КВ 97 115 06 06</t>
  </si>
  <si>
    <t>АНВАР ПАРКЕНТСКИЙ 93 544 36 47</t>
  </si>
  <si>
    <t>ФАХРИДДИН ЮНУСОБОД 14 КВ 99 519 45 31</t>
  </si>
  <si>
    <t>АЗИЗ ТИНЧЛИК</t>
  </si>
  <si>
    <t>ОТАБЕК ЦИОЛКОВСКИЙ 99 851 63 31</t>
  </si>
  <si>
    <t>ЖАХОНГИР КОМОЛОН 94 690 15 03</t>
  </si>
  <si>
    <t>ОҒАБЕК ЯНГИБОЗОР 97 310 20 00</t>
  </si>
  <si>
    <t>САИДЖОН ЧОШТЕПА 99 929  21 21</t>
  </si>
  <si>
    <t>ФАХРИДДИН ЮНУСОБОД 99 519 45 31</t>
  </si>
  <si>
    <t>ДОНИЁР УЗБОМ</t>
  </si>
  <si>
    <t>АБДУЛАТИФ ИЗЗАТ КЎЧА  97 754 16 12</t>
  </si>
  <si>
    <t>АХРОР КАДИШВА 97 137 33 34</t>
  </si>
  <si>
    <t>ЗОКИР ЦИОЛКОВСКИЙ 90 009 28 80</t>
  </si>
  <si>
    <t>ФИРДАВС ЦИОЛКОВСКИЙ 77 010 50 99</t>
  </si>
  <si>
    <t>МУХАММАДЖОН ХАСАНБОЙ 97 443 51 18</t>
  </si>
  <si>
    <t>АХМАДЖОН КЕЛЕС ЙЎЛИ 99 890 65 89</t>
  </si>
  <si>
    <t>АСРОР ЭРКИН ХАВАС ЁНИ 99 981 18 80</t>
  </si>
  <si>
    <t>БОТИР БЕДАПОЯ 90 808 22 26</t>
  </si>
  <si>
    <t>АБДУХАМИД КАДИШВА 98 304 18 75</t>
  </si>
  <si>
    <t>ТЕМУР ДЎМБИРОБОД 97 773 16 24</t>
  </si>
  <si>
    <t>ШУХРАТ АВАНГАРТ 94 365 12 62</t>
  </si>
  <si>
    <t>ИЛЁС СЕРГЕЛИ 97 102 25 25</t>
  </si>
  <si>
    <t>ДАВРОН А.ДОНИШ 90 986 70 88</t>
  </si>
  <si>
    <t>САРДОР ДУБОВИЙ 93 519 83 83</t>
  </si>
  <si>
    <t>САРДОР ПАРКЕНТСКИЙ 99 937 04 69</t>
  </si>
  <si>
    <t>ОТАБЕК ЦАЛКОВСКИЙ 94 213 71 50</t>
  </si>
  <si>
    <t>РУСЛАН ДЎМБИРОБОД 97 380 38 37</t>
  </si>
  <si>
    <t>ХИЛОЛА ЎЗГАРИШ 93 686 65 45</t>
  </si>
  <si>
    <t>НУРИДДИН ЖОЪМЕ 99 315 33 37</t>
  </si>
  <si>
    <t xml:space="preserve">АБДУЛАТИФ ИЗЗАТ КЎЧА </t>
  </si>
  <si>
    <t>АКБАР БОЛТА 99 855 95 77</t>
  </si>
  <si>
    <t>ИЛЁС СЕРГЕЛИ ДЕХ.Б 97 711 90 70</t>
  </si>
  <si>
    <t>РАВШАН БЕК ТЎПИ 99 004 07 77</t>
  </si>
  <si>
    <t>ОБИД СОХИБ ПАНЕЛНИЙ 97 470 88 87</t>
  </si>
  <si>
    <t>СУННАТИЛЛА ҚЎЙЛИҚ 97 351 33 23</t>
  </si>
  <si>
    <t>ШАРОФИДДИН ХАСАНБОЙ 97 449 72 12</t>
  </si>
  <si>
    <t>ДИЛШОД НАЗАРБЕК 97 772 50 01</t>
  </si>
  <si>
    <t>АЗИЗ ОЛТИН ТЕПА 93 582 57 02</t>
  </si>
  <si>
    <t>ТОЛИБ ХАСАНБОЙ 99 951 44 44</t>
  </si>
  <si>
    <t>ФЕРУЗ БЕКТЕМИР 94 646 42 10</t>
  </si>
  <si>
    <t>АЗИЗ ЯНГИОБОД 90 016 60 30</t>
  </si>
  <si>
    <t>НУРИДДИН МАССИВ 5 90 333 89 33</t>
  </si>
  <si>
    <t>ШОМАХСУД ҚУШ БЕГИ 93 891 30 31</t>
  </si>
  <si>
    <t>ХАЛИМ СЕРГЕЛИ 90 824 44 00</t>
  </si>
  <si>
    <t>БАХТИЁР ЎЗБ МАХАЛЛА 97 420 20 60</t>
  </si>
  <si>
    <t>КОМОЛИДДИН ТЕКСТИЛ</t>
  </si>
  <si>
    <t xml:space="preserve">БОТИР БОХОДИР СОРТЕПА </t>
  </si>
  <si>
    <t>УМИД ТОРГОВИЙ 99 874 75 77</t>
  </si>
  <si>
    <t>УМИД ПОВОРОД 1-Д 99 934 99 96</t>
  </si>
  <si>
    <t>УМИД ПОВОРОД 2-Д 99 934 99 96</t>
  </si>
  <si>
    <t>ХУШНУД ЛЕЛИНИЗМ АБДУКАРИМ 97 780 28 58</t>
  </si>
  <si>
    <t>ОРИФ ТТЗ 99 862 46 85</t>
  </si>
  <si>
    <t>ШАВКАТ ЧЕРНЕВКА 99 724 91 91</t>
  </si>
  <si>
    <t>ХУРШИД ПРОМЗОНА 99 833 92 92</t>
  </si>
  <si>
    <t>ШАВКАТ УЧТЕПА 90 901 87 95</t>
  </si>
  <si>
    <t>АНВАР ФАРХАДСКИЙ 90 351 60 50</t>
  </si>
  <si>
    <t>ҚОБИЛ ЮНУСОБОД 15 КВ 97 750 82 64</t>
  </si>
  <si>
    <t>АБДУЛБОСИД КАДИШВА 97 409 81 11</t>
  </si>
  <si>
    <t>ЎТКИР ТЕКСТИЛ 93 300 30 67</t>
  </si>
  <si>
    <t>ЖАХОНГИР ЮНУСОБОД 99 692 00 17</t>
  </si>
  <si>
    <t>ОТАБЕК ҚИБРАЙ 93 546 60 89</t>
  </si>
  <si>
    <t>УЛУҒБЕК ҚИБРАЙ 99 847 09 70</t>
  </si>
  <si>
    <t>АНВАР ПАРКЕНТСКИЙ 97 747 08 81</t>
  </si>
  <si>
    <t>БОХОДИР СЕРГЕЛИ СТР 99 999 62 45</t>
  </si>
  <si>
    <t>ВАСИЛ СЕРГЕЛИ 90 946 08 83</t>
  </si>
  <si>
    <t>МУХАММАДЖОН ДЎРМОН 97 776 50 05</t>
  </si>
  <si>
    <t>САРВАР ДЎРМОН 88 703 52 52</t>
  </si>
  <si>
    <t>СОБИР ЯНГИ УЗБ 97 748 27 07</t>
  </si>
  <si>
    <t>НОДИР ЯНГИ УЗБ 99 822 95 00</t>
  </si>
  <si>
    <t>СУХРОБ ТТЗ 33 019 09 61</t>
  </si>
  <si>
    <t>ШАХЗОД ҚЎЙЛИҚ 99 026 04 71</t>
  </si>
  <si>
    <t>ЖАСУР ҚЎЙЛИҚ 88 386 31 30</t>
  </si>
  <si>
    <t>ШЛАКАБЛОК ЦЕХ 98 707 98 77</t>
  </si>
  <si>
    <t>ОТАБЕК КИМ ПЕН ХВА</t>
  </si>
  <si>
    <t>ОЙБЕК САРАКУЛКА 93 544 36 47</t>
  </si>
  <si>
    <t>БАХОДИР ГВАРДИСКИЙ 90 941 51 09</t>
  </si>
  <si>
    <t>РЎЗМИДДИН ЮНУСОБОД 94 699 99 46</t>
  </si>
  <si>
    <t>ШУХРАТ ҚИБРАЙ 97 549 91 99</t>
  </si>
  <si>
    <t>ДИЁР ДИЛШОД ПАРКЕНТ 94 931 40 66</t>
  </si>
  <si>
    <t>ХАМИДУЛЛОХ МИРОБОД 90 978 61 61</t>
  </si>
  <si>
    <t>ЖАСУР Қ ЭЛДОР ЎРТАОВУЛ 2 88 386 31 30</t>
  </si>
  <si>
    <t>ЖАСУР Қ АЛИБЕК ЧИЛОНЗОР  19 КВ 91 949 92 03</t>
  </si>
  <si>
    <t>КОЗИМ ТТЗ 90 186 58 48</t>
  </si>
  <si>
    <t>СОБИР УЧХОЗ 97 748 27 07</t>
  </si>
  <si>
    <t>УМАРАЛИ ЯНГИОБОД 91 165 36 24</t>
  </si>
  <si>
    <t>ФАРРУХ ХОНАБОД 90 952 56 52</t>
  </si>
  <si>
    <t xml:space="preserve">АКМАЛ ҚУШБЕГИ 93 891 30 31 </t>
  </si>
  <si>
    <t xml:space="preserve">ДОНИЁР ТАНСИҚБОЙ 90 350 53 52 </t>
  </si>
  <si>
    <t>БАХТИЕР ЮНУСОБОД 97 766 75 70</t>
  </si>
  <si>
    <t xml:space="preserve">Олим ака келес 95 989 76 77 </t>
  </si>
  <si>
    <t xml:space="preserve">Хусан ака узбом  90 009 89 56 </t>
  </si>
  <si>
    <t>ИСОБЕК ИЙК ОТА 90 114 13 43</t>
  </si>
  <si>
    <t xml:space="preserve">Азиз ака янгиобод 90 016 60 30 </t>
  </si>
  <si>
    <t xml:space="preserve">Нуриддин ака куйлик 90 333 89 33 </t>
  </si>
  <si>
    <t xml:space="preserve">Анвар ака гвардинский 90 039 49 98 </t>
  </si>
  <si>
    <t>КАМРОН СЕРГЕЛИ 8</t>
  </si>
  <si>
    <t xml:space="preserve">ЖАМШИД 97 706 06 13 </t>
  </si>
  <si>
    <t xml:space="preserve">АЗАМАТ АКА УНИВЕРСАМ  99 318 97 95 </t>
  </si>
  <si>
    <t xml:space="preserve">ФУРКАТ АКА ЖОМЕ 93 8804 99 40 </t>
  </si>
  <si>
    <t>ХУСАН СЕРГЕЛИ 4 БЕКАТ 90 038 63 28</t>
  </si>
  <si>
    <t>РУСТАМ КЕЛЕС 93 108 24 05</t>
  </si>
  <si>
    <t xml:space="preserve">ҒИЕСИДДИН ЮНУСОБОД </t>
  </si>
  <si>
    <t xml:space="preserve">ЎТКИР РОСС ГОСТ  90 168 65 50 </t>
  </si>
  <si>
    <t xml:space="preserve">Хамидуллох чорсу 90 319 07 25 </t>
  </si>
  <si>
    <t xml:space="preserve">САРВИНОЗ САНГОРД 33 318 422 02 </t>
  </si>
  <si>
    <t xml:space="preserve">БОТИР БУЗБОЗОР 97 707 07 28 </t>
  </si>
  <si>
    <t xml:space="preserve">ФАРУХ ФАРХАДСКИЙ 97 109 40 22 </t>
  </si>
  <si>
    <t xml:space="preserve">РУСТАМ ЧИНОЗ </t>
  </si>
  <si>
    <t>РУСТАМ ЧИНОЗ 97 131 97 48</t>
  </si>
  <si>
    <t>ЖАХОНГИР ОҚ ТЕПА 88 177 65 65</t>
  </si>
  <si>
    <t>АЗАМАТ ҚИБРАЙ 94 701 11 77</t>
  </si>
  <si>
    <t>АТХАМ ЛАГЕРНИЙ 99 407 40 74</t>
  </si>
  <si>
    <t>АСАДБЕК ХОНОБОД 97 034 38 58</t>
  </si>
  <si>
    <t>ФАРХОД СТАРИЙ СЕРГЕЛИ 90 356 93 39</t>
  </si>
  <si>
    <t>АЪЗАМ ЧОШТЕПА 99 846 46 15</t>
  </si>
  <si>
    <t>ҒУЛОМ ФАРХОД БОЗОР 90.352.41.51</t>
  </si>
  <si>
    <t>АБДУКАМОЛ НУРХАЁТ 99.851.16.13</t>
  </si>
  <si>
    <t>КОМОЛИДДИН ПАРКЕНТСКИЙ 98.304.30.33</t>
  </si>
  <si>
    <t>ГИЛАМ ЮВИШ ДИЙОР 94.593.66.55</t>
  </si>
  <si>
    <t>РУСТАМ ТТЗ 94.632.20.50</t>
  </si>
  <si>
    <t>УЛУГБЕК ТТЗ 90.324.54.40</t>
  </si>
  <si>
    <t>НАЗАРБЕК ТТЗ 91.997.66.67</t>
  </si>
  <si>
    <t>АБДУКОДИР ЯККАСАРОЙ 99.877.39.49</t>
  </si>
  <si>
    <t>СОХИБ ҚОЙЛИК ГУМБАЗ  97.470.88.87</t>
  </si>
  <si>
    <t>ЖАМШИД ГВАРДИТСКИЙ 99 388 88 24</t>
  </si>
  <si>
    <t>ВИЛДАН ПАРКЕНТ 93 596 02 20</t>
  </si>
  <si>
    <t>СУННАТ БАКАЛАШКА СЕХ  99 845 00 20</t>
  </si>
  <si>
    <t>ЖАХОНГИР ОЛМАЛИҚ 97 116 00 09</t>
  </si>
  <si>
    <t>ЭЛДОР ОЛМАЛИҚ 94 403 93 00</t>
  </si>
  <si>
    <t>ДИЛМУРОД ЮНУСОБОД 98 126 55 53</t>
  </si>
  <si>
    <t>ФАРХОД ЧИНОЗ 97 740 25 26</t>
  </si>
  <si>
    <t>ИСЛОМАКА ОҚЎРҒОН ПИСКЕНТ 90 317 32 24</t>
  </si>
  <si>
    <t>ХАСАН СЕРГЕЛИЙ 90 351 23 09</t>
  </si>
  <si>
    <t>УМАР ЯНГИЙЎЛ 90 316 96 59</t>
  </si>
  <si>
    <t>САРДОР ХОНОБОД 99 306 07 03</t>
  </si>
  <si>
    <t>ФОЗИЛ ПАРКЕНТ БОЗОР 94 212 17 67</t>
  </si>
  <si>
    <t>ДИЛШОД ХОНОБОД 99 929 22 29</t>
  </si>
  <si>
    <t>РАВШАН ЖОМЕ 29-Д 91 192 99 29</t>
  </si>
  <si>
    <t>АЛИШЕР СЕРГЕЛИЙ 33 447 35 00</t>
  </si>
  <si>
    <t>ЗАФАР ЖОМЕ 10-ДОКОН 99 886 88 00</t>
  </si>
  <si>
    <t>МУХИДДИН МАКСИМГОРКИЙ 90 979 50 50</t>
  </si>
  <si>
    <t>ХАМИДУЛЛОХ ЎРИКЗОР 90 321 63 76</t>
  </si>
  <si>
    <t>ЖАХОНГИР ЯШНАБОД 33 765 47 14</t>
  </si>
  <si>
    <t>МИРЛАЗИЗ ЧОРСУ 98.314.61.41</t>
  </si>
  <si>
    <t>ҒИЁСИДДИН ИБИН СИНО 93 572 07 77</t>
  </si>
  <si>
    <t>БОТИР ЧОРОСУ 97 732 94 92</t>
  </si>
  <si>
    <t>ЗИЁВИДДИН КЕЛЕС 94 899 00 01</t>
  </si>
  <si>
    <t>ФУРҚАТ ТОШГРЕСС 97 780 46 69</t>
  </si>
  <si>
    <t>РУСТАМ НОВОМОСКОВСКИЙ 94 632 20 50</t>
  </si>
  <si>
    <t>АХМАД АКА ЦЕХ  97 738 60 66</t>
  </si>
  <si>
    <t>НУРЗОД ГВАРДИЙСКИЙ 90 323 37 12</t>
  </si>
  <si>
    <t>АЗИЗ ЖОМЕ 97 729 08 822</t>
  </si>
  <si>
    <t>ШЕРЗОД ЦИОЛКОВСКИЙ 77 010 50 99</t>
  </si>
  <si>
    <t>ЭЛДОР ПАРКЕНТ 99 127 62 87</t>
  </si>
  <si>
    <t>БАХОДИР ТИНЧЛИК 97 774 22 74</t>
  </si>
  <si>
    <t>УМИДЖОН ВОДНИК 99 891 28 93</t>
  </si>
  <si>
    <t>ХУСАН ЖОМЕ 99 009 22 12</t>
  </si>
  <si>
    <t>УМАР КАДИШВА 97 777 42 46</t>
  </si>
  <si>
    <t>ТЎРАБЕК ЧЕРНАЕВКА 97 000 32 20</t>
  </si>
  <si>
    <t>ШАЙХ МАТРАС СЕХ 33 454 88 88</t>
  </si>
  <si>
    <t>АСАД ЧУКИРСОЙ ОЙНЧОҚ  97 733 07 38</t>
  </si>
  <si>
    <t>ЖАХОНГИР ҚЎЙЛИҚ 90 956 04 03</t>
  </si>
  <si>
    <t>ЖАХОНГИР ГИЛАМ ЎРИКЗОР 95 014 74 89</t>
  </si>
  <si>
    <t>АБДУҒАФФОР ЭРКИН АРКБУЛОҚ 93 566 17 46</t>
  </si>
  <si>
    <t>АХМАТЖОН ТОРГОВИЙ 99 807 91 00</t>
  </si>
  <si>
    <t>САЛОХИДДИН ТЕКИСТИЛ 99 010 20 50</t>
  </si>
  <si>
    <t>АБДУЛАЗИЗ МАТРАС СЕХ 90 901 10 77</t>
  </si>
  <si>
    <t>УММАТ ШЛАКАБЛОК СУРМ СЕХ 90 949 37 70</t>
  </si>
  <si>
    <t>АБДУМАЛИК СОБРАХИМОВ ЎЙНЧОҚ СЕХ 90 990 31 39</t>
  </si>
  <si>
    <t>АНВАР ПЛАСМАС СЕХ 36-МАКТАБ 77 706 35 35</t>
  </si>
  <si>
    <t>БЕГЗОД ТУЙТЕПА 99 307 27 34</t>
  </si>
  <si>
    <t>ХОЖАКБАР ЎЙНЧОҚ СЕХ 95 010 05 04</t>
  </si>
  <si>
    <t>ДОНИЁР СОХИЛ ЯНГИЙЎЛ 99 409 77 11</t>
  </si>
  <si>
    <t>САЛИМБОЙ ЯШНАБОД 95 777 77 94</t>
  </si>
  <si>
    <t>ДАВРОН МАТРАС СЕХ 99 837 07 60</t>
  </si>
  <si>
    <t>АББОС ПОКЕЙ СЕХ 91 165 85 85</t>
  </si>
  <si>
    <t>ИСЛОМ ГВАРДИЙСКИЙ 90 994 35 08</t>
  </si>
  <si>
    <t>БЕГЗОД ПАРКЕНТ 95 001 66 99</t>
  </si>
  <si>
    <t>ХОЖАКБАР ОДНОРАЗОВЫЙ ЦЕХ 94 650 47 69</t>
  </si>
  <si>
    <t>ТОХИР СОБРАХИМОВ СОЧИҚ ЦЕХ 97 432 46 76</t>
  </si>
  <si>
    <t>АБДУРАХМОН ПОСТ МАТРАС ЦЕХ 90 943 74 77</t>
  </si>
  <si>
    <t>ЖАВОХИР ИЙК ОТА 90 052 01 00</t>
  </si>
  <si>
    <t>ДИЛШОД ЯНГИЙЎЛ ШЛАКАБЛОК 94 216 65 76</t>
  </si>
  <si>
    <t>ИБРОХИМ ЭРКИН ПОСТ МАТРАС 97 709 94 40</t>
  </si>
  <si>
    <t>ФЕРУЗА КОТТА ҚАНИ 90 980 51 10</t>
  </si>
  <si>
    <t>ОБИД ЯНГИ ЛИМАНАРИЯ 98 888 89 69</t>
  </si>
  <si>
    <t>ЖАМОЛ ЧИРЧИҚ МАТЕРЯЛ 97 717 40 77</t>
  </si>
  <si>
    <t>ЯНГИ КЛЕНТ ШАФЁР 99 380 25 03</t>
  </si>
  <si>
    <t xml:space="preserve">НОДИР СИНТИФОН ЦЕХ </t>
  </si>
  <si>
    <t>МУХЛИСХОН ОДНОРОЗВЫЙ 94 283 61 63</t>
  </si>
  <si>
    <t>УБАЙДУЛЛА КЕЛЕС 99 862 68 29</t>
  </si>
  <si>
    <t>УСМОН СУРУМ ШЛАКАБЛОК 99 839 33 11</t>
  </si>
  <si>
    <t xml:space="preserve">ДОМКОМ КЛИЕНТ </t>
  </si>
  <si>
    <t>ОДИЛ ТТЗ СТАДИОН 97 461 04 16</t>
  </si>
  <si>
    <t>ҒУЛОМ ЖОМЕ 90 943 72 20</t>
  </si>
  <si>
    <t>ХУРШИД ЖОМЕ 99 957 66 66</t>
  </si>
  <si>
    <t>САЙД РИСОВЫЙ 99 843 00 22</t>
  </si>
  <si>
    <t>УЛУҒБЕК КОТТАҚАНИ 98 809 55 85</t>
  </si>
  <si>
    <t>ДОСТОН ГИЛАМ ЮВИШ 99 103 35 35</t>
  </si>
  <si>
    <t>ИБРОХИМ БЕШҚОРҒОН 99 891 85 40</t>
  </si>
  <si>
    <t>ШУХРАТ ПЛАСТИК 90 987 01 05</t>
  </si>
  <si>
    <t>АЗИЗ ҚАХРАМОН ПЛАСТМАС ЦЕХ 97 900 00 57</t>
  </si>
  <si>
    <t>РАВШАН СЕРГЕЛИЙ 99 909 68 33</t>
  </si>
  <si>
    <t>ФАРХОД БЕКТЕМИР 90 918 17 89</t>
  </si>
  <si>
    <t>АБДУҚОДИР ЯККАСАРОЙ 99 877 39 49</t>
  </si>
  <si>
    <t>МАХМУД ГЛОБОЛ СТРОЙ 91 001 78 41</t>
  </si>
  <si>
    <t>КОМИЛА ЧИРЧИҚ БОЗОР 97 616 46 09</t>
  </si>
  <si>
    <t>АБДУКУАРИМ 40-ЛЕТ 90 175 94 86</t>
  </si>
  <si>
    <t>ИСЛОМХОЖА АБАЙ 99 040 58 44</t>
  </si>
  <si>
    <t>ОТАБЕК ФОМЛАЙН МАТРАС 97 170 92 29</t>
  </si>
  <si>
    <t>БАХОДИР УЙНЧОҚ НАЗАРБЕК 99 834 06 17</t>
  </si>
  <si>
    <t>БУЛАТ ПЛАСМАС СЕРГЕЛИЙ 97 775 04 05</t>
  </si>
  <si>
    <t>САРДОР ЎЙНЧОҚ НАЗАРБЕК 93 577 70 14</t>
  </si>
  <si>
    <t>ДИЛМУРОД ЎЙНЧОҚ НАЗАРБЕК 97 723 19 81</t>
  </si>
  <si>
    <t>АЛИШЕР ТЕКСТИЛ ЯНГИЙЎЛ 99 847 10 55</t>
  </si>
  <si>
    <t>ОТАБЕК ЯНГИБОЗОР 55 901 00 73</t>
  </si>
  <si>
    <t>АБДУҒОФИР АЛГОРИТИМ 90 925 82 72</t>
  </si>
  <si>
    <t>ДИЛМУРОД ЯНГИ ЖОМЕ 23-Д 99 302 06 09</t>
  </si>
  <si>
    <t>СУЛТОН ЧИРЧИҚ 95 800 06 13</t>
  </si>
  <si>
    <t>УСМОН ҚУРИЛИШ 94 380 77 66</t>
  </si>
  <si>
    <t>ШЕРЗОД ЦИОЛКОВСКИЙ 90 127 33 38</t>
  </si>
  <si>
    <t>ОЛИМЖОН ҚУЙЛИҚ 97 747 98 91</t>
  </si>
  <si>
    <t>ЭЛЁР ҚОРАСУВ МАТРАС 94 826 44 44</t>
  </si>
  <si>
    <t>ШАХБОЗ НУРАФШОН 33 888 02 70</t>
  </si>
  <si>
    <t>ШОКИР АЛГОРИТИМ 90 961 23 24</t>
  </si>
  <si>
    <t>МАДИНА ЧИРЧИҚ 90 012 33 32</t>
  </si>
  <si>
    <t>АКМАЛ ЧИРЧИҚ 97 739 27 39</t>
  </si>
  <si>
    <t>КАМИЛА ХИТОЙ ҚУРИЛИШ 99 088 29 56</t>
  </si>
  <si>
    <t>УМАР ПЛАСТИК ЮНУСОБОД 95 643 30 03</t>
  </si>
  <si>
    <t>ИЛХОМ АЙРАПОРТ ЙОЛИ 99 868 25 50</t>
  </si>
  <si>
    <t>ЛОЧИН ЯНГИОБОД 90 946 66 87</t>
  </si>
  <si>
    <t>ХУСНИДДИН ОЛМОЗОР МЕТРО 93 259 84 47</t>
  </si>
  <si>
    <t>УЛУҒБЕК ТТЗ КОРЗИНКА 90 324 54 40</t>
  </si>
  <si>
    <t>МАРУФ ИБН СИНО 94 028 43 49</t>
  </si>
  <si>
    <t>ВАЙЕННЫЙ 97 111 25 45</t>
  </si>
  <si>
    <t>ОЙБЕК ТЕМИРЙЎЛ 99 840 40 68</t>
  </si>
  <si>
    <t>АЛИБЕК УЧҚАХРАМОН ГИЛАМ ЮВИШ</t>
  </si>
  <si>
    <t>ШОИРА ЧИННИ БОЗОР 94 942 55 95</t>
  </si>
  <si>
    <t>РАМЗИДДИН ГВАРДЕВСКИЙ 95 844 45 45</t>
  </si>
  <si>
    <t>ФЕРУЗ ГИЛАМ ТЕКИСТИЛНЫЙ 33 575 11 10</t>
  </si>
  <si>
    <t>БАХТИЁР ЮНУСОБОД ГИЛАМ 93 833 98 88</t>
  </si>
  <si>
    <t>ШАХЗОД ГУЛБАХОР СОЧИҚ ЦЕХ 99 400 11 00</t>
  </si>
  <si>
    <t>ДАВИД СТРОЙ ДОМ 99 060 68 59</t>
  </si>
  <si>
    <t>АКБАР ГВАРДЕВСКИЙ 94 654 58 88</t>
  </si>
  <si>
    <t>НУРИДДИН ҚАЗИ МАХАЛЛА 99 830 53 26</t>
  </si>
  <si>
    <t>АВАЗ СЕРГЕЛИЙ 90 004 30 00</t>
  </si>
  <si>
    <t>ШЕРЗОД ҚОРАСУВ 97 729 42 02</t>
  </si>
  <si>
    <t>ҚОП</t>
  </si>
  <si>
    <t>ШАХЗОД ШОХРУХ ГУЛБАХОР 99 400 11 00</t>
  </si>
  <si>
    <t>МУРОД ТЕКСТИЛНИЙ 97 728 30 77</t>
  </si>
  <si>
    <t>ОҚ ЯЛТИРОҚ</t>
  </si>
  <si>
    <t>САРДОР БАРДАМКУЛ 55 901 54 55</t>
  </si>
  <si>
    <t>САРВАР ДАЛИГУЗАР ПЛАСТИК 33 893 33 33</t>
  </si>
  <si>
    <t>БЕРДИ</t>
  </si>
  <si>
    <t>САНЖАР ПЛАСМАС ҚАХРАМОН 99 853 00 22</t>
  </si>
  <si>
    <t>ИМОН ПАРКЕНТ 50 005 20 22</t>
  </si>
  <si>
    <t>САДОҚАТ 1 МАССИВ 93 541 03 89</t>
  </si>
  <si>
    <t>ХУСАН САЛФЕТКА ОҚҚОРҒОН</t>
  </si>
  <si>
    <t>БОТИР ШУМИЛОВСКИЙ 97 758 39 09</t>
  </si>
  <si>
    <t>ДОСТОН МАСЛА ЖИР 94 128 34 44</t>
  </si>
  <si>
    <t>ИСЛОМ МАГНИТ КЎЧА 71 291 00 08</t>
  </si>
  <si>
    <t>ЖАХОНГИР ФАРХАДСКИЙ 93 670 99 89</t>
  </si>
  <si>
    <t>НОВВОТ ҚОП</t>
  </si>
  <si>
    <t>ҒАЙРАТ МЕГА ПЛАНЕТ 90 972 12 14</t>
  </si>
  <si>
    <t>МУРОД ЖОМЕ 16-Д 99 861 15 43</t>
  </si>
  <si>
    <t>КАМОЛИДДИН ПАРКЕНТСКИЙ 98 304 30 33</t>
  </si>
  <si>
    <t xml:space="preserve">ФАХРИДДИН ГВАРДЕВСКИЙ 90 957 23 22 </t>
  </si>
  <si>
    <t>ШЕРЗОД АКАНИ ДОСТИ</t>
  </si>
  <si>
    <t>МУРОД БЕКТЕМИР 90 799 17 75</t>
  </si>
  <si>
    <t>МУХАММАДАЛИ МАТРАС 98 365 35 35</t>
  </si>
  <si>
    <t>АВАЗ ТУЗ 93 229 12 36</t>
  </si>
  <si>
    <t xml:space="preserve">ЗИЁД ТЕКСТИЛ </t>
  </si>
  <si>
    <t>ШОХРУЛЛО МАГНИТ КЎЧА 99 700 40 30</t>
  </si>
  <si>
    <t>САНЖАР АКА 50/50</t>
  </si>
  <si>
    <t>НОВВОТ ЯЛТИРОҚ</t>
  </si>
  <si>
    <t>ОЛИМЖОН ЮНУСОБОД 97 752 01 42</t>
  </si>
  <si>
    <t>САРВАР ПЛАСМАС ЦЕХ 33 389 33 33</t>
  </si>
  <si>
    <t>МАРУФ ТЕКСТИЛ 90 187 31 91</t>
  </si>
  <si>
    <t>ДИЛШОД ҚОРАМУРТ 99 845 22 11</t>
  </si>
  <si>
    <t>ШУХРАТ УЙНЧОҚ НАЗАРБЕК 33 663 22 22</t>
  </si>
  <si>
    <t>ШЕРЗОД ЦИОЛКОВСКИЙ 97 702 73 76</t>
  </si>
  <si>
    <t>БАХОДИР КЛЕНТ 99 444 50 10</t>
  </si>
  <si>
    <t xml:space="preserve">ЖАМОЛ ШЛАКАБЛОК </t>
  </si>
  <si>
    <t>ХУСАН ЯНГИ ЖОМЕ 97 4223 41 91</t>
  </si>
  <si>
    <t>АБДУЛВОСИТ УЙИНЧОҚ 99 133 87 87</t>
  </si>
  <si>
    <t>АБДУЛЛОХ ОҚТЕПА 9 А 95 031 32 82</t>
  </si>
  <si>
    <t>ДИЛШОД БЕРУНИЙ 97 707 10 60</t>
  </si>
  <si>
    <t>ИСЛОМ ҚОЙЛИҚ 90 188 97 67</t>
  </si>
  <si>
    <t>УЛУҒБЕК ОЛТИНТЕПА 93 516 35 16</t>
  </si>
  <si>
    <t xml:space="preserve">ЧИННИ ЗАВОД </t>
  </si>
  <si>
    <t>АБДУЛЛОХ ПОЛИВОЙ АИРАПОРТ 99 819 85 15</t>
  </si>
  <si>
    <t>ҚОБИЛ ТТЗ 99 057 19 57</t>
  </si>
  <si>
    <t xml:space="preserve">СУННАТ ГУЛИСТОН </t>
  </si>
  <si>
    <t>ШЕРАЛИ ҚОЙЛИҚ 90 978 22 89</t>
  </si>
  <si>
    <t>МУХИДДИН ОҚҚУРҒОН 97 344 40 84</t>
  </si>
  <si>
    <t>МАРУФ УНИВЕРСАМ 97 750 44 00</t>
  </si>
  <si>
    <t>ИРОДА ЧИРЧИҚ 94 412 82 25</t>
  </si>
  <si>
    <t>МУХАММАДЖОН ДУРМОН 90 969 35 34</t>
  </si>
  <si>
    <t>ЖАМШИД ҚОРАСУВ 50 779 00 35</t>
  </si>
  <si>
    <t>ШЕРАЛИ КОРАКАМИШ ГРИЛБАР 97 703 73 63</t>
  </si>
  <si>
    <t>ЭЛДОР ЯНГИЙЎЛ 88 840 03 33</t>
  </si>
  <si>
    <t>БАХТИЁР ЮНУСОБОД САБЗАВОТ 97 766 75 70</t>
  </si>
  <si>
    <t>НИГМАТИЛЛА ЧУРТОК 90 315 73 10</t>
  </si>
  <si>
    <t>РАХИМ АКА</t>
  </si>
  <si>
    <t>ХУСАН АЛ ХОРАЗМИЙ 97 739 75 28</t>
  </si>
  <si>
    <t>ХАСАН ЦИОЛКОВСКИЙ 93 545 63 01</t>
  </si>
  <si>
    <t>МУНОЖАТ ЧИРЧУ 90 139 78 76</t>
  </si>
  <si>
    <t xml:space="preserve">ОЛИМ ХОНСАРОЙ </t>
  </si>
  <si>
    <t>ДАВРОН ЎРИКЗОР 94 646 14 11</t>
  </si>
  <si>
    <t>МУЗАФФАР НАЗАРБЕК 90 328 23 24</t>
  </si>
  <si>
    <t>НУРМУХАММАД БЕТОНКА 97 715 70 66</t>
  </si>
  <si>
    <t>ЗИЛОЛА ОҚТЕПА</t>
  </si>
  <si>
    <t>ШАВКАТ СЕРГЕЛИЙ</t>
  </si>
  <si>
    <t>ЁРМУХАММАД 90 063 13 33</t>
  </si>
  <si>
    <t>МУРОД ТУЙТЕПА 90 135 33 32</t>
  </si>
  <si>
    <t>ИСЛОМ ЯНГИЙЎЛ 93 799 97 02</t>
  </si>
  <si>
    <t>НУРИДДИН ПИСКЕНТ</t>
  </si>
  <si>
    <t>МУХАММАДЖОН БЕКТЕМИР 97 449 08 11</t>
  </si>
  <si>
    <t>НОСИР ЮНУСОБОД 93 506 00 06</t>
  </si>
  <si>
    <t>ЗАЙНИДДИН ОҚҚУРҒОН</t>
  </si>
  <si>
    <t>ХАСАН НАЗАРЕК 90 959 01 10</t>
  </si>
  <si>
    <t>АЛИШЕР БАРДАНКУЛ 99 532 08 46</t>
  </si>
  <si>
    <t>ЖАХОНГИР САМАРҚАНД.Д 99 262 72 72</t>
  </si>
  <si>
    <t>БАХОДИР ЎРТАСАРОЙ 93 534 90 60</t>
  </si>
  <si>
    <t>УМИД ЮСУФФАЙЗИЕВ</t>
  </si>
  <si>
    <t>ДИЛШОД ҚОРАСУВ 90 904 96 07</t>
  </si>
  <si>
    <t>ЮЛДУЗ СЕРГЕЛИЙ</t>
  </si>
  <si>
    <t>ФАЗЛИДДИН КИНПЕНХУА 99 236 99 39</t>
  </si>
  <si>
    <t>НУРБЕК ҚУЙЛИҚ 99 019 17 71</t>
  </si>
  <si>
    <t>ОЛИМ САМАРҚАНД ДАРВОЗА 99 262 72 72</t>
  </si>
  <si>
    <t>СИЛОСЧИ РАНО ТОЙХОНА 77 076 00 00</t>
  </si>
  <si>
    <t>САРДОР АСКИЯ БОЗОР 97 747 12 08</t>
  </si>
  <si>
    <t>МАРАТ ҚОРАСУВ 90 944 68 11</t>
  </si>
  <si>
    <t>МИРХАКИМ ЯНГИЙУЛ ФЛАКОН 94 634 77 07</t>
  </si>
  <si>
    <t xml:space="preserve">ШУХРАТ ЎРТОВУЛ </t>
  </si>
  <si>
    <t>БЕГЗОД ТЕКСТИЛНИЙ 90 993 55 00</t>
  </si>
  <si>
    <t>ШАХБОЗ СЕРГЕЛИЙ 99 989 99 38</t>
  </si>
  <si>
    <t>АЛИШЕР СЕРСЕРГЕЛИЙ 90 918 35 32</t>
  </si>
  <si>
    <t>САРДОР ХАСАНБОЙ 99 339 26 42</t>
  </si>
  <si>
    <t>ДИЛМУРОД ЧЕРНАЕВКА 98 126 55 53</t>
  </si>
  <si>
    <t>МАХЛИЁО СЕРГЕЛИЙ 97 381 51 14</t>
  </si>
  <si>
    <t xml:space="preserve">ҚОСИМ АКА </t>
  </si>
  <si>
    <t>БОТИР ЧЕРНАЕВКА ЙУЛИ 90 930 75 38</t>
  </si>
  <si>
    <t>БАХТИЁР ЮНУСОБОД 97 742 74 27</t>
  </si>
  <si>
    <t>ИБРОХИМ ЮНУСОБОД 77 003 13 33</t>
  </si>
  <si>
    <t>АЗАМ ЯНГИОБОД 90 916 98 89</t>
  </si>
  <si>
    <t>БАХОДИР КЕЛЕС 98 107 91 90</t>
  </si>
  <si>
    <t>АКБАР КЎКТЕРАК 95 847 02 34</t>
  </si>
  <si>
    <t>ЖАВОХИР КИНПЕНХУА 90 357 50 20</t>
  </si>
  <si>
    <t>ЭЛБЕК ПАРКЕНТСКИЙ 99 833 24 02</t>
  </si>
  <si>
    <t xml:space="preserve"> </t>
  </si>
  <si>
    <t>ТУЛКИН ЧИРЧИК 90 945 22 30</t>
  </si>
  <si>
    <t>ФАРРУХ КЕЛЕС 93 152 34 34</t>
  </si>
  <si>
    <t>АБДУЛЛО АКА</t>
  </si>
  <si>
    <t>ЗИЁД ТЕКСТИЛ 99 855 61 31</t>
  </si>
  <si>
    <t>ШАҒЗОД ЮЖНИЙ ОДНОРОЗВИЙ 77 040 55 22</t>
  </si>
  <si>
    <t>ХАСАН ҚОРАСУВ 97 446 51 14</t>
  </si>
  <si>
    <t>ШУХРАТ ИНДЕКС КОРПАЧА 99 489 04 09</t>
  </si>
  <si>
    <t>САНЖАР МТС 94 610 60 06</t>
  </si>
  <si>
    <t>ҒИЁС УНИВЕРСАМ 90 012 12 10</t>
  </si>
  <si>
    <t>БОБУР ТУЙТЕПА 99 489 47 74</t>
  </si>
  <si>
    <t>ХУСНОРА ЮНУСОБОД 99 484 32 35</t>
  </si>
  <si>
    <t>САЛОХИДДИН ФУТ СИТИ 93 384 82 22</t>
  </si>
  <si>
    <t>ХАСАН ЯНГИОБОД 90 187 88 50</t>
  </si>
  <si>
    <t>ЭРГАШ КАДИШЕВА 90 936 31 00</t>
  </si>
  <si>
    <t>НАРГИЗ</t>
  </si>
  <si>
    <t>АКБАР ЭШОНГУЗАР</t>
  </si>
  <si>
    <t>АБУБАКИР КОНЕЧНА 97 505 33 77</t>
  </si>
  <si>
    <t>ҒИЁСИДДИН ЮНУСОБОД 50 005 99 49</t>
  </si>
  <si>
    <t>ОТАБЕК ЯНГИЙЎЛ 97 880 81 81</t>
  </si>
  <si>
    <t>ЧИНОЗ ЖОНИМ ҚИЗИМ</t>
  </si>
  <si>
    <t xml:space="preserve">ЖАМШИД ПРОФ СНАБ СТРОЙ </t>
  </si>
  <si>
    <t>ААСИЛБЕК ҚУРИЛИШ 33 588 99 99</t>
  </si>
  <si>
    <t>ШАВКАТ БЕШҚЎРҒОН</t>
  </si>
  <si>
    <t>ИЛЁС СЕРГЕЛИЙ 95 955 90 70</t>
  </si>
  <si>
    <t xml:space="preserve">  </t>
  </si>
  <si>
    <t>УЛУҒБЕК ЛИМАНАРИЯ 88 660 77 07</t>
  </si>
  <si>
    <t>ФАРРУХ ТТЗ 99 819 23 43</t>
  </si>
  <si>
    <t>ЭРАЛИ</t>
  </si>
  <si>
    <r>
      <t xml:space="preserve">БАХРОМ </t>
    </r>
    <r>
      <rPr>
        <sz val="18"/>
        <color theme="1"/>
        <rFont val="Calibri"/>
        <family val="2"/>
        <charset val="204"/>
        <scheme val="minor"/>
      </rPr>
      <t>сергелий</t>
    </r>
    <r>
      <rPr>
        <sz val="15"/>
        <color theme="1"/>
        <rFont val="Calibri"/>
        <family val="2"/>
        <charset val="204"/>
        <scheme val="minor"/>
      </rPr>
      <t xml:space="preserve"> 99 444 50 10</t>
    </r>
  </si>
  <si>
    <t>РАВШАН ПРАВДА 97 750 87 79</t>
  </si>
  <si>
    <t>АБДУГОФИР 93 398 61 31</t>
  </si>
  <si>
    <t>АЛИЖОН УЗБОМ 97 431 30 03</t>
  </si>
  <si>
    <t>АБДУҒОФИР 93 398 61 31</t>
  </si>
  <si>
    <t>ДОНИЁР КЕЛЕС ФЛАКОН ЦЕХ 94 665 06 50</t>
  </si>
  <si>
    <t xml:space="preserve">МУЗАФФАР БРАНДО </t>
  </si>
  <si>
    <t xml:space="preserve">ШОХРУХ ЧИЛОНЗОР </t>
  </si>
  <si>
    <t>ДИЛШОД ДУБОВЫЙ 99 488 88 46</t>
  </si>
  <si>
    <t>ФАЙЗУЛЛОХ 36-МАКТАБ ПЛАСМАС 93 399 11 22</t>
  </si>
  <si>
    <t>ДАВРОН МЕДГОРОДОК 97 330 77 70</t>
  </si>
  <si>
    <t>ИСЛОМ АКА</t>
  </si>
  <si>
    <t>КЛЕНТ</t>
  </si>
  <si>
    <t>ХУСНИДДИН ҚОЙЛИҚ 99 492 04 05</t>
  </si>
  <si>
    <t>ДАВРОН ЎРИКЗОР 77 301 50 08</t>
  </si>
  <si>
    <t>ЧИННИБЕК МЕБЕЛ ЦЕХ 94 858 05 28</t>
  </si>
  <si>
    <t>АКМАЛ ЯНГИ КЛЕНТ 99 882 46 46</t>
  </si>
  <si>
    <t>АБДУБОҚИЙ СОБРОХИМОВ БАКАЛАШКА ЦЕХ</t>
  </si>
  <si>
    <t>БОТИР ҚИБРАЙ 91 787 00 30</t>
  </si>
  <si>
    <t>ЗИЁДХОЖА ЧИРЧИК 91 778 94 33</t>
  </si>
  <si>
    <t>АБДУСАТТОР ИБН СИНО 99 407 85 55</t>
  </si>
  <si>
    <t>МИРЗОИР НУРАФШОН 99 090 00 77</t>
  </si>
  <si>
    <t>ЭРКИН ЧОРТОҚ СЕРГЕЛИЙ 97 712 30 60</t>
  </si>
  <si>
    <t>АЛИХОН УЗБОМ 97 431 30 03</t>
  </si>
  <si>
    <t>ХАСАН ШОТА РУСТАВЕЛИ 90 008 89 56</t>
  </si>
  <si>
    <t>ЭЛЁР НОВОМОСКОВСКИЙ 99 091 44 29</t>
  </si>
  <si>
    <t>АКРОМХОН ЧИННИ БОЗОР 99 814 77 74</t>
  </si>
  <si>
    <t>БОТИР ЖОМЕ 99 922 21 22</t>
  </si>
  <si>
    <t>АВАЗ ЖОМЕ 90 990 34 34</t>
  </si>
  <si>
    <t>ЖОНИБЕК ҚУШБЕГИ 97 771 88 38</t>
  </si>
  <si>
    <t>АСРОР ЭРКИН ХАВАС ЁНИ 97 772 88 22</t>
  </si>
  <si>
    <t>ШОХЖАХОН 91 736 71 07</t>
  </si>
  <si>
    <t>ШУХРАТ ЖОМЕ 336 ДОКОН 90 318 36 00</t>
  </si>
  <si>
    <t>ИБРОХИМ БОССУВ 97 0047 67 77</t>
  </si>
  <si>
    <t>ЖАМШИД 8 КВАРТАЛ 95 333 05 06</t>
  </si>
  <si>
    <t>ШАВКАТ СЕРГЕЛИЙ 33 526 83 83</t>
  </si>
  <si>
    <t>ПЕЧАТ</t>
  </si>
  <si>
    <t>ДАВРОН ЦИНТИФОН ЦЕХ</t>
  </si>
  <si>
    <t>АЗИМХОН БЕКТОППИ 99 790 33 31</t>
  </si>
  <si>
    <t>АБДУХАМИД ВОДНИК 77 304 18 75</t>
  </si>
  <si>
    <t>ДИЛМУРОД 3 ҚАХРАМОН 97 711 27 96</t>
  </si>
  <si>
    <t>ТАРВУЗ БЕКОБОД</t>
  </si>
  <si>
    <t>МУЗАФФАР БЕКТЕМИР 90 345 45 86</t>
  </si>
  <si>
    <t>ШОХРУХ СЕРГЕЛИЙ КУРУВЧИ 94 909 08 08</t>
  </si>
  <si>
    <t>ШУХРАТ ТАРВУЗ 90 595 79 23</t>
  </si>
  <si>
    <t>БАХРОМ ПИСКЕНТ ТАРВУЗ</t>
  </si>
  <si>
    <t>ЭЛЁР ҚОЙЛИҚ 97 146 99 10</t>
  </si>
  <si>
    <t>ШАХБОЗ ТУЙТЕПА 97 716 71 31</t>
  </si>
  <si>
    <t>АБДУЛЛОХ ТРАВЕРТИНГ</t>
  </si>
  <si>
    <t>ТЕМ</t>
  </si>
  <si>
    <t>АЗИЗА ТЕМИРЙОЛ 99 841 50 57</t>
  </si>
  <si>
    <t>БОДРИНГ ҚОП</t>
  </si>
  <si>
    <t>АКМАЛ ЖЕНТРА</t>
  </si>
  <si>
    <t>ШЕРЗОДКЛЕНТ</t>
  </si>
  <si>
    <t>НОМОЗ ЦИОЛКОВСКИЙ 99 956 66 89</t>
  </si>
  <si>
    <t>ИЗЗАТ СЕРГЕЛИЙ 98 143 77 77</t>
  </si>
  <si>
    <t>ҒАЙБУЛЛА КОНБИНАНТ 97 700 47 71</t>
  </si>
  <si>
    <t>АВАЗ ХАСАНБОЙ 90 004 01 24</t>
  </si>
  <si>
    <t>АБДУРАХМОН БЕКТЕМИР 97 000 90 53</t>
  </si>
  <si>
    <t>БЕГЗОД РИСОВИЙ 90 74 42 92</t>
  </si>
  <si>
    <t>МУРОД БПС СОБРАХИМОВ 77 706 35 35</t>
  </si>
  <si>
    <t>АКМАЛ ЯНГИОБОД 90 016 60 30</t>
  </si>
  <si>
    <t>ЯНГИ КЛЕНТ.</t>
  </si>
  <si>
    <t>АБДУЛВОСИТ ПАРКЕНТСКИЙ 77 380 81 11</t>
  </si>
  <si>
    <t>СУРХАН МАТРАС ЦЕХ</t>
  </si>
  <si>
    <t>АБДУЛЛОХ СИГНЕТ 95 830 55 55</t>
  </si>
  <si>
    <t>АНВАР ЧИРЧИҚ 91 779 83 88</t>
  </si>
  <si>
    <t>ШУХРАТ ТРАВЕРТИНГ 90 330 52 04</t>
  </si>
  <si>
    <t>АЗАМАТ КЕЛЕС 94 142 17 72</t>
  </si>
  <si>
    <t>ШУХРАТ ПИТАК 91 510 00 70</t>
  </si>
  <si>
    <t>КУКЧА КЛЕНТ 90 328 77 07</t>
  </si>
  <si>
    <t>РУСТАМ АВИХЕР ПЛАСТИК 97 157 60 70</t>
  </si>
  <si>
    <t>ЕВГЕНИН 90 132 00 44</t>
  </si>
  <si>
    <t xml:space="preserve">ЖАМШИД </t>
  </si>
  <si>
    <t xml:space="preserve">    </t>
  </si>
  <si>
    <t>АБДУЛАЗИЗ ТОРГОВИЙ 97 731 09 70</t>
  </si>
  <si>
    <t>ДАВРОН ҚУШБЕГИ 99 844 07 70</t>
  </si>
  <si>
    <t>СЕВАРА ХОНОБОД 90 052 61 61</t>
  </si>
  <si>
    <t>ИЛЁС БАКЛАШКА ЦЕХ</t>
  </si>
  <si>
    <t>МУРОД ГУЛЗОР ТЕКСТИЛ 97 702 41 15</t>
  </si>
  <si>
    <t>САИД ГВАРДЕВСКИЙ 97 411 17 38</t>
  </si>
  <si>
    <t>ИЗЗАТИЛЛА ВРУЧАТКА ЦЕХ</t>
  </si>
  <si>
    <t>ШАВКАТ ЧИЛОНЗОР 90 873 54 95</t>
  </si>
  <si>
    <t>ХАМЗА ТИГЕР ТЕКСТИЛ</t>
  </si>
  <si>
    <t>КОМОЛИДДИН НАЗАРБЕК</t>
  </si>
  <si>
    <t>КОМОЛИДДИН СИРДАРЙО 99 197 11 01</t>
  </si>
  <si>
    <t>ЗЕБИНИСО ГИНЕРАЛ УЗОҚОВ 99 937 337 30</t>
  </si>
  <si>
    <t>РУСТАМ КАДИШЕВА</t>
  </si>
  <si>
    <t>СОДИҚ ДУМБИРОБОД 98 125 32 02</t>
  </si>
  <si>
    <t>САЙФИДДИН ЦИОЛКОВСКИЙ 97 702 73 76</t>
  </si>
  <si>
    <t>ХАСАН ЖОМЕ 90 992 68 18</t>
  </si>
  <si>
    <t>УМАР ЮНУСОБОД 99 821 32 21</t>
  </si>
  <si>
    <t>ХОЛМАД НУРАФШОН 90 122 99 79</t>
  </si>
  <si>
    <t>АЛИХОН ЮНУСОБОД 97 431 30 03</t>
  </si>
  <si>
    <t>ЭЛМУРОД ЯНГИ БОЗОР 94 615 72 22</t>
  </si>
  <si>
    <t>ЯНГИ КЛЕНТ ЧИРЧИҚ</t>
  </si>
  <si>
    <t>АБДУЛАЗИЗ МЕДГОРОДОК 94 402 33 11</t>
  </si>
  <si>
    <t>УМИД ЧИЛОНЗОР 95 632 22 99</t>
  </si>
  <si>
    <t>БОТИР ПИСКЕНТ 97 249 07 77</t>
  </si>
  <si>
    <t>МУХАММАДЖОН ДУРМОН 90 969 77 10</t>
  </si>
  <si>
    <t>ДИЛШОД ХОТАМ МОЙКА 99 488 88 46</t>
  </si>
  <si>
    <t>ХУСАН СЕРГЕЛИ,</t>
  </si>
  <si>
    <t>БЕГЗОД 40 ЛЕТ 88 706 27 26</t>
  </si>
  <si>
    <t>АБДУКАРИМ 40 ЛЕТ 90 175 9486</t>
  </si>
  <si>
    <t>АБДУБОҚИЙ СОБРОХ БАКЛАШКА ЦЕХ 94 602 00 73</t>
  </si>
  <si>
    <t>ДИЛФУЗА ЯНГИЙЎЛ 90 128 45 54</t>
  </si>
  <si>
    <t>МУСТАФО АСКИЯ БОЗОР 88 180 20 80</t>
  </si>
  <si>
    <t>МУХАММАД ДУРМОН 77 489 77 70</t>
  </si>
  <si>
    <t>САИД РИСОВИЙ 90 939 90 09</t>
  </si>
  <si>
    <t>ТОЛИБ МАТРАС 99 392 31 55</t>
  </si>
  <si>
    <t>ФАРХОД ИБИН СИНО 93 566 66 46</t>
  </si>
  <si>
    <t>ШАМШОД 40 ЛЕТ 91 827 47 07</t>
  </si>
  <si>
    <t>ҒУЛОМ ЯНГИЙУЛ 99 803 31 09</t>
  </si>
  <si>
    <t>ТАННАРХ</t>
  </si>
  <si>
    <t>ЖАМИ2</t>
  </si>
  <si>
    <t>ФОЙДА</t>
  </si>
  <si>
    <t>РУХСОРА СЕРГЕЛИЙ 90 328 28 75</t>
  </si>
  <si>
    <t>ИБРОХИМ БЕКТЕМИР 99 859 21 40</t>
  </si>
  <si>
    <t xml:space="preserve">ТЕКСТИЛНИЙ ЯНГИ КЛЕНТ </t>
  </si>
  <si>
    <t>ШОХРУХ ЧИЛОНЗОР РОВД 99 157 00 90</t>
  </si>
  <si>
    <t>ОРИП ОЛМОС ТОЙХОНА 90 873 54 95</t>
  </si>
  <si>
    <t>АЗИЗ 11 КВАРТАЛ</t>
  </si>
  <si>
    <t>ШАВКАТ СЕРГЕЛИ 90 901 82 95</t>
  </si>
  <si>
    <t>БАХОДИР НАЗАРБЕК 99 834 06 17</t>
  </si>
  <si>
    <t>ЭШҚОЛ ЯНГИОЛ 90 022 00 59</t>
  </si>
  <si>
    <t>АЗИЗ 11 КВАРТАЛ 97 447 22 90</t>
  </si>
  <si>
    <t>УСМОН ГУМБАЗ БОЗОР 70 023 43 03</t>
  </si>
  <si>
    <t>АКМАЛ ЖОМЕ 95 951 44 24</t>
  </si>
  <si>
    <t>ЖАХОНГИР ОЛМАЛИК 88 439 00 00</t>
  </si>
  <si>
    <t>ЭЛДОР ҚОЙЛИҚ 94 648 08 04</t>
  </si>
  <si>
    <t xml:space="preserve">МЕХРИДДИН ЧИРЧИҚ </t>
  </si>
  <si>
    <t>ХАСАН ШОТА РУСТАВЕЛИ 999133850</t>
  </si>
  <si>
    <t>АЛИЖОН СИРОЖ ПОНЕЛНИ</t>
  </si>
  <si>
    <t>клент кошни</t>
  </si>
  <si>
    <t>МУХАММАД ҚИБРАЙ ПОКЕЙ ЦЕХ</t>
  </si>
  <si>
    <t>САЙОРА ҚОЗОРОБОД 90 063 13 33</t>
  </si>
  <si>
    <t xml:space="preserve">ИЗЗА ДОКОН </t>
  </si>
  <si>
    <t>ЖАВОХИР МИРОБОД 99 107 36 66</t>
  </si>
  <si>
    <t>НАРГИЗ ОПА ЧИРЧИҚ 93 201 58 06</t>
  </si>
  <si>
    <t>ЖАМОЛ ЧИЛОНЗОР 99 558 44 19</t>
  </si>
  <si>
    <t>ШЕРЗОД БЕКТОППИ 99 454 98 97</t>
  </si>
  <si>
    <t>АЗИЗ ЧИРЧИҚ</t>
  </si>
  <si>
    <t>ИЗЗАТ ТРАВЕРТИНГ</t>
  </si>
  <si>
    <t>ДЕХҚОН КЛЕНТ</t>
  </si>
  <si>
    <t>МУХАММАД ҚИБРАЙ ПОКЕЙ ЦЕХ 97 401 53 53</t>
  </si>
  <si>
    <t>ХУМОЙИН ЗАНГОТА 99 847 04 14</t>
  </si>
  <si>
    <t xml:space="preserve">САРДОР КЛЕНТ </t>
  </si>
  <si>
    <t>ЖАМШИД МАЙСКИЙ 77 048 52 28</t>
  </si>
  <si>
    <t>САРВАР ЧЕРНАЕВКА 93 165 20 00</t>
  </si>
  <si>
    <t>АЛИМИХС</t>
  </si>
  <si>
    <t>АЛИШЕР ТЕКСТИЛ 97 726 60 80</t>
  </si>
  <si>
    <t>АЗИЗ БОДОМЗОР</t>
  </si>
  <si>
    <t>ЧИНОЗ КЛЕНТ</t>
  </si>
  <si>
    <t>САНЖАР БЕКТОППИ</t>
  </si>
  <si>
    <t>АБДУГОФИР ДОКТИР</t>
  </si>
  <si>
    <t>МУНОЖАТ ДУРМОН 88 410 21 61</t>
  </si>
  <si>
    <t>АКРОМ ИБИН СИНО 93 510 50 58</t>
  </si>
  <si>
    <t>ОРИФ УЧТЕПА 90 873 54 95</t>
  </si>
  <si>
    <t>АЗАМ  ШОТА РУСТЕВЕЛИ 99 913 38 50</t>
  </si>
  <si>
    <t>ХУСАН 40 ЛЕТ 88 033 94 04</t>
  </si>
  <si>
    <t>ТУЙГУН ЛИМАНАРИЯ 99 830 45 41</t>
  </si>
  <si>
    <t>САРДОР 18 КВАРТАЛ 90 939 59 49</t>
  </si>
  <si>
    <t>ХОЖАКБАР НБФ 77 088 47 47</t>
  </si>
  <si>
    <t>ЗАФАР ЮНУСОБОД 90 350 53 52</t>
  </si>
  <si>
    <t>МУРОДИЛЛА НУРХАЙОТ ЦЕХ ПЛАСМАС 99 301 70 10</t>
  </si>
  <si>
    <t>БАХТИЁР ГУЛЗОР 99 002 72 00</t>
  </si>
  <si>
    <t>КОМОЛИДДИН СТАР ПЛАСТ</t>
  </si>
  <si>
    <t>ҚОРАҚОЛПОҚ</t>
  </si>
  <si>
    <t>АХМАДЖОН БЕКТОППИ 88 343 33 31</t>
  </si>
  <si>
    <t>ҚУДРАТИЛЛА СИММА ХОТЕЛ</t>
  </si>
  <si>
    <t>МУХАММАД ПОНЕЛНИЙ 90 176 31 10</t>
  </si>
  <si>
    <t>МУРОД ЭРКИН 97 746 66 43</t>
  </si>
  <si>
    <t>ИКРОМ КЕЛЕС 95 081 01 65</t>
  </si>
  <si>
    <t>АБДУРАХМОН КЕЛЕС 94 665 06 50</t>
  </si>
  <si>
    <t>БАХРОМ ВОДНИК 90 965 72 09</t>
  </si>
  <si>
    <t>ДИЛШОД ЮНУСОБОД 77 010 92 22</t>
  </si>
  <si>
    <t>ШЕРАЛИ ИЙК ОТА 70 122 08 04</t>
  </si>
  <si>
    <t>УСМОН КАДИШЕВА 88 702 70 71</t>
  </si>
  <si>
    <t>ХАБИБУЛЛОХ ЯНГИЙЎЛ</t>
  </si>
  <si>
    <t>АКБАР РИЧ</t>
  </si>
  <si>
    <t>ТАРВУЗКЛЕНТ</t>
  </si>
  <si>
    <t>ХАМИДУЛЛОХ СЕРГЕЛИЙ 90 123 33 23</t>
  </si>
  <si>
    <t>ОҚ 2 СОРТ</t>
  </si>
  <si>
    <t>ПЕР</t>
  </si>
  <si>
    <t>КЛИК</t>
  </si>
  <si>
    <t>99 992 00 67</t>
  </si>
  <si>
    <t>пер</t>
  </si>
  <si>
    <t>т/о</t>
  </si>
  <si>
    <t>клик</t>
  </si>
  <si>
    <t>фотима</t>
  </si>
  <si>
    <t>АБДУВОХИД ИБИН СИНО 99 308 15 15</t>
  </si>
  <si>
    <t>оброзец</t>
  </si>
  <si>
    <t>ШПУЛ-</t>
  </si>
  <si>
    <t>МУЗАФФАР ЖОМЕ 99 322 05 74</t>
  </si>
  <si>
    <t xml:space="preserve">АЮБХОН ЧИЛОН 90 968 72 91 </t>
  </si>
  <si>
    <t>душ,</t>
  </si>
  <si>
    <t>АХРОР ШОТА РУСТАВЕЛИ 98 123 10 23</t>
  </si>
  <si>
    <t>ЖАМШИД УЗБОМ</t>
  </si>
  <si>
    <t>Й</t>
  </si>
  <si>
    <t>МАВЛОН ЛИМАНАРИЯ 93 553 37 32</t>
  </si>
  <si>
    <t>бор кере</t>
  </si>
  <si>
    <t>ДОНИЁР 15 КВ ЮНУСОБОД 88 711 61 11</t>
  </si>
  <si>
    <t>МУЗАФФАР ЯНГИ КЛЕНТ 90 184 10 07</t>
  </si>
  <si>
    <t>+</t>
  </si>
  <si>
    <t>олиб ёпиб ишлиди</t>
  </si>
  <si>
    <t>хдт</t>
  </si>
  <si>
    <t>ок ковок</t>
  </si>
  <si>
    <t>ХУРШИД ЭРКИН ПОСТ 98 809 70 71</t>
  </si>
  <si>
    <t>бқ</t>
  </si>
  <si>
    <t>учиқ</t>
  </si>
  <si>
    <t xml:space="preserve">ХАСАН ЦИОЛКОВСКИЙ 33 939 26 26 </t>
  </si>
  <si>
    <t>УМАР МУМИН ЦИОЛОВСКИЙ</t>
  </si>
  <si>
    <t>РУСТАМЖОН ЦИОЛКОВСКИЙ</t>
  </si>
  <si>
    <t>БЕХРУЗ ЧИЛОНЗОР 19 КВ 88 586 15 65</t>
  </si>
  <si>
    <t>7/7пер</t>
  </si>
  <si>
    <t>зайнт</t>
  </si>
  <si>
    <t>ЁРКИН МЕДГАРАДОК 90 994 07 72</t>
  </si>
  <si>
    <t>НОДИР АКА КЛЕС 99 303 66 36</t>
  </si>
  <si>
    <t>Столбец2</t>
  </si>
  <si>
    <t>Столбец3</t>
  </si>
  <si>
    <t>Столбец4</t>
  </si>
  <si>
    <t>ҚОР</t>
  </si>
  <si>
    <t>9/7таёр</t>
  </si>
  <si>
    <t xml:space="preserve"> 8/7</t>
  </si>
  <si>
    <t>шу хафта</t>
  </si>
  <si>
    <t>8/7пер</t>
  </si>
  <si>
    <t>10/7таёр</t>
  </si>
  <si>
    <t>8/7таёр</t>
  </si>
  <si>
    <t>ШЕРЖОН АКА ЦИО ЦИОЛКОВИСКИЙ 99 484 43 21</t>
  </si>
  <si>
    <t>САРВАР АКА РИСОВИЙ 93 577 88 82</t>
  </si>
  <si>
    <t>ШПУЛ</t>
  </si>
  <si>
    <t>ШЕРЖОН АКА ЦИОЛКОВИСКИЙ 99 484 43 21</t>
  </si>
  <si>
    <t>2хафта</t>
  </si>
  <si>
    <t>ҒАЙРАТ РАМАДАН 99 095 90 80</t>
  </si>
  <si>
    <t>РУСТАМ ПАРКЕНТ 99 822 86 78</t>
  </si>
  <si>
    <t>13/7,14/7</t>
  </si>
  <si>
    <t>ИХТИЁР ОПТОМ 99 863 80 12</t>
  </si>
  <si>
    <t>кг</t>
  </si>
  <si>
    <t>Нитканка</t>
  </si>
  <si>
    <t>20/7таёр</t>
  </si>
  <si>
    <t>ОЖД</t>
  </si>
  <si>
    <t>ТУЛКИН ФУТСИТИЙ 99 843 04 08</t>
  </si>
  <si>
    <t>АВЗАЛ КЕЛЕС 97 784 77 11</t>
  </si>
  <si>
    <t>КОМИЛ КЕЛЕС 97 766 45 06</t>
  </si>
  <si>
    <t>АКБАР ИКРОМ КЕЛЕС 95 081 01 65</t>
  </si>
  <si>
    <t>ХАЙРУЛЛА КЕЛЕС 90 949 55 55</t>
  </si>
  <si>
    <t>АБДУЛЛОХ КЕЛЕС 94 858 39 39</t>
  </si>
  <si>
    <t>АБДУЛАЗИЗ КЕЛЕС 93 595 85 03</t>
  </si>
  <si>
    <t>ИБРОХИМ КЕЛЕС 99 834 11 71</t>
  </si>
  <si>
    <t>ШАХЗОД АТП 99 699 01 01</t>
  </si>
  <si>
    <t>КОЗИМ КУК САРОЙ КЕЛЕС 98 362 20 16</t>
  </si>
  <si>
    <t>ОҚ 1 СОРТ</t>
  </si>
  <si>
    <t>ОБИД АКА ПАРКЕНТСКИЙТ 97 423 05 01</t>
  </si>
  <si>
    <t>ДОНИЁР БАРДАНКУЛ 99 827 57 29</t>
  </si>
  <si>
    <t>АЗИМ ШЕР 40 ЛЕТ 90 137 16 00</t>
  </si>
  <si>
    <t>тел кил</t>
  </si>
  <si>
    <t>3-4 кунга</t>
  </si>
  <si>
    <t>душ сеш</t>
  </si>
  <si>
    <t>шу хафта слик</t>
  </si>
  <si>
    <t>сверка клш</t>
  </si>
  <si>
    <t>17 га етворади</t>
  </si>
  <si>
    <t>ИСМОИЛ АКА ИЗЗА  99 997 99 59</t>
  </si>
  <si>
    <t>ХУСНИДДИН АКА СОБИРАХИМОВ 93 259 84 47</t>
  </si>
  <si>
    <t xml:space="preserve">и </t>
  </si>
  <si>
    <t>шпул-</t>
  </si>
  <si>
    <t>ПАКЕТ</t>
  </si>
  <si>
    <t>ОТАБЕК АКА ХАСАНБОЙ 99 781 44 44</t>
  </si>
  <si>
    <t>АКМАЛ АКА ГЛОБАЛ 97 751 99 59</t>
  </si>
  <si>
    <t>АБДУЛЛОХ АКА ХАСАНБОЙ 95 866 76 76</t>
  </si>
  <si>
    <t>АБДУЛЛОХ УЗБОМ ДОКОН 94 686 68 69</t>
  </si>
  <si>
    <t>БАХРОМ ФУТ СИТИ 99 444 50 10</t>
  </si>
  <si>
    <t>ВАСИЛ СЕРГЕЛИ 95 857 08 83</t>
  </si>
  <si>
    <t>банд</t>
  </si>
  <si>
    <t>25/7 тел қил</t>
  </si>
  <si>
    <t xml:space="preserve">к </t>
  </si>
  <si>
    <t>узи тел қилади</t>
  </si>
  <si>
    <t>борш кере</t>
  </si>
  <si>
    <t>тайор</t>
  </si>
  <si>
    <t>йоплган</t>
  </si>
  <si>
    <t>ДОНИЁР СУРУМ 99 434 67 43</t>
  </si>
  <si>
    <t>КОЗИМ СЕВР ВОСТОК 90 186 58 48</t>
  </si>
  <si>
    <t>КОМОЛИДДИН НАЗАРБЕК 97 184 70 20</t>
  </si>
  <si>
    <t>ХАКИМ ЭМУЛТЦИЯ ОХОНГОРОН99 706 62 42</t>
  </si>
  <si>
    <t>ХУСНИДДИН ТИНЧЛИК 97 048 35 15</t>
  </si>
  <si>
    <t>ШОХРУХ УЗБОМ 33 583 83 83</t>
  </si>
  <si>
    <t>ЗАФАР ИЗЗА 1.19 ДУКОН 90 139 00 44</t>
  </si>
  <si>
    <t>нахт</t>
  </si>
  <si>
    <t>УЛУҒБЕК ДЕКОПЛАСТ ЧИРЧИҚ 93 572 37 47</t>
  </si>
  <si>
    <t>к</t>
  </si>
  <si>
    <t>очиқ</t>
  </si>
  <si>
    <t>абдуқаюм</t>
  </si>
  <si>
    <t>28/7 тайор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</si>
</sst>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;@"/>
    <numFmt numFmtId="165" formatCode="#,##0.000"/>
    <numFmt numFmtId="166" formatCode="#,##0.00_ ;[Red]\-#,##0.00\ "/>
    <numFmt numFmtId="167" formatCode="[$-419]d\ mmm;@"/>
  </numFmts>
  <fonts count="38" x14ac:knownFonts="1">
    <font>
      <sz val="11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i/>
      <sz val="15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b/>
      <i/>
      <sz val="11"/>
      <color theme="1" tint="4.9989318521683403E-2"/>
      <name val="Calibri"/>
      <family val="2"/>
      <charset val="204"/>
      <scheme val="minor"/>
    </font>
    <font>
      <b/>
      <sz val="11"/>
      <color theme="1" tint="4.9989318521683403E-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i/>
      <sz val="15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i/>
      <sz val="15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i/>
      <sz val="15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i/>
      <sz val="15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i/>
      <sz val="11"/>
      <color rgb="FFFF0000"/>
      <name val="Calibri"/>
      <family val="2"/>
      <charset val="204"/>
      <scheme val="minor"/>
    </font>
    <font>
      <b/>
      <i/>
      <sz val="11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6" fontId="1" fillId="0" borderId="0" xfId="0" applyNumberFormat="1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NumberFormat="1" applyFont="1" applyFill="1" applyBorder="1"/>
    <xf numFmtId="0" fontId="0" fillId="0" borderId="0" xfId="0" applyAlignment="1">
      <alignment horizontal="center"/>
    </xf>
    <xf numFmtId="4" fontId="0" fillId="0" borderId="1" xfId="0" pivotButton="1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6" fontId="0" fillId="0" borderId="0" xfId="0" applyNumberFormat="1" applyFont="1"/>
    <xf numFmtId="166" fontId="9" fillId="0" borderId="0" xfId="0" applyNumberFormat="1" applyFont="1"/>
    <xf numFmtId="166" fontId="5" fillId="0" borderId="0" xfId="0" applyNumberFormat="1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166" fontId="0" fillId="3" borderId="0" xfId="0" applyNumberFormat="1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3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6" fontId="17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7" borderId="4" xfId="0" applyNumberFormat="1" applyFont="1" applyFill="1" applyBorder="1" applyAlignment="1">
      <alignment horizontal="center"/>
    </xf>
    <xf numFmtId="49" fontId="0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8" borderId="2" xfId="0" applyFont="1" applyFill="1" applyBorder="1"/>
    <xf numFmtId="0" fontId="1" fillId="9" borderId="2" xfId="0" applyFont="1" applyFill="1" applyBorder="1"/>
    <xf numFmtId="16" fontId="1" fillId="8" borderId="2" xfId="0" applyNumberFormat="1" applyFont="1" applyFill="1" applyBorder="1"/>
    <xf numFmtId="0" fontId="1" fillId="5" borderId="2" xfId="0" applyFont="1" applyFill="1" applyBorder="1"/>
    <xf numFmtId="0" fontId="1" fillId="5" borderId="5" xfId="0" applyFont="1" applyFill="1" applyBorder="1"/>
    <xf numFmtId="0" fontId="19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2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4" fillId="0" borderId="0" xfId="0" applyNumberFormat="1" applyFont="1"/>
    <xf numFmtId="0" fontId="24" fillId="0" borderId="0" xfId="0" applyNumberFormat="1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6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0" fontId="3" fillId="10" borderId="0" xfId="0" applyFont="1" applyFill="1"/>
    <xf numFmtId="0" fontId="21" fillId="10" borderId="0" xfId="0" applyFont="1" applyFill="1"/>
    <xf numFmtId="0" fontId="0" fillId="0" borderId="0" xfId="0" applyAlignment="1">
      <alignment horizontal="center"/>
    </xf>
    <xf numFmtId="14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66" fontId="29" fillId="0" borderId="0" xfId="0" applyNumberFormat="1" applyFont="1" applyAlignment="1">
      <alignment horizontal="center"/>
    </xf>
    <xf numFmtId="166" fontId="3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7" fillId="3" borderId="0" xfId="0" applyNumberFormat="1" applyFont="1" applyFill="1" applyAlignment="1">
      <alignment horizontal="center"/>
    </xf>
    <xf numFmtId="166" fontId="16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2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6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6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29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32" fillId="0" borderId="0" xfId="0" applyNumberFormat="1" applyFont="1"/>
    <xf numFmtId="0" fontId="32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166" fontId="0" fillId="1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1" fillId="1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vertical="center"/>
    </xf>
    <xf numFmtId="16" fontId="34" fillId="0" borderId="0" xfId="0" applyNumberFormat="1" applyFont="1" applyAlignment="1">
      <alignment vertical="center"/>
    </xf>
    <xf numFmtId="166" fontId="34" fillId="0" borderId="0" xfId="0" applyNumberFormat="1" applyFont="1" applyAlignment="1">
      <alignment vertical="center"/>
    </xf>
    <xf numFmtId="167" fontId="3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/>
    </xf>
    <xf numFmtId="166" fontId="34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center"/>
    </xf>
    <xf numFmtId="9" fontId="2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34" fillId="0" borderId="0" xfId="0" applyNumberFormat="1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34" fillId="13" borderId="0" xfId="0" applyFont="1" applyFill="1" applyAlignment="1">
      <alignment vertical="center"/>
    </xf>
    <xf numFmtId="167" fontId="34" fillId="13" borderId="0" xfId="0" applyNumberFormat="1" applyFont="1" applyFill="1" applyAlignment="1">
      <alignment vertical="center"/>
    </xf>
    <xf numFmtId="166" fontId="34" fillId="13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34" fillId="11" borderId="0" xfId="0" applyNumberFormat="1" applyFont="1" applyFill="1" applyAlignment="1">
      <alignment vertical="center"/>
    </xf>
    <xf numFmtId="0" fontId="34" fillId="11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34" fillId="4" borderId="0" xfId="0" applyNumberFormat="1" applyFont="1" applyFill="1" applyAlignment="1">
      <alignment vertical="center"/>
    </xf>
    <xf numFmtId="0" fontId="34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166" fontId="36" fillId="0" borderId="0" xfId="0" applyNumberFormat="1" applyFont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6" fontId="16" fillId="4" borderId="0" xfId="0" applyNumberFormat="1" applyFont="1" applyFill="1" applyAlignment="1">
      <alignment horizontal="center"/>
    </xf>
    <xf numFmtId="14" fontId="16" fillId="3" borderId="0" xfId="0" applyNumberFormat="1" applyFont="1" applyFill="1" applyAlignment="1">
      <alignment horizontal="center"/>
    </xf>
    <xf numFmtId="49" fontId="0" fillId="12" borderId="0" xfId="0" applyNumberFormat="1" applyFill="1" applyAlignment="1">
      <alignment horizontal="center"/>
    </xf>
    <xf numFmtId="49" fontId="0" fillId="1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34" fillId="0" borderId="0" xfId="0" applyNumberFormat="1" applyFont="1" applyAlignment="1">
      <alignment vertical="center"/>
    </xf>
    <xf numFmtId="0" fontId="34" fillId="0" borderId="0" xfId="0" applyNumberFormat="1" applyFont="1" applyFill="1" applyAlignment="1">
      <alignment vertical="center"/>
    </xf>
    <xf numFmtId="0" fontId="34" fillId="4" borderId="0" xfId="0" applyNumberFormat="1" applyFont="1" applyFill="1" applyAlignment="1">
      <alignment vertical="center"/>
    </xf>
    <xf numFmtId="0" fontId="34" fillId="11" borderId="0" xfId="0" applyNumberFormat="1" applyFont="1" applyFill="1" applyAlignment="1">
      <alignment vertical="center"/>
    </xf>
    <xf numFmtId="0" fontId="34" fillId="13" borderId="0" xfId="0" applyNumberFormat="1" applyFont="1" applyFill="1" applyAlignment="1">
      <alignment vertical="center"/>
    </xf>
    <xf numFmtId="166" fontId="34" fillId="11" borderId="0" xfId="0" applyNumberFormat="1" applyFont="1" applyFill="1" applyAlignment="1">
      <alignment vertical="center"/>
    </xf>
    <xf numFmtId="166" fontId="34" fillId="0" borderId="0" xfId="0" applyNumberFormat="1" applyFont="1" applyFill="1" applyAlignment="1">
      <alignment vertical="center"/>
    </xf>
    <xf numFmtId="166" fontId="37" fillId="0" borderId="0" xfId="0" applyNumberFormat="1" applyFont="1" applyAlignment="1">
      <alignment vertical="center"/>
    </xf>
    <xf numFmtId="166" fontId="37" fillId="0" borderId="0" xfId="0" applyNumberFormat="1" applyFont="1" applyFill="1" applyAlignment="1">
      <alignment vertical="center"/>
    </xf>
    <xf numFmtId="166" fontId="37" fillId="4" borderId="0" xfId="0" applyNumberFormat="1" applyFont="1" applyFill="1" applyAlignment="1">
      <alignment vertical="center"/>
    </xf>
    <xf numFmtId="166" fontId="37" fillId="11" borderId="0" xfId="0" applyNumberFormat="1" applyFont="1" applyFill="1" applyAlignment="1">
      <alignment vertical="center"/>
    </xf>
    <xf numFmtId="166" fontId="37" fillId="13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16" fontId="27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67" fontId="27" fillId="0" borderId="0" xfId="0" applyNumberFormat="1" applyFont="1" applyAlignment="1">
      <alignment vertical="center"/>
    </xf>
    <xf numFmtId="0" fontId="27" fillId="4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16" fontId="27" fillId="0" borderId="0" xfId="0" applyNumberFormat="1" applyFont="1" applyFill="1" applyAlignment="1">
      <alignment vertical="center"/>
    </xf>
    <xf numFmtId="167" fontId="34" fillId="4" borderId="0" xfId="0" applyNumberFormat="1" applyFont="1" applyFill="1" applyAlignment="1">
      <alignment vertical="center"/>
    </xf>
    <xf numFmtId="166" fontId="34" fillId="4" borderId="0" xfId="0" applyNumberFormat="1" applyFont="1" applyFill="1" applyAlignment="1">
      <alignment vertic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1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/>
        <strike val="0"/>
        <outline val="0"/>
        <shadow val="0"/>
        <u val="none"/>
        <vertAlign val="baseline"/>
        <sz val="15"/>
        <color theme="1"/>
        <name val="Calibri"/>
        <scheme val="minor"/>
      </font>
      <numFmt numFmtId="166" formatCode="#,##0.00_ ;[Red]\-#,##0.00\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numFmt numFmtId="164" formatCode="dd/mm/yy;@"/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4" formatCode="#,##0.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dd/mm/yy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5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z val="15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z val="15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z val="15"/>
      </font>
      <numFmt numFmtId="0" formatCode="General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;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;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.00_ ;[Red]\-#,##0.00\ 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166" formatCode="#,##0.00_ ;[Red]\-#,##0.0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#,##0.00_ ;[Red]\-#,##0.00\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1050;&#1056;&#1040;&#1057;&#1050;&#1040;!A1"/><Relationship Id="rId3" Type="http://schemas.openxmlformats.org/officeDocument/2006/relationships/hyperlink" Target="#&#1058;&#1038;&#1051;&#1054;&#1042;!A1"/><Relationship Id="rId7" Type="http://schemas.openxmlformats.org/officeDocument/2006/relationships/hyperlink" Target="#'&#1041;&#1054;&#1064;&#1051;&#1040;&#1170;&#1048;&#1063; &#1057;&#1040;&#1051;&#1068;&#1044;&#1054;'!A1"/><Relationship Id="rId2" Type="http://schemas.openxmlformats.org/officeDocument/2006/relationships/hyperlink" Target="#'&#1040;&#1050;&#1058; &#1057;&#1042;&#1045;&#1056;&#1050;&#1040;'!A1"/><Relationship Id="rId1" Type="http://schemas.openxmlformats.org/officeDocument/2006/relationships/hyperlink" Target="#&#1057;&#1054;&#1058;&#1059;&#1042;!A1"/><Relationship Id="rId6" Type="http://schemas.openxmlformats.org/officeDocument/2006/relationships/hyperlink" Target="#'&#1054;&#1052;&#1041;&#1054;&#1056; &#1178;&#1054;&#1051;&#1044;&#1048;&#1170;&#1048;'!A1"/><Relationship Id="rId5" Type="http://schemas.openxmlformats.org/officeDocument/2006/relationships/hyperlink" Target="#&#1057;&#1058;&#1040;&#1058;&#1048;&#1057;&#1058;&#1048;&#1050;&#1040;!A1"/><Relationship Id="rId4" Type="http://schemas.openxmlformats.org/officeDocument/2006/relationships/hyperlink" Target="#'&#1050;&#1048;&#1056;&#1048;&#1052; &#1054;&#1052;&#1041;&#1054;&#1056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178253</xdr:colOff>
      <xdr:row>0</xdr:row>
      <xdr:rowOff>92528</xdr:rowOff>
    </xdr:from>
    <xdr:to>
      <xdr:col>10</xdr:col>
      <xdr:colOff>473528</xdr:colOff>
      <xdr:row>7</xdr:row>
      <xdr:rowOff>83003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8253" y="92528"/>
          <a:ext cx="6391275" cy="13239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3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ПРОЕКТ</a:t>
          </a:r>
        </a:p>
        <a:p>
          <a:pPr algn="ctr"/>
          <a:r>
            <a:rPr lang="ru-RU" sz="3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ТОРГОВЛЯ И СКЛАД</a:t>
          </a:r>
        </a:p>
      </xdr:txBody>
    </xdr:sp>
    <xdr:clientData/>
  </xdr:twoCellAnchor>
  <xdr:twoCellAnchor>
    <xdr:from>
      <xdr:col>0</xdr:col>
      <xdr:colOff>183695</xdr:colOff>
      <xdr:row>7</xdr:row>
      <xdr:rowOff>107492</xdr:rowOff>
    </xdr:from>
    <xdr:to>
      <xdr:col>5</xdr:col>
      <xdr:colOff>299356</xdr:colOff>
      <xdr:row>10</xdr:row>
      <xdr:rowOff>81643</xdr:rowOff>
    </xdr:to>
    <xdr:sp macro="" textlink="">
      <xdr:nvSpPr>
        <xdr:cNvPr id="3" name="Скругленный прямоугольни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3695" y="1440992"/>
          <a:ext cx="3163661" cy="54565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5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1.СОТУВ</a:t>
          </a:r>
        </a:p>
      </xdr:txBody>
    </xdr:sp>
    <xdr:clientData/>
  </xdr:twoCellAnchor>
  <xdr:twoCellAnchor>
    <xdr:from>
      <xdr:col>5</xdr:col>
      <xdr:colOff>315924</xdr:colOff>
      <xdr:row>7</xdr:row>
      <xdr:rowOff>102054</xdr:rowOff>
    </xdr:from>
    <xdr:to>
      <xdr:col>10</xdr:col>
      <xdr:colOff>472110</xdr:colOff>
      <xdr:row>10</xdr:row>
      <xdr:rowOff>74544</xdr:rowOff>
    </xdr:to>
    <xdr:sp macro="" textlink="">
      <xdr:nvSpPr>
        <xdr:cNvPr id="4" name="Скругленный прямоугольник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380489" y="1435554"/>
          <a:ext cx="3220751" cy="54399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5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4.АКТ</a:t>
          </a:r>
          <a:r>
            <a:rPr lang="ru-RU" sz="25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СВЕРКА</a:t>
          </a:r>
          <a:endParaRPr lang="ru-RU" sz="25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twoCellAnchor>
  <xdr:twoCellAnchor>
    <xdr:from>
      <xdr:col>0</xdr:col>
      <xdr:colOff>183692</xdr:colOff>
      <xdr:row>10</xdr:row>
      <xdr:rowOff>91165</xdr:rowOff>
    </xdr:from>
    <xdr:to>
      <xdr:col>5</xdr:col>
      <xdr:colOff>299353</xdr:colOff>
      <xdr:row>13</xdr:row>
      <xdr:rowOff>65316</xdr:rowOff>
    </xdr:to>
    <xdr:sp macro="" textlink="">
      <xdr:nvSpPr>
        <xdr:cNvPr id="5" name="Скругленный прямоугольник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3692" y="1996165"/>
          <a:ext cx="3163661" cy="54565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5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2.ТЎЛОВ</a:t>
          </a:r>
        </a:p>
      </xdr:txBody>
    </xdr:sp>
    <xdr:clientData/>
  </xdr:twoCellAnchor>
  <xdr:twoCellAnchor>
    <xdr:from>
      <xdr:col>0</xdr:col>
      <xdr:colOff>183690</xdr:colOff>
      <xdr:row>13</xdr:row>
      <xdr:rowOff>85726</xdr:rowOff>
    </xdr:from>
    <xdr:to>
      <xdr:col>5</xdr:col>
      <xdr:colOff>299351</xdr:colOff>
      <xdr:row>16</xdr:row>
      <xdr:rowOff>59877</xdr:rowOff>
    </xdr:to>
    <xdr:sp macro="" textlink="">
      <xdr:nvSpPr>
        <xdr:cNvPr id="6" name="Скругленный прямоугольник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83690" y="2562226"/>
          <a:ext cx="3163661" cy="54565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5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3.ОМБОРГА</a:t>
          </a:r>
          <a:r>
            <a:rPr lang="ru-RU" sz="25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КИРИМ</a:t>
          </a:r>
          <a:endParaRPr lang="ru-RU" sz="25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twoCellAnchor>
  <xdr:twoCellAnchor>
    <xdr:from>
      <xdr:col>0</xdr:col>
      <xdr:colOff>189130</xdr:colOff>
      <xdr:row>16</xdr:row>
      <xdr:rowOff>85728</xdr:rowOff>
    </xdr:from>
    <xdr:to>
      <xdr:col>5</xdr:col>
      <xdr:colOff>304791</xdr:colOff>
      <xdr:row>19</xdr:row>
      <xdr:rowOff>59879</xdr:rowOff>
    </xdr:to>
    <xdr:sp macro="" textlink="">
      <xdr:nvSpPr>
        <xdr:cNvPr id="7" name="Скругленный прямоугольник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89130" y="3133728"/>
          <a:ext cx="3163661" cy="54565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5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4.СТАТИСТИКА</a:t>
          </a:r>
        </a:p>
      </xdr:txBody>
    </xdr:sp>
    <xdr:clientData/>
  </xdr:twoCellAnchor>
  <xdr:twoCellAnchor>
    <xdr:from>
      <xdr:col>5</xdr:col>
      <xdr:colOff>319232</xdr:colOff>
      <xdr:row>10</xdr:row>
      <xdr:rowOff>88800</xdr:rowOff>
    </xdr:from>
    <xdr:to>
      <xdr:col>10</xdr:col>
      <xdr:colOff>472111</xdr:colOff>
      <xdr:row>13</xdr:row>
      <xdr:rowOff>49695</xdr:rowOff>
    </xdr:to>
    <xdr:sp macro="" textlink="">
      <xdr:nvSpPr>
        <xdr:cNvPr id="8" name="Скругленный прямоугольник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383797" y="1993800"/>
          <a:ext cx="3217444" cy="53239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5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5.ОМБОР ҚОЛДИҒИ</a:t>
          </a:r>
        </a:p>
      </xdr:txBody>
    </xdr:sp>
    <xdr:clientData/>
  </xdr:twoCellAnchor>
  <xdr:twoCellAnchor>
    <xdr:from>
      <xdr:col>5</xdr:col>
      <xdr:colOff>322538</xdr:colOff>
      <xdr:row>13</xdr:row>
      <xdr:rowOff>83833</xdr:rowOff>
    </xdr:from>
    <xdr:to>
      <xdr:col>10</xdr:col>
      <xdr:colOff>475417</xdr:colOff>
      <xdr:row>16</xdr:row>
      <xdr:rowOff>57979</xdr:rowOff>
    </xdr:to>
    <xdr:sp macro="" textlink="">
      <xdr:nvSpPr>
        <xdr:cNvPr id="9" name="Скругленный прямоугольник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387103" y="2560333"/>
          <a:ext cx="3217444" cy="54564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6.</a:t>
          </a:r>
          <a:r>
            <a:rPr lang="uz-Cyrl-UZ" sz="2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БОШЛАНҒИЧ</a:t>
          </a:r>
          <a:r>
            <a:rPr lang="uz-Cyrl-UZ" sz="2200" b="1" cap="none" spc="0" baseline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 САЛЬДО</a:t>
          </a:r>
          <a:endParaRPr lang="ru-RU" sz="22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twoCellAnchor>
  <xdr:twoCellAnchor>
    <xdr:from>
      <xdr:col>5</xdr:col>
      <xdr:colOff>322538</xdr:colOff>
      <xdr:row>16</xdr:row>
      <xdr:rowOff>83833</xdr:rowOff>
    </xdr:from>
    <xdr:to>
      <xdr:col>10</xdr:col>
      <xdr:colOff>475417</xdr:colOff>
      <xdr:row>19</xdr:row>
      <xdr:rowOff>57979</xdr:rowOff>
    </xdr:to>
    <xdr:sp macro="" textlink="">
      <xdr:nvSpPr>
        <xdr:cNvPr id="10" name="Скругленный прямоугольник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387103" y="3131833"/>
          <a:ext cx="3217444" cy="545646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2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7</a:t>
          </a:r>
          <a:r>
            <a:rPr lang="en-US" sz="2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.</a:t>
          </a:r>
          <a:r>
            <a:rPr lang="uz-Cyrl-UZ" sz="22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КРАСКА</a:t>
          </a:r>
          <a:endParaRPr lang="ru-RU" sz="2200" b="1" cap="none" spc="0">
            <a:ln w="12700">
              <a:solidFill>
                <a:schemeClr val="accent1"/>
              </a:solidFill>
              <a:prstDash val="solid"/>
            </a:ln>
            <a:pattFill prst="pct50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61;&#1054;&#1047;&#1052;&#1040;&#1043;&#1051;&#1040;&#1056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61;&#1054;&#1047;&#1052;&#1040;&#1043;&#1051;&#1040;&#1056;%202024%20(2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РАГЕНТ"/>
      <sheetName val="МАЪЛУМОТЛАР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СОСИЙ"/>
      <sheetName val="СОТУВ"/>
      <sheetName val="ТЎЛОВ"/>
      <sheetName val="АКТ СВЕРКА"/>
      <sheetName val="МАЪЛУМОТЛАР"/>
      <sheetName val="ОМБОР ҚОЛДИҒИ"/>
      <sheetName val="КИРИМ ОМБОР"/>
      <sheetName val="БОШЛАҒИЧ САЛЬДО"/>
      <sheetName val="СТАТИСТИКА"/>
      <sheetName val="КОНТРАГЕН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dulaziz" refreshedDate="44982.608687499996" createdVersion="6" refreshedVersion="6" minRefreshableVersion="3" recordCount="187">
  <cacheSource type="worksheet">
    <worksheetSource name="ПЛАТЕЖИ"/>
  </cacheSource>
  <cacheFields count="8">
    <cacheField name="САНА" numFmtId="14">
      <sharedItems containsNonDate="0" containsDate="1" containsString="0" containsBlank="1" minDate="2020-06-14T00:00:00" maxDate="2023-02-25T00:00:00" count="71">
        <d v="2023-02-13T00:00:00"/>
        <d v="2023-02-14T00:00:00"/>
        <d v="2023-02-10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m/>
        <d v="2020-10-28T00:00:00" u="1"/>
        <d v="2020-11-09T00:00:00" u="1"/>
        <d v="2020-10-24T00:00:00" u="1"/>
        <d v="2020-11-05T00:00:00" u="1"/>
        <d v="2020-10-20T00:00:00" u="1"/>
        <d v="2020-11-01T00:00:00" u="1"/>
        <d v="2020-10-16T00:00:00" u="1"/>
        <d v="2020-10-12T00:00:00" u="1"/>
        <d v="2020-10-08T00:00:00" u="1"/>
        <d v="2020-10-04T00:00:00" u="1"/>
        <d v="2020-11-20T00:00:00" u="1"/>
        <d v="2020-11-16T00:00:00" u="1"/>
        <d v="2020-11-12T00:00:00" u="1"/>
        <d v="2020-10-27T00:00:00" u="1"/>
        <d v="2020-11-08T00:00:00" u="1"/>
        <d v="2020-10-23T00:00:00" u="1"/>
        <d v="2020-11-04T00:00:00" u="1"/>
        <d v="2020-10-19T00:00:00" u="1"/>
        <d v="2020-10-15T00:00:00" u="1"/>
        <d v="2020-06-28T00:00:00" u="1"/>
        <d v="2020-09-30T00:00:00" u="1"/>
        <d v="2020-07-09T00:00:00" u="1"/>
        <d v="2020-10-11T00:00:00" u="1"/>
        <d v="2020-10-07T00:00:00" u="1"/>
        <d v="2020-10-03T00:00:00" u="1"/>
        <d v="2020-11-19T00:00:00" u="1"/>
        <d v="2020-11-15T00:00:00" u="1"/>
        <d v="2020-11-11T00:00:00" u="1"/>
        <d v="2020-10-26T00:00:00" u="1"/>
        <d v="2020-11-07T00:00:00" u="1"/>
        <d v="2020-10-22T00:00:00" u="1"/>
        <d v="2020-11-03T00:00:00" u="1"/>
        <d v="2020-10-18T00:00:00" u="1"/>
        <d v="2020-10-14T00:00:00" u="1"/>
        <d v="2021-01-04T00:00:00" u="1"/>
        <d v="2020-09-29T00:00:00" u="1"/>
        <d v="2020-10-10T00:00:00" u="1"/>
        <d v="2020-10-06T00:00:00" u="1"/>
        <d v="2020-10-02T00:00:00" u="1"/>
        <d v="2020-11-18T00:00:00" u="1"/>
        <d v="2020-11-14T00:00:00" u="1"/>
        <d v="2020-10-29T00:00:00" u="1"/>
        <d v="2020-11-10T00:00:00" u="1"/>
        <d v="2020-10-25T00:00:00" u="1"/>
        <d v="2020-11-06T00:00:00" u="1"/>
        <d v="2020-10-21T00:00:00" u="1"/>
        <d v="2020-11-02T00:00:00" u="1"/>
        <d v="2020-10-17T00:00:00" u="1"/>
        <d v="2020-10-13T00:00:00" u="1"/>
        <d v="2020-10-09T00:00:00" u="1"/>
        <d v="2020-10-05T00:00:00" u="1"/>
        <d v="2020-06-18T00:00:00" u="1"/>
        <d v="2020-10-01T00:00:00" u="1"/>
        <d v="2020-06-14T00:00:00" u="1"/>
        <d v="2020-11-21T00:00:00" u="1"/>
        <d v="2020-11-17T00:00:00" u="1"/>
        <d v="2020-11-13T00:00:00" u="1"/>
      </sharedItems>
    </cacheField>
    <cacheField name="МИЖОЗ" numFmtId="0">
      <sharedItems containsBlank="1"/>
    </cacheField>
    <cacheField name="СЎМ" numFmtId="166">
      <sharedItems containsString="0" containsBlank="1" containsNumber="1" containsInteger="1" minValue="-690000" maxValue="25438000"/>
    </cacheField>
    <cacheField name="ВАЛЮТА" numFmtId="166">
      <sharedItems containsString="0" containsBlank="1" containsNumber="1" containsInteger="1" minValue="100" maxValue="600"/>
    </cacheField>
    <cacheField name="КУРС" numFmtId="166">
      <sharedItems containsString="0" containsBlank="1" containsNumber="1" containsInteger="1" minValue="11350" maxValue="11400"/>
    </cacheField>
    <cacheField name="ЖАМИ" numFmtId="166">
      <sharedItems containsSemiMixedTypes="0" containsString="0" containsNumber="1" containsInteger="1" minValue="0" maxValue="27310000"/>
    </cacheField>
    <cacheField name="ТЎЛОВ ТУРИ" numFmtId="0">
      <sharedItems containsBlank="1" count="3">
        <s v="НАЛИЧНЫЙ"/>
        <s v="ПЕРЕЧИСЛЕНИЯ"/>
        <m/>
      </sharedItems>
    </cacheField>
    <cacheField name="ИЗОХ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dulaziz" refreshedDate="44982.614257060188" createdVersion="6" refreshedVersion="6" minRefreshableVersion="3" recordCount="57">
  <cacheSource type="worksheet">
    <worksheetSource name="РЕАЛИЗАЦИЯ"/>
  </cacheSource>
  <cacheFields count="10">
    <cacheField name="САНА" numFmtId="164">
      <sharedItems containsNonDate="0" containsDate="1" containsString="0" containsBlank="1" minDate="2020-11-01T00:00:00" maxDate="2023-02-25T00:00:00" count="41">
        <d v="2023-02-12T00:00:00"/>
        <d v="2023-02-13T00:00:00"/>
        <d v="2023-02-15T00:00:00"/>
        <d v="2023-02-17T00:00:00"/>
        <d v="2023-02-18T00:00:00"/>
        <d v="2023-02-19T00:00:00"/>
        <d v="2023-02-21T00:00:00"/>
        <d v="2023-02-23T00:00:00"/>
        <d v="2023-02-24T00:00:00"/>
        <m/>
        <d v="2020-11-11T00:00:00" u="1"/>
        <d v="2020-11-30T00:00:00" u="1"/>
        <d v="2020-11-04T00:00:00" u="1"/>
        <d v="2021-01-04T00:00:00" u="1"/>
        <d v="2020-11-23T00:00:00" u="1"/>
        <d v="2020-11-16T00:00:00" u="1"/>
        <d v="2020-11-09T00:00:00" u="1"/>
        <d v="2020-11-28T00:00:00" u="1"/>
        <d v="2020-11-02T00:00:00" u="1"/>
        <d v="2020-11-21T00:00:00" u="1"/>
        <d v="2020-11-14T00:00:00" u="1"/>
        <d v="2020-11-07T00:00:00" u="1"/>
        <d v="2020-11-26T00:00:00" u="1"/>
        <d v="2020-11-19T00:00:00" u="1"/>
        <d v="2020-11-12T00:00:00" u="1"/>
        <d v="2020-11-05T00:00:00" u="1"/>
        <d v="2020-11-24T00:00:00" u="1"/>
        <d v="2020-11-17T00:00:00" u="1"/>
        <d v="2020-11-10T00:00:00" u="1"/>
        <d v="2020-11-29T00:00:00" u="1"/>
        <d v="2020-11-03T00:00:00" u="1"/>
        <d v="2020-11-22T00:00:00" u="1"/>
        <d v="2020-11-15T00:00:00" u="1"/>
        <d v="2020-11-08T00:00:00" u="1"/>
        <d v="2020-11-27T00:00:00" u="1"/>
        <d v="2020-11-01T00:00:00" u="1"/>
        <d v="2020-11-20T00:00:00" u="1"/>
        <d v="2020-11-13T00:00:00" u="1"/>
        <d v="2020-11-06T00:00:00" u="1"/>
        <d v="2020-11-25T00:00:00" u="1"/>
        <d v="2020-11-18T00:00:00" u="1"/>
      </sharedItems>
    </cacheField>
    <cacheField name="МИЖОЗ" numFmtId="49">
      <sharedItems containsBlank="1" count="121">
        <s v="ИСМОИЛ ОҚҚЎРҒОН 90 331 66 00"/>
        <s v="МУРОД ГВАРДЕЙСКИЙ 90 961 38 98"/>
        <s v="АБДУРАУФ ОЛМАЛИҚ 93 040 77 15"/>
        <s v="ШУХРАТ ТЎЙ ТЕПА 93 557 30 31"/>
        <s v="ОТАБЕК ГВАРДЕЙСКИЙ 90 970 54 34"/>
        <s v="МУЗАФФАР УНИВЕРСАМ 94 659 07 78"/>
        <s v="ХАМИДУЛЛА ЧОРСУ 90 319 07 25"/>
        <s v="САРДОР ЧОРСУ 99 132 99 99"/>
        <s v="ҒАЙБУЛЛА ЧИННИ БОЗОР 90 916 66 38"/>
        <s v="АСИЛБЕК СЕРГЕЛИ 90 627 92 22"/>
        <s v="НУРИДДИН БЕКОБОД"/>
        <s v="МАНСУР ЧИННИ БОЗОР 93 575 06 00"/>
        <s v="ХУРМАТИЛЛА ЧИНОЗ 97 112 00 72"/>
        <s v="АХМАДАЛИ ЯЛЛАМА 97 773 73 07"/>
        <s v="ФУРҚАТ ЧИНОЗ 97 737 65 77"/>
        <s v="ЖАХОНГИР ОҚТЕПА 88 177 65 65"/>
        <s v="АКМАЛ СОРТЕПА 97 739 23 35"/>
        <s v="ГУЛЯ ТТЗ 99 720 24 34"/>
        <s v="АСЛИДДИН ТТЗ 90 371 33 09"/>
        <s v="АБДУЛАТИФ ВОДНИК 99 800 00 98"/>
        <s v="МАХМУД ТЎЙ ТЕПА 88 875 60 00"/>
        <s v="НИЗОМИДДИН ЧИРЧИҚ 90 111 27 67"/>
        <s v="ЖОНИБЕК ЮНУСОБОД 90 914 09 14"/>
        <s v="АБДУҚАЮМ ДАЛИГУЗАР 99 851 16 13"/>
        <s v="БАХРОМ ОЛМАЛИҚ 97 741 01 31"/>
        <s v="РУСТАМ ҚЎЙЛИҚ 90 317 48 05"/>
        <s v="ШОКИР СЕРГЕЛИ 97 414 44 05"/>
        <s v="АБДУЖАЛИЛ БЕКТЕМИР 90 909 64 74"/>
        <s v="ШУХРАТ ЮНУСОБОД 97 773 34 44"/>
        <s v="ДИЛШОД БЕКОБОД 93 060 47 49"/>
        <m/>
        <s v="АФЗАЛ ПАКЕТ" u="1"/>
        <s v="КАМОЛА ИШЧИ" u="1"/>
        <s v="НОДИР ХАВАС" u="1"/>
        <s v="ФАЙЗУЛЛО" u="1"/>
        <s v="ОЛИМ АКА" u="1"/>
        <s v="ШУХРАТ АНДИЖОН" u="1"/>
        <s v="РАШИД БУХОРО" u="1"/>
        <s v="БОБУР КУЙЛИК" u="1"/>
        <s v="АБДУЛАЗИЗ" u="1"/>
        <s v="МАНСУР СУРХОНДАРЁ" u="1"/>
        <s v="ЭШОН" u="1"/>
        <s v="КОЛОР МИКС" u="1"/>
        <s v="АКРОМ АКА ЛЕГО" u="1"/>
        <s v="УТКИР ТЕКСТИЛ" u="1"/>
        <s v="ХАЙРУЛЛО ХОЗМАГ" u="1"/>
        <s v="БЕКЗОД ИШЧИ" u="1"/>
        <s v="ШАМСИДДИН ЖИЗЗАХ" u="1"/>
        <s v="ДИЛДОРА ВОДИЙ" u="1"/>
        <s v="АКБАРАЛИ АНДИЖОН" u="1"/>
        <s v="ЭЛЁР ИШЧИ" u="1"/>
        <s v="САЙЛИ" u="1"/>
        <s v="СТЕЛЛА МОДА" u="1"/>
        <s v="БАХТИЁР ПАКЕТ" u="1"/>
        <s v="ХУМОЮДДИН" u="1"/>
        <s v="АКБАР УРГУТ" u="1"/>
        <s v="БАХТИЁР БУХОРО" u="1"/>
        <s v="АНВАР ИШЧИ" u="1"/>
        <s v="ДОНИЁР КЛЕЙ" u="1"/>
        <s v="НУРИДДИН АКА" u="1"/>
        <s v="НУРУЛЛОХ ОПП $" u="1"/>
        <s v="МАК ПЛАСТ" u="1"/>
        <s v="БАХОДИР АКА" u="1"/>
        <s v="ШИША ГЛАСС" u="1"/>
        <s v="ТУЙЧИ" u="1"/>
        <s v="ОТАБЕК ИШЧИ" u="1"/>
        <s v="НОЗИМ БУХОРО" u="1"/>
        <s v="МОЙЧИ КУШНИ" u="1"/>
        <s v="ХАВАС" u="1"/>
        <s v="РАХМАТ ИШЧИ" u="1"/>
        <s v="ЖЕНИС КОРАКАЛПОК" u="1"/>
        <s v="КОМИЛ" u="1"/>
        <s v="ХУСАЙН" u="1"/>
        <s v="САТТОР" u="1"/>
        <s v="ФАЗЛИДДИН" u="1"/>
        <s v="ХАЛИМ ИШЧИ" u="1"/>
        <s v="КЛИЕНТ" u="1"/>
        <s v="ЯХЁ ВОДИЙ" u="1"/>
        <s v="АБДУВАХХОБ" u="1"/>
        <s v="ШИША УНИВЕРСАЛ" u="1"/>
        <s v="ХОЗМАГ ХАЙРУЛЛА" u="1"/>
        <s v="ГИЁС ИШЧИ" u="1"/>
        <s v="САИДЭХСОН ИШЧИ" u="1"/>
        <s v="ХУСНИДДИН ДЕНОВ" u="1"/>
        <s v="ДАВРОН" u="1"/>
        <s v="МОХИР ЖИЯН" u="1"/>
        <s v="АХРОР" u="1"/>
        <s v="САФИЙ" u="1"/>
        <s v="ПАНЖИ АКА" u="1"/>
        <s v="АКМАЛ ТОКАР" u="1"/>
        <s v="ЖАСУР БУХОРО" u="1"/>
        <s v="ЖОНИБЕК" u="1"/>
        <s v="МАКРО" u="1"/>
        <s v="ИКБОЛЖОН ВОДИЙ" u="1"/>
        <s v="ШОХРУХ САМАРКАНД" u="1"/>
        <s v="ИБРОХИМАКА ПЕРЕРАБОТКА" u="1"/>
        <s v="ФАРРУХ КАРШИ" u="1"/>
        <s v="ХАБИБУЛЛОХ ИШЧИ" u="1"/>
        <s v="МАРХАБО МАРКЕТ" u="1"/>
        <s v="АЛИХОН ИШЧИ" u="1"/>
        <s v="ЖАМШИД САМАРКАНД" u="1"/>
        <s v="НИЗОМАКА" u="1"/>
        <s v="ЗУХРИДДИН" u="1"/>
        <s v="КУШНИ УН" u="1"/>
        <s v="АБДУЛЛА ЖИЯН" u="1"/>
        <s v="ИСМАТ БУХОРО" u="1"/>
        <s v="ХОЗМАГ ЗАНГИОТА" u="1"/>
        <s v="ОСИЁ МАРКЕТ" u="1"/>
        <s v="ТРУБА КЛИЕНТ" u="1"/>
        <s v="АБДУЛБОСИТ" u="1"/>
        <s v="УРИКЗОР БОЗОР" u="1"/>
        <s v="ИНТИЗОР ХОРАЗМ" u="1"/>
        <s v="ЖАМОЛ" u="1"/>
        <s v="ХУСНИДДИН" u="1"/>
        <s v="БЕКЗОД САМАРКАНД" u="1"/>
        <s v="РУСТАМ" u="1"/>
        <s v="ЖАСУР ХОРАЗМ" u="1"/>
        <s v="КЛИЕНТ ИШЧИ" u="1"/>
        <s v="АЛИШЕР ЧИНОЗ" u="1"/>
        <s v="РАВШАН БЕКЗОД" u="1"/>
        <s v="НУРУЛЛОХ КАЙНИ" u="1"/>
      </sharedItems>
    </cacheField>
    <cacheField name="ТОВАР" numFmtId="0">
      <sharedItems containsBlank="1" count="64">
        <s v="ОҚ"/>
        <s v="КЎК"/>
        <s v="ҚОРА"/>
        <m/>
        <s v="ПАКЕТ 30*30" u="1"/>
        <s v="ПАКЕТ &quot;АССОРТИ&quot;" u="1"/>
        <s v="ПАКЕТ &quot;АДИДАС&quot;" u="1"/>
        <s v="ПАКЕТ &quot;АТИР&quot;" u="1"/>
        <s v="ҚОП ЗАКАЗ" u="1"/>
        <s v="ПАКЕТ &quot;КОФЕ&quot;" u="1"/>
        <s v="ПАКЕТ &quot;ЗАРА&quot;" u="1"/>
        <s v="ПАКЕТ &quot;ЛУИС ВИТТОН&quot;" u="1"/>
        <s v="ПАКЕТ &quot;РАЙС&quot; АРЗОНИ" u="1"/>
        <s v="ОПП 30*40" u="1"/>
        <s v="ПАКЕТ &quot;АТИРГУЛ&quot;" u="1"/>
        <s v="ОПП ЗАКАЗ" u="1"/>
        <s v="ПАКЕТ &quot;ЛАКШЕРИ&quot;" u="1"/>
        <s v="ПАКЕТ &quot;АДИДАС&quot; АРЗОНИ" u="1"/>
        <s v="ПЛЕНКА РУЛОН ОК" u="1"/>
        <s v="ПАКЕТ &quot;МАЙКА&quot; 5 КГ ҚОРА" u="1"/>
        <s v="СТОП РУЛОН" u="1"/>
        <s v="ПАКЕТ &quot;ГУЧЧИ&quot;" u="1"/>
        <s v="ТЕРМОУСАДКА ЗАКАЗ" u="1"/>
        <s v="ПАКЕТ &quot;ПАРИЖ&quot;" u="1"/>
        <s v="ПАКЕТ &quot;ХАРИД У-Н РАХМАТ&quot;" u="1"/>
        <s v="ОПП 6*11" u="1"/>
        <s v="ОПП 5,9*11" u="1"/>
        <s v="ПЛЕНКА РУЛОН КУК" u="1"/>
        <s v="ПАКЕТ ЗАКАЗ ЛОГОТИП" u="1"/>
        <s v="ПАКЕТ &quot;МАЙКА&quot; 10 КГ ОҚ" u="1"/>
        <s v="ПАКЕТ &quot;МАЙДА ГУЛ&quot;" u="1"/>
        <s v="ОПП 5*7" u="1"/>
        <s v="ПАКЕТ &quot;555&quot; АРЗОНИ" u="1"/>
        <s v="ОПП 10*15" u="1"/>
        <s v="ПАКЕТ &quot;ЛАНКОМ ПАРИЖ&quot;" u="1"/>
        <s v="ПАКЕТ &quot;ЛОЛА&quot;" u="1"/>
        <s v="ПАКЕТ &quot;МАЙКА&quot; 5 КГ ОҚ" u="1"/>
        <s v="ПАКЕТ &quot;ИСТАМБУЛ&quot; АРЗОНИ" u="1"/>
        <s v="ПАКЕТ &quot;БУКЕТ&quot;" u="1"/>
        <s v="ПЛЕНКА РУЛОН КЛЕЙ" u="1"/>
        <s v="ПАКЕТ &quot;МАЙКА&quot; 5 КГ КЎК" u="1"/>
        <s v="ОПП 4,5*6" u="1"/>
        <s v="ҚОП &quot;БОДРИНГ&quot;" u="1"/>
        <s v="ОПП 5*10" u="1"/>
        <s v="ПАКЕТ &quot;РАЙС&quot;" u="1"/>
        <s v="МАЙКА &quot;ХАВАС&quot;" u="1"/>
        <s v="ПАКЕТ &quot;МАЙКА&quot; 5 КГ" u="1"/>
        <s v="ШПУЛЯ" u="1"/>
        <s v="ПЛЕНКА РУЛОН КОРА" u="1"/>
        <s v="ПАКЕТ &quot;МАЙКА&quot; АРЗОНИ" u="1"/>
        <s v="ПАКЕТ &quot;МАЙКА&quot; 3 КГ ҚОРА" u="1"/>
        <s v="ПАКЕТ ПУЛ" u="1"/>
        <s v="ПАКЕТ &quot;ВЕРСАЧИ&quot;" u="1"/>
        <s v="ПАКЕТ ЗАКАЗ БЕЗ ЛОГОТИП" u="1"/>
        <s v="ПАКЕТ &quot;МАЙКА&quot; 10 КГ ҚОРА" u="1"/>
        <s v="ФАСОВОЧНЫЙ ПАКЕТ" u="1"/>
        <s v="ПЛЕНКА РУЛОН НОВВОТ" u="1"/>
        <s v="ПАКЕТ 25*20" u="1"/>
        <s v="ОПП 50*59" u="1"/>
        <s v="ПАКЕТ ОТРЫВНОЙ" u="1"/>
        <s v="СЕРЬЁ" u="1"/>
        <s v="УСЛУГА" u="1"/>
        <s v="ПАКЕТ &quot;ИСТАМБУЛ&quot;" u="1"/>
        <s v="ОПП 22*26" u="1"/>
      </sharedItems>
    </cacheField>
    <cacheField name="ЎЛ.БИР" numFmtId="0">
      <sharedItems containsBlank="1"/>
    </cacheField>
    <cacheField name="СОНИ" numFmtId="166">
      <sharedItems containsString="0" containsBlank="1" containsNumber="1" minValue="38.9" maxValue="2842"/>
    </cacheField>
    <cacheField name="НАРХИ" numFmtId="166">
      <sharedItems containsString="0" containsBlank="1" containsNumber="1" containsInteger="1" minValue="17000" maxValue="23000"/>
    </cacheField>
    <cacheField name="ЖАМИ" numFmtId="166">
      <sharedItems containsSemiMixedTypes="0" containsString="0" containsNumber="1" minValue="0" maxValue="56840000"/>
    </cacheField>
    <cacheField name="ОҒИРЛИГИ" numFmtId="166">
      <sharedItems containsSemiMixedTypes="0" containsString="0" containsNumber="1" minValue="0" maxValue="2842"/>
    </cacheField>
    <cacheField name="ИЗОХ" numFmtId="166">
      <sharedItems containsNonDate="0" containsString="0" containsBlank="1"/>
    </cacheField>
    <cacheField name="Поле1" numFmtId="0" formula="ЖАМИ/СОНИ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x v="0"/>
    <s v="АЗИЗ ИЗЗА 90 944 42 40"/>
    <n v="535800"/>
    <n v="100"/>
    <n v="11370"/>
    <n v="1672800"/>
    <x v="0"/>
    <m/>
  </r>
  <r>
    <x v="0"/>
    <s v="БОТИР КЕЛЕС 99 843 11 01"/>
    <n v="500000"/>
    <m/>
    <m/>
    <n v="500000"/>
    <x v="0"/>
    <m/>
  </r>
  <r>
    <x v="0"/>
    <s v="ЗОХИД ТЕМИРЙЎЛ ИНСТУТ 99 844 60 47"/>
    <n v="1109400"/>
    <m/>
    <m/>
    <n v="1109400"/>
    <x v="0"/>
    <m/>
  </r>
  <r>
    <x v="0"/>
    <s v="РУСТАМ ҚЎЙЛИҚ 90 317 48 05"/>
    <n v="500000"/>
    <m/>
    <m/>
    <n v="500000"/>
    <x v="0"/>
    <m/>
  </r>
  <r>
    <x v="0"/>
    <s v="АСАД ХОНОБОД 97 034 38 58"/>
    <n v="800000"/>
    <m/>
    <m/>
    <n v="800000"/>
    <x v="0"/>
    <m/>
  </r>
  <r>
    <x v="0"/>
    <s v="МУРОД ГВАРДЕЙСКИЙ 90 961 38 98"/>
    <n v="3313000"/>
    <m/>
    <m/>
    <n v="3313000"/>
    <x v="0"/>
    <m/>
  </r>
  <r>
    <x v="0"/>
    <s v="ТЕМУР ЧИРЧИҚ 99 894 14 42"/>
    <n v="300000"/>
    <m/>
    <m/>
    <n v="300000"/>
    <x v="0"/>
    <m/>
  </r>
  <r>
    <x v="1"/>
    <s v="ДИЛШОД БЕК ТЎПИ 99 929 22 29"/>
    <n v="2360000"/>
    <n v="100"/>
    <n v="11400"/>
    <n v="3500000"/>
    <x v="0"/>
    <m/>
  </r>
  <r>
    <x v="1"/>
    <s v="ХАБИБУЛЛО БЕК ТЎПИ 93 537 00 08"/>
    <n v="-44000"/>
    <n v="200"/>
    <n v="11400"/>
    <n v="2236000"/>
    <x v="0"/>
    <m/>
  </r>
  <r>
    <x v="1"/>
    <s v="УЛУҒБЕК ЧИЛОНЗОР 90 373 83 07"/>
    <n v="1000000"/>
    <m/>
    <m/>
    <n v="1000000"/>
    <x v="0"/>
    <m/>
  </r>
  <r>
    <x v="1"/>
    <s v="РУСТАМ ЖОМЕ"/>
    <n v="-690000"/>
    <n v="400"/>
    <n v="11350"/>
    <n v="3850000"/>
    <x v="0"/>
    <m/>
  </r>
  <r>
    <x v="1"/>
    <s v="АСЛИДДИН ЧИННИ БОЗОР 90 717 58 08"/>
    <n v="2200000"/>
    <m/>
    <m/>
    <n v="2200000"/>
    <x v="0"/>
    <m/>
  </r>
  <r>
    <x v="2"/>
    <s v="ҒАЙБУЛЛА ЧИННИ БОЗОР 90 916 66 38"/>
    <n v="1236250"/>
    <m/>
    <m/>
    <n v="1236250"/>
    <x v="1"/>
    <m/>
  </r>
  <r>
    <x v="3"/>
    <s v="МУРОД ГВАРДЕЙСКИЙ 90 961 38 98"/>
    <n v="950000"/>
    <m/>
    <m/>
    <n v="950000"/>
    <x v="0"/>
    <m/>
  </r>
  <r>
    <x v="3"/>
    <s v="ҒАНИШЕР ЦАЛКОВСКИЙ 93 721 29 80"/>
    <n v="967000"/>
    <m/>
    <m/>
    <n v="967000"/>
    <x v="0"/>
    <m/>
  </r>
  <r>
    <x v="3"/>
    <s v="ИЛХОМ БАРДАНКЎЛ 97 460 90 95"/>
    <n v="2070000"/>
    <m/>
    <m/>
    <n v="2070000"/>
    <x v="0"/>
    <m/>
  </r>
  <r>
    <x v="3"/>
    <s v="ЖАВОХИР ДЎМБИРОБОД 98 880 01 06"/>
    <n v="1000000"/>
    <m/>
    <m/>
    <n v="1000000"/>
    <x v="0"/>
    <m/>
  </r>
  <r>
    <x v="3"/>
    <s v="НУРИДДИН БЕКОБОД"/>
    <n v="25438000"/>
    <m/>
    <m/>
    <n v="25438000"/>
    <x v="0"/>
    <m/>
  </r>
  <r>
    <x v="4"/>
    <s v="ДИЛШОД БЕКОБОД 93 060 47 49"/>
    <n v="25000000"/>
    <m/>
    <m/>
    <n v="25000000"/>
    <x v="0"/>
    <m/>
  </r>
  <r>
    <x v="4"/>
    <s v="ФАРРУХ ГВАРДЕЙСКИЙ 90 004 46 46"/>
    <n v="2500000"/>
    <m/>
    <m/>
    <n v="2500000"/>
    <x v="0"/>
    <m/>
  </r>
  <r>
    <x v="4"/>
    <s v="САМАНДАР ДЎМБИРОБОД 95 015 30 03"/>
    <n v="389000"/>
    <n v="300"/>
    <n v="11400"/>
    <n v="3809000"/>
    <x v="0"/>
    <m/>
  </r>
  <r>
    <x v="4"/>
    <s v="САМАНДАР ДЎМБИРОБОД 95 015 30 03"/>
    <n v="1000000"/>
    <m/>
    <m/>
    <n v="1000000"/>
    <x v="2"/>
    <s v="СЛИСК"/>
  </r>
  <r>
    <x v="4"/>
    <s v="САРВАР РИСОВИЙ 93 577 88 82"/>
    <n v="1500000"/>
    <m/>
    <m/>
    <n v="1500000"/>
    <x v="2"/>
    <s v="СЛИСК"/>
  </r>
  <r>
    <x v="4"/>
    <s v="ОДИЛ ЧИРЧИҚ 99 845 80 67"/>
    <n v="782000"/>
    <m/>
    <m/>
    <n v="782000"/>
    <x v="2"/>
    <s v="СЛИСК"/>
  </r>
  <r>
    <x v="4"/>
    <s v="ҒАЙБУЛЛА ЧИННИ БОЗОР 90 916 66 38"/>
    <n v="1893150"/>
    <m/>
    <m/>
    <n v="1893150"/>
    <x v="1"/>
    <m/>
  </r>
  <r>
    <x v="4"/>
    <s v="ТЕМУР ЧИРЧИҚ 99 894 14 42"/>
    <n v="1000000"/>
    <m/>
    <m/>
    <n v="1000000"/>
    <x v="2"/>
    <s v="СЛИСК"/>
  </r>
  <r>
    <x v="5"/>
    <s v="МАНСУР РАМАДАН 50 ЙИЛ 90 391 00 05"/>
    <n v="1077000"/>
    <m/>
    <m/>
    <n v="1077000"/>
    <x v="2"/>
    <s v="СЛИСК"/>
  </r>
  <r>
    <x v="6"/>
    <s v="ИКРОМ КЕЛЕС 98 305 66 63"/>
    <n v="4052000"/>
    <m/>
    <m/>
    <n v="4052000"/>
    <x v="0"/>
    <m/>
  </r>
  <r>
    <x v="6"/>
    <s v="АКБАР БЕК ТЎПИ 97 727 80 10"/>
    <n v="500000"/>
    <m/>
    <m/>
    <n v="500000"/>
    <x v="0"/>
    <m/>
  </r>
  <r>
    <x v="6"/>
    <s v="ХУСАН ЧИНОЗ 97 537 21 21"/>
    <n v="530000"/>
    <m/>
    <m/>
    <n v="530000"/>
    <x v="0"/>
    <m/>
  </r>
  <r>
    <x v="6"/>
    <s v="АХМАДАЛИ ЯЛЛАМА 97 773 73 07"/>
    <n v="1025000"/>
    <m/>
    <m/>
    <n v="1025000"/>
    <x v="0"/>
    <m/>
  </r>
  <r>
    <x v="6"/>
    <s v="ФУРҚАТ ЧИНОЗ 97 737 65 77"/>
    <n v="1805000"/>
    <m/>
    <m/>
    <n v="1805000"/>
    <x v="0"/>
    <m/>
  </r>
  <r>
    <x v="6"/>
    <s v="ФУРҚАТ ЧИНОЗ 97 737 65 77"/>
    <n v="500000"/>
    <m/>
    <m/>
    <n v="500000"/>
    <x v="0"/>
    <m/>
  </r>
  <r>
    <x v="6"/>
    <s v="МАХМУД ТЎЙ ТЕПА 88 875 60 00"/>
    <n v="1000000"/>
    <m/>
    <m/>
    <n v="1000000"/>
    <x v="0"/>
    <m/>
  </r>
  <r>
    <x v="6"/>
    <s v="ХАСАН ЖУРЖОНИЙ 88 170 51 02"/>
    <n v="500000"/>
    <m/>
    <m/>
    <n v="500000"/>
    <x v="0"/>
    <m/>
  </r>
  <r>
    <x v="6"/>
    <s v="МАХКАМ ҚОРАСУВ 97 140 32 32"/>
    <n v="957000"/>
    <m/>
    <m/>
    <n v="957000"/>
    <x v="0"/>
    <m/>
  </r>
  <r>
    <x v="6"/>
    <s v="ШУХРАТ ТЎЙ ТЕПА 93 557 30 31"/>
    <n v="1984000"/>
    <m/>
    <m/>
    <n v="1984000"/>
    <x v="0"/>
    <m/>
  </r>
  <r>
    <x v="6"/>
    <s v="ХУСАН ЧИНОЗ 97 537 21 21"/>
    <n v="1280000"/>
    <m/>
    <m/>
    <n v="1280000"/>
    <x v="2"/>
    <s v="СЛИСК"/>
  </r>
  <r>
    <x v="7"/>
    <s v="ЖАХОНГИР ОҚТЕПА 88 177 65 65"/>
    <n v="1403000"/>
    <m/>
    <m/>
    <n v="1403000"/>
    <x v="0"/>
    <m/>
  </r>
  <r>
    <x v="7"/>
    <s v="СОБИР ҚЎЙЛИҚ 90 114 50 79"/>
    <n v="3465000"/>
    <m/>
    <m/>
    <n v="3465000"/>
    <x v="2"/>
    <s v="СЛИСК"/>
  </r>
  <r>
    <x v="8"/>
    <s v="ДОНИЁР ТАНСИҚБОЙ 90 806 13 13"/>
    <n v="3262000"/>
    <m/>
    <m/>
    <n v="3262000"/>
    <x v="0"/>
    <m/>
  </r>
  <r>
    <x v="9"/>
    <s v="ФАРРУХ ГВАРДЕЙСКИЙ 90 004 46 46"/>
    <n v="2675000"/>
    <m/>
    <m/>
    <n v="2675000"/>
    <x v="0"/>
    <m/>
  </r>
  <r>
    <x v="9"/>
    <s v="МАХМУД ТЎЙ ТЕПА 88 875 60 00"/>
    <n v="1676000"/>
    <n v="100"/>
    <n v="11350"/>
    <n v="2811000"/>
    <x v="0"/>
    <m/>
  </r>
  <r>
    <x v="10"/>
    <s v="ВАСИЛА ХОЛА 94 699 53 93"/>
    <n v="1144000"/>
    <m/>
    <m/>
    <n v="1144000"/>
    <x v="0"/>
    <m/>
  </r>
  <r>
    <x v="10"/>
    <s v="ДИЛШОД БЕКОБОД 93 060 47 49"/>
    <n v="25000000"/>
    <m/>
    <m/>
    <n v="25000000"/>
    <x v="0"/>
    <m/>
  </r>
  <r>
    <x v="10"/>
    <s v="САРДОР ЧОРСУ 99 132 99 99"/>
    <n v="2125000"/>
    <m/>
    <m/>
    <n v="2125000"/>
    <x v="0"/>
    <m/>
  </r>
  <r>
    <x v="10"/>
    <s v="ТЎЙЧИ ГУМБАЗ БОЗОР 99 020 50 89"/>
    <n v="2064000"/>
    <m/>
    <m/>
    <n v="2064000"/>
    <x v="1"/>
    <m/>
  </r>
  <r>
    <x v="10"/>
    <s v="АБДУЛАТИФ ВОДНИК 99 800 00 98"/>
    <n v="5168300"/>
    <m/>
    <m/>
    <n v="5168300"/>
    <x v="1"/>
    <m/>
  </r>
  <r>
    <x v="11"/>
    <s v="БАХРОМ ОЛМАЛИҚ 97 741 01 31"/>
    <n v="615000"/>
    <m/>
    <m/>
    <n v="615000"/>
    <x v="0"/>
    <m/>
  </r>
  <r>
    <x v="11"/>
    <s v="РУСТАМ ҚЎЙЛИҚ 90 317 48 05"/>
    <n v="587000"/>
    <m/>
    <m/>
    <n v="587000"/>
    <x v="0"/>
    <m/>
  </r>
  <r>
    <x v="12"/>
    <s v="МУЗАФФАР УНИВЕРСАМ 94 659 07 78"/>
    <n v="1500000"/>
    <m/>
    <m/>
    <n v="1500000"/>
    <x v="0"/>
    <m/>
  </r>
  <r>
    <x v="12"/>
    <s v="ШУХРАТ ЮНУСОБОД 97 773 34 44"/>
    <n v="1100000"/>
    <m/>
    <m/>
    <n v="1100000"/>
    <x v="0"/>
    <m/>
  </r>
  <r>
    <x v="12"/>
    <s v="АСИЛБЕК СЕРГЕЛИ 90 627 92 22"/>
    <n v="1927000"/>
    <m/>
    <m/>
    <n v="1927000"/>
    <x v="0"/>
    <m/>
  </r>
  <r>
    <x v="12"/>
    <s v="МАНСУР ЧИННИ БОЗОР 93 575 06 00"/>
    <n v="1983000"/>
    <n v="100"/>
    <n v="11400"/>
    <n v="3123000"/>
    <x v="0"/>
    <m/>
  </r>
  <r>
    <x v="12"/>
    <s v="АКМАЛ СОРТЕПА 97 739 23 35"/>
    <n v="1937000"/>
    <m/>
    <m/>
    <n v="1937000"/>
    <x v="0"/>
    <m/>
  </r>
  <r>
    <x v="12"/>
    <s v="НУРИДДИН БЕКОБОД"/>
    <n v="20500000"/>
    <n v="600"/>
    <n v="11350"/>
    <n v="27310000"/>
    <x v="0"/>
    <m/>
  </r>
  <r>
    <x v="12"/>
    <s v="ШУХРАТ ЮНУСОБОД 97 773 34 44"/>
    <n v="1857000"/>
    <m/>
    <m/>
    <n v="1857000"/>
    <x v="2"/>
    <s v="СЛИСК"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  <r>
    <x v="13"/>
    <m/>
    <m/>
    <m/>
    <m/>
    <n v="0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7">
  <r>
    <x v="0"/>
    <x v="0"/>
    <x v="0"/>
    <s v="КГ"/>
    <n v="50.4"/>
    <n v="21500"/>
    <n v="1083600"/>
    <n v="50.4"/>
    <m/>
  </r>
  <r>
    <x v="0"/>
    <x v="0"/>
    <x v="1"/>
    <s v="КГ"/>
    <n v="48.9"/>
    <n v="18500"/>
    <n v="904650"/>
    <n v="48.9"/>
    <m/>
  </r>
  <r>
    <x v="1"/>
    <x v="1"/>
    <x v="0"/>
    <s v="КГ"/>
    <n v="44.2"/>
    <n v="21500"/>
    <n v="950300.00000000012"/>
    <n v="44.2"/>
    <m/>
  </r>
  <r>
    <x v="1"/>
    <x v="2"/>
    <x v="0"/>
    <s v="КГ"/>
    <n v="296.10000000000002"/>
    <n v="21500"/>
    <n v="6366150.0000000009"/>
    <n v="296.10000000000002"/>
    <m/>
  </r>
  <r>
    <x v="1"/>
    <x v="2"/>
    <x v="1"/>
    <s v="КГ"/>
    <n v="155.1"/>
    <n v="18500"/>
    <n v="2869350"/>
    <n v="155.1"/>
    <m/>
  </r>
  <r>
    <x v="1"/>
    <x v="3"/>
    <x v="0"/>
    <s v="КГ"/>
    <n v="92.3"/>
    <n v="21500"/>
    <n v="1984450"/>
    <n v="92.3"/>
    <m/>
  </r>
  <r>
    <x v="2"/>
    <x v="4"/>
    <x v="0"/>
    <s v="КГ"/>
    <n v="100"/>
    <n v="21500"/>
    <n v="2150000"/>
    <n v="100"/>
    <m/>
  </r>
  <r>
    <x v="2"/>
    <x v="4"/>
    <x v="2"/>
    <s v="КГ"/>
    <n v="50"/>
    <n v="17000"/>
    <n v="850000"/>
    <n v="50"/>
    <m/>
  </r>
  <r>
    <x v="2"/>
    <x v="5"/>
    <x v="0"/>
    <s v="КГ"/>
    <n v="94.4"/>
    <n v="21500"/>
    <n v="2029600.0000000002"/>
    <n v="94.4"/>
    <m/>
  </r>
  <r>
    <x v="2"/>
    <x v="5"/>
    <x v="2"/>
    <s v="КГ"/>
    <n v="41"/>
    <n v="17000"/>
    <n v="697000"/>
    <n v="41"/>
    <m/>
  </r>
  <r>
    <x v="2"/>
    <x v="6"/>
    <x v="0"/>
    <s v="КГ"/>
    <n v="89.8"/>
    <n v="21500"/>
    <n v="1930700"/>
    <n v="89.8"/>
    <m/>
  </r>
  <r>
    <x v="2"/>
    <x v="7"/>
    <x v="0"/>
    <s v="КГ"/>
    <n v="98.8"/>
    <n v="21500"/>
    <n v="2124200"/>
    <n v="98.8"/>
    <m/>
  </r>
  <r>
    <x v="2"/>
    <x v="8"/>
    <x v="0"/>
    <s v="КГ"/>
    <n v="50.1"/>
    <n v="21500"/>
    <n v="1077150"/>
    <n v="50.1"/>
    <m/>
  </r>
  <r>
    <x v="2"/>
    <x v="8"/>
    <x v="2"/>
    <s v="КГ"/>
    <n v="48"/>
    <n v="17000"/>
    <n v="816000"/>
    <n v="48"/>
    <m/>
  </r>
  <r>
    <x v="2"/>
    <x v="9"/>
    <x v="0"/>
    <s v="КГ"/>
    <n v="46.3"/>
    <n v="21500"/>
    <n v="995449.99999999988"/>
    <n v="46.3"/>
    <m/>
  </r>
  <r>
    <x v="2"/>
    <x v="10"/>
    <x v="0"/>
    <s v="КГ"/>
    <n v="2521.6"/>
    <n v="20000"/>
    <n v="50432000"/>
    <n v="2521.6"/>
    <m/>
  </r>
  <r>
    <x v="3"/>
    <x v="11"/>
    <x v="0"/>
    <s v="КГ"/>
    <n v="103.5"/>
    <n v="21500"/>
    <n v="2225250"/>
    <n v="103.5"/>
    <m/>
  </r>
  <r>
    <x v="3"/>
    <x v="11"/>
    <x v="2"/>
    <s v="КГ"/>
    <n v="52.8"/>
    <n v="17000"/>
    <n v="897600"/>
    <n v="52.8"/>
    <m/>
  </r>
  <r>
    <x v="4"/>
    <x v="12"/>
    <x v="0"/>
    <s v="КГ"/>
    <n v="55.9"/>
    <n v="21500"/>
    <n v="1201850"/>
    <n v="55.9"/>
    <m/>
  </r>
  <r>
    <x v="4"/>
    <x v="12"/>
    <x v="2"/>
    <s v="КГ"/>
    <n v="52.7"/>
    <n v="17000"/>
    <n v="895900"/>
    <n v="52.7"/>
    <m/>
  </r>
  <r>
    <x v="4"/>
    <x v="13"/>
    <x v="0"/>
    <s v="КГ"/>
    <n v="48.1"/>
    <n v="21500"/>
    <n v="1034150"/>
    <n v="48.1"/>
    <m/>
  </r>
  <r>
    <x v="4"/>
    <x v="13"/>
    <x v="2"/>
    <s v="КГ"/>
    <n v="96.2"/>
    <n v="17000"/>
    <n v="1635400"/>
    <n v="96.2"/>
    <m/>
  </r>
  <r>
    <x v="4"/>
    <x v="14"/>
    <x v="2"/>
    <s v="КГ"/>
    <n v="106.2"/>
    <n v="17000"/>
    <n v="1805400"/>
    <n v="106.2"/>
    <m/>
  </r>
  <r>
    <x v="4"/>
    <x v="9"/>
    <x v="2"/>
    <s v="КГ"/>
    <n v="54.8"/>
    <n v="17000"/>
    <n v="931600"/>
    <n v="54.8"/>
    <m/>
  </r>
  <r>
    <x v="5"/>
    <x v="15"/>
    <x v="0"/>
    <s v="КГ"/>
    <n v="104.3"/>
    <n v="21500"/>
    <n v="2242450"/>
    <n v="104.3"/>
    <m/>
  </r>
  <r>
    <x v="5"/>
    <x v="15"/>
    <x v="2"/>
    <s v="КГ"/>
    <n v="38.9"/>
    <n v="17000"/>
    <n v="661300"/>
    <n v="38.9"/>
    <m/>
  </r>
  <r>
    <x v="5"/>
    <x v="16"/>
    <x v="0"/>
    <s v="КГ"/>
    <n v="90.1"/>
    <n v="21500"/>
    <n v="1937149.9999999998"/>
    <n v="90.1"/>
    <m/>
  </r>
  <r>
    <x v="6"/>
    <x v="17"/>
    <x v="0"/>
    <s v="КГ"/>
    <n v="82.4"/>
    <n v="21500"/>
    <n v="1771600.0000000002"/>
    <n v="82.4"/>
    <m/>
  </r>
  <r>
    <x v="6"/>
    <x v="17"/>
    <x v="2"/>
    <s v="КГ"/>
    <n v="43.7"/>
    <n v="17000"/>
    <n v="742900"/>
    <n v="43.7"/>
    <m/>
  </r>
  <r>
    <x v="6"/>
    <x v="18"/>
    <x v="0"/>
    <s v="КГ"/>
    <n v="195.1"/>
    <n v="23000"/>
    <n v="4487300"/>
    <n v="195.1"/>
    <m/>
  </r>
  <r>
    <x v="6"/>
    <x v="18"/>
    <x v="2"/>
    <s v="КГ"/>
    <n v="40.6"/>
    <n v="18500"/>
    <n v="751100"/>
    <n v="40.6"/>
    <m/>
  </r>
  <r>
    <x v="6"/>
    <x v="19"/>
    <x v="0"/>
    <s v="КГ"/>
    <n v="201.8"/>
    <n v="21500"/>
    <n v="4338700"/>
    <n v="201.8"/>
    <m/>
  </r>
  <r>
    <x v="6"/>
    <x v="19"/>
    <x v="2"/>
    <s v="КГ"/>
    <n v="48.8"/>
    <n v="17000"/>
    <n v="829600"/>
    <n v="48.8"/>
    <m/>
  </r>
  <r>
    <x v="6"/>
    <x v="20"/>
    <x v="0"/>
    <s v="КГ"/>
    <n v="265.89999999999998"/>
    <n v="21500"/>
    <n v="5716849.9999999991"/>
    <n v="265.89999999999998"/>
    <m/>
  </r>
  <r>
    <x v="7"/>
    <x v="21"/>
    <x v="0"/>
    <s v="КГ"/>
    <n v="48.8"/>
    <n v="21500"/>
    <n v="1049200"/>
    <n v="48.8"/>
    <m/>
  </r>
  <r>
    <x v="7"/>
    <x v="21"/>
    <x v="2"/>
    <s v="КГ"/>
    <n v="46.3"/>
    <n v="17000"/>
    <n v="787100"/>
    <n v="46.3"/>
    <m/>
  </r>
  <r>
    <x v="7"/>
    <x v="22"/>
    <x v="0"/>
    <s v="КГ"/>
    <n v="48.4"/>
    <n v="21500"/>
    <n v="1040600"/>
    <n v="48.4"/>
    <m/>
  </r>
  <r>
    <x v="7"/>
    <x v="23"/>
    <x v="0"/>
    <s v="КГ"/>
    <n v="103.2"/>
    <n v="21500"/>
    <n v="2218800"/>
    <n v="103.2"/>
    <m/>
  </r>
  <r>
    <x v="7"/>
    <x v="24"/>
    <x v="0"/>
    <s v="КГ"/>
    <n v="56.5"/>
    <n v="21500"/>
    <n v="1214750"/>
    <n v="56.5"/>
    <m/>
  </r>
  <r>
    <x v="7"/>
    <x v="25"/>
    <x v="2"/>
    <s v="КГ"/>
    <n v="55"/>
    <n v="17000"/>
    <n v="935000"/>
    <n v="55"/>
    <m/>
  </r>
  <r>
    <x v="7"/>
    <x v="26"/>
    <x v="2"/>
    <s v="КГ"/>
    <n v="104.8"/>
    <n v="17000"/>
    <n v="1781600"/>
    <n v="104.8"/>
    <m/>
  </r>
  <r>
    <x v="7"/>
    <x v="26"/>
    <x v="0"/>
    <s v="КГ"/>
    <n v="203"/>
    <n v="21500"/>
    <n v="4364500"/>
    <n v="203"/>
    <m/>
  </r>
  <r>
    <x v="8"/>
    <x v="27"/>
    <x v="2"/>
    <s v="КГ"/>
    <n v="106.8"/>
    <n v="17000"/>
    <n v="1815600"/>
    <n v="106.8"/>
    <m/>
  </r>
  <r>
    <x v="8"/>
    <x v="27"/>
    <x v="0"/>
    <s v="КГ"/>
    <n v="104.3"/>
    <n v="21500"/>
    <n v="2242450"/>
    <n v="104.3"/>
    <m/>
  </r>
  <r>
    <x v="8"/>
    <x v="28"/>
    <x v="0"/>
    <s v="КГ"/>
    <n v="95"/>
    <n v="21500"/>
    <n v="2042500"/>
    <n v="95"/>
    <m/>
  </r>
  <r>
    <x v="8"/>
    <x v="28"/>
    <x v="2"/>
    <s v="КГ"/>
    <n v="53.8"/>
    <n v="17000"/>
    <n v="914600"/>
    <n v="53.8"/>
    <m/>
  </r>
  <r>
    <x v="8"/>
    <x v="29"/>
    <x v="0"/>
    <s v="КГ"/>
    <n v="229.7"/>
    <n v="21500"/>
    <n v="4938550"/>
    <n v="229.7"/>
    <m/>
  </r>
  <r>
    <x v="8"/>
    <x v="10"/>
    <x v="0"/>
    <s v="КГ"/>
    <n v="2842"/>
    <n v="20000"/>
    <n v="56840000"/>
    <n v="2842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  <r>
    <x v="9"/>
    <x v="30"/>
    <x v="3"/>
    <m/>
    <m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ТОВАР">
  <location ref="D4:E8" firstHeaderRow="1" firstDataRow="1" firstDataCol="1" rowPageCount="1" colPageCount="1"/>
  <pivotFields count="8">
    <pivotField axis="axisPage" numFmtId="14" showAll="0">
      <items count="72">
        <item m="1" x="67"/>
        <item m="1" x="65"/>
        <item m="1" x="33"/>
        <item m="1" x="35"/>
        <item m="1" x="49"/>
        <item m="1" x="34"/>
        <item m="1" x="66"/>
        <item m="1" x="52"/>
        <item m="1" x="38"/>
        <item m="1" x="23"/>
        <item m="1" x="64"/>
        <item m="1" x="51"/>
        <item m="1" x="37"/>
        <item m="1" x="22"/>
        <item m="1" x="63"/>
        <item m="1" x="50"/>
        <item m="1" x="36"/>
        <item m="1" x="21"/>
        <item m="1" x="62"/>
        <item m="1" x="47"/>
        <item m="1" x="32"/>
        <item m="1" x="20"/>
        <item m="1" x="61"/>
        <item m="1" x="46"/>
        <item m="1" x="31"/>
        <item m="1" x="18"/>
        <item m="1" x="59"/>
        <item m="1" x="44"/>
        <item m="1" x="29"/>
        <item m="1" x="16"/>
        <item m="1" x="57"/>
        <item m="1" x="42"/>
        <item m="1" x="27"/>
        <item m="1" x="14"/>
        <item m="1" x="55"/>
        <item m="1" x="19"/>
        <item m="1" x="60"/>
        <item m="1" x="45"/>
        <item m="1" x="30"/>
        <item m="1" x="17"/>
        <item m="1" x="58"/>
        <item m="1" x="43"/>
        <item m="1" x="28"/>
        <item m="1" x="15"/>
        <item m="1" x="41"/>
        <item m="1" x="56"/>
        <item m="1" x="26"/>
        <item m="1" x="70"/>
        <item m="1" x="54"/>
        <item m="1" x="40"/>
        <item m="1" x="25"/>
        <item m="1" x="69"/>
        <item m="1" x="53"/>
        <item m="1" x="39"/>
        <item m="1" x="24"/>
        <item m="1" x="68"/>
        <item m="1"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4" showAll="0"/>
    <pivotField showAll="0"/>
    <pivotField dataField="1" numFmtId="4" showAll="0"/>
    <pivotField axis="axisRow" showAll="0">
      <items count="4">
        <item x="0"/>
        <item x="1"/>
        <item x="2"/>
        <item t="default"/>
      </items>
    </pivotField>
    <pivotField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КЕЛГАН СУММА" fld="5" baseField="0" baseItem="0"/>
  </dataFields>
  <formats count="2">
    <format dxfId="8">
      <pivotArea collapsedLevelsAreSubtotals="1" fieldPosition="0">
        <references count="1">
          <reference field="6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1" cacheId="1" applyNumberFormats="0" applyBorderFormats="0" applyFontFormats="0" applyPatternFormats="0" applyAlignmentFormats="0" applyWidthHeightFormats="1" dataCaption="Значения" grandTotalCaption="ЖАМИ" updatedVersion="6" minRefreshableVersion="3" useAutoFormatting="1" itemPrintTitles="1" createdVersion="6" indent="0" outline="1" outlineData="1" multipleFieldFilters="0" rowHeaderCaption="ТОВАР">
  <location ref="A4:B9" firstHeaderRow="1" firstDataRow="1" firstDataCol="1" rowPageCount="1" colPageCount="1"/>
  <pivotFields count="10">
    <pivotField axis="axisPage" numFmtId="164" multipleItemSelectionAllowed="1" showAll="0" defaultSubtotal="0">
      <items count="41">
        <item m="1" x="35"/>
        <item m="1" x="18"/>
        <item m="1" x="30"/>
        <item m="1" x="12"/>
        <item m="1" x="25"/>
        <item m="1" x="38"/>
        <item m="1" x="21"/>
        <item m="1" x="33"/>
        <item m="1" x="16"/>
        <item m="1" x="28"/>
        <item m="1" x="10"/>
        <item m="1" x="24"/>
        <item m="1" x="37"/>
        <item m="1" x="20"/>
        <item m="1" x="32"/>
        <item m="1" x="15"/>
        <item m="1" x="27"/>
        <item m="1" x="40"/>
        <item m="1" x="23"/>
        <item m="1" x="36"/>
        <item m="1" x="19"/>
        <item m="1" x="31"/>
        <item m="1" x="14"/>
        <item m="1" x="39"/>
        <item m="1" x="26"/>
        <item m="1" x="22"/>
        <item m="1" x="34"/>
        <item m="1" x="17"/>
        <item m="1" x="29"/>
        <item m="1" x="11"/>
        <item m="1" x="13"/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axis="axisRow" showAll="0">
      <items count="65">
        <item m="1" x="57"/>
        <item m="1" x="4"/>
        <item x="3"/>
        <item m="1" x="6"/>
        <item m="1" x="62"/>
        <item m="1" x="14"/>
        <item m="1" x="11"/>
        <item m="1" x="44"/>
        <item m="1" x="35"/>
        <item m="1" x="21"/>
        <item m="1" x="38"/>
        <item m="1" x="9"/>
        <item m="1" x="7"/>
        <item m="1" x="23"/>
        <item m="1" x="52"/>
        <item m="1" x="24"/>
        <item m="1" x="46"/>
        <item m="1" x="49"/>
        <item m="1" x="36"/>
        <item m="1" x="59"/>
        <item m="1" x="51"/>
        <item m="1" x="40"/>
        <item m="1" x="28"/>
        <item m="1" x="42"/>
        <item m="1" x="8"/>
        <item m="1" x="22"/>
        <item m="1" x="39"/>
        <item m="1" x="5"/>
        <item m="1" x="19"/>
        <item m="1" x="54"/>
        <item m="1" x="48"/>
        <item m="1" x="56"/>
        <item m="1" x="53"/>
        <item m="1" x="15"/>
        <item m="1" x="55"/>
        <item m="1" x="41"/>
        <item m="1" x="45"/>
        <item m="1" x="25"/>
        <item m="1" x="60"/>
        <item m="1" x="10"/>
        <item m="1" x="58"/>
        <item m="1" x="33"/>
        <item m="1" x="63"/>
        <item m="1" x="13"/>
        <item m="1" x="31"/>
        <item m="1" x="43"/>
        <item m="1" x="26"/>
        <item m="1" x="47"/>
        <item m="1" x="61"/>
        <item m="1" x="20"/>
        <item m="1" x="27"/>
        <item m="1" x="30"/>
        <item m="1" x="29"/>
        <item m="1" x="34"/>
        <item m="1" x="50"/>
        <item m="1" x="32"/>
        <item m="1" x="17"/>
        <item m="1" x="37"/>
        <item m="1" x="12"/>
        <item m="1" x="16"/>
        <item m="1" x="18"/>
        <item x="0"/>
        <item x="1"/>
        <item x="2"/>
        <item t="default"/>
      </items>
    </pivotField>
    <pivotField showAll="0"/>
    <pivotField numFmtId="165" showAll="0"/>
    <pivotField numFmtId="4" showAll="0"/>
    <pivotField numFmtId="4" showAll="0"/>
    <pivotField dataField="1" numFmtId="4" showAll="0"/>
    <pivotField showAll="0" defaultSubtotal="0"/>
    <pivotField dragToRow="0" dragToCol="0" dragToPage="0" showAll="0" defaultSubtotal="0"/>
  </pivotFields>
  <rowFields count="1">
    <field x="2"/>
  </rowFields>
  <rowItems count="5">
    <i>
      <x v="2"/>
    </i>
    <i>
      <x v="61"/>
    </i>
    <i>
      <x v="62"/>
    </i>
    <i>
      <x v="63"/>
    </i>
    <i t="grand">
      <x/>
    </i>
  </rowItems>
  <colItems count="1">
    <i/>
  </colItems>
  <pageFields count="1">
    <pageField fld="0" hier="-1"/>
  </pageFields>
  <dataFields count="1">
    <dataField name="ВАЗНИ" fld="7" baseField="0" baseItem="0" numFmtId="4"/>
  </dataFields>
  <formats count="12">
    <format dxfId="20">
      <pivotArea outline="0" collapsedLevelsAreSubtotals="1" fieldPosition="0"/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dataOnly="0" labelOnly="1" outline="0" axis="axisValues" fieldPosition="0"/>
    </format>
    <format dxfId="13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labelOnly="1" outline="0" axis="axisValues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4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СОТИЛГАН ТОВАР">
  <location ref="G3:J8" firstHeaderRow="0" firstDataRow="1" firstDataCol="1" rowPageCount="1" colPageCount="1"/>
  <pivotFields count="10">
    <pivotField numFmtId="164" showAll="0"/>
    <pivotField axis="axisPage" multipleItemSelectionAllowed="1" showAll="0">
      <items count="122">
        <item m="1" x="78"/>
        <item m="1" x="39"/>
        <item m="1" x="109"/>
        <item m="1" x="104"/>
        <item m="1" x="43"/>
        <item m="1" x="99"/>
        <item m="1" x="31"/>
        <item m="1" x="86"/>
        <item m="1" x="62"/>
        <item m="1" x="53"/>
        <item m="1" x="114"/>
        <item m="1" x="38"/>
        <item m="1" x="84"/>
        <item m="1" x="48"/>
        <item m="1" x="58"/>
        <item m="1" x="112"/>
        <item m="1" x="100"/>
        <item m="1" x="90"/>
        <item m="1" x="91"/>
        <item m="1" x="102"/>
        <item m="1" x="95"/>
        <item m="1" x="93"/>
        <item m="1" x="105"/>
        <item m="1" x="32"/>
        <item m="1" x="76"/>
        <item m="1" x="117"/>
        <item m="1" x="71"/>
        <item m="1" x="103"/>
        <item m="1" x="61"/>
        <item m="1" x="40"/>
        <item m="1" x="98"/>
        <item m="1" x="67"/>
        <item m="1" x="85"/>
        <item m="1" x="101"/>
        <item m="1" x="66"/>
        <item m="1" x="59"/>
        <item m="1" x="120"/>
        <item m="1" x="60"/>
        <item m="1" x="35"/>
        <item m="1" x="107"/>
        <item m="1" x="65"/>
        <item m="1" x="88"/>
        <item m="1" x="119"/>
        <item m="1" x="69"/>
        <item m="1" x="37"/>
        <item m="1" x="115"/>
        <item m="1" x="51"/>
        <item m="1" x="73"/>
        <item m="1" x="87"/>
        <item m="1" x="110"/>
        <item m="1" x="44"/>
        <item m="1" x="74"/>
        <item m="1" x="96"/>
        <item m="1" x="97"/>
        <item m="1" x="68"/>
        <item m="1" x="45"/>
        <item m="1" x="75"/>
        <item m="1" x="54"/>
        <item m="1" x="113"/>
        <item m="1" x="83"/>
        <item m="1" x="47"/>
        <item m="1" x="63"/>
        <item m="1" x="79"/>
        <item m="1" x="50"/>
        <item m="1" x="77"/>
        <item m="1" x="52"/>
        <item m="1" x="36"/>
        <item m="1" x="106"/>
        <item m="1" x="80"/>
        <item m="1" x="82"/>
        <item m="1" x="41"/>
        <item x="30"/>
        <item m="1" x="42"/>
        <item m="1" x="108"/>
        <item m="1" x="72"/>
        <item m="1" x="56"/>
        <item m="1" x="81"/>
        <item m="1" x="34"/>
        <item m="1" x="55"/>
        <item m="1" x="57"/>
        <item m="1" x="118"/>
        <item m="1" x="49"/>
        <item m="1" x="89"/>
        <item m="1" x="116"/>
        <item m="1" x="70"/>
        <item m="1" x="111"/>
        <item m="1" x="94"/>
        <item m="1" x="33"/>
        <item m="1" x="46"/>
        <item m="1" x="64"/>
        <item m="1"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5">
        <item m="1" x="42"/>
        <item m="1" x="8"/>
        <item m="1" x="45"/>
        <item m="1" x="33"/>
        <item m="1" x="63"/>
        <item m="1" x="13"/>
        <item m="1" x="41"/>
        <item m="1" x="43"/>
        <item m="1" x="31"/>
        <item m="1" x="26"/>
        <item m="1" x="58"/>
        <item m="1" x="25"/>
        <item m="1" x="15"/>
        <item m="1" x="6"/>
        <item m="1" x="5"/>
        <item m="1" x="7"/>
        <item m="1" x="14"/>
        <item m="1" x="38"/>
        <item m="1" x="52"/>
        <item m="1" x="21"/>
        <item m="1" x="10"/>
        <item m="1" x="62"/>
        <item m="1" x="9"/>
        <item m="1" x="35"/>
        <item m="1" x="11"/>
        <item m="1" x="54"/>
        <item m="1" x="46"/>
        <item m="1" x="40"/>
        <item m="1" x="19"/>
        <item m="1" x="36"/>
        <item m="1" x="49"/>
        <item m="1" x="23"/>
        <item m="1" x="44"/>
        <item m="1" x="24"/>
        <item m="1" x="57"/>
        <item m="1" x="4"/>
        <item m="1" x="53"/>
        <item m="1" x="28"/>
        <item m="1" x="59"/>
        <item m="1" x="51"/>
        <item m="1" x="39"/>
        <item m="1" x="48"/>
        <item m="1" x="56"/>
        <item m="1" x="60"/>
        <item m="1" x="22"/>
        <item m="1" x="61"/>
        <item m="1" x="55"/>
        <item m="1" x="47"/>
        <item x="3"/>
        <item m="1" x="20"/>
        <item m="1" x="27"/>
        <item m="1" x="30"/>
        <item m="1" x="29"/>
        <item m="1" x="34"/>
        <item m="1" x="50"/>
        <item m="1" x="32"/>
        <item m="1" x="17"/>
        <item m="1" x="37"/>
        <item m="1" x="12"/>
        <item m="1" x="16"/>
        <item m="1" x="18"/>
        <item x="0"/>
        <item x="1"/>
        <item x="2"/>
        <item t="default"/>
      </items>
    </pivotField>
    <pivotField showAll="0"/>
    <pivotField dataField="1" numFmtId="166" showAll="0"/>
    <pivotField showAll="0"/>
    <pivotField dataField="1" numFmtId="166" showAll="0"/>
    <pivotField numFmtId="166" showAll="0"/>
    <pivotField showAll="0" defaultSubtotal="0"/>
    <pivotField dataField="1" dragToRow="0" dragToCol="0" dragToPage="0" showAll="0" defaultSubtotal="0"/>
  </pivotFields>
  <rowFields count="1">
    <field x="2"/>
  </rowFields>
  <rowItems count="5">
    <i>
      <x v="48"/>
    </i>
    <i>
      <x v="61"/>
    </i>
    <i>
      <x v="62"/>
    </i>
    <i>
      <x v="6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ТОВАР СОНИ" fld="4" baseField="0" baseItem="0"/>
    <dataField name="СУММАСИ" fld="6" baseField="0" baseItem="0"/>
    <dataField name="ТОВАР НАРХИ" fld="9" baseField="0" baseItem="0" numFmtId="166"/>
  </dataFields>
  <formats count="27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2" count="15">
            <x v="0"/>
            <x v="13"/>
            <x v="14"/>
            <x v="16"/>
            <x v="17"/>
            <x v="18"/>
            <x v="19"/>
            <x v="21"/>
            <x v="23"/>
            <x v="24"/>
            <x v="25"/>
            <x v="28"/>
            <x v="30"/>
            <x v="32"/>
            <x v="38"/>
          </reference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2" count="4">
            <x v="0"/>
            <x v="13"/>
            <x v="14"/>
            <x v="16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2" count="2">
            <x v="17"/>
            <x v="18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2" count="1">
            <x v="19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2" count="1">
            <x v="21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1"/>
          </reference>
          <reference field="2" count="1">
            <x v="23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2" count="1">
            <x v="24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1"/>
          </reference>
          <reference field="2" count="1">
            <x v="25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2" count="11">
            <x v="0"/>
            <x v="13"/>
            <x v="14"/>
            <x v="16"/>
            <x v="17"/>
            <x v="18"/>
            <x v="19"/>
            <x v="21"/>
            <x v="23"/>
            <x v="24"/>
            <x v="25"/>
          </reference>
        </references>
      </pivotArea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16">
            <x v="0"/>
            <x v="13"/>
            <x v="14"/>
            <x v="16"/>
            <x v="17"/>
            <x v="18"/>
            <x v="19"/>
            <x v="21"/>
            <x v="23"/>
            <x v="24"/>
            <x v="25"/>
            <x v="28"/>
            <x v="30"/>
            <x v="32"/>
            <x v="33"/>
            <x v="38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field="1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refreshOnLoad="1" connectionId="2" autoFormatId="0" applyNumberFormats="0" applyBorderFormats="0" applyFontFormats="1" applyPatternFormats="1" applyAlignmentFormats="0" applyWidthHeightFormats="0">
  <queryTableRefresh preserveSortFilterLayout="0" nextId="10" unboundColumnsRight="4">
    <queryTableFields count="9">
      <queryTableField id="1" name="МИЖОЗ" tableColumnId="37"/>
      <queryTableField id="2" name="САЛЬДО" tableColumnId="38"/>
      <queryTableField id="3" name="ТЎЛАНДИ" tableColumnId="39"/>
      <queryTableField id="4" name="СОТИЛДИ" tableColumnId="40"/>
      <queryTableField id="5" name="ОСТАТКА" tableColumnId="41"/>
      <queryTableField id="9" dataBound="0" tableColumnId="42"/>
      <queryTableField id="8" dataBound="0" tableColumnId="43"/>
      <queryTableField id="7" dataBound="0" tableColumnId="44"/>
      <queryTableField id="6" dataBound="0" tableColumnId="4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РЕАЛИЗАЦИЯ" displayName="РЕАЛИЗАЦИЯ" ref="A2:L3898" headerRowDxfId="121" dataDxfId="120">
  <autoFilter ref="A2:L3898"/>
  <sortState ref="A256:L347">
    <sortCondition ref="B2:B3648"/>
  </sortState>
  <tableColumns count="12">
    <tableColumn id="1" name="САНА" totalsRowLabel="Итог" dataDxfId="119" totalsRowDxfId="118"/>
    <tableColumn id="2" name="МИЖОЗ" dataDxfId="117" totalsRowDxfId="116"/>
    <tableColumn id="3" name="ТОВАР" dataDxfId="115" totalsRowDxfId="114"/>
    <tableColumn id="4" name="ЎЛ.БИР" dataDxfId="113" totalsRowDxfId="112"/>
    <tableColumn id="5" name="СОНИ" dataDxfId="111" totalsRowDxfId="110"/>
    <tableColumn id="6" name="НАРХИ" dataDxfId="109" totalsRowDxfId="108"/>
    <tableColumn id="7" name="ЖАМИ" dataDxfId="107" totalsRowDxfId="106">
      <calculatedColumnFormula>РЕАЛИЗАЦИЯ[[#This Row],[СОНИ]]*РЕАЛИЗАЦИЯ[[#This Row],[НАРХИ]]</calculatedColumnFormula>
    </tableColumn>
    <tableColumn id="8" name="ОҒИРЛИГИ" totalsRowFunction="sum" dataDxfId="105" totalsRowDxfId="104">
      <calculatedColumnFormula>РЕАЛИЗАЦИЯ[[#This Row],[СОНИ]]</calculatedColumnFormula>
    </tableColumn>
    <tableColumn id="9" name="ТАННАРХ" dataDxfId="103"/>
    <tableColumn id="10" name="ЖАМИ2" dataDxfId="102" totalsRowDxfId="101">
      <calculatedColumnFormula>РЕАЛИЗАЦИЯ[[#This Row],[СОНИ]]*РЕАЛИЗАЦИЯ[[#This Row],[ТАННАРХ]]</calculatedColumnFormula>
    </tableColumn>
    <tableColumn id="11" name="ФОЙДА" dataDxfId="100" totalsRowDxfId="99">
      <calculatedColumnFormula>РЕАЛИЗАЦИЯ[[#This Row],[ЖАМИ]]-РЕАЛИЗАЦИЯ[[#This Row],[ЖАМИ2]]</calculatedColumnFormula>
    </tableColumn>
    <tableColumn id="12" name="Столбец1" dataDxfId="98" totalsRow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ПЛАТЕЖИ" displayName="ПЛАТЕЖИ" ref="A1:I3341" totalsRowShown="0" headerRowDxfId="96" dataDxfId="95">
  <autoFilter ref="A1:I3341"/>
  <sortState ref="A2:H145">
    <sortCondition ref="A1:A145"/>
  </sortState>
  <tableColumns count="9">
    <tableColumn id="1" name="САНА" dataDxfId="94"/>
    <tableColumn id="2" name="МИЖОЗ" dataDxfId="93"/>
    <tableColumn id="3" name="СЎМ" dataDxfId="92"/>
    <tableColumn id="4" name="ВАЛЮТА" dataDxfId="91"/>
    <tableColumn id="5" name="КУРС" dataDxfId="90"/>
    <tableColumn id="6" name="ЖАМИ" dataDxfId="89">
      <calculatedColumnFormula>ПЛАТЕЖИ[[#This Row],[СЎМ]]+(ПЛАТЕЖИ[[#This Row],[ВАЛЮТА]]*ПЛАТЕЖИ[[#This Row],[КУРС]])</calculatedColumnFormula>
    </tableColumn>
    <tableColumn id="7" name="ТЎЛОВ ТУРИ" dataDxfId="88"/>
    <tableColumn id="8" name="ИЗОХ" dataDxfId="87"/>
    <tableColumn id="9" name="Столбец1" dataDxfId="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КОНЕЧНЫЙ_ҚОЛДИҚ" displayName="КОНЕЧНЫЙ_ҚОЛДИҚ" ref="A1:I240" tableType="queryTable" totalsRowShown="0" headerRowDxfId="85" dataDxfId="84" totalsRowDxfId="83">
  <autoFilter ref="A1:I240">
    <filterColumn colId="4">
      <filters>
        <filter val="-1 018 900,00"/>
        <filter val="-1 051 100,00"/>
        <filter val="-1 071 800,00"/>
        <filter val="-1 092 700,00"/>
        <filter val="-1 124 700,00"/>
        <filter val="-1 127 000,00"/>
        <filter val="-1 135 200,00"/>
        <filter val="-1 154 300,00"/>
        <filter val="-1 159 200,00"/>
        <filter val="-1 175 300,00"/>
        <filter val="-1 241 000,00"/>
        <filter val="-1 290 300,00"/>
        <filter val="-1 400 700,00"/>
        <filter val="-1 457 300,00"/>
        <filter val="-1 468 800,00"/>
        <filter val="-1 501 200,00"/>
        <filter val="-1 645 600,00"/>
        <filter val="-1 678 000,00"/>
        <filter val="-1 688 100,00"/>
        <filter val="-1 891 300,00"/>
        <filter val="-1 897 400,00"/>
        <filter val="-1 904 100,00"/>
        <filter val="-1 913 600,00"/>
        <filter val="-1 914 700,00"/>
        <filter val="-1 918 700,00"/>
        <filter val="-1 932 295,00"/>
        <filter val="-1 944 800,00"/>
        <filter val="-10 152 800,00"/>
        <filter val="-10 639 200,00"/>
        <filter val="-10 903 100,00"/>
        <filter val="-124 039 900,00"/>
        <filter val="-13 144 200,00"/>
        <filter val="146 100,00"/>
        <filter val="152 600,00"/>
        <filter val="-16 308 500,00"/>
        <filter val="-17 304 000,00"/>
        <filter val="-17 959 621,00"/>
        <filter val="-171 500,00"/>
        <filter val="-18 187 345,00"/>
        <filter val="-2 000 000,00"/>
        <filter val="-2 101 700,00"/>
        <filter val="-2 128 500,00"/>
        <filter val="-2 155 100,00"/>
        <filter val="-2 171 200,00"/>
        <filter val="-2 190 000,00"/>
        <filter val="-2 224 000,00"/>
        <filter val="-2 253 600,00"/>
        <filter val="-2 409 600,00"/>
        <filter val="-2 499 890,00"/>
        <filter val="-2 534 700,00"/>
        <filter val="-2 599 780,00"/>
        <filter val="-2 623 100,00"/>
        <filter val="-2 640 100,00"/>
        <filter val="-2 861 000,00"/>
        <filter val="-2 891 800,00"/>
        <filter val="-2 898 700,00"/>
        <filter val="-2 913 261,00"/>
        <filter val="-2 965 950,00"/>
        <filter val="-203 740,00"/>
        <filter val="-216 800,00"/>
        <filter val="217 829 200,00"/>
        <filter val="-23 056 250,00"/>
        <filter val="-23 714 250,00"/>
        <filter val="-238 884 700,00"/>
        <filter val="-25 184 950,00"/>
        <filter val="-25 186 500,00"/>
        <filter val="-25 210 800,00"/>
        <filter val="-26 366 383,00"/>
        <filter val="-26 414 500,00"/>
        <filter val="-27 748 500,00"/>
        <filter val="-29 252 700,00"/>
        <filter val="-295 000,00"/>
        <filter val="-297 600,00"/>
        <filter val="-298 500,00"/>
        <filter val="-3 000 300,00"/>
        <filter val="-3 001 200,00"/>
        <filter val="-3 030 400,00"/>
        <filter val="-3 082 450,00"/>
        <filter val="-3 192 500,00"/>
        <filter val="-3 223 100,00"/>
        <filter val="-3 261 200,00"/>
        <filter val="-3 313 300,00"/>
        <filter val="-3 556 376,00"/>
        <filter val="-3 558 900,00"/>
        <filter val="-3 585 700,00"/>
        <filter val="-3 792 750,00"/>
        <filter val="-3 830 600,00"/>
        <filter val="-3 859 150,00"/>
        <filter val="-3 925 200,00"/>
        <filter val="-322 071 000,00"/>
        <filter val="-358 700,00"/>
        <filter val="-38 257 550,00"/>
        <filter val="-4 257 300,00"/>
        <filter val="-4 469 800,00"/>
        <filter val="-4 605 000,00"/>
        <filter val="-4 700 800,00"/>
        <filter val="-405 800,00"/>
        <filter val="-5 000 000,00"/>
        <filter val="-5 001 100,00"/>
        <filter val="-5 171 500,00"/>
        <filter val="-5 245 900,00"/>
        <filter val="-5 285 100,00"/>
        <filter val="-5 320 000,00"/>
        <filter val="-5 714 700,00"/>
        <filter val="-504 800,00"/>
        <filter val="-6 168 400,00"/>
        <filter val="-6 270 600,00"/>
        <filter val="-6 710 100,00"/>
        <filter val="-646 600,00"/>
        <filter val="-698 500,00"/>
        <filter val="-7 184 400,00"/>
        <filter val="-7 593 600,00"/>
        <filter val="-713 000,00"/>
        <filter val="-727 500,00"/>
        <filter val="-736 500,00"/>
        <filter val="-742 500,00"/>
        <filter val="-759 650,00"/>
        <filter val="-776 800,00"/>
        <filter val="-8 028 000,00"/>
        <filter val="-8 543 300,00"/>
        <filter val="-80 990 400,00"/>
        <filter val="-9 464 500,00"/>
        <filter val="-9 496 200,00"/>
        <filter val="-9 606 950,00"/>
        <filter val="-981 200,00"/>
        <filter val="-999 200,00"/>
      </filters>
    </filterColumn>
  </autoFilter>
  <sortState ref="A2:I163">
    <sortCondition ref="A1:A163"/>
  </sortState>
  <tableColumns count="9">
    <tableColumn id="37" uniqueName="37" name="МИЖОЗ" queryTableFieldId="1" dataDxfId="82" totalsRowDxfId="81"/>
    <tableColumn id="38" uniqueName="38" name="САЛЬДО" queryTableFieldId="2" dataDxfId="80" totalsRowDxfId="79"/>
    <tableColumn id="39" uniqueName="39" name="ТЎЛАНДИ" queryTableFieldId="3" dataDxfId="78" totalsRowDxfId="77"/>
    <tableColumn id="40" uniqueName="40" name="СОТИЛДИ" queryTableFieldId="4" dataDxfId="76" totalsRowDxfId="75"/>
    <tableColumn id="41" uniqueName="41" name="ОСТАТКА" queryTableFieldId="5" dataDxfId="74" totalsRowDxfId="73"/>
    <tableColumn id="42" uniqueName="42" name="ОЛДИ" queryTableFieldId="9" dataDxfId="72" totalsRowDxfId="71"/>
    <tableColumn id="43" uniqueName="43" name="БЕРДИ" queryTableFieldId="8" dataDxfId="70" totalsRowDxfId="69"/>
    <tableColumn id="44" uniqueName="44" name="ИЗОХ" queryTableFieldId="7" dataDxfId="68" totalsRowDxfId="67"/>
    <tableColumn id="45" uniqueName="45" name="ИЗОХ 2" queryTableFieldId="6" dataDxfId="66" totalsRowDxfId="65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6" name="ОСТАТКА_ТОВАР" displayName="ОСТАТКА_ТОВАР" ref="A1:D12" totalsRowShown="0" headerRowDxfId="64" dataDxfId="63">
  <autoFilter ref="A1:D12"/>
  <sortState ref="A2:E40">
    <sortCondition descending="1" ref="D1:D40"/>
  </sortState>
  <tableColumns count="4">
    <tableColumn id="73" name="Столбец1" dataDxfId="62"/>
    <tableColumn id="74" name="Столбец2" dataDxfId="61"/>
    <tableColumn id="75" name="Столбец3" dataDxfId="60"/>
    <tableColumn id="76" name="Столбец4" dataDxfId="5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7" name="ПЕРЕДАЧА_СКЛАД" displayName="ПЕРЕДАЧА_СКЛАД" ref="A1:D21" totalsRowShown="0" headerRowDxfId="58" dataDxfId="57">
  <autoFilter ref="A1:D21"/>
  <tableColumns count="4">
    <tableColumn id="2" name="САНА" dataDxfId="56"/>
    <tableColumn id="3" name="ТОВАР НОМИ" dataDxfId="55"/>
    <tableColumn id="4" name="ЎЛ.БИР" dataDxfId="54"/>
    <tableColumn id="5" name="СОНИ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" name="Таблица3" displayName="Таблица3" ref="A1:C149" totalsRowShown="0" headerRowDxfId="52" dataDxfId="51">
  <autoFilter ref="A1:C149"/>
  <tableColumns count="3">
    <tableColumn id="1" name="САНА" dataDxfId="50"/>
    <tableColumn id="2" name="МИЖОЗ" dataDxfId="49"/>
    <tableColumn id="3" name="САЛЬДО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ДАННЫЙ" displayName="ДАННЫЙ" ref="A1:E68" totalsRowShown="0" headerRowDxfId="6" dataDxfId="5">
  <autoFilter ref="A1:E68"/>
  <sortState ref="A2:E47">
    <sortCondition descending="1" ref="C1:C47"/>
  </sortState>
  <tableColumns count="5">
    <tableColumn id="1" name="КОНТРАГЕНТ" dataDxfId="4"/>
    <tableColumn id="2" name="ЕД.ИЗМ" dataDxfId="3"/>
    <tableColumn id="3" name="ТОВАРЫ" dataDxfId="2"/>
    <tableColumn id="4" name="ВИД СРЕДСТВ" dataDxfId="1"/>
    <tableColumn id="5" name="Столбец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20"/>
  <sheetViews>
    <sheetView view="pageBreakPreview" zoomScale="115" zoomScaleNormal="100" zoomScaleSheetLayoutView="115" workbookViewId="0">
      <selection activeCell="B31" sqref="B31"/>
    </sheetView>
  </sheetViews>
  <sheetFormatPr defaultRowHeight="14.4" x14ac:dyDescent="0.3"/>
  <sheetData>
    <row r="1" spans="1:11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</sheetData>
  <pageMargins left="0.7" right="0.7" top="0.75" bottom="0.75" header="0.3" footer="0.3"/>
  <pageSetup paperSize="9" scale="86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L3898"/>
  <sheetViews>
    <sheetView topLeftCell="A490" zoomScaleNormal="100" workbookViewId="0">
      <selection activeCell="H494" sqref="H494"/>
    </sheetView>
  </sheetViews>
  <sheetFormatPr defaultColWidth="9.109375" defaultRowHeight="14.4" x14ac:dyDescent="0.3"/>
  <cols>
    <col min="1" max="1" width="9.88671875" style="3" bestFit="1" customWidth="1"/>
    <col min="2" max="2" width="49.33203125" style="4" customWidth="1"/>
    <col min="3" max="3" width="18.88671875" style="1" customWidth="1"/>
    <col min="4" max="4" width="4.6640625" style="1" customWidth="1"/>
    <col min="5" max="6" width="13.33203125" style="31" customWidth="1"/>
    <col min="7" max="7" width="17.88671875" style="50" customWidth="1"/>
    <col min="8" max="8" width="13.5546875" style="31" customWidth="1"/>
    <col min="9" max="9" width="15.88671875" style="13" customWidth="1"/>
    <col min="10" max="10" width="17.109375" style="1" customWidth="1"/>
    <col min="11" max="11" width="18.109375" style="1" customWidth="1"/>
    <col min="12" max="12" width="10" style="1" bestFit="1" customWidth="1"/>
    <col min="13" max="16384" width="9.109375" style="1"/>
  </cols>
  <sheetData>
    <row r="1" spans="1:12" x14ac:dyDescent="0.3">
      <c r="A1" s="367" t="s">
        <v>3</v>
      </c>
      <c r="B1" s="367"/>
      <c r="C1" s="367"/>
      <c r="D1" s="367"/>
      <c r="E1" s="367"/>
      <c r="F1" s="367"/>
      <c r="G1" s="54">
        <f>SUBTOTAL(9,РЕАЛИЗАЦИЯ[ЖАМИ])</f>
        <v>2679908268</v>
      </c>
      <c r="H1" s="54"/>
      <c r="I1" s="54"/>
      <c r="J1" s="54">
        <f>SUBTOTAL(9,РЕАЛИЗАЦИЯ[ЖАМИ2])</f>
        <v>2405990770</v>
      </c>
      <c r="K1" s="54">
        <f>SUBTOTAL(9,РЕАЛИЗАЦИЯ[ФОЙДА])</f>
        <v>273917498</v>
      </c>
    </row>
    <row r="2" spans="1:12" x14ac:dyDescent="0.3">
      <c r="A2" s="3" t="s">
        <v>15</v>
      </c>
      <c r="B2" s="4" t="s">
        <v>16</v>
      </c>
      <c r="C2" s="1" t="s">
        <v>17</v>
      </c>
      <c r="D2" s="1" t="s">
        <v>18</v>
      </c>
      <c r="E2" s="31" t="s">
        <v>19</v>
      </c>
      <c r="F2" s="46" t="s">
        <v>20</v>
      </c>
      <c r="G2" s="53" t="s">
        <v>21</v>
      </c>
      <c r="H2" s="46" t="s">
        <v>22</v>
      </c>
      <c r="I2" s="13" t="s">
        <v>835</v>
      </c>
      <c r="J2" s="127" t="s">
        <v>836</v>
      </c>
      <c r="K2" s="274" t="s">
        <v>837</v>
      </c>
      <c r="L2" s="306" t="s">
        <v>10</v>
      </c>
    </row>
    <row r="3" spans="1:12" ht="15" customHeight="1" x14ac:dyDescent="0.3">
      <c r="B3" s="70"/>
      <c r="C3" s="56"/>
      <c r="D3" s="56"/>
      <c r="G3" s="50" t="s">
        <v>693</v>
      </c>
      <c r="I3" s="57"/>
      <c r="J3" s="31">
        <f>РЕАЛИЗАЦИЯ[[#This Row],[СОНИ]]*РЕАЛИЗАЦИЯ[[#This Row],[ТАННАРХ]]</f>
        <v>0</v>
      </c>
      <c r="K3" s="31"/>
      <c r="L3" s="31"/>
    </row>
    <row r="4" spans="1:12" ht="15" customHeight="1" x14ac:dyDescent="0.3">
      <c r="A4" s="3">
        <v>46174</v>
      </c>
      <c r="B4" s="4" t="s">
        <v>861</v>
      </c>
      <c r="C4" s="56" t="s">
        <v>43</v>
      </c>
      <c r="D4" s="56" t="s">
        <v>7</v>
      </c>
      <c r="E4" s="31">
        <v>48.4</v>
      </c>
      <c r="F4" s="31">
        <v>16000</v>
      </c>
      <c r="G4" s="50">
        <f>РЕАЛИЗАЦИЯ[[#This Row],[СОНИ]]*РЕАЛИЗАЦИЯ[[#This Row],[НАРХИ]]</f>
        <v>774400</v>
      </c>
      <c r="I4" s="57">
        <v>14000</v>
      </c>
      <c r="J4" s="31">
        <f>РЕАЛИЗАЦИЯ[[#This Row],[СОНИ]]*РЕАЛИЗАЦИЯ[[#This Row],[ТАННАРХ]]</f>
        <v>677600</v>
      </c>
      <c r="K4" s="31">
        <f>РЕАЛИЗАЦИЯ[[#This Row],[ЖАМИ]]-РЕАЛИЗАЦИЯ[[#This Row],[ЖАМИ2]]</f>
        <v>96800</v>
      </c>
      <c r="L4" s="31"/>
    </row>
    <row r="5" spans="1:12" ht="15" customHeight="1" x14ac:dyDescent="0.3">
      <c r="A5" s="3">
        <v>46174</v>
      </c>
      <c r="B5" s="4" t="s">
        <v>292</v>
      </c>
      <c r="C5" s="61" t="s">
        <v>43</v>
      </c>
      <c r="D5" s="61" t="s">
        <v>7</v>
      </c>
      <c r="E5" s="31">
        <v>49.4</v>
      </c>
      <c r="F5" s="31">
        <v>16000</v>
      </c>
      <c r="G5" s="50">
        <f>РЕАЛИЗАЦИЯ[[#This Row],[СОНИ]]*РЕАЛИЗАЦИЯ[[#This Row],[НАРХИ]]</f>
        <v>790400</v>
      </c>
      <c r="I5" s="57">
        <v>14000</v>
      </c>
      <c r="J5" s="31">
        <f>РЕАЛИЗАЦИЯ[[#This Row],[СОНИ]]*РЕАЛИЗАЦИЯ[[#This Row],[ТАННАРХ]]</f>
        <v>691600</v>
      </c>
      <c r="K5" s="31">
        <f>РЕАЛИЗАЦИЯ[[#This Row],[ЖАМИ]]-РЕАЛИЗАЦИЯ[[#This Row],[ЖАМИ2]]</f>
        <v>98800</v>
      </c>
      <c r="L5" s="31"/>
    </row>
    <row r="6" spans="1:12" ht="15" customHeight="1" x14ac:dyDescent="0.3">
      <c r="A6" s="3">
        <v>46174</v>
      </c>
      <c r="B6" s="4" t="s">
        <v>793</v>
      </c>
      <c r="C6" s="61" t="s">
        <v>605</v>
      </c>
      <c r="D6" s="61" t="s">
        <v>7</v>
      </c>
      <c r="E6" s="31">
        <v>415.9</v>
      </c>
      <c r="F6" s="31">
        <v>25000</v>
      </c>
      <c r="G6" s="50">
        <f>РЕАЛИЗАЦИЯ[[#This Row],[СОНИ]]*РЕАЛИЗАЦИЯ[[#This Row],[НАРХИ]]</f>
        <v>10397500</v>
      </c>
      <c r="I6" s="57">
        <v>22000</v>
      </c>
      <c r="J6" s="31">
        <f>РЕАЛИЗАЦИЯ[[#This Row],[СОНИ]]*РЕАЛИЗАЦИЯ[[#This Row],[ТАННАРХ]]</f>
        <v>9149800</v>
      </c>
      <c r="K6" s="31">
        <f>РЕАЛИЗАЦИЯ[[#This Row],[ЖАМИ]]-РЕАЛИЗАЦИЯ[[#This Row],[ЖАМИ2]]</f>
        <v>1247700</v>
      </c>
      <c r="L6" s="31"/>
    </row>
    <row r="7" spans="1:12" ht="15" customHeight="1" x14ac:dyDescent="0.3">
      <c r="A7" s="3">
        <v>46174</v>
      </c>
      <c r="B7" s="4" t="s">
        <v>464</v>
      </c>
      <c r="C7" s="61" t="s">
        <v>42</v>
      </c>
      <c r="D7" s="61" t="s">
        <v>7</v>
      </c>
      <c r="E7" s="31">
        <v>96.3</v>
      </c>
      <c r="F7" s="31">
        <v>25000</v>
      </c>
      <c r="G7" s="50">
        <f>РЕАЛИЗАЦИЯ[[#This Row],[СОНИ]]*РЕАЛИЗАЦИЯ[[#This Row],[НАРХИ]]</f>
        <v>2407500</v>
      </c>
      <c r="I7" s="57">
        <v>23000</v>
      </c>
      <c r="J7" s="31">
        <f>РЕАЛИЗАЦИЯ[[#This Row],[СОНИ]]*РЕАЛИЗАЦИЯ[[#This Row],[ТАННАРХ]]</f>
        <v>2214900</v>
      </c>
      <c r="K7" s="31">
        <f>РЕАЛИЗАЦИЯ[[#This Row],[ЖАМИ]]-РЕАЛИЗАЦИЯ[[#This Row],[ЖАМИ2]]</f>
        <v>192600</v>
      </c>
      <c r="L7" s="31"/>
    </row>
    <row r="8" spans="1:12" ht="15" customHeight="1" x14ac:dyDescent="0.3">
      <c r="A8" s="3">
        <v>46174</v>
      </c>
      <c r="B8" s="4" t="s">
        <v>464</v>
      </c>
      <c r="C8" s="61" t="s">
        <v>43</v>
      </c>
      <c r="D8" s="61" t="s">
        <v>7</v>
      </c>
      <c r="E8" s="31">
        <v>94.1</v>
      </c>
      <c r="F8" s="31">
        <v>16000</v>
      </c>
      <c r="G8" s="50">
        <f>РЕАЛИЗАЦИЯ[[#This Row],[СОНИ]]*РЕАЛИЗАЦИЯ[[#This Row],[НАРХИ]]</f>
        <v>1505600</v>
      </c>
      <c r="I8" s="57">
        <v>14000</v>
      </c>
      <c r="J8" s="31">
        <f>РЕАЛИЗАЦИЯ[[#This Row],[СОНИ]]*РЕАЛИЗАЦИЯ[[#This Row],[ТАННАРХ]]</f>
        <v>1317400</v>
      </c>
      <c r="K8" s="31">
        <f>РЕАЛИЗАЦИЯ[[#This Row],[ЖАМИ]]-РЕАЛИЗАЦИЯ[[#This Row],[ЖАМИ2]]</f>
        <v>188200</v>
      </c>
      <c r="L8" s="31"/>
    </row>
    <row r="9" spans="1:12" ht="15" customHeight="1" x14ac:dyDescent="0.3">
      <c r="A9" s="3">
        <v>46174</v>
      </c>
      <c r="B9" s="70" t="s">
        <v>491</v>
      </c>
      <c r="C9" s="5" t="s">
        <v>42</v>
      </c>
      <c r="D9" s="61" t="s">
        <v>7</v>
      </c>
      <c r="E9" s="31">
        <v>47.9</v>
      </c>
      <c r="F9" s="31">
        <v>24000</v>
      </c>
      <c r="G9" s="50">
        <f>РЕАЛИЗАЦИЯ[[#This Row],[СОНИ]]*РЕАЛИЗАЦИЯ[[#This Row],[НАРХИ]]</f>
        <v>1149600</v>
      </c>
      <c r="I9" s="57">
        <v>23000</v>
      </c>
      <c r="J9" s="31">
        <f>РЕАЛИЗАЦИЯ[[#This Row],[СОНИ]]*РЕАЛИЗАЦИЯ[[#This Row],[ТАННАРХ]]</f>
        <v>1101700</v>
      </c>
      <c r="K9" s="31">
        <f>РЕАЛИЗАЦИЯ[[#This Row],[ЖАМИ]]-РЕАЛИЗАЦИЯ[[#This Row],[ЖАМИ2]]</f>
        <v>47900</v>
      </c>
      <c r="L9" s="31"/>
    </row>
    <row r="10" spans="1:12" ht="15" customHeight="1" x14ac:dyDescent="0.3">
      <c r="A10" s="3">
        <v>46174</v>
      </c>
      <c r="B10" s="70" t="s">
        <v>246</v>
      </c>
      <c r="C10" s="61" t="s">
        <v>904</v>
      </c>
      <c r="D10" s="61" t="s">
        <v>7</v>
      </c>
      <c r="E10" s="31">
        <v>48.7</v>
      </c>
      <c r="F10" s="31">
        <v>23000</v>
      </c>
      <c r="G10" s="50">
        <f>РЕАЛИЗАЦИЯ[[#This Row],[СОНИ]]*РЕАЛИЗАЦИЯ[[#This Row],[НАРХИ]]</f>
        <v>1120100</v>
      </c>
      <c r="I10" s="57">
        <v>21000</v>
      </c>
      <c r="J10" s="31">
        <f>РЕАЛИЗАЦИЯ[[#This Row],[СОНИ]]*РЕАЛИЗАЦИЯ[[#This Row],[ТАННАРХ]]</f>
        <v>1022700.0000000001</v>
      </c>
      <c r="K10" s="31">
        <f>РЕАЛИЗАЦИЯ[[#This Row],[ЖАМИ]]-РЕАЛИЗАЦИЯ[[#This Row],[ЖАМИ2]]</f>
        <v>97399.999999999884</v>
      </c>
      <c r="L10" s="31"/>
    </row>
    <row r="11" spans="1:12" ht="15" customHeight="1" x14ac:dyDescent="0.3">
      <c r="A11" s="3">
        <v>46174</v>
      </c>
      <c r="B11" s="70" t="s">
        <v>73</v>
      </c>
      <c r="C11" s="63" t="s">
        <v>42</v>
      </c>
      <c r="D11" s="63" t="s">
        <v>7</v>
      </c>
      <c r="E11" s="31">
        <v>150.4</v>
      </c>
      <c r="F11" s="31">
        <v>25000</v>
      </c>
      <c r="G11" s="50">
        <f>РЕАЛИЗАЦИЯ[[#This Row],[СОНИ]]*РЕАЛИЗАЦИЯ[[#This Row],[НАРХИ]]</f>
        <v>3760000</v>
      </c>
      <c r="I11" s="57">
        <v>23000</v>
      </c>
      <c r="J11" s="31">
        <f>РЕАЛИЗАЦИЯ[[#This Row],[СОНИ]]*РЕАЛИЗАЦИЯ[[#This Row],[ТАННАРХ]]</f>
        <v>3459200</v>
      </c>
      <c r="K11" s="31">
        <f>РЕАЛИЗАЦИЯ[[#This Row],[ЖАМИ]]-РЕАЛИЗАЦИЯ[[#This Row],[ЖАМИ2]]</f>
        <v>300800</v>
      </c>
      <c r="L11" s="31"/>
    </row>
    <row r="12" spans="1:12" ht="15" customHeight="1" x14ac:dyDescent="0.3">
      <c r="A12" s="3">
        <v>46174</v>
      </c>
      <c r="B12" s="70" t="s">
        <v>73</v>
      </c>
      <c r="C12" s="71" t="s">
        <v>43</v>
      </c>
      <c r="D12" s="71" t="s">
        <v>7</v>
      </c>
      <c r="E12" s="31">
        <v>201</v>
      </c>
      <c r="F12" s="31">
        <v>16000</v>
      </c>
      <c r="G12" s="50">
        <f>РЕАЛИЗАЦИЯ[[#This Row],[СОНИ]]*РЕАЛИЗАЦИЯ[[#This Row],[НАРХИ]]</f>
        <v>3216000</v>
      </c>
      <c r="I12" s="44">
        <v>14000</v>
      </c>
      <c r="J12" s="31">
        <f>РЕАЛИЗАЦИЯ[[#This Row],[СОНИ]]*РЕАЛИЗАЦИЯ[[#This Row],[ТАННАРХ]]</f>
        <v>2814000</v>
      </c>
      <c r="K12" s="31">
        <f>РЕАЛИЗАЦИЯ[[#This Row],[ЖАМИ]]-РЕАЛИЗАЦИЯ[[#This Row],[ЖАМИ2]]</f>
        <v>402000</v>
      </c>
      <c r="L12" s="31"/>
    </row>
    <row r="13" spans="1:12" ht="15" customHeight="1" x14ac:dyDescent="0.3">
      <c r="A13" s="3">
        <v>46174</v>
      </c>
      <c r="B13" s="70" t="s">
        <v>112</v>
      </c>
      <c r="C13" s="64" t="s">
        <v>43</v>
      </c>
      <c r="D13" s="64" t="s">
        <v>7</v>
      </c>
      <c r="E13" s="31">
        <v>43.1</v>
      </c>
      <c r="F13" s="31">
        <v>16000</v>
      </c>
      <c r="G13" s="50">
        <f>РЕАЛИЗАЦИЯ[[#This Row],[СОНИ]]*РЕАЛИЗАЦИЯ[[#This Row],[НАРХИ]]</f>
        <v>689600</v>
      </c>
      <c r="I13" s="57">
        <v>14000</v>
      </c>
      <c r="J13" s="31">
        <f>РЕАЛИЗАЦИЯ[[#This Row],[СОНИ]]*РЕАЛИЗАЦИЯ[[#This Row],[ТАННАРХ]]</f>
        <v>603400</v>
      </c>
      <c r="K13" s="31">
        <f>РЕАЛИЗАЦИЯ[[#This Row],[ЖАМИ]]-РЕАЛИЗАЦИЯ[[#This Row],[ЖАМИ2]]</f>
        <v>86200</v>
      </c>
      <c r="L13" s="31"/>
    </row>
    <row r="14" spans="1:12" ht="15" customHeight="1" x14ac:dyDescent="0.3">
      <c r="A14" s="3">
        <v>46174</v>
      </c>
      <c r="B14" s="70" t="s">
        <v>886</v>
      </c>
      <c r="C14" s="64" t="s">
        <v>605</v>
      </c>
      <c r="D14" s="64" t="s">
        <v>7</v>
      </c>
      <c r="E14" s="31">
        <v>206.3</v>
      </c>
      <c r="F14" s="31">
        <v>24960</v>
      </c>
      <c r="G14" s="50">
        <f>РЕАЛИЗАЦИЯ[[#This Row],[СОНИ]]*РЕАЛИЗАЦИЯ[[#This Row],[НАРХИ]]</f>
        <v>5149248</v>
      </c>
      <c r="I14" s="57">
        <v>22000</v>
      </c>
      <c r="J14" s="31">
        <f>РЕАЛИЗАЦИЯ[[#This Row],[СОНИ]]*РЕАЛИЗАЦИЯ[[#This Row],[ТАННАРХ]]</f>
        <v>4538600</v>
      </c>
      <c r="K14" s="31">
        <f>РЕАЛИЗАЦИЯ[[#This Row],[ЖАМИ]]-РЕАЛИЗАЦИЯ[[#This Row],[ЖАМИ2]]</f>
        <v>610648</v>
      </c>
      <c r="L14" s="31"/>
    </row>
    <row r="15" spans="1:12" ht="15" customHeight="1" x14ac:dyDescent="0.3">
      <c r="A15" s="3">
        <v>46174</v>
      </c>
      <c r="B15" s="70" t="s">
        <v>895</v>
      </c>
      <c r="C15" s="64" t="s">
        <v>605</v>
      </c>
      <c r="D15" s="64" t="s">
        <v>7</v>
      </c>
      <c r="E15" s="31">
        <v>212.5</v>
      </c>
      <c r="F15" s="31">
        <v>25000</v>
      </c>
      <c r="G15" s="50">
        <f>РЕАЛИЗАЦИЯ[[#This Row],[СОНИ]]*РЕАЛИЗАЦИЯ[[#This Row],[НАРХИ]]</f>
        <v>5312500</v>
      </c>
      <c r="I15" s="57">
        <v>22000</v>
      </c>
      <c r="J15" s="31">
        <f>РЕАЛИЗАЦИЯ[[#This Row],[СОНИ]]*РЕАЛИЗАЦИЯ[[#This Row],[ТАННАРХ]]</f>
        <v>4675000</v>
      </c>
      <c r="K15" s="31">
        <f>РЕАЛИЗАЦИЯ[[#This Row],[ЖАМИ]]-РЕАЛИЗАЦИЯ[[#This Row],[ЖАМИ2]]</f>
        <v>637500</v>
      </c>
      <c r="L15" s="31"/>
    </row>
    <row r="16" spans="1:12" ht="15" customHeight="1" x14ac:dyDescent="0.3">
      <c r="A16" s="3">
        <v>46174</v>
      </c>
      <c r="B16" s="70" t="s">
        <v>597</v>
      </c>
      <c r="C16" s="64" t="s">
        <v>78</v>
      </c>
      <c r="D16" s="64" t="s">
        <v>7</v>
      </c>
      <c r="E16" s="31">
        <v>205.4</v>
      </c>
      <c r="F16" s="31">
        <v>21000</v>
      </c>
      <c r="G16" s="50">
        <f>РЕАЛИЗАЦИЯ[[#This Row],[СОНИ]]*РЕАЛИЗАЦИЯ[[#This Row],[НАРХИ]]</f>
        <v>4313400</v>
      </c>
      <c r="I16" s="57">
        <v>18000</v>
      </c>
      <c r="J16" s="31">
        <f>РЕАЛИЗАЦИЯ[[#This Row],[СОНИ]]*РЕАЛИЗАЦИЯ[[#This Row],[ТАННАРХ]]</f>
        <v>3697200</v>
      </c>
      <c r="K16" s="31">
        <f>РЕАЛИЗАЦИЯ[[#This Row],[ЖАМИ]]-РЕАЛИЗАЦИЯ[[#This Row],[ЖАМИ2]]</f>
        <v>616200</v>
      </c>
      <c r="L16" s="31"/>
    </row>
    <row r="17" spans="1:12" ht="15" customHeight="1" x14ac:dyDescent="0.3">
      <c r="A17" s="3">
        <v>46174</v>
      </c>
      <c r="B17" s="70" t="s">
        <v>464</v>
      </c>
      <c r="C17" s="64" t="s">
        <v>43</v>
      </c>
      <c r="D17" s="64" t="s">
        <v>7</v>
      </c>
      <c r="E17" s="31">
        <v>-49.6</v>
      </c>
      <c r="F17" s="31">
        <v>16000</v>
      </c>
      <c r="G17" s="50">
        <f>РЕАЛИЗАЦИЯ[[#This Row],[СОНИ]]*РЕАЛИЗАЦИЯ[[#This Row],[НАРХИ]]</f>
        <v>-793600</v>
      </c>
      <c r="I17" s="57">
        <v>13000</v>
      </c>
      <c r="J17" s="31">
        <f>РЕАЛИЗАЦИЯ[[#This Row],[СОНИ]]*РЕАЛИЗАЦИЯ[[#This Row],[ТАННАРХ]]</f>
        <v>-644800</v>
      </c>
      <c r="K17" s="31">
        <f>РЕАЛИЗАЦИЯ[[#This Row],[ЖАМИ]]-РЕАЛИЗАЦИЯ[[#This Row],[ЖАМИ2]]</f>
        <v>-148800</v>
      </c>
      <c r="L17" s="31"/>
    </row>
    <row r="18" spans="1:12" ht="15" customHeight="1" x14ac:dyDescent="0.3">
      <c r="A18" s="3">
        <v>46174</v>
      </c>
      <c r="B18" s="70" t="s">
        <v>552</v>
      </c>
      <c r="C18" s="64" t="s">
        <v>593</v>
      </c>
      <c r="D18" s="64" t="s">
        <v>7</v>
      </c>
      <c r="E18" s="31">
        <v>1682.8</v>
      </c>
      <c r="F18" s="31">
        <v>30000</v>
      </c>
      <c r="G18" s="50">
        <f>РЕАЛИЗАЦИЯ[[#This Row],[СОНИ]]*РЕАЛИЗАЦИЯ[[#This Row],[НАРХИ]]</f>
        <v>50484000</v>
      </c>
      <c r="I18" s="57">
        <v>25000</v>
      </c>
      <c r="J18" s="31">
        <f>РЕАЛИЗАЦИЯ[[#This Row],[СОНИ]]*РЕАЛИЗАЦИЯ[[#This Row],[ТАННАРХ]]</f>
        <v>42070000</v>
      </c>
      <c r="K18" s="31">
        <f>РЕАЛИЗАЦИЯ[[#This Row],[ЖАМИ]]-РЕАЛИЗАЦИЯ[[#This Row],[ЖАМИ2]]</f>
        <v>8414000</v>
      </c>
      <c r="L18" s="31"/>
    </row>
    <row r="19" spans="1:12" ht="15" customHeight="1" x14ac:dyDescent="0.3">
      <c r="A19" s="3">
        <v>46175</v>
      </c>
      <c r="B19" s="4" t="s">
        <v>552</v>
      </c>
      <c r="C19" s="277" t="s">
        <v>593</v>
      </c>
      <c r="D19" s="277" t="s">
        <v>7</v>
      </c>
      <c r="E19" s="31">
        <v>957.6</v>
      </c>
      <c r="F19" s="31">
        <v>30000</v>
      </c>
      <c r="G19" s="50">
        <f>РЕАЛИЗАЦИЯ[[#This Row],[СОНИ]]*РЕАЛИЗАЦИЯ[[#This Row],[НАРХИ]]</f>
        <v>28728000</v>
      </c>
      <c r="I19" s="166">
        <v>25000</v>
      </c>
      <c r="J19" s="31">
        <f>РЕАЛИЗАЦИЯ[[#This Row],[СОНИ]]*РЕАЛИЗАЦИЯ[[#This Row],[ТАННАРХ]]</f>
        <v>23940000</v>
      </c>
      <c r="K19" s="31">
        <f>РЕАЛИЗАЦИЯ[[#This Row],[ЖАМИ]]-РЕАЛИЗАЦИЯ[[#This Row],[ЖАМИ2]]</f>
        <v>4788000</v>
      </c>
      <c r="L19" s="31"/>
    </row>
    <row r="20" spans="1:12" ht="15" customHeight="1" x14ac:dyDescent="0.3">
      <c r="A20" s="3">
        <v>46175</v>
      </c>
      <c r="B20" s="70" t="s">
        <v>1006</v>
      </c>
      <c r="C20" s="64" t="s">
        <v>43</v>
      </c>
      <c r="D20" s="64" t="s">
        <v>7</v>
      </c>
      <c r="E20" s="31">
        <v>803</v>
      </c>
      <c r="F20" s="31">
        <v>16000</v>
      </c>
      <c r="G20" s="50">
        <f>РЕАЛИЗАЦИЯ[[#This Row],[СОНИ]]*РЕАЛИЗАЦИЯ[[#This Row],[НАРХИ]]</f>
        <v>12848000</v>
      </c>
      <c r="I20" s="57">
        <v>14000</v>
      </c>
      <c r="J20" s="31">
        <f>РЕАЛИЗАЦИЯ[[#This Row],[СОНИ]]*РЕАЛИЗАЦИЯ[[#This Row],[ТАННАРХ]]</f>
        <v>11242000</v>
      </c>
      <c r="K20" s="31">
        <f>РЕАЛИЗАЦИЯ[[#This Row],[ЖАМИ]]-РЕАЛИЗАЦИЯ[[#This Row],[ЖАМИ2]]</f>
        <v>1606000</v>
      </c>
      <c r="L20" s="31"/>
    </row>
    <row r="21" spans="1:12" s="277" customFormat="1" ht="15" customHeight="1" x14ac:dyDescent="0.3">
      <c r="A21" s="3">
        <v>46175</v>
      </c>
      <c r="B21" s="70" t="s">
        <v>481</v>
      </c>
      <c r="C21" s="64" t="s">
        <v>43</v>
      </c>
      <c r="D21" s="64" t="s">
        <v>7</v>
      </c>
      <c r="E21" s="31">
        <v>46.9</v>
      </c>
      <c r="F21" s="31">
        <v>16000</v>
      </c>
      <c r="G21" s="50">
        <f>РЕАЛИЗАЦИЯ[[#This Row],[СОНИ]]*РЕАЛИЗАЦИЯ[[#This Row],[НАРХИ]]</f>
        <v>750400</v>
      </c>
      <c r="H21" s="31"/>
      <c r="I21" s="57">
        <v>14000</v>
      </c>
      <c r="J21" s="31">
        <f>РЕАЛИЗАЦИЯ[[#This Row],[СОНИ]]*РЕАЛИЗАЦИЯ[[#This Row],[ТАННАРХ]]</f>
        <v>656600</v>
      </c>
      <c r="K21" s="31">
        <f>РЕАЛИЗАЦИЯ[[#This Row],[ЖАМИ]]-РЕАЛИЗАЦИЯ[[#This Row],[ЖАМИ2]]</f>
        <v>93800</v>
      </c>
      <c r="L21" s="31"/>
    </row>
    <row r="22" spans="1:12" ht="15" customHeight="1" x14ac:dyDescent="0.3">
      <c r="A22" s="3">
        <v>46175</v>
      </c>
      <c r="B22" s="70" t="s">
        <v>481</v>
      </c>
      <c r="C22" s="64" t="s">
        <v>904</v>
      </c>
      <c r="D22" s="64" t="s">
        <v>7</v>
      </c>
      <c r="E22" s="31">
        <v>49.8</v>
      </c>
      <c r="F22" s="31">
        <v>23000</v>
      </c>
      <c r="G22" s="50">
        <f>РЕАЛИЗАЦИЯ[[#This Row],[СОНИ]]*РЕАЛИЗАЦИЯ[[#This Row],[НАРХИ]]</f>
        <v>1145400</v>
      </c>
      <c r="I22" s="57">
        <v>21000</v>
      </c>
      <c r="J22" s="31">
        <f>РЕАЛИЗАЦИЯ[[#This Row],[СОНИ]]*РЕАЛИЗАЦИЯ[[#This Row],[ТАННАРХ]]</f>
        <v>1045799.9999999999</v>
      </c>
      <c r="K22" s="31">
        <f>РЕАЛИЗАЦИЯ[[#This Row],[ЖАМИ]]-РЕАЛИЗАЦИЯ[[#This Row],[ЖАМИ2]]</f>
        <v>99600.000000000116</v>
      </c>
      <c r="L22" s="31"/>
    </row>
    <row r="23" spans="1:12" ht="15" customHeight="1" x14ac:dyDescent="0.3">
      <c r="A23" s="3">
        <v>46175</v>
      </c>
      <c r="B23" s="70" t="s">
        <v>464</v>
      </c>
      <c r="C23" s="64" t="s">
        <v>42</v>
      </c>
      <c r="D23" s="64" t="s">
        <v>7</v>
      </c>
      <c r="E23" s="31">
        <v>53.4</v>
      </c>
      <c r="F23" s="31">
        <v>25000</v>
      </c>
      <c r="G23" s="50">
        <f>РЕАЛИЗАЦИЯ[[#This Row],[СОНИ]]*РЕАЛИЗАЦИЯ[[#This Row],[НАРХИ]]</f>
        <v>1335000</v>
      </c>
      <c r="I23" s="57">
        <v>23000</v>
      </c>
      <c r="J23" s="31">
        <f>РЕАЛИЗАЦИЯ[[#This Row],[СОНИ]]*РЕАЛИЗАЦИЯ[[#This Row],[ТАННАРХ]]</f>
        <v>1228200</v>
      </c>
      <c r="K23" s="31">
        <f>РЕАЛИЗАЦИЯ[[#This Row],[ЖАМИ]]-РЕАЛИЗАЦИЯ[[#This Row],[ЖАМИ2]]</f>
        <v>106800</v>
      </c>
      <c r="L23" s="31"/>
    </row>
    <row r="24" spans="1:12" ht="15" customHeight="1" x14ac:dyDescent="0.3">
      <c r="A24" s="3">
        <v>46175</v>
      </c>
      <c r="B24" s="70" t="s">
        <v>425</v>
      </c>
      <c r="C24" s="64" t="s">
        <v>42</v>
      </c>
      <c r="D24" s="64" t="s">
        <v>7</v>
      </c>
      <c r="E24" s="31">
        <v>43.8</v>
      </c>
      <c r="F24" s="31">
        <v>25000</v>
      </c>
      <c r="G24" s="50">
        <f>РЕАЛИЗАЦИЯ[[#This Row],[СОНИ]]*РЕАЛИЗАЦИЯ[[#This Row],[НАРХИ]]</f>
        <v>1095000</v>
      </c>
      <c r="I24" s="57">
        <v>23000</v>
      </c>
      <c r="J24" s="31">
        <f>РЕАЛИЗАЦИЯ[[#This Row],[СОНИ]]*РЕАЛИЗАЦИЯ[[#This Row],[ТАННАРХ]]</f>
        <v>1007399.9999999999</v>
      </c>
      <c r="K24" s="31">
        <f>РЕАЛИЗАЦИЯ[[#This Row],[ЖАМИ]]-РЕАЛИЗАЦИЯ[[#This Row],[ЖАМИ2]]</f>
        <v>87600.000000000116</v>
      </c>
      <c r="L24" s="31"/>
    </row>
    <row r="25" spans="1:12" ht="15" customHeight="1" x14ac:dyDescent="0.3">
      <c r="A25" s="3">
        <v>46175</v>
      </c>
      <c r="B25" s="70" t="s">
        <v>302</v>
      </c>
      <c r="C25" s="64" t="s">
        <v>42</v>
      </c>
      <c r="D25" s="64" t="s">
        <v>7</v>
      </c>
      <c r="E25" s="31">
        <v>93.1</v>
      </c>
      <c r="F25" s="31">
        <v>25000</v>
      </c>
      <c r="G25" s="50">
        <f>РЕАЛИЗАЦИЯ[[#This Row],[СОНИ]]*РЕАЛИЗАЦИЯ[[#This Row],[НАРХИ]]</f>
        <v>2327500</v>
      </c>
      <c r="I25" s="57">
        <v>23000</v>
      </c>
      <c r="J25" s="31">
        <f>РЕАЛИЗАЦИЯ[[#This Row],[СОНИ]]*РЕАЛИЗАЦИЯ[[#This Row],[ТАННАРХ]]</f>
        <v>2141300</v>
      </c>
      <c r="K25" s="31">
        <f>РЕАЛИЗАЦИЯ[[#This Row],[ЖАМИ]]-РЕАЛИЗАЦИЯ[[#This Row],[ЖАМИ2]]</f>
        <v>186200</v>
      </c>
      <c r="L25" s="31"/>
    </row>
    <row r="26" spans="1:12" ht="15" customHeight="1" x14ac:dyDescent="0.3">
      <c r="A26" s="3">
        <v>46175</v>
      </c>
      <c r="B26" s="70" t="s">
        <v>302</v>
      </c>
      <c r="C26" s="64" t="s">
        <v>42</v>
      </c>
      <c r="D26" s="64" t="s">
        <v>7</v>
      </c>
      <c r="E26" s="31">
        <v>49.1</v>
      </c>
      <c r="F26" s="31">
        <v>25000</v>
      </c>
      <c r="G26" s="50">
        <f>РЕАЛИЗАЦИЯ[[#This Row],[СОНИ]]*РЕАЛИЗАЦИЯ[[#This Row],[НАРХИ]]</f>
        <v>1227500</v>
      </c>
      <c r="I26" s="57">
        <v>23000</v>
      </c>
      <c r="J26" s="31">
        <f>РЕАЛИЗАЦИЯ[[#This Row],[СОНИ]]*РЕАЛИЗАЦИЯ[[#This Row],[ТАННАРХ]]</f>
        <v>1129300</v>
      </c>
      <c r="K26" s="31">
        <f>РЕАЛИЗАЦИЯ[[#This Row],[ЖАМИ]]-РЕАЛИЗАЦИЯ[[#This Row],[ЖАМИ2]]</f>
        <v>98200</v>
      </c>
      <c r="L26" s="31"/>
    </row>
    <row r="27" spans="1:12" ht="15" customHeight="1" x14ac:dyDescent="0.3">
      <c r="A27" s="3">
        <v>46175</v>
      </c>
      <c r="B27" s="70" t="s">
        <v>681</v>
      </c>
      <c r="C27" s="64" t="s">
        <v>43</v>
      </c>
      <c r="D27" s="64" t="s">
        <v>7</v>
      </c>
      <c r="E27" s="31">
        <v>1056</v>
      </c>
      <c r="F27" s="31">
        <v>15000</v>
      </c>
      <c r="G27" s="50">
        <f>РЕАЛИЗАЦИЯ[[#This Row],[СОНИ]]*РЕАЛИЗАЦИЯ[[#This Row],[НАРХИ]]</f>
        <v>15840000</v>
      </c>
      <c r="I27" s="57">
        <v>14000</v>
      </c>
      <c r="J27" s="31">
        <f>РЕАЛИЗАЦИЯ[[#This Row],[СОНИ]]*РЕАЛИЗАЦИЯ[[#This Row],[ТАННАРХ]]</f>
        <v>14784000</v>
      </c>
      <c r="K27" s="31">
        <f>РЕАЛИЗАЦИЯ[[#This Row],[ЖАМИ]]-РЕАЛИЗАЦИЯ[[#This Row],[ЖАМИ2]]</f>
        <v>1056000</v>
      </c>
      <c r="L27" s="31"/>
    </row>
    <row r="28" spans="1:12" ht="15" customHeight="1" x14ac:dyDescent="0.3">
      <c r="A28" s="3">
        <v>46175</v>
      </c>
      <c r="B28" s="70" t="s">
        <v>782</v>
      </c>
      <c r="C28" s="64" t="s">
        <v>44</v>
      </c>
      <c r="D28" s="64" t="s">
        <v>7</v>
      </c>
      <c r="E28" s="31">
        <v>206</v>
      </c>
      <c r="F28" s="31">
        <v>19000</v>
      </c>
      <c r="G28" s="50">
        <f>РЕАЛИЗАЦИЯ[[#This Row],[СОНИ]]*РЕАЛИЗАЦИЯ[[#This Row],[НАРХИ]]</f>
        <v>3914000</v>
      </c>
      <c r="I28" s="57">
        <v>18000</v>
      </c>
      <c r="J28" s="31">
        <f>РЕАЛИЗАЦИЯ[[#This Row],[СОНИ]]*РЕАЛИЗАЦИЯ[[#This Row],[ТАННАРХ]]</f>
        <v>3708000</v>
      </c>
      <c r="K28" s="31">
        <f>РЕАЛИЗАЦИЯ[[#This Row],[ЖАМИ]]-РЕАЛИЗАЦИЯ[[#This Row],[ЖАМИ2]]</f>
        <v>206000</v>
      </c>
      <c r="L28" s="31"/>
    </row>
    <row r="29" spans="1:12" ht="15" customHeight="1" x14ac:dyDescent="0.3">
      <c r="A29" s="3">
        <v>46175</v>
      </c>
      <c r="B29" s="70" t="s">
        <v>676</v>
      </c>
      <c r="C29" s="64" t="s">
        <v>605</v>
      </c>
      <c r="D29" s="64" t="s">
        <v>7</v>
      </c>
      <c r="E29" s="31">
        <v>60.6</v>
      </c>
      <c r="F29" s="31">
        <v>23000</v>
      </c>
      <c r="G29" s="50">
        <f>РЕАЛИЗАЦИЯ[[#This Row],[СОНИ]]*РЕАЛИЗАЦИЯ[[#This Row],[НАРХИ]]</f>
        <v>1393800</v>
      </c>
      <c r="I29" s="57">
        <v>22000</v>
      </c>
      <c r="J29" s="31">
        <f>РЕАЛИЗАЦИЯ[[#This Row],[СОНИ]]*РЕАЛИЗАЦИЯ[[#This Row],[ТАННАРХ]]</f>
        <v>1333200</v>
      </c>
      <c r="K29" s="31">
        <f>РЕАЛИЗАЦИЯ[[#This Row],[ЖАМИ]]-РЕАЛИЗАЦИЯ[[#This Row],[ЖАМИ2]]</f>
        <v>60600</v>
      </c>
      <c r="L29" s="31"/>
    </row>
    <row r="30" spans="1:12" ht="15" customHeight="1" x14ac:dyDescent="0.3">
      <c r="A30" s="3">
        <v>46175</v>
      </c>
      <c r="B30" s="70" t="s">
        <v>912</v>
      </c>
      <c r="C30" s="64" t="s">
        <v>42</v>
      </c>
      <c r="D30" s="64" t="s">
        <v>7</v>
      </c>
      <c r="E30" s="31">
        <v>278.39999999999998</v>
      </c>
      <c r="F30" s="31">
        <v>25000</v>
      </c>
      <c r="G30" s="50">
        <f>РЕАЛИЗАЦИЯ[[#This Row],[СОНИ]]*РЕАЛИЗАЦИЯ[[#This Row],[НАРХИ]]</f>
        <v>6959999.9999999991</v>
      </c>
      <c r="I30" s="57">
        <v>23000</v>
      </c>
      <c r="J30" s="31">
        <f>РЕАЛИЗАЦИЯ[[#This Row],[СОНИ]]*РЕАЛИЗАЦИЯ[[#This Row],[ТАННАРХ]]</f>
        <v>6403199.9999999991</v>
      </c>
      <c r="K30" s="31">
        <f>РЕАЛИЗАЦИЯ[[#This Row],[ЖАМИ]]-РЕАЛИЗАЦИЯ[[#This Row],[ЖАМИ2]]</f>
        <v>556800</v>
      </c>
      <c r="L30" s="31"/>
    </row>
    <row r="31" spans="1:12" ht="15" customHeight="1" x14ac:dyDescent="0.3">
      <c r="A31" s="3">
        <v>46175</v>
      </c>
      <c r="B31" s="70" t="s">
        <v>912</v>
      </c>
      <c r="C31" s="64" t="s">
        <v>43</v>
      </c>
      <c r="D31" s="64" t="s">
        <v>7</v>
      </c>
      <c r="E31" s="31">
        <v>93.6</v>
      </c>
      <c r="F31" s="31">
        <v>16000</v>
      </c>
      <c r="G31" s="50">
        <f>РЕАЛИЗАЦИЯ[[#This Row],[СОНИ]]*РЕАЛИЗАЦИЯ[[#This Row],[НАРХИ]]</f>
        <v>1497600</v>
      </c>
      <c r="I31" s="57">
        <v>14000</v>
      </c>
      <c r="J31" s="31">
        <f>РЕАЛИЗАЦИЯ[[#This Row],[СОНИ]]*РЕАЛИЗАЦИЯ[[#This Row],[ТАННАРХ]]</f>
        <v>1310400</v>
      </c>
      <c r="K31" s="31">
        <f>РЕАЛИЗАЦИЯ[[#This Row],[ЖАМИ]]-РЕАЛИЗАЦИЯ[[#This Row],[ЖАМИ2]]</f>
        <v>187200</v>
      </c>
      <c r="L31" s="31"/>
    </row>
    <row r="32" spans="1:12" ht="15" customHeight="1" x14ac:dyDescent="0.3">
      <c r="A32" s="3">
        <v>46176</v>
      </c>
      <c r="B32" s="70" t="s">
        <v>387</v>
      </c>
      <c r="C32" s="64" t="s">
        <v>43</v>
      </c>
      <c r="D32" s="64" t="s">
        <v>7</v>
      </c>
      <c r="E32" s="31">
        <v>50.3</v>
      </c>
      <c r="F32" s="31">
        <v>16000</v>
      </c>
      <c r="G32" s="50">
        <f>РЕАЛИЗАЦИЯ[[#This Row],[СОНИ]]*РЕАЛИЗАЦИЯ[[#This Row],[НАРХИ]]</f>
        <v>804800</v>
      </c>
      <c r="I32" s="57">
        <v>14000</v>
      </c>
      <c r="J32" s="31">
        <f>РЕАЛИЗАЦИЯ[[#This Row],[СОНИ]]*РЕАЛИЗАЦИЯ[[#This Row],[ТАННАРХ]]</f>
        <v>704200</v>
      </c>
      <c r="K32" s="31">
        <f>РЕАЛИЗАЦИЯ[[#This Row],[ЖАМИ]]-РЕАЛИЗАЦИЯ[[#This Row],[ЖАМИ2]]</f>
        <v>100600</v>
      </c>
      <c r="L32" s="31"/>
    </row>
    <row r="33" spans="1:12" ht="15" customHeight="1" x14ac:dyDescent="0.3">
      <c r="A33" s="3">
        <v>46176</v>
      </c>
      <c r="B33" s="70" t="s">
        <v>711</v>
      </c>
      <c r="C33" s="64" t="s">
        <v>904</v>
      </c>
      <c r="D33" s="64" t="s">
        <v>7</v>
      </c>
      <c r="E33" s="31">
        <v>39</v>
      </c>
      <c r="F33" s="31">
        <v>23000</v>
      </c>
      <c r="G33" s="50">
        <f>РЕАЛИЗАЦИЯ[[#This Row],[СОНИ]]*РЕАЛИЗАЦИЯ[[#This Row],[НАРХИ]]</f>
        <v>897000</v>
      </c>
      <c r="I33" s="57">
        <v>21000</v>
      </c>
      <c r="J33" s="31">
        <f>РЕАЛИЗАЦИЯ[[#This Row],[СОНИ]]*РЕАЛИЗАЦИЯ[[#This Row],[ТАННАРХ]]</f>
        <v>819000</v>
      </c>
      <c r="K33" s="31">
        <f>РЕАЛИЗАЦИЯ[[#This Row],[ЖАМИ]]-РЕАЛИЗАЦИЯ[[#This Row],[ЖАМИ2]]</f>
        <v>78000</v>
      </c>
      <c r="L33" s="31"/>
    </row>
    <row r="34" spans="1:12" ht="15" customHeight="1" x14ac:dyDescent="0.3">
      <c r="A34" s="3">
        <v>46176</v>
      </c>
      <c r="B34" s="70" t="s">
        <v>630</v>
      </c>
      <c r="C34" s="64" t="s">
        <v>42</v>
      </c>
      <c r="D34" s="64" t="s">
        <v>7</v>
      </c>
      <c r="E34" s="31">
        <v>50.3</v>
      </c>
      <c r="F34" s="31">
        <v>24000</v>
      </c>
      <c r="G34" s="50">
        <f>РЕАЛИЗАЦИЯ[[#This Row],[СОНИ]]*РЕАЛИЗАЦИЯ[[#This Row],[НАРХИ]]</f>
        <v>1207200</v>
      </c>
      <c r="I34" s="57">
        <v>23000</v>
      </c>
      <c r="J34" s="31">
        <f>РЕАЛИЗАЦИЯ[[#This Row],[СОНИ]]*РЕАЛИЗАЦИЯ[[#This Row],[ТАННАРХ]]</f>
        <v>1156900</v>
      </c>
      <c r="K34" s="31">
        <f>РЕАЛИЗАЦИЯ[[#This Row],[ЖАМИ]]-РЕАЛИЗАЦИЯ[[#This Row],[ЖАМИ2]]</f>
        <v>50300</v>
      </c>
      <c r="L34" s="31"/>
    </row>
    <row r="35" spans="1:12" ht="15" customHeight="1" x14ac:dyDescent="0.3">
      <c r="A35" s="3">
        <v>46176</v>
      </c>
      <c r="B35" s="70" t="s">
        <v>630</v>
      </c>
      <c r="C35" s="64" t="s">
        <v>43</v>
      </c>
      <c r="D35" s="64" t="s">
        <v>7</v>
      </c>
      <c r="E35" s="31">
        <v>88.5</v>
      </c>
      <c r="F35" s="31">
        <v>15000</v>
      </c>
      <c r="G35" s="50">
        <f>РЕАЛИЗАЦИЯ[[#This Row],[СОНИ]]*РЕАЛИЗАЦИЯ[[#This Row],[НАРХИ]]</f>
        <v>1327500</v>
      </c>
      <c r="I35" s="57">
        <v>14000</v>
      </c>
      <c r="J35" s="31">
        <f>РЕАЛИЗАЦИЯ[[#This Row],[СОНИ]]*РЕАЛИЗАЦИЯ[[#This Row],[ТАННАРХ]]</f>
        <v>1239000</v>
      </c>
      <c r="K35" s="31">
        <f>РЕАЛИЗАЦИЯ[[#This Row],[ЖАМИ]]-РЕАЛИЗАЦИЯ[[#This Row],[ЖАМИ2]]</f>
        <v>88500</v>
      </c>
      <c r="L35" s="31"/>
    </row>
    <row r="36" spans="1:12" ht="15" customHeight="1" x14ac:dyDescent="0.3">
      <c r="A36" s="3">
        <v>46176</v>
      </c>
      <c r="B36" s="70" t="s">
        <v>70</v>
      </c>
      <c r="C36" s="64" t="s">
        <v>904</v>
      </c>
      <c r="D36" s="64" t="s">
        <v>7</v>
      </c>
      <c r="E36" s="31">
        <v>96.4</v>
      </c>
      <c r="F36" s="31">
        <v>23000</v>
      </c>
      <c r="G36" s="50">
        <f>РЕАЛИЗАЦИЯ[[#This Row],[СОНИ]]*РЕАЛИЗАЦИЯ[[#This Row],[НАРХИ]]</f>
        <v>2217200</v>
      </c>
      <c r="I36" s="57">
        <v>21000</v>
      </c>
      <c r="J36" s="31">
        <f>РЕАЛИЗАЦИЯ[[#This Row],[СОНИ]]*РЕАЛИЗАЦИЯ[[#This Row],[ТАННАРХ]]</f>
        <v>2024400.0000000002</v>
      </c>
      <c r="K36" s="31">
        <f>РЕАЛИЗАЦИЯ[[#This Row],[ЖАМИ]]-РЕАЛИЗАЦИЯ[[#This Row],[ЖАМИ2]]</f>
        <v>192799.99999999977</v>
      </c>
      <c r="L36" s="31"/>
    </row>
    <row r="37" spans="1:12" ht="15" customHeight="1" x14ac:dyDescent="0.3">
      <c r="A37" s="3">
        <v>46176</v>
      </c>
      <c r="B37" s="70" t="s">
        <v>396</v>
      </c>
      <c r="C37" s="64" t="s">
        <v>904</v>
      </c>
      <c r="D37" s="64" t="s">
        <v>7</v>
      </c>
      <c r="E37" s="31">
        <v>47.3</v>
      </c>
      <c r="F37" s="31">
        <v>21000</v>
      </c>
      <c r="G37" s="50">
        <f>РЕАЛИЗАЦИЯ[[#This Row],[СОНИ]]*РЕАЛИЗАЦИЯ[[#This Row],[НАРХИ]]</f>
        <v>993299.99999999988</v>
      </c>
      <c r="I37" s="57">
        <v>21000</v>
      </c>
      <c r="J37" s="31">
        <f>РЕАЛИЗАЦИЯ[[#This Row],[СОНИ]]*РЕАЛИЗАЦИЯ[[#This Row],[ТАННАРХ]]</f>
        <v>993299.99999999988</v>
      </c>
      <c r="K37" s="31">
        <f>РЕАЛИЗАЦИЯ[[#This Row],[ЖАМИ]]-РЕАЛИЗАЦИЯ[[#This Row],[ЖАМИ2]]</f>
        <v>0</v>
      </c>
      <c r="L37" s="31"/>
    </row>
    <row r="38" spans="1:12" ht="15" customHeight="1" x14ac:dyDescent="0.3">
      <c r="A38" s="3">
        <v>46177</v>
      </c>
      <c r="B38" s="70" t="s">
        <v>377</v>
      </c>
      <c r="C38" s="64" t="s">
        <v>904</v>
      </c>
      <c r="D38" s="64" t="s">
        <v>7</v>
      </c>
      <c r="E38" s="31">
        <v>48.6</v>
      </c>
      <c r="F38" s="31">
        <v>23000</v>
      </c>
      <c r="G38" s="50">
        <f>РЕАЛИЗАЦИЯ[[#This Row],[СОНИ]]*РЕАЛИЗАЦИЯ[[#This Row],[НАРХИ]]</f>
        <v>1117800</v>
      </c>
      <c r="I38" s="57">
        <v>21000</v>
      </c>
      <c r="J38" s="31">
        <f>РЕАЛИЗАЦИЯ[[#This Row],[СОНИ]]*РЕАЛИЗАЦИЯ[[#This Row],[ТАННАРХ]]</f>
        <v>1020600</v>
      </c>
      <c r="K38" s="31">
        <f>РЕАЛИЗАЦИЯ[[#This Row],[ЖАМИ]]-РЕАЛИЗАЦИЯ[[#This Row],[ЖАМИ2]]</f>
        <v>97200</v>
      </c>
      <c r="L38" s="31"/>
    </row>
    <row r="39" spans="1:12" ht="15" customHeight="1" x14ac:dyDescent="0.3">
      <c r="A39" s="3">
        <v>46177</v>
      </c>
      <c r="B39" s="70" t="s">
        <v>377</v>
      </c>
      <c r="C39" s="64" t="s">
        <v>43</v>
      </c>
      <c r="D39" s="64" t="s">
        <v>7</v>
      </c>
      <c r="E39" s="31">
        <v>51.6</v>
      </c>
      <c r="F39" s="31">
        <v>16000</v>
      </c>
      <c r="G39" s="50">
        <f>РЕАЛИЗАЦИЯ[[#This Row],[СОНИ]]*РЕАЛИЗАЦИЯ[[#This Row],[НАРХИ]]</f>
        <v>825600</v>
      </c>
      <c r="I39" s="57">
        <v>14000</v>
      </c>
      <c r="J39" s="31">
        <f>РЕАЛИЗАЦИЯ[[#This Row],[СОНИ]]*РЕАЛИЗАЦИЯ[[#This Row],[ТАННАРХ]]</f>
        <v>722400</v>
      </c>
      <c r="K39" s="31">
        <f>РЕАЛИЗАЦИЯ[[#This Row],[ЖАМИ]]-РЕАЛИЗАЦИЯ[[#This Row],[ЖАМИ2]]</f>
        <v>103200</v>
      </c>
      <c r="L39" s="31"/>
    </row>
    <row r="40" spans="1:12" ht="15" customHeight="1" x14ac:dyDescent="0.3">
      <c r="A40" s="3">
        <v>46177</v>
      </c>
      <c r="B40" s="70" t="s">
        <v>641</v>
      </c>
      <c r="C40" s="72" t="s">
        <v>904</v>
      </c>
      <c r="D40" s="72" t="s">
        <v>7</v>
      </c>
      <c r="E40" s="31">
        <v>46.8</v>
      </c>
      <c r="F40" s="31">
        <v>23000</v>
      </c>
      <c r="G40" s="50">
        <f>РЕАЛИЗАЦИЯ[[#This Row],[СОНИ]]*РЕАЛИЗАЦИЯ[[#This Row],[НАРХИ]]</f>
        <v>1076400</v>
      </c>
      <c r="I40" s="57">
        <v>21000</v>
      </c>
      <c r="J40" s="31">
        <f>РЕАЛИЗАЦИЯ[[#This Row],[СОНИ]]*РЕАЛИЗАЦИЯ[[#This Row],[ТАННАРХ]]</f>
        <v>982799.99999999988</v>
      </c>
      <c r="K40" s="31">
        <f>РЕАЛИЗАЦИЯ[[#This Row],[ЖАМИ]]-РЕАЛИЗАЦИЯ[[#This Row],[ЖАМИ2]]</f>
        <v>93600.000000000116</v>
      </c>
      <c r="L40" s="31"/>
    </row>
    <row r="41" spans="1:12" ht="15" customHeight="1" x14ac:dyDescent="0.3">
      <c r="A41" s="3">
        <v>46177</v>
      </c>
      <c r="B41" s="4" t="s">
        <v>829</v>
      </c>
      <c r="C41" s="72" t="s">
        <v>904</v>
      </c>
      <c r="D41" s="72" t="s">
        <v>7</v>
      </c>
      <c r="E41" s="31">
        <v>43.6</v>
      </c>
      <c r="F41" s="31">
        <v>23000</v>
      </c>
      <c r="G41" s="50">
        <f>РЕАЛИЗАЦИЯ[[#This Row],[СОНИ]]*РЕАЛИЗАЦИЯ[[#This Row],[НАРХИ]]</f>
        <v>1002800</v>
      </c>
      <c r="I41" s="57">
        <v>21000</v>
      </c>
      <c r="J41" s="31">
        <f>РЕАЛИЗАЦИЯ[[#This Row],[СОНИ]]*РЕАЛИЗАЦИЯ[[#This Row],[ТАННАРХ]]</f>
        <v>915600</v>
      </c>
      <c r="K41" s="31">
        <f>РЕАЛИЗАЦИЯ[[#This Row],[ЖАМИ]]-РЕАЛИЗАЦИЯ[[#This Row],[ЖАМИ2]]</f>
        <v>87200</v>
      </c>
      <c r="L41" s="31"/>
    </row>
    <row r="42" spans="1:12" ht="15" customHeight="1" x14ac:dyDescent="0.3">
      <c r="A42" s="3">
        <v>46177</v>
      </c>
      <c r="B42" s="4" t="s">
        <v>521</v>
      </c>
      <c r="C42" s="72" t="s">
        <v>605</v>
      </c>
      <c r="D42" s="72" t="s">
        <v>7</v>
      </c>
      <c r="E42" s="31">
        <v>529.1</v>
      </c>
      <c r="F42" s="31">
        <v>25000</v>
      </c>
      <c r="G42" s="50">
        <f>РЕАЛИЗАЦИЯ[[#This Row],[СОНИ]]*РЕАЛИЗАЦИЯ[[#This Row],[НАРХИ]]</f>
        <v>13227500</v>
      </c>
      <c r="I42" s="57">
        <v>22000</v>
      </c>
      <c r="J42" s="31">
        <f>РЕАЛИЗАЦИЯ[[#This Row],[СОНИ]]*РЕАЛИЗАЦИЯ[[#This Row],[ТАННАРХ]]</f>
        <v>11640200</v>
      </c>
      <c r="K42" s="31">
        <f>РЕАЛИЗАЦИЯ[[#This Row],[ЖАМИ]]-РЕАЛИЗАЦИЯ[[#This Row],[ЖАМИ2]]</f>
        <v>1587300</v>
      </c>
      <c r="L42" s="31"/>
    </row>
    <row r="43" spans="1:12" ht="15" customHeight="1" x14ac:dyDescent="0.3">
      <c r="A43" s="3">
        <v>46177</v>
      </c>
      <c r="B43" s="4" t="s">
        <v>521</v>
      </c>
      <c r="C43" s="277" t="s">
        <v>605</v>
      </c>
      <c r="D43" s="277" t="s">
        <v>7</v>
      </c>
      <c r="E43" s="31">
        <v>-87.8</v>
      </c>
      <c r="F43" s="31">
        <v>25000</v>
      </c>
      <c r="G43" s="50">
        <f>РЕАЛИЗАЦИЯ[[#This Row],[СОНИ]]*РЕАЛИЗАЦИЯ[[#This Row],[НАРХИ]]</f>
        <v>-2195000</v>
      </c>
      <c r="I43" s="57">
        <v>22000</v>
      </c>
      <c r="J43" s="31">
        <f>РЕАЛИЗАЦИЯ[[#This Row],[СОНИ]]*РЕАЛИЗАЦИЯ[[#This Row],[ТАННАРХ]]</f>
        <v>-1931600</v>
      </c>
      <c r="K43" s="31">
        <f>РЕАЛИЗАЦИЯ[[#This Row],[ЖАМИ]]-РЕАЛИЗАЦИЯ[[#This Row],[ЖАМИ2]]</f>
        <v>-263400</v>
      </c>
      <c r="L43" s="31"/>
    </row>
    <row r="44" spans="1:12" ht="15" customHeight="1" x14ac:dyDescent="0.3">
      <c r="A44" s="3">
        <v>46177</v>
      </c>
      <c r="B44" s="4" t="s">
        <v>498</v>
      </c>
      <c r="C44" s="72" t="s">
        <v>904</v>
      </c>
      <c r="D44" s="72" t="s">
        <v>7</v>
      </c>
      <c r="E44" s="31">
        <v>48</v>
      </c>
      <c r="F44" s="31">
        <v>23000</v>
      </c>
      <c r="G44" s="50">
        <f>РЕАЛИЗАЦИЯ[[#This Row],[СОНИ]]*РЕАЛИЗАЦИЯ[[#This Row],[НАРХИ]]</f>
        <v>1104000</v>
      </c>
      <c r="I44" s="57">
        <v>21000</v>
      </c>
      <c r="J44" s="31">
        <f>РЕАЛИЗАЦИЯ[[#This Row],[СОНИ]]*РЕАЛИЗАЦИЯ[[#This Row],[ТАННАРХ]]</f>
        <v>1008000</v>
      </c>
      <c r="K44" s="31">
        <f>РЕАЛИЗАЦИЯ[[#This Row],[ЖАМИ]]-РЕАЛИЗАЦИЯ[[#This Row],[ЖАМИ2]]</f>
        <v>96000</v>
      </c>
      <c r="L44" s="31"/>
    </row>
    <row r="45" spans="1:12" s="277" customFormat="1" ht="15" customHeight="1" x14ac:dyDescent="0.3">
      <c r="A45" s="3">
        <v>46177</v>
      </c>
      <c r="B45" s="4" t="s">
        <v>498</v>
      </c>
      <c r="C45" s="73" t="s">
        <v>43</v>
      </c>
      <c r="D45" s="73" t="s">
        <v>7</v>
      </c>
      <c r="E45" s="31">
        <v>49.2</v>
      </c>
      <c r="F45" s="31">
        <v>16000</v>
      </c>
      <c r="G45" s="50">
        <f>РЕАЛИЗАЦИЯ[[#This Row],[СОНИ]]*РЕАЛИЗАЦИЯ[[#This Row],[НАРХИ]]</f>
        <v>787200</v>
      </c>
      <c r="H45" s="31"/>
      <c r="I45" s="57">
        <v>14000</v>
      </c>
      <c r="J45" s="31">
        <f>РЕАЛИЗАЦИЯ[[#This Row],[СОНИ]]*РЕАЛИЗАЦИЯ[[#This Row],[ТАННАРХ]]</f>
        <v>688800</v>
      </c>
      <c r="K45" s="31">
        <f>РЕАЛИЗАЦИЯ[[#This Row],[ЖАМИ]]-РЕАЛИЗАЦИЯ[[#This Row],[ЖАМИ2]]</f>
        <v>98400</v>
      </c>
      <c r="L45" s="31"/>
    </row>
    <row r="46" spans="1:12" ht="15" customHeight="1" x14ac:dyDescent="0.3">
      <c r="A46" s="3">
        <v>46177</v>
      </c>
      <c r="B46" s="4" t="s">
        <v>150</v>
      </c>
      <c r="C46" s="73" t="s">
        <v>904</v>
      </c>
      <c r="D46" s="73" t="s">
        <v>7</v>
      </c>
      <c r="E46" s="31">
        <v>95.9</v>
      </c>
      <c r="F46" s="31">
        <v>23000</v>
      </c>
      <c r="G46" s="50">
        <f>РЕАЛИЗАЦИЯ[[#This Row],[СОНИ]]*РЕАЛИЗАЦИЯ[[#This Row],[НАРХИ]]</f>
        <v>2205700</v>
      </c>
      <c r="I46" s="57">
        <v>21000</v>
      </c>
      <c r="J46" s="31">
        <f>РЕАЛИЗАЦИЯ[[#This Row],[СОНИ]]*РЕАЛИЗАЦИЯ[[#This Row],[ТАННАРХ]]</f>
        <v>2013900.0000000002</v>
      </c>
      <c r="K46" s="31">
        <f>РЕАЛИЗАЦИЯ[[#This Row],[ЖАМИ]]-РЕАЛИЗАЦИЯ[[#This Row],[ЖАМИ2]]</f>
        <v>191799.99999999977</v>
      </c>
      <c r="L46" s="31"/>
    </row>
    <row r="47" spans="1:12" ht="15" customHeight="1" x14ac:dyDescent="0.3">
      <c r="A47" s="3">
        <v>46177</v>
      </c>
      <c r="B47" s="4" t="s">
        <v>879</v>
      </c>
      <c r="C47" s="73" t="s">
        <v>904</v>
      </c>
      <c r="D47" s="73" t="s">
        <v>7</v>
      </c>
      <c r="E47" s="31">
        <v>44.1</v>
      </c>
      <c r="F47" s="31">
        <v>23000</v>
      </c>
      <c r="G47" s="50">
        <f>РЕАЛИЗАЦИЯ[[#This Row],[СОНИ]]*РЕАЛИЗАЦИЯ[[#This Row],[НАРХИ]]</f>
        <v>1014300</v>
      </c>
      <c r="I47" s="57">
        <v>21000</v>
      </c>
      <c r="J47" s="31">
        <f>РЕАЛИЗАЦИЯ[[#This Row],[СОНИ]]*РЕАЛИЗАЦИЯ[[#This Row],[ТАННАРХ]]</f>
        <v>926100</v>
      </c>
      <c r="K47" s="31">
        <f>РЕАЛИЗАЦИЯ[[#This Row],[ЖАМИ]]-РЕАЛИЗАЦИЯ[[#This Row],[ЖАМИ2]]</f>
        <v>88200</v>
      </c>
      <c r="L47" s="31"/>
    </row>
    <row r="48" spans="1:12" s="73" customFormat="1" ht="15" customHeight="1" x14ac:dyDescent="0.3">
      <c r="A48" s="3">
        <v>46177</v>
      </c>
      <c r="B48" s="4" t="s">
        <v>218</v>
      </c>
      <c r="C48" s="73" t="s">
        <v>904</v>
      </c>
      <c r="D48" s="73" t="s">
        <v>7</v>
      </c>
      <c r="E48" s="31">
        <v>180.1</v>
      </c>
      <c r="F48" s="31">
        <v>24000</v>
      </c>
      <c r="G48" s="50">
        <f>РЕАЛИЗАЦИЯ[[#This Row],[СОНИ]]*РЕАЛИЗАЦИЯ[[#This Row],[НАРХИ]]</f>
        <v>4322400</v>
      </c>
      <c r="H48" s="31"/>
      <c r="I48" s="57">
        <v>21000</v>
      </c>
      <c r="J48" s="31">
        <f>РЕАЛИЗАЦИЯ[[#This Row],[СОНИ]]*РЕАЛИЗАЦИЯ[[#This Row],[ТАННАРХ]]</f>
        <v>3782100</v>
      </c>
      <c r="K48" s="31">
        <f>РЕАЛИЗАЦИЯ[[#This Row],[ЖАМИ]]-РЕАЛИЗАЦИЯ[[#This Row],[ЖАМИ2]]</f>
        <v>540300</v>
      </c>
      <c r="L48" s="31"/>
    </row>
    <row r="49" spans="1:12" s="73" customFormat="1" ht="15" customHeight="1" x14ac:dyDescent="0.3">
      <c r="A49" s="3">
        <v>46177</v>
      </c>
      <c r="B49" s="4" t="s">
        <v>218</v>
      </c>
      <c r="C49" s="72" t="s">
        <v>43</v>
      </c>
      <c r="D49" s="72" t="s">
        <v>7</v>
      </c>
      <c r="E49" s="31">
        <v>96</v>
      </c>
      <c r="F49" s="31">
        <v>15000</v>
      </c>
      <c r="G49" s="50">
        <f>РЕАЛИЗАЦИЯ[[#This Row],[СОНИ]]*РЕАЛИЗАЦИЯ[[#This Row],[НАРХИ]]</f>
        <v>1440000</v>
      </c>
      <c r="H49" s="31"/>
      <c r="I49" s="57">
        <v>14000</v>
      </c>
      <c r="J49" s="31">
        <f>РЕАЛИЗАЦИЯ[[#This Row],[СОНИ]]*РЕАЛИЗАЦИЯ[[#This Row],[ТАННАРХ]]</f>
        <v>1344000</v>
      </c>
      <c r="K49" s="31">
        <f>РЕАЛИЗАЦИЯ[[#This Row],[ЖАМИ]]-РЕАЛИЗАЦИЯ[[#This Row],[ЖАМИ2]]</f>
        <v>96000</v>
      </c>
      <c r="L49" s="31"/>
    </row>
    <row r="50" spans="1:12" ht="15" customHeight="1" x14ac:dyDescent="0.3">
      <c r="A50" s="3">
        <v>46178</v>
      </c>
      <c r="B50" s="4" t="s">
        <v>206</v>
      </c>
      <c r="C50" s="72" t="s">
        <v>43</v>
      </c>
      <c r="D50" s="72" t="s">
        <v>7</v>
      </c>
      <c r="E50" s="31">
        <v>102.6</v>
      </c>
      <c r="F50" s="31">
        <v>16000</v>
      </c>
      <c r="G50" s="50">
        <f>РЕАЛИЗАЦИЯ[[#This Row],[СОНИ]]*РЕАЛИЗАЦИЯ[[#This Row],[НАРХИ]]</f>
        <v>1641600</v>
      </c>
      <c r="I50" s="57">
        <v>14000</v>
      </c>
      <c r="J50" s="31">
        <f>РЕАЛИЗАЦИЯ[[#This Row],[СОНИ]]*РЕАЛИЗАЦИЯ[[#This Row],[ТАННАРХ]]</f>
        <v>1436400</v>
      </c>
      <c r="K50" s="31">
        <f>РЕАЛИЗАЦИЯ[[#This Row],[ЖАМИ]]-РЕАЛИЗАЦИЯ[[#This Row],[ЖАМИ2]]</f>
        <v>205200</v>
      </c>
      <c r="L50" s="31"/>
    </row>
    <row r="51" spans="1:12" ht="15" customHeight="1" x14ac:dyDescent="0.3">
      <c r="A51" s="3">
        <v>46178</v>
      </c>
      <c r="B51" s="4" t="s">
        <v>76</v>
      </c>
      <c r="C51" s="276" t="s">
        <v>43</v>
      </c>
      <c r="D51" s="276" t="s">
        <v>7</v>
      </c>
      <c r="E51" s="31">
        <v>150</v>
      </c>
      <c r="F51" s="31">
        <v>16000</v>
      </c>
      <c r="G51" s="50">
        <f>РЕАЛИЗАЦИЯ[[#This Row],[СОНИ]]*РЕАЛИЗАЦИЯ[[#This Row],[НАРХИ]]</f>
        <v>2400000</v>
      </c>
      <c r="I51" s="57">
        <v>14000</v>
      </c>
      <c r="J51" s="31">
        <f>РЕАЛИЗАЦИЯ[[#This Row],[СОНИ]]*РЕАЛИЗАЦИЯ[[#This Row],[ТАННАРХ]]</f>
        <v>2100000</v>
      </c>
      <c r="K51" s="31">
        <f>РЕАЛИЗАЦИЯ[[#This Row],[ЖАМИ]]-РЕАЛИЗАЦИЯ[[#This Row],[ЖАМИ2]]</f>
        <v>300000</v>
      </c>
      <c r="L51" s="31"/>
    </row>
    <row r="52" spans="1:12" ht="15" customHeight="1" x14ac:dyDescent="0.3">
      <c r="A52" s="3">
        <v>46178</v>
      </c>
      <c r="B52" s="4" t="s">
        <v>76</v>
      </c>
      <c r="C52" s="72" t="s">
        <v>904</v>
      </c>
      <c r="D52" s="72" t="s">
        <v>7</v>
      </c>
      <c r="E52" s="31">
        <v>93.3</v>
      </c>
      <c r="F52" s="31">
        <v>23000</v>
      </c>
      <c r="G52" s="50">
        <f>РЕАЛИЗАЦИЯ[[#This Row],[СОНИ]]*РЕАЛИЗАЦИЯ[[#This Row],[НАРХИ]]</f>
        <v>2145900</v>
      </c>
      <c r="I52" s="57">
        <v>21000</v>
      </c>
      <c r="J52" s="31">
        <f>РЕАЛИЗАЦИЯ[[#This Row],[СОНИ]]*РЕАЛИЗАЦИЯ[[#This Row],[ТАННАРХ]]</f>
        <v>1959300</v>
      </c>
      <c r="K52" s="31">
        <f>РЕАЛИЗАЦИЯ[[#This Row],[ЖАМИ]]-РЕАЛИЗАЦИЯ[[#This Row],[ЖАМИ2]]</f>
        <v>186600</v>
      </c>
      <c r="L52" s="31"/>
    </row>
    <row r="53" spans="1:12" s="276" customFormat="1" ht="15" customHeight="1" x14ac:dyDescent="0.3">
      <c r="A53" s="3">
        <v>46178</v>
      </c>
      <c r="B53" s="4" t="s">
        <v>552</v>
      </c>
      <c r="C53" s="277" t="s">
        <v>593</v>
      </c>
      <c r="D53" s="277" t="s">
        <v>7</v>
      </c>
      <c r="E53" s="31">
        <v>1719.9</v>
      </c>
      <c r="F53" s="31">
        <v>30000</v>
      </c>
      <c r="G53" s="50">
        <f>РЕАЛИЗАЦИЯ[[#This Row],[СОНИ]]*РЕАЛИЗАЦИЯ[[#This Row],[НАРХИ]]</f>
        <v>51597000</v>
      </c>
      <c r="H53" s="31"/>
      <c r="I53" s="166">
        <v>25000</v>
      </c>
      <c r="J53" s="31">
        <f>РЕАЛИЗАЦИЯ[[#This Row],[СОНИ]]*РЕАЛИЗАЦИЯ[[#This Row],[ТАННАРХ]]</f>
        <v>42997500</v>
      </c>
      <c r="K53" s="31">
        <f>РЕАЛИЗАЦИЯ[[#This Row],[ЖАМИ]]-РЕАЛИЗАЦИЯ[[#This Row],[ЖАМИ2]]</f>
        <v>8599500</v>
      </c>
      <c r="L53" s="31"/>
    </row>
    <row r="54" spans="1:12" x14ac:dyDescent="0.3">
      <c r="A54" s="3">
        <v>46178</v>
      </c>
      <c r="B54" s="4" t="s">
        <v>991</v>
      </c>
      <c r="C54" s="72" t="s">
        <v>43</v>
      </c>
      <c r="D54" s="72" t="s">
        <v>7</v>
      </c>
      <c r="E54" s="31">
        <v>44.6</v>
      </c>
      <c r="F54" s="31">
        <v>16000</v>
      </c>
      <c r="G54" s="50">
        <f>РЕАЛИЗАЦИЯ[[#This Row],[СОНИ]]*РЕАЛИЗАЦИЯ[[#This Row],[НАРХИ]]</f>
        <v>713600</v>
      </c>
      <c r="I54" s="57">
        <v>14000</v>
      </c>
      <c r="J54" s="31">
        <f>РЕАЛИЗАЦИЯ[[#This Row],[СОНИ]]*РЕАЛИЗАЦИЯ[[#This Row],[ТАННАРХ]]</f>
        <v>624400</v>
      </c>
      <c r="K54" s="31">
        <f>РЕАЛИЗАЦИЯ[[#This Row],[ЖАМИ]]-РЕАЛИЗАЦИЯ[[#This Row],[ЖАМИ2]]</f>
        <v>89200</v>
      </c>
      <c r="L54" s="31"/>
    </row>
    <row r="55" spans="1:12" s="277" customFormat="1" x14ac:dyDescent="0.3">
      <c r="A55" s="3">
        <v>46178</v>
      </c>
      <c r="B55" s="4" t="s">
        <v>764</v>
      </c>
      <c r="C55" s="72" t="s">
        <v>904</v>
      </c>
      <c r="D55" s="72" t="s">
        <v>7</v>
      </c>
      <c r="E55" s="31">
        <v>144.5</v>
      </c>
      <c r="F55" s="31">
        <v>23000</v>
      </c>
      <c r="G55" s="50">
        <f>РЕАЛИЗАЦИЯ[[#This Row],[СОНИ]]*РЕАЛИЗАЦИЯ[[#This Row],[НАРХИ]]</f>
        <v>3323500</v>
      </c>
      <c r="H55" s="31"/>
      <c r="I55" s="57">
        <v>21000</v>
      </c>
      <c r="J55" s="31">
        <f>РЕАЛИЗАЦИЯ[[#This Row],[СОНИ]]*РЕАЛИЗАЦИЯ[[#This Row],[ТАННАРХ]]</f>
        <v>3034500</v>
      </c>
      <c r="K55" s="31">
        <f>РЕАЛИЗАЦИЯ[[#This Row],[ЖАМИ]]-РЕАЛИЗАЦИЯ[[#This Row],[ЖАМИ2]]</f>
        <v>289000</v>
      </c>
      <c r="L55" s="31"/>
    </row>
    <row r="56" spans="1:12" x14ac:dyDescent="0.3">
      <c r="A56" s="3">
        <v>46178</v>
      </c>
      <c r="B56" s="4" t="s">
        <v>764</v>
      </c>
      <c r="C56" s="72" t="s">
        <v>43</v>
      </c>
      <c r="D56" s="72" t="s">
        <v>7</v>
      </c>
      <c r="E56" s="31">
        <v>92.2</v>
      </c>
      <c r="F56" s="31">
        <v>16000</v>
      </c>
      <c r="G56" s="50">
        <f>РЕАЛИЗАЦИЯ[[#This Row],[СОНИ]]*РЕАЛИЗАЦИЯ[[#This Row],[НАРХИ]]</f>
        <v>1475200</v>
      </c>
      <c r="I56" s="57">
        <v>14000</v>
      </c>
      <c r="J56" s="31">
        <f>РЕАЛИЗАЦИЯ[[#This Row],[СОНИ]]*РЕАЛИЗАЦИЯ[[#This Row],[ТАННАРХ]]</f>
        <v>1290800</v>
      </c>
      <c r="K56" s="31">
        <f>РЕАЛИЗАЦИЯ[[#This Row],[ЖАМИ]]-РЕАЛИЗАЦИЯ[[#This Row],[ЖАМИ2]]</f>
        <v>184400</v>
      </c>
      <c r="L56" s="31"/>
    </row>
    <row r="57" spans="1:12" ht="15" customHeight="1" x14ac:dyDescent="0.3">
      <c r="A57" s="3">
        <v>46178</v>
      </c>
      <c r="B57" s="4" t="s">
        <v>475</v>
      </c>
      <c r="C57" s="72" t="s">
        <v>904</v>
      </c>
      <c r="D57" s="72" t="s">
        <v>7</v>
      </c>
      <c r="E57" s="31">
        <v>39.700000000000003</v>
      </c>
      <c r="F57" s="31">
        <v>23000</v>
      </c>
      <c r="G57" s="50">
        <f>РЕАЛИЗАЦИЯ[[#This Row],[СОНИ]]*РЕАЛИЗАЦИЯ[[#This Row],[НАРХИ]]</f>
        <v>913100.00000000012</v>
      </c>
      <c r="I57" s="57">
        <v>21000</v>
      </c>
      <c r="J57" s="31">
        <f>РЕАЛИЗАЦИЯ[[#This Row],[СОНИ]]*РЕАЛИЗАЦИЯ[[#This Row],[ТАННАРХ]]</f>
        <v>833700.00000000012</v>
      </c>
      <c r="K57" s="31">
        <f>РЕАЛИЗАЦИЯ[[#This Row],[ЖАМИ]]-РЕАЛИЗАЦИЯ[[#This Row],[ЖАМИ2]]</f>
        <v>79400</v>
      </c>
      <c r="L57" s="31"/>
    </row>
    <row r="58" spans="1:12" ht="15" customHeight="1" x14ac:dyDescent="0.3">
      <c r="A58" s="3">
        <v>46178</v>
      </c>
      <c r="B58" s="4" t="s">
        <v>162</v>
      </c>
      <c r="C58" s="72" t="s">
        <v>904</v>
      </c>
      <c r="D58" s="72" t="s">
        <v>7</v>
      </c>
      <c r="E58" s="31">
        <v>91.7</v>
      </c>
      <c r="F58" s="31">
        <v>22000</v>
      </c>
      <c r="G58" s="50">
        <f>РЕАЛИЗАЦИЯ[[#This Row],[СОНИ]]*РЕАЛИЗАЦИЯ[[#This Row],[НАРХИ]]</f>
        <v>2017400</v>
      </c>
      <c r="I58" s="57">
        <v>21000</v>
      </c>
      <c r="J58" s="31">
        <f>РЕАЛИЗАЦИЯ[[#This Row],[СОНИ]]*РЕАЛИЗАЦИЯ[[#This Row],[ТАННАРХ]]</f>
        <v>1925700</v>
      </c>
      <c r="K58" s="31">
        <f>РЕАЛИЗАЦИЯ[[#This Row],[ЖАМИ]]-РЕАЛИЗАЦИЯ[[#This Row],[ЖАМИ2]]</f>
        <v>91700</v>
      </c>
      <c r="L58" s="31"/>
    </row>
    <row r="59" spans="1:12" ht="15" customHeight="1" x14ac:dyDescent="0.3">
      <c r="A59" s="3">
        <v>46178</v>
      </c>
      <c r="B59" s="4" t="s">
        <v>162</v>
      </c>
      <c r="C59" s="72" t="s">
        <v>43</v>
      </c>
      <c r="D59" s="72" t="s">
        <v>7</v>
      </c>
      <c r="E59" s="31">
        <v>38.1</v>
      </c>
      <c r="F59" s="31">
        <v>15000</v>
      </c>
      <c r="G59" s="50">
        <f>РЕАЛИЗАЦИЯ[[#This Row],[СОНИ]]*РЕАЛИЗАЦИЯ[[#This Row],[НАРХИ]]</f>
        <v>571500</v>
      </c>
      <c r="I59" s="57">
        <v>14000</v>
      </c>
      <c r="J59" s="31">
        <f>РЕАЛИЗАЦИЯ[[#This Row],[СОНИ]]*РЕАЛИЗАЦИЯ[[#This Row],[ТАННАРХ]]</f>
        <v>533400</v>
      </c>
      <c r="K59" s="31">
        <f>РЕАЛИЗАЦИЯ[[#This Row],[ЖАМИ]]-РЕАЛИЗАЦИЯ[[#This Row],[ЖАМИ2]]</f>
        <v>38100</v>
      </c>
      <c r="L59" s="31"/>
    </row>
    <row r="60" spans="1:12" ht="15" customHeight="1" x14ac:dyDescent="0.3">
      <c r="A60" s="3">
        <v>46178</v>
      </c>
      <c r="B60" s="4" t="s">
        <v>89</v>
      </c>
      <c r="C60" s="72" t="s">
        <v>43</v>
      </c>
      <c r="D60" s="72" t="s">
        <v>7</v>
      </c>
      <c r="E60" s="31">
        <v>57.2</v>
      </c>
      <c r="F60" s="31">
        <v>15000</v>
      </c>
      <c r="G60" s="50">
        <f>РЕАЛИЗАЦИЯ[[#This Row],[СОНИ]]*РЕАЛИЗАЦИЯ[[#This Row],[НАРХИ]]</f>
        <v>858000</v>
      </c>
      <c r="I60" s="57">
        <v>14000</v>
      </c>
      <c r="J60" s="31">
        <f>РЕАЛИЗАЦИЯ[[#This Row],[СОНИ]]*РЕАЛИЗАЦИЯ[[#This Row],[ТАННАРХ]]</f>
        <v>800800</v>
      </c>
      <c r="K60" s="31">
        <f>РЕАЛИЗАЦИЯ[[#This Row],[ЖАМИ]]-РЕАЛИЗАЦИЯ[[#This Row],[ЖАМИ2]]</f>
        <v>57200</v>
      </c>
      <c r="L60" s="31"/>
    </row>
    <row r="61" spans="1:12" ht="15" customHeight="1" x14ac:dyDescent="0.3">
      <c r="A61" s="3">
        <v>46178</v>
      </c>
      <c r="B61" s="4" t="s">
        <v>182</v>
      </c>
      <c r="C61" s="75" t="s">
        <v>42</v>
      </c>
      <c r="D61" s="72" t="s">
        <v>7</v>
      </c>
      <c r="E61" s="31">
        <v>95.6</v>
      </c>
      <c r="F61" s="31">
        <v>23000</v>
      </c>
      <c r="G61" s="50">
        <f>РЕАЛИЗАЦИЯ[[#This Row],[СОНИ]]*РЕАЛИЗАЦИЯ[[#This Row],[НАРХИ]]</f>
        <v>2198800</v>
      </c>
      <c r="I61" s="57">
        <v>23000</v>
      </c>
      <c r="J61" s="31">
        <f>РЕАЛИЗАЦИЯ[[#This Row],[СОНИ]]*РЕАЛИЗАЦИЯ[[#This Row],[ТАННАРХ]]</f>
        <v>2198800</v>
      </c>
      <c r="K61" s="31">
        <f>РЕАЛИЗАЦИЯ[[#This Row],[ЖАМИ]]-РЕАЛИЗАЦИЯ[[#This Row],[ЖАМИ2]]</f>
        <v>0</v>
      </c>
      <c r="L61" s="31"/>
    </row>
    <row r="62" spans="1:12" ht="15" customHeight="1" x14ac:dyDescent="0.3">
      <c r="A62" s="3">
        <v>46178</v>
      </c>
      <c r="B62" s="4" t="s">
        <v>182</v>
      </c>
      <c r="C62" s="75" t="s">
        <v>43</v>
      </c>
      <c r="D62" s="75" t="s">
        <v>7</v>
      </c>
      <c r="E62" s="31">
        <v>48.7</v>
      </c>
      <c r="F62" s="31">
        <v>16000</v>
      </c>
      <c r="G62" s="50">
        <f>РЕАЛИЗАЦИЯ[[#This Row],[СОНИ]]*РЕАЛИЗАЦИЯ[[#This Row],[НАРХИ]]</f>
        <v>779200</v>
      </c>
      <c r="I62" s="57">
        <v>14000</v>
      </c>
      <c r="J62" s="31">
        <f>РЕАЛИЗАЦИЯ[[#This Row],[СОНИ]]*РЕАЛИЗАЦИЯ[[#This Row],[ТАННАРХ]]</f>
        <v>681800</v>
      </c>
      <c r="K62" s="31">
        <f>РЕАЛИЗАЦИЯ[[#This Row],[ЖАМИ]]-РЕАЛИЗАЦИЯ[[#This Row],[ЖАМИ2]]</f>
        <v>97400</v>
      </c>
      <c r="L62" s="31"/>
    </row>
    <row r="63" spans="1:12" ht="15" customHeight="1" x14ac:dyDescent="0.3">
      <c r="A63" s="3">
        <v>46178</v>
      </c>
      <c r="B63" s="4" t="s">
        <v>697</v>
      </c>
      <c r="C63" s="77" t="s">
        <v>914</v>
      </c>
      <c r="D63" s="77" t="s">
        <v>7</v>
      </c>
      <c r="E63" s="31">
        <v>106.6</v>
      </c>
      <c r="F63" s="31">
        <v>23500</v>
      </c>
      <c r="G63" s="50">
        <f>РЕАЛИЗАЦИЯ[[#This Row],[СОНИ]]*РЕАЛИЗАЦИЯ[[#This Row],[НАРХИ]]</f>
        <v>2505100</v>
      </c>
      <c r="I63" s="57">
        <v>22500</v>
      </c>
      <c r="J63" s="31">
        <f>РЕАЛИЗАЦИЯ[[#This Row],[СОНИ]]*РЕАЛИЗАЦИЯ[[#This Row],[ТАННАРХ]]</f>
        <v>2398500</v>
      </c>
      <c r="K63" s="31">
        <f>РЕАЛИЗАЦИЯ[[#This Row],[ЖАМИ]]-РЕАЛИЗАЦИЯ[[#This Row],[ЖАМИ2]]</f>
        <v>106600</v>
      </c>
      <c r="L63" s="31"/>
    </row>
    <row r="64" spans="1:12" ht="15" customHeight="1" x14ac:dyDescent="0.3">
      <c r="A64" s="3">
        <v>46178</v>
      </c>
      <c r="B64" s="4" t="s">
        <v>265</v>
      </c>
      <c r="C64" s="77" t="s">
        <v>904</v>
      </c>
      <c r="D64" s="77" t="s">
        <v>7</v>
      </c>
      <c r="E64" s="31">
        <v>60.9</v>
      </c>
      <c r="F64" s="31">
        <v>23000</v>
      </c>
      <c r="G64" s="50">
        <f>РЕАЛИЗАЦИЯ[[#This Row],[СОНИ]]*РЕАЛИЗАЦИЯ[[#This Row],[НАРХИ]]</f>
        <v>1400700</v>
      </c>
      <c r="I64" s="57">
        <v>21000</v>
      </c>
      <c r="J64" s="31">
        <f>РЕАЛИЗАЦИЯ[[#This Row],[СОНИ]]*РЕАЛИЗАЦИЯ[[#This Row],[ТАННАРХ]]</f>
        <v>1278900</v>
      </c>
      <c r="K64" s="31">
        <f>РЕАЛИЗАЦИЯ[[#This Row],[ЖАМИ]]-РЕАЛИЗАЦИЯ[[#This Row],[ЖАМИ2]]</f>
        <v>121800</v>
      </c>
      <c r="L64" s="31"/>
    </row>
    <row r="65" spans="1:12" ht="15" customHeight="1" x14ac:dyDescent="0.3">
      <c r="A65" s="3">
        <v>46178</v>
      </c>
      <c r="B65" s="4" t="s">
        <v>915</v>
      </c>
      <c r="C65" s="77" t="s">
        <v>605</v>
      </c>
      <c r="D65" s="77" t="s">
        <v>7</v>
      </c>
      <c r="E65" s="31">
        <v>409.3</v>
      </c>
      <c r="F65" s="31">
        <v>25000</v>
      </c>
      <c r="G65" s="50">
        <f>РЕАЛИЗАЦИЯ[[#This Row],[СОНИ]]*РЕАЛИЗАЦИЯ[[#This Row],[НАРХИ]]</f>
        <v>10232500</v>
      </c>
      <c r="I65" s="57">
        <v>22000</v>
      </c>
      <c r="J65" s="31">
        <f>РЕАЛИЗАЦИЯ[[#This Row],[СОНИ]]*РЕАЛИЗАЦИЯ[[#This Row],[ТАННАРХ]]</f>
        <v>9004600</v>
      </c>
      <c r="K65" s="31">
        <f>РЕАЛИЗАЦИЯ[[#This Row],[ЖАМИ]]-РЕАЛИЗАЦИЯ[[#This Row],[ЖАМИ2]]</f>
        <v>1227900</v>
      </c>
      <c r="L65" s="31"/>
    </row>
    <row r="66" spans="1:12" s="77" customFormat="1" ht="15" customHeight="1" x14ac:dyDescent="0.3">
      <c r="A66" s="3">
        <v>46178</v>
      </c>
      <c r="B66" s="4" t="s">
        <v>58</v>
      </c>
      <c r="C66" s="76" t="s">
        <v>904</v>
      </c>
      <c r="D66" s="75" t="s">
        <v>7</v>
      </c>
      <c r="E66" s="31">
        <v>51.6</v>
      </c>
      <c r="F66" s="31">
        <v>22000</v>
      </c>
      <c r="G66" s="50">
        <f>РЕАЛИЗАЦИЯ[[#This Row],[СОНИ]]*РЕАЛИЗАЦИЯ[[#This Row],[НАРХИ]]</f>
        <v>1135200</v>
      </c>
      <c r="H66" s="31"/>
      <c r="I66" s="57">
        <v>21000</v>
      </c>
      <c r="J66" s="31">
        <f>РЕАЛИЗАЦИЯ[[#This Row],[СОНИ]]*РЕАЛИЗАЦИЯ[[#This Row],[ТАННАРХ]]</f>
        <v>1083600</v>
      </c>
      <c r="K66" s="31">
        <f>РЕАЛИЗАЦИЯ[[#This Row],[ЖАМИ]]-РЕАЛИЗАЦИЯ[[#This Row],[ЖАМИ2]]</f>
        <v>51600</v>
      </c>
      <c r="L66" s="31"/>
    </row>
    <row r="67" spans="1:12" ht="15" customHeight="1" x14ac:dyDescent="0.3">
      <c r="A67" s="3">
        <v>46178</v>
      </c>
      <c r="B67" s="4" t="s">
        <v>597</v>
      </c>
      <c r="C67" s="75" t="s">
        <v>78</v>
      </c>
      <c r="D67" s="75" t="s">
        <v>7</v>
      </c>
      <c r="E67" s="31">
        <v>194.5</v>
      </c>
      <c r="F67" s="31">
        <v>21000</v>
      </c>
      <c r="G67" s="50">
        <f>РЕАЛИЗАЦИЯ[[#This Row],[СОНИ]]*РЕАЛИЗАЦИЯ[[#This Row],[НАРХИ]]</f>
        <v>4084500</v>
      </c>
      <c r="I67" s="57">
        <v>18000</v>
      </c>
      <c r="J67" s="31">
        <f>РЕАЛИЗАЦИЯ[[#This Row],[СОНИ]]*РЕАЛИЗАЦИЯ[[#This Row],[ТАННАРХ]]</f>
        <v>3501000</v>
      </c>
      <c r="K67" s="31">
        <f>РЕАЛИЗАЦИЯ[[#This Row],[ЖАМИ]]-РЕАЛИЗАЦИЯ[[#This Row],[ЖАМИ2]]</f>
        <v>583500</v>
      </c>
      <c r="L67" s="31"/>
    </row>
    <row r="68" spans="1:12" ht="15" customHeight="1" x14ac:dyDescent="0.3">
      <c r="A68" s="3">
        <v>46179</v>
      </c>
      <c r="B68" s="4" t="s">
        <v>782</v>
      </c>
      <c r="C68" s="75" t="s">
        <v>44</v>
      </c>
      <c r="D68" s="75" t="s">
        <v>7</v>
      </c>
      <c r="E68" s="31">
        <v>231</v>
      </c>
      <c r="F68" s="31">
        <v>19000</v>
      </c>
      <c r="G68" s="50">
        <f>РЕАЛИЗАЦИЯ[[#This Row],[СОНИ]]*РЕАЛИЗАЦИЯ[[#This Row],[НАРХИ]]</f>
        <v>4389000</v>
      </c>
      <c r="I68" s="57">
        <v>18000</v>
      </c>
      <c r="J68" s="31">
        <f>РЕАЛИЗАЦИЯ[[#This Row],[СОНИ]]*РЕАЛИЗАЦИЯ[[#This Row],[ТАННАРХ]]</f>
        <v>4158000</v>
      </c>
      <c r="K68" s="31">
        <f>РЕАЛИЗАЦИЯ[[#This Row],[ЖАМИ]]-РЕАЛИЗАЦИЯ[[#This Row],[ЖАМИ2]]</f>
        <v>231000</v>
      </c>
      <c r="L68" s="31"/>
    </row>
    <row r="69" spans="1:12" ht="15" customHeight="1" x14ac:dyDescent="0.3">
      <c r="A69" s="3">
        <v>46179</v>
      </c>
      <c r="B69" s="4" t="s">
        <v>793</v>
      </c>
      <c r="C69" s="75" t="s">
        <v>605</v>
      </c>
      <c r="D69" s="75" t="s">
        <v>7</v>
      </c>
      <c r="E69" s="31">
        <v>1152.7</v>
      </c>
      <c r="F69" s="31">
        <v>24000</v>
      </c>
      <c r="G69" s="50">
        <f>РЕАЛИЗАЦИЯ[[#This Row],[СОНИ]]*РЕАЛИЗАЦИЯ[[#This Row],[НАРХИ]]</f>
        <v>27664800</v>
      </c>
      <c r="I69" s="57">
        <v>22000</v>
      </c>
      <c r="J69" s="31">
        <f>РЕАЛИЗАЦИЯ[[#This Row],[СОНИ]]*РЕАЛИЗАЦИЯ[[#This Row],[ТАННАРХ]]</f>
        <v>25359400</v>
      </c>
      <c r="K69" s="31">
        <f>РЕАЛИЗАЦИЯ[[#This Row],[ЖАМИ]]-РЕАЛИЗАЦИЯ[[#This Row],[ЖАМИ2]]</f>
        <v>2305400</v>
      </c>
      <c r="L69" s="31"/>
    </row>
    <row r="70" spans="1:12" ht="15" customHeight="1" x14ac:dyDescent="0.3">
      <c r="A70" s="3">
        <v>46179</v>
      </c>
      <c r="B70" s="4" t="s">
        <v>697</v>
      </c>
      <c r="C70" s="75" t="s">
        <v>914</v>
      </c>
      <c r="D70" s="75" t="s">
        <v>7</v>
      </c>
      <c r="E70" s="31">
        <v>324.89999999999998</v>
      </c>
      <c r="F70" s="31">
        <v>23500</v>
      </c>
      <c r="G70" s="50">
        <f>РЕАЛИЗАЦИЯ[[#This Row],[СОНИ]]*РЕАЛИЗАЦИЯ[[#This Row],[НАРХИ]]</f>
        <v>7635149.9999999991</v>
      </c>
      <c r="I70" s="57">
        <v>22500</v>
      </c>
      <c r="J70" s="31">
        <f>РЕАЛИЗАЦИЯ[[#This Row],[СОНИ]]*РЕАЛИЗАЦИЯ[[#This Row],[ТАННАРХ]]</f>
        <v>7310249.9999999991</v>
      </c>
      <c r="K70" s="31">
        <f>РЕАЛИЗАЦИЯ[[#This Row],[ЖАМИ]]-РЕАЛИЗАЦИЯ[[#This Row],[ЖАМИ2]]</f>
        <v>324900</v>
      </c>
      <c r="L70" s="31"/>
    </row>
    <row r="71" spans="1:12" ht="15" customHeight="1" x14ac:dyDescent="0.3">
      <c r="A71" s="3">
        <v>46179</v>
      </c>
      <c r="B71" s="4" t="s">
        <v>697</v>
      </c>
      <c r="C71" s="276" t="s">
        <v>914</v>
      </c>
      <c r="D71" s="276" t="s">
        <v>7</v>
      </c>
      <c r="E71" s="31">
        <v>67.400000000000006</v>
      </c>
      <c r="F71" s="31">
        <v>23500</v>
      </c>
      <c r="G71" s="50">
        <f>РЕАЛИЗАЦИЯ[[#This Row],[СОНИ]]*РЕАЛИЗАЦИЯ[[#This Row],[НАРХИ]]</f>
        <v>1583900.0000000002</v>
      </c>
      <c r="I71" s="166">
        <v>22500</v>
      </c>
      <c r="J71" s="31">
        <f>РЕАЛИЗАЦИЯ[[#This Row],[СОНИ]]*РЕАЛИЗАЦИЯ[[#This Row],[ТАННАРХ]]</f>
        <v>1516500.0000000002</v>
      </c>
      <c r="K71" s="31">
        <f>РЕАЛИЗАЦИЯ[[#This Row],[ЖАМИ]]-РЕАЛИЗАЦИЯ[[#This Row],[ЖАМИ2]]</f>
        <v>67400</v>
      </c>
      <c r="L71" s="31"/>
    </row>
    <row r="72" spans="1:12" ht="15" customHeight="1" x14ac:dyDescent="0.3">
      <c r="A72" s="3">
        <v>46179</v>
      </c>
      <c r="B72" s="4" t="s">
        <v>916</v>
      </c>
      <c r="C72" s="75" t="s">
        <v>605</v>
      </c>
      <c r="D72" s="75" t="s">
        <v>7</v>
      </c>
      <c r="E72" s="31">
        <v>72.2</v>
      </c>
      <c r="F72" s="31">
        <v>25000</v>
      </c>
      <c r="G72" s="50">
        <f>РЕАЛИЗАЦИЯ[[#This Row],[СОНИ]]*РЕАЛИЗАЦИЯ[[#This Row],[НАРХИ]]</f>
        <v>1805000</v>
      </c>
      <c r="I72" s="57">
        <v>22000</v>
      </c>
      <c r="J72" s="31">
        <f>РЕАЛИЗАЦИЯ[[#This Row],[СОНИ]]*РЕАЛИЗАЦИЯ[[#This Row],[ТАННАРХ]]</f>
        <v>1588400</v>
      </c>
      <c r="K72" s="31">
        <f>РЕАЛИЗАЦИЯ[[#This Row],[ЖАМИ]]-РЕАЛИЗАЦИЯ[[#This Row],[ЖАМИ2]]</f>
        <v>216600</v>
      </c>
      <c r="L72" s="31"/>
    </row>
    <row r="73" spans="1:12" s="276" customFormat="1" ht="15" customHeight="1" x14ac:dyDescent="0.3">
      <c r="A73" s="3">
        <v>46179</v>
      </c>
      <c r="B73" s="4" t="s">
        <v>681</v>
      </c>
      <c r="C73" s="75" t="s">
        <v>904</v>
      </c>
      <c r="D73" s="75" t="s">
        <v>7</v>
      </c>
      <c r="E73" s="31">
        <v>606.29999999999995</v>
      </c>
      <c r="F73" s="31">
        <v>23000</v>
      </c>
      <c r="G73" s="50">
        <f>РЕАЛИЗАЦИЯ[[#This Row],[СОНИ]]*РЕАЛИЗАЦИЯ[[#This Row],[НАРХИ]]</f>
        <v>13944899.999999998</v>
      </c>
      <c r="H73" s="31"/>
      <c r="I73" s="57">
        <v>21000</v>
      </c>
      <c r="J73" s="31">
        <f>РЕАЛИЗАЦИЯ[[#This Row],[СОНИ]]*РЕАЛИЗАЦИЯ[[#This Row],[ТАННАРХ]]</f>
        <v>12732299.999999998</v>
      </c>
      <c r="K73" s="31">
        <f>РЕАЛИЗАЦИЯ[[#This Row],[ЖАМИ]]-РЕАЛИЗАЦИЯ[[#This Row],[ЖАМИ2]]</f>
        <v>1212600</v>
      </c>
      <c r="L73" s="31"/>
    </row>
    <row r="74" spans="1:12" ht="15" customHeight="1" x14ac:dyDescent="0.3">
      <c r="A74" s="3">
        <v>46179</v>
      </c>
      <c r="B74" s="4" t="s">
        <v>681</v>
      </c>
      <c r="C74" s="75" t="s">
        <v>43</v>
      </c>
      <c r="D74" s="75" t="s">
        <v>7</v>
      </c>
      <c r="E74" s="31">
        <v>99.9</v>
      </c>
      <c r="F74" s="31">
        <v>15000</v>
      </c>
      <c r="G74" s="50">
        <f>РЕАЛИЗАЦИЯ[[#This Row],[СОНИ]]*РЕАЛИЗАЦИЯ[[#This Row],[НАРХИ]]</f>
        <v>1498500</v>
      </c>
      <c r="I74" s="57">
        <v>14000</v>
      </c>
      <c r="J74" s="31">
        <f>РЕАЛИЗАЦИЯ[[#This Row],[СОНИ]]*РЕАЛИЗАЦИЯ[[#This Row],[ТАННАРХ]]</f>
        <v>1398600</v>
      </c>
      <c r="K74" s="31">
        <f>РЕАЛИЗАЦИЯ[[#This Row],[ЖАМИ]]-РЕАЛИЗАЦИЯ[[#This Row],[ЖАМИ2]]</f>
        <v>99900</v>
      </c>
      <c r="L74" s="31"/>
    </row>
    <row r="75" spans="1:12" ht="15" customHeight="1" x14ac:dyDescent="0.3">
      <c r="A75" s="3">
        <v>46179</v>
      </c>
      <c r="B75" s="4" t="s">
        <v>339</v>
      </c>
      <c r="C75" s="75" t="s">
        <v>43</v>
      </c>
      <c r="D75" s="75" t="s">
        <v>7</v>
      </c>
      <c r="E75" s="31">
        <v>50.4</v>
      </c>
      <c r="F75" s="31">
        <v>15000</v>
      </c>
      <c r="G75" s="50">
        <f>РЕАЛИЗАЦИЯ[[#This Row],[СОНИ]]*РЕАЛИЗАЦИЯ[[#This Row],[НАРХИ]]</f>
        <v>756000</v>
      </c>
      <c r="I75" s="57">
        <v>14000</v>
      </c>
      <c r="J75" s="31">
        <f>РЕАЛИЗАЦИЯ[[#This Row],[СОНИ]]*РЕАЛИЗАЦИЯ[[#This Row],[ТАННАРХ]]</f>
        <v>705600</v>
      </c>
      <c r="K75" s="31">
        <f>РЕАЛИЗАЦИЯ[[#This Row],[ЖАМИ]]-РЕАЛИЗАЦИЯ[[#This Row],[ЖАМИ2]]</f>
        <v>50400</v>
      </c>
      <c r="L75" s="31"/>
    </row>
    <row r="76" spans="1:12" ht="15" customHeight="1" x14ac:dyDescent="0.3">
      <c r="A76" s="3">
        <v>46179</v>
      </c>
      <c r="B76" s="4" t="s">
        <v>448</v>
      </c>
      <c r="C76" s="75" t="s">
        <v>904</v>
      </c>
      <c r="D76" s="75" t="s">
        <v>7</v>
      </c>
      <c r="E76" s="31">
        <v>47.8</v>
      </c>
      <c r="F76" s="31">
        <v>23000</v>
      </c>
      <c r="G76" s="50">
        <f>РЕАЛИЗАЦИЯ[[#This Row],[СОНИ]]*РЕАЛИЗАЦИЯ[[#This Row],[НАРХИ]]</f>
        <v>1099400</v>
      </c>
      <c r="I76" s="57">
        <v>21000</v>
      </c>
      <c r="J76" s="31">
        <f>РЕАЛИЗАЦИЯ[[#This Row],[СОНИ]]*РЕАЛИЗАЦИЯ[[#This Row],[ТАННАРХ]]</f>
        <v>1003799.9999999999</v>
      </c>
      <c r="K76" s="31">
        <f>РЕАЛИЗАЦИЯ[[#This Row],[ЖАМИ]]-РЕАЛИЗАЦИЯ[[#This Row],[ЖАМИ2]]</f>
        <v>95600.000000000116</v>
      </c>
      <c r="L76" s="31"/>
    </row>
    <row r="77" spans="1:12" ht="15" customHeight="1" x14ac:dyDescent="0.3">
      <c r="A77" s="3">
        <v>46179</v>
      </c>
      <c r="B77" s="4" t="s">
        <v>838</v>
      </c>
      <c r="C77" s="75" t="s">
        <v>43</v>
      </c>
      <c r="D77" s="75" t="s">
        <v>7</v>
      </c>
      <c r="E77" s="31">
        <v>49</v>
      </c>
      <c r="F77" s="31">
        <v>16000</v>
      </c>
      <c r="G77" s="50">
        <f>РЕАЛИЗАЦИЯ[[#This Row],[СОНИ]]*РЕАЛИЗАЦИЯ[[#This Row],[НАРХИ]]</f>
        <v>784000</v>
      </c>
      <c r="I77" s="57">
        <v>14000</v>
      </c>
      <c r="J77" s="31">
        <f>РЕАЛИЗАЦИЯ[[#This Row],[СОНИ]]*РЕАЛИЗАЦИЯ[[#This Row],[ТАННАРХ]]</f>
        <v>686000</v>
      </c>
      <c r="K77" s="31">
        <f>РЕАЛИЗАЦИЯ[[#This Row],[ЖАМИ]]-РЕАЛИЗАЦИЯ[[#This Row],[ЖАМИ2]]</f>
        <v>98000</v>
      </c>
      <c r="L77" s="31"/>
    </row>
    <row r="78" spans="1:12" ht="15" customHeight="1" x14ac:dyDescent="0.3">
      <c r="A78" s="3">
        <v>46179</v>
      </c>
      <c r="B78" s="4" t="s">
        <v>475</v>
      </c>
      <c r="C78" s="75" t="s">
        <v>904</v>
      </c>
      <c r="D78" s="75" t="s">
        <v>7</v>
      </c>
      <c r="E78" s="31">
        <v>50.8</v>
      </c>
      <c r="F78" s="31">
        <v>23000</v>
      </c>
      <c r="G78" s="50">
        <f>РЕАЛИЗАЦИЯ[[#This Row],[СОНИ]]*РЕАЛИЗАЦИЯ[[#This Row],[НАРХИ]]</f>
        <v>1168400</v>
      </c>
      <c r="I78" s="57">
        <v>21000</v>
      </c>
      <c r="J78" s="31">
        <f>РЕАЛИЗАЦИЯ[[#This Row],[СОНИ]]*РЕАЛИЗАЦИЯ[[#This Row],[ТАННАРХ]]</f>
        <v>1066800</v>
      </c>
      <c r="K78" s="31">
        <f>РЕАЛИЗАЦИЯ[[#This Row],[ЖАМИ]]-РЕАЛИЗАЦИЯ[[#This Row],[ЖАМИ2]]</f>
        <v>101600</v>
      </c>
      <c r="L78" s="31"/>
    </row>
    <row r="79" spans="1:12" ht="15" customHeight="1" x14ac:dyDescent="0.3">
      <c r="A79" s="3">
        <v>46180</v>
      </c>
      <c r="B79" s="4" t="s">
        <v>312</v>
      </c>
      <c r="C79" s="277" t="s">
        <v>904</v>
      </c>
      <c r="D79" s="277" t="s">
        <v>7</v>
      </c>
      <c r="E79" s="31">
        <v>288.60000000000002</v>
      </c>
      <c r="F79" s="31">
        <v>22500</v>
      </c>
      <c r="G79" s="50">
        <f>РЕАЛИЗАЦИЯ[[#This Row],[СОНИ]]*РЕАЛИЗАЦИЯ[[#This Row],[НАРХИ]]</f>
        <v>6493500.0000000009</v>
      </c>
      <c r="I79" s="57">
        <v>21000</v>
      </c>
      <c r="J79" s="31">
        <f>РЕАЛИЗАЦИЯ[[#This Row],[СОНИ]]*РЕАЛИЗАЦИЯ[[#This Row],[ТАННАРХ]]</f>
        <v>6060600.0000000009</v>
      </c>
      <c r="K79" s="31">
        <f>РЕАЛИЗАЦИЯ[[#This Row],[ЖАМИ]]-РЕАЛИЗАЦИЯ[[#This Row],[ЖАМИ2]]</f>
        <v>432900</v>
      </c>
      <c r="L79" s="31"/>
    </row>
    <row r="80" spans="1:12" ht="15" customHeight="1" x14ac:dyDescent="0.3">
      <c r="A80" s="3">
        <v>46180</v>
      </c>
      <c r="B80" s="4" t="s">
        <v>312</v>
      </c>
      <c r="C80" s="277" t="s">
        <v>43</v>
      </c>
      <c r="D80" s="277" t="s">
        <v>7</v>
      </c>
      <c r="E80" s="31">
        <v>197.5</v>
      </c>
      <c r="F80" s="31">
        <v>15000</v>
      </c>
      <c r="G80" s="50">
        <f>РЕАЛИЗАЦИЯ[[#This Row],[СОНИ]]*РЕАЛИЗАЦИЯ[[#This Row],[НАРХИ]]</f>
        <v>2962500</v>
      </c>
      <c r="I80" s="57">
        <v>14000</v>
      </c>
      <c r="J80" s="31">
        <f>РЕАЛИЗАЦИЯ[[#This Row],[СОНИ]]*РЕАЛИЗАЦИЯ[[#This Row],[ТАННАРХ]]</f>
        <v>2765000</v>
      </c>
      <c r="K80" s="31">
        <f>РЕАЛИЗАЦИЯ[[#This Row],[ЖАМИ]]-РЕАЛИЗАЦИЯ[[#This Row],[ЖАМИ2]]</f>
        <v>197500</v>
      </c>
      <c r="L80" s="31"/>
    </row>
    <row r="81" spans="1:12" s="277" customFormat="1" ht="15" customHeight="1" x14ac:dyDescent="0.3">
      <c r="A81" s="3">
        <v>46181</v>
      </c>
      <c r="B81" s="4" t="s">
        <v>296</v>
      </c>
      <c r="C81" s="75" t="s">
        <v>43</v>
      </c>
      <c r="D81" s="75" t="s">
        <v>7</v>
      </c>
      <c r="E81" s="31">
        <v>50.5</v>
      </c>
      <c r="F81" s="31">
        <v>16000</v>
      </c>
      <c r="G81" s="50">
        <f>РЕАЛИЗАЦИЯ[[#This Row],[СОНИ]]*РЕАЛИЗАЦИЯ[[#This Row],[НАРХИ]]</f>
        <v>808000</v>
      </c>
      <c r="H81" s="31"/>
      <c r="I81" s="57">
        <v>14000</v>
      </c>
      <c r="J81" s="31">
        <f>РЕАЛИЗАЦИЯ[[#This Row],[СОНИ]]*РЕАЛИЗАЦИЯ[[#This Row],[ТАННАРХ]]</f>
        <v>707000</v>
      </c>
      <c r="K81" s="31">
        <f>РЕАЛИЗАЦИЯ[[#This Row],[ЖАМИ]]-РЕАЛИЗАЦИЯ[[#This Row],[ЖАМИ2]]</f>
        <v>101000</v>
      </c>
      <c r="L81" s="31"/>
    </row>
    <row r="82" spans="1:12" s="277" customFormat="1" ht="15" customHeight="1" x14ac:dyDescent="0.3">
      <c r="A82" s="3">
        <v>46181</v>
      </c>
      <c r="B82" s="4" t="s">
        <v>697</v>
      </c>
      <c r="C82" s="75" t="s">
        <v>914</v>
      </c>
      <c r="D82" s="75" t="s">
        <v>7</v>
      </c>
      <c r="E82" s="31">
        <v>589.70000000000005</v>
      </c>
      <c r="F82" s="31">
        <v>23500</v>
      </c>
      <c r="G82" s="50">
        <f>РЕАЛИЗАЦИЯ[[#This Row],[СОНИ]]*РЕАЛИЗАЦИЯ[[#This Row],[НАРХИ]]</f>
        <v>13857950.000000002</v>
      </c>
      <c r="H82" s="31"/>
      <c r="I82" s="57">
        <v>22500</v>
      </c>
      <c r="J82" s="31">
        <f>РЕАЛИЗАЦИЯ[[#This Row],[СОНИ]]*РЕАЛИЗАЦИЯ[[#This Row],[ТАННАРХ]]</f>
        <v>13268250.000000002</v>
      </c>
      <c r="K82" s="31">
        <f>РЕАЛИЗАЦИЯ[[#This Row],[ЖАМИ]]-РЕАЛИЗАЦИЯ[[#This Row],[ЖАМИ2]]</f>
        <v>589700</v>
      </c>
      <c r="L82" s="31"/>
    </row>
    <row r="83" spans="1:12" ht="15" customHeight="1" x14ac:dyDescent="0.3">
      <c r="A83" s="3">
        <v>46181</v>
      </c>
      <c r="B83" s="4" t="s">
        <v>565</v>
      </c>
      <c r="C83" s="75" t="s">
        <v>42</v>
      </c>
      <c r="D83" s="75" t="s">
        <v>7</v>
      </c>
      <c r="E83" s="31">
        <v>66</v>
      </c>
      <c r="F83" s="31">
        <v>25000</v>
      </c>
      <c r="G83" s="50">
        <f>РЕАЛИЗАЦИЯ[[#This Row],[СОНИ]]*РЕАЛИЗАЦИЯ[[#This Row],[НАРХИ]]</f>
        <v>1650000</v>
      </c>
      <c r="I83" s="57">
        <v>23000</v>
      </c>
      <c r="J83" s="31">
        <f>РЕАЛИЗАЦИЯ[[#This Row],[СОНИ]]*РЕАЛИЗАЦИЯ[[#This Row],[ТАННАРХ]]</f>
        <v>1518000</v>
      </c>
      <c r="K83" s="31">
        <f>РЕАЛИЗАЦИЯ[[#This Row],[ЖАМИ]]-РЕАЛИЗАЦИЯ[[#This Row],[ЖАМИ2]]</f>
        <v>132000</v>
      </c>
      <c r="L83" s="31"/>
    </row>
    <row r="84" spans="1:12" ht="15" customHeight="1" x14ac:dyDescent="0.3">
      <c r="A84" s="3">
        <v>46181</v>
      </c>
      <c r="B84" s="4" t="s">
        <v>916</v>
      </c>
      <c r="C84" s="75" t="s">
        <v>605</v>
      </c>
      <c r="D84" s="75" t="s">
        <v>7</v>
      </c>
      <c r="E84" s="31">
        <v>225.6</v>
      </c>
      <c r="F84" s="31">
        <v>25000</v>
      </c>
      <c r="G84" s="50">
        <f>РЕАЛИЗАЦИЯ[[#This Row],[СОНИ]]*РЕАЛИЗАЦИЯ[[#This Row],[НАРХИ]]</f>
        <v>5640000</v>
      </c>
      <c r="I84" s="57">
        <v>22000</v>
      </c>
      <c r="J84" s="31">
        <f>РЕАЛИЗАЦИЯ[[#This Row],[СОНИ]]*РЕАЛИЗАЦИЯ[[#This Row],[ТАННАРХ]]</f>
        <v>4963200</v>
      </c>
      <c r="K84" s="31">
        <f>РЕАЛИЗАЦИЯ[[#This Row],[ЖАМИ]]-РЕАЛИЗАЦИЯ[[#This Row],[ЖАМИ2]]</f>
        <v>676800</v>
      </c>
      <c r="L84" s="31"/>
    </row>
    <row r="85" spans="1:12" ht="15" customHeight="1" x14ac:dyDescent="0.3">
      <c r="A85" s="3">
        <v>46181</v>
      </c>
      <c r="B85" s="4" t="s">
        <v>521</v>
      </c>
      <c r="C85" s="75" t="s">
        <v>605</v>
      </c>
      <c r="D85" s="75" t="s">
        <v>7</v>
      </c>
      <c r="E85" s="31">
        <v>500.3</v>
      </c>
      <c r="F85" s="31">
        <v>25000</v>
      </c>
      <c r="G85" s="50">
        <f>РЕАЛИЗАЦИЯ[[#This Row],[СОНИ]]*РЕАЛИЗАЦИЯ[[#This Row],[НАРХИ]]</f>
        <v>12507500</v>
      </c>
      <c r="I85" s="57">
        <v>22000</v>
      </c>
      <c r="J85" s="31">
        <f>РЕАЛИЗАЦИЯ[[#This Row],[СОНИ]]*РЕАЛИЗАЦИЯ[[#This Row],[ТАННАРХ]]</f>
        <v>11006600</v>
      </c>
      <c r="K85" s="31">
        <f>РЕАЛИЗАЦИЯ[[#This Row],[ЖАМИ]]-РЕАЛИЗАЦИЯ[[#This Row],[ЖАМИ2]]</f>
        <v>1500900</v>
      </c>
      <c r="L85" s="31"/>
    </row>
    <row r="86" spans="1:12" ht="15" customHeight="1" x14ac:dyDescent="0.3">
      <c r="A86" s="3">
        <v>46181</v>
      </c>
      <c r="B86" s="4" t="s">
        <v>782</v>
      </c>
      <c r="C86" s="75" t="s">
        <v>44</v>
      </c>
      <c r="D86" s="75" t="s">
        <v>7</v>
      </c>
      <c r="E86" s="31">
        <v>465.2</v>
      </c>
      <c r="F86" s="31">
        <v>19000</v>
      </c>
      <c r="G86" s="50">
        <f>РЕАЛИЗАЦИЯ[[#This Row],[СОНИ]]*РЕАЛИЗАЦИЯ[[#This Row],[НАРХИ]]</f>
        <v>8838800</v>
      </c>
      <c r="I86" s="57">
        <v>18000</v>
      </c>
      <c r="J86" s="31">
        <f>РЕАЛИЗАЦИЯ[[#This Row],[СОНИ]]*РЕАЛИЗАЦИЯ[[#This Row],[ТАННАРХ]]</f>
        <v>8373600</v>
      </c>
      <c r="K86" s="31">
        <f>РЕАЛИЗАЦИЯ[[#This Row],[ЖАМИ]]-РЕАЛИЗАЦИЯ[[#This Row],[ЖАМИ2]]</f>
        <v>465200</v>
      </c>
      <c r="L86" s="31"/>
    </row>
    <row r="87" spans="1:12" ht="15" customHeight="1" x14ac:dyDescent="0.3">
      <c r="A87" s="3">
        <v>46181</v>
      </c>
      <c r="B87" s="4" t="s">
        <v>475</v>
      </c>
      <c r="C87" s="75" t="s">
        <v>904</v>
      </c>
      <c r="D87" s="75" t="s">
        <v>7</v>
      </c>
      <c r="E87" s="31">
        <v>-50.8</v>
      </c>
      <c r="F87" s="31">
        <v>23000</v>
      </c>
      <c r="G87" s="50">
        <f>РЕАЛИЗАЦИЯ[[#This Row],[СОНИ]]*РЕАЛИЗАЦИЯ[[#This Row],[НАРХИ]]</f>
        <v>-1168400</v>
      </c>
      <c r="I87" s="57">
        <v>21000</v>
      </c>
      <c r="J87" s="31">
        <f>РЕАЛИЗАЦИЯ[[#This Row],[СОНИ]]*РЕАЛИЗАЦИЯ[[#This Row],[ТАННАРХ]]</f>
        <v>-1066800</v>
      </c>
      <c r="K87" s="31">
        <f>РЕАЛИЗАЦИЯ[[#This Row],[ЖАМИ]]-РЕАЛИЗАЦИЯ[[#This Row],[ЖАМИ2]]</f>
        <v>-101600</v>
      </c>
      <c r="L87" s="31"/>
    </row>
    <row r="88" spans="1:12" ht="15" customHeight="1" x14ac:dyDescent="0.3">
      <c r="A88" s="3">
        <v>46182</v>
      </c>
      <c r="B88" s="4" t="s">
        <v>681</v>
      </c>
      <c r="C88" s="278" t="s">
        <v>43</v>
      </c>
      <c r="D88" s="278" t="s">
        <v>7</v>
      </c>
      <c r="E88" s="31">
        <v>1043.8</v>
      </c>
      <c r="F88" s="31">
        <v>15500</v>
      </c>
      <c r="G88" s="50">
        <f>РЕАЛИЗАЦИЯ[[#This Row],[СОНИ]]*РЕАЛИЗАЦИЯ[[#This Row],[НАРХИ]]</f>
        <v>16178900</v>
      </c>
      <c r="I88" s="57">
        <v>14000</v>
      </c>
      <c r="J88" s="31">
        <f>РЕАЛИЗАЦИЯ[[#This Row],[СОНИ]]*РЕАЛИЗАЦИЯ[[#This Row],[ТАННАРХ]]</f>
        <v>14613200</v>
      </c>
      <c r="K88" s="31">
        <f>РЕАЛИЗАЦИЯ[[#This Row],[ЖАМИ]]-РЕАЛИЗАЦИЯ[[#This Row],[ЖАМИ2]]</f>
        <v>1565700</v>
      </c>
      <c r="L88" s="31"/>
    </row>
    <row r="89" spans="1:12" ht="15" customHeight="1" x14ac:dyDescent="0.3">
      <c r="A89" s="3">
        <v>46182</v>
      </c>
      <c r="B89" s="4" t="s">
        <v>681</v>
      </c>
      <c r="C89" s="278" t="s">
        <v>42</v>
      </c>
      <c r="D89" s="278" t="s">
        <v>7</v>
      </c>
      <c r="E89" s="31">
        <v>667.2</v>
      </c>
      <c r="F89" s="31">
        <v>23000</v>
      </c>
      <c r="G89" s="50">
        <f>РЕАЛИЗАЦИЯ[[#This Row],[СОНИ]]*РЕАЛИЗАЦИЯ[[#This Row],[НАРХИ]]</f>
        <v>15345600.000000002</v>
      </c>
      <c r="I89" s="57">
        <v>23000</v>
      </c>
      <c r="J89" s="31">
        <f>РЕАЛИЗАЦИЯ[[#This Row],[СОНИ]]*РЕАЛИЗАЦИЯ[[#This Row],[ТАННАРХ]]</f>
        <v>15345600.000000002</v>
      </c>
      <c r="K89" s="31">
        <f>РЕАЛИЗАЦИЯ[[#This Row],[ЖАМИ]]-РЕАЛИЗАЦИЯ[[#This Row],[ЖАМИ2]]</f>
        <v>0</v>
      </c>
      <c r="L89" s="31"/>
    </row>
    <row r="90" spans="1:12" s="278" customFormat="1" ht="15" customHeight="1" x14ac:dyDescent="0.3">
      <c r="A90" s="3">
        <v>46181</v>
      </c>
      <c r="B90" s="4" t="s">
        <v>916</v>
      </c>
      <c r="C90" s="78" t="s">
        <v>605</v>
      </c>
      <c r="D90" s="78" t="s">
        <v>7</v>
      </c>
      <c r="E90" s="31">
        <v>-47.8</v>
      </c>
      <c r="F90" s="31">
        <v>25000</v>
      </c>
      <c r="G90" s="50">
        <f>РЕАЛИЗАЦИЯ[[#This Row],[СОНИ]]*РЕАЛИЗАЦИЯ[[#This Row],[НАРХИ]]</f>
        <v>-1195000</v>
      </c>
      <c r="H90" s="31"/>
      <c r="I90" s="57">
        <v>22000</v>
      </c>
      <c r="J90" s="31">
        <f>РЕАЛИЗАЦИЯ[[#This Row],[СОНИ]]*РЕАЛИЗАЦИЯ[[#This Row],[ТАННАРХ]]</f>
        <v>-1051600</v>
      </c>
      <c r="K90" s="31">
        <f>РЕАЛИЗАЦИЯ[[#This Row],[ЖАМИ]]-РЕАЛИЗАЦИЯ[[#This Row],[ЖАМИ2]]</f>
        <v>-143400</v>
      </c>
      <c r="L90" s="31"/>
    </row>
    <row r="91" spans="1:12" s="278" customFormat="1" ht="15" customHeight="1" x14ac:dyDescent="0.3">
      <c r="A91" s="3">
        <v>46182</v>
      </c>
      <c r="B91" s="4" t="s">
        <v>742</v>
      </c>
      <c r="C91" s="75" t="s">
        <v>904</v>
      </c>
      <c r="D91" s="75" t="s">
        <v>7</v>
      </c>
      <c r="E91" s="31">
        <v>148.5</v>
      </c>
      <c r="F91" s="31">
        <v>23000</v>
      </c>
      <c r="G91" s="50">
        <f>РЕАЛИЗАЦИЯ[[#This Row],[СОНИ]]*РЕАЛИЗАЦИЯ[[#This Row],[НАРХИ]]</f>
        <v>3415500</v>
      </c>
      <c r="H91" s="31"/>
      <c r="I91" s="57">
        <v>21000</v>
      </c>
      <c r="J91" s="31">
        <f>РЕАЛИЗАЦИЯ[[#This Row],[СОНИ]]*РЕАЛИЗАЦИЯ[[#This Row],[ТАННАРХ]]</f>
        <v>3118500</v>
      </c>
      <c r="K91" s="31">
        <f>РЕАЛИЗАЦИЯ[[#This Row],[ЖАМИ]]-РЕАЛИЗАЦИЯ[[#This Row],[ЖАМИ2]]</f>
        <v>297000</v>
      </c>
      <c r="L91" s="31"/>
    </row>
    <row r="92" spans="1:12" ht="15" customHeight="1" x14ac:dyDescent="0.3">
      <c r="A92" s="3">
        <v>46182</v>
      </c>
      <c r="B92" s="4" t="s">
        <v>742</v>
      </c>
      <c r="C92" s="75" t="s">
        <v>43</v>
      </c>
      <c r="D92" s="75" t="s">
        <v>7</v>
      </c>
      <c r="E92" s="31">
        <v>106.4</v>
      </c>
      <c r="F92" s="31">
        <v>16000</v>
      </c>
      <c r="G92" s="50">
        <f>РЕАЛИЗАЦИЯ[[#This Row],[СОНИ]]*РЕАЛИЗАЦИЯ[[#This Row],[НАРХИ]]</f>
        <v>1702400</v>
      </c>
      <c r="I92" s="57">
        <v>14000</v>
      </c>
      <c r="J92" s="31">
        <f>РЕАЛИЗАЦИЯ[[#This Row],[СОНИ]]*РЕАЛИЗАЦИЯ[[#This Row],[ТАННАРХ]]</f>
        <v>1489600</v>
      </c>
      <c r="K92" s="31">
        <f>РЕАЛИЗАЦИЯ[[#This Row],[ЖАМИ]]-РЕАЛИЗАЦИЯ[[#This Row],[ЖАМИ2]]</f>
        <v>212800</v>
      </c>
      <c r="L92" s="31"/>
    </row>
    <row r="93" spans="1:12" ht="15" customHeight="1" x14ac:dyDescent="0.3">
      <c r="A93" s="3">
        <v>46182</v>
      </c>
      <c r="B93" s="4" t="s">
        <v>190</v>
      </c>
      <c r="C93" s="75" t="s">
        <v>904</v>
      </c>
      <c r="D93" s="75" t="s">
        <v>7</v>
      </c>
      <c r="E93" s="31">
        <v>192.7</v>
      </c>
      <c r="F93" s="31">
        <v>23000</v>
      </c>
      <c r="G93" s="50">
        <f>РЕАЛИЗАЦИЯ[[#This Row],[СОНИ]]*РЕАЛИЗАЦИЯ[[#This Row],[НАРХИ]]</f>
        <v>4432100</v>
      </c>
      <c r="I93" s="57">
        <v>21000</v>
      </c>
      <c r="J93" s="31">
        <f>РЕАЛИЗАЦИЯ[[#This Row],[СОНИ]]*РЕАЛИЗАЦИЯ[[#This Row],[ТАННАРХ]]</f>
        <v>4046699.9999999995</v>
      </c>
      <c r="K93" s="31">
        <f>РЕАЛИЗАЦИЯ[[#This Row],[ЖАМИ]]-РЕАЛИЗАЦИЯ[[#This Row],[ЖАМИ2]]</f>
        <v>385400.00000000047</v>
      </c>
      <c r="L93" s="31"/>
    </row>
    <row r="94" spans="1:12" ht="15" customHeight="1" x14ac:dyDescent="0.3">
      <c r="A94" s="3">
        <v>46182</v>
      </c>
      <c r="B94" s="4" t="s">
        <v>190</v>
      </c>
      <c r="C94" s="75" t="s">
        <v>43</v>
      </c>
      <c r="D94" s="75" t="s">
        <v>7</v>
      </c>
      <c r="E94" s="31">
        <v>48.2</v>
      </c>
      <c r="F94" s="31">
        <v>16000</v>
      </c>
      <c r="G94" s="50">
        <f>РЕАЛИЗАЦИЯ[[#This Row],[СОНИ]]*РЕАЛИЗАЦИЯ[[#This Row],[НАРХИ]]</f>
        <v>771200</v>
      </c>
      <c r="I94" s="57">
        <v>14000</v>
      </c>
      <c r="J94" s="31">
        <f>РЕАЛИЗАЦИЯ[[#This Row],[СОНИ]]*РЕАЛИЗАЦИЯ[[#This Row],[ТАННАРХ]]</f>
        <v>674800</v>
      </c>
      <c r="K94" s="31">
        <f>РЕАЛИЗАЦИЯ[[#This Row],[ЖАМИ]]-РЕАЛИЗАЦИЯ[[#This Row],[ЖАМИ2]]</f>
        <v>96400</v>
      </c>
      <c r="L94" s="31"/>
    </row>
    <row r="95" spans="1:12" ht="15" customHeight="1" x14ac:dyDescent="0.3">
      <c r="A95" s="3">
        <v>46182</v>
      </c>
      <c r="B95" s="4" t="s">
        <v>190</v>
      </c>
      <c r="C95" s="75" t="s">
        <v>78</v>
      </c>
      <c r="D95" s="75" t="s">
        <v>7</v>
      </c>
      <c r="E95" s="31">
        <v>50.6</v>
      </c>
      <c r="F95" s="31">
        <v>21000</v>
      </c>
      <c r="G95" s="50">
        <f>РЕАЛИЗАЦИЯ[[#This Row],[СОНИ]]*РЕАЛИЗАЦИЯ[[#This Row],[НАРХИ]]</f>
        <v>1062600</v>
      </c>
      <c r="I95" s="57">
        <v>18000</v>
      </c>
      <c r="J95" s="31">
        <f>РЕАЛИЗАЦИЯ[[#This Row],[СОНИ]]*РЕАЛИЗАЦИЯ[[#This Row],[ТАННАРХ]]</f>
        <v>910800</v>
      </c>
      <c r="K95" s="31">
        <f>РЕАЛИЗАЦИЯ[[#This Row],[ЖАМИ]]-РЕАЛИЗАЦИЯ[[#This Row],[ЖАМИ2]]</f>
        <v>151800</v>
      </c>
      <c r="L95" s="31"/>
    </row>
    <row r="96" spans="1:12" ht="15" customHeight="1" x14ac:dyDescent="0.3">
      <c r="A96" s="3">
        <v>46182</v>
      </c>
      <c r="B96" s="4" t="s">
        <v>558</v>
      </c>
      <c r="C96" s="75" t="s">
        <v>43</v>
      </c>
      <c r="D96" s="75" t="s">
        <v>7</v>
      </c>
      <c r="E96" s="31">
        <v>514.6</v>
      </c>
      <c r="F96" s="31">
        <v>16000</v>
      </c>
      <c r="G96" s="50">
        <f>РЕАЛИЗАЦИЯ[[#This Row],[СОНИ]]*РЕАЛИЗАЦИЯ[[#This Row],[НАРХИ]]</f>
        <v>8233600</v>
      </c>
      <c r="I96" s="57">
        <v>14000</v>
      </c>
      <c r="J96" s="31">
        <f>РЕАЛИЗАЦИЯ[[#This Row],[СОНИ]]*РЕАЛИЗАЦИЯ[[#This Row],[ТАННАРХ]]</f>
        <v>7204400</v>
      </c>
      <c r="K96" s="31">
        <f>РЕАЛИЗАЦИЯ[[#This Row],[ЖАМИ]]-РЕАЛИЗАЦИЯ[[#This Row],[ЖАМИ2]]</f>
        <v>1029200</v>
      </c>
      <c r="L96" s="31"/>
    </row>
    <row r="97" spans="1:12" ht="15" customHeight="1" x14ac:dyDescent="0.3">
      <c r="A97" s="3">
        <v>46182</v>
      </c>
      <c r="B97" s="4" t="s">
        <v>558</v>
      </c>
      <c r="C97" s="79" t="s">
        <v>904</v>
      </c>
      <c r="D97" s="79" t="s">
        <v>7</v>
      </c>
      <c r="E97" s="31">
        <v>147.1</v>
      </c>
      <c r="F97" s="31">
        <v>23000</v>
      </c>
      <c r="G97" s="50">
        <f>РЕАЛИЗАЦИЯ[[#This Row],[СОНИ]]*РЕАЛИЗАЦИЯ[[#This Row],[НАРХИ]]</f>
        <v>3383300</v>
      </c>
      <c r="I97" s="57">
        <v>21000</v>
      </c>
      <c r="J97" s="31">
        <f>РЕАЛИЗАЦИЯ[[#This Row],[СОНИ]]*РЕАЛИЗАЦИЯ[[#This Row],[ТАННАРХ]]</f>
        <v>3089100</v>
      </c>
      <c r="K97" s="31">
        <f>РЕАЛИЗАЦИЯ[[#This Row],[ЖАМИ]]-РЕАЛИЗАЦИЯ[[#This Row],[ЖАМИ2]]</f>
        <v>294200</v>
      </c>
      <c r="L97" s="31"/>
    </row>
    <row r="98" spans="1:12" ht="15" customHeight="1" x14ac:dyDescent="0.3">
      <c r="A98" s="3">
        <v>46182</v>
      </c>
      <c r="B98" s="4" t="s">
        <v>304</v>
      </c>
      <c r="C98" s="79" t="s">
        <v>904</v>
      </c>
      <c r="D98" s="79" t="s">
        <v>7</v>
      </c>
      <c r="E98" s="31">
        <v>45.5</v>
      </c>
      <c r="F98" s="31">
        <v>23000</v>
      </c>
      <c r="G98" s="50">
        <f>РЕАЛИЗАЦИЯ[[#This Row],[СОНИ]]*РЕАЛИЗАЦИЯ[[#This Row],[НАРХИ]]</f>
        <v>1046500</v>
      </c>
      <c r="I98" s="57">
        <v>21000</v>
      </c>
      <c r="J98" s="31">
        <f>РЕАЛИЗАЦИЯ[[#This Row],[СОНИ]]*РЕАЛИЗАЦИЯ[[#This Row],[ТАННАРХ]]</f>
        <v>955500</v>
      </c>
      <c r="K98" s="31">
        <f>РЕАЛИЗАЦИЯ[[#This Row],[ЖАМИ]]-РЕАЛИЗАЦИЯ[[#This Row],[ЖАМИ2]]</f>
        <v>91000</v>
      </c>
      <c r="L98" s="31"/>
    </row>
    <row r="99" spans="1:12" ht="15" customHeight="1" x14ac:dyDescent="0.3">
      <c r="A99" s="3">
        <v>46182</v>
      </c>
      <c r="B99" s="4" t="s">
        <v>304</v>
      </c>
      <c r="C99" s="122" t="s">
        <v>43</v>
      </c>
      <c r="D99" s="122" t="s">
        <v>7</v>
      </c>
      <c r="E99" s="31">
        <v>48.6</v>
      </c>
      <c r="F99" s="31">
        <v>16000</v>
      </c>
      <c r="G99" s="50">
        <f>РЕАЛИЗАЦИЯ[[#This Row],[СОНИ]]*РЕАЛИЗАЦИЯ[[#This Row],[НАРХИ]]</f>
        <v>777600</v>
      </c>
      <c r="I99" s="57">
        <v>14000</v>
      </c>
      <c r="J99" s="31">
        <f>РЕАЛИЗАЦИЯ[[#This Row],[СОНИ]]*РЕАЛИЗАЦИЯ[[#This Row],[ТАННАРХ]]</f>
        <v>680400</v>
      </c>
      <c r="K99" s="31">
        <f>РЕАЛИЗАЦИЯ[[#This Row],[ЖАМИ]]-РЕАЛИЗАЦИЯ[[#This Row],[ЖАМИ2]]</f>
        <v>97200</v>
      </c>
      <c r="L99" s="31"/>
    </row>
    <row r="100" spans="1:12" ht="15" customHeight="1" x14ac:dyDescent="0.3">
      <c r="A100" s="3">
        <v>46182</v>
      </c>
      <c r="B100" s="4" t="s">
        <v>761</v>
      </c>
      <c r="C100" s="79" t="s">
        <v>43</v>
      </c>
      <c r="D100" s="79" t="s">
        <v>7</v>
      </c>
      <c r="E100" s="31">
        <v>58.2</v>
      </c>
      <c r="F100" s="31">
        <v>15000</v>
      </c>
      <c r="G100" s="50">
        <f>РЕАЛИЗАЦИЯ[[#This Row],[СОНИ]]*РЕАЛИЗАЦИЯ[[#This Row],[НАРХИ]]</f>
        <v>873000</v>
      </c>
      <c r="I100" s="57">
        <v>14000</v>
      </c>
      <c r="J100" s="31">
        <f>РЕАЛИЗАЦИЯ[[#This Row],[СОНИ]]*РЕАЛИЗАЦИЯ[[#This Row],[ТАННАРХ]]</f>
        <v>814800</v>
      </c>
      <c r="K100" s="31">
        <f>РЕАЛИЗАЦИЯ[[#This Row],[ЖАМИ]]-РЕАЛИЗАЦИЯ[[#This Row],[ЖАМИ2]]</f>
        <v>58200</v>
      </c>
      <c r="L100" s="31"/>
    </row>
    <row r="101" spans="1:12" ht="15" customHeight="1" x14ac:dyDescent="0.3">
      <c r="A101" s="3">
        <v>46182</v>
      </c>
      <c r="B101" s="4" t="s">
        <v>557</v>
      </c>
      <c r="C101" s="79" t="s">
        <v>42</v>
      </c>
      <c r="D101" s="79" t="s">
        <v>7</v>
      </c>
      <c r="E101" s="31">
        <v>304.5</v>
      </c>
      <c r="F101" s="31">
        <v>25000</v>
      </c>
      <c r="G101" s="50">
        <f>РЕАЛИЗАЦИЯ[[#This Row],[СОНИ]]*РЕАЛИЗАЦИЯ[[#This Row],[НАРХИ]]</f>
        <v>7612500</v>
      </c>
      <c r="I101" s="57">
        <v>23000</v>
      </c>
      <c r="J101" s="31">
        <f>РЕАЛИЗАЦИЯ[[#This Row],[СОНИ]]*РЕАЛИЗАЦИЯ[[#This Row],[ТАННАРХ]]</f>
        <v>7003500</v>
      </c>
      <c r="K101" s="31">
        <f>РЕАЛИЗАЦИЯ[[#This Row],[ЖАМИ]]-РЕАЛИЗАЦИЯ[[#This Row],[ЖАМИ2]]</f>
        <v>609000</v>
      </c>
      <c r="L101" s="31"/>
    </row>
    <row r="102" spans="1:12" ht="15" customHeight="1" x14ac:dyDescent="0.3">
      <c r="A102" s="3">
        <v>46182</v>
      </c>
      <c r="B102" s="4" t="s">
        <v>415</v>
      </c>
      <c r="C102" s="79" t="s">
        <v>78</v>
      </c>
      <c r="D102" s="79" t="s">
        <v>7</v>
      </c>
      <c r="E102" s="31">
        <v>45.4</v>
      </c>
      <c r="F102" s="31">
        <v>19000</v>
      </c>
      <c r="G102" s="50">
        <f>РЕАЛИЗАЦИЯ[[#This Row],[СОНИ]]*РЕАЛИЗАЦИЯ[[#This Row],[НАРХИ]]</f>
        <v>862600</v>
      </c>
      <c r="I102" s="57">
        <v>18000</v>
      </c>
      <c r="J102" s="31">
        <f>РЕАЛИЗАЦИЯ[[#This Row],[СОНИ]]*РЕАЛИЗАЦИЯ[[#This Row],[ТАННАРХ]]</f>
        <v>817200</v>
      </c>
      <c r="K102" s="31">
        <f>РЕАЛИЗАЦИЯ[[#This Row],[ЖАМИ]]-РЕАЛИЗАЦИЯ[[#This Row],[ЖАМИ2]]</f>
        <v>45400</v>
      </c>
      <c r="L102" s="31"/>
    </row>
    <row r="103" spans="1:12" ht="15" customHeight="1" x14ac:dyDescent="0.3">
      <c r="A103" s="3">
        <v>46182</v>
      </c>
      <c r="B103" s="4" t="s">
        <v>560</v>
      </c>
      <c r="C103" s="79" t="s">
        <v>904</v>
      </c>
      <c r="D103" s="79" t="s">
        <v>7</v>
      </c>
      <c r="E103" s="31">
        <v>88.2</v>
      </c>
      <c r="F103" s="31">
        <v>23000</v>
      </c>
      <c r="G103" s="50">
        <f>РЕАЛИЗАЦИЯ[[#This Row],[СОНИ]]*РЕАЛИЗАЦИЯ[[#This Row],[НАРХИ]]</f>
        <v>2028600</v>
      </c>
      <c r="I103" s="57">
        <v>21000</v>
      </c>
      <c r="J103" s="31">
        <f>РЕАЛИЗАЦИЯ[[#This Row],[СОНИ]]*РЕАЛИЗАЦИЯ[[#This Row],[ТАННАРХ]]</f>
        <v>1852200</v>
      </c>
      <c r="K103" s="31">
        <f>РЕАЛИЗАЦИЯ[[#This Row],[ЖАМИ]]-РЕАЛИЗАЦИЯ[[#This Row],[ЖАМИ2]]</f>
        <v>176400</v>
      </c>
      <c r="L103" s="31"/>
    </row>
    <row r="104" spans="1:12" ht="15" customHeight="1" x14ac:dyDescent="0.3">
      <c r="A104" s="3">
        <v>46182</v>
      </c>
      <c r="B104" s="4" t="s">
        <v>170</v>
      </c>
      <c r="C104" s="79" t="s">
        <v>904</v>
      </c>
      <c r="D104" s="79" t="s">
        <v>7</v>
      </c>
      <c r="E104" s="31">
        <v>141.4</v>
      </c>
      <c r="F104" s="31">
        <v>23000</v>
      </c>
      <c r="G104" s="50">
        <f>РЕАЛИЗАЦИЯ[[#This Row],[СОНИ]]*РЕАЛИЗАЦИЯ[[#This Row],[НАРХИ]]</f>
        <v>3252200</v>
      </c>
      <c r="I104" s="57">
        <v>21000</v>
      </c>
      <c r="J104" s="31">
        <f>РЕАЛИЗАЦИЯ[[#This Row],[СОНИ]]*РЕАЛИЗАЦИЯ[[#This Row],[ТАННАРХ]]</f>
        <v>2969400</v>
      </c>
      <c r="K104" s="31">
        <f>РЕАЛИЗАЦИЯ[[#This Row],[ЖАМИ]]-РЕАЛИЗАЦИЯ[[#This Row],[ЖАМИ2]]</f>
        <v>282800</v>
      </c>
      <c r="L104" s="31"/>
    </row>
    <row r="105" spans="1:12" ht="15" customHeight="1" x14ac:dyDescent="0.3">
      <c r="A105" s="3">
        <v>46183</v>
      </c>
      <c r="B105" s="4" t="s">
        <v>157</v>
      </c>
      <c r="C105" s="79" t="s">
        <v>904</v>
      </c>
      <c r="D105" s="79" t="s">
        <v>7</v>
      </c>
      <c r="E105" s="31">
        <v>44.3</v>
      </c>
      <c r="F105" s="31">
        <v>23000</v>
      </c>
      <c r="G105" s="50">
        <f>РЕАЛИЗАЦИЯ[[#This Row],[СОНИ]]*РЕАЛИЗАЦИЯ[[#This Row],[НАРХИ]]</f>
        <v>1018899.9999999999</v>
      </c>
      <c r="I105" s="57">
        <v>21000</v>
      </c>
      <c r="J105" s="31">
        <f>РЕАЛИЗАЦИЯ[[#This Row],[СОНИ]]*РЕАЛИЗАЦИЯ[[#This Row],[ТАННАРХ]]</f>
        <v>930299.99999999988</v>
      </c>
      <c r="K105" s="31">
        <f>РЕАЛИЗАЦИЯ[[#This Row],[ЖАМИ]]-РЕАЛИЗАЦИЯ[[#This Row],[ЖАМИ2]]</f>
        <v>88600</v>
      </c>
      <c r="L105" s="31"/>
    </row>
    <row r="106" spans="1:12" ht="15" customHeight="1" x14ac:dyDescent="0.3">
      <c r="A106" s="3">
        <v>46183</v>
      </c>
      <c r="B106" s="4" t="s">
        <v>508</v>
      </c>
      <c r="C106" s="79" t="s">
        <v>605</v>
      </c>
      <c r="D106" s="79" t="s">
        <v>7</v>
      </c>
      <c r="E106" s="31">
        <v>396.5</v>
      </c>
      <c r="F106" s="31">
        <v>25000</v>
      </c>
      <c r="G106" s="50">
        <f>РЕАЛИЗАЦИЯ[[#This Row],[СОНИ]]*РЕАЛИЗАЦИЯ[[#This Row],[НАРХИ]]</f>
        <v>9912500</v>
      </c>
      <c r="I106" s="57">
        <v>22000</v>
      </c>
      <c r="J106" s="31">
        <f>РЕАЛИЗАЦИЯ[[#This Row],[СОНИ]]*РЕАЛИЗАЦИЯ[[#This Row],[ТАННАРХ]]</f>
        <v>8723000</v>
      </c>
      <c r="K106" s="31">
        <f>РЕАЛИЗАЦИЯ[[#This Row],[ЖАМИ]]-РЕАЛИЗАЦИЯ[[#This Row],[ЖАМИ2]]</f>
        <v>1189500</v>
      </c>
      <c r="L106" s="31"/>
    </row>
    <row r="107" spans="1:12" ht="15" customHeight="1" x14ac:dyDescent="0.3">
      <c r="A107" s="3">
        <v>46183</v>
      </c>
      <c r="B107" s="4" t="s">
        <v>170</v>
      </c>
      <c r="C107" s="79" t="s">
        <v>42</v>
      </c>
      <c r="D107" s="79" t="s">
        <v>7</v>
      </c>
      <c r="E107" s="31">
        <v>143.19999999999999</v>
      </c>
      <c r="F107" s="31">
        <v>25000</v>
      </c>
      <c r="G107" s="50">
        <f>РЕАЛИЗАЦИЯ[[#This Row],[СОНИ]]*РЕАЛИЗАЦИЯ[[#This Row],[НАРХИ]]</f>
        <v>3579999.9999999995</v>
      </c>
      <c r="I107" s="57">
        <v>23000</v>
      </c>
      <c r="J107" s="31">
        <f>РЕАЛИЗАЦИЯ[[#This Row],[СОНИ]]*РЕАЛИЗАЦИЯ[[#This Row],[ТАННАРХ]]</f>
        <v>3293599.9999999995</v>
      </c>
      <c r="K107" s="31">
        <f>РЕАЛИЗАЦИЯ[[#This Row],[ЖАМИ]]-РЕАЛИЗАЦИЯ[[#This Row],[ЖАМИ2]]</f>
        <v>286400</v>
      </c>
      <c r="L107" s="31"/>
    </row>
    <row r="108" spans="1:12" ht="15" customHeight="1" x14ac:dyDescent="0.3">
      <c r="A108" s="3">
        <v>46183</v>
      </c>
      <c r="B108" s="4" t="s">
        <v>681</v>
      </c>
      <c r="C108" s="79" t="s">
        <v>43</v>
      </c>
      <c r="D108" s="79" t="s">
        <v>7</v>
      </c>
      <c r="E108" s="31">
        <v>305.39999999999998</v>
      </c>
      <c r="F108" s="31">
        <v>15500</v>
      </c>
      <c r="G108" s="50">
        <f>РЕАЛИЗАЦИЯ[[#This Row],[СОНИ]]*РЕАЛИЗАЦИЯ[[#This Row],[НАРХИ]]</f>
        <v>4733700</v>
      </c>
      <c r="I108" s="57">
        <v>14000</v>
      </c>
      <c r="J108" s="31">
        <f>РЕАЛИЗАЦИЯ[[#This Row],[СОНИ]]*РЕАЛИЗАЦИЯ[[#This Row],[ТАННАРХ]]</f>
        <v>4275600</v>
      </c>
      <c r="K108" s="31">
        <f>РЕАЛИЗАЦИЯ[[#This Row],[ЖАМИ]]-РЕАЛИЗАЦИЯ[[#This Row],[ЖАМИ2]]</f>
        <v>458100</v>
      </c>
      <c r="L108" s="31"/>
    </row>
    <row r="109" spans="1:12" ht="15" customHeight="1" x14ac:dyDescent="0.3">
      <c r="A109" s="3">
        <v>46183</v>
      </c>
      <c r="B109" s="4" t="s">
        <v>681</v>
      </c>
      <c r="C109" s="79" t="s">
        <v>904</v>
      </c>
      <c r="D109" s="79" t="s">
        <v>7</v>
      </c>
      <c r="E109" s="31">
        <v>283.7</v>
      </c>
      <c r="F109" s="31">
        <v>23000</v>
      </c>
      <c r="G109" s="50">
        <f>РЕАЛИЗАЦИЯ[[#This Row],[СОНИ]]*РЕАЛИЗАЦИЯ[[#This Row],[НАРХИ]]</f>
        <v>6525100</v>
      </c>
      <c r="I109" s="57">
        <v>21000</v>
      </c>
      <c r="J109" s="31">
        <f>РЕАЛИЗАЦИЯ[[#This Row],[СОНИ]]*РЕАЛИЗАЦИЯ[[#This Row],[ТАННАРХ]]</f>
        <v>5957700</v>
      </c>
      <c r="K109" s="31">
        <f>РЕАЛИЗАЦИЯ[[#This Row],[ЖАМИ]]-РЕАЛИЗАЦИЯ[[#This Row],[ЖАМИ2]]</f>
        <v>567400</v>
      </c>
      <c r="L109" s="31"/>
    </row>
    <row r="110" spans="1:12" ht="15" customHeight="1" x14ac:dyDescent="0.3">
      <c r="A110" s="3">
        <v>46183</v>
      </c>
      <c r="B110" s="4" t="s">
        <v>86</v>
      </c>
      <c r="C110" s="79" t="s">
        <v>43</v>
      </c>
      <c r="D110" s="79" t="s">
        <v>7</v>
      </c>
      <c r="E110" s="31">
        <v>47.8</v>
      </c>
      <c r="F110" s="31">
        <v>16000</v>
      </c>
      <c r="G110" s="50">
        <f>РЕАЛИЗАЦИЯ[[#This Row],[СОНИ]]*РЕАЛИЗАЦИЯ[[#This Row],[НАРХИ]]</f>
        <v>764800</v>
      </c>
      <c r="I110" s="57">
        <v>14000</v>
      </c>
      <c r="J110" s="31">
        <f>РЕАЛИЗАЦИЯ[[#This Row],[СОНИ]]*РЕАЛИЗАЦИЯ[[#This Row],[ТАННАРХ]]</f>
        <v>669200</v>
      </c>
      <c r="K110" s="31">
        <f>РЕАЛИЗАЦИЯ[[#This Row],[ЖАМИ]]-РЕАЛИЗАЦИЯ[[#This Row],[ЖАМИ2]]</f>
        <v>95600</v>
      </c>
      <c r="L110" s="31"/>
    </row>
    <row r="111" spans="1:12" s="305" customFormat="1" ht="15" customHeight="1" x14ac:dyDescent="0.3">
      <c r="A111" s="3">
        <v>46183</v>
      </c>
      <c r="B111" s="4" t="s">
        <v>86</v>
      </c>
      <c r="C111" s="305" t="s">
        <v>904</v>
      </c>
      <c r="D111" s="305" t="s">
        <v>7</v>
      </c>
      <c r="E111" s="31">
        <v>43.7</v>
      </c>
      <c r="F111" s="31">
        <v>23000</v>
      </c>
      <c r="G111" s="50">
        <f>РЕАЛИЗАЦИЯ[[#This Row],[СОНИ]]*РЕАЛИЗАЦИЯ[[#This Row],[НАРХИ]]</f>
        <v>1005100.0000000001</v>
      </c>
      <c r="H111" s="31"/>
      <c r="I111" s="57">
        <v>21000</v>
      </c>
      <c r="J111" s="31">
        <f>РЕАЛИЗАЦИЯ[[#This Row],[СОНИ]]*РЕАЛИЗАЦИЯ[[#This Row],[ТАННАРХ]]</f>
        <v>917700.00000000012</v>
      </c>
      <c r="K111" s="31">
        <f>РЕАЛИЗАЦИЯ[[#This Row],[ЖАМИ]]-РЕАЛИЗАЦИЯ[[#This Row],[ЖАМИ2]]</f>
        <v>87400</v>
      </c>
      <c r="L111" s="31"/>
    </row>
    <row r="112" spans="1:12" ht="15" customHeight="1" x14ac:dyDescent="0.3">
      <c r="A112" s="3">
        <v>46183</v>
      </c>
      <c r="B112" s="4" t="s">
        <v>86</v>
      </c>
      <c r="C112" s="122" t="s">
        <v>904</v>
      </c>
      <c r="D112" s="122" t="s">
        <v>7</v>
      </c>
      <c r="E112" s="31">
        <v>-43.7</v>
      </c>
      <c r="F112" s="31">
        <v>23000</v>
      </c>
      <c r="G112" s="50">
        <f>РЕАЛИЗАЦИЯ[[#This Row],[СОНИ]]*РЕАЛИЗАЦИЯ[[#This Row],[НАРХИ]]</f>
        <v>-1005100.0000000001</v>
      </c>
      <c r="I112" s="57">
        <v>21000</v>
      </c>
      <c r="J112" s="31">
        <f>РЕАЛИЗАЦИЯ[[#This Row],[СОНИ]]*РЕАЛИЗАЦИЯ[[#This Row],[ТАННАРХ]]</f>
        <v>-917700.00000000012</v>
      </c>
      <c r="K112" s="31">
        <f>РЕАЛИЗАЦИЯ[[#This Row],[ЖАМИ]]-РЕАЛИЗАЦИЯ[[#This Row],[ЖАМИ2]]</f>
        <v>-87400</v>
      </c>
      <c r="L112" s="31"/>
    </row>
    <row r="113" spans="1:12" ht="15" customHeight="1" x14ac:dyDescent="0.3">
      <c r="A113" s="3">
        <v>46183</v>
      </c>
      <c r="B113" s="4" t="s">
        <v>827</v>
      </c>
      <c r="C113" s="122" t="s">
        <v>43</v>
      </c>
      <c r="D113" s="122" t="s">
        <v>7</v>
      </c>
      <c r="E113" s="31">
        <v>285.60000000000002</v>
      </c>
      <c r="F113" s="31">
        <v>15000</v>
      </c>
      <c r="G113" s="50">
        <f>РЕАЛИЗАЦИЯ[[#This Row],[СОНИ]]*РЕАЛИЗАЦИЯ[[#This Row],[НАРХИ]]</f>
        <v>4284000</v>
      </c>
      <c r="I113" s="57">
        <v>14000</v>
      </c>
      <c r="J113" s="31">
        <f>РЕАЛИЗАЦИЯ[[#This Row],[СОНИ]]*РЕАЛИЗАЦИЯ[[#This Row],[ТАННАРХ]]</f>
        <v>3998400.0000000005</v>
      </c>
      <c r="K113" s="31">
        <f>РЕАЛИЗАЦИЯ[[#This Row],[ЖАМИ]]-РЕАЛИЗАЦИЯ[[#This Row],[ЖАМИ2]]</f>
        <v>285599.99999999953</v>
      </c>
      <c r="L113" s="31"/>
    </row>
    <row r="114" spans="1:12" ht="15" customHeight="1" x14ac:dyDescent="0.3">
      <c r="A114" s="3">
        <v>46183</v>
      </c>
      <c r="B114" s="4" t="s">
        <v>129</v>
      </c>
      <c r="C114" s="122" t="s">
        <v>590</v>
      </c>
      <c r="D114" s="122" t="s">
        <v>7</v>
      </c>
      <c r="E114" s="31">
        <v>61.3</v>
      </c>
      <c r="F114" s="31">
        <v>28000</v>
      </c>
      <c r="G114" s="50">
        <f>РЕАЛИЗАЦИЯ[[#This Row],[СОНИ]]*РЕАЛИЗАЦИЯ[[#This Row],[НАРХИ]]</f>
        <v>1716400</v>
      </c>
      <c r="I114" s="94">
        <v>26000</v>
      </c>
      <c r="J114" s="31">
        <f>РЕАЛИЗАЦИЯ[[#This Row],[СОНИ]]*РЕАЛИЗАЦИЯ[[#This Row],[ТАННАРХ]]</f>
        <v>1593800</v>
      </c>
      <c r="K114" s="31">
        <f>РЕАЛИЗАЦИЯ[[#This Row],[ЖАМИ]]-РЕАЛИЗАЦИЯ[[#This Row],[ЖАМИ2]]</f>
        <v>122600</v>
      </c>
      <c r="L114" s="31"/>
    </row>
    <row r="115" spans="1:12" s="122" customFormat="1" ht="15" customHeight="1" x14ac:dyDescent="0.3">
      <c r="A115" s="3">
        <v>46184</v>
      </c>
      <c r="B115" s="4" t="s">
        <v>918</v>
      </c>
      <c r="C115" s="122" t="s">
        <v>42</v>
      </c>
      <c r="D115" s="122" t="s">
        <v>7</v>
      </c>
      <c r="E115" s="31">
        <v>135.80000000000001</v>
      </c>
      <c r="F115" s="31">
        <v>25000</v>
      </c>
      <c r="G115" s="50">
        <f>РЕАЛИЗАЦИЯ[[#This Row],[СОНИ]]*РЕАЛИЗАЦИЯ[[#This Row],[НАРХИ]]</f>
        <v>3395000.0000000005</v>
      </c>
      <c r="H115" s="31"/>
      <c r="I115" s="57">
        <v>23000</v>
      </c>
      <c r="J115" s="31">
        <f>РЕАЛИЗАЦИЯ[[#This Row],[СОНИ]]*РЕАЛИЗАЦИЯ[[#This Row],[ТАННАРХ]]</f>
        <v>3123400.0000000005</v>
      </c>
      <c r="K115" s="31">
        <f>РЕАЛИЗАЦИЯ[[#This Row],[ЖАМИ]]-РЕАЛИЗАЦИЯ[[#This Row],[ЖАМИ2]]</f>
        <v>271600</v>
      </c>
      <c r="L115" s="31"/>
    </row>
    <row r="116" spans="1:12" s="122" customFormat="1" ht="15" customHeight="1" x14ac:dyDescent="0.3">
      <c r="A116" s="3">
        <v>46184</v>
      </c>
      <c r="B116" s="4" t="s">
        <v>520</v>
      </c>
      <c r="C116" s="280" t="s">
        <v>904</v>
      </c>
      <c r="D116" s="122" t="s">
        <v>7</v>
      </c>
      <c r="E116" s="31">
        <v>148.9</v>
      </c>
      <c r="F116" s="31">
        <v>23000</v>
      </c>
      <c r="G116" s="50">
        <f>РЕАЛИЗАЦИЯ[[#This Row],[СОНИ]]*РЕАЛИЗАЦИЯ[[#This Row],[НАРХИ]]</f>
        <v>3424700</v>
      </c>
      <c r="H116" s="31"/>
      <c r="I116" s="57">
        <v>21000</v>
      </c>
      <c r="J116" s="31">
        <f>РЕАЛИЗАЦИЯ[[#This Row],[СОНИ]]*РЕАЛИЗАЦИЯ[[#This Row],[ТАННАРХ]]</f>
        <v>3126900</v>
      </c>
      <c r="K116" s="31">
        <f>РЕАЛИЗАЦИЯ[[#This Row],[ЖАМИ]]-РЕАЛИЗАЦИЯ[[#This Row],[ЖАМИ2]]</f>
        <v>297800</v>
      </c>
      <c r="L116" s="31"/>
    </row>
    <row r="117" spans="1:12" s="122" customFormat="1" ht="15" customHeight="1" x14ac:dyDescent="0.3">
      <c r="A117" s="3">
        <v>46184</v>
      </c>
      <c r="B117" s="4" t="s">
        <v>520</v>
      </c>
      <c r="C117" s="79" t="s">
        <v>43</v>
      </c>
      <c r="D117" s="79" t="s">
        <v>7</v>
      </c>
      <c r="E117" s="31">
        <v>49.9</v>
      </c>
      <c r="F117" s="31">
        <v>16000</v>
      </c>
      <c r="G117" s="50">
        <f>РЕАЛИЗАЦИЯ[[#This Row],[СОНИ]]*РЕАЛИЗАЦИЯ[[#This Row],[НАРХИ]]</f>
        <v>798400</v>
      </c>
      <c r="H117" s="31"/>
      <c r="I117" s="57">
        <v>14000</v>
      </c>
      <c r="J117" s="31">
        <f>РЕАЛИЗАЦИЯ[[#This Row],[СОНИ]]*РЕАЛИЗАЦИЯ[[#This Row],[ТАННАРХ]]</f>
        <v>698600</v>
      </c>
      <c r="K117" s="31">
        <f>РЕАЛИЗАЦИЯ[[#This Row],[ЖАМИ]]-РЕАЛИЗАЦИЯ[[#This Row],[ЖАМИ2]]</f>
        <v>99800</v>
      </c>
      <c r="L117" s="31"/>
    </row>
    <row r="118" spans="1:12" ht="15" customHeight="1" x14ac:dyDescent="0.3">
      <c r="A118" s="3">
        <v>46184</v>
      </c>
      <c r="B118" s="4" t="s">
        <v>644</v>
      </c>
      <c r="C118" s="79" t="s">
        <v>904</v>
      </c>
      <c r="D118" s="79" t="s">
        <v>7</v>
      </c>
      <c r="E118" s="31">
        <v>48.9</v>
      </c>
      <c r="F118" s="31">
        <v>23000</v>
      </c>
      <c r="G118" s="50">
        <f>РЕАЛИЗАЦИЯ[[#This Row],[СОНИ]]*РЕАЛИЗАЦИЯ[[#This Row],[НАРХИ]]</f>
        <v>1124700</v>
      </c>
      <c r="I118" s="57">
        <v>21000</v>
      </c>
      <c r="J118" s="31">
        <f>РЕАЛИЗАЦИЯ[[#This Row],[СОНИ]]*РЕАЛИЗАЦИЯ[[#This Row],[ТАННАРХ]]</f>
        <v>1026900</v>
      </c>
      <c r="K118" s="31">
        <f>РЕАЛИЗАЦИЯ[[#This Row],[ЖАМИ]]-РЕАЛИЗАЦИЯ[[#This Row],[ЖАМИ2]]</f>
        <v>97800</v>
      </c>
      <c r="L118" s="31"/>
    </row>
    <row r="119" spans="1:12" ht="15" customHeight="1" x14ac:dyDescent="0.3">
      <c r="A119" s="3">
        <v>46184</v>
      </c>
      <c r="B119" s="4" t="s">
        <v>496</v>
      </c>
      <c r="C119" s="79" t="s">
        <v>904</v>
      </c>
      <c r="D119" s="79" t="s">
        <v>7</v>
      </c>
      <c r="E119" s="31">
        <v>45.3</v>
      </c>
      <c r="F119" s="31">
        <v>23000</v>
      </c>
      <c r="G119" s="50">
        <f>РЕАЛИЗАЦИЯ[[#This Row],[СОНИ]]*РЕАЛИЗАЦИЯ[[#This Row],[НАРХИ]]</f>
        <v>1041899.9999999999</v>
      </c>
      <c r="I119" s="57">
        <v>21000</v>
      </c>
      <c r="J119" s="31">
        <f>РЕАЛИЗАЦИЯ[[#This Row],[СОНИ]]*РЕАЛИЗАЦИЯ[[#This Row],[ТАННАРХ]]</f>
        <v>951299.99999999988</v>
      </c>
      <c r="K119" s="31">
        <f>РЕАЛИЗАЦИЯ[[#This Row],[ЖАМИ]]-РЕАЛИЗАЦИЯ[[#This Row],[ЖАМИ2]]</f>
        <v>90600</v>
      </c>
      <c r="L119" s="31"/>
    </row>
    <row r="120" spans="1:12" ht="15" customHeight="1" x14ac:dyDescent="0.3">
      <c r="A120" s="3">
        <v>46184</v>
      </c>
      <c r="B120" s="4" t="s">
        <v>373</v>
      </c>
      <c r="C120" s="79" t="s">
        <v>904</v>
      </c>
      <c r="D120" s="79" t="s">
        <v>7</v>
      </c>
      <c r="E120" s="31">
        <v>88.2</v>
      </c>
      <c r="F120" s="31">
        <v>23000</v>
      </c>
      <c r="G120" s="50">
        <f>РЕАЛИЗАЦИЯ[[#This Row],[СОНИ]]*РЕАЛИЗАЦИЯ[[#This Row],[НАРХИ]]</f>
        <v>2028600</v>
      </c>
      <c r="I120" s="57">
        <v>21000</v>
      </c>
      <c r="J120" s="31">
        <f>РЕАЛИЗАЦИЯ[[#This Row],[СОНИ]]*РЕАЛИЗАЦИЯ[[#This Row],[ТАННАРХ]]</f>
        <v>1852200</v>
      </c>
      <c r="K120" s="31">
        <f>РЕАЛИЗАЦИЯ[[#This Row],[ЖАМИ]]-РЕАЛИЗАЦИЯ[[#This Row],[ЖАМИ2]]</f>
        <v>176400</v>
      </c>
      <c r="L120" s="31"/>
    </row>
    <row r="121" spans="1:12" ht="15" customHeight="1" x14ac:dyDescent="0.3">
      <c r="A121" s="3">
        <v>46184</v>
      </c>
      <c r="B121" s="4" t="s">
        <v>565</v>
      </c>
      <c r="C121" s="79" t="s">
        <v>593</v>
      </c>
      <c r="D121" s="79" t="s">
        <v>7</v>
      </c>
      <c r="E121" s="31">
        <v>40.1</v>
      </c>
      <c r="F121" s="31">
        <v>27000</v>
      </c>
      <c r="G121" s="50">
        <f>РЕАЛИЗАЦИЯ[[#This Row],[СОНИ]]*РЕАЛИЗАЦИЯ[[#This Row],[НАРХИ]]</f>
        <v>1082700</v>
      </c>
      <c r="I121" s="80">
        <v>25500</v>
      </c>
      <c r="J121" s="31">
        <f>РЕАЛИЗАЦИЯ[[#This Row],[СОНИ]]*РЕАЛИЗАЦИЯ[[#This Row],[ТАННАРХ]]</f>
        <v>1022550</v>
      </c>
      <c r="K121" s="31">
        <f>РЕАЛИЗАЦИЯ[[#This Row],[ЖАМИ]]-РЕАЛИЗАЦИЯ[[#This Row],[ЖАМИ2]]</f>
        <v>60150</v>
      </c>
      <c r="L121" s="31"/>
    </row>
    <row r="122" spans="1:12" ht="15" customHeight="1" x14ac:dyDescent="0.3">
      <c r="A122" s="3">
        <v>46184</v>
      </c>
      <c r="B122" s="4" t="s">
        <v>919</v>
      </c>
      <c r="C122" s="79" t="s">
        <v>43</v>
      </c>
      <c r="D122" s="79" t="s">
        <v>7</v>
      </c>
      <c r="E122" s="31">
        <v>978.6</v>
      </c>
      <c r="F122" s="31">
        <v>15000</v>
      </c>
      <c r="G122" s="50">
        <f>РЕАЛИЗАЦИЯ[[#This Row],[СОНИ]]*РЕАЛИЗАЦИЯ[[#This Row],[НАРХИ]]</f>
        <v>14679000</v>
      </c>
      <c r="I122" s="57">
        <v>14000</v>
      </c>
      <c r="J122" s="31">
        <f>РЕАЛИЗАЦИЯ[[#This Row],[СОНИ]]*РЕАЛИЗАЦИЯ[[#This Row],[ТАННАРХ]]</f>
        <v>13700400</v>
      </c>
      <c r="K122" s="31">
        <f>РЕАЛИЗАЦИЯ[[#This Row],[ЖАМИ]]-РЕАЛИЗАЦИЯ[[#This Row],[ЖАМИ2]]</f>
        <v>978600</v>
      </c>
      <c r="L122" s="31"/>
    </row>
    <row r="123" spans="1:12" ht="15" customHeight="1" x14ac:dyDescent="0.3">
      <c r="A123" s="3">
        <v>46184</v>
      </c>
      <c r="B123" s="4" t="s">
        <v>526</v>
      </c>
      <c r="C123" s="79" t="s">
        <v>42</v>
      </c>
      <c r="D123" s="79" t="s">
        <v>7</v>
      </c>
      <c r="E123" s="31">
        <v>49.8</v>
      </c>
      <c r="F123" s="31">
        <v>22000</v>
      </c>
      <c r="G123" s="50">
        <f>РЕАЛИЗАЦИЯ[[#This Row],[СОНИ]]*РЕАЛИЗАЦИЯ[[#This Row],[НАРХИ]]</f>
        <v>1095600</v>
      </c>
      <c r="I123" s="57">
        <v>22000</v>
      </c>
      <c r="J123" s="31">
        <f>РЕАЛИЗАЦИЯ[[#This Row],[СОНИ]]*РЕАЛИЗАЦИЯ[[#This Row],[ТАННАРХ]]</f>
        <v>1095600</v>
      </c>
      <c r="K123" s="31">
        <f>РЕАЛИЗАЦИЯ[[#This Row],[ЖАМИ]]-РЕАЛИЗАЦИЯ[[#This Row],[ЖАМИ2]]</f>
        <v>0</v>
      </c>
      <c r="L123" s="31"/>
    </row>
    <row r="124" spans="1:12" ht="15" customHeight="1" x14ac:dyDescent="0.3">
      <c r="A124" s="3">
        <v>46184</v>
      </c>
      <c r="B124" s="4" t="s">
        <v>526</v>
      </c>
      <c r="C124" s="79" t="s">
        <v>590</v>
      </c>
      <c r="D124" s="79" t="s">
        <v>7</v>
      </c>
      <c r="E124" s="31">
        <v>22.7</v>
      </c>
      <c r="F124" s="31">
        <v>28000</v>
      </c>
      <c r="G124" s="50">
        <f>РЕАЛИЗАЦИЯ[[#This Row],[СОНИ]]*РЕАЛИЗАЦИЯ[[#This Row],[НАРХИ]]</f>
        <v>635600</v>
      </c>
      <c r="I124" s="80">
        <v>26000</v>
      </c>
      <c r="J124" s="31">
        <f>РЕАЛИЗАЦИЯ[[#This Row],[СОНИ]]*РЕАЛИЗАЦИЯ[[#This Row],[ТАННАРХ]]</f>
        <v>590200</v>
      </c>
      <c r="K124" s="31">
        <f>РЕАЛИЗАЦИЯ[[#This Row],[ЖАМИ]]-РЕАЛИЗАЦИЯ[[#This Row],[ЖАМИ2]]</f>
        <v>45400</v>
      </c>
      <c r="L124" s="31"/>
    </row>
    <row r="125" spans="1:12" ht="15" customHeight="1" x14ac:dyDescent="0.3">
      <c r="A125" s="3">
        <v>46184</v>
      </c>
      <c r="B125" s="4" t="s">
        <v>884</v>
      </c>
      <c r="C125" s="79" t="s">
        <v>78</v>
      </c>
      <c r="D125" s="79" t="s">
        <v>7</v>
      </c>
      <c r="E125" s="31">
        <v>600.29999999999995</v>
      </c>
      <c r="F125" s="31">
        <v>18500</v>
      </c>
      <c r="G125" s="50">
        <f>РЕАЛИЗАЦИЯ[[#This Row],[СОНИ]]*РЕАЛИЗАЦИЯ[[#This Row],[НАРХИ]]</f>
        <v>11105550</v>
      </c>
      <c r="I125" s="57">
        <v>18000</v>
      </c>
      <c r="J125" s="31">
        <f>РЕАЛИЗАЦИЯ[[#This Row],[СОНИ]]*РЕАЛИЗАЦИЯ[[#This Row],[ТАННАРХ]]</f>
        <v>10805400</v>
      </c>
      <c r="K125" s="31">
        <f>РЕАЛИЗАЦИЯ[[#This Row],[ЖАМИ]]-РЕАЛИЗАЦИЯ[[#This Row],[ЖАМИ2]]</f>
        <v>300150</v>
      </c>
      <c r="L125" s="31"/>
    </row>
    <row r="126" spans="1:12" ht="15" customHeight="1" x14ac:dyDescent="0.3">
      <c r="A126" s="3">
        <v>46184</v>
      </c>
      <c r="B126" s="4" t="s">
        <v>556</v>
      </c>
      <c r="C126" s="79" t="s">
        <v>590</v>
      </c>
      <c r="D126" s="79" t="s">
        <v>7</v>
      </c>
      <c r="E126" s="31">
        <v>176.9</v>
      </c>
      <c r="F126" s="31">
        <v>28000</v>
      </c>
      <c r="G126" s="50">
        <f>РЕАЛИЗАЦИЯ[[#This Row],[СОНИ]]*РЕАЛИЗАЦИЯ[[#This Row],[НАРХИ]]</f>
        <v>4953200</v>
      </c>
      <c r="I126" s="80">
        <v>26000</v>
      </c>
      <c r="J126" s="31">
        <f>РЕАЛИЗАЦИЯ[[#This Row],[СОНИ]]*РЕАЛИЗАЦИЯ[[#This Row],[ТАННАРХ]]</f>
        <v>4599400</v>
      </c>
      <c r="K126" s="31">
        <f>РЕАЛИЗАЦИЯ[[#This Row],[ЖАМИ]]-РЕАЛИЗАЦИЯ[[#This Row],[ЖАМИ2]]</f>
        <v>353800</v>
      </c>
      <c r="L126" s="31"/>
    </row>
    <row r="127" spans="1:12" ht="15" customHeight="1" x14ac:dyDescent="0.3">
      <c r="A127" s="3">
        <v>46184</v>
      </c>
      <c r="B127" s="4" t="s">
        <v>552</v>
      </c>
      <c r="C127" s="125" t="s">
        <v>593</v>
      </c>
      <c r="D127" s="125" t="s">
        <v>7</v>
      </c>
      <c r="E127" s="31">
        <v>1622.6</v>
      </c>
      <c r="F127" s="31">
        <v>30000</v>
      </c>
      <c r="G127" s="50">
        <f>РЕАЛИЗАЦИЯ[[#This Row],[СОНИ]]*РЕАЛИЗАЦИЯ[[#This Row],[НАРХИ]]</f>
        <v>48678000</v>
      </c>
      <c r="I127" s="126">
        <v>25000</v>
      </c>
      <c r="J127" s="31">
        <f>РЕАЛИЗАЦИЯ[[#This Row],[СОНИ]]*РЕАЛИЗАЦИЯ[[#This Row],[ТАННАРХ]]</f>
        <v>40565000</v>
      </c>
      <c r="K127" s="31">
        <f>РЕАЛИЗАЦИЯ[[#This Row],[ЖАМИ]]-РЕАЛИЗАЦИЯ[[#This Row],[ЖАМИ2]]</f>
        <v>8113000</v>
      </c>
      <c r="L127" s="31"/>
    </row>
    <row r="128" spans="1:12" ht="15" customHeight="1" x14ac:dyDescent="0.3">
      <c r="A128" s="3">
        <v>46185</v>
      </c>
      <c r="B128" s="4" t="s">
        <v>552</v>
      </c>
      <c r="C128" s="79" t="s">
        <v>593</v>
      </c>
      <c r="D128" s="79" t="s">
        <v>7</v>
      </c>
      <c r="E128" s="31">
        <v>1658.4</v>
      </c>
      <c r="F128" s="31">
        <v>30000</v>
      </c>
      <c r="G128" s="50">
        <f>РЕАЛИЗАЦИЯ[[#This Row],[СОНИ]]*РЕАЛИЗАЦИЯ[[#This Row],[НАРХИ]]</f>
        <v>49752000</v>
      </c>
      <c r="I128" s="80">
        <v>25000</v>
      </c>
      <c r="J128" s="31">
        <f>РЕАЛИЗАЦИЯ[[#This Row],[СОНИ]]*РЕАЛИЗАЦИЯ[[#This Row],[ТАННАРХ]]</f>
        <v>41460000</v>
      </c>
      <c r="K128" s="31">
        <f>РЕАЛИЗАЦИЯ[[#This Row],[ЖАМИ]]-РЕАЛИЗАЦИЯ[[#This Row],[ЖАМИ2]]</f>
        <v>8292000</v>
      </c>
      <c r="L128" s="31"/>
    </row>
    <row r="129" spans="1:12" ht="15" customHeight="1" x14ac:dyDescent="0.3">
      <c r="A129" s="3">
        <v>46185</v>
      </c>
      <c r="B129" s="4" t="s">
        <v>105</v>
      </c>
      <c r="C129" s="79" t="s">
        <v>904</v>
      </c>
      <c r="D129" s="79" t="s">
        <v>7</v>
      </c>
      <c r="E129" s="31">
        <v>43.6</v>
      </c>
      <c r="F129" s="31">
        <v>23000</v>
      </c>
      <c r="G129" s="50">
        <f>РЕАЛИЗАЦИЯ[[#This Row],[СОНИ]]*РЕАЛИЗАЦИЯ[[#This Row],[НАРХИ]]</f>
        <v>1002800</v>
      </c>
      <c r="I129" s="57">
        <v>21000</v>
      </c>
      <c r="J129" s="31">
        <f>РЕАЛИЗАЦИЯ[[#This Row],[СОНИ]]*РЕАЛИЗАЦИЯ[[#This Row],[ТАННАРХ]]</f>
        <v>915600</v>
      </c>
      <c r="K129" s="31">
        <f>РЕАЛИЗАЦИЯ[[#This Row],[ЖАМИ]]-РЕАЛИЗАЦИЯ[[#This Row],[ЖАМИ2]]</f>
        <v>87200</v>
      </c>
      <c r="L129" s="31"/>
    </row>
    <row r="130" spans="1:12" ht="15" customHeight="1" x14ac:dyDescent="0.3">
      <c r="A130" s="3">
        <v>46185</v>
      </c>
      <c r="B130" s="4" t="s">
        <v>105</v>
      </c>
      <c r="C130" s="79" t="s">
        <v>43</v>
      </c>
      <c r="D130" s="79" t="s">
        <v>7</v>
      </c>
      <c r="E130" s="31">
        <v>44.7</v>
      </c>
      <c r="F130" s="31">
        <v>16000</v>
      </c>
      <c r="G130" s="50">
        <f>РЕАЛИЗАЦИЯ[[#This Row],[СОНИ]]*РЕАЛИЗАЦИЯ[[#This Row],[НАРХИ]]</f>
        <v>715200</v>
      </c>
      <c r="I130" s="57">
        <v>14000</v>
      </c>
      <c r="J130" s="31">
        <f>РЕАЛИЗАЦИЯ[[#This Row],[СОНИ]]*РЕАЛИЗАЦИЯ[[#This Row],[ТАННАРХ]]</f>
        <v>625800</v>
      </c>
      <c r="K130" s="31">
        <f>РЕАЛИЗАЦИЯ[[#This Row],[ЖАМИ]]-РЕАЛИЗАЦИЯ[[#This Row],[ЖАМИ2]]</f>
        <v>89400</v>
      </c>
      <c r="L130" s="31"/>
    </row>
    <row r="131" spans="1:12" ht="15" customHeight="1" x14ac:dyDescent="0.3">
      <c r="A131" s="3">
        <v>46185</v>
      </c>
      <c r="B131" s="4" t="s">
        <v>246</v>
      </c>
      <c r="C131" s="79" t="s">
        <v>43</v>
      </c>
      <c r="D131" s="79" t="s">
        <v>7</v>
      </c>
      <c r="E131" s="31">
        <v>51.5</v>
      </c>
      <c r="F131" s="31">
        <v>16000</v>
      </c>
      <c r="G131" s="50">
        <f>РЕАЛИЗАЦИЯ[[#This Row],[СОНИ]]*РЕАЛИЗАЦИЯ[[#This Row],[НАРХИ]]</f>
        <v>824000</v>
      </c>
      <c r="I131" s="57">
        <v>14000</v>
      </c>
      <c r="J131" s="31">
        <f>РЕАЛИЗАЦИЯ[[#This Row],[СОНИ]]*РЕАЛИЗАЦИЯ[[#This Row],[ТАННАРХ]]</f>
        <v>721000</v>
      </c>
      <c r="K131" s="31">
        <f>РЕАЛИЗАЦИЯ[[#This Row],[ЖАМИ]]-РЕАЛИЗАЦИЯ[[#This Row],[ЖАМИ2]]</f>
        <v>103000</v>
      </c>
      <c r="L131" s="31"/>
    </row>
    <row r="132" spans="1:12" ht="15" customHeight="1" x14ac:dyDescent="0.3">
      <c r="A132" s="3">
        <v>46185</v>
      </c>
      <c r="B132" s="4" t="s">
        <v>211</v>
      </c>
      <c r="C132" s="79" t="s">
        <v>904</v>
      </c>
      <c r="D132" s="79" t="s">
        <v>7</v>
      </c>
      <c r="E132" s="31">
        <v>94.5</v>
      </c>
      <c r="F132" s="31">
        <v>23000</v>
      </c>
      <c r="G132" s="50">
        <f>РЕАЛИЗАЦИЯ[[#This Row],[СОНИ]]*РЕАЛИЗАЦИЯ[[#This Row],[НАРХИ]]</f>
        <v>2173500</v>
      </c>
      <c r="I132" s="57">
        <v>21000</v>
      </c>
      <c r="J132" s="31">
        <f>РЕАЛИЗАЦИЯ[[#This Row],[СОНИ]]*РЕАЛИЗАЦИЯ[[#This Row],[ТАННАРХ]]</f>
        <v>1984500</v>
      </c>
      <c r="K132" s="31">
        <f>РЕАЛИЗАЦИЯ[[#This Row],[ЖАМИ]]-РЕАЛИЗАЦИЯ[[#This Row],[ЖАМИ2]]</f>
        <v>189000</v>
      </c>
      <c r="L132" s="31"/>
    </row>
    <row r="133" spans="1:12" ht="15" customHeight="1" x14ac:dyDescent="0.3">
      <c r="A133" s="3">
        <v>46185</v>
      </c>
      <c r="B133" s="4" t="s">
        <v>289</v>
      </c>
      <c r="C133" s="79" t="s">
        <v>904</v>
      </c>
      <c r="D133" s="79" t="s">
        <v>7</v>
      </c>
      <c r="E133" s="31">
        <v>46.5</v>
      </c>
      <c r="F133" s="31">
        <v>23000</v>
      </c>
      <c r="G133" s="50">
        <f>РЕАЛИЗАЦИЯ[[#This Row],[СОНИ]]*РЕАЛИЗАЦИЯ[[#This Row],[НАРХИ]]</f>
        <v>1069500</v>
      </c>
      <c r="I133" s="57">
        <v>21000</v>
      </c>
      <c r="J133" s="31">
        <f>РЕАЛИЗАЦИЯ[[#This Row],[СОНИ]]*РЕАЛИЗАЦИЯ[[#This Row],[ТАННАРХ]]</f>
        <v>976500</v>
      </c>
      <c r="K133" s="31">
        <f>РЕАЛИЗАЦИЯ[[#This Row],[ЖАМИ]]-РЕАЛИЗАЦИЯ[[#This Row],[ЖАМИ2]]</f>
        <v>93000</v>
      </c>
      <c r="L133" s="31"/>
    </row>
    <row r="134" spans="1:12" ht="15" customHeight="1" x14ac:dyDescent="0.3">
      <c r="A134" s="3">
        <v>46185</v>
      </c>
      <c r="B134" s="4" t="s">
        <v>921</v>
      </c>
      <c r="C134" s="79" t="s">
        <v>43</v>
      </c>
      <c r="D134" s="79" t="s">
        <v>7</v>
      </c>
      <c r="E134" s="31">
        <v>48.2</v>
      </c>
      <c r="F134" s="31">
        <v>15000</v>
      </c>
      <c r="G134" s="50">
        <f>РЕАЛИЗАЦИЯ[[#This Row],[СОНИ]]*РЕАЛИЗАЦИЯ[[#This Row],[НАРХИ]]</f>
        <v>723000</v>
      </c>
      <c r="I134" s="57">
        <v>14000</v>
      </c>
      <c r="J134" s="31">
        <f>РЕАЛИЗАЦИЯ[[#This Row],[СОНИ]]*РЕАЛИЗАЦИЯ[[#This Row],[ТАННАРХ]]</f>
        <v>674800</v>
      </c>
      <c r="K134" s="31">
        <f>РЕАЛИЗАЦИЯ[[#This Row],[ЖАМИ]]-РЕАЛИЗАЦИЯ[[#This Row],[ЖАМИ2]]</f>
        <v>48200</v>
      </c>
      <c r="L134" s="31"/>
    </row>
    <row r="135" spans="1:12" ht="15" customHeight="1" x14ac:dyDescent="0.3">
      <c r="A135" s="3">
        <v>46185</v>
      </c>
      <c r="B135" s="4" t="s">
        <v>921</v>
      </c>
      <c r="C135" s="79" t="s">
        <v>904</v>
      </c>
      <c r="D135" s="79" t="s">
        <v>7</v>
      </c>
      <c r="E135" s="31">
        <v>96.6</v>
      </c>
      <c r="F135" s="31">
        <v>22000</v>
      </c>
      <c r="G135" s="50">
        <f>РЕАЛИЗАЦИЯ[[#This Row],[СОНИ]]*РЕАЛИЗАЦИЯ[[#This Row],[НАРХИ]]</f>
        <v>2125200</v>
      </c>
      <c r="I135" s="57">
        <v>21000</v>
      </c>
      <c r="J135" s="31">
        <f>РЕАЛИЗАЦИЯ[[#This Row],[СОНИ]]*РЕАЛИЗАЦИЯ[[#This Row],[ТАННАРХ]]</f>
        <v>2028599.9999999998</v>
      </c>
      <c r="K135" s="31">
        <f>РЕАЛИЗАЦИЯ[[#This Row],[ЖАМИ]]-РЕАЛИЗАЦИЯ[[#This Row],[ЖАМИ2]]</f>
        <v>96600.000000000233</v>
      </c>
      <c r="L135" s="31"/>
    </row>
    <row r="136" spans="1:12" ht="15" customHeight="1" x14ac:dyDescent="0.3">
      <c r="A136" s="3">
        <v>46185</v>
      </c>
      <c r="B136" s="4" t="s">
        <v>681</v>
      </c>
      <c r="C136" s="79" t="s">
        <v>43</v>
      </c>
      <c r="D136" s="79" t="s">
        <v>7</v>
      </c>
      <c r="E136" s="31">
        <v>968.6</v>
      </c>
      <c r="F136" s="31">
        <v>15500</v>
      </c>
      <c r="G136" s="50">
        <f>РЕАЛИЗАЦИЯ[[#This Row],[СОНИ]]*РЕАЛИЗАЦИЯ[[#This Row],[НАРХИ]]</f>
        <v>15013300</v>
      </c>
      <c r="I136" s="57">
        <v>14000</v>
      </c>
      <c r="J136" s="31">
        <f>РЕАЛИЗАЦИЯ[[#This Row],[СОНИ]]*РЕАЛИЗАЦИЯ[[#This Row],[ТАННАРХ]]</f>
        <v>13560400</v>
      </c>
      <c r="K136" s="31">
        <f>РЕАЛИЗАЦИЯ[[#This Row],[ЖАМИ]]-РЕАЛИЗАЦИЯ[[#This Row],[ЖАМИ2]]</f>
        <v>1452900</v>
      </c>
      <c r="L136" s="31"/>
    </row>
    <row r="137" spans="1:12" ht="15" customHeight="1" x14ac:dyDescent="0.3">
      <c r="A137" s="3">
        <v>46185</v>
      </c>
      <c r="B137" s="4" t="s">
        <v>220</v>
      </c>
      <c r="C137" s="79" t="s">
        <v>43</v>
      </c>
      <c r="D137" s="123" t="s">
        <v>7</v>
      </c>
      <c r="E137" s="31">
        <v>50.7</v>
      </c>
      <c r="F137" s="31">
        <v>16000</v>
      </c>
      <c r="G137" s="50">
        <f>РЕАЛИЗАЦИЯ[[#This Row],[СОНИ]]*РЕАЛИЗАЦИЯ[[#This Row],[НАРХИ]]</f>
        <v>811200</v>
      </c>
      <c r="I137" s="57">
        <v>14000</v>
      </c>
      <c r="J137" s="31">
        <f>РЕАЛИЗАЦИЯ[[#This Row],[СОНИ]]*РЕАЛИЗАЦИЯ[[#This Row],[ТАННАРХ]]</f>
        <v>709800</v>
      </c>
      <c r="K137" s="31">
        <f>РЕАЛИЗАЦИЯ[[#This Row],[ЖАМИ]]-РЕАЛИЗАЦИЯ[[#This Row],[ЖАМИ2]]</f>
        <v>101400</v>
      </c>
      <c r="L137" s="31"/>
    </row>
    <row r="138" spans="1:12" ht="15" customHeight="1" x14ac:dyDescent="0.3">
      <c r="A138" s="3">
        <v>46185</v>
      </c>
      <c r="B138" s="4" t="s">
        <v>220</v>
      </c>
      <c r="C138" s="83" t="s">
        <v>904</v>
      </c>
      <c r="D138" s="83" t="s">
        <v>7</v>
      </c>
      <c r="E138" s="31">
        <v>51</v>
      </c>
      <c r="F138" s="31">
        <v>23000</v>
      </c>
      <c r="G138" s="50">
        <f>РЕАЛИЗАЦИЯ[[#This Row],[СОНИ]]*РЕАЛИЗАЦИЯ[[#This Row],[НАРХИ]]</f>
        <v>1173000</v>
      </c>
      <c r="I138" s="57">
        <v>21000</v>
      </c>
      <c r="J138" s="31">
        <f>РЕАЛИЗАЦИЯ[[#This Row],[СОНИ]]*РЕАЛИЗАЦИЯ[[#This Row],[ТАННАРХ]]</f>
        <v>1071000</v>
      </c>
      <c r="K138" s="31">
        <f>РЕАЛИЗАЦИЯ[[#This Row],[ЖАМИ]]-РЕАЛИЗАЦИЯ[[#This Row],[ЖАМИ2]]</f>
        <v>102000</v>
      </c>
      <c r="L138" s="31"/>
    </row>
    <row r="139" spans="1:12" ht="15" customHeight="1" x14ac:dyDescent="0.3">
      <c r="A139" s="3">
        <v>46185</v>
      </c>
      <c r="B139" s="4" t="s">
        <v>336</v>
      </c>
      <c r="C139" s="83" t="s">
        <v>43</v>
      </c>
      <c r="D139" s="83" t="s">
        <v>7</v>
      </c>
      <c r="E139" s="31">
        <v>46.3</v>
      </c>
      <c r="F139" s="31">
        <v>16000</v>
      </c>
      <c r="G139" s="50">
        <f>РЕАЛИЗАЦИЯ[[#This Row],[СОНИ]]*РЕАЛИЗАЦИЯ[[#This Row],[НАРХИ]]</f>
        <v>740800</v>
      </c>
      <c r="I139" s="57">
        <v>14000</v>
      </c>
      <c r="J139" s="31">
        <f>РЕАЛИЗАЦИЯ[[#This Row],[СОНИ]]*РЕАЛИЗАЦИЯ[[#This Row],[ТАННАРХ]]</f>
        <v>648200</v>
      </c>
      <c r="K139" s="31">
        <f>РЕАЛИЗАЦИЯ[[#This Row],[ЖАМИ]]-РЕАЛИЗАЦИЯ[[#This Row],[ЖАМИ2]]</f>
        <v>92600</v>
      </c>
      <c r="L139" s="31"/>
    </row>
    <row r="140" spans="1:12" ht="15" customHeight="1" x14ac:dyDescent="0.3">
      <c r="A140" s="3">
        <v>46185</v>
      </c>
      <c r="B140" s="4" t="s">
        <v>336</v>
      </c>
      <c r="C140" s="83" t="s">
        <v>904</v>
      </c>
      <c r="D140" s="83" t="s">
        <v>7</v>
      </c>
      <c r="E140" s="31">
        <v>51.2</v>
      </c>
      <c r="F140" s="31">
        <v>23000</v>
      </c>
      <c r="G140" s="50">
        <f>РЕАЛИЗАЦИЯ[[#This Row],[СОНИ]]*РЕАЛИЗАЦИЯ[[#This Row],[НАРХИ]]</f>
        <v>1177600</v>
      </c>
      <c r="I140" s="57">
        <v>21000</v>
      </c>
      <c r="J140" s="31">
        <f>РЕАЛИЗАЦИЯ[[#This Row],[СОНИ]]*РЕАЛИЗАЦИЯ[[#This Row],[ТАННАРХ]]</f>
        <v>1075200</v>
      </c>
      <c r="K140" s="31">
        <f>РЕАЛИЗАЦИЯ[[#This Row],[ЖАМИ]]-РЕАЛИЗАЦИЯ[[#This Row],[ЖАМИ2]]</f>
        <v>102400</v>
      </c>
      <c r="L140" s="31"/>
    </row>
    <row r="141" spans="1:12" ht="15" customHeight="1" x14ac:dyDescent="0.3">
      <c r="A141" s="3">
        <v>46185</v>
      </c>
      <c r="B141" s="4" t="s">
        <v>86</v>
      </c>
      <c r="C141" s="83" t="s">
        <v>42</v>
      </c>
      <c r="D141" s="83" t="s">
        <v>7</v>
      </c>
      <c r="E141" s="31">
        <v>45.3</v>
      </c>
      <c r="F141" s="31">
        <v>25000</v>
      </c>
      <c r="G141" s="50">
        <f>РЕАЛИЗАЦИЯ[[#This Row],[СОНИ]]*РЕАЛИЗАЦИЯ[[#This Row],[НАРХИ]]</f>
        <v>1132500</v>
      </c>
      <c r="I141" s="57">
        <v>23000</v>
      </c>
      <c r="J141" s="31">
        <f>РЕАЛИЗАЦИЯ[[#This Row],[СОНИ]]*РЕАЛИЗАЦИЯ[[#This Row],[ТАННАРХ]]</f>
        <v>1041899.9999999999</v>
      </c>
      <c r="K141" s="31">
        <f>РЕАЛИЗАЦИЯ[[#This Row],[ЖАМИ]]-РЕАЛИЗАЦИЯ[[#This Row],[ЖАМИ2]]</f>
        <v>90600.000000000116</v>
      </c>
      <c r="L141" s="31"/>
    </row>
    <row r="142" spans="1:12" ht="15" customHeight="1" x14ac:dyDescent="0.3">
      <c r="A142" s="3">
        <v>46185</v>
      </c>
      <c r="B142" s="4" t="s">
        <v>900</v>
      </c>
      <c r="C142" s="83" t="s">
        <v>42</v>
      </c>
      <c r="D142" s="83" t="s">
        <v>7</v>
      </c>
      <c r="E142" s="31">
        <v>87.9</v>
      </c>
      <c r="F142" s="31">
        <v>24000</v>
      </c>
      <c r="G142" s="50">
        <f>РЕАЛИЗАЦИЯ[[#This Row],[СОНИ]]*РЕАЛИЗАЦИЯ[[#This Row],[НАРХИ]]</f>
        <v>2109600</v>
      </c>
      <c r="I142" s="57">
        <v>23000</v>
      </c>
      <c r="J142" s="31">
        <f>РЕАЛИЗАЦИЯ[[#This Row],[СОНИ]]*РЕАЛИЗАЦИЯ[[#This Row],[ТАННАРХ]]</f>
        <v>2021700.0000000002</v>
      </c>
      <c r="K142" s="31">
        <f>РЕАЛИЗАЦИЯ[[#This Row],[ЖАМИ]]-РЕАЛИЗАЦИЯ[[#This Row],[ЖАМИ2]]</f>
        <v>87899.999999999767</v>
      </c>
      <c r="L142" s="31"/>
    </row>
    <row r="143" spans="1:12" ht="15" customHeight="1" x14ac:dyDescent="0.3">
      <c r="A143" s="3">
        <v>46185</v>
      </c>
      <c r="B143" s="4" t="s">
        <v>318</v>
      </c>
      <c r="C143" s="83" t="s">
        <v>904</v>
      </c>
      <c r="D143" s="83" t="s">
        <v>7</v>
      </c>
      <c r="E143" s="31">
        <v>50.6</v>
      </c>
      <c r="F143" s="31">
        <v>22000</v>
      </c>
      <c r="G143" s="50">
        <f>РЕАЛИЗАЦИЯ[[#This Row],[СОНИ]]*РЕАЛИЗАЦИЯ[[#This Row],[НАРХИ]]</f>
        <v>1113200</v>
      </c>
      <c r="I143" s="57">
        <v>21000</v>
      </c>
      <c r="J143" s="31">
        <f>РЕАЛИЗАЦИЯ[[#This Row],[СОНИ]]*РЕАЛИЗАЦИЯ[[#This Row],[ТАННАРХ]]</f>
        <v>1062600</v>
      </c>
      <c r="K143" s="31">
        <f>РЕАЛИЗАЦИЯ[[#This Row],[ЖАМИ]]-РЕАЛИЗАЦИЯ[[#This Row],[ЖАМИ2]]</f>
        <v>50600</v>
      </c>
      <c r="L143" s="31"/>
    </row>
    <row r="144" spans="1:12" ht="15" customHeight="1" x14ac:dyDescent="0.3">
      <c r="A144" s="3">
        <v>46185</v>
      </c>
      <c r="B144" s="4" t="s">
        <v>318</v>
      </c>
      <c r="C144" s="83" t="s">
        <v>43</v>
      </c>
      <c r="D144" s="83" t="s">
        <v>7</v>
      </c>
      <c r="E144" s="31">
        <v>51.8</v>
      </c>
      <c r="F144" s="31">
        <v>15000</v>
      </c>
      <c r="G144" s="50">
        <f>РЕАЛИЗАЦИЯ[[#This Row],[СОНИ]]*РЕАЛИЗАЦИЯ[[#This Row],[НАРХИ]]</f>
        <v>777000</v>
      </c>
      <c r="I144" s="57">
        <v>14000</v>
      </c>
      <c r="J144" s="31">
        <f>РЕАЛИЗАЦИЯ[[#This Row],[СОНИ]]*РЕАЛИЗАЦИЯ[[#This Row],[ТАННАРХ]]</f>
        <v>725200</v>
      </c>
      <c r="K144" s="31">
        <f>РЕАЛИЗАЦИЯ[[#This Row],[ЖАМИ]]-РЕАЛИЗАЦИЯ[[#This Row],[ЖАМИ2]]</f>
        <v>51800</v>
      </c>
      <c r="L144" s="31"/>
    </row>
    <row r="145" spans="1:12" ht="15" customHeight="1" x14ac:dyDescent="0.3">
      <c r="A145" s="3">
        <v>46186</v>
      </c>
      <c r="B145" s="4" t="s">
        <v>401</v>
      </c>
      <c r="C145" s="83" t="s">
        <v>904</v>
      </c>
      <c r="D145" s="83" t="s">
        <v>7</v>
      </c>
      <c r="E145" s="31">
        <v>731</v>
      </c>
      <c r="F145" s="31">
        <v>24000</v>
      </c>
      <c r="G145" s="50">
        <f>РЕАЛИЗАЦИЯ[[#This Row],[СОНИ]]*РЕАЛИЗАЦИЯ[[#This Row],[НАРХИ]]</f>
        <v>17544000</v>
      </c>
      <c r="I145" s="57">
        <v>21000</v>
      </c>
      <c r="J145" s="31">
        <f>РЕАЛИЗАЦИЯ[[#This Row],[СОНИ]]*РЕАЛИЗАЦИЯ[[#This Row],[ТАННАРХ]]</f>
        <v>15351000</v>
      </c>
      <c r="K145" s="31">
        <f>РЕАЛИЗАЦИЯ[[#This Row],[ЖАМИ]]-РЕАЛИЗАЦИЯ[[#This Row],[ЖАМИ2]]</f>
        <v>2193000</v>
      </c>
      <c r="L145" s="31"/>
    </row>
    <row r="146" spans="1:12" ht="15" customHeight="1" x14ac:dyDescent="0.3">
      <c r="A146" s="3">
        <v>46186</v>
      </c>
      <c r="B146" s="4" t="s">
        <v>521</v>
      </c>
      <c r="C146" s="83" t="s">
        <v>605</v>
      </c>
      <c r="D146" s="83" t="s">
        <v>7</v>
      </c>
      <c r="E146" s="31">
        <v>1318.7</v>
      </c>
      <c r="F146" s="31">
        <v>25000</v>
      </c>
      <c r="G146" s="50">
        <f>РЕАЛИЗАЦИЯ[[#This Row],[СОНИ]]*РЕАЛИЗАЦИЯ[[#This Row],[НАРХИ]]</f>
        <v>32967500</v>
      </c>
      <c r="I146" s="57">
        <v>22000</v>
      </c>
      <c r="J146" s="31">
        <f>РЕАЛИЗАЦИЯ[[#This Row],[СОНИ]]*РЕАЛИЗАЦИЯ[[#This Row],[ТАННАРХ]]</f>
        <v>29011400</v>
      </c>
      <c r="K146" s="31">
        <f>РЕАЛИЗАЦИЯ[[#This Row],[ЖАМИ]]-РЕАЛИЗАЦИЯ[[#This Row],[ЖАМИ2]]</f>
        <v>3956100</v>
      </c>
      <c r="L146" s="31"/>
    </row>
    <row r="147" spans="1:12" ht="15" customHeight="1" x14ac:dyDescent="0.3">
      <c r="A147" s="3">
        <v>46186</v>
      </c>
      <c r="B147" s="4" t="s">
        <v>296</v>
      </c>
      <c r="C147" s="83" t="s">
        <v>904</v>
      </c>
      <c r="D147" s="83" t="s">
        <v>7</v>
      </c>
      <c r="E147" s="31">
        <v>46.6</v>
      </c>
      <c r="F147" s="31">
        <v>23000</v>
      </c>
      <c r="G147" s="50">
        <f>РЕАЛИЗАЦИЯ[[#This Row],[СОНИ]]*РЕАЛИЗАЦИЯ[[#This Row],[НАРХИ]]</f>
        <v>1071800</v>
      </c>
      <c r="I147" s="57">
        <v>21000</v>
      </c>
      <c r="J147" s="31">
        <f>РЕАЛИЗАЦИЯ[[#This Row],[СОНИ]]*РЕАЛИЗАЦИЯ[[#This Row],[ТАННАРХ]]</f>
        <v>978600</v>
      </c>
      <c r="K147" s="31">
        <f>РЕАЛИЗАЦИЯ[[#This Row],[ЖАМИ]]-РЕАЛИЗАЦИЯ[[#This Row],[ЖАМИ2]]</f>
        <v>93200</v>
      </c>
      <c r="L147" s="31"/>
    </row>
    <row r="148" spans="1:12" ht="15" customHeight="1" x14ac:dyDescent="0.3">
      <c r="A148" s="3">
        <v>46186</v>
      </c>
      <c r="B148" s="4" t="s">
        <v>782</v>
      </c>
      <c r="C148" s="83" t="s">
        <v>44</v>
      </c>
      <c r="D148" s="83" t="s">
        <v>7</v>
      </c>
      <c r="E148" s="31">
        <v>1035.5999999999999</v>
      </c>
      <c r="F148" s="31">
        <v>19000</v>
      </c>
      <c r="G148" s="50">
        <f>РЕАЛИЗАЦИЯ[[#This Row],[СОНИ]]*РЕАЛИЗАЦИЯ[[#This Row],[НАРХИ]]</f>
        <v>19676400</v>
      </c>
      <c r="I148" s="57">
        <v>18000</v>
      </c>
      <c r="J148" s="31">
        <f>РЕАЛИЗАЦИЯ[[#This Row],[СОНИ]]*РЕАЛИЗАЦИЯ[[#This Row],[ТАННАРХ]]</f>
        <v>18640800</v>
      </c>
      <c r="K148" s="31">
        <f>РЕАЛИЗАЦИЯ[[#This Row],[ЖАМИ]]-РЕАЛИЗАЦИЯ[[#This Row],[ЖАМИ2]]</f>
        <v>1035600</v>
      </c>
      <c r="L148" s="31"/>
    </row>
    <row r="149" spans="1:12" ht="15" customHeight="1" x14ac:dyDescent="0.3">
      <c r="A149" s="3">
        <v>46186</v>
      </c>
      <c r="B149" s="4" t="s">
        <v>469</v>
      </c>
      <c r="C149" s="83" t="s">
        <v>44</v>
      </c>
      <c r="D149" s="83" t="s">
        <v>7</v>
      </c>
      <c r="E149" s="31">
        <v>246.1</v>
      </c>
      <c r="F149" s="31">
        <v>19500</v>
      </c>
      <c r="G149" s="50">
        <f>РЕАЛИЗАЦИЯ[[#This Row],[СОНИ]]*РЕАЛИЗАЦИЯ[[#This Row],[НАРХИ]]</f>
        <v>4798950</v>
      </c>
      <c r="I149" s="57">
        <v>18000</v>
      </c>
      <c r="J149" s="31">
        <f>РЕАЛИЗАЦИЯ[[#This Row],[СОНИ]]*РЕАЛИЗАЦИЯ[[#This Row],[ТАННАРХ]]</f>
        <v>4429800</v>
      </c>
      <c r="K149" s="31">
        <f>РЕАЛИЗАЦИЯ[[#This Row],[ЖАМИ]]-РЕАЛИЗАЦИЯ[[#This Row],[ЖАМИ2]]</f>
        <v>369150</v>
      </c>
      <c r="L149" s="31"/>
    </row>
    <row r="150" spans="1:12" ht="15" customHeight="1" x14ac:dyDescent="0.3">
      <c r="A150" s="3">
        <v>46187</v>
      </c>
      <c r="B150" s="4" t="s">
        <v>228</v>
      </c>
      <c r="C150" s="83" t="s">
        <v>904</v>
      </c>
      <c r="D150" s="83" t="s">
        <v>7</v>
      </c>
      <c r="E150" s="31">
        <v>138.69999999999999</v>
      </c>
      <c r="F150" s="31">
        <v>23000</v>
      </c>
      <c r="G150" s="50">
        <f>РЕАЛИЗАЦИЯ[[#This Row],[СОНИ]]*РЕАЛИЗАЦИЯ[[#This Row],[НАРХИ]]</f>
        <v>3190099.9999999995</v>
      </c>
      <c r="I150" s="57">
        <v>21000</v>
      </c>
      <c r="J150" s="31">
        <f>РЕАЛИЗАЦИЯ[[#This Row],[СОНИ]]*РЕАЛИЗАЦИЯ[[#This Row],[ТАННАРХ]]</f>
        <v>2912699.9999999995</v>
      </c>
      <c r="K150" s="31">
        <f>РЕАЛИЗАЦИЯ[[#This Row],[ЖАМИ]]-РЕАЛИЗАЦИЯ[[#This Row],[ЖАМИ2]]</f>
        <v>277400</v>
      </c>
      <c r="L150" s="31"/>
    </row>
    <row r="151" spans="1:12" ht="15" customHeight="1" x14ac:dyDescent="0.3">
      <c r="A151" s="3">
        <v>46187</v>
      </c>
      <c r="B151" s="4" t="s">
        <v>683</v>
      </c>
      <c r="C151" s="83" t="s">
        <v>904</v>
      </c>
      <c r="D151" s="83" t="s">
        <v>7</v>
      </c>
      <c r="E151" s="31">
        <v>44.4</v>
      </c>
      <c r="F151" s="31">
        <v>22000</v>
      </c>
      <c r="G151" s="50">
        <f>РЕАЛИЗАЦИЯ[[#This Row],[СОНИ]]*РЕАЛИЗАЦИЯ[[#This Row],[НАРХИ]]</f>
        <v>976800</v>
      </c>
      <c r="I151" s="57">
        <v>21000</v>
      </c>
      <c r="J151" s="31">
        <f>РЕАЛИЗАЦИЯ[[#This Row],[СОНИ]]*РЕАЛИЗАЦИЯ[[#This Row],[ТАННАРХ]]</f>
        <v>932400</v>
      </c>
      <c r="K151" s="31">
        <f>РЕАЛИЗАЦИЯ[[#This Row],[ЖАМИ]]-РЕАЛИЗАЦИЯ[[#This Row],[ЖАМИ2]]</f>
        <v>44400</v>
      </c>
      <c r="L151" s="31"/>
    </row>
    <row r="152" spans="1:12" ht="15" customHeight="1" x14ac:dyDescent="0.3">
      <c r="A152" s="3">
        <v>46187</v>
      </c>
      <c r="B152" s="4" t="s">
        <v>670</v>
      </c>
      <c r="C152" s="83" t="s">
        <v>43</v>
      </c>
      <c r="D152" s="83" t="s">
        <v>7</v>
      </c>
      <c r="E152" s="31">
        <v>188.9</v>
      </c>
      <c r="F152" s="31">
        <v>16000</v>
      </c>
      <c r="G152" s="50">
        <f>РЕАЛИЗАЦИЯ[[#This Row],[СОНИ]]*РЕАЛИЗАЦИЯ[[#This Row],[НАРХИ]]</f>
        <v>3022400</v>
      </c>
      <c r="I152" s="57">
        <v>14000</v>
      </c>
      <c r="J152" s="31">
        <f>РЕАЛИЗАЦИЯ[[#This Row],[СОНИ]]*РЕАЛИЗАЦИЯ[[#This Row],[ТАННАРХ]]</f>
        <v>2644600</v>
      </c>
      <c r="K152" s="31">
        <f>РЕАЛИЗАЦИЯ[[#This Row],[ЖАМИ]]-РЕАЛИЗАЦИЯ[[#This Row],[ЖАМИ2]]</f>
        <v>377800</v>
      </c>
      <c r="L152" s="31"/>
    </row>
    <row r="153" spans="1:12" ht="15" customHeight="1" x14ac:dyDescent="0.3">
      <c r="A153" s="3">
        <v>46187</v>
      </c>
      <c r="B153" s="4" t="s">
        <v>777</v>
      </c>
      <c r="C153" s="83" t="s">
        <v>78</v>
      </c>
      <c r="D153" s="83" t="s">
        <v>7</v>
      </c>
      <c r="E153" s="31">
        <v>54.2</v>
      </c>
      <c r="F153" s="31">
        <v>20000</v>
      </c>
      <c r="G153" s="50">
        <f>РЕАЛИЗАЦИЯ[[#This Row],[СОНИ]]*РЕАЛИЗАЦИЯ[[#This Row],[НАРХИ]]</f>
        <v>1084000</v>
      </c>
      <c r="I153" s="57">
        <v>18000</v>
      </c>
      <c r="J153" s="31">
        <f>РЕАЛИЗАЦИЯ[[#This Row],[СОНИ]]*РЕАЛИЗАЦИЯ[[#This Row],[ТАННАРХ]]</f>
        <v>975600</v>
      </c>
      <c r="K153" s="31">
        <f>РЕАЛИЗАЦИЯ[[#This Row],[ЖАМИ]]-РЕАЛИЗАЦИЯ[[#This Row],[ЖАМИ2]]</f>
        <v>108400</v>
      </c>
      <c r="L153" s="31"/>
    </row>
    <row r="154" spans="1:12" ht="15" customHeight="1" x14ac:dyDescent="0.3">
      <c r="A154" s="3">
        <v>46187</v>
      </c>
      <c r="B154" s="4" t="s">
        <v>204</v>
      </c>
      <c r="C154" s="83" t="s">
        <v>904</v>
      </c>
      <c r="D154" s="83" t="s">
        <v>7</v>
      </c>
      <c r="E154" s="31">
        <v>45</v>
      </c>
      <c r="F154" s="31">
        <v>23000</v>
      </c>
      <c r="G154" s="50">
        <f>РЕАЛИЗАЦИЯ[[#This Row],[СОНИ]]*РЕАЛИЗАЦИЯ[[#This Row],[НАРХИ]]</f>
        <v>1035000</v>
      </c>
      <c r="I154" s="57">
        <v>21000</v>
      </c>
      <c r="J154" s="31">
        <f>РЕАЛИЗАЦИЯ[[#This Row],[СОНИ]]*РЕАЛИЗАЦИЯ[[#This Row],[ТАННАРХ]]</f>
        <v>945000</v>
      </c>
      <c r="K154" s="31">
        <f>РЕАЛИЗАЦИЯ[[#This Row],[ЖАМИ]]-РЕАЛИЗАЦИЯ[[#This Row],[ЖАМИ2]]</f>
        <v>90000</v>
      </c>
      <c r="L154" s="31"/>
    </row>
    <row r="155" spans="1:12" ht="15" customHeight="1" x14ac:dyDescent="0.3">
      <c r="A155" s="3">
        <v>46188</v>
      </c>
      <c r="B155" s="4" t="s">
        <v>206</v>
      </c>
      <c r="C155" s="83" t="s">
        <v>43</v>
      </c>
      <c r="D155" s="83" t="s">
        <v>7</v>
      </c>
      <c r="E155" s="31">
        <v>54.6</v>
      </c>
      <c r="F155" s="31">
        <v>16000</v>
      </c>
      <c r="G155" s="50">
        <f>РЕАЛИЗАЦИЯ[[#This Row],[СОНИ]]*РЕАЛИЗАЦИЯ[[#This Row],[НАРХИ]]</f>
        <v>873600</v>
      </c>
      <c r="I155" s="57">
        <v>14000</v>
      </c>
      <c r="J155" s="31">
        <f>РЕАЛИЗАЦИЯ[[#This Row],[СОНИ]]*РЕАЛИЗАЦИЯ[[#This Row],[ТАННАРХ]]</f>
        <v>764400</v>
      </c>
      <c r="K155" s="31">
        <f>РЕАЛИЗАЦИЯ[[#This Row],[ЖАМИ]]-РЕАЛИЗАЦИЯ[[#This Row],[ЖАМИ2]]</f>
        <v>109200</v>
      </c>
      <c r="L155" s="31"/>
    </row>
    <row r="156" spans="1:12" ht="15" customHeight="1" x14ac:dyDescent="0.3">
      <c r="A156" s="3">
        <v>46188</v>
      </c>
      <c r="B156" s="4" t="s">
        <v>254</v>
      </c>
      <c r="C156" s="83" t="s">
        <v>43</v>
      </c>
      <c r="D156" s="83" t="s">
        <v>7</v>
      </c>
      <c r="E156" s="31">
        <v>52.7</v>
      </c>
      <c r="F156" s="31">
        <v>16000</v>
      </c>
      <c r="G156" s="50">
        <f>РЕАЛИЗАЦИЯ[[#This Row],[СОНИ]]*РЕАЛИЗАЦИЯ[[#This Row],[НАРХИ]]</f>
        <v>843200</v>
      </c>
      <c r="I156" s="57">
        <v>14000</v>
      </c>
      <c r="J156" s="31">
        <f>РЕАЛИЗАЦИЯ[[#This Row],[СОНИ]]*РЕАЛИЗАЦИЯ[[#This Row],[ТАННАРХ]]</f>
        <v>737800</v>
      </c>
      <c r="K156" s="31">
        <f>РЕАЛИЗАЦИЯ[[#This Row],[ЖАМИ]]-РЕАЛИЗАЦИЯ[[#This Row],[ЖАМИ2]]</f>
        <v>105400</v>
      </c>
      <c r="L156" s="31"/>
    </row>
    <row r="157" spans="1:12" ht="15" customHeight="1" x14ac:dyDescent="0.3">
      <c r="A157" s="3">
        <v>46188</v>
      </c>
      <c r="B157" s="4" t="s">
        <v>254</v>
      </c>
      <c r="C157" s="83" t="s">
        <v>904</v>
      </c>
      <c r="D157" s="83" t="s">
        <v>7</v>
      </c>
      <c r="E157" s="31">
        <v>51.1</v>
      </c>
      <c r="F157" s="31">
        <v>23000</v>
      </c>
      <c r="G157" s="50">
        <f>РЕАЛИЗАЦИЯ[[#This Row],[СОНИ]]*РЕАЛИЗАЦИЯ[[#This Row],[НАРХИ]]</f>
        <v>1175300</v>
      </c>
      <c r="I157" s="57">
        <v>21000</v>
      </c>
      <c r="J157" s="31">
        <f>РЕАЛИЗАЦИЯ[[#This Row],[СОНИ]]*РЕАЛИЗАЦИЯ[[#This Row],[ТАННАРХ]]</f>
        <v>1073100</v>
      </c>
      <c r="K157" s="31">
        <f>РЕАЛИЗАЦИЯ[[#This Row],[ЖАМИ]]-РЕАЛИЗАЦИЯ[[#This Row],[ЖАМИ2]]</f>
        <v>102200</v>
      </c>
      <c r="L157" s="31"/>
    </row>
    <row r="158" spans="1:12" s="285" customFormat="1" ht="15" customHeight="1" x14ac:dyDescent="0.3">
      <c r="A158" s="3">
        <v>46188</v>
      </c>
      <c r="B158" s="4" t="s">
        <v>552</v>
      </c>
      <c r="C158" s="285" t="s">
        <v>593</v>
      </c>
      <c r="D158" s="285" t="s">
        <v>7</v>
      </c>
      <c r="E158" s="31">
        <v>1267.0999999999999</v>
      </c>
      <c r="F158" s="31">
        <v>30000</v>
      </c>
      <c r="G158" s="50">
        <f>РЕАЛИЗАЦИЯ[[#This Row],[СОНИ]]*РЕАЛИЗАЦИЯ[[#This Row],[НАРХИ]]</f>
        <v>38013000</v>
      </c>
      <c r="H158" s="31"/>
      <c r="I158" s="288">
        <v>25000</v>
      </c>
      <c r="J158" s="31">
        <f>РЕАЛИЗАЦИЯ[[#This Row],[СОНИ]]*РЕАЛИЗАЦИЯ[[#This Row],[ТАННАРХ]]</f>
        <v>31677499.999999996</v>
      </c>
      <c r="K158" s="31">
        <f>РЕАЛИЗАЦИЯ[[#This Row],[ЖАМИ]]-РЕАЛИЗАЦИЯ[[#This Row],[ЖАМИ2]]</f>
        <v>6335500.0000000037</v>
      </c>
      <c r="L158" s="31"/>
    </row>
    <row r="159" spans="1:12" ht="15" customHeight="1" x14ac:dyDescent="0.3">
      <c r="A159" s="3">
        <v>46188</v>
      </c>
      <c r="B159" s="4" t="s">
        <v>481</v>
      </c>
      <c r="C159" s="83" t="s">
        <v>43</v>
      </c>
      <c r="D159" s="83" t="s">
        <v>7</v>
      </c>
      <c r="E159" s="31">
        <v>49.8</v>
      </c>
      <c r="F159" s="31">
        <v>16000</v>
      </c>
      <c r="G159" s="50">
        <f>РЕАЛИЗАЦИЯ[[#This Row],[СОНИ]]*РЕАЛИЗАЦИЯ[[#This Row],[НАРХИ]]</f>
        <v>796800</v>
      </c>
      <c r="I159" s="57">
        <v>14000</v>
      </c>
      <c r="J159" s="31">
        <f>РЕАЛИЗАЦИЯ[[#This Row],[СОНИ]]*РЕАЛИЗАЦИЯ[[#This Row],[ТАННАРХ]]</f>
        <v>697200</v>
      </c>
      <c r="K159" s="31">
        <f>РЕАЛИЗАЦИЯ[[#This Row],[ЖАМИ]]-РЕАЛИЗАЦИЯ[[#This Row],[ЖАМИ2]]</f>
        <v>99600</v>
      </c>
      <c r="L159" s="31"/>
    </row>
    <row r="160" spans="1:12" ht="15" customHeight="1" x14ac:dyDescent="0.3">
      <c r="A160" s="3">
        <v>46188</v>
      </c>
      <c r="B160" s="4" t="s">
        <v>246</v>
      </c>
      <c r="C160" s="83" t="s">
        <v>904</v>
      </c>
      <c r="D160" s="83" t="s">
        <v>7</v>
      </c>
      <c r="E160" s="31">
        <v>52.2</v>
      </c>
      <c r="F160" s="31">
        <v>23000</v>
      </c>
      <c r="G160" s="50">
        <f>РЕАЛИЗАЦИЯ[[#This Row],[СОНИ]]*РЕАЛИЗАЦИЯ[[#This Row],[НАРХИ]]</f>
        <v>1200600</v>
      </c>
      <c r="I160" s="57">
        <v>21000</v>
      </c>
      <c r="J160" s="31">
        <f>РЕАЛИЗАЦИЯ[[#This Row],[СОНИ]]*РЕАЛИЗАЦИЯ[[#This Row],[ТАННАРХ]]</f>
        <v>1096200</v>
      </c>
      <c r="K160" s="31">
        <f>РЕАЛИЗАЦИЯ[[#This Row],[ЖАМИ]]-РЕАЛИЗАЦИЯ[[#This Row],[ЖАМИ2]]</f>
        <v>104400</v>
      </c>
      <c r="L160" s="31"/>
    </row>
    <row r="161" spans="1:12" ht="15" customHeight="1" x14ac:dyDescent="0.3">
      <c r="A161" s="3">
        <v>46189</v>
      </c>
      <c r="B161" s="4" t="s">
        <v>88</v>
      </c>
      <c r="C161" s="85" t="s">
        <v>904</v>
      </c>
      <c r="D161" s="85" t="s">
        <v>7</v>
      </c>
      <c r="E161" s="31">
        <v>85.8</v>
      </c>
      <c r="F161" s="31">
        <v>22000</v>
      </c>
      <c r="G161" s="50">
        <f>РЕАЛИЗАЦИЯ[[#This Row],[СОНИ]]*РЕАЛИЗАЦИЯ[[#This Row],[НАРХИ]]</f>
        <v>1887600</v>
      </c>
      <c r="I161" s="57">
        <v>21000</v>
      </c>
      <c r="J161" s="31">
        <f>РЕАЛИЗАЦИЯ[[#This Row],[СОНИ]]*РЕАЛИЗАЦИЯ[[#This Row],[ТАННАРХ]]</f>
        <v>1801800</v>
      </c>
      <c r="K161" s="31">
        <f>РЕАЛИЗАЦИЯ[[#This Row],[ЖАМИ]]-РЕАЛИЗАЦИЯ[[#This Row],[ЖАМИ2]]</f>
        <v>85800</v>
      </c>
      <c r="L161" s="31"/>
    </row>
    <row r="162" spans="1:12" ht="15" customHeight="1" x14ac:dyDescent="0.3">
      <c r="A162" s="3">
        <v>46189</v>
      </c>
      <c r="B162" s="4" t="s">
        <v>158</v>
      </c>
      <c r="C162" s="85" t="s">
        <v>904</v>
      </c>
      <c r="D162" s="85" t="s">
        <v>7</v>
      </c>
      <c r="E162" s="31">
        <v>99.1</v>
      </c>
      <c r="F162" s="31">
        <v>23000</v>
      </c>
      <c r="G162" s="50">
        <f>РЕАЛИЗАЦИЯ[[#This Row],[СОНИ]]*РЕАЛИЗАЦИЯ[[#This Row],[НАРХИ]]</f>
        <v>2279300</v>
      </c>
      <c r="I162" s="57">
        <v>21000</v>
      </c>
      <c r="J162" s="31">
        <f>РЕАЛИЗАЦИЯ[[#This Row],[СОНИ]]*РЕАЛИЗАЦИЯ[[#This Row],[ТАННАРХ]]</f>
        <v>2081099.9999999998</v>
      </c>
      <c r="K162" s="31">
        <f>РЕАЛИЗАЦИЯ[[#This Row],[ЖАМИ]]-РЕАЛИЗАЦИЯ[[#This Row],[ЖАМИ2]]</f>
        <v>198200.00000000023</v>
      </c>
      <c r="L162" s="31"/>
    </row>
    <row r="163" spans="1:12" ht="15" customHeight="1" x14ac:dyDescent="0.3">
      <c r="A163" s="3">
        <v>46189</v>
      </c>
      <c r="B163" s="4" t="s">
        <v>158</v>
      </c>
      <c r="C163" s="85" t="s">
        <v>43</v>
      </c>
      <c r="D163" s="85" t="s">
        <v>7</v>
      </c>
      <c r="E163" s="31">
        <v>46.2</v>
      </c>
      <c r="F163" s="31">
        <v>16000</v>
      </c>
      <c r="G163" s="50">
        <f>РЕАЛИЗАЦИЯ[[#This Row],[СОНИ]]*РЕАЛИЗАЦИЯ[[#This Row],[НАРХИ]]</f>
        <v>739200</v>
      </c>
      <c r="I163" s="57">
        <v>14000</v>
      </c>
      <c r="J163" s="31">
        <f>РЕАЛИЗАЦИЯ[[#This Row],[СОНИ]]*РЕАЛИЗАЦИЯ[[#This Row],[ТАННАРХ]]</f>
        <v>646800</v>
      </c>
      <c r="K163" s="31">
        <f>РЕАЛИЗАЦИЯ[[#This Row],[ЖАМИ]]-РЕАЛИЗАЦИЯ[[#This Row],[ЖАМИ2]]</f>
        <v>92400</v>
      </c>
      <c r="L163" s="31"/>
    </row>
    <row r="164" spans="1:12" ht="15" customHeight="1" x14ac:dyDescent="0.3">
      <c r="A164" s="3">
        <v>46189</v>
      </c>
      <c r="B164" s="4" t="s">
        <v>813</v>
      </c>
      <c r="C164" s="85" t="s">
        <v>43</v>
      </c>
      <c r="D164" s="85" t="s">
        <v>7</v>
      </c>
      <c r="E164" s="31">
        <v>47.7</v>
      </c>
      <c r="F164" s="31">
        <v>16000</v>
      </c>
      <c r="G164" s="50">
        <f>РЕАЛИЗАЦИЯ[[#This Row],[СОНИ]]*РЕАЛИЗАЦИЯ[[#This Row],[НАРХИ]]</f>
        <v>763200</v>
      </c>
      <c r="I164" s="57">
        <v>14000</v>
      </c>
      <c r="J164" s="31">
        <f>РЕАЛИЗАЦИЯ[[#This Row],[СОНИ]]*РЕАЛИЗАЦИЯ[[#This Row],[ТАННАРХ]]</f>
        <v>667800</v>
      </c>
      <c r="K164" s="31">
        <f>РЕАЛИЗАЦИЯ[[#This Row],[ЖАМИ]]-РЕАЛИЗАЦИЯ[[#This Row],[ЖАМИ2]]</f>
        <v>95400</v>
      </c>
      <c r="L164" s="31"/>
    </row>
    <row r="165" spans="1:12" ht="15" customHeight="1" x14ac:dyDescent="0.3">
      <c r="A165" s="3">
        <v>46189</v>
      </c>
      <c r="B165" s="4" t="s">
        <v>547</v>
      </c>
      <c r="C165" s="85" t="s">
        <v>43</v>
      </c>
      <c r="D165" s="85" t="s">
        <v>7</v>
      </c>
      <c r="E165" s="31">
        <v>45</v>
      </c>
      <c r="F165" s="31">
        <v>16000</v>
      </c>
      <c r="G165" s="50">
        <f>РЕАЛИЗАЦИЯ[[#This Row],[СОНИ]]*РЕАЛИЗАЦИЯ[[#This Row],[НАРХИ]]</f>
        <v>720000</v>
      </c>
      <c r="I165" s="57">
        <v>14000</v>
      </c>
      <c r="J165" s="31">
        <f>РЕАЛИЗАЦИЯ[[#This Row],[СОНИ]]*РЕАЛИЗАЦИЯ[[#This Row],[ТАННАРХ]]</f>
        <v>630000</v>
      </c>
      <c r="K165" s="31">
        <f>РЕАЛИЗАЦИЯ[[#This Row],[ЖАМИ]]-РЕАЛИЗАЦИЯ[[#This Row],[ЖАМИ2]]</f>
        <v>90000</v>
      </c>
      <c r="L165" s="31"/>
    </row>
    <row r="166" spans="1:12" ht="15" customHeight="1" x14ac:dyDescent="0.3">
      <c r="A166" s="3">
        <v>46189</v>
      </c>
      <c r="B166" s="4" t="s">
        <v>547</v>
      </c>
      <c r="C166" s="85" t="s">
        <v>42</v>
      </c>
      <c r="D166" s="85" t="s">
        <v>7</v>
      </c>
      <c r="E166" s="31">
        <v>37.4</v>
      </c>
      <c r="F166" s="31">
        <v>25000</v>
      </c>
      <c r="G166" s="50">
        <f>РЕАЛИЗАЦИЯ[[#This Row],[СОНИ]]*РЕАЛИЗАЦИЯ[[#This Row],[НАРХИ]]</f>
        <v>935000</v>
      </c>
      <c r="I166" s="57">
        <v>23000</v>
      </c>
      <c r="J166" s="31">
        <f>РЕАЛИЗАЦИЯ[[#This Row],[СОНИ]]*РЕАЛИЗАЦИЯ[[#This Row],[ТАННАРХ]]</f>
        <v>860200</v>
      </c>
      <c r="K166" s="31">
        <f>РЕАЛИЗАЦИЯ[[#This Row],[ЖАМИ]]-РЕАЛИЗАЦИЯ[[#This Row],[ЖАМИ2]]</f>
        <v>74800</v>
      </c>
      <c r="L166" s="31"/>
    </row>
    <row r="167" spans="1:12" ht="15" customHeight="1" x14ac:dyDescent="0.3">
      <c r="A167" s="3">
        <v>46189</v>
      </c>
      <c r="B167" s="4" t="s">
        <v>857</v>
      </c>
      <c r="C167" s="85" t="s">
        <v>904</v>
      </c>
      <c r="D167" s="85" t="s">
        <v>7</v>
      </c>
      <c r="E167" s="31">
        <v>48.5</v>
      </c>
      <c r="F167" s="31">
        <v>23000</v>
      </c>
      <c r="G167" s="50">
        <f>РЕАЛИЗАЦИЯ[[#This Row],[СОНИ]]*РЕАЛИЗАЦИЯ[[#This Row],[НАРХИ]]</f>
        <v>1115500</v>
      </c>
      <c r="I167" s="57">
        <v>21000</v>
      </c>
      <c r="J167" s="31">
        <f>РЕАЛИЗАЦИЯ[[#This Row],[СОНИ]]*РЕАЛИЗАЦИЯ[[#This Row],[ТАННАРХ]]</f>
        <v>1018500</v>
      </c>
      <c r="K167" s="31">
        <f>РЕАЛИЗАЦИЯ[[#This Row],[ЖАМИ]]-РЕАЛИЗАЦИЯ[[#This Row],[ЖАМИ2]]</f>
        <v>97000</v>
      </c>
      <c r="L167" s="31"/>
    </row>
    <row r="168" spans="1:12" ht="15" customHeight="1" x14ac:dyDescent="0.3">
      <c r="A168" s="3">
        <v>46190</v>
      </c>
      <c r="B168" s="4" t="s">
        <v>386</v>
      </c>
      <c r="C168" s="85" t="s">
        <v>904</v>
      </c>
      <c r="D168" s="85" t="s">
        <v>7</v>
      </c>
      <c r="E168" s="31">
        <v>48.6</v>
      </c>
      <c r="F168" s="31">
        <v>22000</v>
      </c>
      <c r="G168" s="50">
        <f>РЕАЛИЗАЦИЯ[[#This Row],[СОНИ]]*РЕАЛИЗАЦИЯ[[#This Row],[НАРХИ]]</f>
        <v>1069200</v>
      </c>
      <c r="I168" s="57">
        <v>21000</v>
      </c>
      <c r="J168" s="31">
        <f>РЕАЛИЗАЦИЯ[[#This Row],[СОНИ]]*РЕАЛИЗАЦИЯ[[#This Row],[ТАННАРХ]]</f>
        <v>1020600</v>
      </c>
      <c r="K168" s="31">
        <f>РЕАЛИЗАЦИЯ[[#This Row],[ЖАМИ]]-РЕАЛИЗАЦИЯ[[#This Row],[ЖАМИ2]]</f>
        <v>48600</v>
      </c>
      <c r="L168" s="31"/>
    </row>
    <row r="169" spans="1:12" ht="15" customHeight="1" x14ac:dyDescent="0.3">
      <c r="A169" s="3">
        <v>46190</v>
      </c>
      <c r="B169" s="4" t="s">
        <v>636</v>
      </c>
      <c r="C169" s="85" t="s">
        <v>904</v>
      </c>
      <c r="D169" s="85" t="s">
        <v>7</v>
      </c>
      <c r="E169" s="31">
        <v>136</v>
      </c>
      <c r="F169" s="31">
        <v>23000</v>
      </c>
      <c r="G169" s="50">
        <f>РЕАЛИЗАЦИЯ[[#This Row],[СОНИ]]*РЕАЛИЗАЦИЯ[[#This Row],[НАРХИ]]</f>
        <v>3128000</v>
      </c>
      <c r="I169" s="57">
        <v>21000</v>
      </c>
      <c r="J169" s="31">
        <f>РЕАЛИЗАЦИЯ[[#This Row],[СОНИ]]*РЕАЛИЗАЦИЯ[[#This Row],[ТАННАРХ]]</f>
        <v>2856000</v>
      </c>
      <c r="K169" s="31">
        <f>РЕАЛИЗАЦИЯ[[#This Row],[ЖАМИ]]-РЕАЛИЗАЦИЯ[[#This Row],[ЖАМИ2]]</f>
        <v>272000</v>
      </c>
      <c r="L169" s="31"/>
    </row>
    <row r="170" spans="1:12" ht="15" customHeight="1" x14ac:dyDescent="0.3">
      <c r="A170" s="3">
        <v>46190</v>
      </c>
      <c r="B170" s="4" t="s">
        <v>636</v>
      </c>
      <c r="C170" s="85" t="s">
        <v>43</v>
      </c>
      <c r="D170" s="85" t="s">
        <v>7</v>
      </c>
      <c r="E170" s="31">
        <v>103.1</v>
      </c>
      <c r="F170" s="31">
        <v>16000</v>
      </c>
      <c r="G170" s="50">
        <f>РЕАЛИЗАЦИЯ[[#This Row],[СОНИ]]*РЕАЛИЗАЦИЯ[[#This Row],[НАРХИ]]</f>
        <v>1649600</v>
      </c>
      <c r="I170" s="57">
        <v>14000</v>
      </c>
      <c r="J170" s="31">
        <f>РЕАЛИЗАЦИЯ[[#This Row],[СОНИ]]*РЕАЛИЗАЦИЯ[[#This Row],[ТАННАРХ]]</f>
        <v>1443400</v>
      </c>
      <c r="K170" s="31">
        <f>РЕАЛИЗАЦИЯ[[#This Row],[ЖАМИ]]-РЕАЛИЗАЦИЯ[[#This Row],[ЖАМИ2]]</f>
        <v>206200</v>
      </c>
      <c r="L170" s="31"/>
    </row>
    <row r="171" spans="1:12" ht="15" customHeight="1" x14ac:dyDescent="0.3">
      <c r="A171" s="3">
        <v>46190</v>
      </c>
      <c r="B171" s="4" t="s">
        <v>636</v>
      </c>
      <c r="C171" s="85" t="s">
        <v>78</v>
      </c>
      <c r="D171" s="85" t="s">
        <v>7</v>
      </c>
      <c r="E171" s="31">
        <v>49.3</v>
      </c>
      <c r="F171" s="31">
        <v>19000</v>
      </c>
      <c r="G171" s="50">
        <f>РЕАЛИЗАЦИЯ[[#This Row],[СОНИ]]*РЕАЛИЗАЦИЯ[[#This Row],[НАРХИ]]</f>
        <v>936700</v>
      </c>
      <c r="I171" s="57">
        <v>18000</v>
      </c>
      <c r="J171" s="31">
        <f>РЕАЛИЗАЦИЯ[[#This Row],[СОНИ]]*РЕАЛИЗАЦИЯ[[#This Row],[ТАННАРХ]]</f>
        <v>887400</v>
      </c>
      <c r="K171" s="31">
        <f>РЕАЛИЗАЦИЯ[[#This Row],[ЖАМИ]]-РЕАЛИЗАЦИЯ[[#This Row],[ЖАМИ2]]</f>
        <v>49300</v>
      </c>
      <c r="L171" s="31"/>
    </row>
    <row r="172" spans="1:12" ht="15" customHeight="1" x14ac:dyDescent="0.3">
      <c r="A172" s="3">
        <v>46190</v>
      </c>
      <c r="B172" s="4" t="s">
        <v>681</v>
      </c>
      <c r="C172" s="85" t="s">
        <v>43</v>
      </c>
      <c r="D172" s="85" t="s">
        <v>7</v>
      </c>
      <c r="E172" s="31">
        <v>780</v>
      </c>
      <c r="F172" s="31">
        <v>15000</v>
      </c>
      <c r="G172" s="50">
        <f>РЕАЛИЗАЦИЯ[[#This Row],[СОНИ]]*РЕАЛИЗАЦИЯ[[#This Row],[НАРХИ]]</f>
        <v>11700000</v>
      </c>
      <c r="I172" s="57">
        <v>14000</v>
      </c>
      <c r="J172" s="31">
        <f>РЕАЛИЗАЦИЯ[[#This Row],[СОНИ]]*РЕАЛИЗАЦИЯ[[#This Row],[ТАННАРХ]]</f>
        <v>10920000</v>
      </c>
      <c r="K172" s="31">
        <f>РЕАЛИЗАЦИЯ[[#This Row],[ЖАМИ]]-РЕАЛИЗАЦИЯ[[#This Row],[ЖАМИ2]]</f>
        <v>780000</v>
      </c>
      <c r="L172" s="31"/>
    </row>
    <row r="173" spans="1:12" ht="15" customHeight="1" x14ac:dyDescent="0.3">
      <c r="A173" s="3">
        <v>46190</v>
      </c>
      <c r="B173" s="4" t="s">
        <v>681</v>
      </c>
      <c r="C173" s="85" t="s">
        <v>904</v>
      </c>
      <c r="D173" s="85" t="s">
        <v>7</v>
      </c>
      <c r="E173" s="31">
        <v>199.1</v>
      </c>
      <c r="F173" s="31">
        <v>23000</v>
      </c>
      <c r="G173" s="50">
        <f>РЕАЛИЗАЦИЯ[[#This Row],[СОНИ]]*РЕАЛИЗАЦИЯ[[#This Row],[НАРХИ]]</f>
        <v>4579300</v>
      </c>
      <c r="I173" s="57">
        <v>21000</v>
      </c>
      <c r="J173" s="31">
        <f>РЕАЛИЗАЦИЯ[[#This Row],[СОНИ]]*РЕАЛИЗАЦИЯ[[#This Row],[ТАННАРХ]]</f>
        <v>4181100</v>
      </c>
      <c r="K173" s="31">
        <f>РЕАЛИЗАЦИЯ[[#This Row],[ЖАМИ]]-РЕАЛИЗАЦИЯ[[#This Row],[ЖАМИ2]]</f>
        <v>398200</v>
      </c>
      <c r="L173" s="31"/>
    </row>
    <row r="174" spans="1:12" ht="15" customHeight="1" x14ac:dyDescent="0.3">
      <c r="A174" s="3">
        <v>46190</v>
      </c>
      <c r="B174" s="4" t="s">
        <v>70</v>
      </c>
      <c r="C174" s="85" t="s">
        <v>904</v>
      </c>
      <c r="D174" s="85" t="s">
        <v>7</v>
      </c>
      <c r="E174" s="31">
        <v>50.8</v>
      </c>
      <c r="F174" s="31">
        <v>23000</v>
      </c>
      <c r="G174" s="50">
        <f>РЕАЛИЗАЦИЯ[[#This Row],[СОНИ]]*РЕАЛИЗАЦИЯ[[#This Row],[НАРХИ]]</f>
        <v>1168400</v>
      </c>
      <c r="I174" s="57">
        <v>21000</v>
      </c>
      <c r="J174" s="31">
        <f>РЕАЛИЗАЦИЯ[[#This Row],[СОНИ]]*РЕАЛИЗАЦИЯ[[#This Row],[ТАННАРХ]]</f>
        <v>1066800</v>
      </c>
      <c r="K174" s="31">
        <f>РЕАЛИЗАЦИЯ[[#This Row],[ЖАМИ]]-РЕАЛИЗАЦИЯ[[#This Row],[ЖАМИ2]]</f>
        <v>101600</v>
      </c>
      <c r="L174" s="31"/>
    </row>
    <row r="175" spans="1:12" ht="15" customHeight="1" x14ac:dyDescent="0.3">
      <c r="A175" s="3">
        <v>46190</v>
      </c>
      <c r="B175" s="4" t="s">
        <v>486</v>
      </c>
      <c r="C175" s="85" t="s">
        <v>904</v>
      </c>
      <c r="D175" s="85" t="s">
        <v>7</v>
      </c>
      <c r="E175" s="31">
        <v>51.1</v>
      </c>
      <c r="F175" s="31">
        <v>22000</v>
      </c>
      <c r="G175" s="50">
        <f>РЕАЛИЗАЦИЯ[[#This Row],[СОНИ]]*РЕАЛИЗАЦИЯ[[#This Row],[НАРХИ]]</f>
        <v>1124200</v>
      </c>
      <c r="I175" s="57">
        <v>21000</v>
      </c>
      <c r="J175" s="31">
        <f>РЕАЛИЗАЦИЯ[[#This Row],[СОНИ]]*РЕАЛИЗАЦИЯ[[#This Row],[ТАННАРХ]]</f>
        <v>1073100</v>
      </c>
      <c r="K175" s="31">
        <f>РЕАЛИЗАЦИЯ[[#This Row],[ЖАМИ]]-РЕАЛИЗАЦИЯ[[#This Row],[ЖАМИ2]]</f>
        <v>51100</v>
      </c>
      <c r="L175" s="31"/>
    </row>
    <row r="176" spans="1:12" ht="15" customHeight="1" x14ac:dyDescent="0.3">
      <c r="A176" s="3">
        <v>46190</v>
      </c>
      <c r="B176" s="4" t="s">
        <v>507</v>
      </c>
      <c r="C176" s="85" t="s">
        <v>904</v>
      </c>
      <c r="D176" s="85" t="s">
        <v>7</v>
      </c>
      <c r="E176" s="31">
        <v>45.2</v>
      </c>
      <c r="F176" s="31">
        <v>23000</v>
      </c>
      <c r="G176" s="50">
        <f>РЕАЛИЗАЦИЯ[[#This Row],[СОНИ]]*РЕАЛИЗАЦИЯ[[#This Row],[НАРХИ]]</f>
        <v>1039600.0000000001</v>
      </c>
      <c r="I176" s="57">
        <v>21000</v>
      </c>
      <c r="J176" s="31">
        <f>РЕАЛИЗАЦИЯ[[#This Row],[СОНИ]]*РЕАЛИЗАЦИЯ[[#This Row],[ТАННАРХ]]</f>
        <v>949200.00000000012</v>
      </c>
      <c r="K176" s="31">
        <f>РЕАЛИЗАЦИЯ[[#This Row],[ЖАМИ]]-РЕАЛИЗАЦИЯ[[#This Row],[ЖАМИ2]]</f>
        <v>90400</v>
      </c>
      <c r="L176" s="31"/>
    </row>
    <row r="177" spans="1:12" ht="15" customHeight="1" x14ac:dyDescent="0.3">
      <c r="A177" s="3">
        <v>46190</v>
      </c>
      <c r="B177" s="4" t="s">
        <v>557</v>
      </c>
      <c r="C177" s="85" t="s">
        <v>904</v>
      </c>
      <c r="D177" s="85" t="s">
        <v>7</v>
      </c>
      <c r="E177" s="31">
        <v>112.2</v>
      </c>
      <c r="F177" s="31">
        <v>23000</v>
      </c>
      <c r="G177" s="50">
        <f>РЕАЛИЗАЦИЯ[[#This Row],[СОНИ]]*РЕАЛИЗАЦИЯ[[#This Row],[НАРХИ]]</f>
        <v>2580600</v>
      </c>
      <c r="I177" s="57">
        <v>21000</v>
      </c>
      <c r="J177" s="31">
        <f>РЕАЛИЗАЦИЯ[[#This Row],[СОНИ]]*РЕАЛИЗАЦИЯ[[#This Row],[ТАННАРХ]]</f>
        <v>2356200</v>
      </c>
      <c r="K177" s="31">
        <f>РЕАЛИЗАЦИЯ[[#This Row],[ЖАМИ]]-РЕАЛИЗАЦИЯ[[#This Row],[ЖАМИ2]]</f>
        <v>224400</v>
      </c>
      <c r="L177" s="31"/>
    </row>
    <row r="178" spans="1:12" s="285" customFormat="1" ht="15" customHeight="1" x14ac:dyDescent="0.3">
      <c r="A178" s="3">
        <v>46191</v>
      </c>
      <c r="B178" s="4" t="s">
        <v>552</v>
      </c>
      <c r="C178" s="285" t="s">
        <v>593</v>
      </c>
      <c r="D178" s="285" t="s">
        <v>7</v>
      </c>
      <c r="E178" s="31">
        <v>1636.9</v>
      </c>
      <c r="F178" s="31">
        <v>30000</v>
      </c>
      <c r="G178" s="50">
        <f>РЕАЛИЗАЦИЯ[[#This Row],[СОНИ]]*РЕАЛИЗАЦИЯ[[#This Row],[НАРХИ]]</f>
        <v>49107000</v>
      </c>
      <c r="H178" s="31"/>
      <c r="I178" s="288">
        <v>25000</v>
      </c>
      <c r="J178" s="31">
        <f>РЕАЛИЗАЦИЯ[[#This Row],[СОНИ]]*РЕАЛИЗАЦИЯ[[#This Row],[ТАННАРХ]]</f>
        <v>40922500</v>
      </c>
      <c r="K178" s="31">
        <f>РЕАЛИЗАЦИЯ[[#This Row],[ЖАМИ]]-РЕАЛИЗАЦИЯ[[#This Row],[ЖАМИ2]]</f>
        <v>8184500</v>
      </c>
      <c r="L178" s="31"/>
    </row>
    <row r="179" spans="1:12" ht="15" customHeight="1" x14ac:dyDescent="0.3">
      <c r="A179" s="3">
        <v>46191</v>
      </c>
      <c r="B179" s="4" t="s">
        <v>833</v>
      </c>
      <c r="C179" s="85" t="s">
        <v>904</v>
      </c>
      <c r="D179" s="85" t="s">
        <v>7</v>
      </c>
      <c r="E179" s="31">
        <v>53.3</v>
      </c>
      <c r="F179" s="31">
        <v>23000</v>
      </c>
      <c r="G179" s="50">
        <f>РЕАЛИЗАЦИЯ[[#This Row],[СОНИ]]*РЕАЛИЗАЦИЯ[[#This Row],[НАРХИ]]</f>
        <v>1225900</v>
      </c>
      <c r="I179" s="57">
        <v>21000</v>
      </c>
      <c r="J179" s="31">
        <f>РЕАЛИЗАЦИЯ[[#This Row],[СОНИ]]*РЕАЛИЗАЦИЯ[[#This Row],[ТАННАРХ]]</f>
        <v>1119300</v>
      </c>
      <c r="K179" s="31">
        <f>РЕАЛИЗАЦИЯ[[#This Row],[ЖАМИ]]-РЕАЛИЗАЦИЯ[[#This Row],[ЖАМИ2]]</f>
        <v>106600</v>
      </c>
      <c r="L179" s="31"/>
    </row>
    <row r="180" spans="1:12" ht="15" customHeight="1" x14ac:dyDescent="0.3">
      <c r="A180" s="3">
        <v>46191</v>
      </c>
      <c r="B180" s="4" t="s">
        <v>833</v>
      </c>
      <c r="C180" s="85" t="s">
        <v>43</v>
      </c>
      <c r="D180" s="85" t="s">
        <v>7</v>
      </c>
      <c r="E180" s="31">
        <v>47.2</v>
      </c>
      <c r="F180" s="31">
        <v>16000</v>
      </c>
      <c r="G180" s="50">
        <f>РЕАЛИЗАЦИЯ[[#This Row],[СОНИ]]*РЕАЛИЗАЦИЯ[[#This Row],[НАРХИ]]</f>
        <v>755200</v>
      </c>
      <c r="I180" s="57">
        <v>14000</v>
      </c>
      <c r="J180" s="31">
        <f>РЕАЛИЗАЦИЯ[[#This Row],[СОНИ]]*РЕАЛИЗАЦИЯ[[#This Row],[ТАННАРХ]]</f>
        <v>660800</v>
      </c>
      <c r="K180" s="31">
        <f>РЕАЛИЗАЦИЯ[[#This Row],[ЖАМИ]]-РЕАЛИЗАЦИЯ[[#This Row],[ЖАМИ2]]</f>
        <v>94400</v>
      </c>
      <c r="L180" s="31"/>
    </row>
    <row r="181" spans="1:12" ht="15" customHeight="1" x14ac:dyDescent="0.3">
      <c r="A181" s="3">
        <v>46191</v>
      </c>
      <c r="B181" s="4" t="s">
        <v>993</v>
      </c>
      <c r="C181" s="85" t="s">
        <v>904</v>
      </c>
      <c r="D181" s="85" t="s">
        <v>7</v>
      </c>
      <c r="E181" s="31">
        <v>104.3</v>
      </c>
      <c r="F181" s="31">
        <v>23000</v>
      </c>
      <c r="G181" s="50">
        <f>РЕАЛИЗАЦИЯ[[#This Row],[СОНИ]]*РЕАЛИЗАЦИЯ[[#This Row],[НАРХИ]]</f>
        <v>2398900</v>
      </c>
      <c r="I181" s="57">
        <v>21000</v>
      </c>
      <c r="J181" s="31">
        <f>РЕАЛИЗАЦИЯ[[#This Row],[СОНИ]]*РЕАЛИЗАЦИЯ[[#This Row],[ТАННАРХ]]</f>
        <v>2190300</v>
      </c>
      <c r="K181" s="31">
        <f>РЕАЛИЗАЦИЯ[[#This Row],[ЖАМИ]]-РЕАЛИЗАЦИЯ[[#This Row],[ЖАМИ2]]</f>
        <v>208600</v>
      </c>
      <c r="L181" s="31"/>
    </row>
    <row r="182" spans="1:12" ht="15" customHeight="1" x14ac:dyDescent="0.3">
      <c r="A182" s="3">
        <v>46191</v>
      </c>
      <c r="B182" s="4" t="s">
        <v>993</v>
      </c>
      <c r="C182" s="86" t="s">
        <v>43</v>
      </c>
      <c r="D182" s="86" t="s">
        <v>7</v>
      </c>
      <c r="E182" s="31">
        <v>49.6</v>
      </c>
      <c r="F182" s="31">
        <v>16000</v>
      </c>
      <c r="G182" s="50">
        <f>РЕАЛИЗАЦИЯ[[#This Row],[СОНИ]]*РЕАЛИЗАЦИЯ[[#This Row],[НАРХИ]]</f>
        <v>793600</v>
      </c>
      <c r="I182" s="57">
        <v>14000</v>
      </c>
      <c r="J182" s="31">
        <f>РЕАЛИЗАЦИЯ[[#This Row],[СОНИ]]*РЕАЛИЗАЦИЯ[[#This Row],[ТАННАРХ]]</f>
        <v>694400</v>
      </c>
      <c r="K182" s="31">
        <f>РЕАЛИЗАЦИЯ[[#This Row],[ЖАМИ]]-РЕАЛИЗАЦИЯ[[#This Row],[ЖАМИ2]]</f>
        <v>99200</v>
      </c>
      <c r="L182" s="31"/>
    </row>
    <row r="183" spans="1:12" ht="15" customHeight="1" x14ac:dyDescent="0.3">
      <c r="A183" s="3">
        <v>46191</v>
      </c>
      <c r="B183" s="4" t="s">
        <v>72</v>
      </c>
      <c r="C183" s="86" t="s">
        <v>43</v>
      </c>
      <c r="D183" s="86" t="s">
        <v>7</v>
      </c>
      <c r="E183" s="31">
        <v>91.8</v>
      </c>
      <c r="F183" s="31">
        <v>16000</v>
      </c>
      <c r="G183" s="50">
        <f>РЕАЛИЗАЦИЯ[[#This Row],[СОНИ]]*РЕАЛИЗАЦИЯ[[#This Row],[НАРХИ]]</f>
        <v>1468800</v>
      </c>
      <c r="I183" s="57">
        <v>14000</v>
      </c>
      <c r="J183" s="31">
        <f>РЕАЛИЗАЦИЯ[[#This Row],[СОНИ]]*РЕАЛИЗАЦИЯ[[#This Row],[ТАННАРХ]]</f>
        <v>1285200</v>
      </c>
      <c r="K183" s="31">
        <f>РЕАЛИЗАЦИЯ[[#This Row],[ЖАМИ]]-РЕАЛИЗАЦИЯ[[#This Row],[ЖАМИ2]]</f>
        <v>183600</v>
      </c>
      <c r="L183" s="31"/>
    </row>
    <row r="184" spans="1:12" ht="15" customHeight="1" x14ac:dyDescent="0.3">
      <c r="A184" s="3">
        <v>46191</v>
      </c>
      <c r="B184" s="4" t="s">
        <v>72</v>
      </c>
      <c r="C184" s="86" t="s">
        <v>904</v>
      </c>
      <c r="D184" s="86" t="s">
        <v>7</v>
      </c>
      <c r="E184" s="31">
        <v>104.5</v>
      </c>
      <c r="F184" s="31">
        <v>23000</v>
      </c>
      <c r="G184" s="50">
        <f>РЕАЛИЗАЦИЯ[[#This Row],[СОНИ]]*РЕАЛИЗАЦИЯ[[#This Row],[НАРХИ]]</f>
        <v>2403500</v>
      </c>
      <c r="I184" s="57">
        <v>21000</v>
      </c>
      <c r="J184" s="31">
        <f>РЕАЛИЗАЦИЯ[[#This Row],[СОНИ]]*РЕАЛИЗАЦИЯ[[#This Row],[ТАННАРХ]]</f>
        <v>2194500</v>
      </c>
      <c r="K184" s="31">
        <f>РЕАЛИЗАЦИЯ[[#This Row],[ЖАМИ]]-РЕАЛИЗАЦИЯ[[#This Row],[ЖАМИ2]]</f>
        <v>209000</v>
      </c>
      <c r="L184" s="31"/>
    </row>
    <row r="185" spans="1:12" ht="15" customHeight="1" x14ac:dyDescent="0.3">
      <c r="A185" s="3">
        <v>46191</v>
      </c>
      <c r="B185" s="4" t="s">
        <v>892</v>
      </c>
      <c r="C185" s="86" t="s">
        <v>42</v>
      </c>
      <c r="D185" s="86" t="s">
        <v>7</v>
      </c>
      <c r="E185" s="31">
        <v>233.1</v>
      </c>
      <c r="F185" s="31">
        <v>24500</v>
      </c>
      <c r="G185" s="50">
        <f>РЕАЛИЗАЦИЯ[[#This Row],[СОНИ]]*РЕАЛИЗАЦИЯ[[#This Row],[НАРХИ]]</f>
        <v>5710950</v>
      </c>
      <c r="I185" s="57">
        <v>23000</v>
      </c>
      <c r="J185" s="31">
        <f>РЕАЛИЗАЦИЯ[[#This Row],[СОНИ]]*РЕАЛИЗАЦИЯ[[#This Row],[ТАННАРХ]]</f>
        <v>5361300</v>
      </c>
      <c r="K185" s="31">
        <f>РЕАЛИЗАЦИЯ[[#This Row],[ЖАМИ]]-РЕАЛИЗАЦИЯ[[#This Row],[ЖАМИ2]]</f>
        <v>349650</v>
      </c>
      <c r="L185" s="31"/>
    </row>
    <row r="186" spans="1:12" ht="15" customHeight="1" x14ac:dyDescent="0.3">
      <c r="A186" s="3">
        <v>46191</v>
      </c>
      <c r="B186" s="4" t="s">
        <v>892</v>
      </c>
      <c r="C186" s="86" t="s">
        <v>43</v>
      </c>
      <c r="D186" s="86" t="s">
        <v>7</v>
      </c>
      <c r="E186" s="31">
        <v>243.5</v>
      </c>
      <c r="F186" s="31">
        <v>16000</v>
      </c>
      <c r="G186" s="50">
        <f>РЕАЛИЗАЦИЯ[[#This Row],[СОНИ]]*РЕАЛИЗАЦИЯ[[#This Row],[НАРХИ]]</f>
        <v>3896000</v>
      </c>
      <c r="I186" s="57">
        <v>14000</v>
      </c>
      <c r="J186" s="31">
        <f>РЕАЛИЗАЦИЯ[[#This Row],[СОНИ]]*РЕАЛИЗАЦИЯ[[#This Row],[ТАННАРХ]]</f>
        <v>3409000</v>
      </c>
      <c r="K186" s="31">
        <f>РЕАЛИЗАЦИЯ[[#This Row],[ЖАМИ]]-РЕАЛИЗАЦИЯ[[#This Row],[ЖАМИ2]]</f>
        <v>487000</v>
      </c>
      <c r="L186" s="31"/>
    </row>
    <row r="187" spans="1:12" ht="15" customHeight="1" x14ac:dyDescent="0.3">
      <c r="A187" s="3">
        <v>46191</v>
      </c>
      <c r="B187" s="4" t="s">
        <v>565</v>
      </c>
      <c r="C187" s="86" t="s">
        <v>593</v>
      </c>
      <c r="D187" s="86" t="s">
        <v>7</v>
      </c>
      <c r="E187" s="31">
        <v>353.9</v>
      </c>
      <c r="F187" s="31">
        <v>27000</v>
      </c>
      <c r="G187" s="50">
        <f>РЕАЛИЗАЦИЯ[[#This Row],[СОНИ]]*РЕАЛИЗАЦИЯ[[#This Row],[НАРХИ]]</f>
        <v>9555300</v>
      </c>
      <c r="I187" s="80">
        <v>25500</v>
      </c>
      <c r="J187" s="31">
        <f>РЕАЛИЗАЦИЯ[[#This Row],[СОНИ]]*РЕАЛИЗАЦИЯ[[#This Row],[ТАННАРХ]]</f>
        <v>9024450</v>
      </c>
      <c r="K187" s="31">
        <f>РЕАЛИЗАЦИЯ[[#This Row],[ЖАМИ]]-РЕАЛИЗАЦИЯ[[#This Row],[ЖАМИ2]]</f>
        <v>530850</v>
      </c>
      <c r="L187" s="31"/>
    </row>
    <row r="188" spans="1:12" ht="15" customHeight="1" x14ac:dyDescent="0.3">
      <c r="A188" s="3">
        <v>46191</v>
      </c>
      <c r="B188" s="4" t="s">
        <v>697</v>
      </c>
      <c r="C188" s="86" t="s">
        <v>914</v>
      </c>
      <c r="D188" s="86" t="s">
        <v>7</v>
      </c>
      <c r="E188" s="31">
        <v>1106.7</v>
      </c>
      <c r="F188" s="31">
        <v>23500</v>
      </c>
      <c r="G188" s="50">
        <f>РЕАЛИЗАЦИЯ[[#This Row],[СОНИ]]*РЕАЛИЗАЦИЯ[[#This Row],[НАРХИ]]</f>
        <v>26007450</v>
      </c>
      <c r="I188" s="80">
        <v>22500</v>
      </c>
      <c r="J188" s="31">
        <f>РЕАЛИЗАЦИЯ[[#This Row],[СОНИ]]*РЕАЛИЗАЦИЯ[[#This Row],[ТАННАРХ]]</f>
        <v>24900750</v>
      </c>
      <c r="K188" s="31">
        <f>РЕАЛИЗАЦИЯ[[#This Row],[ЖАМИ]]-РЕАЛИЗАЦИЯ[[#This Row],[ЖАМИ2]]</f>
        <v>1106700</v>
      </c>
      <c r="L188" s="31"/>
    </row>
    <row r="189" spans="1:12" ht="15" customHeight="1" x14ac:dyDescent="0.3">
      <c r="A189" s="3">
        <v>46192</v>
      </c>
      <c r="B189" s="4" t="s">
        <v>508</v>
      </c>
      <c r="C189" s="86" t="s">
        <v>605</v>
      </c>
      <c r="D189" s="86" t="s">
        <v>7</v>
      </c>
      <c r="E189" s="31">
        <v>374.1</v>
      </c>
      <c r="F189" s="31">
        <v>25000</v>
      </c>
      <c r="G189" s="50">
        <f>РЕАЛИЗАЦИЯ[[#This Row],[СОНИ]]*РЕАЛИЗАЦИЯ[[#This Row],[НАРХИ]]</f>
        <v>9352500</v>
      </c>
      <c r="I189" s="57">
        <v>22000</v>
      </c>
      <c r="J189" s="31">
        <f>РЕАЛИЗАЦИЯ[[#This Row],[СОНИ]]*РЕАЛИЗАЦИЯ[[#This Row],[ТАННАРХ]]</f>
        <v>8230200.0000000009</v>
      </c>
      <c r="K189" s="31">
        <f>РЕАЛИЗАЦИЯ[[#This Row],[ЖАМИ]]-РЕАЛИЗАЦИЯ[[#This Row],[ЖАМИ2]]</f>
        <v>1122299.9999999991</v>
      </c>
      <c r="L189" s="31"/>
    </row>
    <row r="190" spans="1:12" ht="15" customHeight="1" x14ac:dyDescent="0.3">
      <c r="A190" s="3">
        <v>46192</v>
      </c>
      <c r="B190" s="4" t="s">
        <v>491</v>
      </c>
      <c r="C190" s="86" t="s">
        <v>904</v>
      </c>
      <c r="D190" s="86" t="s">
        <v>7</v>
      </c>
      <c r="E190" s="31">
        <v>95.6</v>
      </c>
      <c r="F190" s="31">
        <v>22000</v>
      </c>
      <c r="G190" s="50">
        <f>РЕАЛИЗАЦИЯ[[#This Row],[СОНИ]]*РЕАЛИЗАЦИЯ[[#This Row],[НАРХИ]]</f>
        <v>2103200</v>
      </c>
      <c r="I190" s="57">
        <v>21000</v>
      </c>
      <c r="J190" s="31">
        <f>РЕАЛИЗАЦИЯ[[#This Row],[СОНИ]]*РЕАЛИЗАЦИЯ[[#This Row],[ТАННАРХ]]</f>
        <v>2007599.9999999998</v>
      </c>
      <c r="K190" s="31">
        <f>РЕАЛИЗАЦИЯ[[#This Row],[ЖАМИ]]-РЕАЛИЗАЦИЯ[[#This Row],[ЖАМИ2]]</f>
        <v>95600.000000000233</v>
      </c>
      <c r="L190" s="31"/>
    </row>
    <row r="191" spans="1:12" ht="15" customHeight="1" x14ac:dyDescent="0.3">
      <c r="A191" s="3">
        <v>46192</v>
      </c>
      <c r="B191" s="4" t="s">
        <v>704</v>
      </c>
      <c r="C191" s="86" t="s">
        <v>904</v>
      </c>
      <c r="D191" s="86" t="s">
        <v>7</v>
      </c>
      <c r="E191" s="31">
        <v>100.5</v>
      </c>
      <c r="F191" s="31">
        <v>23000</v>
      </c>
      <c r="G191" s="50">
        <f>РЕАЛИЗАЦИЯ[[#This Row],[СОНИ]]*РЕАЛИЗАЦИЯ[[#This Row],[НАРХИ]]</f>
        <v>2311500</v>
      </c>
      <c r="I191" s="57">
        <v>21000</v>
      </c>
      <c r="J191" s="31">
        <f>РЕАЛИЗАЦИЯ[[#This Row],[СОНИ]]*РЕАЛИЗАЦИЯ[[#This Row],[ТАННАРХ]]</f>
        <v>2110500</v>
      </c>
      <c r="K191" s="31">
        <f>РЕАЛИЗАЦИЯ[[#This Row],[ЖАМИ]]-РЕАЛИЗАЦИЯ[[#This Row],[ЖАМИ2]]</f>
        <v>201000</v>
      </c>
      <c r="L191" s="31"/>
    </row>
    <row r="192" spans="1:12" ht="15" customHeight="1" x14ac:dyDescent="0.3">
      <c r="A192" s="3">
        <v>46192</v>
      </c>
      <c r="B192" s="4" t="s">
        <v>195</v>
      </c>
      <c r="C192" s="86" t="s">
        <v>904</v>
      </c>
      <c r="D192" s="86" t="s">
        <v>7</v>
      </c>
      <c r="E192" s="31">
        <v>98.9</v>
      </c>
      <c r="F192" s="31">
        <v>23000</v>
      </c>
      <c r="G192" s="50">
        <f>РЕАЛИЗАЦИЯ[[#This Row],[СОНИ]]*РЕАЛИЗАЦИЯ[[#This Row],[НАРХИ]]</f>
        <v>2274700</v>
      </c>
      <c r="I192" s="57">
        <v>21000</v>
      </c>
      <c r="J192" s="31">
        <f>РЕАЛИЗАЦИЯ[[#This Row],[СОНИ]]*РЕАЛИЗАЦИЯ[[#This Row],[ТАННАРХ]]</f>
        <v>2076900.0000000002</v>
      </c>
      <c r="K192" s="31">
        <f>РЕАЛИЗАЦИЯ[[#This Row],[ЖАМИ]]-РЕАЛИЗАЦИЯ[[#This Row],[ЖАМИ2]]</f>
        <v>197799.99999999977</v>
      </c>
      <c r="L192" s="31"/>
    </row>
    <row r="193" spans="1:12" ht="15" customHeight="1" x14ac:dyDescent="0.3">
      <c r="A193" s="3">
        <v>46192</v>
      </c>
      <c r="B193" s="4" t="s">
        <v>195</v>
      </c>
      <c r="C193" s="86" t="s">
        <v>43</v>
      </c>
      <c r="D193" s="86" t="s">
        <v>7</v>
      </c>
      <c r="E193" s="31">
        <v>45.1</v>
      </c>
      <c r="F193" s="31">
        <v>16000</v>
      </c>
      <c r="G193" s="50">
        <f>РЕАЛИЗАЦИЯ[[#This Row],[СОНИ]]*РЕАЛИЗАЦИЯ[[#This Row],[НАРХИ]]</f>
        <v>721600</v>
      </c>
      <c r="I193" s="57">
        <v>14000</v>
      </c>
      <c r="J193" s="31">
        <f>РЕАЛИЗАЦИЯ[[#This Row],[СОНИ]]*РЕАЛИЗАЦИЯ[[#This Row],[ТАННАРХ]]</f>
        <v>631400</v>
      </c>
      <c r="K193" s="31">
        <f>РЕАЛИЗАЦИЯ[[#This Row],[ЖАМИ]]-РЕАЛИЗАЦИЯ[[#This Row],[ЖАМИ2]]</f>
        <v>90200</v>
      </c>
      <c r="L193" s="31"/>
    </row>
    <row r="194" spans="1:12" ht="15" customHeight="1" x14ac:dyDescent="0.3">
      <c r="A194" s="3">
        <v>46192</v>
      </c>
      <c r="B194" s="4" t="s">
        <v>861</v>
      </c>
      <c r="C194" s="86" t="s">
        <v>43</v>
      </c>
      <c r="D194" s="86" t="s">
        <v>7</v>
      </c>
      <c r="E194" s="31">
        <v>48.7</v>
      </c>
      <c r="F194" s="31">
        <v>16000</v>
      </c>
      <c r="G194" s="50">
        <f>РЕАЛИЗАЦИЯ[[#This Row],[СОНИ]]*РЕАЛИЗАЦИЯ[[#This Row],[НАРХИ]]</f>
        <v>779200</v>
      </c>
      <c r="I194" s="57">
        <v>14000</v>
      </c>
      <c r="J194" s="31">
        <f>РЕАЛИЗАЦИЯ[[#This Row],[СОНИ]]*РЕАЛИЗАЦИЯ[[#This Row],[ТАННАРХ]]</f>
        <v>681800</v>
      </c>
      <c r="K194" s="31">
        <f>РЕАЛИЗАЦИЯ[[#This Row],[ЖАМИ]]-РЕАЛИЗАЦИЯ[[#This Row],[ЖАМИ2]]</f>
        <v>97400</v>
      </c>
      <c r="L194" s="31"/>
    </row>
    <row r="195" spans="1:12" ht="15" customHeight="1" x14ac:dyDescent="0.3">
      <c r="A195" s="3">
        <v>46192</v>
      </c>
      <c r="B195" s="4" t="s">
        <v>861</v>
      </c>
      <c r="C195" s="86" t="s">
        <v>904</v>
      </c>
      <c r="D195" s="86" t="s">
        <v>7</v>
      </c>
      <c r="E195" s="31">
        <v>50.4</v>
      </c>
      <c r="F195" s="31">
        <v>23000</v>
      </c>
      <c r="G195" s="50">
        <f>РЕАЛИЗАЦИЯ[[#This Row],[СОНИ]]*РЕАЛИЗАЦИЯ[[#This Row],[НАРХИ]]</f>
        <v>1159200</v>
      </c>
      <c r="I195" s="57">
        <v>21000</v>
      </c>
      <c r="J195" s="31">
        <f>РЕАЛИЗАЦИЯ[[#This Row],[СОНИ]]*РЕАЛИЗАЦИЯ[[#This Row],[ТАННАРХ]]</f>
        <v>1058400</v>
      </c>
      <c r="K195" s="31">
        <f>РЕАЛИЗАЦИЯ[[#This Row],[ЖАМИ]]-РЕАЛИЗАЦИЯ[[#This Row],[ЖАМИ2]]</f>
        <v>100800</v>
      </c>
      <c r="L195" s="31"/>
    </row>
    <row r="196" spans="1:12" ht="15" customHeight="1" x14ac:dyDescent="0.3">
      <c r="A196" s="3">
        <v>46192</v>
      </c>
      <c r="B196" s="4" t="s">
        <v>556</v>
      </c>
      <c r="C196" s="86" t="s">
        <v>590</v>
      </c>
      <c r="D196" s="86" t="s">
        <v>7</v>
      </c>
      <c r="E196" s="31">
        <v>103.6</v>
      </c>
      <c r="F196" s="31">
        <v>28000</v>
      </c>
      <c r="G196" s="50">
        <f>РЕАЛИЗАЦИЯ[[#This Row],[СОНИ]]*РЕАЛИЗАЦИЯ[[#This Row],[НАРХИ]]</f>
        <v>2900800</v>
      </c>
      <c r="I196" s="80">
        <v>26000</v>
      </c>
      <c r="J196" s="31">
        <f>РЕАЛИЗАЦИЯ[[#This Row],[СОНИ]]*РЕАЛИЗАЦИЯ[[#This Row],[ТАННАРХ]]</f>
        <v>2693600</v>
      </c>
      <c r="K196" s="31">
        <f>РЕАЛИЗАЦИЯ[[#This Row],[ЖАМИ]]-РЕАЛИЗАЦИЯ[[#This Row],[ЖАМИ2]]</f>
        <v>207200</v>
      </c>
      <c r="L196" s="31"/>
    </row>
    <row r="197" spans="1:12" ht="15" customHeight="1" x14ac:dyDescent="0.3">
      <c r="A197" s="3">
        <v>46192</v>
      </c>
      <c r="B197" s="4" t="s">
        <v>521</v>
      </c>
      <c r="C197" s="86" t="s">
        <v>605</v>
      </c>
      <c r="D197" s="86" t="s">
        <v>7</v>
      </c>
      <c r="E197" s="31">
        <v>-526.4</v>
      </c>
      <c r="F197" s="31">
        <v>25000</v>
      </c>
      <c r="G197" s="50">
        <f>РЕАЛИЗАЦИЯ[[#This Row],[СОНИ]]*РЕАЛИЗАЦИЯ[[#This Row],[НАРХИ]]</f>
        <v>-13160000</v>
      </c>
      <c r="I197" s="57">
        <v>22000</v>
      </c>
      <c r="J197" s="31">
        <f>РЕАЛИЗАЦИЯ[[#This Row],[СОНИ]]*РЕАЛИЗАЦИЯ[[#This Row],[ТАННАРХ]]</f>
        <v>-11580800</v>
      </c>
      <c r="K197" s="31">
        <f>РЕАЛИЗАЦИЯ[[#This Row],[ЖАМИ]]-РЕАЛИЗАЦИЯ[[#This Row],[ЖАМИ2]]</f>
        <v>-1579200</v>
      </c>
      <c r="L197" s="31"/>
    </row>
    <row r="198" spans="1:12" ht="15" customHeight="1" x14ac:dyDescent="0.3">
      <c r="A198" s="3">
        <v>46192</v>
      </c>
      <c r="B198" s="4" t="s">
        <v>1005</v>
      </c>
      <c r="C198" s="86" t="s">
        <v>593</v>
      </c>
      <c r="D198" s="86" t="s">
        <v>7</v>
      </c>
      <c r="E198" s="31">
        <v>556.4</v>
      </c>
      <c r="F198" s="31">
        <v>25000</v>
      </c>
      <c r="G198" s="50">
        <f>РЕАЛИЗАЦИЯ[[#This Row],[СОНИ]]*РЕАЛИЗАЦИЯ[[#This Row],[НАРХИ]]</f>
        <v>13910000</v>
      </c>
      <c r="I198" s="80">
        <v>24500</v>
      </c>
      <c r="J198" s="31">
        <f>РЕАЛИЗАЦИЯ[[#This Row],[СОНИ]]*РЕАЛИЗАЦИЯ[[#This Row],[ТАННАРХ]]</f>
        <v>13631800</v>
      </c>
      <c r="K198" s="31">
        <f>РЕАЛИЗАЦИЯ[[#This Row],[ЖАМИ]]-РЕАЛИЗАЦИЯ[[#This Row],[ЖАМИ2]]</f>
        <v>278200</v>
      </c>
      <c r="L198" s="31"/>
    </row>
    <row r="199" spans="1:12" ht="15" customHeight="1" x14ac:dyDescent="0.3">
      <c r="A199" s="3">
        <v>46193</v>
      </c>
      <c r="B199" s="4" t="s">
        <v>57</v>
      </c>
      <c r="C199" s="131" t="s">
        <v>43</v>
      </c>
      <c r="D199" s="131" t="s">
        <v>7</v>
      </c>
      <c r="E199" s="31">
        <v>49.2</v>
      </c>
      <c r="F199" s="31">
        <v>16000</v>
      </c>
      <c r="G199" s="50">
        <f>РЕАЛИЗАЦИЯ[[#This Row],[СОНИ]]*РЕАЛИЗАЦИЯ[[#This Row],[НАРХИ]]</f>
        <v>787200</v>
      </c>
      <c r="I199" s="57">
        <v>14000</v>
      </c>
      <c r="J199" s="31">
        <f>РЕАЛИЗАЦИЯ[[#This Row],[СОНИ]]*РЕАЛИЗАЦИЯ[[#This Row],[ТАННАРХ]]</f>
        <v>688800</v>
      </c>
      <c r="K199" s="31">
        <f>РЕАЛИЗАЦИЯ[[#This Row],[ЖАМИ]]-РЕАЛИЗАЦИЯ[[#This Row],[ЖАМИ2]]</f>
        <v>98400</v>
      </c>
      <c r="L199" s="31"/>
    </row>
    <row r="200" spans="1:12" ht="15" customHeight="1" x14ac:dyDescent="0.3">
      <c r="A200" s="3">
        <v>46193</v>
      </c>
      <c r="B200" s="4" t="s">
        <v>57</v>
      </c>
      <c r="C200" s="86" t="s">
        <v>78</v>
      </c>
      <c r="D200" s="86" t="s">
        <v>7</v>
      </c>
      <c r="E200" s="31">
        <v>47.2</v>
      </c>
      <c r="F200" s="31">
        <v>19000</v>
      </c>
      <c r="G200" s="50">
        <f>РЕАЛИЗАЦИЯ[[#This Row],[СОНИ]]*РЕАЛИЗАЦИЯ[[#This Row],[НАРХИ]]</f>
        <v>896800</v>
      </c>
      <c r="I200" s="57">
        <v>18000</v>
      </c>
      <c r="J200" s="31">
        <f>РЕАЛИЗАЦИЯ[[#This Row],[СОНИ]]*РЕАЛИЗАЦИЯ[[#This Row],[ТАННАРХ]]</f>
        <v>849600</v>
      </c>
      <c r="K200" s="31">
        <f>РЕАЛИЗАЦИЯ[[#This Row],[ЖАМИ]]-РЕАЛИЗАЦИЯ[[#This Row],[ЖАМИ2]]</f>
        <v>47200</v>
      </c>
      <c r="L200" s="31"/>
    </row>
    <row r="201" spans="1:12" ht="15" customHeight="1" x14ac:dyDescent="0.3">
      <c r="A201" s="3">
        <v>46193</v>
      </c>
      <c r="B201" s="4" t="s">
        <v>681</v>
      </c>
      <c r="C201" s="86" t="s">
        <v>43</v>
      </c>
      <c r="D201" s="86" t="s">
        <v>7</v>
      </c>
      <c r="E201" s="31">
        <v>179.9</v>
      </c>
      <c r="F201" s="31">
        <v>15500</v>
      </c>
      <c r="G201" s="50">
        <f>РЕАЛИЗАЦИЯ[[#This Row],[СОНИ]]*РЕАЛИЗАЦИЯ[[#This Row],[НАРХИ]]</f>
        <v>2788450</v>
      </c>
      <c r="I201" s="57">
        <v>14000</v>
      </c>
      <c r="J201" s="31">
        <f>РЕАЛИЗАЦИЯ[[#This Row],[СОНИ]]*РЕАЛИЗАЦИЯ[[#This Row],[ТАННАРХ]]</f>
        <v>2518600</v>
      </c>
      <c r="K201" s="31">
        <f>РЕАЛИЗАЦИЯ[[#This Row],[ЖАМИ]]-РЕАЛИЗАЦИЯ[[#This Row],[ЖАМИ2]]</f>
        <v>269850</v>
      </c>
      <c r="L201" s="31"/>
    </row>
    <row r="202" spans="1:12" ht="15" customHeight="1" x14ac:dyDescent="0.3">
      <c r="A202" s="3">
        <v>46193</v>
      </c>
      <c r="B202" s="4" t="s">
        <v>681</v>
      </c>
      <c r="C202" s="86" t="s">
        <v>973</v>
      </c>
      <c r="D202" s="86" t="s">
        <v>7</v>
      </c>
      <c r="E202" s="31">
        <v>161.4</v>
      </c>
      <c r="F202" s="31">
        <v>23000</v>
      </c>
      <c r="G202" s="50">
        <f>РЕАЛИЗАЦИЯ[[#This Row],[СОНИ]]*РЕАЛИЗАЦИЯ[[#This Row],[НАРХИ]]</f>
        <v>3712200</v>
      </c>
      <c r="I202" s="80">
        <v>23000</v>
      </c>
      <c r="J202" s="31">
        <f>РЕАЛИЗАЦИЯ[[#This Row],[СОНИ]]*РЕАЛИЗАЦИЯ[[#This Row],[ТАННАРХ]]</f>
        <v>3712200</v>
      </c>
      <c r="K202" s="31">
        <f>РЕАЛИЗАЦИЯ[[#This Row],[ЖАМИ]]-РЕАЛИЗАЦИЯ[[#This Row],[ЖАМИ2]]</f>
        <v>0</v>
      </c>
      <c r="L202" s="31"/>
    </row>
    <row r="203" spans="1:12" ht="15" customHeight="1" x14ac:dyDescent="0.3">
      <c r="A203" s="3">
        <v>46193</v>
      </c>
      <c r="B203" s="4" t="s">
        <v>923</v>
      </c>
      <c r="C203" s="334" t="s">
        <v>973</v>
      </c>
      <c r="D203" s="86" t="s">
        <v>7</v>
      </c>
      <c r="E203" s="31">
        <v>48</v>
      </c>
      <c r="F203" s="31">
        <v>23000</v>
      </c>
      <c r="G203" s="50">
        <f>РЕАЛИЗАЦИЯ[[#This Row],[СОНИ]]*РЕАЛИЗАЦИЯ[[#This Row],[НАРХИ]]</f>
        <v>1104000</v>
      </c>
      <c r="I203" s="80">
        <v>23000</v>
      </c>
      <c r="J203" s="31">
        <f>РЕАЛИЗАЦИЯ[[#This Row],[СОНИ]]*РЕАЛИЗАЦИЯ[[#This Row],[ТАННАРХ]]</f>
        <v>1104000</v>
      </c>
      <c r="K203" s="31">
        <f>РЕАЛИЗАЦИЯ[[#This Row],[ЖАМИ]]-РЕАЛИЗАЦИЯ[[#This Row],[ЖАМИ2]]</f>
        <v>0</v>
      </c>
      <c r="L203" s="31"/>
    </row>
    <row r="204" spans="1:12" ht="15" customHeight="1" x14ac:dyDescent="0.3">
      <c r="A204" s="3">
        <v>46193</v>
      </c>
      <c r="B204" s="4" t="s">
        <v>923</v>
      </c>
      <c r="C204" s="86" t="s">
        <v>43</v>
      </c>
      <c r="D204" s="86" t="s">
        <v>7</v>
      </c>
      <c r="E204" s="31">
        <v>50.6</v>
      </c>
      <c r="F204" s="31">
        <v>16000</v>
      </c>
      <c r="G204" s="50">
        <f>РЕАЛИЗАЦИЯ[[#This Row],[СОНИ]]*РЕАЛИЗАЦИЯ[[#This Row],[НАРХИ]]</f>
        <v>809600</v>
      </c>
      <c r="I204" s="57">
        <v>14000</v>
      </c>
      <c r="J204" s="31">
        <f>РЕАЛИЗАЦИЯ[[#This Row],[СОНИ]]*РЕАЛИЗАЦИЯ[[#This Row],[ТАННАРХ]]</f>
        <v>708400</v>
      </c>
      <c r="K204" s="31">
        <f>РЕАЛИЗАЦИЯ[[#This Row],[ЖАМИ]]-РЕАЛИЗАЦИЯ[[#This Row],[ЖАМИ2]]</f>
        <v>101200</v>
      </c>
      <c r="L204" s="31"/>
    </row>
    <row r="205" spans="1:12" ht="15" customHeight="1" x14ac:dyDescent="0.3">
      <c r="A205" s="3">
        <v>46193</v>
      </c>
      <c r="B205" s="4" t="s">
        <v>592</v>
      </c>
      <c r="C205" s="86" t="s">
        <v>590</v>
      </c>
      <c r="D205" s="86" t="s">
        <v>7</v>
      </c>
      <c r="E205" s="31">
        <v>218.7</v>
      </c>
      <c r="F205" s="31">
        <v>27000</v>
      </c>
      <c r="G205" s="50">
        <f>РЕАЛИЗАЦИЯ[[#This Row],[СОНИ]]*РЕАЛИЗАЦИЯ[[#This Row],[НАРХИ]]</f>
        <v>5904900</v>
      </c>
      <c r="I205" s="80">
        <v>26000</v>
      </c>
      <c r="J205" s="31">
        <f>РЕАЛИЗАЦИЯ[[#This Row],[СОНИ]]*РЕАЛИЗАЦИЯ[[#This Row],[ТАННАРХ]]</f>
        <v>5686200</v>
      </c>
      <c r="K205" s="31">
        <f>РЕАЛИЗАЦИЯ[[#This Row],[ЖАМИ]]-РЕАЛИЗАЦИЯ[[#This Row],[ЖАМИ2]]</f>
        <v>218700</v>
      </c>
      <c r="L205" s="31"/>
    </row>
    <row r="206" spans="1:12" ht="15" customHeight="1" x14ac:dyDescent="0.3">
      <c r="A206" s="3">
        <v>46175</v>
      </c>
      <c r="B206" s="4" t="s">
        <v>807</v>
      </c>
      <c r="C206" s="86" t="s">
        <v>43</v>
      </c>
      <c r="D206" s="86" t="s">
        <v>7</v>
      </c>
      <c r="E206" s="31">
        <v>3290.9</v>
      </c>
      <c r="F206" s="31">
        <v>14000</v>
      </c>
      <c r="G206" s="50">
        <f>РЕАЛИЗАЦИЯ[[#This Row],[СОНИ]]*РЕАЛИЗАЦИЯ[[#This Row],[НАРХИ]]</f>
        <v>46072600</v>
      </c>
      <c r="I206" s="57">
        <v>14000</v>
      </c>
      <c r="J206" s="31">
        <f>РЕАЛИЗАЦИЯ[[#This Row],[СОНИ]]*РЕАЛИЗАЦИЯ[[#This Row],[ТАННАРХ]]</f>
        <v>46072600</v>
      </c>
      <c r="K206" s="31">
        <f>РЕАЛИЗАЦИЯ[[#This Row],[ЖАМИ]]-РЕАЛИЗАЦИЯ[[#This Row],[ЖАМИ2]]</f>
        <v>0</v>
      </c>
      <c r="L206" s="31"/>
    </row>
    <row r="207" spans="1:12" ht="15" customHeight="1" x14ac:dyDescent="0.3">
      <c r="A207" s="3">
        <v>46194</v>
      </c>
      <c r="B207" s="4" t="s">
        <v>566</v>
      </c>
      <c r="C207" s="86" t="s">
        <v>904</v>
      </c>
      <c r="D207" s="86" t="s">
        <v>7</v>
      </c>
      <c r="E207" s="31">
        <v>144.80000000000001</v>
      </c>
      <c r="F207" s="31">
        <v>23000</v>
      </c>
      <c r="G207" s="50">
        <f>РЕАЛИЗАЦИЯ[[#This Row],[СОНИ]]*РЕАЛИЗАЦИЯ[[#This Row],[НАРХИ]]</f>
        <v>3330400.0000000005</v>
      </c>
      <c r="I207" s="57">
        <v>21000</v>
      </c>
      <c r="J207" s="31">
        <f>РЕАЛИЗАЦИЯ[[#This Row],[СОНИ]]*РЕАЛИЗАЦИЯ[[#This Row],[ТАННАРХ]]</f>
        <v>3040800.0000000005</v>
      </c>
      <c r="K207" s="31">
        <f>РЕАЛИЗАЦИЯ[[#This Row],[ЖАМИ]]-РЕАЛИЗАЦИЯ[[#This Row],[ЖАМИ2]]</f>
        <v>289600</v>
      </c>
      <c r="L207" s="31"/>
    </row>
    <row r="208" spans="1:12" ht="15" customHeight="1" x14ac:dyDescent="0.3">
      <c r="A208" s="3">
        <v>46194</v>
      </c>
      <c r="B208" s="4" t="s">
        <v>566</v>
      </c>
      <c r="C208" s="86" t="s">
        <v>43</v>
      </c>
      <c r="D208" s="86" t="s">
        <v>7</v>
      </c>
      <c r="E208" s="31">
        <v>49.5</v>
      </c>
      <c r="F208" s="31">
        <v>16000</v>
      </c>
      <c r="G208" s="50">
        <f>РЕАЛИЗАЦИЯ[[#This Row],[СОНИ]]*РЕАЛИЗАЦИЯ[[#This Row],[НАРХИ]]</f>
        <v>792000</v>
      </c>
      <c r="I208" s="57">
        <v>14000</v>
      </c>
      <c r="J208" s="31">
        <f>РЕАЛИЗАЦИЯ[[#This Row],[СОНИ]]*РЕАЛИЗАЦИЯ[[#This Row],[ТАННАРХ]]</f>
        <v>693000</v>
      </c>
      <c r="K208" s="31">
        <f>РЕАЛИЗАЦИЯ[[#This Row],[ЖАМИ]]-РЕАЛИЗАЦИЯ[[#This Row],[ЖАМИ2]]</f>
        <v>99000</v>
      </c>
      <c r="L208" s="31"/>
    </row>
    <row r="209" spans="1:12" ht="15" customHeight="1" x14ac:dyDescent="0.3">
      <c r="A209" s="3">
        <v>46194</v>
      </c>
      <c r="B209" s="4" t="s">
        <v>319</v>
      </c>
      <c r="C209" s="86" t="s">
        <v>904</v>
      </c>
      <c r="D209" s="86" t="s">
        <v>7</v>
      </c>
      <c r="E209" s="31">
        <v>119.7</v>
      </c>
      <c r="F209" s="31">
        <v>24000</v>
      </c>
      <c r="G209" s="50">
        <f>РЕАЛИЗАЦИЯ[[#This Row],[СОНИ]]*РЕАЛИЗАЦИЯ[[#This Row],[НАРХИ]]</f>
        <v>2872800</v>
      </c>
      <c r="I209" s="57">
        <v>21000</v>
      </c>
      <c r="J209" s="31">
        <f>РЕАЛИЗАЦИЯ[[#This Row],[СОНИ]]*РЕАЛИЗАЦИЯ[[#This Row],[ТАННАРХ]]</f>
        <v>2513700</v>
      </c>
      <c r="K209" s="31">
        <f>РЕАЛИЗАЦИЯ[[#This Row],[ЖАМИ]]-РЕАЛИЗАЦИЯ[[#This Row],[ЖАМИ2]]</f>
        <v>359100</v>
      </c>
      <c r="L209" s="31"/>
    </row>
    <row r="210" spans="1:12" ht="15" customHeight="1" x14ac:dyDescent="0.3">
      <c r="A210" s="3">
        <v>46194</v>
      </c>
      <c r="B210" s="4" t="s">
        <v>464</v>
      </c>
      <c r="C210" s="291" t="s">
        <v>904</v>
      </c>
      <c r="D210" s="86" t="s">
        <v>7</v>
      </c>
      <c r="E210" s="31">
        <v>51.7</v>
      </c>
      <c r="F210" s="31">
        <v>23000</v>
      </c>
      <c r="G210" s="50">
        <f>РЕАЛИЗАЦИЯ[[#This Row],[СОНИ]]*РЕАЛИЗАЦИЯ[[#This Row],[НАРХИ]]</f>
        <v>1189100</v>
      </c>
      <c r="I210" s="57">
        <v>21000</v>
      </c>
      <c r="J210" s="31">
        <f>РЕАЛИЗАЦИЯ[[#This Row],[СОНИ]]*РЕАЛИЗАЦИЯ[[#This Row],[ТАННАРХ]]</f>
        <v>1085700</v>
      </c>
      <c r="K210" s="31">
        <f>РЕАЛИЗАЦИЯ[[#This Row],[ЖАМИ]]-РЕАЛИЗАЦИЯ[[#This Row],[ЖАМИ2]]</f>
        <v>103400</v>
      </c>
      <c r="L210" s="31"/>
    </row>
    <row r="211" spans="1:12" ht="15" customHeight="1" x14ac:dyDescent="0.3">
      <c r="A211" s="3">
        <v>46194</v>
      </c>
      <c r="B211" s="4" t="s">
        <v>720</v>
      </c>
      <c r="C211" s="291" t="s">
        <v>904</v>
      </c>
      <c r="D211" s="86" t="s">
        <v>7</v>
      </c>
      <c r="E211" s="31">
        <v>48.6</v>
      </c>
      <c r="F211" s="31">
        <v>23000</v>
      </c>
      <c r="G211" s="50">
        <f>РЕАЛИЗАЦИЯ[[#This Row],[СОНИ]]*РЕАЛИЗАЦИЯ[[#This Row],[НАРХИ]]</f>
        <v>1117800</v>
      </c>
      <c r="I211" s="57">
        <v>21000</v>
      </c>
      <c r="J211" s="31">
        <f>РЕАЛИЗАЦИЯ[[#This Row],[СОНИ]]*РЕАЛИЗАЦИЯ[[#This Row],[ТАННАРХ]]</f>
        <v>1020600</v>
      </c>
      <c r="K211" s="31">
        <f>РЕАЛИЗАЦИЯ[[#This Row],[ЖАМИ]]-РЕАЛИЗАЦИЯ[[#This Row],[ЖАМИ2]]</f>
        <v>97200</v>
      </c>
      <c r="L211" s="31"/>
    </row>
    <row r="212" spans="1:12" ht="15" customHeight="1" x14ac:dyDescent="0.3">
      <c r="A212" s="3">
        <v>46194</v>
      </c>
      <c r="B212" s="4" t="s">
        <v>672</v>
      </c>
      <c r="C212" s="291" t="s">
        <v>904</v>
      </c>
      <c r="D212" s="86" t="s">
        <v>7</v>
      </c>
      <c r="E212" s="31">
        <v>47.8</v>
      </c>
      <c r="F212" s="31">
        <v>23000</v>
      </c>
      <c r="G212" s="50">
        <f>РЕАЛИЗАЦИЯ[[#This Row],[СОНИ]]*РЕАЛИЗАЦИЯ[[#This Row],[НАРХИ]]</f>
        <v>1099400</v>
      </c>
      <c r="I212" s="57">
        <v>21000</v>
      </c>
      <c r="J212" s="31">
        <f>РЕАЛИЗАЦИЯ[[#This Row],[СОНИ]]*РЕАЛИЗАЦИЯ[[#This Row],[ТАННАРХ]]</f>
        <v>1003799.9999999999</v>
      </c>
      <c r="K212" s="31">
        <f>РЕАЛИЗАЦИЯ[[#This Row],[ЖАМИ]]-РЕАЛИЗАЦИЯ[[#This Row],[ЖАМИ2]]</f>
        <v>95600.000000000116</v>
      </c>
      <c r="L212" s="31"/>
    </row>
    <row r="213" spans="1:12" ht="15" customHeight="1" x14ac:dyDescent="0.3">
      <c r="A213" s="3">
        <v>46195</v>
      </c>
      <c r="B213" s="4" t="s">
        <v>491</v>
      </c>
      <c r="C213" s="86" t="s">
        <v>43</v>
      </c>
      <c r="D213" s="86" t="s">
        <v>7</v>
      </c>
      <c r="E213" s="31">
        <v>51.6</v>
      </c>
      <c r="F213" s="31">
        <v>16000</v>
      </c>
      <c r="G213" s="50">
        <f>РЕАЛИЗАЦИЯ[[#This Row],[СОНИ]]*РЕАЛИЗАЦИЯ[[#This Row],[НАРХИ]]</f>
        <v>825600</v>
      </c>
      <c r="I213" s="57">
        <v>14000</v>
      </c>
      <c r="J213" s="31">
        <f>РЕАЛИЗАЦИЯ[[#This Row],[СОНИ]]*РЕАЛИЗАЦИЯ[[#This Row],[ТАННАРХ]]</f>
        <v>722400</v>
      </c>
      <c r="K213" s="31">
        <f>РЕАЛИЗАЦИЯ[[#This Row],[ЖАМИ]]-РЕАЛИЗАЦИЯ[[#This Row],[ЖАМИ2]]</f>
        <v>103200</v>
      </c>
      <c r="L213" s="31"/>
    </row>
    <row r="214" spans="1:12" ht="15" customHeight="1" x14ac:dyDescent="0.3">
      <c r="A214" s="3">
        <v>46195</v>
      </c>
      <c r="B214" s="4" t="s">
        <v>877</v>
      </c>
      <c r="C214" s="86" t="s">
        <v>904</v>
      </c>
      <c r="D214" s="86" t="s">
        <v>7</v>
      </c>
      <c r="E214" s="31">
        <v>98.5</v>
      </c>
      <c r="F214" s="31">
        <v>23000</v>
      </c>
      <c r="G214" s="50">
        <f>РЕАЛИЗАЦИЯ[[#This Row],[СОНИ]]*РЕАЛИЗАЦИЯ[[#This Row],[НАРХИ]]</f>
        <v>2265500</v>
      </c>
      <c r="I214" s="57">
        <v>21000</v>
      </c>
      <c r="J214" s="31">
        <f>РЕАЛИЗАЦИЯ[[#This Row],[СОНИ]]*РЕАЛИЗАЦИЯ[[#This Row],[ТАННАРХ]]</f>
        <v>2068500</v>
      </c>
      <c r="K214" s="31">
        <f>РЕАЛИЗАЦИЯ[[#This Row],[ЖАМИ]]-РЕАЛИЗАЦИЯ[[#This Row],[ЖАМИ2]]</f>
        <v>197000</v>
      </c>
      <c r="L214" s="31"/>
    </row>
    <row r="215" spans="1:12" ht="15" customHeight="1" x14ac:dyDescent="0.3">
      <c r="A215" s="3">
        <v>46195</v>
      </c>
      <c r="B215" s="4" t="s">
        <v>377</v>
      </c>
      <c r="C215" s="86" t="s">
        <v>43</v>
      </c>
      <c r="D215" s="86" t="s">
        <v>7</v>
      </c>
      <c r="E215" s="31">
        <v>49.4</v>
      </c>
      <c r="F215" s="31">
        <v>16000</v>
      </c>
      <c r="G215" s="50">
        <f>РЕАЛИЗАЦИЯ[[#This Row],[СОНИ]]*РЕАЛИЗАЦИЯ[[#This Row],[НАРХИ]]</f>
        <v>790400</v>
      </c>
      <c r="I215" s="57">
        <v>14000</v>
      </c>
      <c r="J215" s="31">
        <f>РЕАЛИЗАЦИЯ[[#This Row],[СОНИ]]*РЕАЛИЗАЦИЯ[[#This Row],[ТАННАРХ]]</f>
        <v>691600</v>
      </c>
      <c r="K215" s="31">
        <f>РЕАЛИЗАЦИЯ[[#This Row],[ЖАМИ]]-РЕАЛИЗАЦИЯ[[#This Row],[ЖАМИ2]]</f>
        <v>98800</v>
      </c>
      <c r="L215" s="31"/>
    </row>
    <row r="216" spans="1:12" ht="15" customHeight="1" x14ac:dyDescent="0.3">
      <c r="A216" s="3">
        <v>46195</v>
      </c>
      <c r="B216" s="4" t="s">
        <v>377</v>
      </c>
      <c r="C216" s="86" t="s">
        <v>904</v>
      </c>
      <c r="D216" s="86" t="s">
        <v>7</v>
      </c>
      <c r="E216" s="31">
        <v>46.2</v>
      </c>
      <c r="F216" s="31">
        <v>23000</v>
      </c>
      <c r="G216" s="50">
        <f>РЕАЛИЗАЦИЯ[[#This Row],[СОНИ]]*РЕАЛИЗАЦИЯ[[#This Row],[НАРХИ]]</f>
        <v>1062600</v>
      </c>
      <c r="I216" s="57">
        <v>21000</v>
      </c>
      <c r="J216" s="31">
        <f>РЕАЛИЗАЦИЯ[[#This Row],[СОНИ]]*РЕАЛИЗАЦИЯ[[#This Row],[ТАННАРХ]]</f>
        <v>970200.00000000012</v>
      </c>
      <c r="K216" s="31">
        <f>РЕАЛИЗАЦИЯ[[#This Row],[ЖАМИ]]-РЕАЛИЗАЦИЯ[[#This Row],[ЖАМИ2]]</f>
        <v>92399.999999999884</v>
      </c>
      <c r="L216" s="31"/>
    </row>
    <row r="217" spans="1:12" ht="15" customHeight="1" x14ac:dyDescent="0.3">
      <c r="A217" s="3">
        <v>46195</v>
      </c>
      <c r="B217" s="4" t="s">
        <v>510</v>
      </c>
      <c r="C217" s="293" t="s">
        <v>904</v>
      </c>
      <c r="D217" s="293" t="s">
        <v>7</v>
      </c>
      <c r="E217" s="31">
        <v>54.9</v>
      </c>
      <c r="F217" s="31">
        <v>22500</v>
      </c>
      <c r="G217" s="50">
        <f>РЕАЛИЗАЦИЯ[[#This Row],[СОНИ]]*РЕАЛИЗАЦИЯ[[#This Row],[НАРХИ]]</f>
        <v>1235250</v>
      </c>
      <c r="I217" s="57">
        <v>21000</v>
      </c>
      <c r="J217" s="31">
        <f>РЕАЛИЗАЦИЯ[[#This Row],[СОНИ]]*РЕАЛИЗАЦИЯ[[#This Row],[ТАННАРХ]]</f>
        <v>1152900</v>
      </c>
      <c r="K217" s="31">
        <f>РЕАЛИЗАЦИЯ[[#This Row],[ЖАМИ]]-РЕАЛИЗАЦИЯ[[#This Row],[ЖАМИ2]]</f>
        <v>82350</v>
      </c>
      <c r="L217" s="31"/>
    </row>
    <row r="218" spans="1:12" s="303" customFormat="1" ht="15" customHeight="1" x14ac:dyDescent="0.3">
      <c r="A218" s="3">
        <v>46195</v>
      </c>
      <c r="B218" s="4" t="s">
        <v>1001</v>
      </c>
      <c r="C218" s="299" t="s">
        <v>43</v>
      </c>
      <c r="D218" s="299" t="s">
        <v>7</v>
      </c>
      <c r="E218" s="31">
        <v>50.8</v>
      </c>
      <c r="F218" s="31">
        <v>16000</v>
      </c>
      <c r="G218" s="50">
        <f>РЕАЛИЗАЦИЯ[[#This Row],[СОНИ]]*РЕАЛИЗАЦИЯ[[#This Row],[НАРХИ]]</f>
        <v>812800</v>
      </c>
      <c r="H218" s="31"/>
      <c r="I218" s="57">
        <v>14000</v>
      </c>
      <c r="J218" s="31">
        <f>РЕАЛИЗАЦИЯ[[#This Row],[СОНИ]]*РЕАЛИЗАЦИЯ[[#This Row],[ТАННАРХ]]</f>
        <v>711200</v>
      </c>
      <c r="K218" s="31">
        <f>РЕАЛИЗАЦИЯ[[#This Row],[ЖАМИ]]-РЕАЛИЗАЦИЯ[[#This Row],[ЖАМИ2]]</f>
        <v>101600</v>
      </c>
      <c r="L218" s="31"/>
    </row>
    <row r="219" spans="1:12" ht="15" customHeight="1" x14ac:dyDescent="0.3">
      <c r="A219" s="3">
        <v>46195</v>
      </c>
      <c r="B219" s="4" t="s">
        <v>924</v>
      </c>
      <c r="C219" s="293" t="s">
        <v>605</v>
      </c>
      <c r="D219" s="293" t="s">
        <v>7</v>
      </c>
      <c r="E219" s="31">
        <v>18</v>
      </c>
      <c r="F219" s="31">
        <v>24000</v>
      </c>
      <c r="G219" s="50">
        <f>РЕАЛИЗАЦИЯ[[#This Row],[СОНИ]]*РЕАЛИЗАЦИЯ[[#This Row],[НАРХИ]]</f>
        <v>432000</v>
      </c>
      <c r="I219" s="57">
        <v>22000</v>
      </c>
      <c r="J219" s="31">
        <f>РЕАЛИЗАЦИЯ[[#This Row],[СОНИ]]*РЕАЛИЗАЦИЯ[[#This Row],[ТАННАРХ]]</f>
        <v>396000</v>
      </c>
      <c r="K219" s="31">
        <f>РЕАЛИЗАЦИЯ[[#This Row],[ЖАМИ]]-РЕАЛИЗАЦИЯ[[#This Row],[ЖАМИ2]]</f>
        <v>36000</v>
      </c>
      <c r="L219" s="31"/>
    </row>
    <row r="220" spans="1:12" ht="15" customHeight="1" x14ac:dyDescent="0.3">
      <c r="A220" s="3">
        <v>46195</v>
      </c>
      <c r="B220" s="4" t="s">
        <v>557</v>
      </c>
      <c r="C220" s="86" t="s">
        <v>904</v>
      </c>
      <c r="D220" s="86" t="s">
        <v>7</v>
      </c>
      <c r="E220" s="31">
        <v>439.5</v>
      </c>
      <c r="F220" s="31">
        <v>23000</v>
      </c>
      <c r="G220" s="50">
        <f>РЕАЛИЗАЦИЯ[[#This Row],[СОНИ]]*РЕАЛИЗАЦИЯ[[#This Row],[НАРХИ]]</f>
        <v>10108500</v>
      </c>
      <c r="I220" s="57">
        <v>21000</v>
      </c>
      <c r="J220" s="31">
        <f>РЕАЛИЗАЦИЯ[[#This Row],[СОНИ]]*РЕАЛИЗАЦИЯ[[#This Row],[ТАННАРХ]]</f>
        <v>9229500</v>
      </c>
      <c r="K220" s="31">
        <f>РЕАЛИЗАЦИЯ[[#This Row],[ЖАМИ]]-РЕАЛИЗАЦИЯ[[#This Row],[ЖАМИ2]]</f>
        <v>879000</v>
      </c>
      <c r="L220" s="31"/>
    </row>
    <row r="221" spans="1:12" s="294" customFormat="1" ht="15" customHeight="1" x14ac:dyDescent="0.3">
      <c r="A221" s="3">
        <v>46195</v>
      </c>
      <c r="B221" s="4" t="s">
        <v>552</v>
      </c>
      <c r="C221" s="294" t="s">
        <v>593</v>
      </c>
      <c r="D221" s="294" t="s">
        <v>7</v>
      </c>
      <c r="E221" s="31">
        <v>1642.4</v>
      </c>
      <c r="F221" s="31">
        <v>30000</v>
      </c>
      <c r="G221" s="50">
        <f>РЕАЛИЗАЦИЯ[[#This Row],[СОНИ]]*РЕАЛИЗАЦИЯ[[#This Row],[НАРХИ]]</f>
        <v>49272000</v>
      </c>
      <c r="H221" s="31"/>
      <c r="I221" s="288">
        <v>25000</v>
      </c>
      <c r="J221" s="31">
        <f>РЕАЛИЗАЦИЯ[[#This Row],[СОНИ]]*РЕАЛИЗАЦИЯ[[#This Row],[ТАННАРХ]]</f>
        <v>41060000</v>
      </c>
      <c r="K221" s="31">
        <f>РЕАЛИЗАЦИЯ[[#This Row],[ЖАМИ]]-РЕАЛИЗАЦИЯ[[#This Row],[ЖАМИ2]]</f>
        <v>8212000</v>
      </c>
      <c r="L221" s="31"/>
    </row>
    <row r="222" spans="1:12" ht="15" customHeight="1" x14ac:dyDescent="0.3">
      <c r="A222" s="3">
        <v>46195</v>
      </c>
      <c r="B222" s="4" t="s">
        <v>737</v>
      </c>
      <c r="C222" s="86" t="s">
        <v>904</v>
      </c>
      <c r="D222" s="86" t="s">
        <v>7</v>
      </c>
      <c r="E222" s="31">
        <v>484.5</v>
      </c>
      <c r="F222" s="31">
        <v>23000</v>
      </c>
      <c r="G222" s="50">
        <f>РЕАЛИЗАЦИЯ[[#This Row],[СОНИ]]*РЕАЛИЗАЦИЯ[[#This Row],[НАРХИ]]</f>
        <v>11143500</v>
      </c>
      <c r="I222" s="57">
        <v>21000</v>
      </c>
      <c r="J222" s="31">
        <f>РЕАЛИЗАЦИЯ[[#This Row],[СОНИ]]*РЕАЛИЗАЦИЯ[[#This Row],[ТАННАРХ]]</f>
        <v>10174500</v>
      </c>
      <c r="K222" s="31">
        <f>РЕАЛИЗАЦИЯ[[#This Row],[ЖАМИ]]-РЕАЛИЗАЦИЯ[[#This Row],[ЖАМИ2]]</f>
        <v>969000</v>
      </c>
      <c r="L222" s="31"/>
    </row>
    <row r="223" spans="1:12" ht="15" customHeight="1" x14ac:dyDescent="0.3">
      <c r="A223" s="3">
        <v>46196</v>
      </c>
      <c r="B223" s="4" t="s">
        <v>89</v>
      </c>
      <c r="C223" s="86" t="s">
        <v>904</v>
      </c>
      <c r="D223" s="86" t="s">
        <v>7</v>
      </c>
      <c r="E223" s="31">
        <v>90.5</v>
      </c>
      <c r="F223" s="31">
        <v>22000</v>
      </c>
      <c r="G223" s="50">
        <f>РЕАЛИЗАЦИЯ[[#This Row],[СОНИ]]*РЕАЛИЗАЦИЯ[[#This Row],[НАРХИ]]</f>
        <v>1991000</v>
      </c>
      <c r="I223" s="57">
        <v>21000</v>
      </c>
      <c r="J223" s="31">
        <f>РЕАЛИЗАЦИЯ[[#This Row],[СОНИ]]*РЕАЛИЗАЦИЯ[[#This Row],[ТАННАРХ]]</f>
        <v>1900500</v>
      </c>
      <c r="K223" s="31">
        <f>РЕАЛИЗАЦИЯ[[#This Row],[ЖАМИ]]-РЕАЛИЗАЦИЯ[[#This Row],[ЖАМИ2]]</f>
        <v>90500</v>
      </c>
      <c r="L223" s="31"/>
    </row>
    <row r="224" spans="1:12" ht="15" customHeight="1" x14ac:dyDescent="0.3">
      <c r="A224" s="3">
        <v>46196</v>
      </c>
      <c r="B224" s="4" t="s">
        <v>206</v>
      </c>
      <c r="C224" s="86" t="s">
        <v>904</v>
      </c>
      <c r="D224" s="86" t="s">
        <v>7</v>
      </c>
      <c r="E224" s="31">
        <v>63.1</v>
      </c>
      <c r="F224" s="31">
        <v>23000</v>
      </c>
      <c r="G224" s="50">
        <f>РЕАЛИЗАЦИЯ[[#This Row],[СОНИ]]*РЕАЛИЗАЦИЯ[[#This Row],[НАРХИ]]</f>
        <v>1451300</v>
      </c>
      <c r="I224" s="57">
        <v>21000</v>
      </c>
      <c r="J224" s="31">
        <f>РЕАЛИЗАЦИЯ[[#This Row],[СОНИ]]*РЕАЛИЗАЦИЯ[[#This Row],[ТАННАРХ]]</f>
        <v>1325100</v>
      </c>
      <c r="K224" s="31">
        <f>РЕАЛИЗАЦИЯ[[#This Row],[ЖАМИ]]-РЕАЛИЗАЦИЯ[[#This Row],[ЖАМИ2]]</f>
        <v>126200</v>
      </c>
      <c r="L224" s="31"/>
    </row>
    <row r="225" spans="1:12" ht="15" customHeight="1" x14ac:dyDescent="0.3">
      <c r="A225" s="3">
        <v>46196</v>
      </c>
      <c r="B225" s="4" t="s">
        <v>329</v>
      </c>
      <c r="C225" s="86" t="s">
        <v>904</v>
      </c>
      <c r="D225" s="86" t="s">
        <v>7</v>
      </c>
      <c r="E225" s="31">
        <v>46.7</v>
      </c>
      <c r="F225" s="31">
        <v>23000</v>
      </c>
      <c r="G225" s="50">
        <f>РЕАЛИЗАЦИЯ[[#This Row],[СОНИ]]*РЕАЛИЗАЦИЯ[[#This Row],[НАРХИ]]</f>
        <v>1074100</v>
      </c>
      <c r="I225" s="57">
        <v>21000</v>
      </c>
      <c r="J225" s="31">
        <f>РЕАЛИЗАЦИЯ[[#This Row],[СОНИ]]*РЕАЛИЗАЦИЯ[[#This Row],[ТАННАРХ]]</f>
        <v>980700.00000000012</v>
      </c>
      <c r="K225" s="31">
        <f>РЕАЛИЗАЦИЯ[[#This Row],[ЖАМИ]]-РЕАЛИЗАЦИЯ[[#This Row],[ЖАМИ2]]</f>
        <v>93399.999999999884</v>
      </c>
      <c r="L225" s="31"/>
    </row>
    <row r="226" spans="1:12" ht="15" customHeight="1" x14ac:dyDescent="0.3">
      <c r="A226" s="3">
        <v>46197</v>
      </c>
      <c r="B226" s="292" t="s">
        <v>886</v>
      </c>
      <c r="C226" s="86" t="s">
        <v>605</v>
      </c>
      <c r="D226" s="86" t="s">
        <v>7</v>
      </c>
      <c r="E226" s="31">
        <v>170.7</v>
      </c>
      <c r="F226" s="31">
        <v>25000</v>
      </c>
      <c r="G226" s="50">
        <f>РЕАЛИЗАЦИЯ[[#This Row],[СОНИ]]*РЕАЛИЗАЦИЯ[[#This Row],[НАРХИ]]</f>
        <v>4267500</v>
      </c>
      <c r="I226" s="57">
        <v>22000</v>
      </c>
      <c r="J226" s="31">
        <f>РЕАЛИЗАЦИЯ[[#This Row],[СОНИ]]*РЕАЛИЗАЦИЯ[[#This Row],[ТАННАРХ]]</f>
        <v>3755399.9999999995</v>
      </c>
      <c r="K226" s="31">
        <f>РЕАЛИЗАЦИЯ[[#This Row],[ЖАМИ]]-РЕАЛИЗАЦИЯ[[#This Row],[ЖАМИ2]]</f>
        <v>512100.00000000047</v>
      </c>
      <c r="L226" s="31"/>
    </row>
    <row r="227" spans="1:12" s="293" customFormat="1" ht="15" customHeight="1" x14ac:dyDescent="0.3">
      <c r="A227" s="3">
        <v>46197</v>
      </c>
      <c r="B227" s="4" t="s">
        <v>236</v>
      </c>
      <c r="C227" s="293" t="s">
        <v>904</v>
      </c>
      <c r="D227" s="293" t="s">
        <v>7</v>
      </c>
      <c r="E227" s="31">
        <v>97.9</v>
      </c>
      <c r="F227" s="31">
        <v>23000</v>
      </c>
      <c r="G227" s="50">
        <f>РЕАЛИЗАЦИЯ[[#This Row],[СОНИ]]*РЕАЛИЗАЦИЯ[[#This Row],[НАРХИ]]</f>
        <v>2251700</v>
      </c>
      <c r="H227" s="31"/>
      <c r="I227" s="57">
        <v>21000</v>
      </c>
      <c r="J227" s="31">
        <f>РЕАЛИЗАЦИЯ[[#This Row],[СОНИ]]*РЕАЛИЗАЦИЯ[[#This Row],[ТАННАРХ]]</f>
        <v>2055900.0000000002</v>
      </c>
      <c r="K227" s="31">
        <f>РЕАЛИЗАЦИЯ[[#This Row],[ЖАМИ]]-РЕАЛИЗАЦИЯ[[#This Row],[ЖАМИ2]]</f>
        <v>195799.99999999977</v>
      </c>
      <c r="L227" s="31"/>
    </row>
    <row r="228" spans="1:12" ht="15" customHeight="1" x14ac:dyDescent="0.3">
      <c r="A228" s="3">
        <v>46197</v>
      </c>
      <c r="B228" s="4" t="s">
        <v>207</v>
      </c>
      <c r="C228" s="86" t="s">
        <v>904</v>
      </c>
      <c r="D228" s="86" t="s">
        <v>7</v>
      </c>
      <c r="E228" s="31">
        <v>95.9</v>
      </c>
      <c r="F228" s="31">
        <v>23000</v>
      </c>
      <c r="G228" s="50">
        <f>РЕАЛИЗАЦИЯ[[#This Row],[СОНИ]]*РЕАЛИЗАЦИЯ[[#This Row],[НАРХИ]]</f>
        <v>2205700</v>
      </c>
      <c r="I228" s="57">
        <v>21000</v>
      </c>
      <c r="J228" s="31">
        <f>РЕАЛИЗАЦИЯ[[#This Row],[СОНИ]]*РЕАЛИЗАЦИЯ[[#This Row],[ТАННАРХ]]</f>
        <v>2013900.0000000002</v>
      </c>
      <c r="K228" s="31">
        <f>РЕАЛИЗАЦИЯ[[#This Row],[ЖАМИ]]-РЕАЛИЗАЦИЯ[[#This Row],[ЖАМИ2]]</f>
        <v>191799.99999999977</v>
      </c>
      <c r="L228" s="31"/>
    </row>
    <row r="229" spans="1:12" ht="15" customHeight="1" x14ac:dyDescent="0.3">
      <c r="A229" s="3">
        <v>46197</v>
      </c>
      <c r="B229" s="4" t="s">
        <v>503</v>
      </c>
      <c r="C229" s="86" t="s">
        <v>904</v>
      </c>
      <c r="D229" s="86" t="s">
        <v>7</v>
      </c>
      <c r="E229" s="31">
        <v>418.8</v>
      </c>
      <c r="F229" s="31">
        <v>25000</v>
      </c>
      <c r="G229" s="50">
        <f>РЕАЛИЗАЦИЯ[[#This Row],[СОНИ]]*РЕАЛИЗАЦИЯ[[#This Row],[НАРХИ]]</f>
        <v>10470000</v>
      </c>
      <c r="I229" s="57">
        <v>21000</v>
      </c>
      <c r="J229" s="31">
        <f>РЕАЛИЗАЦИЯ[[#This Row],[СОНИ]]*РЕАЛИЗАЦИЯ[[#This Row],[ТАННАРХ]]</f>
        <v>8794800</v>
      </c>
      <c r="K229" s="31">
        <f>РЕАЛИЗАЦИЯ[[#This Row],[ЖАМИ]]-РЕАЛИЗАЦИЯ[[#This Row],[ЖАМИ2]]</f>
        <v>1675200</v>
      </c>
      <c r="L229" s="31"/>
    </row>
    <row r="230" spans="1:12" ht="15" customHeight="1" x14ac:dyDescent="0.3">
      <c r="A230" s="3">
        <v>46197</v>
      </c>
      <c r="B230" s="4" t="s">
        <v>830</v>
      </c>
      <c r="C230" s="86" t="s">
        <v>904</v>
      </c>
      <c r="D230" s="86" t="s">
        <v>7</v>
      </c>
      <c r="E230" s="31">
        <v>96.7</v>
      </c>
      <c r="F230" s="31">
        <v>23000</v>
      </c>
      <c r="G230" s="50">
        <f>РЕАЛИЗАЦИЯ[[#This Row],[СОНИ]]*РЕАЛИЗАЦИЯ[[#This Row],[НАРХИ]]</f>
        <v>2224100</v>
      </c>
      <c r="I230" s="57">
        <v>21000</v>
      </c>
      <c r="J230" s="31">
        <f>РЕАЛИЗАЦИЯ[[#This Row],[СОНИ]]*РЕАЛИЗАЦИЯ[[#This Row],[ТАННАРХ]]</f>
        <v>2030700</v>
      </c>
      <c r="K230" s="31">
        <f>РЕАЛИЗАЦИЯ[[#This Row],[ЖАМИ]]-РЕАЛИЗАЦИЯ[[#This Row],[ЖАМИ2]]</f>
        <v>193400</v>
      </c>
      <c r="L230" s="31"/>
    </row>
    <row r="231" spans="1:12" ht="15" customHeight="1" x14ac:dyDescent="0.3">
      <c r="A231" s="3">
        <v>46197</v>
      </c>
      <c r="B231" s="4" t="s">
        <v>364</v>
      </c>
      <c r="C231" s="87" t="s">
        <v>43</v>
      </c>
      <c r="D231" s="87" t="s">
        <v>7</v>
      </c>
      <c r="E231" s="31">
        <v>52.1</v>
      </c>
      <c r="F231" s="31">
        <v>16000</v>
      </c>
      <c r="G231" s="50">
        <f>РЕАЛИЗАЦИЯ[[#This Row],[СОНИ]]*РЕАЛИЗАЦИЯ[[#This Row],[НАРХИ]]</f>
        <v>833600</v>
      </c>
      <c r="I231" s="57">
        <v>14000</v>
      </c>
      <c r="J231" s="31">
        <f>РЕАЛИЗАЦИЯ[[#This Row],[СОНИ]]*РЕАЛИЗАЦИЯ[[#This Row],[ТАННАРХ]]</f>
        <v>729400</v>
      </c>
      <c r="K231" s="31">
        <f>РЕАЛИЗАЦИЯ[[#This Row],[ЖАМИ]]-РЕАЛИЗАЦИЯ[[#This Row],[ЖАМИ2]]</f>
        <v>104200</v>
      </c>
      <c r="L231" s="31"/>
    </row>
    <row r="232" spans="1:12" ht="15" customHeight="1" x14ac:dyDescent="0.3">
      <c r="A232" s="3">
        <v>46197</v>
      </c>
      <c r="B232" s="4" t="s">
        <v>1001</v>
      </c>
      <c r="C232" s="87" t="s">
        <v>43</v>
      </c>
      <c r="D232" s="87" t="s">
        <v>7</v>
      </c>
      <c r="E232" s="31">
        <v>99.8</v>
      </c>
      <c r="F232" s="31">
        <v>16000</v>
      </c>
      <c r="G232" s="50">
        <f>РЕАЛИЗАЦИЯ[[#This Row],[СОНИ]]*РЕАЛИЗАЦИЯ[[#This Row],[НАРХИ]]</f>
        <v>1596800</v>
      </c>
      <c r="I232" s="57">
        <v>14000</v>
      </c>
      <c r="J232" s="31">
        <f>РЕАЛИЗАЦИЯ[[#This Row],[СОНИ]]*РЕАЛИЗАЦИЯ[[#This Row],[ТАННАРХ]]</f>
        <v>1397200</v>
      </c>
      <c r="K232" s="31">
        <f>РЕАЛИЗАЦИЯ[[#This Row],[ЖАМИ]]-РЕАЛИЗАЦИЯ[[#This Row],[ЖАМИ2]]</f>
        <v>199600</v>
      </c>
      <c r="L232" s="31"/>
    </row>
    <row r="233" spans="1:12" s="294" customFormat="1" ht="15" customHeight="1" x14ac:dyDescent="0.3">
      <c r="A233" s="3">
        <v>46197</v>
      </c>
      <c r="B233" s="4" t="s">
        <v>552</v>
      </c>
      <c r="C233" s="294" t="s">
        <v>593</v>
      </c>
      <c r="D233" s="294" t="s">
        <v>7</v>
      </c>
      <c r="E233" s="31">
        <v>1221.4000000000001</v>
      </c>
      <c r="F233" s="31">
        <v>30000</v>
      </c>
      <c r="G233" s="50">
        <f>РЕАЛИЗАЦИЯ[[#This Row],[СОНИ]]*РЕАЛИЗАЦИЯ[[#This Row],[НАРХИ]]</f>
        <v>36642000</v>
      </c>
      <c r="H233" s="31"/>
      <c r="I233" s="288">
        <v>25000</v>
      </c>
      <c r="J233" s="31">
        <f>РЕАЛИЗАЦИЯ[[#This Row],[СОНИ]]*РЕАЛИЗАЦИЯ[[#This Row],[ТАННАРХ]]</f>
        <v>30535000.000000004</v>
      </c>
      <c r="K233" s="31">
        <f>РЕАЛИЗАЦИЯ[[#This Row],[ЖАМИ]]-РЕАЛИЗАЦИЯ[[#This Row],[ЖАМИ2]]</f>
        <v>6106999.9999999963</v>
      </c>
      <c r="L233" s="31"/>
    </row>
    <row r="234" spans="1:12" s="294" customFormat="1" ht="15" customHeight="1" x14ac:dyDescent="0.3">
      <c r="A234" s="3">
        <v>46197</v>
      </c>
      <c r="B234" s="4" t="s">
        <v>552</v>
      </c>
      <c r="C234" s="294" t="s">
        <v>593</v>
      </c>
      <c r="D234" s="294" t="s">
        <v>7</v>
      </c>
      <c r="E234" s="31">
        <v>2014.6</v>
      </c>
      <c r="F234" s="31">
        <v>30000</v>
      </c>
      <c r="G234" s="50">
        <f>РЕАЛИЗАЦИЯ[[#This Row],[СОНИ]]*РЕАЛИЗАЦИЯ[[#This Row],[НАРХИ]]</f>
        <v>60438000</v>
      </c>
      <c r="H234" s="31"/>
      <c r="I234" s="288">
        <v>25000</v>
      </c>
      <c r="J234" s="31">
        <f>РЕАЛИЗАЦИЯ[[#This Row],[СОНИ]]*РЕАЛИЗАЦИЯ[[#This Row],[ТАННАРХ]]</f>
        <v>50365000</v>
      </c>
      <c r="K234" s="31">
        <f>РЕАЛИЗАЦИЯ[[#This Row],[ЖАМИ]]-РЕАЛИЗАЦИЯ[[#This Row],[ЖАМИ2]]</f>
        <v>10073000</v>
      </c>
      <c r="L234" s="31"/>
    </row>
    <row r="235" spans="1:12" ht="15" customHeight="1" x14ac:dyDescent="0.3">
      <c r="A235" s="3">
        <v>46197</v>
      </c>
      <c r="B235" s="4" t="s">
        <v>142</v>
      </c>
      <c r="C235" s="87" t="s">
        <v>43</v>
      </c>
      <c r="D235" s="87" t="s">
        <v>7</v>
      </c>
      <c r="E235" s="31">
        <v>47.7</v>
      </c>
      <c r="F235" s="31">
        <v>16000</v>
      </c>
      <c r="G235" s="50">
        <f>РЕАЛИЗАЦИЯ[[#This Row],[СОНИ]]*РЕАЛИЗАЦИЯ[[#This Row],[НАРХИ]]</f>
        <v>763200</v>
      </c>
      <c r="I235" s="57">
        <v>14000</v>
      </c>
      <c r="J235" s="31">
        <f>РЕАЛИЗАЦИЯ[[#This Row],[СОНИ]]*РЕАЛИЗАЦИЯ[[#This Row],[ТАННАРХ]]</f>
        <v>667800</v>
      </c>
      <c r="K235" s="31">
        <f>РЕАЛИЗАЦИЯ[[#This Row],[ЖАМИ]]-РЕАЛИЗАЦИЯ[[#This Row],[ЖАМИ2]]</f>
        <v>95400</v>
      </c>
      <c r="L235" s="31"/>
    </row>
    <row r="236" spans="1:12" ht="15" customHeight="1" x14ac:dyDescent="0.3">
      <c r="A236" s="3">
        <v>46198</v>
      </c>
      <c r="B236" s="4" t="s">
        <v>826</v>
      </c>
      <c r="C236" s="87" t="s">
        <v>44</v>
      </c>
      <c r="D236" s="87" t="s">
        <v>7</v>
      </c>
      <c r="E236" s="31">
        <v>184.9</v>
      </c>
      <c r="F236" s="31">
        <v>20500</v>
      </c>
      <c r="G236" s="50">
        <f>РЕАЛИЗАЦИЯ[[#This Row],[СОНИ]]*РЕАЛИЗАЦИЯ[[#This Row],[НАРХИ]]</f>
        <v>3790450</v>
      </c>
      <c r="I236" s="57">
        <v>18000</v>
      </c>
      <c r="J236" s="31">
        <f>РЕАЛИЗАЦИЯ[[#This Row],[СОНИ]]*РЕАЛИЗАЦИЯ[[#This Row],[ТАННАРХ]]</f>
        <v>3328200</v>
      </c>
      <c r="K236" s="31">
        <f>РЕАЛИЗАЦИЯ[[#This Row],[ЖАМИ]]-РЕАЛИЗАЦИЯ[[#This Row],[ЖАМИ2]]</f>
        <v>462250</v>
      </c>
      <c r="L236" s="31"/>
    </row>
    <row r="237" spans="1:12" ht="15" customHeight="1" x14ac:dyDescent="0.3">
      <c r="A237" s="3">
        <v>46198</v>
      </c>
      <c r="B237" s="4" t="s">
        <v>827</v>
      </c>
      <c r="C237" s="334" t="s">
        <v>973</v>
      </c>
      <c r="D237" s="87" t="s">
        <v>7</v>
      </c>
      <c r="E237" s="31">
        <v>933.4</v>
      </c>
      <c r="F237" s="31">
        <v>24000</v>
      </c>
      <c r="G237" s="50">
        <f>РЕАЛИЗАЦИЯ[[#This Row],[СОНИ]]*РЕАЛИЗАЦИЯ[[#This Row],[НАРХИ]]</f>
        <v>22401600</v>
      </c>
      <c r="I237" s="80">
        <v>23000</v>
      </c>
      <c r="J237" s="31">
        <f>РЕАЛИЗАЦИЯ[[#This Row],[СОНИ]]*РЕАЛИЗАЦИЯ[[#This Row],[ТАННАРХ]]</f>
        <v>21468200</v>
      </c>
      <c r="K237" s="31">
        <f>РЕАЛИЗАЦИЯ[[#This Row],[ЖАМИ]]-РЕАЛИЗАЦИЯ[[#This Row],[ЖАМИ2]]</f>
        <v>933400</v>
      </c>
      <c r="L237" s="31"/>
    </row>
    <row r="238" spans="1:12" ht="15" customHeight="1" x14ac:dyDescent="0.3">
      <c r="A238" s="3">
        <v>46198</v>
      </c>
      <c r="B238" s="4" t="s">
        <v>827</v>
      </c>
      <c r="C238" s="87" t="s">
        <v>43</v>
      </c>
      <c r="D238" s="87" t="s">
        <v>7</v>
      </c>
      <c r="E238" s="31">
        <v>494.2</v>
      </c>
      <c r="F238" s="31">
        <v>15000</v>
      </c>
      <c r="G238" s="50">
        <f>РЕАЛИЗАЦИЯ[[#This Row],[СОНИ]]*РЕАЛИЗАЦИЯ[[#This Row],[НАРХИ]]</f>
        <v>7413000</v>
      </c>
      <c r="I238" s="57">
        <v>14000</v>
      </c>
      <c r="J238" s="31">
        <f>РЕАЛИЗАЦИЯ[[#This Row],[СОНИ]]*РЕАЛИЗАЦИЯ[[#This Row],[ТАННАРХ]]</f>
        <v>6918800</v>
      </c>
      <c r="K238" s="31">
        <f>РЕАЛИЗАЦИЯ[[#This Row],[ЖАМИ]]-РЕАЛИЗАЦИЯ[[#This Row],[ЖАМИ2]]</f>
        <v>494200</v>
      </c>
      <c r="L238" s="31"/>
    </row>
    <row r="239" spans="1:12" ht="15" customHeight="1" x14ac:dyDescent="0.3">
      <c r="A239" s="3">
        <v>46198</v>
      </c>
      <c r="B239" s="4" t="s">
        <v>414</v>
      </c>
      <c r="C239" s="87" t="s">
        <v>904</v>
      </c>
      <c r="D239" s="87" t="s">
        <v>7</v>
      </c>
      <c r="E239" s="31">
        <v>109.5</v>
      </c>
      <c r="F239" s="31">
        <v>23000</v>
      </c>
      <c r="G239" s="50">
        <f>РЕАЛИЗАЦИЯ[[#This Row],[СОНИ]]*РЕАЛИЗАЦИЯ[[#This Row],[НАРХИ]]</f>
        <v>2518500</v>
      </c>
      <c r="I239" s="57">
        <v>21000</v>
      </c>
      <c r="J239" s="31">
        <f>РЕАЛИЗАЦИЯ[[#This Row],[СОНИ]]*РЕАЛИЗАЦИЯ[[#This Row],[ТАННАРХ]]</f>
        <v>2299500</v>
      </c>
      <c r="K239" s="31">
        <f>РЕАЛИЗАЦИЯ[[#This Row],[ЖАМИ]]-РЕАЛИЗАЦИЯ[[#This Row],[ЖАМИ2]]</f>
        <v>219000</v>
      </c>
      <c r="L239" s="31"/>
    </row>
    <row r="240" spans="1:12" ht="15" customHeight="1" x14ac:dyDescent="0.3">
      <c r="A240" s="3">
        <v>46198</v>
      </c>
      <c r="B240" s="4" t="s">
        <v>414</v>
      </c>
      <c r="C240" s="87" t="s">
        <v>43</v>
      </c>
      <c r="D240" s="87" t="s">
        <v>7</v>
      </c>
      <c r="E240" s="31">
        <v>48.9</v>
      </c>
      <c r="F240" s="31">
        <v>16000</v>
      </c>
      <c r="G240" s="50">
        <f>РЕАЛИЗАЦИЯ[[#This Row],[СОНИ]]*РЕАЛИЗАЦИЯ[[#This Row],[НАРХИ]]</f>
        <v>782400</v>
      </c>
      <c r="I240" s="57">
        <v>14000</v>
      </c>
      <c r="J240" s="31">
        <f>РЕАЛИЗАЦИЯ[[#This Row],[СОНИ]]*РЕАЛИЗАЦИЯ[[#This Row],[ТАННАРХ]]</f>
        <v>684600</v>
      </c>
      <c r="K240" s="31">
        <f>РЕАЛИЗАЦИЯ[[#This Row],[ЖАМИ]]-РЕАЛИЗАЦИЯ[[#This Row],[ЖАМИ2]]</f>
        <v>97800</v>
      </c>
      <c r="L240" s="31"/>
    </row>
    <row r="241" spans="1:12" ht="15" customHeight="1" x14ac:dyDescent="0.3">
      <c r="A241" s="3">
        <v>46198</v>
      </c>
      <c r="B241" s="4" t="s">
        <v>839</v>
      </c>
      <c r="C241" s="87" t="s">
        <v>605</v>
      </c>
      <c r="D241" s="87" t="s">
        <v>7</v>
      </c>
      <c r="E241" s="31">
        <v>368.5</v>
      </c>
      <c r="F241" s="31">
        <v>25000</v>
      </c>
      <c r="G241" s="50">
        <f>РЕАЛИЗАЦИЯ[[#This Row],[СОНИ]]*РЕАЛИЗАЦИЯ[[#This Row],[НАРХИ]]</f>
        <v>9212500</v>
      </c>
      <c r="I241" s="80">
        <v>22000</v>
      </c>
      <c r="J241" s="31">
        <f>РЕАЛИЗАЦИЯ[[#This Row],[СОНИ]]*РЕАЛИЗАЦИЯ[[#This Row],[ТАННАРХ]]</f>
        <v>8107000</v>
      </c>
      <c r="K241" s="31">
        <f>РЕАЛИЗАЦИЯ[[#This Row],[ЖАМИ]]-РЕАЛИЗАЦИЯ[[#This Row],[ЖАМИ2]]</f>
        <v>1105500</v>
      </c>
      <c r="L241" s="31"/>
    </row>
    <row r="242" spans="1:12" ht="15" customHeight="1" x14ac:dyDescent="0.3">
      <c r="A242" s="3">
        <v>46198</v>
      </c>
      <c r="B242" s="4" t="s">
        <v>175</v>
      </c>
      <c r="C242" s="87" t="s">
        <v>904</v>
      </c>
      <c r="D242" s="87" t="s">
        <v>7</v>
      </c>
      <c r="E242" s="31">
        <v>48.1</v>
      </c>
      <c r="F242" s="31">
        <v>23000</v>
      </c>
      <c r="G242" s="50">
        <f>РЕАЛИЗАЦИЯ[[#This Row],[СОНИ]]*РЕАЛИЗАЦИЯ[[#This Row],[НАРХИ]]</f>
        <v>1106300</v>
      </c>
      <c r="I242" s="57">
        <v>21000</v>
      </c>
      <c r="J242" s="31">
        <f>РЕАЛИЗАЦИЯ[[#This Row],[СОНИ]]*РЕАЛИЗАЦИЯ[[#This Row],[ТАННАРХ]]</f>
        <v>1010100</v>
      </c>
      <c r="K242" s="31">
        <f>РЕАЛИЗАЦИЯ[[#This Row],[ЖАМИ]]-РЕАЛИЗАЦИЯ[[#This Row],[ЖАМИ2]]</f>
        <v>96200</v>
      </c>
      <c r="L242" s="31"/>
    </row>
    <row r="243" spans="1:12" s="295" customFormat="1" ht="15" customHeight="1" x14ac:dyDescent="0.3">
      <c r="A243" s="3">
        <v>46198</v>
      </c>
      <c r="B243" s="4" t="s">
        <v>929</v>
      </c>
      <c r="C243" s="295" t="s">
        <v>605</v>
      </c>
      <c r="D243" s="295" t="s">
        <v>7</v>
      </c>
      <c r="E243" s="31">
        <v>47.8</v>
      </c>
      <c r="F243" s="31">
        <v>24000</v>
      </c>
      <c r="G243" s="50">
        <f>РЕАЛИЗАЦИЯ[[#This Row],[СОНИ]]*РЕАЛИЗАЦИЯ[[#This Row],[НАРХИ]]</f>
        <v>1147200</v>
      </c>
      <c r="H243" s="31"/>
      <c r="I243" s="288">
        <v>22000</v>
      </c>
      <c r="J243" s="31">
        <f>РЕАЛИЗАЦИЯ[[#This Row],[СОНИ]]*РЕАЛИЗАЦИЯ[[#This Row],[ТАННАРХ]]</f>
        <v>1051600</v>
      </c>
      <c r="K243" s="31">
        <f>РЕАЛИЗАЦИЯ[[#This Row],[ЖАМИ]]-РЕАЛИЗАЦИЯ[[#This Row],[ЖАМИ2]]</f>
        <v>95600</v>
      </c>
      <c r="L243" s="31"/>
    </row>
    <row r="244" spans="1:12" ht="15" customHeight="1" x14ac:dyDescent="0.3">
      <c r="A244" s="3">
        <v>46198</v>
      </c>
      <c r="B244" s="4" t="s">
        <v>314</v>
      </c>
      <c r="C244" s="87" t="s">
        <v>904</v>
      </c>
      <c r="D244" s="87" t="s">
        <v>7</v>
      </c>
      <c r="E244" s="31">
        <v>51.5</v>
      </c>
      <c r="F244" s="31">
        <v>23000</v>
      </c>
      <c r="G244" s="50">
        <f>РЕАЛИЗАЦИЯ[[#This Row],[СОНИ]]*РЕАЛИЗАЦИЯ[[#This Row],[НАРХИ]]</f>
        <v>1184500</v>
      </c>
      <c r="I244" s="57">
        <v>21000</v>
      </c>
      <c r="J244" s="31">
        <f>РЕАЛИЗАЦИЯ[[#This Row],[СОНИ]]*РЕАЛИЗАЦИЯ[[#This Row],[ТАННАРХ]]</f>
        <v>1081500</v>
      </c>
      <c r="K244" s="31">
        <f>РЕАЛИЗАЦИЯ[[#This Row],[ЖАМИ]]-РЕАЛИЗАЦИЯ[[#This Row],[ЖАМИ2]]</f>
        <v>103000</v>
      </c>
      <c r="L244" s="31"/>
    </row>
    <row r="245" spans="1:12" s="295" customFormat="1" ht="15" customHeight="1" x14ac:dyDescent="0.3">
      <c r="A245" s="3">
        <v>46198</v>
      </c>
      <c r="B245" s="4" t="s">
        <v>488</v>
      </c>
      <c r="C245" s="295" t="s">
        <v>904</v>
      </c>
      <c r="D245" s="295" t="s">
        <v>7</v>
      </c>
      <c r="E245" s="31">
        <v>46.4</v>
      </c>
      <c r="F245" s="31">
        <v>23000</v>
      </c>
      <c r="G245" s="50">
        <v>1067200</v>
      </c>
      <c r="H245" s="31"/>
      <c r="I245" s="57">
        <v>21000</v>
      </c>
      <c r="J245" s="31">
        <f>РЕАЛИЗАЦИЯ[[#This Row],[СОНИ]]*РЕАЛИЗАЦИЯ[[#This Row],[ТАННАРХ]]</f>
        <v>974400</v>
      </c>
      <c r="K245" s="31">
        <f>РЕАЛИЗАЦИЯ[[#This Row],[ЖАМИ]]-РЕАЛИЗАЦИЯ[[#This Row],[ЖАМИ2]]</f>
        <v>92800</v>
      </c>
      <c r="L245" s="31"/>
    </row>
    <row r="246" spans="1:12" ht="15" customHeight="1" x14ac:dyDescent="0.3">
      <c r="A246" s="3">
        <v>46199</v>
      </c>
      <c r="B246" s="4" t="s">
        <v>712</v>
      </c>
      <c r="C246" s="87" t="s">
        <v>904</v>
      </c>
      <c r="D246" s="87" t="s">
        <v>7</v>
      </c>
      <c r="E246" s="31">
        <v>52.9</v>
      </c>
      <c r="F246" s="31">
        <v>22000</v>
      </c>
      <c r="G246" s="50">
        <f>РЕАЛИЗАЦИЯ[[#This Row],[СОНИ]]*РЕАЛИЗАЦИЯ[[#This Row],[НАРХИ]]</f>
        <v>1163800</v>
      </c>
      <c r="I246" s="57">
        <v>21000</v>
      </c>
      <c r="J246" s="31">
        <f>РЕАЛИЗАЦИЯ[[#This Row],[СОНИ]]*РЕАЛИЗАЦИЯ[[#This Row],[ТАННАРХ]]</f>
        <v>1110900</v>
      </c>
      <c r="K246" s="31">
        <f>РЕАЛИЗАЦИЯ[[#This Row],[ЖАМИ]]-РЕАЛИЗАЦИЯ[[#This Row],[ЖАМИ2]]</f>
        <v>52900</v>
      </c>
      <c r="L246" s="31"/>
    </row>
    <row r="247" spans="1:12" ht="15" customHeight="1" x14ac:dyDescent="0.3">
      <c r="A247" s="3">
        <v>46199</v>
      </c>
      <c r="B247" s="4" t="s">
        <v>793</v>
      </c>
      <c r="C247" s="87" t="s">
        <v>605</v>
      </c>
      <c r="D247" s="87" t="s">
        <v>7</v>
      </c>
      <c r="E247" s="31">
        <v>81.2</v>
      </c>
      <c r="F247" s="31">
        <v>24000</v>
      </c>
      <c r="G247" s="50">
        <f>РЕАЛИЗАЦИЯ[[#This Row],[СОНИ]]*РЕАЛИЗАЦИЯ[[#This Row],[НАРХИ]]</f>
        <v>1948800</v>
      </c>
      <c r="I247" s="57">
        <v>22000</v>
      </c>
      <c r="J247" s="31">
        <f>РЕАЛИЗАЦИЯ[[#This Row],[СОНИ]]*РЕАЛИЗАЦИЯ[[#This Row],[ТАННАРХ]]</f>
        <v>1786400</v>
      </c>
      <c r="K247" s="31">
        <f>РЕАЛИЗАЦИЯ[[#This Row],[ЖАМИ]]-РЕАЛИЗАЦИЯ[[#This Row],[ЖАМИ2]]</f>
        <v>162400</v>
      </c>
      <c r="L247" s="31"/>
    </row>
    <row r="248" spans="1:12" s="296" customFormat="1" ht="15" customHeight="1" x14ac:dyDescent="0.3">
      <c r="A248" s="3">
        <v>46199</v>
      </c>
      <c r="B248" s="4" t="s">
        <v>552</v>
      </c>
      <c r="C248" s="296" t="s">
        <v>593</v>
      </c>
      <c r="D248" s="296" t="s">
        <v>7</v>
      </c>
      <c r="E248" s="31">
        <v>1607.8</v>
      </c>
      <c r="F248" s="31">
        <v>30000</v>
      </c>
      <c r="G248" s="50">
        <f>РЕАЛИЗАЦИЯ[[#This Row],[СОНИ]]*РЕАЛИЗАЦИЯ[[#This Row],[НАРХИ]]</f>
        <v>48234000</v>
      </c>
      <c r="H248" s="31"/>
      <c r="I248" s="288">
        <v>25000</v>
      </c>
      <c r="J248" s="31">
        <f>РЕАЛИЗАЦИЯ[[#This Row],[СОНИ]]*РЕАЛИЗАЦИЯ[[#This Row],[ТАННАРХ]]</f>
        <v>40195000</v>
      </c>
      <c r="K248" s="31">
        <f>РЕАЛИЗАЦИЯ[[#This Row],[ЖАМИ]]-РЕАЛИЗАЦИЯ[[#This Row],[ЖАМИ2]]</f>
        <v>8039000</v>
      </c>
      <c r="L248" s="31"/>
    </row>
    <row r="249" spans="1:12" ht="15" customHeight="1" x14ac:dyDescent="0.3">
      <c r="A249" s="3">
        <v>46199</v>
      </c>
      <c r="B249" s="4" t="s">
        <v>697</v>
      </c>
      <c r="C249" s="87" t="s">
        <v>904</v>
      </c>
      <c r="D249" s="87" t="s">
        <v>7</v>
      </c>
      <c r="E249" s="31">
        <v>976.1</v>
      </c>
      <c r="F249" s="31">
        <v>23500</v>
      </c>
      <c r="G249" s="50">
        <f>РЕАЛИЗАЦИЯ[[#This Row],[СОНИ]]*РЕАЛИЗАЦИЯ[[#This Row],[НАРХИ]]</f>
        <v>22938350</v>
      </c>
      <c r="I249" s="57">
        <v>21000</v>
      </c>
      <c r="J249" s="31">
        <f>РЕАЛИЗАЦИЯ[[#This Row],[СОНИ]]*РЕАЛИЗАЦИЯ[[#This Row],[ТАННАРХ]]</f>
        <v>20498100</v>
      </c>
      <c r="K249" s="31">
        <f>РЕАЛИЗАЦИЯ[[#This Row],[ЖАМИ]]-РЕАЛИЗАЦИЯ[[#This Row],[ЖАМИ2]]</f>
        <v>2440250</v>
      </c>
      <c r="L249" s="31"/>
    </row>
    <row r="250" spans="1:12" ht="15" customHeight="1" x14ac:dyDescent="0.3">
      <c r="A250" s="3">
        <v>46199</v>
      </c>
      <c r="B250" s="4" t="s">
        <v>681</v>
      </c>
      <c r="C250" s="87" t="s">
        <v>43</v>
      </c>
      <c r="D250" s="87" t="s">
        <v>7</v>
      </c>
      <c r="E250" s="31">
        <v>389.2</v>
      </c>
      <c r="F250" s="31">
        <v>15500</v>
      </c>
      <c r="G250" s="50">
        <f>РЕАЛИЗАЦИЯ[[#This Row],[СОНИ]]*РЕАЛИЗАЦИЯ[[#This Row],[НАРХИ]]</f>
        <v>6032600</v>
      </c>
      <c r="I250" s="57">
        <v>14000</v>
      </c>
      <c r="J250" s="31">
        <f>РЕАЛИЗАЦИЯ[[#This Row],[СОНИ]]*РЕАЛИЗАЦИЯ[[#This Row],[ТАННАРХ]]</f>
        <v>5448800</v>
      </c>
      <c r="K250" s="31">
        <f>РЕАЛИЗАЦИЯ[[#This Row],[ЖАМИ]]-РЕАЛИЗАЦИЯ[[#This Row],[ЖАМИ2]]</f>
        <v>583800</v>
      </c>
      <c r="L250" s="31"/>
    </row>
    <row r="251" spans="1:12" ht="15" customHeight="1" x14ac:dyDescent="0.3">
      <c r="A251" s="3">
        <v>46200</v>
      </c>
      <c r="B251" s="4" t="s">
        <v>793</v>
      </c>
      <c r="C251" s="87" t="s">
        <v>605</v>
      </c>
      <c r="D251" s="87" t="s">
        <v>7</v>
      </c>
      <c r="E251" s="31">
        <v>513.1</v>
      </c>
      <c r="F251" s="31">
        <v>24000</v>
      </c>
      <c r="G251" s="50">
        <f>РЕАЛИЗАЦИЯ[[#This Row],[СОНИ]]*РЕАЛИЗАЦИЯ[[#This Row],[НАРХИ]]</f>
        <v>12314400</v>
      </c>
      <c r="I251" s="57">
        <v>22000</v>
      </c>
      <c r="J251" s="31">
        <f>РЕАЛИЗАЦИЯ[[#This Row],[СОНИ]]*РЕАЛИЗАЦИЯ[[#This Row],[ТАННАРХ]]</f>
        <v>11288200</v>
      </c>
      <c r="K251" s="31">
        <f>РЕАЛИЗАЦИЯ[[#This Row],[ЖАМИ]]-РЕАЛИЗАЦИЯ[[#This Row],[ЖАМИ2]]</f>
        <v>1026200</v>
      </c>
      <c r="L251" s="31"/>
    </row>
    <row r="252" spans="1:12" ht="15" customHeight="1" x14ac:dyDescent="0.3">
      <c r="A252" s="3">
        <v>46200</v>
      </c>
      <c r="B252" s="4" t="s">
        <v>991</v>
      </c>
      <c r="C252" s="87" t="s">
        <v>43</v>
      </c>
      <c r="D252" s="87" t="s">
        <v>7</v>
      </c>
      <c r="E252" s="31">
        <v>33</v>
      </c>
      <c r="F252" s="31">
        <v>16000</v>
      </c>
      <c r="G252" s="50">
        <f>РЕАЛИЗАЦИЯ[[#This Row],[СОНИ]]*РЕАЛИЗАЦИЯ[[#This Row],[НАРХИ]]</f>
        <v>528000</v>
      </c>
      <c r="I252" s="57">
        <v>14000</v>
      </c>
      <c r="J252" s="31">
        <f>РЕАЛИЗАЦИЯ[[#This Row],[СОНИ]]*РЕАЛИЗАЦИЯ[[#This Row],[ТАННАРХ]]</f>
        <v>462000</v>
      </c>
      <c r="K252" s="31">
        <f>РЕАЛИЗАЦИЯ[[#This Row],[ЖАМИ]]-РЕАЛИЗАЦИЯ[[#This Row],[ЖАМИ2]]</f>
        <v>66000</v>
      </c>
      <c r="L252" s="31"/>
    </row>
    <row r="253" spans="1:12" ht="15" customHeight="1" x14ac:dyDescent="0.3">
      <c r="A253" s="3">
        <v>46200</v>
      </c>
      <c r="B253" s="4" t="s">
        <v>991</v>
      </c>
      <c r="C253" s="87" t="s">
        <v>904</v>
      </c>
      <c r="D253" s="87" t="s">
        <v>7</v>
      </c>
      <c r="E253" s="31">
        <v>95.5</v>
      </c>
      <c r="F253" s="31">
        <v>23000</v>
      </c>
      <c r="G253" s="50">
        <f>РЕАЛИЗАЦИЯ[[#This Row],[СОНИ]]*РЕАЛИЗАЦИЯ[[#This Row],[НАРХИ]]</f>
        <v>2196500</v>
      </c>
      <c r="I253" s="57">
        <v>21000</v>
      </c>
      <c r="J253" s="31">
        <f>РЕАЛИЗАЦИЯ[[#This Row],[СОНИ]]*РЕАЛИЗАЦИЯ[[#This Row],[ТАННАРХ]]</f>
        <v>2005500</v>
      </c>
      <c r="K253" s="31">
        <f>РЕАЛИЗАЦИЯ[[#This Row],[ЖАМИ]]-РЕАЛИЗАЦИЯ[[#This Row],[ЖАМИ2]]</f>
        <v>191000</v>
      </c>
      <c r="L253" s="31"/>
    </row>
    <row r="254" spans="1:12" s="298" customFormat="1" ht="15" customHeight="1" x14ac:dyDescent="0.3">
      <c r="A254" s="3">
        <v>46200</v>
      </c>
      <c r="B254" s="4" t="s">
        <v>555</v>
      </c>
      <c r="C254" s="298" t="s">
        <v>590</v>
      </c>
      <c r="D254" s="298" t="s">
        <v>7</v>
      </c>
      <c r="E254" s="31">
        <v>202.9</v>
      </c>
      <c r="F254" s="31">
        <v>28000</v>
      </c>
      <c r="G254" s="50">
        <f>РЕАЛИЗАЦИЯ[[#This Row],[СОНИ]]*РЕАЛИЗАЦИЯ[[#This Row],[НАРХИ]]</f>
        <v>5681200</v>
      </c>
      <c r="H254" s="31"/>
      <c r="I254" s="288">
        <v>26000</v>
      </c>
      <c r="J254" s="31">
        <f>РЕАЛИЗАЦИЯ[[#This Row],[СОНИ]]*РЕАЛИЗАЦИЯ[[#This Row],[ТАННАРХ]]</f>
        <v>5275400</v>
      </c>
      <c r="K254" s="31">
        <f>РЕАЛИЗАЦИЯ[[#This Row],[ЖАМИ]]-РЕАЛИЗАЦИЯ[[#This Row],[ЖАМИ2]]</f>
        <v>405800</v>
      </c>
      <c r="L254" s="31"/>
    </row>
    <row r="255" spans="1:12" ht="15" customHeight="1" x14ac:dyDescent="0.3">
      <c r="A255" s="3">
        <v>46200</v>
      </c>
      <c r="B255" s="4" t="s">
        <v>246</v>
      </c>
      <c r="C255" s="87" t="s">
        <v>904</v>
      </c>
      <c r="D255" s="87" t="s">
        <v>7</v>
      </c>
      <c r="E255" s="31">
        <v>44.3</v>
      </c>
      <c r="F255" s="31">
        <v>23000</v>
      </c>
      <c r="G255" s="50">
        <f>РЕАЛИЗАЦИЯ[[#This Row],[СОНИ]]*РЕАЛИЗАЦИЯ[[#This Row],[НАРХИ]]</f>
        <v>1018899.9999999999</v>
      </c>
      <c r="I255" s="57">
        <v>21000</v>
      </c>
      <c r="J255" s="31">
        <f>РЕАЛИЗАЦИЯ[[#This Row],[СОНИ]]*РЕАЛИЗАЦИЯ[[#This Row],[ТАННАРХ]]</f>
        <v>930299.99999999988</v>
      </c>
      <c r="K255" s="31">
        <f>РЕАЛИЗАЦИЯ[[#This Row],[ЖАМИ]]-РЕАЛИЗАЦИЯ[[#This Row],[ЖАМИ2]]</f>
        <v>88600</v>
      </c>
      <c r="L255" s="31"/>
    </row>
    <row r="256" spans="1:12" ht="15" customHeight="1" x14ac:dyDescent="0.3">
      <c r="A256" s="3">
        <v>46200</v>
      </c>
      <c r="B256" s="4" t="s">
        <v>209</v>
      </c>
      <c r="C256" s="87" t="s">
        <v>78</v>
      </c>
      <c r="D256" s="87" t="s">
        <v>7</v>
      </c>
      <c r="E256" s="31">
        <v>203.3</v>
      </c>
      <c r="F256" s="31">
        <v>20000</v>
      </c>
      <c r="G256" s="50">
        <f>РЕАЛИЗАЦИЯ[[#This Row],[СОНИ]]*РЕАЛИЗАЦИЯ[[#This Row],[НАРХИ]]</f>
        <v>4066000</v>
      </c>
      <c r="I256" s="57">
        <v>18000</v>
      </c>
      <c r="J256" s="31">
        <f>РЕАЛИЗАЦИЯ[[#This Row],[СОНИ]]*РЕАЛИЗАЦИЯ[[#This Row],[ТАННАРХ]]</f>
        <v>3659400</v>
      </c>
      <c r="K256" s="31">
        <f>РЕАЛИЗАЦИЯ[[#This Row],[ЖАМИ]]-РЕАЛИЗАЦИЯ[[#This Row],[ЖАМИ2]]</f>
        <v>406600</v>
      </c>
      <c r="L256" s="31"/>
    </row>
    <row r="257" spans="1:12" ht="15" customHeight="1" x14ac:dyDescent="0.3">
      <c r="A257" s="3">
        <v>46201</v>
      </c>
      <c r="B257" s="4" t="s">
        <v>641</v>
      </c>
      <c r="C257" s="87" t="s">
        <v>42</v>
      </c>
      <c r="D257" s="87" t="s">
        <v>7</v>
      </c>
      <c r="E257" s="31">
        <v>50.9</v>
      </c>
      <c r="F257" s="31">
        <v>25000</v>
      </c>
      <c r="G257" s="50">
        <f>РЕАЛИЗАЦИЯ[[#This Row],[СОНИ]]*РЕАЛИЗАЦИЯ[[#This Row],[НАРХИ]]</f>
        <v>1272500</v>
      </c>
      <c r="I257" s="57">
        <v>23000</v>
      </c>
      <c r="J257" s="31">
        <f>РЕАЛИЗАЦИЯ[[#This Row],[СОНИ]]*РЕАЛИЗАЦИЯ[[#This Row],[ТАННАРХ]]</f>
        <v>1170700</v>
      </c>
      <c r="K257" s="31">
        <f>РЕАЛИЗАЦИЯ[[#This Row],[ЖАМИ]]-РЕАЛИЗАЦИЯ[[#This Row],[ЖАМИ2]]</f>
        <v>101800</v>
      </c>
      <c r="L257" s="31"/>
    </row>
    <row r="258" spans="1:12" ht="15" customHeight="1" x14ac:dyDescent="0.3">
      <c r="A258" s="3">
        <v>46201</v>
      </c>
      <c r="B258" s="4" t="s">
        <v>615</v>
      </c>
      <c r="C258" s="87" t="s">
        <v>904</v>
      </c>
      <c r="D258" s="87" t="s">
        <v>7</v>
      </c>
      <c r="E258" s="31">
        <v>45.7</v>
      </c>
      <c r="F258" s="31">
        <v>23000</v>
      </c>
      <c r="G258" s="50">
        <f>РЕАЛИЗАЦИЯ[[#This Row],[СОНИ]]*РЕАЛИЗАЦИЯ[[#This Row],[НАРХИ]]</f>
        <v>1051100</v>
      </c>
      <c r="I258" s="57">
        <v>21000</v>
      </c>
      <c r="J258" s="31">
        <f>РЕАЛИЗАЦИЯ[[#This Row],[СОНИ]]*РЕАЛИЗАЦИЯ[[#This Row],[ТАННАРХ]]</f>
        <v>959700.00000000012</v>
      </c>
      <c r="K258" s="31">
        <f>РЕАЛИЗАЦИЯ[[#This Row],[ЖАМИ]]-РЕАЛИЗАЦИЯ[[#This Row],[ЖАМИ2]]</f>
        <v>91399.999999999884</v>
      </c>
      <c r="L258" s="31"/>
    </row>
    <row r="259" spans="1:12" ht="15" customHeight="1" x14ac:dyDescent="0.3">
      <c r="A259" s="3">
        <v>46201</v>
      </c>
      <c r="B259" s="4" t="s">
        <v>209</v>
      </c>
      <c r="C259" s="87" t="s">
        <v>43</v>
      </c>
      <c r="D259" s="87" t="s">
        <v>7</v>
      </c>
      <c r="E259" s="31">
        <v>201.4</v>
      </c>
      <c r="F259" s="31">
        <v>15000</v>
      </c>
      <c r="G259" s="50">
        <f>РЕАЛИЗАЦИЯ[[#This Row],[СОНИ]]*РЕАЛИЗАЦИЯ[[#This Row],[НАРХИ]]</f>
        <v>3021000</v>
      </c>
      <c r="I259" s="57">
        <v>14000</v>
      </c>
      <c r="J259" s="31">
        <f>РЕАЛИЗАЦИЯ[[#This Row],[СОНИ]]*РЕАЛИЗАЦИЯ[[#This Row],[ТАННАРХ]]</f>
        <v>2819600</v>
      </c>
      <c r="K259" s="31">
        <f>РЕАЛИЗАЦИЯ[[#This Row],[ЖАМИ]]-РЕАЛИЗАЦИЯ[[#This Row],[ЖАМИ2]]</f>
        <v>201400</v>
      </c>
      <c r="L259" s="31"/>
    </row>
    <row r="260" spans="1:12" ht="15" customHeight="1" x14ac:dyDescent="0.3">
      <c r="A260" s="3">
        <v>46201</v>
      </c>
      <c r="B260" s="4" t="s">
        <v>1003</v>
      </c>
      <c r="C260" s="87" t="s">
        <v>42</v>
      </c>
      <c r="D260" s="87" t="s">
        <v>7</v>
      </c>
      <c r="E260" s="31">
        <v>1004.1</v>
      </c>
      <c r="F260" s="31">
        <v>24000</v>
      </c>
      <c r="G260" s="50">
        <f>РЕАЛИЗАЦИЯ[[#This Row],[СОНИ]]*РЕАЛИЗАЦИЯ[[#This Row],[НАРХИ]]</f>
        <v>24098400</v>
      </c>
      <c r="I260" s="57">
        <v>23000</v>
      </c>
      <c r="J260" s="31">
        <f>РЕАЛИЗАЦИЯ[[#This Row],[СОНИ]]*РЕАЛИЗАЦИЯ[[#This Row],[ТАННАРХ]]</f>
        <v>23094300</v>
      </c>
      <c r="K260" s="31">
        <f>РЕАЛИЗАЦИЯ[[#This Row],[ЖАМИ]]-РЕАЛИЗАЦИЯ[[#This Row],[ЖАМИ2]]</f>
        <v>1004100</v>
      </c>
      <c r="L260" s="31"/>
    </row>
    <row r="261" spans="1:12" ht="15" customHeight="1" x14ac:dyDescent="0.3">
      <c r="A261" s="3">
        <v>46201</v>
      </c>
      <c r="B261" s="4" t="s">
        <v>386</v>
      </c>
      <c r="C261" s="87" t="s">
        <v>43</v>
      </c>
      <c r="D261" s="87" t="s">
        <v>7</v>
      </c>
      <c r="E261" s="31">
        <v>49.9</v>
      </c>
      <c r="F261" s="31">
        <v>15000</v>
      </c>
      <c r="G261" s="50">
        <f>РЕАЛИЗАЦИЯ[[#This Row],[СОНИ]]*РЕАЛИЗАЦИЯ[[#This Row],[НАРХИ]]</f>
        <v>748500</v>
      </c>
      <c r="I261" s="57">
        <v>14000</v>
      </c>
      <c r="J261" s="31">
        <f>РЕАЛИЗАЦИЯ[[#This Row],[СОНИ]]*РЕАЛИЗАЦИЯ[[#This Row],[ТАННАРХ]]</f>
        <v>698600</v>
      </c>
      <c r="K261" s="31">
        <f>РЕАЛИЗАЦИЯ[[#This Row],[ЖАМИ]]-РЕАЛИЗАЦИЯ[[#This Row],[ЖАМИ2]]</f>
        <v>49900</v>
      </c>
      <c r="L261" s="31"/>
    </row>
    <row r="262" spans="1:12" s="305" customFormat="1" ht="15" customHeight="1" x14ac:dyDescent="0.3">
      <c r="A262" s="3">
        <v>46201</v>
      </c>
      <c r="B262" s="4" t="s">
        <v>129</v>
      </c>
      <c r="C262" s="305" t="s">
        <v>590</v>
      </c>
      <c r="D262" s="305" t="s">
        <v>7</v>
      </c>
      <c r="E262" s="31">
        <v>164.9</v>
      </c>
      <c r="F262" s="31">
        <v>25000</v>
      </c>
      <c r="G262" s="50">
        <f>РЕАЛИЗАЦИЯ[[#This Row],[СОНИ]]*РЕАЛИЗАЦИЯ[[#This Row],[НАРХИ]]</f>
        <v>4122500</v>
      </c>
      <c r="H262" s="31"/>
      <c r="I262" s="288">
        <v>26000</v>
      </c>
      <c r="J262" s="31">
        <f>РЕАЛИЗАЦИЯ[[#This Row],[СОНИ]]*РЕАЛИЗАЦИЯ[[#This Row],[ТАННАРХ]]</f>
        <v>4287400</v>
      </c>
      <c r="K262" s="31">
        <f>РЕАЛИЗАЦИЯ[[#This Row],[ЖАМИ]]-РЕАЛИЗАЦИЯ[[#This Row],[ЖАМИ2]]</f>
        <v>-164900</v>
      </c>
      <c r="L262" s="31"/>
    </row>
    <row r="263" spans="1:12" ht="15" customHeight="1" x14ac:dyDescent="0.3">
      <c r="A263" s="3">
        <v>46201</v>
      </c>
      <c r="B263" s="4" t="s">
        <v>129</v>
      </c>
      <c r="C263" s="87" t="s">
        <v>590</v>
      </c>
      <c r="D263" s="87" t="s">
        <v>7</v>
      </c>
      <c r="E263" s="31">
        <v>-111.7</v>
      </c>
      <c r="F263" s="31">
        <v>25000</v>
      </c>
      <c r="G263" s="50">
        <f>РЕАЛИЗАЦИЯ[[#This Row],[СОНИ]]*РЕАЛИЗАЦИЯ[[#This Row],[НАРХИ]]</f>
        <v>-2792500</v>
      </c>
      <c r="I263" s="80">
        <v>26000</v>
      </c>
      <c r="J263" s="31">
        <f>РЕАЛИЗАЦИЯ[[#This Row],[СОНИ]]*РЕАЛИЗАЦИЯ[[#This Row],[ТАННАРХ]]</f>
        <v>-2904200</v>
      </c>
      <c r="K263" s="31">
        <f>РЕАЛИЗАЦИЯ[[#This Row],[ЖАМИ]]-РЕАЛИЗАЦИЯ[[#This Row],[ЖАМИ2]]</f>
        <v>111700</v>
      </c>
      <c r="L263" s="31"/>
    </row>
    <row r="264" spans="1:12" ht="15" customHeight="1" x14ac:dyDescent="0.3">
      <c r="A264" s="3">
        <v>46202</v>
      </c>
      <c r="B264" s="4" t="s">
        <v>912</v>
      </c>
      <c r="C264" s="87" t="s">
        <v>42</v>
      </c>
      <c r="D264" s="87" t="s">
        <v>7</v>
      </c>
      <c r="E264" s="31">
        <v>97.7</v>
      </c>
      <c r="F264" s="31">
        <v>23000</v>
      </c>
      <c r="G264" s="50">
        <f>РЕАЛИЗАЦИЯ[[#This Row],[СОНИ]]*РЕАЛИЗАЦИЯ[[#This Row],[НАРХИ]]</f>
        <v>2247100</v>
      </c>
      <c r="I264" s="57">
        <v>23000</v>
      </c>
      <c r="J264" s="31">
        <f>РЕАЛИЗАЦИЯ[[#This Row],[СОНИ]]*РЕАЛИЗАЦИЯ[[#This Row],[ТАННАРХ]]</f>
        <v>2247100</v>
      </c>
      <c r="K264" s="31">
        <f>РЕАЛИЗАЦИЯ[[#This Row],[ЖАМИ]]-РЕАЛИЗАЦИЯ[[#This Row],[ЖАМИ2]]</f>
        <v>0</v>
      </c>
      <c r="L264" s="31"/>
    </row>
    <row r="265" spans="1:12" ht="15" customHeight="1" x14ac:dyDescent="0.3">
      <c r="A265" s="3">
        <v>46202</v>
      </c>
      <c r="B265" s="4" t="s">
        <v>912</v>
      </c>
      <c r="C265" s="87" t="s">
        <v>43</v>
      </c>
      <c r="D265" s="87" t="s">
        <v>7</v>
      </c>
      <c r="E265" s="31">
        <v>101.1</v>
      </c>
      <c r="F265" s="31">
        <v>16000</v>
      </c>
      <c r="G265" s="50">
        <f>РЕАЛИЗАЦИЯ[[#This Row],[СОНИ]]*РЕАЛИЗАЦИЯ[[#This Row],[НАРХИ]]</f>
        <v>1617600</v>
      </c>
      <c r="I265" s="57">
        <v>14000</v>
      </c>
      <c r="J265" s="31">
        <f>РЕАЛИЗАЦИЯ[[#This Row],[СОНИ]]*РЕАЛИЗАЦИЯ[[#This Row],[ТАННАРХ]]</f>
        <v>1415400</v>
      </c>
      <c r="K265" s="31">
        <f>РЕАЛИЗАЦИЯ[[#This Row],[ЖАМИ]]-РЕАЛИЗАЦИЯ[[#This Row],[ЖАМИ2]]</f>
        <v>202200</v>
      </c>
      <c r="L265" s="31"/>
    </row>
    <row r="266" spans="1:12" ht="15" customHeight="1" x14ac:dyDescent="0.3">
      <c r="A266" s="3">
        <v>46202</v>
      </c>
      <c r="B266" s="4" t="s">
        <v>566</v>
      </c>
      <c r="C266" s="87" t="s">
        <v>43</v>
      </c>
      <c r="D266" s="87" t="s">
        <v>7</v>
      </c>
      <c r="E266" s="31">
        <v>51.4</v>
      </c>
      <c r="F266" s="31">
        <v>16000</v>
      </c>
      <c r="G266" s="50">
        <f>РЕАЛИЗАЦИЯ[[#This Row],[СОНИ]]*РЕАЛИЗАЦИЯ[[#This Row],[НАРХИ]]</f>
        <v>822400</v>
      </c>
      <c r="I266" s="57">
        <v>14000</v>
      </c>
      <c r="J266" s="31">
        <f>РЕАЛИЗАЦИЯ[[#This Row],[СОНИ]]*РЕАЛИЗАЦИЯ[[#This Row],[ТАННАРХ]]</f>
        <v>719600</v>
      </c>
      <c r="K266" s="31">
        <f>РЕАЛИЗАЦИЯ[[#This Row],[ЖАМИ]]-РЕАЛИЗАЦИЯ[[#This Row],[ЖАМИ2]]</f>
        <v>102800</v>
      </c>
      <c r="L266" s="31"/>
    </row>
    <row r="267" spans="1:12" ht="15" customHeight="1" x14ac:dyDescent="0.3">
      <c r="A267" s="3">
        <v>46202</v>
      </c>
      <c r="B267" s="4" t="s">
        <v>350</v>
      </c>
      <c r="C267" s="87" t="s">
        <v>43</v>
      </c>
      <c r="D267" s="87" t="s">
        <v>7</v>
      </c>
      <c r="E267" s="31">
        <v>49.4</v>
      </c>
      <c r="F267" s="31">
        <v>16000</v>
      </c>
      <c r="G267" s="50">
        <f>РЕАЛИЗАЦИЯ[[#This Row],[СОНИ]]*РЕАЛИЗАЦИЯ[[#This Row],[НАРХИ]]</f>
        <v>790400</v>
      </c>
      <c r="I267" s="57">
        <v>14000</v>
      </c>
      <c r="J267" s="31">
        <f>РЕАЛИЗАЦИЯ[[#This Row],[СОНИ]]*РЕАЛИЗАЦИЯ[[#This Row],[ТАННАРХ]]</f>
        <v>691600</v>
      </c>
      <c r="K267" s="31">
        <f>РЕАЛИЗАЦИЯ[[#This Row],[ЖАМИ]]-РЕАЛИЗАЦИЯ[[#This Row],[ЖАМИ2]]</f>
        <v>98800</v>
      </c>
      <c r="L267" s="31"/>
    </row>
    <row r="268" spans="1:12" ht="15" customHeight="1" x14ac:dyDescent="0.3">
      <c r="A268" s="3">
        <v>46202</v>
      </c>
      <c r="B268" s="4" t="s">
        <v>350</v>
      </c>
      <c r="C268" s="87" t="s">
        <v>973</v>
      </c>
      <c r="D268" s="87" t="s">
        <v>7</v>
      </c>
      <c r="E268" s="31">
        <v>43.7</v>
      </c>
      <c r="F268" s="31">
        <v>25000</v>
      </c>
      <c r="G268" s="50">
        <f>РЕАЛИЗАЦИЯ[[#This Row],[СОНИ]]*РЕАЛИЗАЦИЯ[[#This Row],[НАРХИ]]</f>
        <v>1092500</v>
      </c>
      <c r="I268" s="80">
        <v>23000</v>
      </c>
      <c r="J268" s="31">
        <f>РЕАЛИЗАЦИЯ[[#This Row],[СОНИ]]*РЕАЛИЗАЦИЯ[[#This Row],[ТАННАРХ]]</f>
        <v>1005100.0000000001</v>
      </c>
      <c r="K268" s="31">
        <f>РЕАЛИЗАЦИЯ[[#This Row],[ЖАМИ]]-РЕАЛИЗАЦИЯ[[#This Row],[ЖАМИ2]]</f>
        <v>87399.999999999884</v>
      </c>
      <c r="L268" s="31"/>
    </row>
    <row r="269" spans="1:12" ht="15" customHeight="1" x14ac:dyDescent="0.3">
      <c r="A269" s="3">
        <v>46202</v>
      </c>
      <c r="B269" s="4" t="s">
        <v>900</v>
      </c>
      <c r="C269" s="87" t="s">
        <v>973</v>
      </c>
      <c r="D269" s="87" t="s">
        <v>7</v>
      </c>
      <c r="E269" s="31">
        <v>100.3</v>
      </c>
      <c r="F269" s="31">
        <v>24000</v>
      </c>
      <c r="G269" s="50">
        <f>РЕАЛИЗАЦИЯ[[#This Row],[СОНИ]]*РЕАЛИЗАЦИЯ[[#This Row],[НАРХИ]]</f>
        <v>2407200</v>
      </c>
      <c r="I269" s="80">
        <v>23000</v>
      </c>
      <c r="J269" s="31">
        <f>РЕАЛИЗАЦИЯ[[#This Row],[СОНИ]]*РЕАЛИЗАЦИЯ[[#This Row],[ТАННАРХ]]</f>
        <v>2306900</v>
      </c>
      <c r="K269" s="31">
        <f>РЕАЛИЗАЦИЯ[[#This Row],[ЖАМИ]]-РЕАЛИЗАЦИЯ[[#This Row],[ЖАМИ2]]</f>
        <v>100300</v>
      </c>
      <c r="L269" s="31"/>
    </row>
    <row r="270" spans="1:12" ht="15" customHeight="1" x14ac:dyDescent="0.3">
      <c r="A270" s="3">
        <v>46202</v>
      </c>
      <c r="B270" s="4" t="s">
        <v>793</v>
      </c>
      <c r="C270" s="87" t="s">
        <v>605</v>
      </c>
      <c r="D270" s="87" t="s">
        <v>7</v>
      </c>
      <c r="E270" s="31">
        <v>1013.6</v>
      </c>
      <c r="F270" s="31">
        <v>24000</v>
      </c>
      <c r="G270" s="50">
        <f>РЕАЛИЗАЦИЯ[[#This Row],[СОНИ]]*РЕАЛИЗАЦИЯ[[#This Row],[НАРХИ]]</f>
        <v>24326400</v>
      </c>
      <c r="I270" s="57">
        <v>22000</v>
      </c>
      <c r="J270" s="31">
        <f>РЕАЛИЗАЦИЯ[[#This Row],[СОНИ]]*РЕАЛИЗАЦИЯ[[#This Row],[ТАННАРХ]]</f>
        <v>22299200</v>
      </c>
      <c r="K270" s="31">
        <f>РЕАЛИЗАЦИЯ[[#This Row],[ЖАМИ]]-РЕАЛИЗАЦИЯ[[#This Row],[ЖАМИ2]]</f>
        <v>2027200</v>
      </c>
      <c r="L270" s="31"/>
    </row>
    <row r="271" spans="1:12" ht="15" customHeight="1" x14ac:dyDescent="0.3">
      <c r="A271" s="3">
        <v>46202</v>
      </c>
      <c r="B271" s="4" t="s">
        <v>158</v>
      </c>
      <c r="C271" s="87" t="s">
        <v>973</v>
      </c>
      <c r="D271" s="87" t="s">
        <v>7</v>
      </c>
      <c r="E271" s="31">
        <v>99.5</v>
      </c>
      <c r="F271" s="31">
        <v>25000</v>
      </c>
      <c r="G271" s="50">
        <f>РЕАЛИЗАЦИЯ[[#This Row],[СОНИ]]*РЕАЛИЗАЦИЯ[[#This Row],[НАРХИ]]</f>
        <v>2487500</v>
      </c>
      <c r="I271" s="80">
        <v>23000</v>
      </c>
      <c r="J271" s="31">
        <f>РЕАЛИЗАЦИЯ[[#This Row],[СОНИ]]*РЕАЛИЗАЦИЯ[[#This Row],[ТАННАРХ]]</f>
        <v>2288500</v>
      </c>
      <c r="K271" s="31">
        <f>РЕАЛИЗАЦИЯ[[#This Row],[ЖАМИ]]-РЕАЛИЗАЦИЯ[[#This Row],[ЖАМИ2]]</f>
        <v>199000</v>
      </c>
      <c r="L271" s="31"/>
    </row>
    <row r="272" spans="1:12" ht="15" customHeight="1" x14ac:dyDescent="0.3">
      <c r="A272" s="3">
        <v>46202</v>
      </c>
      <c r="B272" s="4" t="s">
        <v>450</v>
      </c>
      <c r="C272" s="297" t="s">
        <v>43</v>
      </c>
      <c r="D272" s="297" t="s">
        <v>7</v>
      </c>
      <c r="E272" s="31">
        <v>101.8</v>
      </c>
      <c r="F272" s="31">
        <v>14500</v>
      </c>
      <c r="G272" s="50">
        <f>РЕАЛИЗАЦИЯ[[#This Row],[СОНИ]]*РЕАЛИЗАЦИЯ[[#This Row],[НАРХИ]]</f>
        <v>1476100</v>
      </c>
      <c r="I272" s="57">
        <v>14000</v>
      </c>
      <c r="J272" s="31">
        <f>РЕАЛИЗАЦИЯ[[#This Row],[СОНИ]]*РЕАЛИЗАЦИЯ[[#This Row],[ТАННАРХ]]</f>
        <v>1425200</v>
      </c>
      <c r="K272" s="31">
        <f>РЕАЛИЗАЦИЯ[[#This Row],[ЖАМИ]]-РЕАЛИЗАЦИЯ[[#This Row],[ЖАМИ2]]</f>
        <v>50900</v>
      </c>
      <c r="L272" s="31"/>
    </row>
    <row r="273" spans="1:12" ht="15" customHeight="1" x14ac:dyDescent="0.3">
      <c r="A273" s="3">
        <v>46202</v>
      </c>
      <c r="B273" s="4" t="s">
        <v>377</v>
      </c>
      <c r="C273" s="135" t="s">
        <v>43</v>
      </c>
      <c r="D273" s="135" t="s">
        <v>7</v>
      </c>
      <c r="E273" s="31">
        <v>49.9</v>
      </c>
      <c r="F273" s="31">
        <v>16000</v>
      </c>
      <c r="G273" s="50">
        <f>РЕАЛИЗАЦИЯ[[#This Row],[СОНИ]]*РЕАЛИЗАЦИЯ[[#This Row],[НАРХИ]]</f>
        <v>798400</v>
      </c>
      <c r="I273" s="57">
        <v>14000</v>
      </c>
      <c r="J273" s="31">
        <f>РЕАЛИЗАЦИЯ[[#This Row],[СОНИ]]*РЕАЛИЗАЦИЯ[[#This Row],[ТАННАРХ]]</f>
        <v>698600</v>
      </c>
      <c r="K273" s="31">
        <f>РЕАЛИЗАЦИЯ[[#This Row],[ЖАМИ]]-РЕАЛИЗАЦИЯ[[#This Row],[ЖАМИ2]]</f>
        <v>99800</v>
      </c>
      <c r="L273" s="31"/>
    </row>
    <row r="274" spans="1:12" ht="15" customHeight="1" x14ac:dyDescent="0.3">
      <c r="A274" s="3">
        <v>46202</v>
      </c>
      <c r="B274" s="4" t="s">
        <v>676</v>
      </c>
      <c r="C274" s="135" t="s">
        <v>44</v>
      </c>
      <c r="D274" s="135" t="s">
        <v>7</v>
      </c>
      <c r="E274" s="31">
        <v>48.3</v>
      </c>
      <c r="F274" s="31">
        <v>24000</v>
      </c>
      <c r="G274" s="50">
        <f>РЕАЛИЗАЦИЯ[[#This Row],[СОНИ]]*РЕАЛИЗАЦИЯ[[#This Row],[НАРХИ]]</f>
        <v>1159200</v>
      </c>
      <c r="I274" s="57">
        <v>18000</v>
      </c>
      <c r="J274" s="31">
        <f>РЕАЛИЗАЦИЯ[[#This Row],[СОНИ]]*РЕАЛИЗАЦИЯ[[#This Row],[ТАННАРХ]]</f>
        <v>869400</v>
      </c>
      <c r="K274" s="31">
        <f>РЕАЛИЗАЦИЯ[[#This Row],[ЖАМИ]]-РЕАЛИЗАЦИЯ[[#This Row],[ЖАМИ2]]</f>
        <v>289800</v>
      </c>
      <c r="L274" s="31"/>
    </row>
    <row r="275" spans="1:12" ht="15" customHeight="1" x14ac:dyDescent="0.3">
      <c r="A275" s="3">
        <v>46203</v>
      </c>
      <c r="B275" s="4" t="s">
        <v>681</v>
      </c>
      <c r="C275" s="87" t="s">
        <v>43</v>
      </c>
      <c r="D275" s="87" t="s">
        <v>7</v>
      </c>
      <c r="E275" s="31">
        <v>588.6</v>
      </c>
      <c r="F275" s="31">
        <v>15500</v>
      </c>
      <c r="G275" s="50">
        <f>РЕАЛИЗАЦИЯ[[#This Row],[СОНИ]]*РЕАЛИЗАЦИЯ[[#This Row],[НАРХИ]]</f>
        <v>9123300</v>
      </c>
      <c r="I275" s="57">
        <v>14000</v>
      </c>
      <c r="J275" s="31">
        <f>РЕАЛИЗАЦИЯ[[#This Row],[СОНИ]]*РЕАЛИЗАЦИЯ[[#This Row],[ТАННАРХ]]</f>
        <v>8240400</v>
      </c>
      <c r="K275" s="31">
        <f>РЕАЛИЗАЦИЯ[[#This Row],[ЖАМИ]]-РЕАЛИЗАЦИЯ[[#This Row],[ЖАМИ2]]</f>
        <v>882900</v>
      </c>
      <c r="L275" s="31"/>
    </row>
    <row r="276" spans="1:12" ht="15" customHeight="1" x14ac:dyDescent="0.3">
      <c r="A276" s="3">
        <v>46203</v>
      </c>
      <c r="B276" s="4" t="s">
        <v>681</v>
      </c>
      <c r="C276" s="87" t="s">
        <v>904</v>
      </c>
      <c r="D276" s="87" t="s">
        <v>7</v>
      </c>
      <c r="E276" s="31">
        <v>90.4</v>
      </c>
      <c r="F276" s="31">
        <v>23000</v>
      </c>
      <c r="G276" s="50">
        <f>РЕАЛИЗАЦИЯ[[#This Row],[СОНИ]]*РЕАЛИЗАЦИЯ[[#This Row],[НАРХИ]]</f>
        <v>2079200.0000000002</v>
      </c>
      <c r="I276" s="57">
        <v>21000</v>
      </c>
      <c r="J276" s="31">
        <f>РЕАЛИЗАЦИЯ[[#This Row],[СОНИ]]*РЕАЛИЗАЦИЯ[[#This Row],[ТАННАРХ]]</f>
        <v>1898400.0000000002</v>
      </c>
      <c r="K276" s="31">
        <f>РЕАЛИЗАЦИЯ[[#This Row],[ЖАМИ]]-РЕАЛИЗАЦИЯ[[#This Row],[ЖАМИ2]]</f>
        <v>180800</v>
      </c>
      <c r="L276" s="31"/>
    </row>
    <row r="277" spans="1:12" ht="15" customHeight="1" x14ac:dyDescent="0.3">
      <c r="A277" s="3">
        <v>46203</v>
      </c>
      <c r="B277" s="4" t="s">
        <v>351</v>
      </c>
      <c r="C277" s="87" t="s">
        <v>904</v>
      </c>
      <c r="D277" s="87" t="s">
        <v>7</v>
      </c>
      <c r="E277" s="31">
        <v>45.9</v>
      </c>
      <c r="F277" s="31">
        <v>23000</v>
      </c>
      <c r="G277" s="50">
        <f>РЕАЛИЗАЦИЯ[[#This Row],[СОНИ]]*РЕАЛИЗАЦИЯ[[#This Row],[НАРХИ]]</f>
        <v>1055700</v>
      </c>
      <c r="I277" s="57">
        <v>21000</v>
      </c>
      <c r="J277" s="31">
        <f>РЕАЛИЗАЦИЯ[[#This Row],[СОНИ]]*РЕАЛИЗАЦИЯ[[#This Row],[ТАННАРХ]]</f>
        <v>963900</v>
      </c>
      <c r="K277" s="31">
        <f>РЕАЛИЗАЦИЯ[[#This Row],[ЖАМИ]]-РЕАЛИЗАЦИЯ[[#This Row],[ЖАМИ2]]</f>
        <v>91800</v>
      </c>
      <c r="L277" s="31"/>
    </row>
    <row r="278" spans="1:12" ht="15" customHeight="1" x14ac:dyDescent="0.3">
      <c r="A278" s="3">
        <v>46203</v>
      </c>
      <c r="B278" s="4" t="s">
        <v>82</v>
      </c>
      <c r="C278" s="87" t="s">
        <v>904</v>
      </c>
      <c r="D278" s="87" t="s">
        <v>7</v>
      </c>
      <c r="E278" s="31">
        <v>278</v>
      </c>
      <c r="F278" s="31">
        <v>23000</v>
      </c>
      <c r="G278" s="50">
        <f>РЕАЛИЗАЦИЯ[[#This Row],[СОНИ]]*РЕАЛИЗАЦИЯ[[#This Row],[НАРХИ]]</f>
        <v>6394000</v>
      </c>
      <c r="I278" s="57">
        <v>21000</v>
      </c>
      <c r="J278" s="31">
        <f>РЕАЛИЗАЦИЯ[[#This Row],[СОНИ]]*РЕАЛИЗАЦИЯ[[#This Row],[ТАННАРХ]]</f>
        <v>5838000</v>
      </c>
      <c r="K278" s="31">
        <f>РЕАЛИЗАЦИЯ[[#This Row],[ЖАМИ]]-РЕАЛИЗАЦИЯ[[#This Row],[ЖАМИ2]]</f>
        <v>556000</v>
      </c>
      <c r="L278" s="31"/>
    </row>
    <row r="279" spans="1:12" ht="15" customHeight="1" x14ac:dyDescent="0.3">
      <c r="A279" s="3">
        <v>46203</v>
      </c>
      <c r="B279" s="4" t="s">
        <v>82</v>
      </c>
      <c r="C279" s="87" t="s">
        <v>43</v>
      </c>
      <c r="D279" s="87" t="s">
        <v>7</v>
      </c>
      <c r="E279" s="31">
        <v>49.4</v>
      </c>
      <c r="F279" s="31">
        <v>16000</v>
      </c>
      <c r="G279" s="50">
        <f>РЕАЛИЗАЦИЯ[[#This Row],[СОНИ]]*РЕАЛИЗАЦИЯ[[#This Row],[НАРХИ]]</f>
        <v>790400</v>
      </c>
      <c r="I279" s="57">
        <v>14000</v>
      </c>
      <c r="J279" s="31">
        <f>РЕАЛИЗАЦИЯ[[#This Row],[СОНИ]]*РЕАЛИЗАЦИЯ[[#This Row],[ТАННАРХ]]</f>
        <v>691600</v>
      </c>
      <c r="K279" s="31">
        <f>РЕАЛИЗАЦИЯ[[#This Row],[ЖАМИ]]-РЕАЛИЗАЦИЯ[[#This Row],[ЖАМИ2]]</f>
        <v>98800</v>
      </c>
      <c r="L279" s="31"/>
    </row>
    <row r="280" spans="1:12" ht="14.25" customHeight="1" x14ac:dyDescent="0.3">
      <c r="A280" s="3">
        <v>46203</v>
      </c>
      <c r="B280" s="4" t="s">
        <v>782</v>
      </c>
      <c r="C280" s="87" t="s">
        <v>44</v>
      </c>
      <c r="D280" s="87" t="s">
        <v>7</v>
      </c>
      <c r="E280" s="31">
        <v>953.7</v>
      </c>
      <c r="F280" s="31">
        <v>19000</v>
      </c>
      <c r="G280" s="50">
        <f>РЕАЛИЗАЦИЯ[[#This Row],[СОНИ]]*РЕАЛИЗАЦИЯ[[#This Row],[НАРХИ]]</f>
        <v>18120300</v>
      </c>
      <c r="I280" s="57">
        <v>18000</v>
      </c>
      <c r="J280" s="31">
        <f>РЕАЛИЗАЦИЯ[[#This Row],[СОНИ]]*РЕАЛИЗАЦИЯ[[#This Row],[ТАННАРХ]]</f>
        <v>17166600</v>
      </c>
      <c r="K280" s="31">
        <f>РЕАЛИЗАЦИЯ[[#This Row],[ЖАМИ]]-РЕАЛИЗАЦИЯ[[#This Row],[ЖАМИ2]]</f>
        <v>953700</v>
      </c>
      <c r="L280" s="31"/>
    </row>
    <row r="281" spans="1:12" s="300" customFormat="1" ht="14.25" customHeight="1" x14ac:dyDescent="0.3">
      <c r="A281" s="3"/>
      <c r="B281" s="4"/>
      <c r="E281" s="31"/>
      <c r="F281" s="31"/>
      <c r="G281" s="50">
        <f>РЕАЛИЗАЦИЯ[[#This Row],[СОНИ]]*РЕАЛИЗАЦИЯ[[#This Row],[НАРХИ]]</f>
        <v>0</v>
      </c>
      <c r="H281" s="31"/>
      <c r="I281" s="288"/>
      <c r="J281" s="31">
        <f>РЕАЛИЗАЦИЯ[[#This Row],[СОНИ]]*РЕАЛИЗАЦИЯ[[#This Row],[ТАННАРХ]]</f>
        <v>0</v>
      </c>
      <c r="K281" s="31">
        <f>РЕАЛИЗАЦИЯ[[#This Row],[ЖАМИ]]-РЕАЛИЗАЦИЯ[[#This Row],[ЖАМИ2]]</f>
        <v>0</v>
      </c>
      <c r="L281" s="31"/>
    </row>
    <row r="282" spans="1:12" s="300" customFormat="1" ht="12.75" customHeight="1" x14ac:dyDescent="0.3">
      <c r="A282" s="3"/>
      <c r="B282" s="4"/>
      <c r="E282" s="31" t="s">
        <v>985</v>
      </c>
      <c r="F282" s="31"/>
      <c r="G282" s="50">
        <v>0</v>
      </c>
      <c r="H282" s="31"/>
      <c r="I282" s="288"/>
      <c r="J282" s="31">
        <v>0</v>
      </c>
      <c r="K282" s="31">
        <v>0</v>
      </c>
      <c r="L282" s="31"/>
    </row>
    <row r="283" spans="1:12" ht="15" customHeight="1" x14ac:dyDescent="0.3">
      <c r="A283" s="3">
        <v>46204</v>
      </c>
      <c r="B283" s="4" t="s">
        <v>343</v>
      </c>
      <c r="C283" s="87" t="s">
        <v>43</v>
      </c>
      <c r="D283" s="87" t="s">
        <v>7</v>
      </c>
      <c r="E283" s="31">
        <v>42.8</v>
      </c>
      <c r="F283" s="31">
        <v>16000</v>
      </c>
      <c r="G283" s="50">
        <f>РЕАЛИЗАЦИЯ[[#This Row],[СОНИ]]*РЕАЛИЗАЦИЯ[[#This Row],[НАРХИ]]</f>
        <v>684800</v>
      </c>
      <c r="I283" s="80">
        <v>14000</v>
      </c>
      <c r="J283" s="31">
        <f>РЕАЛИЗАЦИЯ[[#This Row],[СОНИ]]*РЕАЛИЗАЦИЯ[[#This Row],[ТАННАРХ]]</f>
        <v>599200</v>
      </c>
      <c r="K283" s="31">
        <f>РЕАЛИЗАЦИЯ[[#This Row],[ЖАМИ]]-РЕАЛИЗАЦИЯ[[#This Row],[ЖАМИ2]]</f>
        <v>85600</v>
      </c>
      <c r="L283" s="31"/>
    </row>
    <row r="284" spans="1:12" ht="15" customHeight="1" x14ac:dyDescent="0.3">
      <c r="A284" s="3">
        <v>46204</v>
      </c>
      <c r="B284" s="4" t="s">
        <v>343</v>
      </c>
      <c r="C284" s="87" t="s">
        <v>904</v>
      </c>
      <c r="D284" s="87" t="s">
        <v>7</v>
      </c>
      <c r="E284" s="31">
        <v>46.2</v>
      </c>
      <c r="F284" s="31">
        <v>23000</v>
      </c>
      <c r="G284" s="50">
        <f>РЕАЛИЗАЦИЯ[[#This Row],[СОНИ]]*РЕАЛИЗАЦИЯ[[#This Row],[НАРХИ]]</f>
        <v>1062600</v>
      </c>
      <c r="I284" s="57">
        <v>21000</v>
      </c>
      <c r="J284" s="31">
        <f>РЕАЛИЗАЦИЯ[[#This Row],[СОНИ]]*РЕАЛИЗАЦИЯ[[#This Row],[ТАННАРХ]]</f>
        <v>970200.00000000012</v>
      </c>
      <c r="K284" s="31">
        <f>РЕАЛИЗАЦИЯ[[#This Row],[ЖАМИ]]-РЕАЛИЗАЦИЯ[[#This Row],[ЖАМИ2]]</f>
        <v>92399.999999999884</v>
      </c>
      <c r="L284" s="31"/>
    </row>
    <row r="285" spans="1:12" ht="15" customHeight="1" x14ac:dyDescent="0.3">
      <c r="A285" s="3">
        <v>46204</v>
      </c>
      <c r="B285" s="4" t="s">
        <v>329</v>
      </c>
      <c r="C285" s="87" t="s">
        <v>904</v>
      </c>
      <c r="D285" s="87" t="s">
        <v>7</v>
      </c>
      <c r="E285" s="31">
        <v>47.7</v>
      </c>
      <c r="F285" s="31">
        <v>23000</v>
      </c>
      <c r="G285" s="50">
        <f>РЕАЛИЗАЦИЯ[[#This Row],[СОНИ]]*РЕАЛИЗАЦИЯ[[#This Row],[НАРХИ]]</f>
        <v>1097100</v>
      </c>
      <c r="I285" s="57">
        <v>21000</v>
      </c>
      <c r="J285" s="31">
        <f>РЕАЛИЗАЦИЯ[[#This Row],[СОНИ]]*РЕАЛИЗАЦИЯ[[#This Row],[ТАННАРХ]]</f>
        <v>1001700.0000000001</v>
      </c>
      <c r="K285" s="31">
        <f>РЕАЛИЗАЦИЯ[[#This Row],[ЖАМИ]]-РЕАЛИЗАЦИЯ[[#This Row],[ЖАМИ2]]</f>
        <v>95399.999999999884</v>
      </c>
      <c r="L285" s="31"/>
    </row>
    <row r="286" spans="1:12" ht="15" customHeight="1" x14ac:dyDescent="0.3">
      <c r="A286" s="3">
        <v>46204</v>
      </c>
      <c r="B286" s="4" t="s">
        <v>754</v>
      </c>
      <c r="C286" s="87" t="s">
        <v>904</v>
      </c>
      <c r="D286" s="87" t="s">
        <v>7</v>
      </c>
      <c r="E286" s="31">
        <v>158.1</v>
      </c>
      <c r="F286" s="31">
        <v>23000</v>
      </c>
      <c r="G286" s="50">
        <f>РЕАЛИЗАЦИЯ[[#This Row],[СОНИ]]*РЕАЛИЗАЦИЯ[[#This Row],[НАРХИ]]</f>
        <v>3636300</v>
      </c>
      <c r="I286" s="57">
        <v>21000</v>
      </c>
      <c r="J286" s="31">
        <f>РЕАЛИЗАЦИЯ[[#This Row],[СОНИ]]*РЕАЛИЗАЦИЯ[[#This Row],[ТАННАРХ]]</f>
        <v>3320100</v>
      </c>
      <c r="K286" s="31">
        <f>РЕАЛИЗАЦИЯ[[#This Row],[ЖАМИ]]-РЕАЛИЗАЦИЯ[[#This Row],[ЖАМИ2]]</f>
        <v>316200</v>
      </c>
      <c r="L286" s="31"/>
    </row>
    <row r="287" spans="1:12" ht="15" customHeight="1" x14ac:dyDescent="0.3">
      <c r="A287" s="3">
        <v>46204</v>
      </c>
      <c r="B287" s="4" t="s">
        <v>754</v>
      </c>
      <c r="C287" s="87" t="s">
        <v>43</v>
      </c>
      <c r="D287" s="87" t="s">
        <v>7</v>
      </c>
      <c r="E287" s="31">
        <v>100.6</v>
      </c>
      <c r="F287" s="31">
        <v>16000</v>
      </c>
      <c r="G287" s="50">
        <f>РЕАЛИЗАЦИЯ[[#This Row],[СОНИ]]*РЕАЛИЗАЦИЯ[[#This Row],[НАРХИ]]</f>
        <v>1609600</v>
      </c>
      <c r="I287" s="80">
        <v>14000</v>
      </c>
      <c r="J287" s="31">
        <f>РЕАЛИЗАЦИЯ[[#This Row],[СОНИ]]*РЕАЛИЗАЦИЯ[[#This Row],[ТАННАРХ]]</f>
        <v>1408400</v>
      </c>
      <c r="K287" s="31">
        <f>РЕАЛИЗАЦИЯ[[#This Row],[ЖАМИ]]-РЕАЛИЗАЦИЯ[[#This Row],[ЖАМИ2]]</f>
        <v>201200</v>
      </c>
      <c r="L287" s="31"/>
    </row>
    <row r="288" spans="1:12" ht="15" customHeight="1" x14ac:dyDescent="0.3">
      <c r="A288" s="3">
        <v>46204</v>
      </c>
      <c r="B288" s="4" t="s">
        <v>552</v>
      </c>
      <c r="C288" s="87" t="s">
        <v>593</v>
      </c>
      <c r="D288" s="87" t="s">
        <v>7</v>
      </c>
      <c r="E288" s="31">
        <v>1639.9</v>
      </c>
      <c r="F288" s="31">
        <v>30000</v>
      </c>
      <c r="G288" s="50">
        <f>РЕАЛИЗАЦИЯ[[#This Row],[СОНИ]]*РЕАЛИЗАЦИЯ[[#This Row],[НАРХИ]]</f>
        <v>49197000</v>
      </c>
      <c r="I288" s="80">
        <v>25000</v>
      </c>
      <c r="J288" s="31">
        <f>РЕАЛИЗАЦИЯ[[#This Row],[СОНИ]]*РЕАЛИЗАЦИЯ[[#This Row],[ТАННАРХ]]</f>
        <v>40997500</v>
      </c>
      <c r="K288" s="31">
        <f>РЕАЛИЗАЦИЯ[[#This Row],[ЖАМИ]]-РЕАЛИЗАЦИЯ[[#This Row],[ЖАМИ2]]</f>
        <v>8199500</v>
      </c>
      <c r="L288" s="31"/>
    </row>
    <row r="289" spans="1:12" ht="15" customHeight="1" x14ac:dyDescent="0.3">
      <c r="A289" s="3">
        <v>46205</v>
      </c>
      <c r="B289" s="4" t="s">
        <v>565</v>
      </c>
      <c r="C289" s="87" t="s">
        <v>593</v>
      </c>
      <c r="D289" s="87" t="s">
        <v>7</v>
      </c>
      <c r="E289" s="31">
        <v>937.7</v>
      </c>
      <c r="F289" s="31">
        <v>27000</v>
      </c>
      <c r="G289" s="50">
        <f>РЕАЛИЗАЦИЯ[[#This Row],[СОНИ]]*РЕАЛИЗАЦИЯ[[#This Row],[НАРХИ]]</f>
        <v>25317900</v>
      </c>
      <c r="I289" s="80">
        <v>25500</v>
      </c>
      <c r="J289" s="31">
        <f>РЕАЛИЗАЦИЯ[[#This Row],[СОНИ]]*РЕАЛИЗАЦИЯ[[#This Row],[ТАННАРХ]]</f>
        <v>23911350</v>
      </c>
      <c r="K289" s="31">
        <f>РЕАЛИЗАЦИЯ[[#This Row],[ЖАМИ]]-РЕАЛИЗАЦИЯ[[#This Row],[ЖАМИ2]]</f>
        <v>1406550</v>
      </c>
      <c r="L289" s="31"/>
    </row>
    <row r="290" spans="1:12" ht="15" customHeight="1" x14ac:dyDescent="0.3">
      <c r="A290" s="3">
        <v>46205</v>
      </c>
      <c r="B290" s="4" t="s">
        <v>558</v>
      </c>
      <c r="C290" s="87" t="s">
        <v>43</v>
      </c>
      <c r="D290" s="87" t="s">
        <v>7</v>
      </c>
      <c r="E290" s="31">
        <v>890.3</v>
      </c>
      <c r="F290" s="31">
        <v>16000</v>
      </c>
      <c r="G290" s="50">
        <f>РЕАЛИЗАЦИЯ[[#This Row],[СОНИ]]*РЕАЛИЗАЦИЯ[[#This Row],[НАРХИ]]</f>
        <v>14244800</v>
      </c>
      <c r="I290" s="80">
        <v>14000</v>
      </c>
      <c r="J290" s="31">
        <f>РЕАЛИЗАЦИЯ[[#This Row],[СОНИ]]*РЕАЛИЗАЦИЯ[[#This Row],[ТАННАРХ]]</f>
        <v>12464200</v>
      </c>
      <c r="K290" s="31">
        <f>РЕАЛИЗАЦИЯ[[#This Row],[ЖАМИ]]-РЕАЛИЗАЦИЯ[[#This Row],[ЖАМИ2]]</f>
        <v>1780600</v>
      </c>
      <c r="L290" s="31"/>
    </row>
    <row r="291" spans="1:12" ht="15" customHeight="1" x14ac:dyDescent="0.3">
      <c r="A291" s="3">
        <v>46205</v>
      </c>
      <c r="B291" s="4" t="s">
        <v>448</v>
      </c>
      <c r="C291" s="87" t="s">
        <v>904</v>
      </c>
      <c r="D291" s="87" t="s">
        <v>7</v>
      </c>
      <c r="E291" s="31">
        <v>46.6</v>
      </c>
      <c r="F291" s="31">
        <v>23000</v>
      </c>
      <c r="G291" s="50">
        <f>РЕАЛИЗАЦИЯ[[#This Row],[СОНИ]]*РЕАЛИЗАЦИЯ[[#This Row],[НАРХИ]]</f>
        <v>1071800</v>
      </c>
      <c r="I291" s="57">
        <v>21000</v>
      </c>
      <c r="J291" s="31">
        <f>РЕАЛИЗАЦИЯ[[#This Row],[СОНИ]]*РЕАЛИЗАЦИЯ[[#This Row],[ТАННАРХ]]</f>
        <v>978600</v>
      </c>
      <c r="K291" s="31">
        <f>РЕАЛИЗАЦИЯ[[#This Row],[ЖАМИ]]-РЕАЛИЗАЦИЯ[[#This Row],[ЖАМИ2]]</f>
        <v>93200</v>
      </c>
      <c r="L291" s="31"/>
    </row>
    <row r="292" spans="1:12" ht="15" customHeight="1" x14ac:dyDescent="0.3">
      <c r="A292" s="3">
        <v>46205</v>
      </c>
      <c r="B292" s="4" t="s">
        <v>557</v>
      </c>
      <c r="C292" s="87" t="s">
        <v>904</v>
      </c>
      <c r="D292" s="87" t="s">
        <v>7</v>
      </c>
      <c r="E292" s="31">
        <v>528.4</v>
      </c>
      <c r="F292" s="31">
        <v>23000</v>
      </c>
      <c r="G292" s="50">
        <f>РЕАЛИЗАЦИЯ[[#This Row],[СОНИ]]*РЕАЛИЗАЦИЯ[[#This Row],[НАРХИ]]</f>
        <v>12153200</v>
      </c>
      <c r="I292" s="57">
        <v>21000</v>
      </c>
      <c r="J292" s="31">
        <f>РЕАЛИЗАЦИЯ[[#This Row],[СОНИ]]*РЕАЛИЗАЦИЯ[[#This Row],[ТАННАРХ]]</f>
        <v>11096400</v>
      </c>
      <c r="K292" s="31">
        <f>РЕАЛИЗАЦИЯ[[#This Row],[ЖАМИ]]-РЕАЛИЗАЦИЯ[[#This Row],[ЖАМИ2]]</f>
        <v>1056800</v>
      </c>
      <c r="L292" s="31"/>
    </row>
    <row r="293" spans="1:12" ht="15" customHeight="1" x14ac:dyDescent="0.3">
      <c r="A293" s="3">
        <v>46205</v>
      </c>
      <c r="B293" s="4" t="s">
        <v>318</v>
      </c>
      <c r="C293" s="87" t="s">
        <v>904</v>
      </c>
      <c r="D293" s="87" t="s">
        <v>7</v>
      </c>
      <c r="E293" s="31">
        <v>51.4</v>
      </c>
      <c r="F293" s="31">
        <v>23000</v>
      </c>
      <c r="G293" s="50">
        <f>РЕАЛИЗАЦИЯ[[#This Row],[СОНИ]]*РЕАЛИЗАЦИЯ[[#This Row],[НАРХИ]]</f>
        <v>1182200</v>
      </c>
      <c r="I293" s="57">
        <v>21000</v>
      </c>
      <c r="J293" s="31">
        <f>РЕАЛИЗАЦИЯ[[#This Row],[СОНИ]]*РЕАЛИЗАЦИЯ[[#This Row],[ТАННАРХ]]</f>
        <v>1079400</v>
      </c>
      <c r="K293" s="31">
        <f>РЕАЛИЗАЦИЯ[[#This Row],[ЖАМИ]]-РЕАЛИЗАЦИЯ[[#This Row],[ЖАМИ2]]</f>
        <v>102800</v>
      </c>
      <c r="L293" s="31"/>
    </row>
    <row r="294" spans="1:12" ht="15" customHeight="1" x14ac:dyDescent="0.3">
      <c r="A294" s="3">
        <v>46205</v>
      </c>
      <c r="B294" s="4" t="s">
        <v>567</v>
      </c>
      <c r="C294" s="87" t="s">
        <v>904</v>
      </c>
      <c r="D294" s="87" t="s">
        <v>7</v>
      </c>
      <c r="E294" s="31">
        <v>96</v>
      </c>
      <c r="F294" s="31">
        <v>23000</v>
      </c>
      <c r="G294" s="50">
        <f>РЕАЛИЗАЦИЯ[[#This Row],[СОНИ]]*РЕАЛИЗАЦИЯ[[#This Row],[НАРХИ]]</f>
        <v>2208000</v>
      </c>
      <c r="I294" s="57">
        <v>21000</v>
      </c>
      <c r="J294" s="31">
        <f>РЕАЛИЗАЦИЯ[[#This Row],[СОНИ]]*РЕАЛИЗАЦИЯ[[#This Row],[ТАННАРХ]]</f>
        <v>2016000</v>
      </c>
      <c r="K294" s="31">
        <f>РЕАЛИЗАЦИЯ[[#This Row],[ЖАМИ]]-РЕАЛИЗАЦИЯ[[#This Row],[ЖАМИ2]]</f>
        <v>192000</v>
      </c>
      <c r="L294" s="31"/>
    </row>
    <row r="295" spans="1:12" ht="15" customHeight="1" x14ac:dyDescent="0.3">
      <c r="A295" s="3">
        <v>46205</v>
      </c>
      <c r="B295" s="4" t="s">
        <v>83</v>
      </c>
      <c r="C295" s="87" t="s">
        <v>43</v>
      </c>
      <c r="D295" s="87" t="s">
        <v>7</v>
      </c>
      <c r="E295" s="31">
        <v>985.1</v>
      </c>
      <c r="F295" s="31">
        <v>16000</v>
      </c>
      <c r="G295" s="50">
        <f>РЕАЛИЗАЦИЯ[[#This Row],[СОНИ]]*РЕАЛИЗАЦИЯ[[#This Row],[НАРХИ]]</f>
        <v>15761600</v>
      </c>
      <c r="I295" s="80">
        <v>14000</v>
      </c>
      <c r="J295" s="31">
        <f>РЕАЛИЗАЦИЯ[[#This Row],[СОНИ]]*РЕАЛИЗАЦИЯ[[#This Row],[ТАННАРХ]]</f>
        <v>13791400</v>
      </c>
      <c r="K295" s="31">
        <f>РЕАЛИЗАЦИЯ[[#This Row],[ЖАМИ]]-РЕАЛИЗАЦИЯ[[#This Row],[ЖАМИ2]]</f>
        <v>1970200</v>
      </c>
      <c r="L295" s="31"/>
    </row>
    <row r="296" spans="1:12" ht="15" customHeight="1" x14ac:dyDescent="0.3">
      <c r="A296" s="3">
        <v>46205</v>
      </c>
      <c r="B296" s="4" t="s">
        <v>83</v>
      </c>
      <c r="C296" s="87" t="s">
        <v>973</v>
      </c>
      <c r="D296" s="87" t="s">
        <v>7</v>
      </c>
      <c r="E296" s="31">
        <v>282.10000000000002</v>
      </c>
      <c r="F296" s="31">
        <v>24500</v>
      </c>
      <c r="G296" s="50">
        <f>РЕАЛИЗАЦИЯ[[#This Row],[СОНИ]]*РЕАЛИЗАЦИЯ[[#This Row],[НАРХИ]]</f>
        <v>6911450.0000000009</v>
      </c>
      <c r="I296" s="80">
        <v>23000</v>
      </c>
      <c r="J296" s="31">
        <f>РЕАЛИЗАЦИЯ[[#This Row],[СОНИ]]*РЕАЛИЗАЦИЯ[[#This Row],[ТАННАРХ]]</f>
        <v>6488300.0000000009</v>
      </c>
      <c r="K296" s="31">
        <f>РЕАЛИЗАЦИЯ[[#This Row],[ЖАМИ]]-РЕАЛИЗАЦИЯ[[#This Row],[ЖАМИ2]]</f>
        <v>423150</v>
      </c>
      <c r="L296" s="31"/>
    </row>
    <row r="297" spans="1:12" ht="15" customHeight="1" x14ac:dyDescent="0.3">
      <c r="A297" s="3">
        <v>46206</v>
      </c>
      <c r="B297" s="4" t="s">
        <v>91</v>
      </c>
      <c r="C297" s="87" t="s">
        <v>904</v>
      </c>
      <c r="D297" s="87" t="s">
        <v>7</v>
      </c>
      <c r="E297" s="31">
        <v>49.3</v>
      </c>
      <c r="F297" s="31">
        <v>23000</v>
      </c>
      <c r="G297" s="50">
        <f>РЕАЛИЗАЦИЯ[[#This Row],[СОНИ]]*РЕАЛИЗАЦИЯ[[#This Row],[НАРХИ]]</f>
        <v>1133900</v>
      </c>
      <c r="I297" s="57">
        <v>21000</v>
      </c>
      <c r="J297" s="31">
        <f>РЕАЛИЗАЦИЯ[[#This Row],[СОНИ]]*РЕАЛИЗАЦИЯ[[#This Row],[ТАННАРХ]]</f>
        <v>1035299.9999999999</v>
      </c>
      <c r="K297" s="31">
        <f>РЕАЛИЗАЦИЯ[[#This Row],[ЖАМИ]]-РЕАЛИЗАЦИЯ[[#This Row],[ЖАМИ2]]</f>
        <v>98600.000000000116</v>
      </c>
      <c r="L297" s="31"/>
    </row>
    <row r="298" spans="1:12" ht="15" customHeight="1" x14ac:dyDescent="0.3">
      <c r="A298" s="3">
        <v>46206</v>
      </c>
      <c r="B298" s="4" t="s">
        <v>91</v>
      </c>
      <c r="C298" s="87" t="s">
        <v>43</v>
      </c>
      <c r="D298" s="87" t="s">
        <v>7</v>
      </c>
      <c r="E298" s="31">
        <v>48.8</v>
      </c>
      <c r="F298" s="31">
        <v>16000</v>
      </c>
      <c r="G298" s="50">
        <f>РЕАЛИЗАЦИЯ[[#This Row],[СОНИ]]*РЕАЛИЗАЦИЯ[[#This Row],[НАРХИ]]</f>
        <v>780800</v>
      </c>
      <c r="I298" s="80">
        <v>14000</v>
      </c>
      <c r="J298" s="31">
        <f>РЕАЛИЗАЦИЯ[[#This Row],[СОНИ]]*РЕАЛИЗАЦИЯ[[#This Row],[ТАННАРХ]]</f>
        <v>683200</v>
      </c>
      <c r="K298" s="31">
        <f>РЕАЛИЗАЦИЯ[[#This Row],[ЖАМИ]]-РЕАЛИЗАЦИЯ[[#This Row],[ЖАМИ2]]</f>
        <v>97600</v>
      </c>
      <c r="L298" s="31"/>
    </row>
    <row r="299" spans="1:12" ht="15" customHeight="1" x14ac:dyDescent="0.3">
      <c r="A299" s="3">
        <v>46206</v>
      </c>
      <c r="B299" s="4" t="s">
        <v>387</v>
      </c>
      <c r="C299" s="87" t="s">
        <v>43</v>
      </c>
      <c r="D299" s="87" t="s">
        <v>7</v>
      </c>
      <c r="E299" s="31">
        <v>48</v>
      </c>
      <c r="F299" s="31">
        <v>16000</v>
      </c>
      <c r="G299" s="50">
        <f>РЕАЛИЗАЦИЯ[[#This Row],[СОНИ]]*РЕАЛИЗАЦИЯ[[#This Row],[НАРХИ]]</f>
        <v>768000</v>
      </c>
      <c r="I299" s="80">
        <v>14000</v>
      </c>
      <c r="J299" s="31">
        <f>РЕАЛИЗАЦИЯ[[#This Row],[СОНИ]]*РЕАЛИЗАЦИЯ[[#This Row],[ТАННАРХ]]</f>
        <v>672000</v>
      </c>
      <c r="K299" s="31">
        <f>РЕАЛИЗАЦИЯ[[#This Row],[ЖАМИ]]-РЕАЛИЗАЦИЯ[[#This Row],[ЖАМИ2]]</f>
        <v>96000</v>
      </c>
      <c r="L299" s="31"/>
    </row>
    <row r="300" spans="1:12" ht="15" customHeight="1" x14ac:dyDescent="0.3">
      <c r="A300" s="3">
        <v>46206</v>
      </c>
      <c r="B300" s="4" t="s">
        <v>556</v>
      </c>
      <c r="C300" s="87" t="s">
        <v>590</v>
      </c>
      <c r="D300" s="87" t="s">
        <v>7</v>
      </c>
      <c r="E300" s="31">
        <v>180.8</v>
      </c>
      <c r="F300" s="31">
        <v>26000</v>
      </c>
      <c r="G300" s="50">
        <f>РЕАЛИЗАЦИЯ[[#This Row],[СОНИ]]*РЕАЛИЗАЦИЯ[[#This Row],[НАРХИ]]</f>
        <v>4700800</v>
      </c>
      <c r="I300" s="80">
        <v>26000</v>
      </c>
      <c r="J300" s="31">
        <f>РЕАЛИЗАЦИЯ[[#This Row],[СОНИ]]*РЕАЛИЗАЦИЯ[[#This Row],[ТАННАРХ]]</f>
        <v>4700800</v>
      </c>
      <c r="K300" s="31">
        <f>РЕАЛИЗАЦИЯ[[#This Row],[ЖАМИ]]-РЕАЛИЗАЦИЯ[[#This Row],[ЖАМИ2]]</f>
        <v>0</v>
      </c>
      <c r="L300" s="31"/>
    </row>
    <row r="301" spans="1:12" ht="15" customHeight="1" x14ac:dyDescent="0.3">
      <c r="A301" s="3">
        <v>46206</v>
      </c>
      <c r="B301" s="4" t="s">
        <v>1004</v>
      </c>
      <c r="C301" s="88" t="s">
        <v>973</v>
      </c>
      <c r="D301" s="88" t="s">
        <v>7</v>
      </c>
      <c r="E301" s="31">
        <v>507.9</v>
      </c>
      <c r="F301" s="31">
        <v>26000</v>
      </c>
      <c r="G301" s="50">
        <f>РЕАЛИЗАЦИЯ[[#This Row],[СОНИ]]*РЕАЛИЗАЦИЯ[[#This Row],[НАРХИ]]</f>
        <v>13205400</v>
      </c>
      <c r="I301" s="80">
        <v>23000</v>
      </c>
      <c r="J301" s="31">
        <f>РЕАЛИЗАЦИЯ[[#This Row],[СОНИ]]*РЕАЛИЗАЦИЯ[[#This Row],[ТАННАРХ]]</f>
        <v>11681700</v>
      </c>
      <c r="K301" s="31">
        <f>РЕАЛИЗАЦИЯ[[#This Row],[ЖАМИ]]-РЕАЛИЗАЦИЯ[[#This Row],[ЖАМИ2]]</f>
        <v>1523700</v>
      </c>
      <c r="L301" s="31"/>
    </row>
    <row r="302" spans="1:12" ht="15" customHeight="1" x14ac:dyDescent="0.3">
      <c r="A302" s="3">
        <v>46206</v>
      </c>
      <c r="B302" s="4" t="s">
        <v>567</v>
      </c>
      <c r="C302" s="88" t="s">
        <v>43</v>
      </c>
      <c r="D302" s="88" t="s">
        <v>7</v>
      </c>
      <c r="E302" s="31">
        <v>51.4</v>
      </c>
      <c r="F302" s="31">
        <v>16000</v>
      </c>
      <c r="G302" s="50">
        <f>РЕАЛИЗАЦИЯ[[#This Row],[СОНИ]]*РЕАЛИЗАЦИЯ[[#This Row],[НАРХИ]]</f>
        <v>822400</v>
      </c>
      <c r="I302" s="80">
        <v>14000</v>
      </c>
      <c r="J302" s="31">
        <f>РЕАЛИЗАЦИЯ[[#This Row],[СОНИ]]*РЕАЛИЗАЦИЯ[[#This Row],[ТАННАРХ]]</f>
        <v>719600</v>
      </c>
      <c r="K302" s="31">
        <f>РЕАЛИЗАЦИЯ[[#This Row],[ЖАМИ]]-РЕАЛИЗАЦИЯ[[#This Row],[ЖАМИ2]]</f>
        <v>102800</v>
      </c>
      <c r="L302" s="31"/>
    </row>
    <row r="303" spans="1:12" ht="15" customHeight="1" x14ac:dyDescent="0.3">
      <c r="A303" s="3">
        <v>46206</v>
      </c>
      <c r="B303" s="4" t="s">
        <v>738</v>
      </c>
      <c r="C303" s="304" t="s">
        <v>904</v>
      </c>
      <c r="D303" s="304" t="s">
        <v>7</v>
      </c>
      <c r="E303" s="31">
        <v>97.7</v>
      </c>
      <c r="F303" s="31">
        <v>22000</v>
      </c>
      <c r="G303" s="50">
        <f>РЕАЛИЗАЦИЯ[[#This Row],[СОНИ]]*РЕАЛИЗАЦИЯ[[#This Row],[НАРХИ]]</f>
        <v>2149400</v>
      </c>
      <c r="I303" s="57">
        <v>21000</v>
      </c>
      <c r="J303" s="31">
        <f>РЕАЛИЗАЦИЯ[[#This Row],[СОНИ]]*РЕАЛИЗАЦИЯ[[#This Row],[ТАННАРХ]]</f>
        <v>2051700</v>
      </c>
      <c r="K303" s="31">
        <f>РЕАЛИЗАЦИЯ[[#This Row],[ЖАМИ]]-РЕАЛИЗАЦИЯ[[#This Row],[ЖАМИ2]]</f>
        <v>97700</v>
      </c>
      <c r="L303" s="31"/>
    </row>
    <row r="304" spans="1:12" s="304" customFormat="1" ht="15" customHeight="1" x14ac:dyDescent="0.3">
      <c r="A304" s="3">
        <v>46207</v>
      </c>
      <c r="B304" s="4" t="s">
        <v>681</v>
      </c>
      <c r="C304" s="88" t="s">
        <v>43</v>
      </c>
      <c r="D304" s="88" t="s">
        <v>7</v>
      </c>
      <c r="E304" s="31">
        <v>99.6</v>
      </c>
      <c r="F304" s="31">
        <v>15500</v>
      </c>
      <c r="G304" s="50">
        <f>РЕАЛИЗАЦИЯ[[#This Row],[СОНИ]]*РЕАЛИЗАЦИЯ[[#This Row],[НАРХИ]]</f>
        <v>1543800</v>
      </c>
      <c r="H304" s="31"/>
      <c r="I304" s="80">
        <v>14000</v>
      </c>
      <c r="J304" s="31">
        <f>РЕАЛИЗАЦИЯ[[#This Row],[СОНИ]]*РЕАЛИЗАЦИЯ[[#This Row],[ТАННАРХ]]</f>
        <v>1394400</v>
      </c>
      <c r="K304" s="31">
        <f>РЕАЛИЗАЦИЯ[[#This Row],[ЖАМИ]]-РЕАЛИЗАЦИЯ[[#This Row],[ЖАМИ2]]</f>
        <v>149400</v>
      </c>
      <c r="L304" s="31"/>
    </row>
    <row r="305" spans="1:12" ht="15" customHeight="1" x14ac:dyDescent="0.3">
      <c r="A305" s="3">
        <v>46207</v>
      </c>
      <c r="B305" s="4" t="s">
        <v>681</v>
      </c>
      <c r="C305" s="88" t="s">
        <v>904</v>
      </c>
      <c r="D305" s="88" t="s">
        <v>7</v>
      </c>
      <c r="E305" s="31">
        <v>372.4</v>
      </c>
      <c r="F305" s="31">
        <v>23000</v>
      </c>
      <c r="G305" s="50">
        <f>РЕАЛИЗАЦИЯ[[#This Row],[СОНИ]]*РЕАЛИЗАЦИЯ[[#This Row],[НАРХИ]]</f>
        <v>8565200</v>
      </c>
      <c r="I305" s="57">
        <v>21000</v>
      </c>
      <c r="J305" s="31">
        <f>РЕАЛИЗАЦИЯ[[#This Row],[СОНИ]]*РЕАЛИЗАЦИЯ[[#This Row],[ТАННАРХ]]</f>
        <v>7820399.9999999991</v>
      </c>
      <c r="K305" s="31">
        <f>РЕАЛИЗАЦИЯ[[#This Row],[ЖАМИ]]-РЕАЛИЗАЦИЯ[[#This Row],[ЖАМИ2]]</f>
        <v>744800.00000000093</v>
      </c>
      <c r="L305" s="31"/>
    </row>
    <row r="306" spans="1:12" ht="15" customHeight="1" x14ac:dyDescent="0.3">
      <c r="A306" s="3">
        <v>46207</v>
      </c>
      <c r="B306" s="4" t="s">
        <v>932</v>
      </c>
      <c r="C306" s="334" t="s">
        <v>973</v>
      </c>
      <c r="D306" s="88" t="s">
        <v>7</v>
      </c>
      <c r="E306" s="31">
        <v>206</v>
      </c>
      <c r="F306" s="31">
        <v>22000</v>
      </c>
      <c r="G306" s="50">
        <f>РЕАЛИЗАЦИЯ[[#This Row],[СОНИ]]*РЕАЛИЗАЦИЯ[[#This Row],[НАРХИ]]</f>
        <v>4532000</v>
      </c>
      <c r="I306" s="80">
        <v>22000</v>
      </c>
      <c r="J306" s="31">
        <f>РЕАЛИЗАЦИЯ[[#This Row],[СОНИ]]*РЕАЛИЗАЦИЯ[[#This Row],[ТАННАРХ]]</f>
        <v>4532000</v>
      </c>
      <c r="K306" s="31">
        <f>РЕАЛИЗАЦИЯ[[#This Row],[ЖАМИ]]-РЕАЛИЗАЦИЯ[[#This Row],[ЖАМИ2]]</f>
        <v>0</v>
      </c>
      <c r="L306" s="31"/>
    </row>
    <row r="307" spans="1:12" ht="15" customHeight="1" x14ac:dyDescent="0.3">
      <c r="A307" s="3">
        <v>46207</v>
      </c>
      <c r="B307" s="4" t="s">
        <v>932</v>
      </c>
      <c r="C307" s="88" t="s">
        <v>43</v>
      </c>
      <c r="D307" s="88" t="s">
        <v>7</v>
      </c>
      <c r="E307" s="31">
        <v>95</v>
      </c>
      <c r="F307" s="31">
        <v>15000</v>
      </c>
      <c r="G307" s="50">
        <f>РЕАЛИЗАЦИЯ[[#This Row],[СОНИ]]*РЕАЛИЗАЦИЯ[[#This Row],[НАРХИ]]</f>
        <v>1425000</v>
      </c>
      <c r="I307" s="80">
        <v>14000</v>
      </c>
      <c r="J307" s="31">
        <f>РЕАЛИЗАЦИЯ[[#This Row],[СОНИ]]*РЕАЛИЗАЦИЯ[[#This Row],[ТАННАРХ]]</f>
        <v>1330000</v>
      </c>
      <c r="K307" s="31">
        <f>РЕАЛИЗАЦИЯ[[#This Row],[ЖАМИ]]-РЕАЛИЗАЦИЯ[[#This Row],[ЖАМИ2]]</f>
        <v>95000</v>
      </c>
      <c r="L307" s="31"/>
    </row>
    <row r="308" spans="1:12" ht="15" customHeight="1" x14ac:dyDescent="0.3">
      <c r="A308" s="3">
        <v>46207</v>
      </c>
      <c r="B308" s="4" t="s">
        <v>932</v>
      </c>
      <c r="C308" s="88" t="s">
        <v>44</v>
      </c>
      <c r="D308" s="88" t="s">
        <v>7</v>
      </c>
      <c r="E308" s="31">
        <v>109</v>
      </c>
      <c r="F308" s="31">
        <v>19000</v>
      </c>
      <c r="G308" s="50">
        <f>РЕАЛИЗАЦИЯ[[#This Row],[СОНИ]]*РЕАЛИЗАЦИЯ[[#This Row],[НАРХИ]]</f>
        <v>2071000</v>
      </c>
      <c r="I308" s="80">
        <v>18000</v>
      </c>
      <c r="J308" s="31">
        <f>РЕАЛИЗАЦИЯ[[#This Row],[СОНИ]]*РЕАЛИЗАЦИЯ[[#This Row],[ТАННАРХ]]</f>
        <v>1962000</v>
      </c>
      <c r="K308" s="31">
        <f>РЕАЛИЗАЦИЯ[[#This Row],[ЖАМИ]]-РЕАЛИЗАЦИЯ[[#This Row],[ЖАМИ2]]</f>
        <v>109000</v>
      </c>
      <c r="L308" s="31"/>
    </row>
    <row r="309" spans="1:12" ht="15" customHeight="1" x14ac:dyDescent="0.3">
      <c r="A309" s="3">
        <v>46207</v>
      </c>
      <c r="B309" s="4" t="s">
        <v>933</v>
      </c>
      <c r="C309" s="334" t="s">
        <v>973</v>
      </c>
      <c r="D309" s="88" t="s">
        <v>7</v>
      </c>
      <c r="E309" s="31">
        <v>316.89999999999998</v>
      </c>
      <c r="F309" s="31">
        <v>22000</v>
      </c>
      <c r="G309" s="50">
        <f>РЕАЛИЗАЦИЯ[[#This Row],[СОНИ]]*РЕАЛИЗАЦИЯ[[#This Row],[НАРХИ]]</f>
        <v>6971799.9999999991</v>
      </c>
      <c r="I309" s="80">
        <v>22000</v>
      </c>
      <c r="J309" s="31">
        <f>РЕАЛИЗАЦИЯ[[#This Row],[СОНИ]]*РЕАЛИЗАЦИЯ[[#This Row],[ТАННАРХ]]</f>
        <v>6971799.9999999991</v>
      </c>
      <c r="K309" s="31">
        <f>РЕАЛИЗАЦИЯ[[#This Row],[ЖАМИ]]-РЕАЛИЗАЦИЯ[[#This Row],[ЖАМИ2]]</f>
        <v>0</v>
      </c>
      <c r="L309" s="31"/>
    </row>
    <row r="310" spans="1:12" ht="15" customHeight="1" x14ac:dyDescent="0.3">
      <c r="A310" s="3">
        <v>46207</v>
      </c>
      <c r="B310" s="4" t="s">
        <v>933</v>
      </c>
      <c r="C310" s="88" t="s">
        <v>44</v>
      </c>
      <c r="D310" s="88" t="s">
        <v>7</v>
      </c>
      <c r="E310" s="31">
        <v>59.9</v>
      </c>
      <c r="F310" s="31">
        <v>29000</v>
      </c>
      <c r="G310" s="50">
        <f>РЕАЛИЗАЦИЯ[[#This Row],[СОНИ]]*РЕАЛИЗАЦИЯ[[#This Row],[НАРХИ]]</f>
        <v>1737100</v>
      </c>
      <c r="I310" s="80">
        <v>28000</v>
      </c>
      <c r="J310" s="31">
        <f>РЕАЛИЗАЦИЯ[[#This Row],[СОНИ]]*РЕАЛИЗАЦИЯ[[#This Row],[ТАННАРХ]]</f>
        <v>1677200</v>
      </c>
      <c r="K310" s="31">
        <f>РЕАЛИЗАЦИЯ[[#This Row],[ЖАМИ]]-РЕАЛИЗАЦИЯ[[#This Row],[ЖАМИ2]]</f>
        <v>59900</v>
      </c>
      <c r="L310" s="31"/>
    </row>
    <row r="311" spans="1:12" ht="15" customHeight="1" x14ac:dyDescent="0.3">
      <c r="A311" s="3">
        <v>46207</v>
      </c>
      <c r="B311" s="4" t="s">
        <v>934</v>
      </c>
      <c r="C311" s="334" t="s">
        <v>973</v>
      </c>
      <c r="D311" s="88" t="s">
        <v>7</v>
      </c>
      <c r="E311" s="31">
        <v>146.6</v>
      </c>
      <c r="F311" s="31">
        <v>22000</v>
      </c>
      <c r="G311" s="50">
        <f>РЕАЛИЗАЦИЯ[[#This Row],[СОНИ]]*РЕАЛИЗАЦИЯ[[#This Row],[НАРХИ]]</f>
        <v>3225200</v>
      </c>
      <c r="I311" s="80">
        <v>22000</v>
      </c>
      <c r="J311" s="31">
        <f>РЕАЛИЗАЦИЯ[[#This Row],[СОНИ]]*РЕАЛИЗАЦИЯ[[#This Row],[ТАННАРХ]]</f>
        <v>3225200</v>
      </c>
      <c r="K311" s="31">
        <f>РЕАЛИЗАЦИЯ[[#This Row],[ЖАМИ]]-РЕАЛИЗАЦИЯ[[#This Row],[ЖАМИ2]]</f>
        <v>0</v>
      </c>
      <c r="L311" s="31"/>
    </row>
    <row r="312" spans="1:12" ht="15" customHeight="1" x14ac:dyDescent="0.3">
      <c r="A312" s="3">
        <v>46207</v>
      </c>
      <c r="B312" s="4" t="s">
        <v>934</v>
      </c>
      <c r="C312" s="88" t="s">
        <v>590</v>
      </c>
      <c r="D312" s="88" t="s">
        <v>7</v>
      </c>
      <c r="E312" s="31">
        <v>111.7</v>
      </c>
      <c r="F312" s="31">
        <v>26000</v>
      </c>
      <c r="G312" s="50">
        <f>РЕАЛИЗАЦИЯ[[#This Row],[СОНИ]]*РЕАЛИЗАЦИЯ[[#This Row],[НАРХИ]]</f>
        <v>2904200</v>
      </c>
      <c r="I312" s="80">
        <v>26000</v>
      </c>
      <c r="J312" s="31">
        <f>РЕАЛИЗАЦИЯ[[#This Row],[СОНИ]]*РЕАЛИЗАЦИЯ[[#This Row],[ТАННАРХ]]</f>
        <v>2904200</v>
      </c>
      <c r="K312" s="31">
        <f>РЕАЛИЗАЦИЯ[[#This Row],[ЖАМИ]]-РЕАЛИЗАЦИЯ[[#This Row],[ЖАМИ2]]</f>
        <v>0</v>
      </c>
      <c r="L312" s="31"/>
    </row>
    <row r="313" spans="1:12" ht="15" customHeight="1" x14ac:dyDescent="0.3">
      <c r="A313" s="3">
        <v>46207</v>
      </c>
      <c r="B313" s="4" t="s">
        <v>831</v>
      </c>
      <c r="C313" s="88" t="s">
        <v>973</v>
      </c>
      <c r="D313" s="88" t="s">
        <v>7</v>
      </c>
      <c r="E313" s="335">
        <v>101.6</v>
      </c>
      <c r="F313" s="31">
        <v>25000</v>
      </c>
      <c r="G313" s="50">
        <f>РЕАЛИЗАЦИЯ[[#This Row],[СОНИ]]*РЕАЛИЗАЦИЯ[[#This Row],[НАРХИ]]</f>
        <v>2540000</v>
      </c>
      <c r="I313" s="80">
        <v>23000</v>
      </c>
      <c r="J313" s="31">
        <f>РЕАЛИЗАЦИЯ[[#This Row],[СОНИ]]*РЕАЛИЗАЦИЯ[[#This Row],[ТАННАРХ]]</f>
        <v>2336800</v>
      </c>
      <c r="K313" s="31">
        <f>РЕАЛИЗАЦИЯ[[#This Row],[ЖАМИ]]-РЕАЛИЗАЦИЯ[[#This Row],[ЖАМИ2]]</f>
        <v>203200</v>
      </c>
      <c r="L313" s="31"/>
    </row>
    <row r="314" spans="1:12" ht="15" customHeight="1" x14ac:dyDescent="0.3">
      <c r="A314" s="3">
        <v>46207</v>
      </c>
      <c r="B314" s="4" t="s">
        <v>831</v>
      </c>
      <c r="C314" s="88" t="s">
        <v>973</v>
      </c>
      <c r="D314" s="88" t="s">
        <v>7</v>
      </c>
      <c r="E314" s="31">
        <v>257</v>
      </c>
      <c r="F314" s="31">
        <v>25000</v>
      </c>
      <c r="G314" s="50">
        <f>РЕАЛИЗАЦИЯ[[#This Row],[СОНИ]]*РЕАЛИЗАЦИЯ[[#This Row],[НАРХИ]]</f>
        <v>6425000</v>
      </c>
      <c r="I314" s="80">
        <v>23000</v>
      </c>
      <c r="J314" s="31">
        <f>РЕАЛИЗАЦИЯ[[#This Row],[СОНИ]]*РЕАЛИЗАЦИЯ[[#This Row],[ТАННАРХ]]</f>
        <v>5911000</v>
      </c>
      <c r="K314" s="31">
        <f>РЕАЛИЗАЦИЯ[[#This Row],[ЖАМИ]]-РЕАЛИЗАЦИЯ[[#This Row],[ЖАМИ2]]</f>
        <v>514000</v>
      </c>
      <c r="L314" s="31"/>
    </row>
    <row r="315" spans="1:12" ht="15" customHeight="1" x14ac:dyDescent="0.3">
      <c r="A315" s="3">
        <v>46207</v>
      </c>
      <c r="B315" s="4" t="s">
        <v>450</v>
      </c>
      <c r="C315" s="334" t="s">
        <v>973</v>
      </c>
      <c r="D315" s="88" t="s">
        <v>7</v>
      </c>
      <c r="E315" s="31">
        <v>50.2</v>
      </c>
      <c r="F315" s="31">
        <v>24000</v>
      </c>
      <c r="G315" s="50">
        <f>РЕАЛИЗАЦИЯ[[#This Row],[СОНИ]]*РЕАЛИЗАЦИЯ[[#This Row],[НАРХИ]]</f>
        <v>1204800</v>
      </c>
      <c r="I315" s="80">
        <v>23000</v>
      </c>
      <c r="J315" s="31">
        <f>РЕАЛИЗАЦИЯ[[#This Row],[СОНИ]]*РЕАЛИЗАЦИЯ[[#This Row],[ТАННАРХ]]</f>
        <v>1154600</v>
      </c>
      <c r="K315" s="31">
        <f>РЕАЛИЗАЦИЯ[[#This Row],[ЖАМИ]]-РЕАЛИЗАЦИЯ[[#This Row],[ЖАМИ2]]</f>
        <v>50200</v>
      </c>
      <c r="L315" s="31"/>
    </row>
    <row r="316" spans="1:12" ht="15" customHeight="1" x14ac:dyDescent="0.3">
      <c r="A316" s="3">
        <v>46207</v>
      </c>
      <c r="B316" s="4" t="s">
        <v>450</v>
      </c>
      <c r="C316" s="88" t="s">
        <v>43</v>
      </c>
      <c r="D316" s="88" t="s">
        <v>7</v>
      </c>
      <c r="E316" s="31">
        <v>49.8</v>
      </c>
      <c r="F316" s="31">
        <v>14500</v>
      </c>
      <c r="G316" s="50">
        <f>РЕАЛИЗАЦИЯ[[#This Row],[СОНИ]]*РЕАЛИЗАЦИЯ[[#This Row],[НАРХИ]]</f>
        <v>722100</v>
      </c>
      <c r="I316" s="80">
        <v>14000</v>
      </c>
      <c r="J316" s="31">
        <f>РЕАЛИЗАЦИЯ[[#This Row],[СОНИ]]*РЕАЛИЗАЦИЯ[[#This Row],[ТАННАРХ]]</f>
        <v>697200</v>
      </c>
      <c r="K316" s="31">
        <f>РЕАЛИЗАЦИЯ[[#This Row],[ЖАМИ]]-РЕАЛИЗАЦИЯ[[#This Row],[ЖАМИ2]]</f>
        <v>24900</v>
      </c>
      <c r="L316" s="31"/>
    </row>
    <row r="317" spans="1:12" ht="15" customHeight="1" x14ac:dyDescent="0.3">
      <c r="A317" s="3">
        <v>46208</v>
      </c>
      <c r="B317" s="4" t="s">
        <v>50</v>
      </c>
      <c r="C317" s="88" t="s">
        <v>904</v>
      </c>
      <c r="D317" s="88" t="s">
        <v>7</v>
      </c>
      <c r="E317" s="31">
        <v>98</v>
      </c>
      <c r="F317" s="31">
        <v>23000</v>
      </c>
      <c r="G317" s="50">
        <f>РЕАЛИЗАЦИЯ[[#This Row],[СОНИ]]*РЕАЛИЗАЦИЯ[[#This Row],[НАРХИ]]</f>
        <v>2254000</v>
      </c>
      <c r="I317" s="57">
        <v>21000</v>
      </c>
      <c r="J317" s="31">
        <f>РЕАЛИЗАЦИЯ[[#This Row],[СОНИ]]*РЕАЛИЗАЦИЯ[[#This Row],[ТАННАРХ]]</f>
        <v>2058000</v>
      </c>
      <c r="K317" s="31">
        <f>РЕАЛИЗАЦИЯ[[#This Row],[ЖАМИ]]-РЕАЛИЗАЦИЯ[[#This Row],[ЖАМИ2]]</f>
        <v>196000</v>
      </c>
      <c r="L317" s="31"/>
    </row>
    <row r="318" spans="1:12" ht="15" customHeight="1" x14ac:dyDescent="0.3">
      <c r="A318" s="3">
        <v>46208</v>
      </c>
      <c r="B318" s="4" t="s">
        <v>50</v>
      </c>
      <c r="C318" s="88" t="s">
        <v>43</v>
      </c>
      <c r="D318" s="88" t="s">
        <v>7</v>
      </c>
      <c r="E318" s="31">
        <v>46.7</v>
      </c>
      <c r="F318" s="31">
        <v>16000</v>
      </c>
      <c r="G318" s="50">
        <f>РЕАЛИЗАЦИЯ[[#This Row],[СОНИ]]*РЕАЛИЗАЦИЯ[[#This Row],[НАРХИ]]</f>
        <v>747200</v>
      </c>
      <c r="I318" s="80">
        <v>14000</v>
      </c>
      <c r="J318" s="31">
        <f>РЕАЛИЗАЦИЯ[[#This Row],[СОНИ]]*РЕАЛИЗАЦИЯ[[#This Row],[ТАННАРХ]]</f>
        <v>653800</v>
      </c>
      <c r="K318" s="31">
        <f>РЕАЛИЗАЦИЯ[[#This Row],[ЖАМИ]]-РЕАЛИЗАЦИЯ[[#This Row],[ЖАМИ2]]</f>
        <v>93400</v>
      </c>
      <c r="L318" s="31"/>
    </row>
    <row r="319" spans="1:12" ht="15" customHeight="1" x14ac:dyDescent="0.3">
      <c r="A319" s="3">
        <v>46208</v>
      </c>
      <c r="B319" s="4" t="s">
        <v>540</v>
      </c>
      <c r="C319" s="306" t="s">
        <v>78</v>
      </c>
      <c r="D319" s="88" t="s">
        <v>7</v>
      </c>
      <c r="E319" s="31">
        <v>111.1</v>
      </c>
      <c r="F319" s="31">
        <v>19000</v>
      </c>
      <c r="G319" s="50">
        <f>РЕАЛИЗАЦИЯ[[#This Row],[СОНИ]]*РЕАЛИЗАЦИЯ[[#This Row],[НАРХИ]]</f>
        <v>2110900</v>
      </c>
      <c r="I319" s="80">
        <v>18000</v>
      </c>
      <c r="J319" s="31">
        <f>РЕАЛИЗАЦИЯ[[#This Row],[СОНИ]]*РЕАЛИЗАЦИЯ[[#This Row],[ТАННАРХ]]</f>
        <v>1999800</v>
      </c>
      <c r="K319" s="31">
        <f>РЕАЛИЗАЦИЯ[[#This Row],[ЖАМИ]]-РЕАЛИЗАЦИЯ[[#This Row],[ЖАМИ2]]</f>
        <v>111100</v>
      </c>
      <c r="L319" s="31"/>
    </row>
    <row r="320" spans="1:12" ht="15" customHeight="1" x14ac:dyDescent="0.3">
      <c r="A320" s="3">
        <v>46208</v>
      </c>
      <c r="B320" s="4" t="s">
        <v>935</v>
      </c>
      <c r="C320" s="88" t="s">
        <v>904</v>
      </c>
      <c r="D320" s="88" t="s">
        <v>7</v>
      </c>
      <c r="E320" s="31">
        <v>185.1</v>
      </c>
      <c r="F320" s="31">
        <v>23000</v>
      </c>
      <c r="G320" s="50">
        <f>РЕАЛИЗАЦИЯ[[#This Row],[СОНИ]]*РЕАЛИЗАЦИЯ[[#This Row],[НАРХИ]]</f>
        <v>4257300</v>
      </c>
      <c r="I320" s="57">
        <v>21000</v>
      </c>
      <c r="J320" s="31">
        <f>РЕАЛИЗАЦИЯ[[#This Row],[СОНИ]]*РЕАЛИЗАЦИЯ[[#This Row],[ТАННАРХ]]</f>
        <v>3887100</v>
      </c>
      <c r="K320" s="31">
        <f>РЕАЛИЗАЦИЯ[[#This Row],[ЖАМИ]]-РЕАЛИЗАЦИЯ[[#This Row],[ЖАМИ2]]</f>
        <v>370200</v>
      </c>
      <c r="L320" s="31"/>
    </row>
    <row r="321" spans="1:12" ht="15" customHeight="1" x14ac:dyDescent="0.3">
      <c r="A321" s="3">
        <v>46208</v>
      </c>
      <c r="B321" s="4" t="s">
        <v>672</v>
      </c>
      <c r="C321" s="88" t="s">
        <v>43</v>
      </c>
      <c r="D321" s="88" t="s">
        <v>7</v>
      </c>
      <c r="E321" s="31">
        <v>46.9</v>
      </c>
      <c r="F321" s="31">
        <v>16000</v>
      </c>
      <c r="G321" s="50">
        <f>РЕАЛИЗАЦИЯ[[#This Row],[СОНИ]]*РЕАЛИЗАЦИЯ[[#This Row],[НАРХИ]]</f>
        <v>750400</v>
      </c>
      <c r="I321" s="80">
        <v>14000</v>
      </c>
      <c r="J321" s="31">
        <f>РЕАЛИЗАЦИЯ[[#This Row],[СОНИ]]*РЕАЛИЗАЦИЯ[[#This Row],[ТАННАРХ]]</f>
        <v>656600</v>
      </c>
      <c r="K321" s="31">
        <f>РЕАЛИЗАЦИЯ[[#This Row],[ЖАМИ]]-РЕАЛИЗАЦИЯ[[#This Row],[ЖАМИ2]]</f>
        <v>93800</v>
      </c>
      <c r="L321" s="31"/>
    </row>
    <row r="322" spans="1:12" ht="15" customHeight="1" x14ac:dyDescent="0.3">
      <c r="A322" s="3">
        <v>46208</v>
      </c>
      <c r="B322" s="4" t="s">
        <v>802</v>
      </c>
      <c r="C322" s="88" t="s">
        <v>43</v>
      </c>
      <c r="D322" s="88" t="s">
        <v>7</v>
      </c>
      <c r="E322" s="31">
        <v>48</v>
      </c>
      <c r="F322" s="31">
        <v>16000</v>
      </c>
      <c r="G322" s="50">
        <f>РЕАЛИЗАЦИЯ[[#This Row],[СОНИ]]*РЕАЛИЗАЦИЯ[[#This Row],[НАРХИ]]</f>
        <v>768000</v>
      </c>
      <c r="I322" s="80">
        <v>14000</v>
      </c>
      <c r="J322" s="31">
        <f>РЕАЛИЗАЦИЯ[[#This Row],[СОНИ]]*РЕАЛИЗАЦИЯ[[#This Row],[ТАННАРХ]]</f>
        <v>672000</v>
      </c>
      <c r="K322" s="31">
        <f>РЕАЛИЗАЦИЯ[[#This Row],[ЖАМИ]]-РЕАЛИЗАЦИЯ[[#This Row],[ЖАМИ2]]</f>
        <v>96000</v>
      </c>
      <c r="L322" s="31"/>
    </row>
    <row r="323" spans="1:12" ht="15" customHeight="1" x14ac:dyDescent="0.3">
      <c r="A323" s="3">
        <v>46208</v>
      </c>
      <c r="B323" s="4" t="s">
        <v>464</v>
      </c>
      <c r="C323" s="88" t="s">
        <v>904</v>
      </c>
      <c r="D323" s="88" t="s">
        <v>7</v>
      </c>
      <c r="E323" s="31">
        <v>102.2</v>
      </c>
      <c r="F323" s="31">
        <v>23000</v>
      </c>
      <c r="G323" s="50">
        <f>РЕАЛИЗАЦИЯ[[#This Row],[СОНИ]]*РЕАЛИЗАЦИЯ[[#This Row],[НАРХИ]]</f>
        <v>2350600</v>
      </c>
      <c r="I323" s="57">
        <v>21000</v>
      </c>
      <c r="J323" s="31">
        <f>РЕАЛИЗАЦИЯ[[#This Row],[СОНИ]]*РЕАЛИЗАЦИЯ[[#This Row],[ТАННАРХ]]</f>
        <v>2146200</v>
      </c>
      <c r="K323" s="31">
        <f>РЕАЛИЗАЦИЯ[[#This Row],[ЖАМИ]]-РЕАЛИЗАЦИЯ[[#This Row],[ЖАМИ2]]</f>
        <v>204400</v>
      </c>
      <c r="L323" s="31"/>
    </row>
    <row r="324" spans="1:12" ht="15" customHeight="1" x14ac:dyDescent="0.3">
      <c r="A324" s="3">
        <v>46208</v>
      </c>
      <c r="B324" s="4" t="s">
        <v>464</v>
      </c>
      <c r="C324" s="88" t="s">
        <v>44</v>
      </c>
      <c r="D324" s="88" t="s">
        <v>7</v>
      </c>
      <c r="E324" s="31">
        <v>52.9</v>
      </c>
      <c r="F324" s="31">
        <v>20000</v>
      </c>
      <c r="G324" s="50">
        <f>РЕАЛИЗАЦИЯ[[#This Row],[СОНИ]]*РЕАЛИЗАЦИЯ[[#This Row],[НАРХИ]]</f>
        <v>1058000</v>
      </c>
      <c r="I324" s="80">
        <v>18000</v>
      </c>
      <c r="J324" s="31">
        <f>РЕАЛИЗАЦИЯ[[#This Row],[СОНИ]]*РЕАЛИЗАЦИЯ[[#This Row],[ТАННАРХ]]</f>
        <v>952200</v>
      </c>
      <c r="K324" s="31">
        <f>РЕАЛИЗАЦИЯ[[#This Row],[ЖАМИ]]-РЕАЛИЗАЦИЯ[[#This Row],[ЖАМИ2]]</f>
        <v>105800</v>
      </c>
      <c r="L324" s="31"/>
    </row>
    <row r="325" spans="1:12" ht="15" customHeight="1" x14ac:dyDescent="0.3">
      <c r="A325" s="3">
        <v>46208</v>
      </c>
      <c r="B325" s="4" t="s">
        <v>793</v>
      </c>
      <c r="C325" s="334" t="s">
        <v>605</v>
      </c>
      <c r="D325" s="88" t="s">
        <v>7</v>
      </c>
      <c r="E325" s="31">
        <v>628.5</v>
      </c>
      <c r="F325" s="31">
        <v>24000</v>
      </c>
      <c r="G325" s="50">
        <f>РЕАЛИЗАЦИЯ[[#This Row],[СОНИ]]*РЕАЛИЗАЦИЯ[[#This Row],[НАРХИ]]</f>
        <v>15084000</v>
      </c>
      <c r="I325" s="80">
        <v>22000</v>
      </c>
      <c r="J325" s="31">
        <f>РЕАЛИЗАЦИЯ[[#This Row],[СОНИ]]*РЕАЛИЗАЦИЯ[[#This Row],[ТАННАРХ]]</f>
        <v>13827000</v>
      </c>
      <c r="K325" s="31">
        <f>РЕАЛИЗАЦИЯ[[#This Row],[ЖАМИ]]-РЕАЛИЗАЦИЯ[[#This Row],[ЖАМИ2]]</f>
        <v>1257000</v>
      </c>
      <c r="L325" s="31"/>
    </row>
    <row r="326" spans="1:12" ht="15" customHeight="1" x14ac:dyDescent="0.3">
      <c r="A326" s="3">
        <v>46208</v>
      </c>
      <c r="B326" s="4" t="s">
        <v>349</v>
      </c>
      <c r="C326" s="88" t="s">
        <v>904</v>
      </c>
      <c r="D326" s="88" t="s">
        <v>7</v>
      </c>
      <c r="E326" s="31">
        <v>107.4</v>
      </c>
      <c r="F326" s="31">
        <v>23000</v>
      </c>
      <c r="G326" s="50">
        <f>РЕАЛИЗАЦИЯ[[#This Row],[СОНИ]]*РЕАЛИЗАЦИЯ[[#This Row],[НАРХИ]]</f>
        <v>2470200</v>
      </c>
      <c r="I326" s="57">
        <v>21000</v>
      </c>
      <c r="J326" s="31">
        <f>РЕАЛИЗАЦИЯ[[#This Row],[СОНИ]]*РЕАЛИЗАЦИЯ[[#This Row],[ТАННАРХ]]</f>
        <v>2255400</v>
      </c>
      <c r="K326" s="31">
        <f>РЕАЛИЗАЦИЯ[[#This Row],[ЖАМИ]]-РЕАЛИЗАЦИЯ[[#This Row],[ЖАМИ2]]</f>
        <v>214800</v>
      </c>
      <c r="L326" s="31"/>
    </row>
    <row r="327" spans="1:12" ht="15" customHeight="1" x14ac:dyDescent="0.3">
      <c r="A327" s="3">
        <v>46208</v>
      </c>
      <c r="B327" s="4" t="s">
        <v>349</v>
      </c>
      <c r="C327" s="306" t="s">
        <v>43</v>
      </c>
      <c r="D327" s="306" t="s">
        <v>7</v>
      </c>
      <c r="E327" s="31">
        <v>51.3</v>
      </c>
      <c r="F327" s="31">
        <v>15000</v>
      </c>
      <c r="G327" s="50">
        <f>РЕАЛИЗАЦИЯ[[#This Row],[СОНИ]]*РЕАЛИЗАЦИЯ[[#This Row],[НАРХИ]]</f>
        <v>769500</v>
      </c>
      <c r="I327" s="80">
        <v>14000</v>
      </c>
      <c r="J327" s="31">
        <f>РЕАЛИЗАЦИЯ[[#This Row],[СОНИ]]*РЕАЛИЗАЦИЯ[[#This Row],[ТАННАРХ]]</f>
        <v>718200</v>
      </c>
      <c r="K327" s="31">
        <f>РЕАЛИЗАЦИЯ[[#This Row],[ЖАМИ]]-РЕАЛИЗАЦИЯ[[#This Row],[ЖАМИ2]]</f>
        <v>51300</v>
      </c>
      <c r="L327" s="31"/>
    </row>
    <row r="328" spans="1:12" s="306" customFormat="1" ht="15" customHeight="1" x14ac:dyDescent="0.3">
      <c r="A328" s="3">
        <v>46208</v>
      </c>
      <c r="B328" s="4" t="s">
        <v>592</v>
      </c>
      <c r="C328" s="88" t="s">
        <v>973</v>
      </c>
      <c r="D328" s="88" t="s">
        <v>7</v>
      </c>
      <c r="E328" s="31">
        <v>307</v>
      </c>
      <c r="F328" s="31">
        <v>25000</v>
      </c>
      <c r="G328" s="50">
        <f>РЕАЛИЗАЦИЯ[[#This Row],[СОНИ]]*РЕАЛИЗАЦИЯ[[#This Row],[НАРХИ]]</f>
        <v>7675000</v>
      </c>
      <c r="H328" s="31"/>
      <c r="I328" s="80">
        <v>23000</v>
      </c>
      <c r="J328" s="31">
        <f>РЕАЛИЗАЦИЯ[[#This Row],[СОНИ]]*РЕАЛИЗАЦИЯ[[#This Row],[ТАННАРХ]]</f>
        <v>7061000</v>
      </c>
      <c r="K328" s="31">
        <f>РЕАЛИЗАЦИЯ[[#This Row],[ЖАМИ]]-РЕАЛИЗАЦИЯ[[#This Row],[ЖАМИ2]]</f>
        <v>614000</v>
      </c>
      <c r="L328" s="31"/>
    </row>
    <row r="329" spans="1:12" ht="15" customHeight="1" x14ac:dyDescent="0.3">
      <c r="A329" s="3">
        <v>46208</v>
      </c>
      <c r="B329" s="4" t="s">
        <v>929</v>
      </c>
      <c r="C329" s="88" t="s">
        <v>605</v>
      </c>
      <c r="D329" s="88" t="s">
        <v>7</v>
      </c>
      <c r="E329" s="31">
        <v>42.9</v>
      </c>
      <c r="F329" s="31">
        <v>24000</v>
      </c>
      <c r="G329" s="50">
        <f>РЕАЛИЗАЦИЯ[[#This Row],[СОНИ]]*РЕАЛИЗАЦИЯ[[#This Row],[НАРХИ]]</f>
        <v>1029600</v>
      </c>
      <c r="I329" s="80">
        <v>22000</v>
      </c>
      <c r="J329" s="31">
        <f>РЕАЛИЗАЦИЯ[[#This Row],[СОНИ]]*РЕАЛИЗАЦИЯ[[#This Row],[ТАННАРХ]]</f>
        <v>943800</v>
      </c>
      <c r="K329" s="31">
        <f>РЕАЛИЗАЦИЯ[[#This Row],[ЖАМИ]]-РЕАЛИЗАЦИЯ[[#This Row],[ЖАМИ2]]</f>
        <v>85800</v>
      </c>
      <c r="L329" s="31"/>
    </row>
    <row r="330" spans="1:12" ht="15" customHeight="1" x14ac:dyDescent="0.3">
      <c r="A330" s="3">
        <v>46209</v>
      </c>
      <c r="B330" s="4" t="s">
        <v>488</v>
      </c>
      <c r="C330" s="88" t="s">
        <v>904</v>
      </c>
      <c r="D330" s="88" t="s">
        <v>7</v>
      </c>
      <c r="E330" s="31">
        <v>55</v>
      </c>
      <c r="F330" s="31">
        <v>23000</v>
      </c>
      <c r="G330" s="50">
        <f>РЕАЛИЗАЦИЯ[[#This Row],[СОНИ]]*РЕАЛИЗАЦИЯ[[#This Row],[НАРХИ]]</f>
        <v>1265000</v>
      </c>
      <c r="I330" s="57">
        <v>21000</v>
      </c>
      <c r="J330" s="31">
        <f>РЕАЛИЗАЦИЯ[[#This Row],[СОНИ]]*РЕАЛИЗАЦИЯ[[#This Row],[ТАННАРХ]]</f>
        <v>1155000</v>
      </c>
      <c r="K330" s="31">
        <f>РЕАЛИЗАЦИЯ[[#This Row],[ЖАМИ]]-РЕАЛИЗАЦИЯ[[#This Row],[ЖАМИ2]]</f>
        <v>110000</v>
      </c>
      <c r="L330" s="31"/>
    </row>
    <row r="331" spans="1:12" ht="15" customHeight="1" x14ac:dyDescent="0.3">
      <c r="A331" s="3">
        <v>46209</v>
      </c>
      <c r="B331" s="4" t="s">
        <v>938</v>
      </c>
      <c r="C331" s="88" t="s">
        <v>973</v>
      </c>
      <c r="D331" s="88" t="s">
        <v>7</v>
      </c>
      <c r="E331" s="31">
        <v>103.5</v>
      </c>
      <c r="F331" s="31">
        <v>26000</v>
      </c>
      <c r="G331" s="50">
        <f>РЕАЛИЗАЦИЯ[[#This Row],[СОНИ]]*РЕАЛИЗАЦИЯ[[#This Row],[НАРХИ]]</f>
        <v>2691000</v>
      </c>
      <c r="I331" s="80">
        <v>23000</v>
      </c>
      <c r="J331" s="31">
        <f>РЕАЛИЗАЦИЯ[[#This Row],[СОНИ]]*РЕАЛИЗАЦИЯ[[#This Row],[ТАННАРХ]]</f>
        <v>2380500</v>
      </c>
      <c r="K331" s="31">
        <f>РЕАЛИЗАЦИЯ[[#This Row],[ЖАМИ]]-РЕАЛИЗАЦИЯ[[#This Row],[ЖАМИ2]]</f>
        <v>310500</v>
      </c>
      <c r="L331" s="31"/>
    </row>
    <row r="332" spans="1:12" x14ac:dyDescent="0.3">
      <c r="A332" s="3">
        <v>46209</v>
      </c>
      <c r="B332" s="4" t="s">
        <v>938</v>
      </c>
      <c r="C332" s="88" t="s">
        <v>43</v>
      </c>
      <c r="D332" s="88" t="s">
        <v>7</v>
      </c>
      <c r="E332" s="31">
        <v>95.7</v>
      </c>
      <c r="F332" s="31">
        <v>16000</v>
      </c>
      <c r="G332" s="50">
        <f>РЕАЛИЗАЦИЯ[[#This Row],[СОНИ]]*РЕАЛИЗАЦИЯ[[#This Row],[НАРХИ]]</f>
        <v>1531200</v>
      </c>
      <c r="I332" s="80">
        <v>14000</v>
      </c>
      <c r="J332" s="31">
        <f>РЕАЛИЗАЦИЯ[[#This Row],[СОНИ]]*РЕАЛИЗАЦИЯ[[#This Row],[ТАННАРХ]]</f>
        <v>1339800</v>
      </c>
      <c r="K332" s="31">
        <f>РЕАЛИЗАЦИЯ[[#This Row],[ЖАМИ]]-РЕАЛИЗАЦИЯ[[#This Row],[ЖАМИ2]]</f>
        <v>191400</v>
      </c>
      <c r="L332" s="31"/>
    </row>
    <row r="333" spans="1:12" ht="15" customHeight="1" x14ac:dyDescent="0.3">
      <c r="A333" s="3">
        <v>46209</v>
      </c>
      <c r="B333" s="4" t="s">
        <v>571</v>
      </c>
      <c r="C333" s="88" t="s">
        <v>590</v>
      </c>
      <c r="D333" s="88" t="s">
        <v>7</v>
      </c>
      <c r="E333" s="31">
        <v>188.5</v>
      </c>
      <c r="F333" s="31">
        <v>28000</v>
      </c>
      <c r="G333" s="50">
        <f>РЕАЛИЗАЦИЯ[[#This Row],[СОНИ]]*РЕАЛИЗАЦИЯ[[#This Row],[НАРХИ]]</f>
        <v>5278000</v>
      </c>
      <c r="I333" s="80">
        <v>26000</v>
      </c>
      <c r="J333" s="31">
        <f>РЕАЛИЗАЦИЯ[[#This Row],[СОНИ]]*РЕАЛИЗАЦИЯ[[#This Row],[ТАННАРХ]]</f>
        <v>4901000</v>
      </c>
      <c r="K333" s="31">
        <f>РЕАЛИЗАЦИЯ[[#This Row],[ЖАМИ]]-РЕАЛИЗАЦИЯ[[#This Row],[ЖАМИ2]]</f>
        <v>377000</v>
      </c>
      <c r="L333" s="31"/>
    </row>
    <row r="334" spans="1:12" ht="15" customHeight="1" x14ac:dyDescent="0.3">
      <c r="A334" s="3">
        <v>46209</v>
      </c>
      <c r="B334" s="4" t="s">
        <v>934</v>
      </c>
      <c r="C334" s="89" t="s">
        <v>590</v>
      </c>
      <c r="D334" s="89" t="s">
        <v>7</v>
      </c>
      <c r="E334" s="31">
        <v>190</v>
      </c>
      <c r="F334" s="31">
        <v>28000</v>
      </c>
      <c r="G334" s="50">
        <f>РЕАЛИЗАЦИЯ[[#This Row],[СОНИ]]*РЕАЛИЗАЦИЯ[[#This Row],[НАРХИ]]</f>
        <v>5320000</v>
      </c>
      <c r="I334" s="80">
        <v>26000</v>
      </c>
      <c r="J334" s="31">
        <f>РЕАЛИЗАЦИЯ[[#This Row],[СОНИ]]*РЕАЛИЗАЦИЯ[[#This Row],[ТАННАРХ]]</f>
        <v>4940000</v>
      </c>
      <c r="K334" s="31">
        <f>РЕАЛИЗАЦИЯ[[#This Row],[ЖАМИ]]-РЕАЛИЗАЦИЯ[[#This Row],[ЖАМИ2]]</f>
        <v>380000</v>
      </c>
      <c r="L334" s="31"/>
    </row>
    <row r="335" spans="1:12" ht="15" customHeight="1" x14ac:dyDescent="0.3">
      <c r="A335" s="3">
        <v>46209</v>
      </c>
      <c r="B335" s="4" t="s">
        <v>639</v>
      </c>
      <c r="C335" s="89" t="s">
        <v>904</v>
      </c>
      <c r="D335" s="89" t="s">
        <v>7</v>
      </c>
      <c r="E335" s="31">
        <v>31</v>
      </c>
      <c r="F335" s="31">
        <v>23000</v>
      </c>
      <c r="G335" s="50">
        <f>РЕАЛИЗАЦИЯ[[#This Row],[СОНИ]]*РЕАЛИЗАЦИЯ[[#This Row],[НАРХИ]]</f>
        <v>713000</v>
      </c>
      <c r="I335" s="57">
        <v>21000</v>
      </c>
      <c r="J335" s="31">
        <f>РЕАЛИЗАЦИЯ[[#This Row],[СОНИ]]*РЕАЛИЗАЦИЯ[[#This Row],[ТАННАРХ]]</f>
        <v>651000</v>
      </c>
      <c r="K335" s="31">
        <f>РЕАЛИЗАЦИЯ[[#This Row],[ЖАМИ]]-РЕАЛИЗАЦИЯ[[#This Row],[ЖАМИ2]]</f>
        <v>62000</v>
      </c>
      <c r="L335" s="31"/>
    </row>
    <row r="336" spans="1:12" ht="15" customHeight="1" x14ac:dyDescent="0.3">
      <c r="A336" s="3">
        <v>46209</v>
      </c>
      <c r="B336" s="4" t="s">
        <v>319</v>
      </c>
      <c r="C336" s="89" t="s">
        <v>973</v>
      </c>
      <c r="D336" s="89" t="s">
        <v>7</v>
      </c>
      <c r="E336" s="31">
        <v>212.6</v>
      </c>
      <c r="F336" s="31">
        <v>26000</v>
      </c>
      <c r="G336" s="50">
        <f>РЕАЛИЗАЦИЯ[[#This Row],[СОНИ]]*РЕАЛИЗАЦИЯ[[#This Row],[НАРХИ]]</f>
        <v>5527600</v>
      </c>
      <c r="I336" s="80">
        <v>23000</v>
      </c>
      <c r="J336" s="31">
        <f>РЕАЛИЗАЦИЯ[[#This Row],[СОНИ]]*РЕАЛИЗАЦИЯ[[#This Row],[ТАННАРХ]]</f>
        <v>4889800</v>
      </c>
      <c r="K336" s="31">
        <f>РЕАЛИЗАЦИЯ[[#This Row],[ЖАМИ]]-РЕАЛИЗАЦИЯ[[#This Row],[ЖАМИ2]]</f>
        <v>637800</v>
      </c>
      <c r="L336" s="31"/>
    </row>
    <row r="337" spans="1:12" ht="15" customHeight="1" x14ac:dyDescent="0.3">
      <c r="A337" s="3">
        <v>46209</v>
      </c>
      <c r="B337" s="4" t="s">
        <v>319</v>
      </c>
      <c r="C337" s="89" t="s">
        <v>43</v>
      </c>
      <c r="D337" s="89" t="s">
        <v>7</v>
      </c>
      <c r="E337" s="31">
        <v>199.1</v>
      </c>
      <c r="F337" s="31">
        <v>17000</v>
      </c>
      <c r="G337" s="50">
        <f>РЕАЛИЗАЦИЯ[[#This Row],[СОНИ]]*РЕАЛИЗАЦИЯ[[#This Row],[НАРХИ]]</f>
        <v>3384700</v>
      </c>
      <c r="I337" s="80">
        <v>14000</v>
      </c>
      <c r="J337" s="31">
        <f>РЕАЛИЗАЦИЯ[[#This Row],[СОНИ]]*РЕАЛИЗАЦИЯ[[#This Row],[ТАННАРХ]]</f>
        <v>2787400</v>
      </c>
      <c r="K337" s="31">
        <f>РЕАЛИЗАЦИЯ[[#This Row],[ЖАМИ]]-РЕАЛИЗАЦИЯ[[#This Row],[ЖАМИ2]]</f>
        <v>597300</v>
      </c>
      <c r="L337" s="31"/>
    </row>
    <row r="338" spans="1:12" ht="15" customHeight="1" x14ac:dyDescent="0.3">
      <c r="A338" s="3">
        <v>46209</v>
      </c>
      <c r="B338" s="4" t="s">
        <v>697</v>
      </c>
      <c r="C338" s="330" t="s">
        <v>78</v>
      </c>
      <c r="D338" s="89" t="s">
        <v>7</v>
      </c>
      <c r="E338" s="31">
        <v>486.4</v>
      </c>
      <c r="F338" s="31">
        <v>18000</v>
      </c>
      <c r="G338" s="50">
        <f>РЕАЛИЗАЦИЯ[[#This Row],[СОНИ]]*РЕАЛИЗАЦИЯ[[#This Row],[НАРХИ]]</f>
        <v>8755200</v>
      </c>
      <c r="I338" s="57">
        <v>17000</v>
      </c>
      <c r="J338" s="31">
        <f>РЕАЛИЗАЦИЯ[[#This Row],[СОНИ]]*РЕАЛИЗАЦИЯ[[#This Row],[ТАННАРХ]]</f>
        <v>8268800</v>
      </c>
      <c r="K338" s="31">
        <f>РЕАЛИЗАЦИЯ[[#This Row],[ЖАМИ]]-РЕАЛИЗАЦИЯ[[#This Row],[ЖАМИ2]]</f>
        <v>486400</v>
      </c>
      <c r="L338" s="31"/>
    </row>
    <row r="339" spans="1:12" ht="15" customHeight="1" x14ac:dyDescent="0.3">
      <c r="A339" s="3">
        <v>46209</v>
      </c>
      <c r="B339" s="4" t="s">
        <v>521</v>
      </c>
      <c r="C339" s="89" t="s">
        <v>605</v>
      </c>
      <c r="D339" s="89" t="s">
        <v>7</v>
      </c>
      <c r="E339" s="31">
        <v>455.9</v>
      </c>
      <c r="F339" s="31">
        <v>24000</v>
      </c>
      <c r="G339" s="50">
        <f>РЕАЛИЗАЦИЯ[[#This Row],[СОНИ]]*РЕАЛИЗАЦИЯ[[#This Row],[НАРХИ]]</f>
        <v>10941600</v>
      </c>
      <c r="I339" s="80">
        <v>22000</v>
      </c>
      <c r="J339" s="31">
        <f>РЕАЛИЗАЦИЯ[[#This Row],[СОНИ]]*РЕАЛИЗАЦИЯ[[#This Row],[ТАННАРХ]]</f>
        <v>10029800</v>
      </c>
      <c r="K339" s="31">
        <f>РЕАЛИЗАЦИЯ[[#This Row],[ЖАМИ]]-РЕАЛИЗАЦИЯ[[#This Row],[ЖАМИ2]]</f>
        <v>911800</v>
      </c>
      <c r="L339" s="31"/>
    </row>
    <row r="340" spans="1:12" ht="15" customHeight="1" x14ac:dyDescent="0.3">
      <c r="A340" s="3">
        <v>46209</v>
      </c>
      <c r="B340" s="4" t="s">
        <v>1005</v>
      </c>
      <c r="C340" s="89" t="s">
        <v>593</v>
      </c>
      <c r="D340" s="89" t="s">
        <v>7</v>
      </c>
      <c r="E340" s="31">
        <v>551.29999999999995</v>
      </c>
      <c r="F340" s="31">
        <v>25000</v>
      </c>
      <c r="G340" s="50">
        <f>РЕАЛИЗАЦИЯ[[#This Row],[СОНИ]]*РЕАЛИЗАЦИЯ[[#This Row],[НАРХИ]]</f>
        <v>13782499.999999998</v>
      </c>
      <c r="I340" s="80">
        <v>25000</v>
      </c>
      <c r="J340" s="31">
        <f>РЕАЛИЗАЦИЯ[[#This Row],[СОНИ]]*РЕАЛИЗАЦИЯ[[#This Row],[ТАННАРХ]]</f>
        <v>13782499.999999998</v>
      </c>
      <c r="K340" s="31">
        <f>РЕАЛИЗАЦИЯ[[#This Row],[ЖАМИ]]-РЕАЛИЗАЦИЯ[[#This Row],[ЖАМИ2]]</f>
        <v>0</v>
      </c>
      <c r="L340" s="31"/>
    </row>
    <row r="341" spans="1:12" ht="15" customHeight="1" x14ac:dyDescent="0.3">
      <c r="A341" s="3">
        <v>46209</v>
      </c>
      <c r="B341" s="4" t="s">
        <v>738</v>
      </c>
      <c r="C341" s="89" t="s">
        <v>605</v>
      </c>
      <c r="D341" s="89" t="s">
        <v>7</v>
      </c>
      <c r="E341" s="31">
        <v>12.6</v>
      </c>
      <c r="F341" s="31">
        <v>24000</v>
      </c>
      <c r="G341" s="50">
        <f>РЕАЛИЗАЦИЯ[[#This Row],[СОНИ]]*РЕАЛИЗАЦИЯ[[#This Row],[НАРХИ]]</f>
        <v>302400</v>
      </c>
      <c r="I341" s="80">
        <v>22000</v>
      </c>
      <c r="J341" s="31">
        <f>РЕАЛИЗАЦИЯ[[#This Row],[СОНИ]]*РЕАЛИЗАЦИЯ[[#This Row],[ТАННАРХ]]</f>
        <v>277200</v>
      </c>
      <c r="K341" s="31">
        <f>РЕАЛИЗАЦИЯ[[#This Row],[ЖАМИ]]-РЕАЛИЗАЦИЯ[[#This Row],[ЖАМИ2]]</f>
        <v>25200</v>
      </c>
      <c r="L341" s="31"/>
    </row>
    <row r="342" spans="1:12" ht="15" customHeight="1" x14ac:dyDescent="0.3">
      <c r="A342" s="3">
        <v>46209</v>
      </c>
      <c r="B342" s="4" t="s">
        <v>552</v>
      </c>
      <c r="C342" s="89" t="s">
        <v>593</v>
      </c>
      <c r="D342" s="89" t="s">
        <v>7</v>
      </c>
      <c r="E342" s="31">
        <v>1701.2</v>
      </c>
      <c r="F342" s="31">
        <v>30000</v>
      </c>
      <c r="G342" s="50">
        <v>51036000</v>
      </c>
      <c r="I342" s="80">
        <v>25000</v>
      </c>
      <c r="J342" s="31">
        <f>РЕАЛИЗАЦИЯ[[#This Row],[СОНИ]]*РЕАЛИЗАЦИЯ[[#This Row],[ТАННАРХ]]</f>
        <v>42530000</v>
      </c>
      <c r="K342" s="31">
        <f>РЕАЛИЗАЦИЯ[[#This Row],[ЖАМИ]]-РЕАЛИЗАЦИЯ[[#This Row],[ЖАМИ2]]</f>
        <v>8506000</v>
      </c>
      <c r="L342" s="31"/>
    </row>
    <row r="343" spans="1:12" ht="15" customHeight="1" x14ac:dyDescent="0.3">
      <c r="A343" s="3">
        <v>46209</v>
      </c>
      <c r="B343" s="4" t="s">
        <v>496</v>
      </c>
      <c r="C343" s="321" t="s">
        <v>43</v>
      </c>
      <c r="D343" s="321" t="s">
        <v>7</v>
      </c>
      <c r="E343" s="31">
        <v>49.7</v>
      </c>
      <c r="F343" s="31">
        <v>15000</v>
      </c>
      <c r="G343" s="50">
        <f>РЕАЛИЗАЦИЯ[[#This Row],[СОНИ]]*РЕАЛИЗАЦИЯ[[#This Row],[НАРХИ]]</f>
        <v>745500</v>
      </c>
      <c r="I343" s="80">
        <v>14000</v>
      </c>
      <c r="J343" s="31">
        <f>РЕАЛИЗАЦИЯ[[#This Row],[СОНИ]]*РЕАЛИЗАЦИЯ[[#This Row],[ТАННАРХ]]</f>
        <v>695800</v>
      </c>
      <c r="K343" s="31">
        <f>РЕАЛИЗАЦИЯ[[#This Row],[ЖАМИ]]-РЕАЛИЗАЦИЯ[[#This Row],[ЖАМИ2]]</f>
        <v>49700</v>
      </c>
      <c r="L343" s="31"/>
    </row>
    <row r="344" spans="1:12" s="321" customFormat="1" ht="15" customHeight="1" x14ac:dyDescent="0.3">
      <c r="A344" s="3">
        <v>46209</v>
      </c>
      <c r="B344" s="4" t="s">
        <v>496</v>
      </c>
      <c r="C344" s="334" t="s">
        <v>973</v>
      </c>
      <c r="D344" s="321" t="s">
        <v>7</v>
      </c>
      <c r="E344" s="31">
        <v>47.9</v>
      </c>
      <c r="F344" s="31">
        <v>22000</v>
      </c>
      <c r="G344" s="50">
        <f>РЕАЛИЗАЦИЯ[[#This Row],[СОНИ]]*РЕАЛИЗАЦИЯ[[#This Row],[НАРХИ]]</f>
        <v>1053800</v>
      </c>
      <c r="H344" s="31"/>
      <c r="I344" s="288">
        <v>22000</v>
      </c>
      <c r="J344" s="31">
        <f>РЕАЛИЗАЦИЯ[[#This Row],[СОНИ]]*РЕАЛИЗАЦИЯ[[#This Row],[ТАННАРХ]]</f>
        <v>1053800</v>
      </c>
      <c r="K344" s="31">
        <f>РЕАЛИЗАЦИЯ[[#This Row],[ЖАМИ]]-РЕАЛИЗАЦИЯ[[#This Row],[ЖАМИ2]]</f>
        <v>0</v>
      </c>
      <c r="L344" s="31"/>
    </row>
    <row r="345" spans="1:12" s="321" customFormat="1" ht="15" customHeight="1" x14ac:dyDescent="0.3">
      <c r="A345" s="3">
        <v>46210</v>
      </c>
      <c r="B345" s="4" t="s">
        <v>939</v>
      </c>
      <c r="C345" s="89" t="s">
        <v>43</v>
      </c>
      <c r="D345" s="89" t="s">
        <v>7</v>
      </c>
      <c r="E345" s="31">
        <v>51.2</v>
      </c>
      <c r="F345" s="31">
        <v>15000</v>
      </c>
      <c r="G345" s="50">
        <v>768000</v>
      </c>
      <c r="H345" s="31"/>
      <c r="I345" s="80">
        <v>14000</v>
      </c>
      <c r="J345" s="31">
        <f>РЕАЛИЗАЦИЯ[[#This Row],[СОНИ]]*РЕАЛИЗАЦИЯ[[#This Row],[ТАННАРХ]]</f>
        <v>716800</v>
      </c>
      <c r="K345" s="31">
        <f>РЕАЛИЗАЦИЯ[[#This Row],[ЖАМИ]]-РЕАЛИЗАЦИЯ[[#This Row],[ЖАМИ2]]</f>
        <v>51200</v>
      </c>
      <c r="L345" s="31"/>
    </row>
    <row r="346" spans="1:12" ht="15" customHeight="1" x14ac:dyDescent="0.3">
      <c r="A346" s="3">
        <v>46210</v>
      </c>
      <c r="B346" s="4" t="s">
        <v>939</v>
      </c>
      <c r="C346" s="89" t="s">
        <v>904</v>
      </c>
      <c r="D346" s="89" t="s">
        <v>7</v>
      </c>
      <c r="E346" s="31">
        <v>91</v>
      </c>
      <c r="F346" s="31">
        <v>23000</v>
      </c>
      <c r="G346" s="50">
        <v>2093000</v>
      </c>
      <c r="I346" s="57">
        <v>21000</v>
      </c>
      <c r="J346" s="31">
        <f>РЕАЛИЗАЦИЯ[[#This Row],[СОНИ]]*РЕАЛИЗАЦИЯ[[#This Row],[ТАННАРХ]]</f>
        <v>1911000</v>
      </c>
      <c r="K346" s="31">
        <f>РЕАЛИЗАЦИЯ[[#This Row],[ЖАМИ]]-РЕАЛИЗАЦИЯ[[#This Row],[ЖАМИ2]]</f>
        <v>182000</v>
      </c>
      <c r="L346" s="31"/>
    </row>
    <row r="347" spans="1:12" ht="15" customHeight="1" x14ac:dyDescent="0.3">
      <c r="A347" s="3">
        <v>46210</v>
      </c>
      <c r="B347" s="4" t="s">
        <v>938</v>
      </c>
      <c r="C347" s="334" t="s">
        <v>973</v>
      </c>
      <c r="D347" s="89" t="s">
        <v>7</v>
      </c>
      <c r="E347" s="31">
        <v>50.3</v>
      </c>
      <c r="F347" s="31">
        <v>26000</v>
      </c>
      <c r="G347" s="50">
        <v>1307800</v>
      </c>
      <c r="I347" s="80">
        <v>23000</v>
      </c>
      <c r="J347" s="31">
        <f>РЕАЛИЗАЦИЯ[[#This Row],[СОНИ]]*РЕАЛИЗАЦИЯ[[#This Row],[ТАННАРХ]]</f>
        <v>1156900</v>
      </c>
      <c r="K347" s="31">
        <f>РЕАЛИЗАЦИЯ[[#This Row],[ЖАМИ]]-РЕАЛИЗАЦИЯ[[#This Row],[ЖАМИ2]]</f>
        <v>150900</v>
      </c>
      <c r="L347" s="31"/>
    </row>
    <row r="348" spans="1:12" ht="15" customHeight="1" x14ac:dyDescent="0.3">
      <c r="A348" s="3">
        <v>46210</v>
      </c>
      <c r="B348" s="4" t="s">
        <v>360</v>
      </c>
      <c r="C348" s="89" t="s">
        <v>904</v>
      </c>
      <c r="D348" s="89" t="s">
        <v>7</v>
      </c>
      <c r="E348" s="31">
        <v>45.2</v>
      </c>
      <c r="F348" s="31">
        <v>23000</v>
      </c>
      <c r="G348" s="50">
        <v>1039600.0000000001</v>
      </c>
      <c r="I348" s="57">
        <v>21000</v>
      </c>
      <c r="J348" s="31">
        <f>РЕАЛИЗАЦИЯ[[#This Row],[СОНИ]]*РЕАЛИЗАЦИЯ[[#This Row],[ТАННАРХ]]</f>
        <v>949200.00000000012</v>
      </c>
      <c r="K348" s="31">
        <f>РЕАЛИЗАЦИЯ[[#This Row],[ЖАМИ]]-РЕАЛИЗАЦИЯ[[#This Row],[ЖАМИ2]]</f>
        <v>90400</v>
      </c>
      <c r="L348" s="31"/>
    </row>
    <row r="349" spans="1:12" ht="15" customHeight="1" x14ac:dyDescent="0.3">
      <c r="A349" s="3">
        <v>46210</v>
      </c>
      <c r="B349" s="4" t="s">
        <v>209</v>
      </c>
      <c r="C349" s="89" t="s">
        <v>43</v>
      </c>
      <c r="D349" s="89" t="s">
        <v>7</v>
      </c>
      <c r="E349" s="31">
        <v>206.3</v>
      </c>
      <c r="F349" s="31">
        <v>15000</v>
      </c>
      <c r="G349" s="50">
        <v>3094500</v>
      </c>
      <c r="I349" s="80">
        <v>14000</v>
      </c>
      <c r="J349" s="31">
        <f>РЕАЛИЗАЦИЯ[[#This Row],[СОНИ]]*РЕАЛИЗАЦИЯ[[#This Row],[ТАННАРХ]]</f>
        <v>2888200</v>
      </c>
      <c r="K349" s="31">
        <f>РЕАЛИЗАЦИЯ[[#This Row],[ЖАМИ]]-РЕАЛИЗАЦИЯ[[#This Row],[ЖАМИ2]]</f>
        <v>206300</v>
      </c>
      <c r="L349" s="31"/>
    </row>
    <row r="350" spans="1:12" ht="15" customHeight="1" x14ac:dyDescent="0.3">
      <c r="A350" s="3">
        <v>46210</v>
      </c>
      <c r="B350" s="4" t="s">
        <v>86</v>
      </c>
      <c r="C350" s="334" t="s">
        <v>973</v>
      </c>
      <c r="D350" s="91" t="s">
        <v>7</v>
      </c>
      <c r="E350" s="31">
        <v>51.3</v>
      </c>
      <c r="F350" s="31">
        <v>24000</v>
      </c>
      <c r="G350" s="50">
        <v>1231200</v>
      </c>
      <c r="I350" s="80">
        <v>23000</v>
      </c>
      <c r="J350" s="31">
        <f>РЕАЛИЗАЦИЯ[[#This Row],[СОНИ]]*РЕАЛИЗАЦИЯ[[#This Row],[ТАННАРХ]]</f>
        <v>1179900</v>
      </c>
      <c r="K350" s="31">
        <f>РЕАЛИЗАЦИЯ[[#This Row],[ЖАМИ]]-РЕАЛИЗАЦИЯ[[#This Row],[ЖАМИ2]]</f>
        <v>51300</v>
      </c>
      <c r="L350" s="31"/>
    </row>
    <row r="351" spans="1:12" ht="15" customHeight="1" x14ac:dyDescent="0.3">
      <c r="A351" s="3">
        <v>46210</v>
      </c>
      <c r="B351" s="4" t="s">
        <v>508</v>
      </c>
      <c r="C351" s="89" t="s">
        <v>605</v>
      </c>
      <c r="D351" s="89" t="s">
        <v>7</v>
      </c>
      <c r="E351" s="31">
        <v>205.5</v>
      </c>
      <c r="F351" s="31">
        <v>25000</v>
      </c>
      <c r="G351" s="50">
        <f>РЕАЛИЗАЦИЯ[[#This Row],[СОНИ]]*РЕАЛИЗАЦИЯ[[#This Row],[НАРХИ]]</f>
        <v>5137500</v>
      </c>
      <c r="I351" s="80">
        <v>22000</v>
      </c>
      <c r="J351" s="31">
        <f>РЕАЛИЗАЦИЯ[[#This Row],[СОНИ]]*РЕАЛИЗАЦИЯ[[#This Row],[ТАННАРХ]]</f>
        <v>4521000</v>
      </c>
      <c r="K351" s="31">
        <f>РЕАЛИЗАЦИЯ[[#This Row],[ЖАМИ]]-РЕАЛИЗАЦИЯ[[#This Row],[ЖАМИ2]]</f>
        <v>616500</v>
      </c>
      <c r="L351" s="31"/>
    </row>
    <row r="352" spans="1:12" ht="15" customHeight="1" x14ac:dyDescent="0.3">
      <c r="A352" s="3">
        <v>46210</v>
      </c>
      <c r="B352" s="4" t="s">
        <v>97</v>
      </c>
      <c r="C352" s="89" t="s">
        <v>43</v>
      </c>
      <c r="D352" s="89" t="s">
        <v>7</v>
      </c>
      <c r="E352" s="31">
        <v>98.7</v>
      </c>
      <c r="F352" s="31">
        <v>16000</v>
      </c>
      <c r="G352" s="50">
        <f>РЕАЛИЗАЦИЯ[[#This Row],[СОНИ]]*РЕАЛИЗАЦИЯ[[#This Row],[НАРХИ]]</f>
        <v>1579200</v>
      </c>
      <c r="I352" s="80">
        <v>14000</v>
      </c>
      <c r="J352" s="31">
        <f>РЕАЛИЗАЦИЯ[[#This Row],[СОНИ]]*РЕАЛИЗАЦИЯ[[#This Row],[ТАННАРХ]]</f>
        <v>1381800</v>
      </c>
      <c r="K352" s="31">
        <f>РЕАЛИЗАЦИЯ[[#This Row],[ЖАМИ]]-РЕАЛИЗАЦИЯ[[#This Row],[ЖАМИ2]]</f>
        <v>197400</v>
      </c>
      <c r="L352" s="31"/>
    </row>
    <row r="353" spans="1:12" ht="15" customHeight="1" x14ac:dyDescent="0.3">
      <c r="A353" s="3">
        <v>46210</v>
      </c>
      <c r="B353" s="4" t="s">
        <v>97</v>
      </c>
      <c r="C353" s="334" t="s">
        <v>973</v>
      </c>
      <c r="D353" s="89" t="s">
        <v>7</v>
      </c>
      <c r="E353" s="31">
        <v>154.4</v>
      </c>
      <c r="F353" s="31">
        <v>24000</v>
      </c>
      <c r="G353" s="50">
        <f>РЕАЛИЗАЦИЯ[[#This Row],[СОНИ]]*РЕАЛИЗАЦИЯ[[#This Row],[НАРХИ]]</f>
        <v>3705600</v>
      </c>
      <c r="I353" s="80">
        <v>23000</v>
      </c>
      <c r="J353" s="31">
        <f>РЕАЛИЗАЦИЯ[[#This Row],[СОНИ]]*РЕАЛИЗАЦИЯ[[#This Row],[ТАННАРХ]]</f>
        <v>3551200</v>
      </c>
      <c r="K353" s="31">
        <f>РЕАЛИЗАЦИЯ[[#This Row],[ЖАМИ]]-РЕАЛИЗАЦИЯ[[#This Row],[ЖАМИ2]]</f>
        <v>154400</v>
      </c>
      <c r="L353" s="31"/>
    </row>
    <row r="354" spans="1:12" ht="15" customHeight="1" x14ac:dyDescent="0.3">
      <c r="A354" s="3">
        <v>46210</v>
      </c>
      <c r="B354" s="4" t="s">
        <v>938</v>
      </c>
      <c r="C354" s="311" t="s">
        <v>43</v>
      </c>
      <c r="D354" s="311" t="s">
        <v>7</v>
      </c>
      <c r="E354" s="31">
        <v>-45.7</v>
      </c>
      <c r="F354" s="31">
        <v>16000</v>
      </c>
      <c r="G354" s="50">
        <f>РЕАЛИЗАЦИЯ[[#This Row],[СОНИ]]*РЕАЛИЗАЦИЯ[[#This Row],[НАРХИ]]</f>
        <v>-731200</v>
      </c>
      <c r="I354" s="80">
        <v>14000</v>
      </c>
      <c r="J354" s="31">
        <f>РЕАЛИЗАЦИЯ[[#This Row],[СОНИ]]*РЕАЛИЗАЦИЯ[[#This Row],[ТАННАРХ]]</f>
        <v>-639800</v>
      </c>
      <c r="K354" s="31">
        <f>РЕАЛИЗАЦИЯ[[#This Row],[ЖАМИ]]-РЕАЛИЗАЦИЯ[[#This Row],[ЖАМИ2]]</f>
        <v>-91400</v>
      </c>
      <c r="L354" s="31"/>
    </row>
    <row r="355" spans="1:12" s="311" customFormat="1" ht="15" customHeight="1" x14ac:dyDescent="0.3">
      <c r="A355" s="3">
        <v>46210</v>
      </c>
      <c r="B355" s="4" t="s">
        <v>469</v>
      </c>
      <c r="C355" s="89" t="s">
        <v>44</v>
      </c>
      <c r="D355" s="89" t="s">
        <v>7</v>
      </c>
      <c r="E355" s="31">
        <v>286.7</v>
      </c>
      <c r="F355" s="31">
        <v>19000</v>
      </c>
      <c r="G355" s="50">
        <f>РЕАЛИЗАЦИЯ[[#This Row],[СОНИ]]*РЕАЛИЗАЦИЯ[[#This Row],[НАРХИ]]</f>
        <v>5447300</v>
      </c>
      <c r="H355" s="31"/>
      <c r="I355" s="57">
        <v>18000</v>
      </c>
      <c r="J355" s="31">
        <f>РЕАЛИЗАЦИЯ[[#This Row],[СОНИ]]*РЕАЛИЗАЦИЯ[[#This Row],[ТАННАРХ]]</f>
        <v>5160600</v>
      </c>
      <c r="K355" s="31">
        <f>РЕАЛИЗАЦИЯ[[#This Row],[ЖАМИ]]-РЕАЛИЗАЦИЯ[[#This Row],[ЖАМИ2]]</f>
        <v>286700</v>
      </c>
      <c r="L355" s="31"/>
    </row>
    <row r="356" spans="1:12" ht="15" customHeight="1" x14ac:dyDescent="0.3">
      <c r="A356" s="3">
        <v>46210</v>
      </c>
      <c r="B356" s="4" t="s">
        <v>807</v>
      </c>
      <c r="C356" s="311" t="s">
        <v>43</v>
      </c>
      <c r="D356" s="311" t="s">
        <v>7</v>
      </c>
      <c r="E356" s="31">
        <v>2486.6999999999998</v>
      </c>
      <c r="F356" s="31">
        <v>14000</v>
      </c>
      <c r="G356" s="50">
        <f>РЕАЛИЗАЦИЯ[[#This Row],[СОНИ]]*РЕАЛИЗАЦИЯ[[#This Row],[НАРХИ]]</f>
        <v>34813800</v>
      </c>
      <c r="I356" s="80">
        <v>14000</v>
      </c>
      <c r="J356" s="31">
        <f>РЕАЛИЗАЦИЯ[[#This Row],[СОНИ]]*РЕАЛИЗАЦИЯ[[#This Row],[ТАННАРХ]]</f>
        <v>34813800</v>
      </c>
      <c r="K356" s="31">
        <f>РЕАЛИЗАЦИЯ[[#This Row],[ЖАМИ]]-РЕАЛИЗАЦИЯ[[#This Row],[ЖАМИ2]]</f>
        <v>0</v>
      </c>
      <c r="L356" s="31"/>
    </row>
    <row r="357" spans="1:12" s="311" customFormat="1" ht="15" customHeight="1" x14ac:dyDescent="0.3">
      <c r="A357" s="3">
        <v>46211</v>
      </c>
      <c r="B357" s="4" t="s">
        <v>697</v>
      </c>
      <c r="C357" s="89" t="s">
        <v>986</v>
      </c>
      <c r="D357" s="89" t="s">
        <v>7</v>
      </c>
      <c r="E357" s="31">
        <v>1008.8</v>
      </c>
      <c r="F357" s="31">
        <v>23500</v>
      </c>
      <c r="G357" s="50">
        <f>РЕАЛИЗАЦИЯ[[#This Row],[СОНИ]]*РЕАЛИЗАЦИЯ[[#This Row],[НАРХИ]]</f>
        <v>23706800</v>
      </c>
      <c r="H357" s="31"/>
      <c r="I357" s="80">
        <v>22500</v>
      </c>
      <c r="J357" s="31">
        <f>РЕАЛИЗАЦИЯ[[#This Row],[СОНИ]]*РЕАЛИЗАЦИЯ[[#This Row],[ТАННАРХ]]</f>
        <v>22698000</v>
      </c>
      <c r="K357" s="31">
        <f>РЕАЛИЗАЦИЯ[[#This Row],[ЖАМИ]]-РЕАЛИЗАЦИЯ[[#This Row],[ЖАМИ2]]</f>
        <v>1008800</v>
      </c>
      <c r="L357" s="31" t="s">
        <v>952</v>
      </c>
    </row>
    <row r="358" spans="1:12" ht="15" customHeight="1" x14ac:dyDescent="0.3">
      <c r="A358" s="3">
        <v>46211</v>
      </c>
      <c r="B358" s="4" t="s">
        <v>950</v>
      </c>
      <c r="C358" s="133" t="s">
        <v>904</v>
      </c>
      <c r="D358" s="133" t="s">
        <v>7</v>
      </c>
      <c r="E358" s="31">
        <v>144</v>
      </c>
      <c r="F358" s="31">
        <v>22000</v>
      </c>
      <c r="G358" s="50">
        <f>РЕАЛИЗАЦИЯ[[#This Row],[СОНИ]]*РЕАЛИЗАЦИЯ[[#This Row],[НАРХИ]]</f>
        <v>3168000</v>
      </c>
      <c r="I358" s="57">
        <v>21000</v>
      </c>
      <c r="J358" s="31">
        <f>РЕАЛИЗАЦИЯ[[#This Row],[СОНИ]]*РЕАЛИЗАЦИЯ[[#This Row],[ТАННАРХ]]</f>
        <v>3024000</v>
      </c>
      <c r="K358" s="31">
        <f>РЕАЛИЗАЦИЯ[[#This Row],[ЖАМИ]]-РЕАЛИЗАЦИЯ[[#This Row],[ЖАМИ2]]</f>
        <v>144000</v>
      </c>
      <c r="L358" s="31"/>
    </row>
    <row r="359" spans="1:12" ht="15" customHeight="1" x14ac:dyDescent="0.3">
      <c r="A359" s="3">
        <v>46211</v>
      </c>
      <c r="B359" s="4" t="s">
        <v>246</v>
      </c>
      <c r="C359" s="133" t="s">
        <v>43</v>
      </c>
      <c r="D359" s="133" t="s">
        <v>7</v>
      </c>
      <c r="E359" s="31">
        <v>48</v>
      </c>
      <c r="F359" s="31">
        <v>16000</v>
      </c>
      <c r="G359" s="50">
        <f>РЕАЛИЗАЦИЯ[[#This Row],[СОНИ]]*РЕАЛИЗАЦИЯ[[#This Row],[НАРХИ]]</f>
        <v>768000</v>
      </c>
      <c r="I359" s="80">
        <v>14000</v>
      </c>
      <c r="J359" s="31">
        <f>РЕАЛИЗАЦИЯ[[#This Row],[СОНИ]]*РЕАЛИЗАЦИЯ[[#This Row],[ТАННАРХ]]</f>
        <v>672000</v>
      </c>
      <c r="K359" s="31">
        <f>РЕАЛИЗАЦИЯ[[#This Row],[ЖАМИ]]-РЕАЛИЗАЦИЯ[[#This Row],[ЖАМИ2]]</f>
        <v>96000</v>
      </c>
      <c r="L359" s="31"/>
    </row>
    <row r="360" spans="1:12" ht="15" customHeight="1" x14ac:dyDescent="0.3">
      <c r="A360" s="3">
        <v>46211</v>
      </c>
      <c r="B360" s="4" t="s">
        <v>951</v>
      </c>
      <c r="C360" s="89" t="s">
        <v>43</v>
      </c>
      <c r="D360" s="89" t="s">
        <v>7</v>
      </c>
      <c r="E360" s="31">
        <v>94.9</v>
      </c>
      <c r="F360" s="31">
        <v>15000</v>
      </c>
      <c r="G360" s="50">
        <f>РЕАЛИЗАЦИЯ[[#This Row],[СОНИ]]*РЕАЛИЗАЦИЯ[[#This Row],[НАРХИ]]</f>
        <v>1423500</v>
      </c>
      <c r="I360" s="80">
        <v>14000</v>
      </c>
      <c r="J360" s="31">
        <f>РЕАЛИЗАЦИЯ[[#This Row],[СОНИ]]*РЕАЛИЗАЦИЯ[[#This Row],[ТАННАРХ]]</f>
        <v>1328600</v>
      </c>
      <c r="K360" s="31">
        <f>РЕАЛИЗАЦИЯ[[#This Row],[ЖАМИ]]-РЕАЛИЗАЦИЯ[[#This Row],[ЖАМИ2]]</f>
        <v>94900</v>
      </c>
      <c r="L360" s="31" t="s">
        <v>952</v>
      </c>
    </row>
    <row r="361" spans="1:12" ht="15" customHeight="1" x14ac:dyDescent="0.3">
      <c r="A361" s="3">
        <v>46211</v>
      </c>
      <c r="B361" s="4" t="s">
        <v>951</v>
      </c>
      <c r="C361" s="89" t="s">
        <v>904</v>
      </c>
      <c r="D361" s="89" t="s">
        <v>7</v>
      </c>
      <c r="E361" s="31">
        <v>240.3</v>
      </c>
      <c r="F361" s="31">
        <v>22000</v>
      </c>
      <c r="G361" s="50">
        <f>РЕАЛИЗАЦИЯ[[#This Row],[СОНИ]]*РЕАЛИЗАЦИЯ[[#This Row],[НАРХИ]]</f>
        <v>5286600</v>
      </c>
      <c r="I361" s="57">
        <v>21000</v>
      </c>
      <c r="J361" s="31">
        <f>РЕАЛИЗАЦИЯ[[#This Row],[СОНИ]]*РЕАЛИЗАЦИЯ[[#This Row],[ТАННАРХ]]</f>
        <v>5046300</v>
      </c>
      <c r="K361" s="31">
        <f>РЕАЛИЗАЦИЯ[[#This Row],[ЖАМИ]]-РЕАЛИЗАЦИЯ[[#This Row],[ЖАМИ2]]</f>
        <v>240300</v>
      </c>
      <c r="L361" s="31" t="s">
        <v>952</v>
      </c>
    </row>
    <row r="362" spans="1:12" ht="15" customHeight="1" x14ac:dyDescent="0.3">
      <c r="A362" s="3">
        <v>46211</v>
      </c>
      <c r="B362" s="4" t="s">
        <v>827</v>
      </c>
      <c r="C362" s="89" t="s">
        <v>973</v>
      </c>
      <c r="D362" s="89" t="s">
        <v>7</v>
      </c>
      <c r="E362" s="31">
        <v>232.1</v>
      </c>
      <c r="F362" s="31">
        <v>23000</v>
      </c>
      <c r="G362" s="50">
        <f>РЕАЛИЗАЦИЯ[[#This Row],[СОНИ]]*РЕАЛИЗАЦИЯ[[#This Row],[НАРХИ]]</f>
        <v>5338300</v>
      </c>
      <c r="I362" s="57">
        <v>23000</v>
      </c>
      <c r="J362" s="31">
        <f>РЕАЛИЗАЦИЯ[[#This Row],[СОНИ]]*РЕАЛИЗАЦИЯ[[#This Row],[ТАННАРХ]]</f>
        <v>5338300</v>
      </c>
      <c r="K362" s="31">
        <f>РЕАЛИЗАЦИЯ[[#This Row],[ЖАМИ]]-РЕАЛИЗАЦИЯ[[#This Row],[ЖАМИ2]]</f>
        <v>0</v>
      </c>
      <c r="L362" s="31"/>
    </row>
    <row r="363" spans="1:12" ht="15" customHeight="1" x14ac:dyDescent="0.3">
      <c r="A363" s="3">
        <v>46211</v>
      </c>
      <c r="B363" s="4" t="s">
        <v>827</v>
      </c>
      <c r="C363" s="90" t="s">
        <v>78</v>
      </c>
      <c r="D363" s="90" t="s">
        <v>7</v>
      </c>
      <c r="E363" s="31">
        <v>234.7</v>
      </c>
      <c r="F363" s="31">
        <v>19000</v>
      </c>
      <c r="G363" s="50">
        <f>РЕАЛИЗАЦИЯ[[#This Row],[СОНИ]]*РЕАЛИЗАЦИЯ[[#This Row],[НАРХИ]]</f>
        <v>4459300</v>
      </c>
      <c r="I363" s="80">
        <v>18000</v>
      </c>
      <c r="J363" s="31">
        <f>РЕАЛИЗАЦИЯ[[#This Row],[СОНИ]]*РЕАЛИЗАЦИЯ[[#This Row],[ТАННАРХ]]</f>
        <v>4224600</v>
      </c>
      <c r="K363" s="31">
        <f>РЕАЛИЗАЦИЯ[[#This Row],[ЖАМИ]]-РЕАЛИЗАЦИЯ[[#This Row],[ЖАМИ2]]</f>
        <v>234700</v>
      </c>
      <c r="L363" s="31"/>
    </row>
    <row r="364" spans="1:12" ht="15" customHeight="1" x14ac:dyDescent="0.3">
      <c r="A364" s="3">
        <v>46211</v>
      </c>
      <c r="B364" s="4" t="s">
        <v>827</v>
      </c>
      <c r="C364" s="90" t="s">
        <v>605</v>
      </c>
      <c r="D364" s="90" t="s">
        <v>7</v>
      </c>
      <c r="E364" s="31">
        <v>46.2</v>
      </c>
      <c r="F364" s="31">
        <v>24000</v>
      </c>
      <c r="G364" s="50">
        <f>РЕАЛИЗАЦИЯ[[#This Row],[СОНИ]]*РЕАЛИЗАЦИЯ[[#This Row],[НАРХИ]]</f>
        <v>1108800</v>
      </c>
      <c r="I364" s="80">
        <v>22000</v>
      </c>
      <c r="J364" s="31">
        <f>РЕАЛИЗАЦИЯ[[#This Row],[СОНИ]]*РЕАЛИЗАЦИЯ[[#This Row],[ТАННАРХ]]</f>
        <v>1016400.0000000001</v>
      </c>
      <c r="K364" s="31">
        <f>РЕАЛИЗАЦИЯ[[#This Row],[ЖАМИ]]-РЕАЛИЗАЦИЯ[[#This Row],[ЖАМИ2]]</f>
        <v>92399.999999999884</v>
      </c>
      <c r="L364" s="31"/>
    </row>
    <row r="365" spans="1:12" ht="15" customHeight="1" x14ac:dyDescent="0.3">
      <c r="A365" s="3">
        <v>46211</v>
      </c>
      <c r="B365" s="4" t="s">
        <v>552</v>
      </c>
      <c r="C365" s="339" t="s">
        <v>593</v>
      </c>
      <c r="D365" s="339" t="s">
        <v>7</v>
      </c>
      <c r="E365" s="31">
        <v>1712.1</v>
      </c>
      <c r="F365" s="31">
        <v>30000</v>
      </c>
      <c r="G365" s="50">
        <f>РЕАЛИЗАЦИЯ[[#This Row],[СОНИ]]*РЕАЛИЗАЦИЯ[[#This Row],[НАРХИ]]</f>
        <v>51363000</v>
      </c>
      <c r="I365" s="288">
        <v>25000</v>
      </c>
      <c r="J365" s="31">
        <f>РЕАЛИЗАЦИЯ[[#This Row],[СОНИ]]*РЕАЛИЗАЦИЯ[[#This Row],[ТАННАРХ]]</f>
        <v>42802500</v>
      </c>
      <c r="K365" s="31">
        <f>РЕАЛИЗАЦИЯ[[#This Row],[ЖАМИ]]-РЕАЛИЗАЦИЯ[[#This Row],[ЖАМИ2]]</f>
        <v>8560500</v>
      </c>
      <c r="L365" s="31"/>
    </row>
    <row r="366" spans="1:12" s="339" customFormat="1" ht="15" customHeight="1" x14ac:dyDescent="0.3">
      <c r="A366" s="3">
        <v>46211</v>
      </c>
      <c r="B366" s="4" t="s">
        <v>318</v>
      </c>
      <c r="C366" s="90" t="s">
        <v>43</v>
      </c>
      <c r="D366" s="90" t="s">
        <v>7</v>
      </c>
      <c r="E366" s="31">
        <v>51.7</v>
      </c>
      <c r="F366" s="31">
        <v>15000</v>
      </c>
      <c r="G366" s="50">
        <f>РЕАЛИЗАЦИЯ[[#This Row],[СОНИ]]*РЕАЛИЗАЦИЯ[[#This Row],[НАРХИ]]</f>
        <v>775500</v>
      </c>
      <c r="H366" s="31"/>
      <c r="I366" s="80">
        <v>14000</v>
      </c>
      <c r="J366" s="31">
        <f>РЕАЛИЗАЦИЯ[[#This Row],[СОНИ]]*РЕАЛИЗАЦИЯ[[#This Row],[ТАННАРХ]]</f>
        <v>723800</v>
      </c>
      <c r="K366" s="31">
        <f>РЕАЛИЗАЦИЯ[[#This Row],[ЖАМИ]]-РЕАЛИЗАЦИЯ[[#This Row],[ЖАМИ2]]</f>
        <v>51700</v>
      </c>
      <c r="L366" s="31"/>
    </row>
    <row r="367" spans="1:12" ht="15" customHeight="1" x14ac:dyDescent="0.3">
      <c r="A367" s="3">
        <v>46212</v>
      </c>
      <c r="B367" s="4" t="s">
        <v>345</v>
      </c>
      <c r="C367" s="90" t="s">
        <v>904</v>
      </c>
      <c r="D367" s="90" t="s">
        <v>7</v>
      </c>
      <c r="E367" s="31">
        <v>43.3</v>
      </c>
      <c r="F367" s="31">
        <v>23000</v>
      </c>
      <c r="G367" s="50">
        <f>РЕАЛИЗАЦИЯ[[#This Row],[СОНИ]]*РЕАЛИЗАЦИЯ[[#This Row],[НАРХИ]]</f>
        <v>995899.99999999988</v>
      </c>
      <c r="I367" s="57">
        <v>21000</v>
      </c>
      <c r="J367" s="31">
        <f>РЕАЛИЗАЦИЯ[[#This Row],[СОНИ]]*РЕАЛИЗАЦИЯ[[#This Row],[ТАННАРХ]]</f>
        <v>909299.99999999988</v>
      </c>
      <c r="K367" s="31">
        <f>РЕАЛИЗАЦИЯ[[#This Row],[ЖАМИ]]-РЕАЛИЗАЦИЯ[[#This Row],[ЖАМИ2]]</f>
        <v>86600</v>
      </c>
      <c r="L367" s="31"/>
    </row>
    <row r="368" spans="1:12" ht="15" customHeight="1" x14ac:dyDescent="0.3">
      <c r="A368" s="3">
        <v>46212</v>
      </c>
      <c r="B368" s="4" t="s">
        <v>345</v>
      </c>
      <c r="C368" s="90" t="s">
        <v>43</v>
      </c>
      <c r="D368" s="90" t="s">
        <v>7</v>
      </c>
      <c r="E368" s="31">
        <v>47.2</v>
      </c>
      <c r="F368" s="31">
        <v>16000</v>
      </c>
      <c r="G368" s="50">
        <f>РЕАЛИЗАЦИЯ[[#This Row],[СОНИ]]*РЕАЛИЗАЦИЯ[[#This Row],[НАРХИ]]</f>
        <v>755200</v>
      </c>
      <c r="I368" s="80">
        <v>14000</v>
      </c>
      <c r="J368" s="31">
        <f>РЕАЛИЗАЦИЯ[[#This Row],[СОНИ]]*РЕАЛИЗАЦИЯ[[#This Row],[ТАННАРХ]]</f>
        <v>660800</v>
      </c>
      <c r="K368" s="31">
        <f>РЕАЛИЗАЦИЯ[[#This Row],[ЖАМИ]]-РЕАЛИЗАЦИЯ[[#This Row],[ЖАМИ2]]</f>
        <v>94400</v>
      </c>
      <c r="L368" s="31"/>
    </row>
    <row r="369" spans="1:12" ht="15" customHeight="1" x14ac:dyDescent="0.3">
      <c r="A369" s="3">
        <v>46212</v>
      </c>
      <c r="B369" s="4" t="s">
        <v>664</v>
      </c>
      <c r="C369" s="90" t="s">
        <v>973</v>
      </c>
      <c r="D369" s="90" t="s">
        <v>7</v>
      </c>
      <c r="E369" s="31">
        <v>47.4</v>
      </c>
      <c r="F369" s="31">
        <v>23000</v>
      </c>
      <c r="G369" s="50">
        <f>РЕАЛИЗАЦИЯ[[#This Row],[СОНИ]]*РЕАЛИЗАЦИЯ[[#This Row],[НАРХИ]]</f>
        <v>1090200</v>
      </c>
      <c r="I369" s="57">
        <v>23000</v>
      </c>
      <c r="J369" s="31">
        <f>РЕАЛИЗАЦИЯ[[#This Row],[СОНИ]]*РЕАЛИЗАЦИЯ[[#This Row],[ТАННАРХ]]</f>
        <v>1090200</v>
      </c>
      <c r="K369" s="31">
        <f>РЕАЛИЗАЦИЯ[[#This Row],[ЖАМИ]]-РЕАЛИЗАЦИЯ[[#This Row],[ЖАМИ2]]</f>
        <v>0</v>
      </c>
      <c r="L369" s="31"/>
    </row>
    <row r="370" spans="1:12" ht="15" customHeight="1" x14ac:dyDescent="0.3">
      <c r="A370" s="3">
        <v>46212</v>
      </c>
      <c r="B370" s="4" t="s">
        <v>290</v>
      </c>
      <c r="C370" s="90" t="s">
        <v>904</v>
      </c>
      <c r="D370" s="90" t="s">
        <v>7</v>
      </c>
      <c r="E370" s="31">
        <v>135.5</v>
      </c>
      <c r="F370" s="31">
        <v>22500</v>
      </c>
      <c r="G370" s="50">
        <f>РЕАЛИЗАЦИЯ[[#This Row],[СОНИ]]*РЕАЛИЗАЦИЯ[[#This Row],[НАРХИ]]</f>
        <v>3048750</v>
      </c>
      <c r="I370" s="57">
        <v>21000</v>
      </c>
      <c r="J370" s="31">
        <f>РЕАЛИЗАЦИЯ[[#This Row],[СОНИ]]*РЕАЛИЗАЦИЯ[[#This Row],[ТАННАРХ]]</f>
        <v>2845500</v>
      </c>
      <c r="K370" s="31">
        <f>РЕАЛИЗАЦИЯ[[#This Row],[ЖАМИ]]-РЕАЛИЗАЦИЯ[[#This Row],[ЖАМИ2]]</f>
        <v>203250</v>
      </c>
      <c r="L370" s="31"/>
    </row>
    <row r="371" spans="1:12" ht="15" customHeight="1" x14ac:dyDescent="0.3">
      <c r="A371" s="3">
        <v>46212</v>
      </c>
      <c r="B371" s="4" t="s">
        <v>290</v>
      </c>
      <c r="C371" s="90" t="s">
        <v>43</v>
      </c>
      <c r="D371" s="90" t="s">
        <v>7</v>
      </c>
      <c r="E371" s="31">
        <v>49.6</v>
      </c>
      <c r="F371" s="31">
        <v>15000</v>
      </c>
      <c r="G371" s="50">
        <f>РЕАЛИЗАЦИЯ[[#This Row],[СОНИ]]*РЕАЛИЗАЦИЯ[[#This Row],[НАРХИ]]</f>
        <v>744000</v>
      </c>
      <c r="I371" s="80">
        <v>14000</v>
      </c>
      <c r="J371" s="31">
        <f>РЕАЛИЗАЦИЯ[[#This Row],[СОНИ]]*РЕАЛИЗАЦИЯ[[#This Row],[ТАННАРХ]]</f>
        <v>694400</v>
      </c>
      <c r="K371" s="31">
        <f>РЕАЛИЗАЦИЯ[[#This Row],[ЖАМИ]]-РЕАЛИЗАЦИЯ[[#This Row],[ЖАМИ2]]</f>
        <v>49600</v>
      </c>
      <c r="L371" s="31"/>
    </row>
    <row r="372" spans="1:12" ht="15" customHeight="1" x14ac:dyDescent="0.3">
      <c r="A372" s="3">
        <v>46212</v>
      </c>
      <c r="B372" s="4" t="s">
        <v>992</v>
      </c>
      <c r="C372" s="315" t="s">
        <v>78</v>
      </c>
      <c r="D372" s="315" t="s">
        <v>7</v>
      </c>
      <c r="E372" s="31">
        <v>61.2</v>
      </c>
      <c r="F372" s="31">
        <v>19000</v>
      </c>
      <c r="G372" s="50">
        <f>РЕАЛИЗАЦИЯ[[#This Row],[СОНИ]]*РЕАЛИЗАЦИЯ[[#This Row],[НАРХИ]]</f>
        <v>1162800</v>
      </c>
      <c r="I372" s="80">
        <v>18000</v>
      </c>
      <c r="J372" s="31">
        <f>РЕАЛИЗАЦИЯ[[#This Row],[СОНИ]]*РЕАЛИЗАЦИЯ[[#This Row],[ТАННАРХ]]</f>
        <v>1101600</v>
      </c>
      <c r="K372" s="31">
        <f>РЕАЛИЗАЦИЯ[[#This Row],[ЖАМИ]]-РЕАЛИЗАЦИЯ[[#This Row],[ЖАМИ2]]</f>
        <v>61200</v>
      </c>
      <c r="L372" s="31"/>
    </row>
    <row r="373" spans="1:12" s="315" customFormat="1" ht="15" customHeight="1" x14ac:dyDescent="0.3">
      <c r="A373" s="3">
        <v>46212</v>
      </c>
      <c r="B373" s="4" t="s">
        <v>681</v>
      </c>
      <c r="C373" s="320" t="s">
        <v>43</v>
      </c>
      <c r="D373" s="320" t="s">
        <v>959</v>
      </c>
      <c r="E373" s="31">
        <v>1001.3</v>
      </c>
      <c r="F373" s="31">
        <v>15500</v>
      </c>
      <c r="G373" s="50">
        <f>РЕАЛИЗАЦИЯ[[#This Row],[СОНИ]]*РЕАЛИЗАЦИЯ[[#This Row],[НАРХИ]]</f>
        <v>15520150</v>
      </c>
      <c r="H373" s="31"/>
      <c r="I373" s="80">
        <v>14000</v>
      </c>
      <c r="J373" s="31">
        <f>РЕАЛИЗАЦИЯ[[#This Row],[СОНИ]]*РЕАЛИЗАЦИЯ[[#This Row],[ТАННАРХ]]</f>
        <v>14018200</v>
      </c>
      <c r="K373" s="31">
        <f>РЕАЛИЗАЦИЯ[[#This Row],[ЖАМИ]]-РЕАЛИЗАЦИЯ[[#This Row],[ЖАМИ2]]</f>
        <v>1501950</v>
      </c>
      <c r="L373" s="31"/>
    </row>
    <row r="374" spans="1:12" s="320" customFormat="1" ht="15" customHeight="1" x14ac:dyDescent="0.3">
      <c r="A374" s="3">
        <v>46213</v>
      </c>
      <c r="B374" s="4" t="s">
        <v>737</v>
      </c>
      <c r="C374" s="334" t="s">
        <v>904</v>
      </c>
      <c r="D374" s="90" t="s">
        <v>7</v>
      </c>
      <c r="E374" s="31">
        <v>487.5</v>
      </c>
      <c r="F374" s="31">
        <v>23000</v>
      </c>
      <c r="G374" s="50">
        <f>РЕАЛИЗАЦИЯ[[#This Row],[СОНИ]]*РЕАЛИЗАЦИЯ[[#This Row],[НАРХИ]]</f>
        <v>11212500</v>
      </c>
      <c r="H374" s="31"/>
      <c r="I374" s="80">
        <v>21000</v>
      </c>
      <c r="J374" s="31">
        <f>РЕАЛИЗАЦИЯ[[#This Row],[СОНИ]]*РЕАЛИЗАЦИЯ[[#This Row],[ТАННАРХ]]</f>
        <v>10237500</v>
      </c>
      <c r="K374" s="31">
        <f>РЕАЛИЗАЦИЯ[[#This Row],[ЖАМИ]]-РЕАЛИЗАЦИЯ[[#This Row],[ЖАМИ2]]</f>
        <v>975000</v>
      </c>
      <c r="L374" s="31"/>
    </row>
    <row r="375" spans="1:12" ht="15" customHeight="1" x14ac:dyDescent="0.3">
      <c r="A375" s="3">
        <v>46213</v>
      </c>
      <c r="B375" s="4" t="s">
        <v>899</v>
      </c>
      <c r="C375" s="90" t="s">
        <v>43</v>
      </c>
      <c r="D375" s="90" t="s">
        <v>7</v>
      </c>
      <c r="E375" s="31">
        <v>49.3</v>
      </c>
      <c r="F375" s="31">
        <v>15000</v>
      </c>
      <c r="G375" s="50">
        <f>РЕАЛИЗАЦИЯ[[#This Row],[СОНИ]]*РЕАЛИЗАЦИЯ[[#This Row],[НАРХИ]]</f>
        <v>739500</v>
      </c>
      <c r="I375" s="80">
        <v>14000</v>
      </c>
      <c r="J375" s="31">
        <f>РЕАЛИЗАЦИЯ[[#This Row],[СОНИ]]*РЕАЛИЗАЦИЯ[[#This Row],[ТАННАРХ]]</f>
        <v>690200</v>
      </c>
      <c r="K375" s="31">
        <f>РЕАЛИЗАЦИЯ[[#This Row],[ЖАМИ]]-РЕАЛИЗАЦИЯ[[#This Row],[ЖАМИ2]]</f>
        <v>49300</v>
      </c>
      <c r="L375" s="31"/>
    </row>
    <row r="376" spans="1:12" ht="15" customHeight="1" x14ac:dyDescent="0.3">
      <c r="A376" s="3">
        <v>46213</v>
      </c>
      <c r="B376" s="4" t="s">
        <v>158</v>
      </c>
      <c r="C376" s="334" t="s">
        <v>973</v>
      </c>
      <c r="D376" s="90" t="s">
        <v>7</v>
      </c>
      <c r="E376" s="31">
        <v>155.9</v>
      </c>
      <c r="F376" s="31">
        <v>23000</v>
      </c>
      <c r="G376" s="50">
        <f>РЕАЛИЗАЦИЯ[[#This Row],[СОНИ]]*РЕАЛИЗАЦИЯ[[#This Row],[НАРХИ]]</f>
        <v>3585700</v>
      </c>
      <c r="I376" s="80">
        <v>22000</v>
      </c>
      <c r="J376" s="31">
        <f>РЕАЛИЗАЦИЯ[[#This Row],[СОНИ]]*РЕАЛИЗАЦИЯ[[#This Row],[ТАННАРХ]]</f>
        <v>3429800</v>
      </c>
      <c r="K376" s="31">
        <f>РЕАЛИЗАЦИЯ[[#This Row],[ЖАМИ]]-РЕАЛИЗАЦИЯ[[#This Row],[ЖАМИ2]]</f>
        <v>155900</v>
      </c>
      <c r="L376" s="31"/>
    </row>
    <row r="377" spans="1:12" ht="15" customHeight="1" x14ac:dyDescent="0.3">
      <c r="A377" s="3">
        <v>46213</v>
      </c>
      <c r="B377" s="4" t="s">
        <v>320</v>
      </c>
      <c r="C377" s="334" t="s">
        <v>973</v>
      </c>
      <c r="D377" s="90" t="s">
        <v>7</v>
      </c>
      <c r="E377" s="31">
        <v>97.4</v>
      </c>
      <c r="F377" s="31">
        <v>22000</v>
      </c>
      <c r="G377" s="50">
        <f>РЕАЛИЗАЦИЯ[[#This Row],[СОНИ]]*РЕАЛИЗАЦИЯ[[#This Row],[НАРХИ]]</f>
        <v>2142800</v>
      </c>
      <c r="I377" s="80">
        <v>22000</v>
      </c>
      <c r="J377" s="31">
        <f>РЕАЛИЗАЦИЯ[[#This Row],[СОНИ]]*РЕАЛИЗАЦИЯ[[#This Row],[ТАННАРХ]]</f>
        <v>2142800</v>
      </c>
      <c r="K377" s="31">
        <f>РЕАЛИЗАЦИЯ[[#This Row],[ЖАМИ]]-РЕАЛИЗАЦИЯ[[#This Row],[ЖАМИ2]]</f>
        <v>0</v>
      </c>
      <c r="L377" s="31"/>
    </row>
    <row r="378" spans="1:12" ht="15" customHeight="1" x14ac:dyDescent="0.3">
      <c r="A378" s="3">
        <v>46213</v>
      </c>
      <c r="B378" s="4" t="s">
        <v>320</v>
      </c>
      <c r="C378" s="90" t="s">
        <v>43</v>
      </c>
      <c r="D378" s="90" t="s">
        <v>7</v>
      </c>
      <c r="E378" s="31">
        <v>56.5</v>
      </c>
      <c r="F378" s="31">
        <v>15000</v>
      </c>
      <c r="G378" s="50">
        <f>РЕАЛИЗАЦИЯ[[#This Row],[СОНИ]]*РЕАЛИЗАЦИЯ[[#This Row],[НАРХИ]]</f>
        <v>847500</v>
      </c>
      <c r="I378" s="80">
        <v>14000</v>
      </c>
      <c r="J378" s="31">
        <f>РЕАЛИЗАЦИЯ[[#This Row],[СОНИ]]*РЕАЛИЗАЦИЯ[[#This Row],[ТАННАРХ]]</f>
        <v>791000</v>
      </c>
      <c r="K378" s="31">
        <f>РЕАЛИЗАЦИЯ[[#This Row],[ЖАМИ]]-РЕАЛИЗАЦИЯ[[#This Row],[ЖАМИ2]]</f>
        <v>56500</v>
      </c>
      <c r="L378" s="31"/>
    </row>
    <row r="379" spans="1:12" ht="15" customHeight="1" x14ac:dyDescent="0.3">
      <c r="A379" s="3">
        <v>46213</v>
      </c>
      <c r="B379" s="4" t="s">
        <v>992</v>
      </c>
      <c r="C379" s="90" t="s">
        <v>78</v>
      </c>
      <c r="D379" s="90" t="s">
        <v>7</v>
      </c>
      <c r="E379" s="31">
        <v>438.6</v>
      </c>
      <c r="F379" s="31">
        <v>19000</v>
      </c>
      <c r="G379" s="50">
        <f>РЕАЛИЗАЦИЯ[[#This Row],[СОНИ]]*РЕАЛИЗАЦИЯ[[#This Row],[НАРХИ]]</f>
        <v>8333400</v>
      </c>
      <c r="I379" s="80">
        <v>18000</v>
      </c>
      <c r="J379" s="31">
        <f>РЕАЛИЗАЦИЯ[[#This Row],[СОНИ]]*РЕАЛИЗАЦИЯ[[#This Row],[ТАННАРХ]]</f>
        <v>7894800</v>
      </c>
      <c r="K379" s="31">
        <f>РЕАЛИЗАЦИЯ[[#This Row],[ЖАМИ]]-РЕАЛИЗАЦИЯ[[#This Row],[ЖАМИ2]]</f>
        <v>438600</v>
      </c>
      <c r="L379" s="31"/>
    </row>
    <row r="380" spans="1:12" ht="15" customHeight="1" x14ac:dyDescent="0.3">
      <c r="A380" s="3">
        <v>46213</v>
      </c>
      <c r="B380" s="4" t="s">
        <v>681</v>
      </c>
      <c r="C380" s="90" t="s">
        <v>43</v>
      </c>
      <c r="D380" s="90" t="s">
        <v>7</v>
      </c>
      <c r="E380" s="31">
        <v>599.29999999999995</v>
      </c>
      <c r="F380" s="31">
        <v>15500</v>
      </c>
      <c r="G380" s="50">
        <f>РЕАЛИЗАЦИЯ[[#This Row],[СОНИ]]*РЕАЛИЗАЦИЯ[[#This Row],[НАРХИ]]</f>
        <v>9289150</v>
      </c>
      <c r="I380" s="80">
        <v>14000</v>
      </c>
      <c r="J380" s="31">
        <f>РЕАЛИЗАЦИЯ[[#This Row],[СОНИ]]*РЕАЛИЗАЦИЯ[[#This Row],[ТАННАРХ]]</f>
        <v>8390200</v>
      </c>
      <c r="K380" s="31">
        <f>РЕАЛИЗАЦИЯ[[#This Row],[ЖАМИ]]-РЕАЛИЗАЦИЯ[[#This Row],[ЖАМИ2]]</f>
        <v>898950</v>
      </c>
      <c r="L380" s="31"/>
    </row>
    <row r="381" spans="1:12" ht="15" customHeight="1" x14ac:dyDescent="0.3">
      <c r="A381" s="3">
        <v>46214</v>
      </c>
      <c r="B381" s="4" t="s">
        <v>170</v>
      </c>
      <c r="C381" s="90" t="s">
        <v>43</v>
      </c>
      <c r="D381" s="90" t="s">
        <v>7</v>
      </c>
      <c r="E381" s="31">
        <v>52.5</v>
      </c>
      <c r="F381" s="31">
        <v>16000</v>
      </c>
      <c r="G381" s="50">
        <v>840000</v>
      </c>
      <c r="I381" s="80">
        <v>14000</v>
      </c>
      <c r="J381" s="31">
        <f>РЕАЛИЗАЦИЯ[[#This Row],[СОНИ]]*РЕАЛИЗАЦИЯ[[#This Row],[ТАННАРХ]]</f>
        <v>735000</v>
      </c>
      <c r="K381" s="31">
        <f>РЕАЛИЗАЦИЯ[[#This Row],[ЖАМИ]]-РЕАЛИЗАЦИЯ[[#This Row],[ЖАМИ2]]</f>
        <v>105000</v>
      </c>
      <c r="L381" s="31"/>
    </row>
    <row r="382" spans="1:12" ht="15" customHeight="1" x14ac:dyDescent="0.3">
      <c r="A382" s="3">
        <v>46214</v>
      </c>
      <c r="B382" s="4" t="s">
        <v>170</v>
      </c>
      <c r="C382" s="334" t="s">
        <v>973</v>
      </c>
      <c r="D382" s="90" t="s">
        <v>7</v>
      </c>
      <c r="E382" s="31">
        <v>153.4</v>
      </c>
      <c r="F382" s="31">
        <v>24000</v>
      </c>
      <c r="G382" s="50">
        <v>3681600</v>
      </c>
      <c r="I382" s="80">
        <v>23000</v>
      </c>
      <c r="J382" s="31">
        <f>РЕАЛИЗАЦИЯ[[#This Row],[СОНИ]]*РЕАЛИЗАЦИЯ[[#This Row],[ТАННАРХ]]</f>
        <v>3528200</v>
      </c>
      <c r="K382" s="31">
        <f>РЕАЛИЗАЦИЯ[[#This Row],[ЖАМИ]]-РЕАЛИЗАЦИЯ[[#This Row],[ЖАМИ2]]</f>
        <v>153400</v>
      </c>
      <c r="L382" s="31"/>
    </row>
    <row r="383" spans="1:12" ht="15" customHeight="1" x14ac:dyDescent="0.3">
      <c r="A383" s="336">
        <v>46214</v>
      </c>
      <c r="B383" s="4" t="s">
        <v>955</v>
      </c>
      <c r="C383" s="334" t="s">
        <v>973</v>
      </c>
      <c r="D383" s="90" t="s">
        <v>7</v>
      </c>
      <c r="E383" s="31">
        <v>93.7</v>
      </c>
      <c r="F383" s="31">
        <v>23000</v>
      </c>
      <c r="G383" s="50">
        <v>2155100</v>
      </c>
      <c r="I383" s="80">
        <v>22000</v>
      </c>
      <c r="J383" s="31">
        <f>РЕАЛИЗАЦИЯ[[#This Row],[СОНИ]]*РЕАЛИЗАЦИЯ[[#This Row],[ТАННАРХ]]</f>
        <v>2061400</v>
      </c>
      <c r="K383" s="31">
        <f>РЕАЛИЗАЦИЯ[[#This Row],[ЖАМИ]]-РЕАЛИЗАЦИЯ[[#This Row],[ЖАМИ2]]</f>
        <v>93700</v>
      </c>
      <c r="L383" s="31"/>
    </row>
    <row r="384" spans="1:12" ht="15" customHeight="1" x14ac:dyDescent="0.3">
      <c r="A384" s="3">
        <v>46214</v>
      </c>
      <c r="B384" s="4" t="s">
        <v>1007</v>
      </c>
      <c r="C384" s="334" t="s">
        <v>973</v>
      </c>
      <c r="D384" s="90" t="s">
        <v>7</v>
      </c>
      <c r="E384" s="31">
        <v>46.1</v>
      </c>
      <c r="F384" s="31">
        <v>22000</v>
      </c>
      <c r="G384" s="50">
        <v>1014200</v>
      </c>
      <c r="I384" s="80">
        <v>22000</v>
      </c>
      <c r="J384" s="31">
        <f>РЕАЛИЗАЦИЯ[[#This Row],[СОНИ]]*РЕАЛИЗАЦИЯ[[#This Row],[ТАННАРХ]]</f>
        <v>1014200</v>
      </c>
      <c r="K384" s="31">
        <f>РЕАЛИЗАЦИЯ[[#This Row],[ЖАМИ]]-РЕАЛИЗАЦИЯ[[#This Row],[ЖАМИ2]]</f>
        <v>0</v>
      </c>
      <c r="L384" s="31"/>
    </row>
    <row r="385" spans="1:12" ht="15" customHeight="1" x14ac:dyDescent="0.3">
      <c r="A385" s="336">
        <v>46214</v>
      </c>
      <c r="B385" s="4" t="s">
        <v>1007</v>
      </c>
      <c r="C385" s="90" t="s">
        <v>43</v>
      </c>
      <c r="D385" s="90" t="s">
        <v>7</v>
      </c>
      <c r="E385" s="31">
        <v>149.80000000000001</v>
      </c>
      <c r="F385" s="31">
        <v>15000</v>
      </c>
      <c r="G385" s="50">
        <v>2247000</v>
      </c>
      <c r="I385" s="80">
        <v>14000</v>
      </c>
      <c r="J385" s="31">
        <f>РЕАЛИЗАЦИЯ[[#This Row],[СОНИ]]*РЕАЛИЗАЦИЯ[[#This Row],[ТАННАРХ]]</f>
        <v>2097200</v>
      </c>
      <c r="K385" s="31">
        <f>РЕАЛИЗАЦИЯ[[#This Row],[ЖАМИ]]-РЕАЛИЗАЦИЯ[[#This Row],[ЖАМИ2]]</f>
        <v>149800</v>
      </c>
      <c r="L385" s="31"/>
    </row>
    <row r="386" spans="1:12" ht="15" customHeight="1" x14ac:dyDescent="0.3">
      <c r="A386" s="336">
        <v>46214</v>
      </c>
      <c r="B386" s="4" t="s">
        <v>540</v>
      </c>
      <c r="C386" s="90" t="s">
        <v>78</v>
      </c>
      <c r="D386" s="90" t="s">
        <v>7</v>
      </c>
      <c r="E386" s="31">
        <v>580.70000000000005</v>
      </c>
      <c r="F386" s="31">
        <v>19000</v>
      </c>
      <c r="G386" s="50">
        <v>11033300</v>
      </c>
      <c r="I386" s="80">
        <v>18000</v>
      </c>
      <c r="J386" s="31">
        <f>РЕАЛИЗАЦИЯ[[#This Row],[СОНИ]]*РЕАЛИЗАЦИЯ[[#This Row],[ТАННАРХ]]</f>
        <v>10452600</v>
      </c>
      <c r="K386" s="31">
        <f>РЕАЛИЗАЦИЯ[[#This Row],[ЖАМИ]]-РЕАЛИЗАЦИЯ[[#This Row],[ЖАМИ2]]</f>
        <v>580700</v>
      </c>
      <c r="L386" s="31"/>
    </row>
    <row r="387" spans="1:12" ht="15" customHeight="1" x14ac:dyDescent="0.3">
      <c r="A387" s="3">
        <v>46215</v>
      </c>
      <c r="B387" s="4" t="s">
        <v>209</v>
      </c>
      <c r="C387" s="90" t="s">
        <v>605</v>
      </c>
      <c r="D387" s="90" t="s">
        <v>7</v>
      </c>
      <c r="E387" s="31">
        <v>291.89999999999998</v>
      </c>
      <c r="F387" s="31">
        <v>24000</v>
      </c>
      <c r="G387" s="50">
        <v>7005599.9999999991</v>
      </c>
      <c r="I387" s="80">
        <v>22000</v>
      </c>
      <c r="J387" s="31">
        <f>РЕАЛИЗАЦИЯ[[#This Row],[СОНИ]]*РЕАЛИЗАЦИЯ[[#This Row],[ТАННАРХ]]</f>
        <v>6421799.9999999991</v>
      </c>
      <c r="K387" s="31">
        <f>РЕАЛИЗАЦИЯ[[#This Row],[ЖАМИ]]-РЕАЛИЗАЦИЯ[[#This Row],[ЖАМИ2]]</f>
        <v>583800</v>
      </c>
      <c r="L387" s="31"/>
    </row>
    <row r="388" spans="1:12" ht="15" customHeight="1" x14ac:dyDescent="0.3">
      <c r="A388" s="3">
        <v>46215</v>
      </c>
      <c r="B388" s="4" t="s">
        <v>711</v>
      </c>
      <c r="C388" s="90" t="s">
        <v>904</v>
      </c>
      <c r="D388" s="90" t="s">
        <v>7</v>
      </c>
      <c r="E388" s="31">
        <v>51.1</v>
      </c>
      <c r="F388" s="31">
        <v>23000</v>
      </c>
      <c r="G388" s="50">
        <v>1175300</v>
      </c>
      <c r="I388" s="57">
        <v>21000</v>
      </c>
      <c r="J388" s="31">
        <f>РЕАЛИЗАЦИЯ[[#This Row],[СОНИ]]*РЕАЛИЗАЦИЯ[[#This Row],[ТАННАРХ]]</f>
        <v>1073100</v>
      </c>
      <c r="K388" s="31">
        <f>РЕАЛИЗАЦИЯ[[#This Row],[ЖАМИ]]-РЕАЛИЗАЦИЯ[[#This Row],[ЖАМИ2]]</f>
        <v>102200</v>
      </c>
      <c r="L388" s="31"/>
    </row>
    <row r="389" spans="1:12" ht="15" customHeight="1" x14ac:dyDescent="0.3">
      <c r="A389" s="3">
        <v>46215</v>
      </c>
      <c r="B389" s="4" t="s">
        <v>956</v>
      </c>
      <c r="C389" s="90" t="s">
        <v>43</v>
      </c>
      <c r="D389" s="90" t="s">
        <v>7</v>
      </c>
      <c r="E389" s="31">
        <v>99.5</v>
      </c>
      <c r="F389" s="31">
        <v>15000</v>
      </c>
      <c r="G389" s="50">
        <v>1492500</v>
      </c>
      <c r="I389" s="80">
        <v>14000</v>
      </c>
      <c r="J389" s="31">
        <f>РЕАЛИЗАЦИЯ[[#This Row],[СОНИ]]*РЕАЛИЗАЦИЯ[[#This Row],[ТАННАРХ]]</f>
        <v>1393000</v>
      </c>
      <c r="K389" s="31">
        <f>РЕАЛИЗАЦИЯ[[#This Row],[ЖАМИ]]-РЕАЛИЗАЦИЯ[[#This Row],[ЖАМИ2]]</f>
        <v>99500</v>
      </c>
      <c r="L389" s="31"/>
    </row>
    <row r="390" spans="1:12" ht="15" customHeight="1" x14ac:dyDescent="0.3">
      <c r="A390" s="3">
        <v>46215</v>
      </c>
      <c r="B390" s="4" t="s">
        <v>838</v>
      </c>
      <c r="C390" s="90" t="s">
        <v>904</v>
      </c>
      <c r="D390" s="90" t="s">
        <v>7</v>
      </c>
      <c r="E390" s="31">
        <v>37.299999999999997</v>
      </c>
      <c r="F390" s="31">
        <v>23000</v>
      </c>
      <c r="G390" s="50">
        <v>857899.99999999988</v>
      </c>
      <c r="I390" s="57">
        <v>21000</v>
      </c>
      <c r="J390" s="31">
        <f>РЕАЛИЗАЦИЯ[[#This Row],[СОНИ]]*РЕАЛИЗАЦИЯ[[#This Row],[ТАННАРХ]]</f>
        <v>783299.99999999988</v>
      </c>
      <c r="K390" s="31">
        <f>РЕАЛИЗАЦИЯ[[#This Row],[ЖАМИ]]-РЕАЛИЗАЦИЯ[[#This Row],[ЖАМИ2]]</f>
        <v>74600</v>
      </c>
      <c r="L390" s="31"/>
    </row>
    <row r="391" spans="1:12" ht="15" customHeight="1" x14ac:dyDescent="0.3">
      <c r="A391" s="3">
        <v>46215</v>
      </c>
      <c r="B391" s="4" t="s">
        <v>450</v>
      </c>
      <c r="C391" s="334" t="s">
        <v>973</v>
      </c>
      <c r="D391" s="90" t="s">
        <v>7</v>
      </c>
      <c r="E391" s="31">
        <v>48.2</v>
      </c>
      <c r="F391" s="31">
        <v>24000</v>
      </c>
      <c r="G391" s="50">
        <v>1156800</v>
      </c>
      <c r="I391" s="80">
        <v>23000</v>
      </c>
      <c r="J391" s="31">
        <f>РЕАЛИЗАЦИЯ[[#This Row],[СОНИ]]*РЕАЛИЗАЦИЯ[[#This Row],[ТАННАРХ]]</f>
        <v>1108600</v>
      </c>
      <c r="K391" s="31">
        <f>РЕАЛИЗАЦИЯ[[#This Row],[ЖАМИ]]-РЕАЛИЗАЦИЯ[[#This Row],[ЖАМИ2]]</f>
        <v>48200</v>
      </c>
      <c r="L391" s="31"/>
    </row>
    <row r="392" spans="1:12" ht="15" customHeight="1" x14ac:dyDescent="0.3">
      <c r="A392" s="3">
        <v>46215</v>
      </c>
      <c r="B392" s="4" t="s">
        <v>450</v>
      </c>
      <c r="C392" s="90" t="s">
        <v>43</v>
      </c>
      <c r="D392" s="90" t="s">
        <v>7</v>
      </c>
      <c r="E392" s="31">
        <v>98.1</v>
      </c>
      <c r="F392" s="31">
        <v>14500</v>
      </c>
      <c r="G392" s="50">
        <v>1422450</v>
      </c>
      <c r="I392" s="80">
        <v>14000</v>
      </c>
      <c r="J392" s="31">
        <f>РЕАЛИЗАЦИЯ[[#This Row],[СОНИ]]*РЕАЛИЗАЦИЯ[[#This Row],[ТАННАРХ]]</f>
        <v>1373400</v>
      </c>
      <c r="K392" s="31">
        <f>РЕАЛИЗАЦИЯ[[#This Row],[ЖАМИ]]-РЕАЛИЗАЦИЯ[[#This Row],[ЖАМИ2]]</f>
        <v>49050</v>
      </c>
      <c r="L392" s="31"/>
    </row>
    <row r="393" spans="1:12" ht="15" customHeight="1" x14ac:dyDescent="0.3">
      <c r="A393" s="3">
        <v>46216</v>
      </c>
      <c r="B393" s="4" t="s">
        <v>574</v>
      </c>
      <c r="C393" s="334" t="s">
        <v>973</v>
      </c>
      <c r="D393" s="90" t="s">
        <v>7</v>
      </c>
      <c r="E393" s="31">
        <v>52.3</v>
      </c>
      <c r="F393" s="31">
        <v>22000</v>
      </c>
      <c r="G393" s="50">
        <v>1150600</v>
      </c>
      <c r="I393" s="80">
        <v>22000</v>
      </c>
      <c r="J393" s="31">
        <f>РЕАЛИЗАЦИЯ[[#This Row],[СОНИ]]*РЕАЛИЗАЦИЯ[[#This Row],[ТАННАРХ]]</f>
        <v>1150600</v>
      </c>
      <c r="K393" s="31">
        <f>РЕАЛИЗАЦИЯ[[#This Row],[ЖАМИ]]-РЕАЛИЗАЦИЯ[[#This Row],[ЖАМИ2]]</f>
        <v>0</v>
      </c>
      <c r="L393" s="31"/>
    </row>
    <row r="394" spans="1:12" ht="15" customHeight="1" x14ac:dyDescent="0.3">
      <c r="A394" s="3">
        <v>46216</v>
      </c>
      <c r="B394" s="4" t="s">
        <v>900</v>
      </c>
      <c r="C394" s="334" t="s">
        <v>973</v>
      </c>
      <c r="D394" s="90" t="s">
        <v>7</v>
      </c>
      <c r="E394" s="31">
        <v>151.5</v>
      </c>
      <c r="F394" s="31">
        <v>24000</v>
      </c>
      <c r="G394" s="50">
        <v>3636000</v>
      </c>
      <c r="I394" s="80">
        <v>23000</v>
      </c>
      <c r="J394" s="31">
        <f>РЕАЛИЗАЦИЯ[[#This Row],[СОНИ]]*РЕАЛИЗАЦИЯ[[#This Row],[ТАННАРХ]]</f>
        <v>3484500</v>
      </c>
      <c r="K394" s="31">
        <f>РЕАЛИЗАЦИЯ[[#This Row],[ЖАМИ]]-РЕАЛИЗАЦИЯ[[#This Row],[ЖАМИ2]]</f>
        <v>151500</v>
      </c>
      <c r="L394" s="31"/>
    </row>
    <row r="395" spans="1:12" ht="15" customHeight="1" x14ac:dyDescent="0.3">
      <c r="A395" s="3">
        <v>46216</v>
      </c>
      <c r="B395" s="4" t="s">
        <v>319</v>
      </c>
      <c r="C395" s="334" t="s">
        <v>973</v>
      </c>
      <c r="D395" s="90" t="s">
        <v>7</v>
      </c>
      <c r="E395" s="31">
        <v>247.1</v>
      </c>
      <c r="F395" s="31">
        <v>25000</v>
      </c>
      <c r="G395" s="50">
        <v>6177500</v>
      </c>
      <c r="I395" s="80">
        <v>23000</v>
      </c>
      <c r="J395" s="31">
        <f>РЕАЛИЗАЦИЯ[[#This Row],[СОНИ]]*РЕАЛИЗАЦИЯ[[#This Row],[ТАННАРХ]]</f>
        <v>5683300</v>
      </c>
      <c r="K395" s="31">
        <f>РЕАЛИЗАЦИЯ[[#This Row],[ЖАМИ]]-РЕАЛИЗАЦИЯ[[#This Row],[ЖАМИ2]]</f>
        <v>494200</v>
      </c>
      <c r="L395" s="31"/>
    </row>
    <row r="396" spans="1:12" ht="15" customHeight="1" x14ac:dyDescent="0.3">
      <c r="A396" s="3">
        <v>46216</v>
      </c>
      <c r="B396" s="4" t="s">
        <v>129</v>
      </c>
      <c r="C396" s="90" t="s">
        <v>590</v>
      </c>
      <c r="D396" s="90" t="s">
        <v>7</v>
      </c>
      <c r="E396" s="31">
        <v>112.6</v>
      </c>
      <c r="F396" s="31">
        <v>25000</v>
      </c>
      <c r="G396" s="50">
        <v>2815000</v>
      </c>
      <c r="I396" s="80">
        <v>26000</v>
      </c>
      <c r="J396" s="31">
        <f>РЕАЛИЗАЦИЯ[[#This Row],[СОНИ]]*РЕАЛИЗАЦИЯ[[#This Row],[ТАННАРХ]]</f>
        <v>2927600</v>
      </c>
      <c r="K396" s="31">
        <f>РЕАЛИЗАЦИЯ[[#This Row],[ЖАМИ]]-РЕАЛИЗАЦИЯ[[#This Row],[ЖАМИ2]]</f>
        <v>-112600</v>
      </c>
      <c r="L396" s="31"/>
    </row>
    <row r="397" spans="1:12" ht="15" customHeight="1" x14ac:dyDescent="0.3">
      <c r="A397" s="3">
        <v>46216</v>
      </c>
      <c r="B397" s="4" t="s">
        <v>676</v>
      </c>
      <c r="C397" s="90" t="s">
        <v>605</v>
      </c>
      <c r="D397" s="90" t="s">
        <v>7</v>
      </c>
      <c r="E397" s="31">
        <v>39.5</v>
      </c>
      <c r="F397" s="31">
        <v>24000</v>
      </c>
      <c r="G397" s="50">
        <v>948000</v>
      </c>
      <c r="I397" s="80">
        <v>22000</v>
      </c>
      <c r="J397" s="31">
        <f>РЕАЛИЗАЦИЯ[[#This Row],[СОНИ]]*РЕАЛИЗАЦИЯ[[#This Row],[ТАННАРХ]]</f>
        <v>869000</v>
      </c>
      <c r="K397" s="31">
        <f>РЕАЛИЗАЦИЯ[[#This Row],[ЖАМИ]]-РЕАЛИЗАЦИЯ[[#This Row],[ЖАМИ2]]</f>
        <v>79000</v>
      </c>
      <c r="L397" s="31"/>
    </row>
    <row r="398" spans="1:12" ht="15" customHeight="1" x14ac:dyDescent="0.3">
      <c r="A398" s="3">
        <v>46216</v>
      </c>
      <c r="B398" s="344" t="s">
        <v>552</v>
      </c>
      <c r="C398" s="321" t="s">
        <v>593</v>
      </c>
      <c r="D398" s="321" t="s">
        <v>959</v>
      </c>
      <c r="E398" s="31">
        <v>1126.9000000000001</v>
      </c>
      <c r="F398" s="31">
        <v>30000</v>
      </c>
      <c r="G398" s="50">
        <f>РЕАЛИЗАЦИЯ[[#This Row],[СОНИ]]*РЕАЛИЗАЦИЯ[[#This Row],[НАРХИ]]</f>
        <v>33807000</v>
      </c>
      <c r="I398" s="288">
        <v>25000</v>
      </c>
      <c r="J398" s="31">
        <f>РЕАЛИЗАЦИЯ[[#This Row],[СОНИ]]*РЕАЛИЗАЦИЯ[[#This Row],[ТАННАРХ]]</f>
        <v>28172500.000000004</v>
      </c>
      <c r="K398" s="31">
        <f>РЕАЛИЗАЦИЯ[[#This Row],[ЖАМИ]]-РЕАЛИЗАЦИЯ[[#This Row],[ЖАМИ2]]</f>
        <v>5634499.9999999963</v>
      </c>
      <c r="L398" s="31"/>
    </row>
    <row r="399" spans="1:12" ht="15" customHeight="1" x14ac:dyDescent="0.3">
      <c r="A399" s="3">
        <v>46217</v>
      </c>
      <c r="B399" s="4" t="s">
        <v>377</v>
      </c>
      <c r="C399" s="334" t="s">
        <v>973</v>
      </c>
      <c r="D399" s="90" t="s">
        <v>7</v>
      </c>
      <c r="E399" s="31">
        <v>46.2</v>
      </c>
      <c r="F399" s="31">
        <v>22000</v>
      </c>
      <c r="G399" s="50">
        <v>1016400.0000000001</v>
      </c>
      <c r="I399" s="80">
        <v>22000</v>
      </c>
      <c r="J399" s="31">
        <f>РЕАЛИЗАЦИЯ[[#This Row],[СОНИ]]*РЕАЛИЗАЦИЯ[[#This Row],[ТАННАРХ]]</f>
        <v>1016400.0000000001</v>
      </c>
      <c r="K399" s="31">
        <f>РЕАЛИЗАЦИЯ[[#This Row],[ЖАМИ]]-РЕАЛИЗАЦИЯ[[#This Row],[ЖАМИ2]]</f>
        <v>0</v>
      </c>
      <c r="L399" s="31"/>
    </row>
    <row r="400" spans="1:12" ht="15" customHeight="1" x14ac:dyDescent="0.3">
      <c r="A400" s="3">
        <v>46217</v>
      </c>
      <c r="B400" s="4" t="s">
        <v>953</v>
      </c>
      <c r="C400" s="90" t="s">
        <v>43</v>
      </c>
      <c r="D400" s="90" t="s">
        <v>7</v>
      </c>
      <c r="E400" s="31">
        <v>144.69999999999999</v>
      </c>
      <c r="F400" s="31">
        <v>15000</v>
      </c>
      <c r="G400" s="50">
        <v>2170500</v>
      </c>
      <c r="I400" s="80">
        <v>14000</v>
      </c>
      <c r="J400" s="31">
        <f>РЕАЛИЗАЦИЯ[[#This Row],[СОНИ]]*РЕАЛИЗАЦИЯ[[#This Row],[ТАННАРХ]]</f>
        <v>2025799.9999999998</v>
      </c>
      <c r="K400" s="31">
        <f>РЕАЛИЗАЦИЯ[[#This Row],[ЖАМИ]]-РЕАЛИЗАЦИЯ[[#This Row],[ЖАМИ2]]</f>
        <v>144700.00000000023</v>
      </c>
      <c r="L400" s="31"/>
    </row>
    <row r="401" spans="1:12" s="321" customFormat="1" ht="15" customHeight="1" x14ac:dyDescent="0.3">
      <c r="A401" s="3">
        <v>46217</v>
      </c>
      <c r="B401" s="4" t="s">
        <v>779</v>
      </c>
      <c r="C401" s="334" t="s">
        <v>973</v>
      </c>
      <c r="D401" s="90" t="s">
        <v>7</v>
      </c>
      <c r="E401" s="31">
        <v>144.6</v>
      </c>
      <c r="F401" s="31">
        <v>22000</v>
      </c>
      <c r="G401" s="50">
        <v>3181200</v>
      </c>
      <c r="H401" s="31"/>
      <c r="I401" s="80">
        <v>22000</v>
      </c>
      <c r="J401" s="31">
        <f>РЕАЛИЗАЦИЯ[[#This Row],[СОНИ]]*РЕАЛИЗАЦИЯ[[#This Row],[ТАННАРХ]]</f>
        <v>3181200</v>
      </c>
      <c r="K401" s="31">
        <f>РЕАЛИЗАЦИЯ[[#This Row],[ЖАМИ]]-РЕАЛИЗАЦИЯ[[#This Row],[ЖАМИ2]]</f>
        <v>0</v>
      </c>
      <c r="L401" s="31"/>
    </row>
    <row r="402" spans="1:12" ht="15" customHeight="1" x14ac:dyDescent="0.3">
      <c r="A402" s="3">
        <v>46217</v>
      </c>
      <c r="B402" s="4" t="s">
        <v>779</v>
      </c>
      <c r="C402" s="90" t="s">
        <v>43</v>
      </c>
      <c r="D402" s="90" t="s">
        <v>7</v>
      </c>
      <c r="E402" s="31">
        <v>49.6</v>
      </c>
      <c r="F402" s="31">
        <v>15000</v>
      </c>
      <c r="G402" s="50">
        <v>744000</v>
      </c>
      <c r="I402" s="80">
        <v>14000</v>
      </c>
      <c r="J402" s="31">
        <f>РЕАЛИЗАЦИЯ[[#This Row],[СОНИ]]*РЕАЛИЗАЦИЯ[[#This Row],[ТАННАРХ]]</f>
        <v>694400</v>
      </c>
      <c r="K402" s="31">
        <f>РЕАЛИЗАЦИЯ[[#This Row],[ЖАМИ]]-РЕАЛИЗАЦИЯ[[#This Row],[ЖАМИ2]]</f>
        <v>49600</v>
      </c>
      <c r="L402" s="31"/>
    </row>
    <row r="403" spans="1:12" ht="15" customHeight="1" x14ac:dyDescent="0.3">
      <c r="A403" s="3">
        <v>46217</v>
      </c>
      <c r="B403" s="4" t="s">
        <v>958</v>
      </c>
      <c r="C403" s="90" t="s">
        <v>43</v>
      </c>
      <c r="D403" s="90" t="s">
        <v>7</v>
      </c>
      <c r="E403" s="31">
        <v>147.1</v>
      </c>
      <c r="F403" s="31">
        <v>15000</v>
      </c>
      <c r="G403" s="50">
        <v>2206500</v>
      </c>
      <c r="I403" s="80">
        <v>14000</v>
      </c>
      <c r="J403" s="31">
        <f>РЕАЛИЗАЦИЯ[[#This Row],[СОНИ]]*РЕАЛИЗАЦИЯ[[#This Row],[ТАННАРХ]]</f>
        <v>2059400</v>
      </c>
      <c r="K403" s="31">
        <f>РЕАЛИЗАЦИЯ[[#This Row],[ЖАМИ]]-РЕАЛИЗАЦИЯ[[#This Row],[ЖАМИ2]]</f>
        <v>147100</v>
      </c>
      <c r="L403" s="31"/>
    </row>
    <row r="404" spans="1:12" ht="15" customHeight="1" x14ac:dyDescent="0.3">
      <c r="A404" s="3">
        <v>46217</v>
      </c>
      <c r="B404" s="4" t="s">
        <v>958</v>
      </c>
      <c r="C404" s="90" t="s">
        <v>904</v>
      </c>
      <c r="D404" s="90" t="s">
        <v>7</v>
      </c>
      <c r="E404" s="31">
        <v>198.1</v>
      </c>
      <c r="F404" s="31">
        <v>20000</v>
      </c>
      <c r="G404" s="50">
        <v>3962000</v>
      </c>
      <c r="I404" s="57">
        <v>21000</v>
      </c>
      <c r="J404" s="31">
        <f>РЕАЛИЗАЦИЯ[[#This Row],[СОНИ]]*РЕАЛИЗАЦИЯ[[#This Row],[ТАННАРХ]]</f>
        <v>4160100</v>
      </c>
      <c r="K404" s="31">
        <f>РЕАЛИЗАЦИЯ[[#This Row],[ЖАМИ]]-РЕАЛИЗАЦИЯ[[#This Row],[ЖАМИ2]]</f>
        <v>-198100</v>
      </c>
      <c r="L404" s="31"/>
    </row>
    <row r="405" spans="1:12" ht="15" customHeight="1" x14ac:dyDescent="0.3">
      <c r="A405" s="3">
        <v>46217</v>
      </c>
      <c r="B405" s="4" t="s">
        <v>958</v>
      </c>
      <c r="C405" s="334" t="s">
        <v>973</v>
      </c>
      <c r="D405" s="134" t="s">
        <v>7</v>
      </c>
      <c r="E405" s="31">
        <v>147.80000000000001</v>
      </c>
      <c r="F405" s="31">
        <v>22000</v>
      </c>
      <c r="G405" s="50">
        <v>3251600.0000000005</v>
      </c>
      <c r="I405" s="132">
        <v>22000</v>
      </c>
      <c r="J405" s="31">
        <f>РЕАЛИЗАЦИЯ[[#This Row],[СОНИ]]*РЕАЛИЗАЦИЯ[[#This Row],[ТАННАРХ]]</f>
        <v>3251600.0000000005</v>
      </c>
      <c r="K405" s="31">
        <f>РЕАЛИЗАЦИЯ[[#This Row],[ЖАМИ]]-РЕАЛИЗАЦИЯ[[#This Row],[ЖАМИ2]]</f>
        <v>0</v>
      </c>
      <c r="L405" s="31"/>
    </row>
    <row r="406" spans="1:12" ht="15" customHeight="1" x14ac:dyDescent="0.3">
      <c r="A406" s="3">
        <v>46217</v>
      </c>
      <c r="B406" s="4" t="s">
        <v>58</v>
      </c>
      <c r="C406" s="334" t="s">
        <v>973</v>
      </c>
      <c r="D406" s="90" t="s">
        <v>7</v>
      </c>
      <c r="E406" s="31">
        <v>94.7</v>
      </c>
      <c r="F406" s="31">
        <v>23000</v>
      </c>
      <c r="G406" s="50">
        <v>2178100</v>
      </c>
      <c r="I406" s="80">
        <v>23000</v>
      </c>
      <c r="J406" s="31">
        <f>РЕАЛИЗАЦИЯ[[#This Row],[СОНИ]]*РЕАЛИЗАЦИЯ[[#This Row],[ТАННАРХ]]</f>
        <v>2178100</v>
      </c>
      <c r="K406" s="31">
        <f>РЕАЛИЗАЦИЯ[[#This Row],[ЖАМИ]]-РЕАЛИЗАЦИЯ[[#This Row],[ЖАМИ2]]</f>
        <v>0</v>
      </c>
      <c r="L406" s="31"/>
    </row>
    <row r="407" spans="1:12" ht="15" customHeight="1" x14ac:dyDescent="0.3">
      <c r="A407" s="3">
        <v>46217</v>
      </c>
      <c r="B407" s="4" t="s">
        <v>552</v>
      </c>
      <c r="C407" s="90" t="s">
        <v>593</v>
      </c>
      <c r="D407" s="90" t="s">
        <v>7</v>
      </c>
      <c r="E407" s="31">
        <v>1562.2</v>
      </c>
      <c r="F407" s="31">
        <v>30000</v>
      </c>
      <c r="G407" s="50">
        <f>РЕАЛИЗАЦИЯ[[#This Row],[СОНИ]]*РЕАЛИЗАЦИЯ[[#This Row],[НАРХИ]]</f>
        <v>46866000</v>
      </c>
      <c r="I407" s="44">
        <v>25000</v>
      </c>
      <c r="J407" s="31">
        <f>РЕАЛИЗАЦИЯ[[#This Row],[СОНИ]]*РЕАЛИЗАЦИЯ[[#This Row],[ТАННАРХ]]</f>
        <v>39055000</v>
      </c>
      <c r="K407" s="31">
        <f>РЕАЛИЗАЦИЯ[[#This Row],[ЖАМИ]]-РЕАЛИЗАЦИЯ[[#This Row],[ЖАМИ2]]</f>
        <v>7811000</v>
      </c>
      <c r="L407" s="31"/>
    </row>
    <row r="408" spans="1:12" ht="15" customHeight="1" x14ac:dyDescent="0.3">
      <c r="A408" s="3">
        <v>46218</v>
      </c>
      <c r="B408" s="4" t="s">
        <v>386</v>
      </c>
      <c r="C408" s="90" t="s">
        <v>43</v>
      </c>
      <c r="D408" s="90" t="s">
        <v>7</v>
      </c>
      <c r="E408" s="31">
        <v>49.5</v>
      </c>
      <c r="F408" s="31">
        <v>15000</v>
      </c>
      <c r="G408" s="50">
        <f>РЕАЛИЗАЦИЯ[[#This Row],[СОНИ]]*РЕАЛИЗАЦИЯ[[#This Row],[НАРХИ]]</f>
        <v>742500</v>
      </c>
      <c r="I408" s="80">
        <v>14000</v>
      </c>
      <c r="J408" s="31">
        <f>РЕАЛИЗАЦИЯ[[#This Row],[СОНИ]]*РЕАЛИЗАЦИЯ[[#This Row],[ТАННАРХ]]</f>
        <v>693000</v>
      </c>
      <c r="K408" s="31">
        <f>РЕАЛИЗАЦИЯ[[#This Row],[ЖАМИ]]-РЕАЛИЗАЦИЯ[[#This Row],[ЖАМИ2]]</f>
        <v>49500</v>
      </c>
      <c r="L408" s="31"/>
    </row>
    <row r="409" spans="1:12" ht="15" customHeight="1" x14ac:dyDescent="0.3">
      <c r="A409" s="3">
        <v>46218</v>
      </c>
      <c r="B409" s="4" t="s">
        <v>838</v>
      </c>
      <c r="C409" s="90" t="s">
        <v>43</v>
      </c>
      <c r="D409" s="90" t="s">
        <v>7</v>
      </c>
      <c r="E409" s="31">
        <v>47.9</v>
      </c>
      <c r="F409" s="31">
        <v>16000</v>
      </c>
      <c r="G409" s="50">
        <f>РЕАЛИЗАЦИЯ[[#This Row],[СОНИ]]*РЕАЛИЗАЦИЯ[[#This Row],[НАРХИ]]</f>
        <v>766400</v>
      </c>
      <c r="I409" s="80">
        <v>14000</v>
      </c>
      <c r="J409" s="31">
        <f>РЕАЛИЗАЦИЯ[[#This Row],[СОНИ]]*РЕАЛИЗАЦИЯ[[#This Row],[ТАННАРХ]]</f>
        <v>670600</v>
      </c>
      <c r="K409" s="31">
        <f>РЕАЛИЗАЦИЯ[[#This Row],[ЖАМИ]]-РЕАЛИЗАЦИЯ[[#This Row],[ЖАМИ2]]</f>
        <v>95800</v>
      </c>
      <c r="L409" s="31"/>
    </row>
    <row r="410" spans="1:12" ht="15" customHeight="1" x14ac:dyDescent="0.3">
      <c r="A410" s="3">
        <v>46218</v>
      </c>
      <c r="B410" s="4" t="s">
        <v>781</v>
      </c>
      <c r="C410" s="334" t="s">
        <v>973</v>
      </c>
      <c r="D410" s="90" t="s">
        <v>7</v>
      </c>
      <c r="E410" s="31">
        <v>48</v>
      </c>
      <c r="F410" s="31">
        <v>23000</v>
      </c>
      <c r="G410" s="50">
        <f>РЕАЛИЗАЦИЯ[[#This Row],[СОНИ]]*РЕАЛИЗАЦИЯ[[#This Row],[НАРХИ]]</f>
        <v>1104000</v>
      </c>
      <c r="I410" s="80">
        <v>23000</v>
      </c>
      <c r="J410" s="31">
        <f>РЕАЛИЗАЦИЯ[[#This Row],[СОНИ]]*РЕАЛИЗАЦИЯ[[#This Row],[ТАННАРХ]]</f>
        <v>1104000</v>
      </c>
      <c r="K410" s="31">
        <f>РЕАЛИЗАЦИЯ[[#This Row],[ЖАМИ]]-РЕАЛИЗАЦИЯ[[#This Row],[ЖАМИ2]]</f>
        <v>0</v>
      </c>
      <c r="L410" s="31"/>
    </row>
    <row r="411" spans="1:12" ht="15" customHeight="1" x14ac:dyDescent="0.3">
      <c r="A411" s="3">
        <v>46218</v>
      </c>
      <c r="B411" s="4" t="s">
        <v>394</v>
      </c>
      <c r="C411" s="334" t="s">
        <v>973</v>
      </c>
      <c r="D411" s="90" t="s">
        <v>7</v>
      </c>
      <c r="E411" s="31">
        <v>49</v>
      </c>
      <c r="F411" s="31">
        <v>23000</v>
      </c>
      <c r="G411" s="50">
        <f>РЕАЛИЗАЦИЯ[[#This Row],[СОНИ]]*РЕАЛИЗАЦИЯ[[#This Row],[НАРХИ]]</f>
        <v>1127000</v>
      </c>
      <c r="I411" s="80">
        <v>23000</v>
      </c>
      <c r="J411" s="31">
        <f>РЕАЛИЗАЦИЯ[[#This Row],[СОНИ]]*РЕАЛИЗАЦИЯ[[#This Row],[ТАННАРХ]]</f>
        <v>1127000</v>
      </c>
      <c r="K411" s="31">
        <f>РЕАЛИЗАЦИЯ[[#This Row],[ЖАМИ]]-РЕАЛИЗАЦИЯ[[#This Row],[ЖАМИ2]]</f>
        <v>0</v>
      </c>
      <c r="L411" s="31"/>
    </row>
    <row r="412" spans="1:12" ht="15" customHeight="1" x14ac:dyDescent="0.3">
      <c r="A412" s="3">
        <v>46218</v>
      </c>
      <c r="B412" s="4" t="s">
        <v>681</v>
      </c>
      <c r="C412" s="90" t="s">
        <v>43</v>
      </c>
      <c r="D412" s="90" t="s">
        <v>7</v>
      </c>
      <c r="E412" s="31">
        <v>1159.7</v>
      </c>
      <c r="F412" s="31">
        <v>15500</v>
      </c>
      <c r="G412" s="50">
        <f>РЕАЛИЗАЦИЯ[[#This Row],[СОНИ]]*РЕАЛИЗАЦИЯ[[#This Row],[НАРХИ]]</f>
        <v>17975350</v>
      </c>
      <c r="I412" s="80">
        <v>14000</v>
      </c>
      <c r="J412" s="31">
        <f>РЕАЛИЗАЦИЯ[[#This Row],[СОНИ]]*РЕАЛИЗАЦИЯ[[#This Row],[ТАННАРХ]]</f>
        <v>16235800</v>
      </c>
      <c r="K412" s="31">
        <f>РЕАЛИЗАЦИЯ[[#This Row],[ЖАМИ]]-РЕАЛИЗАЦИЯ[[#This Row],[ЖАМИ2]]</f>
        <v>1739550</v>
      </c>
      <c r="L412" s="31"/>
    </row>
    <row r="413" spans="1:12" ht="15" customHeight="1" x14ac:dyDescent="0.3">
      <c r="A413" s="3">
        <v>46218</v>
      </c>
      <c r="B413" s="4" t="s">
        <v>503</v>
      </c>
      <c r="C413" s="334" t="s">
        <v>973</v>
      </c>
      <c r="D413" s="90" t="s">
        <v>7</v>
      </c>
      <c r="E413" s="31">
        <v>184.2</v>
      </c>
      <c r="F413" s="31">
        <v>25000</v>
      </c>
      <c r="G413" s="50">
        <f>РЕАЛИЗАЦИЯ[[#This Row],[СОНИ]]*РЕАЛИЗАЦИЯ[[#This Row],[НАРХИ]]</f>
        <v>4605000</v>
      </c>
      <c r="I413" s="80">
        <v>23000</v>
      </c>
      <c r="J413" s="31">
        <f>РЕАЛИЗАЦИЯ[[#This Row],[СОНИ]]*РЕАЛИЗАЦИЯ[[#This Row],[ТАННАРХ]]</f>
        <v>4236600</v>
      </c>
      <c r="K413" s="31">
        <f>РЕАЛИЗАЦИЯ[[#This Row],[ЖАМИ]]-РЕАЛИЗАЦИЯ[[#This Row],[ЖАМИ2]]</f>
        <v>368400</v>
      </c>
      <c r="L413" s="31"/>
    </row>
    <row r="414" spans="1:12" ht="15" customHeight="1" x14ac:dyDescent="0.3">
      <c r="A414" s="3">
        <v>46218</v>
      </c>
      <c r="B414" s="4" t="s">
        <v>170</v>
      </c>
      <c r="C414" s="337" t="s">
        <v>973</v>
      </c>
      <c r="D414" s="337" t="s">
        <v>7</v>
      </c>
      <c r="E414" s="31">
        <v>30.5</v>
      </c>
      <c r="F414" s="31">
        <v>25000</v>
      </c>
      <c r="G414" s="50">
        <v>762500</v>
      </c>
      <c r="I414" s="288">
        <v>23000</v>
      </c>
      <c r="J414" s="31">
        <f>РЕАЛИЗАЦИЯ[[#This Row],[СОНИ]]*РЕАЛИЗАЦИЯ[[#This Row],[ТАННАРХ]]</f>
        <v>701500</v>
      </c>
      <c r="K414" s="31">
        <f>РЕАЛИЗАЦИЯ[[#This Row],[ЖАМИ]]-РЕАЛИЗАЦИЯ[[#This Row],[ЖАМИ2]]</f>
        <v>61000</v>
      </c>
      <c r="L414" s="31"/>
    </row>
    <row r="415" spans="1:12" ht="15" customHeight="1" x14ac:dyDescent="0.3">
      <c r="A415" s="3">
        <v>46219</v>
      </c>
      <c r="B415" s="4" t="s">
        <v>571</v>
      </c>
      <c r="C415" s="337" t="s">
        <v>590</v>
      </c>
      <c r="D415" s="337" t="s">
        <v>7</v>
      </c>
      <c r="E415" s="31">
        <v>408.4</v>
      </c>
      <c r="F415" s="31">
        <v>28000</v>
      </c>
      <c r="G415" s="50">
        <v>11435200</v>
      </c>
      <c r="I415" s="288">
        <v>26000</v>
      </c>
      <c r="J415" s="31">
        <f>РЕАЛИЗАЦИЯ[[#This Row],[СОНИ]]*РЕАЛИЗАЦИЯ[[#This Row],[ТАННАРХ]]</f>
        <v>10618400</v>
      </c>
      <c r="K415" s="31">
        <f>РЕАЛИЗАЦИЯ[[#This Row],[ЖАМИ]]-РЕАЛИЗАЦИЯ[[#This Row],[ЖАМИ2]]</f>
        <v>816800</v>
      </c>
      <c r="L415" s="31"/>
    </row>
    <row r="416" spans="1:12" ht="15" customHeight="1" x14ac:dyDescent="0.3">
      <c r="A416" s="3">
        <v>46219</v>
      </c>
      <c r="B416" s="4" t="s">
        <v>781</v>
      </c>
      <c r="C416" s="337" t="s">
        <v>593</v>
      </c>
      <c r="D416" s="337" t="s">
        <v>7</v>
      </c>
      <c r="E416" s="31">
        <v>51.9</v>
      </c>
      <c r="F416" s="31">
        <v>23000</v>
      </c>
      <c r="G416" s="50">
        <v>1193700</v>
      </c>
      <c r="I416" s="288">
        <v>23000</v>
      </c>
      <c r="J416" s="31">
        <f>РЕАЛИЗАЦИЯ[[#This Row],[СОНИ]]*РЕАЛИЗАЦИЯ[[#This Row],[ТАННАРХ]]</f>
        <v>1193700</v>
      </c>
      <c r="K416" s="31">
        <f>РЕАЛИЗАЦИЯ[[#This Row],[ЖАМИ]]-РЕАЛИЗАЦИЯ[[#This Row],[ЖАМИ2]]</f>
        <v>0</v>
      </c>
      <c r="L416" s="31"/>
    </row>
    <row r="417" spans="1:12" ht="15" customHeight="1" x14ac:dyDescent="0.3">
      <c r="A417" s="3">
        <v>46219</v>
      </c>
      <c r="B417" s="4" t="s">
        <v>386</v>
      </c>
      <c r="C417" s="337" t="s">
        <v>593</v>
      </c>
      <c r="D417" s="337" t="s">
        <v>7</v>
      </c>
      <c r="E417" s="31">
        <v>52.8</v>
      </c>
      <c r="F417" s="31">
        <v>22000</v>
      </c>
      <c r="G417" s="50">
        <v>1161600</v>
      </c>
      <c r="I417" s="288">
        <v>23000</v>
      </c>
      <c r="J417" s="31">
        <f>РЕАЛИЗАЦИЯ[[#This Row],[СОНИ]]*РЕАЛИЗАЦИЯ[[#This Row],[ТАННАРХ]]</f>
        <v>1214400</v>
      </c>
      <c r="K417" s="31">
        <f>РЕАЛИЗАЦИЯ[[#This Row],[ЖАМИ]]-РЕАЛИЗАЦИЯ[[#This Row],[ЖАМИ2]]</f>
        <v>-52800</v>
      </c>
      <c r="L417" s="31"/>
    </row>
    <row r="418" spans="1:12" ht="15" customHeight="1" x14ac:dyDescent="0.3">
      <c r="A418" s="3">
        <v>46219</v>
      </c>
      <c r="B418" s="4" t="s">
        <v>976</v>
      </c>
      <c r="C418" s="340" t="s">
        <v>43</v>
      </c>
      <c r="D418" s="340" t="s">
        <v>7</v>
      </c>
      <c r="E418" s="31">
        <v>41.4</v>
      </c>
      <c r="F418" s="31">
        <v>23000</v>
      </c>
      <c r="G418" s="50">
        <f>РЕАЛИЗАЦИЯ[[#This Row],[СОНИ]]*РЕАЛИЗАЦИЯ[[#This Row],[НАРХИ]]</f>
        <v>952200</v>
      </c>
      <c r="I418" s="288">
        <v>23000</v>
      </c>
      <c r="J418" s="31">
        <f>РЕАЛИЗАЦИЯ[[#This Row],[СОНИ]]*РЕАЛИЗАЦИЯ[[#This Row],[ТАННАРХ]]</f>
        <v>952200</v>
      </c>
      <c r="K418" s="31">
        <f>РЕАЛИЗАЦИЯ[[#This Row],[ЖАМИ]]-РЕАЛИЗАЦИЯ[[#This Row],[ЖАМИ2]]</f>
        <v>0</v>
      </c>
      <c r="L418" s="31"/>
    </row>
    <row r="419" spans="1:12" ht="15" customHeight="1" x14ac:dyDescent="0.3">
      <c r="A419" s="3">
        <v>46219</v>
      </c>
      <c r="B419" s="4" t="s">
        <v>956</v>
      </c>
      <c r="C419" s="337" t="s">
        <v>43</v>
      </c>
      <c r="D419" s="337" t="s">
        <v>7</v>
      </c>
      <c r="E419" s="31">
        <v>150.69999999999999</v>
      </c>
      <c r="F419" s="31">
        <v>14000</v>
      </c>
      <c r="G419" s="50">
        <v>2109800</v>
      </c>
      <c r="I419" s="288">
        <v>14000</v>
      </c>
      <c r="J419" s="31">
        <f>РЕАЛИЗАЦИЯ[[#This Row],[СОНИ]]*РЕАЛИЗАЦИЯ[[#This Row],[ТАННАРХ]]</f>
        <v>2109800</v>
      </c>
      <c r="K419" s="31">
        <f>РЕАЛИЗАЦИЯ[[#This Row],[ЖАМИ]]-РЕАЛИЗАЦИЯ[[#This Row],[ЖАМИ2]]</f>
        <v>0</v>
      </c>
      <c r="L419" s="31"/>
    </row>
    <row r="420" spans="1:12" ht="15" customHeight="1" x14ac:dyDescent="0.3">
      <c r="A420" s="3">
        <v>46219</v>
      </c>
      <c r="B420" s="4" t="s">
        <v>963</v>
      </c>
      <c r="C420" s="337" t="s">
        <v>973</v>
      </c>
      <c r="D420" s="337" t="s">
        <v>7</v>
      </c>
      <c r="E420" s="31">
        <v>47</v>
      </c>
      <c r="F420" s="31">
        <v>22000</v>
      </c>
      <c r="G420" s="50">
        <v>1034000</v>
      </c>
      <c r="I420" s="288">
        <v>22000</v>
      </c>
      <c r="J420" s="31">
        <f>РЕАЛИЗАЦИЯ[[#This Row],[СОНИ]]*РЕАЛИЗАЦИЯ[[#This Row],[ТАННАРХ]]</f>
        <v>1034000</v>
      </c>
      <c r="K420" s="31">
        <f>РЕАЛИЗАЦИЯ[[#This Row],[ЖАМИ]]-РЕАЛИЗАЦИЯ[[#This Row],[ЖАМИ2]]</f>
        <v>0</v>
      </c>
      <c r="L420" s="31"/>
    </row>
    <row r="421" spans="1:12" s="340" customFormat="1" ht="15" customHeight="1" x14ac:dyDescent="0.3">
      <c r="A421" s="3">
        <v>46219</v>
      </c>
      <c r="B421" s="4" t="s">
        <v>963</v>
      </c>
      <c r="C421" s="337" t="s">
        <v>43</v>
      </c>
      <c r="D421" s="337" t="s">
        <v>7</v>
      </c>
      <c r="E421" s="31">
        <v>51.7</v>
      </c>
      <c r="F421" s="31">
        <v>15000</v>
      </c>
      <c r="G421" s="50">
        <v>775500</v>
      </c>
      <c r="H421" s="31"/>
      <c r="I421" s="288">
        <v>14000</v>
      </c>
      <c r="J421" s="31">
        <f>РЕАЛИЗАЦИЯ[[#This Row],[СОНИ]]*РЕАЛИЗАЦИЯ[[#This Row],[ТАННАРХ]]</f>
        <v>723800</v>
      </c>
      <c r="K421" s="31">
        <f>РЕАЛИЗАЦИЯ[[#This Row],[ЖАМИ]]-РЕАЛИЗАЦИЯ[[#This Row],[ЖАМИ2]]</f>
        <v>51700</v>
      </c>
      <c r="L421" s="31"/>
    </row>
    <row r="422" spans="1:12" ht="15" customHeight="1" x14ac:dyDescent="0.3">
      <c r="A422" s="3">
        <v>46220</v>
      </c>
      <c r="B422" s="4" t="s">
        <v>974</v>
      </c>
      <c r="C422" s="337" t="s">
        <v>43</v>
      </c>
      <c r="D422" s="337" t="s">
        <v>7</v>
      </c>
      <c r="E422" s="31">
        <v>46.7</v>
      </c>
      <c r="F422" s="31">
        <v>15000</v>
      </c>
      <c r="G422" s="50">
        <v>700500</v>
      </c>
      <c r="I422" s="288">
        <v>14000</v>
      </c>
      <c r="J422" s="31">
        <f>РЕАЛИЗАЦИЯ[[#This Row],[СОНИ]]*РЕАЛИЗАЦИЯ[[#This Row],[ТАННАРХ]]</f>
        <v>653800</v>
      </c>
      <c r="K422" s="31">
        <f>РЕАЛИЗАЦИЯ[[#This Row],[ЖАМИ]]-РЕАЛИЗАЦИЯ[[#This Row],[ЖАМИ2]]</f>
        <v>46700</v>
      </c>
      <c r="L422" s="31"/>
    </row>
    <row r="423" spans="1:12" ht="15" customHeight="1" x14ac:dyDescent="0.3">
      <c r="A423" s="3">
        <v>46220</v>
      </c>
      <c r="B423" s="4" t="s">
        <v>975</v>
      </c>
      <c r="C423" s="337" t="s">
        <v>904</v>
      </c>
      <c r="D423" s="337" t="s">
        <v>7</v>
      </c>
      <c r="E423" s="31">
        <v>94.4</v>
      </c>
      <c r="F423" s="31">
        <v>23000</v>
      </c>
      <c r="G423" s="50">
        <v>2171200</v>
      </c>
      <c r="I423" s="57">
        <v>21000</v>
      </c>
      <c r="J423" s="31">
        <f>РЕАЛИЗАЦИЯ[[#This Row],[СОНИ]]*РЕАЛИЗАЦИЯ[[#This Row],[ТАННАРХ]]</f>
        <v>1982400.0000000002</v>
      </c>
      <c r="K423" s="31">
        <f>РЕАЛИЗАЦИЯ[[#This Row],[ЖАМИ]]-РЕАЛИЗАЦИЯ[[#This Row],[ЖАМИ2]]</f>
        <v>188799.99999999977</v>
      </c>
      <c r="L423" s="31"/>
    </row>
    <row r="424" spans="1:12" ht="15" customHeight="1" x14ac:dyDescent="0.3">
      <c r="A424" s="3">
        <v>46220</v>
      </c>
      <c r="B424" s="4" t="s">
        <v>558</v>
      </c>
      <c r="C424" s="337" t="s">
        <v>43</v>
      </c>
      <c r="D424" s="337" t="s">
        <v>7</v>
      </c>
      <c r="E424" s="31">
        <v>742.2</v>
      </c>
      <c r="F424" s="31">
        <v>16000</v>
      </c>
      <c r="G424" s="50">
        <v>11875200</v>
      </c>
      <c r="I424" s="288">
        <v>14000</v>
      </c>
      <c r="J424" s="31">
        <f>РЕАЛИЗАЦИЯ[[#This Row],[СОНИ]]*РЕАЛИЗАЦИЯ[[#This Row],[ТАННАРХ]]</f>
        <v>10390800</v>
      </c>
      <c r="K424" s="31">
        <f>РЕАЛИЗАЦИЯ[[#This Row],[ЖАМИ]]-РЕАЛИЗАЦИЯ[[#This Row],[ЖАМИ2]]</f>
        <v>1484400</v>
      </c>
      <c r="L424" s="31"/>
    </row>
    <row r="425" spans="1:12" ht="15" customHeight="1" x14ac:dyDescent="0.3">
      <c r="A425" s="3">
        <v>46220</v>
      </c>
      <c r="B425" s="4" t="s">
        <v>681</v>
      </c>
      <c r="C425" s="337" t="s">
        <v>904</v>
      </c>
      <c r="D425" s="337" t="s">
        <v>7</v>
      </c>
      <c r="E425" s="31">
        <v>297.89999999999998</v>
      </c>
      <c r="F425" s="31">
        <v>23000</v>
      </c>
      <c r="G425" s="50">
        <v>6851699.9999999991</v>
      </c>
      <c r="I425" s="57">
        <v>21000</v>
      </c>
      <c r="J425" s="31">
        <f>РЕАЛИЗАЦИЯ[[#This Row],[СОНИ]]*РЕАЛИЗАЦИЯ[[#This Row],[ТАННАРХ]]</f>
        <v>6255899.9999999991</v>
      </c>
      <c r="K425" s="31">
        <f>РЕАЛИЗАЦИЯ[[#This Row],[ЖАМИ]]-РЕАЛИЗАЦИЯ[[#This Row],[ЖАМИ2]]</f>
        <v>595800</v>
      </c>
      <c r="L425" s="31"/>
    </row>
    <row r="426" spans="1:12" ht="15" customHeight="1" x14ac:dyDescent="0.3">
      <c r="A426" s="3">
        <v>46220</v>
      </c>
      <c r="B426" s="4" t="s">
        <v>681</v>
      </c>
      <c r="C426" s="337" t="s">
        <v>43</v>
      </c>
      <c r="D426" s="337" t="s">
        <v>7</v>
      </c>
      <c r="E426" s="31">
        <v>96.5</v>
      </c>
      <c r="F426" s="31">
        <v>15500</v>
      </c>
      <c r="G426" s="50">
        <v>1495750</v>
      </c>
      <c r="I426" s="288">
        <v>14000</v>
      </c>
      <c r="J426" s="31">
        <f>РЕАЛИЗАЦИЯ[[#This Row],[СОНИ]]*РЕАЛИЗАЦИЯ[[#This Row],[ТАННАРХ]]</f>
        <v>1351000</v>
      </c>
      <c r="K426" s="31">
        <f>РЕАЛИЗАЦИЯ[[#This Row],[ЖАМИ]]-РЕАЛИЗАЦИЯ[[#This Row],[ЖАМИ2]]</f>
        <v>144750</v>
      </c>
      <c r="L426" s="31"/>
    </row>
    <row r="427" spans="1:12" ht="15" customHeight="1" x14ac:dyDescent="0.3">
      <c r="A427" s="3">
        <v>46220</v>
      </c>
      <c r="B427" s="4" t="s">
        <v>681</v>
      </c>
      <c r="C427" s="337" t="s">
        <v>904</v>
      </c>
      <c r="D427" s="337" t="s">
        <v>7</v>
      </c>
      <c r="E427" s="31">
        <v>563.20000000000005</v>
      </c>
      <c r="F427" s="31">
        <v>23000</v>
      </c>
      <c r="G427" s="50">
        <v>12953600.000000002</v>
      </c>
      <c r="I427" s="57">
        <v>21000</v>
      </c>
      <c r="J427" s="31">
        <f>РЕАЛИЗАЦИЯ[[#This Row],[СОНИ]]*РЕАЛИЗАЦИЯ[[#This Row],[ТАННАРХ]]</f>
        <v>11827200.000000002</v>
      </c>
      <c r="K427" s="31">
        <f>РЕАЛИЗАЦИЯ[[#This Row],[ЖАМИ]]-РЕАЛИЗАЦИЯ[[#This Row],[ЖАМИ2]]</f>
        <v>1126400</v>
      </c>
      <c r="L427" s="31"/>
    </row>
    <row r="428" spans="1:12" ht="15" customHeight="1" x14ac:dyDescent="0.3">
      <c r="A428" s="3">
        <v>46220</v>
      </c>
      <c r="B428" s="4" t="s">
        <v>387</v>
      </c>
      <c r="C428" s="337" t="s">
        <v>904</v>
      </c>
      <c r="D428" s="337" t="s">
        <v>7</v>
      </c>
      <c r="E428" s="31">
        <v>49.3</v>
      </c>
      <c r="F428" s="31">
        <v>22000</v>
      </c>
      <c r="G428" s="50">
        <v>1084600</v>
      </c>
      <c r="I428" s="57">
        <v>21000</v>
      </c>
      <c r="J428" s="31">
        <f>РЕАЛИЗАЦИЯ[[#This Row],[СОНИ]]*РЕАЛИЗАЦИЯ[[#This Row],[ТАННАРХ]]</f>
        <v>1035299.9999999999</v>
      </c>
      <c r="K428" s="31">
        <f>РЕАЛИЗАЦИЯ[[#This Row],[ЖАМИ]]-РЕАЛИЗАЦИЯ[[#This Row],[ЖАМИ2]]</f>
        <v>49300.000000000116</v>
      </c>
      <c r="L428" s="31"/>
    </row>
    <row r="429" spans="1:12" ht="15" customHeight="1" x14ac:dyDescent="0.3">
      <c r="A429" s="3">
        <v>46220</v>
      </c>
      <c r="B429" s="4" t="s">
        <v>488</v>
      </c>
      <c r="C429" s="337" t="s">
        <v>973</v>
      </c>
      <c r="D429" s="337" t="s">
        <v>7</v>
      </c>
      <c r="E429" s="31">
        <v>52.6</v>
      </c>
      <c r="F429" s="31">
        <v>22000</v>
      </c>
      <c r="G429" s="50">
        <v>1157200</v>
      </c>
      <c r="I429" s="288">
        <v>22000</v>
      </c>
      <c r="J429" s="31">
        <f>РЕАЛИЗАЦИЯ[[#This Row],[СОНИ]]*РЕАЛИЗАЦИЯ[[#This Row],[ТАННАРХ]]</f>
        <v>1157200</v>
      </c>
      <c r="K429" s="31">
        <f>РЕАЛИЗАЦИЯ[[#This Row],[ЖАМИ]]-РЕАЛИЗАЦИЯ[[#This Row],[ЖАМИ2]]</f>
        <v>0</v>
      </c>
      <c r="L429" s="31"/>
    </row>
    <row r="430" spans="1:12" ht="15" customHeight="1" x14ac:dyDescent="0.3">
      <c r="A430" s="3">
        <v>46220</v>
      </c>
      <c r="B430" s="4" t="s">
        <v>488</v>
      </c>
      <c r="C430" s="337" t="s">
        <v>43</v>
      </c>
      <c r="D430" s="337" t="s">
        <v>7</v>
      </c>
      <c r="E430" s="31">
        <v>48.9</v>
      </c>
      <c r="F430" s="31">
        <v>15000</v>
      </c>
      <c r="G430" s="50">
        <v>733500</v>
      </c>
      <c r="I430" s="288">
        <v>14000</v>
      </c>
      <c r="J430" s="31">
        <f>РЕАЛИЗАЦИЯ[[#This Row],[СОНИ]]*РЕАЛИЗАЦИЯ[[#This Row],[ТАННАРХ]]</f>
        <v>684600</v>
      </c>
      <c r="K430" s="31">
        <f>РЕАЛИЗАЦИЯ[[#This Row],[ЖАМИ]]-РЕАЛИЗАЦИЯ[[#This Row],[ЖАМИ2]]</f>
        <v>48900</v>
      </c>
      <c r="L430" s="31"/>
    </row>
    <row r="431" spans="1:12" ht="15" customHeight="1" x14ac:dyDescent="0.3">
      <c r="A431" s="3">
        <v>46220</v>
      </c>
      <c r="B431" s="4" t="s">
        <v>398</v>
      </c>
      <c r="C431" s="337" t="s">
        <v>43</v>
      </c>
      <c r="D431" s="337" t="s">
        <v>7</v>
      </c>
      <c r="E431" s="31">
        <v>49.1</v>
      </c>
      <c r="F431" s="31">
        <v>15000</v>
      </c>
      <c r="G431" s="50">
        <v>736500</v>
      </c>
      <c r="I431" s="288">
        <v>14000</v>
      </c>
      <c r="J431" s="31">
        <f>РЕАЛИЗАЦИЯ[[#This Row],[СОНИ]]*РЕАЛИЗАЦИЯ[[#This Row],[ТАННАРХ]]</f>
        <v>687400</v>
      </c>
      <c r="K431" s="31">
        <f>РЕАЛИЗАЦИЯ[[#This Row],[ЖАМИ]]-РЕАЛИЗАЦИЯ[[#This Row],[ЖАМИ2]]</f>
        <v>49100</v>
      </c>
      <c r="L431" s="31"/>
    </row>
    <row r="432" spans="1:12" ht="15" customHeight="1" x14ac:dyDescent="0.3">
      <c r="A432" s="3">
        <v>46220</v>
      </c>
      <c r="B432" s="4" t="s">
        <v>893</v>
      </c>
      <c r="C432" s="337" t="s">
        <v>43</v>
      </c>
      <c r="D432" s="337" t="s">
        <v>7</v>
      </c>
      <c r="E432" s="31">
        <v>49</v>
      </c>
      <c r="F432" s="31">
        <v>15000</v>
      </c>
      <c r="G432" s="50">
        <v>735000</v>
      </c>
      <c r="I432" s="288">
        <v>14000</v>
      </c>
      <c r="J432" s="31">
        <f>РЕАЛИЗАЦИЯ[[#This Row],[СОНИ]]*РЕАЛИЗАЦИЯ[[#This Row],[ТАННАРХ]]</f>
        <v>686000</v>
      </c>
      <c r="K432" s="31">
        <f>РЕАЛИЗАЦИЯ[[#This Row],[ЖАМИ]]-РЕАЛИЗАЦИЯ[[#This Row],[ЖАМИ2]]</f>
        <v>49000</v>
      </c>
      <c r="L432" s="31"/>
    </row>
    <row r="433" spans="1:12" ht="15" customHeight="1" x14ac:dyDescent="0.3">
      <c r="A433" s="3">
        <v>46220</v>
      </c>
      <c r="B433" s="4" t="s">
        <v>893</v>
      </c>
      <c r="C433" s="337" t="s">
        <v>904</v>
      </c>
      <c r="D433" s="337" t="s">
        <v>7</v>
      </c>
      <c r="E433" s="31">
        <v>53.3</v>
      </c>
      <c r="F433" s="31">
        <v>22000</v>
      </c>
      <c r="G433" s="50">
        <v>1172600</v>
      </c>
      <c r="I433" s="288">
        <v>21000</v>
      </c>
      <c r="J433" s="31">
        <f>РЕАЛИЗАЦИЯ[[#This Row],[СОНИ]]*РЕАЛИЗАЦИЯ[[#This Row],[ТАННАРХ]]</f>
        <v>1119300</v>
      </c>
      <c r="K433" s="31">
        <f>РЕАЛИЗАЦИЯ[[#This Row],[ЖАМИ]]-РЕАЛИЗАЦИЯ[[#This Row],[ЖАМИ2]]</f>
        <v>53300</v>
      </c>
      <c r="L433" s="31"/>
    </row>
    <row r="434" spans="1:12" ht="15" customHeight="1" x14ac:dyDescent="0.3">
      <c r="A434" s="3">
        <v>46220</v>
      </c>
      <c r="B434" s="4" t="s">
        <v>209</v>
      </c>
      <c r="C434" s="337" t="s">
        <v>43</v>
      </c>
      <c r="D434" s="337" t="s">
        <v>7</v>
      </c>
      <c r="E434" s="31">
        <v>104</v>
      </c>
      <c r="F434" s="31">
        <v>15000</v>
      </c>
      <c r="G434" s="50">
        <v>1560000</v>
      </c>
      <c r="I434" s="288">
        <v>14000</v>
      </c>
      <c r="J434" s="31">
        <f>РЕАЛИЗАЦИЯ[[#This Row],[СОНИ]]*РЕАЛИЗАЦИЯ[[#This Row],[ТАННАРХ]]</f>
        <v>1456000</v>
      </c>
      <c r="K434" s="31">
        <f>РЕАЛИЗАЦИЯ[[#This Row],[ЖАМИ]]-РЕАЛИЗАЦИЯ[[#This Row],[ЖАМИ2]]</f>
        <v>104000</v>
      </c>
      <c r="L434" s="31"/>
    </row>
    <row r="435" spans="1:12" ht="15" customHeight="1" x14ac:dyDescent="0.3">
      <c r="A435" s="3">
        <v>46220</v>
      </c>
      <c r="B435" s="4" t="s">
        <v>209</v>
      </c>
      <c r="C435" s="337" t="s">
        <v>78</v>
      </c>
      <c r="D435" s="337" t="s">
        <v>7</v>
      </c>
      <c r="E435" s="31">
        <v>143</v>
      </c>
      <c r="F435" s="31">
        <v>19000</v>
      </c>
      <c r="G435" s="50">
        <v>2717000</v>
      </c>
      <c r="I435" s="288">
        <v>18000</v>
      </c>
      <c r="J435" s="31">
        <f>РЕАЛИЗАЦИЯ[[#This Row],[СОНИ]]*РЕАЛИЗАЦИЯ[[#This Row],[ТАННАРХ]]</f>
        <v>2574000</v>
      </c>
      <c r="K435" s="31">
        <f>РЕАЛИЗАЦИЯ[[#This Row],[ЖАМИ]]-РЕАЛИЗАЦИЯ[[#This Row],[ЖАМИ2]]</f>
        <v>143000</v>
      </c>
      <c r="L435" s="31"/>
    </row>
    <row r="436" spans="1:12" ht="15" customHeight="1" x14ac:dyDescent="0.3">
      <c r="A436" s="3">
        <v>46220</v>
      </c>
      <c r="B436" s="4" t="s">
        <v>886</v>
      </c>
      <c r="C436" s="337" t="s">
        <v>605</v>
      </c>
      <c r="D436" s="337" t="s">
        <v>7</v>
      </c>
      <c r="E436" s="31">
        <v>214.2</v>
      </c>
      <c r="F436" s="31">
        <v>24000</v>
      </c>
      <c r="G436" s="50">
        <v>5140800</v>
      </c>
      <c r="I436" s="288">
        <v>22000</v>
      </c>
      <c r="J436" s="31">
        <f>РЕАЛИЗАЦИЯ[[#This Row],[СОНИ]]*РЕАЛИЗАЦИЯ[[#This Row],[ТАННАРХ]]</f>
        <v>4712400</v>
      </c>
      <c r="K436" s="31">
        <f>РЕАЛИЗАЦИЯ[[#This Row],[ЖАМИ]]-РЕАЛИЗАЦИЯ[[#This Row],[ЖАМИ2]]</f>
        <v>428400</v>
      </c>
      <c r="L436" s="31"/>
    </row>
    <row r="437" spans="1:12" ht="15" customHeight="1" x14ac:dyDescent="0.3">
      <c r="A437" s="3">
        <v>46220</v>
      </c>
      <c r="B437" s="4" t="s">
        <v>430</v>
      </c>
      <c r="C437" s="337" t="s">
        <v>973</v>
      </c>
      <c r="D437" s="337" t="s">
        <v>7</v>
      </c>
      <c r="E437" s="31">
        <v>47.1</v>
      </c>
      <c r="F437" s="31">
        <v>22000</v>
      </c>
      <c r="G437" s="50">
        <v>1036200</v>
      </c>
      <c r="I437" s="288">
        <v>22000</v>
      </c>
      <c r="J437" s="31">
        <f>РЕАЛИЗАЦИЯ[[#This Row],[СОНИ]]*РЕАЛИЗАЦИЯ[[#This Row],[ТАННАРХ]]</f>
        <v>1036200</v>
      </c>
      <c r="K437" s="31">
        <f>РЕАЛИЗАЦИЯ[[#This Row],[ЖАМИ]]-РЕАЛИЗАЦИЯ[[#This Row],[ЖАМИ2]]</f>
        <v>0</v>
      </c>
      <c r="L437" s="31"/>
    </row>
    <row r="438" spans="1:12" ht="15" customHeight="1" x14ac:dyDescent="0.3">
      <c r="A438" s="3">
        <v>46221</v>
      </c>
      <c r="B438" s="4" t="s">
        <v>861</v>
      </c>
      <c r="C438" s="337" t="s">
        <v>43</v>
      </c>
      <c r="D438" s="337" t="s">
        <v>7</v>
      </c>
      <c r="E438" s="31">
        <v>48.5</v>
      </c>
      <c r="F438" s="31">
        <v>15000</v>
      </c>
      <c r="G438" s="50">
        <v>727500</v>
      </c>
      <c r="I438" s="288">
        <v>14000</v>
      </c>
      <c r="J438" s="31">
        <f>РЕАЛИЗАЦИЯ[[#This Row],[СОНИ]]*РЕАЛИЗАЦИЯ[[#This Row],[ТАННАРХ]]</f>
        <v>679000</v>
      </c>
      <c r="K438" s="31">
        <f>РЕАЛИЗАЦИЯ[[#This Row],[ЖАМИ]]-РЕАЛИЗАЦИЯ[[#This Row],[ЖАМИ2]]</f>
        <v>48500</v>
      </c>
      <c r="L438" s="31"/>
    </row>
    <row r="439" spans="1:12" ht="15" customHeight="1" x14ac:dyDescent="0.3">
      <c r="A439" s="3">
        <v>46221</v>
      </c>
      <c r="B439" s="4" t="s">
        <v>571</v>
      </c>
      <c r="C439" s="337" t="s">
        <v>590</v>
      </c>
      <c r="D439" s="337" t="s">
        <v>7</v>
      </c>
      <c r="E439" s="31">
        <v>220.3</v>
      </c>
      <c r="F439" s="31">
        <v>28000</v>
      </c>
      <c r="G439" s="50">
        <v>6168400</v>
      </c>
      <c r="I439" s="288">
        <v>26000</v>
      </c>
      <c r="J439" s="31">
        <f>РЕАЛИЗАЦИЯ[[#This Row],[СОНИ]]*РЕАЛИЗАЦИЯ[[#This Row],[ТАННАРХ]]</f>
        <v>5727800</v>
      </c>
      <c r="K439" s="31">
        <f>РЕАЛИЗАЦИЯ[[#This Row],[ЖАМИ]]-РЕАЛИЗАЦИЯ[[#This Row],[ЖАМИ2]]</f>
        <v>440600</v>
      </c>
      <c r="L439" s="31"/>
    </row>
    <row r="440" spans="1:12" ht="15" customHeight="1" x14ac:dyDescent="0.3">
      <c r="A440" s="3">
        <v>46221</v>
      </c>
      <c r="B440" s="4" t="s">
        <v>781</v>
      </c>
      <c r="C440" s="337" t="s">
        <v>973</v>
      </c>
      <c r="D440" s="337" t="s">
        <v>7</v>
      </c>
      <c r="E440" s="31">
        <v>44.8</v>
      </c>
      <c r="F440" s="31">
        <v>22400</v>
      </c>
      <c r="G440" s="50">
        <v>1003519.9999999999</v>
      </c>
      <c r="I440" s="288">
        <v>22400</v>
      </c>
      <c r="J440" s="31">
        <f>РЕАЛИЗАЦИЯ[[#This Row],[СОНИ]]*РЕАЛИЗАЦИЯ[[#This Row],[ТАННАРХ]]</f>
        <v>1003519.9999999999</v>
      </c>
      <c r="K440" s="31">
        <f>РЕАЛИЗАЦИЯ[[#This Row],[ЖАМИ]]-РЕАЛИЗАЦИЯ[[#This Row],[ЖАМИ2]]</f>
        <v>0</v>
      </c>
      <c r="L440" s="31"/>
    </row>
    <row r="441" spans="1:12" ht="15" customHeight="1" x14ac:dyDescent="0.3">
      <c r="A441" s="3">
        <v>46221</v>
      </c>
      <c r="B441" s="4" t="s">
        <v>610</v>
      </c>
      <c r="C441" s="337" t="s">
        <v>593</v>
      </c>
      <c r="D441" s="337" t="s">
        <v>7</v>
      </c>
      <c r="E441" s="31">
        <v>77.599999999999994</v>
      </c>
      <c r="F441" s="31">
        <v>25000</v>
      </c>
      <c r="G441" s="50">
        <v>1939999.9999999998</v>
      </c>
      <c r="I441" s="288">
        <v>25000</v>
      </c>
      <c r="J441" s="31">
        <f>РЕАЛИЗАЦИЯ[[#This Row],[СОНИ]]*РЕАЛИЗАЦИЯ[[#This Row],[ТАННАРХ]]</f>
        <v>1939999.9999999998</v>
      </c>
      <c r="K441" s="31">
        <f>РЕАЛИЗАЦИЯ[[#This Row],[ЖАМИ]]-РЕАЛИЗАЦИЯ[[#This Row],[ЖАМИ2]]</f>
        <v>0</v>
      </c>
      <c r="L441" s="31"/>
    </row>
    <row r="442" spans="1:12" ht="15" customHeight="1" x14ac:dyDescent="0.3">
      <c r="A442" s="3">
        <v>46221</v>
      </c>
      <c r="B442" s="4" t="s">
        <v>415</v>
      </c>
      <c r="C442" s="337" t="s">
        <v>78</v>
      </c>
      <c r="D442" s="337" t="s">
        <v>7</v>
      </c>
      <c r="E442" s="31">
        <v>48.3</v>
      </c>
      <c r="F442" s="31">
        <v>19000</v>
      </c>
      <c r="G442" s="50">
        <v>917700</v>
      </c>
      <c r="I442" s="288">
        <v>18000</v>
      </c>
      <c r="J442" s="31">
        <f>РЕАЛИЗАЦИЯ[[#This Row],[СОНИ]]*РЕАЛИЗАЦИЯ[[#This Row],[ТАННАРХ]]</f>
        <v>869400</v>
      </c>
      <c r="K442" s="31">
        <f>РЕАЛИЗАЦИЯ[[#This Row],[ЖАМИ]]-РЕАЛИЗАЦИЯ[[#This Row],[ЖАМИ2]]</f>
        <v>48300</v>
      </c>
      <c r="L442" s="31"/>
    </row>
    <row r="443" spans="1:12" ht="15" customHeight="1" x14ac:dyDescent="0.3">
      <c r="A443" s="3">
        <v>46221</v>
      </c>
      <c r="B443" s="4" t="s">
        <v>206</v>
      </c>
      <c r="C443" s="337" t="s">
        <v>43</v>
      </c>
      <c r="D443" s="337" t="s">
        <v>7</v>
      </c>
      <c r="E443" s="31">
        <v>49.5</v>
      </c>
      <c r="F443" s="31">
        <v>15000</v>
      </c>
      <c r="G443" s="50">
        <v>742500</v>
      </c>
      <c r="I443" s="288">
        <v>14000</v>
      </c>
      <c r="J443" s="31">
        <f>РЕАЛИЗАЦИЯ[[#This Row],[СОНИ]]*РЕАЛИЗАЦИЯ[[#This Row],[ТАННАРХ]]</f>
        <v>693000</v>
      </c>
      <c r="K443" s="31">
        <f>РЕАЛИЗАЦИЯ[[#This Row],[ЖАМИ]]-РЕАЛИЗАЦИЯ[[#This Row],[ЖАМИ2]]</f>
        <v>49500</v>
      </c>
      <c r="L443" s="31"/>
    </row>
    <row r="444" spans="1:12" ht="15" customHeight="1" x14ac:dyDescent="0.3">
      <c r="A444" s="3">
        <v>46221</v>
      </c>
      <c r="B444" s="4" t="s">
        <v>89</v>
      </c>
      <c r="C444" s="337" t="s">
        <v>43</v>
      </c>
      <c r="D444" s="337" t="s">
        <v>7</v>
      </c>
      <c r="E444" s="31">
        <v>48.7</v>
      </c>
      <c r="F444" s="31">
        <v>15000</v>
      </c>
      <c r="G444" s="50">
        <v>730500</v>
      </c>
      <c r="I444" s="288">
        <v>14000</v>
      </c>
      <c r="J444" s="31">
        <f>РЕАЛИЗАЦИЯ[[#This Row],[СОНИ]]*РЕАЛИЗАЦИЯ[[#This Row],[ТАННАРХ]]</f>
        <v>681800</v>
      </c>
      <c r="K444" s="31">
        <f>РЕАЛИЗАЦИЯ[[#This Row],[ЖАМИ]]-РЕАЛИЗАЦИЯ[[#This Row],[ЖАМИ2]]</f>
        <v>48700</v>
      </c>
      <c r="L444" s="31"/>
    </row>
    <row r="445" spans="1:12" ht="15" customHeight="1" x14ac:dyDescent="0.3">
      <c r="A445" s="3">
        <v>46221</v>
      </c>
      <c r="B445" s="4" t="s">
        <v>89</v>
      </c>
      <c r="C445" s="337" t="s">
        <v>973</v>
      </c>
      <c r="D445" s="337" t="s">
        <v>7</v>
      </c>
      <c r="E445" s="31">
        <v>50.2</v>
      </c>
      <c r="F445" s="31">
        <v>23000</v>
      </c>
      <c r="G445" s="50">
        <v>1154600</v>
      </c>
      <c r="I445" s="288">
        <v>23000</v>
      </c>
      <c r="J445" s="31">
        <f>РЕАЛИЗАЦИЯ[[#This Row],[СОНИ]]*РЕАЛИЗАЦИЯ[[#This Row],[ТАННАРХ]]</f>
        <v>1154600</v>
      </c>
      <c r="K445" s="31">
        <f>РЕАЛИЗАЦИЯ[[#This Row],[ЖАМИ]]-РЕАЛИЗАЦИЯ[[#This Row],[ЖАМИ2]]</f>
        <v>0</v>
      </c>
      <c r="L445" s="31"/>
    </row>
    <row r="446" spans="1:12" ht="15" customHeight="1" x14ac:dyDescent="0.3">
      <c r="A446" s="3">
        <v>46221</v>
      </c>
      <c r="B446" s="4" t="s">
        <v>610</v>
      </c>
      <c r="C446" s="337" t="s">
        <v>593</v>
      </c>
      <c r="D446" s="337" t="s">
        <v>7</v>
      </c>
      <c r="E446" s="31">
        <v>73.599999999999994</v>
      </c>
      <c r="F446" s="31">
        <v>25000</v>
      </c>
      <c r="G446" s="50">
        <v>1839999.9999999998</v>
      </c>
      <c r="I446" s="288">
        <v>25000</v>
      </c>
      <c r="J446" s="31">
        <f>РЕАЛИЗАЦИЯ[[#This Row],[СОНИ]]*РЕАЛИЗАЦИЯ[[#This Row],[ТАННАРХ]]</f>
        <v>1839999.9999999998</v>
      </c>
      <c r="K446" s="31">
        <f>РЕАЛИЗАЦИЯ[[#This Row],[ЖАМИ]]-РЕАЛИЗАЦИЯ[[#This Row],[ЖАМИ2]]</f>
        <v>0</v>
      </c>
      <c r="L446" s="31"/>
    </row>
    <row r="447" spans="1:12" ht="15" customHeight="1" x14ac:dyDescent="0.3">
      <c r="A447" s="3">
        <v>46221</v>
      </c>
      <c r="B447" s="4" t="s">
        <v>798</v>
      </c>
      <c r="C447" s="337" t="s">
        <v>973</v>
      </c>
      <c r="D447" s="337" t="s">
        <v>7</v>
      </c>
      <c r="E447" s="31">
        <v>95.1</v>
      </c>
      <c r="F447" s="31">
        <v>22000</v>
      </c>
      <c r="G447" s="50">
        <v>2092199.9999999998</v>
      </c>
      <c r="I447" s="288">
        <v>22000</v>
      </c>
      <c r="J447" s="31">
        <f>РЕАЛИЗАЦИЯ[[#This Row],[СОНИ]]*РЕАЛИЗАЦИЯ[[#This Row],[ТАННАРХ]]</f>
        <v>2092199.9999999998</v>
      </c>
      <c r="K447" s="31">
        <f>РЕАЛИЗАЦИЯ[[#This Row],[ЖАМИ]]-РЕАЛИЗАЦИЯ[[#This Row],[ЖАМИ2]]</f>
        <v>0</v>
      </c>
      <c r="L447" s="31"/>
    </row>
    <row r="448" spans="1:12" ht="15" customHeight="1" x14ac:dyDescent="0.3">
      <c r="A448" s="3">
        <v>46222</v>
      </c>
      <c r="B448" s="4" t="s">
        <v>565</v>
      </c>
      <c r="C448" s="337" t="s">
        <v>593</v>
      </c>
      <c r="D448" s="337" t="s">
        <v>7</v>
      </c>
      <c r="E448" s="31">
        <v>933</v>
      </c>
      <c r="F448" s="31">
        <v>27000</v>
      </c>
      <c r="G448" s="50">
        <v>25191000</v>
      </c>
      <c r="I448" s="288">
        <v>25000</v>
      </c>
      <c r="J448" s="31">
        <f>РЕАЛИЗАЦИЯ[[#This Row],[СОНИ]]*РЕАЛИЗАЦИЯ[[#This Row],[ТАННАРХ]]</f>
        <v>23325000</v>
      </c>
      <c r="K448" s="31">
        <f>РЕАЛИЗАЦИЯ[[#This Row],[ЖАМИ]]-РЕАЛИЗАЦИЯ[[#This Row],[ЖАМИ2]]</f>
        <v>1866000</v>
      </c>
      <c r="L448" s="31"/>
    </row>
    <row r="449" spans="1:12" ht="15" customHeight="1" x14ac:dyDescent="0.3">
      <c r="A449" s="3">
        <v>46222</v>
      </c>
      <c r="B449" s="4" t="s">
        <v>339</v>
      </c>
      <c r="C449" s="337" t="s">
        <v>973</v>
      </c>
      <c r="D449" s="337" t="s">
        <v>7</v>
      </c>
      <c r="E449" s="31">
        <v>93.2</v>
      </c>
      <c r="F449" s="31">
        <v>21500</v>
      </c>
      <c r="G449" s="50">
        <v>2003800</v>
      </c>
      <c r="I449" s="288">
        <v>22000</v>
      </c>
      <c r="J449" s="31">
        <f>РЕАЛИЗАЦИЯ[[#This Row],[СОНИ]]*РЕАЛИЗАЦИЯ[[#This Row],[ТАННАРХ]]</f>
        <v>2050400</v>
      </c>
      <c r="K449" s="31">
        <f>РЕАЛИЗАЦИЯ[[#This Row],[ЖАМИ]]-РЕАЛИЗАЦИЯ[[#This Row],[ЖАМИ2]]</f>
        <v>-46600</v>
      </c>
      <c r="L449" s="31"/>
    </row>
    <row r="450" spans="1:12" ht="15" customHeight="1" x14ac:dyDescent="0.3">
      <c r="A450" s="3">
        <v>46222</v>
      </c>
      <c r="B450" s="4" t="s">
        <v>870</v>
      </c>
      <c r="C450" s="337" t="s">
        <v>973</v>
      </c>
      <c r="D450" s="337" t="s">
        <v>7</v>
      </c>
      <c r="E450" s="31">
        <v>49.8</v>
      </c>
      <c r="F450" s="31">
        <v>23000</v>
      </c>
      <c r="G450" s="50">
        <v>1145400</v>
      </c>
      <c r="I450" s="288">
        <v>23000</v>
      </c>
      <c r="J450" s="31">
        <f>РЕАЛИЗАЦИЯ[[#This Row],[СОНИ]]*РЕАЛИЗАЦИЯ[[#This Row],[ТАННАРХ]]</f>
        <v>1145400</v>
      </c>
      <c r="K450" s="31">
        <f>РЕАЛИЗАЦИЯ[[#This Row],[ЖАМИ]]-РЕАЛИЗАЦИЯ[[#This Row],[ЖАМИ2]]</f>
        <v>0</v>
      </c>
      <c r="L450" s="31"/>
    </row>
    <row r="451" spans="1:12" x14ac:dyDescent="0.3">
      <c r="A451" s="3">
        <v>46222</v>
      </c>
      <c r="B451" s="4" t="s">
        <v>870</v>
      </c>
      <c r="C451" s="337" t="s">
        <v>43</v>
      </c>
      <c r="D451" s="337" t="s">
        <v>7</v>
      </c>
      <c r="E451" s="31">
        <v>47</v>
      </c>
      <c r="F451" s="31">
        <v>16000</v>
      </c>
      <c r="G451" s="50">
        <v>752000</v>
      </c>
      <c r="I451" s="288">
        <v>14000</v>
      </c>
      <c r="J451" s="31">
        <f>РЕАЛИЗАЦИЯ[[#This Row],[СОНИ]]*РЕАЛИЗАЦИЯ[[#This Row],[ТАННАРХ]]</f>
        <v>658000</v>
      </c>
      <c r="K451" s="31">
        <f>РЕАЛИЗАЦИЯ[[#This Row],[ЖАМИ]]-РЕАЛИЗАЦИЯ[[#This Row],[ЖАМИ2]]</f>
        <v>94000</v>
      </c>
      <c r="L451" s="31"/>
    </row>
    <row r="452" spans="1:12" ht="15" customHeight="1" x14ac:dyDescent="0.3">
      <c r="A452" s="3">
        <v>46222</v>
      </c>
      <c r="B452" s="4" t="s">
        <v>296</v>
      </c>
      <c r="C452" s="337" t="s">
        <v>973</v>
      </c>
      <c r="D452" s="337" t="s">
        <v>7</v>
      </c>
      <c r="E452" s="31">
        <v>46.6</v>
      </c>
      <c r="F452" s="31">
        <v>23000</v>
      </c>
      <c r="G452" s="50">
        <v>1071800</v>
      </c>
      <c r="I452" s="288">
        <v>23000</v>
      </c>
      <c r="J452" s="31">
        <f>РЕАЛИЗАЦИЯ[[#This Row],[СОНИ]]*РЕАЛИЗАЦИЯ[[#This Row],[ТАННАРХ]]</f>
        <v>1071800</v>
      </c>
      <c r="K452" s="31">
        <f>РЕАЛИЗАЦИЯ[[#This Row],[ЖАМИ]]-РЕАЛИЗАЦИЯ[[#This Row],[ЖАМИ2]]</f>
        <v>0</v>
      </c>
      <c r="L452" s="31"/>
    </row>
    <row r="453" spans="1:12" ht="15" customHeight="1" x14ac:dyDescent="0.3">
      <c r="A453" s="3">
        <v>46222</v>
      </c>
      <c r="B453" s="4" t="s">
        <v>720</v>
      </c>
      <c r="C453" s="337" t="s">
        <v>973</v>
      </c>
      <c r="D453" s="337" t="s">
        <v>7</v>
      </c>
      <c r="E453" s="31">
        <v>44.6</v>
      </c>
      <c r="F453" s="31">
        <v>22000</v>
      </c>
      <c r="G453" s="50">
        <v>981200</v>
      </c>
      <c r="I453" s="288">
        <v>22000</v>
      </c>
      <c r="J453" s="31">
        <f>РЕАЛИЗАЦИЯ[[#This Row],[СОНИ]]*РЕАЛИЗАЦИЯ[[#This Row],[ТАННАРХ]]</f>
        <v>981200</v>
      </c>
      <c r="K453" s="31">
        <f>РЕАЛИЗАЦИЯ[[#This Row],[ЖАМИ]]-РЕАЛИЗАЦИЯ[[#This Row],[ЖАМИ2]]</f>
        <v>0</v>
      </c>
      <c r="L453" s="31"/>
    </row>
    <row r="454" spans="1:12" ht="15" customHeight="1" x14ac:dyDescent="0.3">
      <c r="A454" s="3">
        <v>46222</v>
      </c>
      <c r="B454" s="4" t="s">
        <v>953</v>
      </c>
      <c r="C454" s="337" t="s">
        <v>43</v>
      </c>
      <c r="D454" s="337" t="s">
        <v>7</v>
      </c>
      <c r="E454" s="31">
        <v>99.1</v>
      </c>
      <c r="F454" s="31">
        <v>15000</v>
      </c>
      <c r="G454" s="50">
        <v>1486500</v>
      </c>
      <c r="I454" s="288">
        <v>14000</v>
      </c>
      <c r="J454" s="31">
        <f>РЕАЛИЗАЦИЯ[[#This Row],[СОНИ]]*РЕАЛИЗАЦИЯ[[#This Row],[ТАННАРХ]]</f>
        <v>1387400</v>
      </c>
      <c r="K454" s="31">
        <f>РЕАЛИЗАЦИЯ[[#This Row],[ЖАМИ]]-РЕАЛИЗАЦИЯ[[#This Row],[ЖАМИ2]]</f>
        <v>99100</v>
      </c>
      <c r="L454" s="31"/>
    </row>
    <row r="455" spans="1:12" ht="15" customHeight="1" x14ac:dyDescent="0.3">
      <c r="A455" s="3">
        <v>46222</v>
      </c>
      <c r="B455" s="4" t="s">
        <v>429</v>
      </c>
      <c r="C455" s="337" t="s">
        <v>973</v>
      </c>
      <c r="D455" s="337" t="s">
        <v>7</v>
      </c>
      <c r="E455" s="31">
        <v>56.1</v>
      </c>
      <c r="F455" s="31">
        <v>23000</v>
      </c>
      <c r="G455" s="50">
        <v>1290300</v>
      </c>
      <c r="I455" s="288">
        <v>23000</v>
      </c>
      <c r="J455" s="31">
        <f>РЕАЛИЗАЦИЯ[[#This Row],[СОНИ]]*РЕАЛИЗАЦИЯ[[#This Row],[ТАННАРХ]]</f>
        <v>1290300</v>
      </c>
      <c r="K455" s="31">
        <f>РЕАЛИЗАЦИЯ[[#This Row],[ЖАМИ]]-РЕАЛИЗАЦИЯ[[#This Row],[ЖАМИ2]]</f>
        <v>0</v>
      </c>
      <c r="L455" s="31"/>
    </row>
    <row r="456" spans="1:12" ht="15" customHeight="1" x14ac:dyDescent="0.3">
      <c r="A456" s="3">
        <v>46223</v>
      </c>
      <c r="B456" s="4" t="s">
        <v>782</v>
      </c>
      <c r="C456" s="337" t="s">
        <v>78</v>
      </c>
      <c r="D456" s="337" t="s">
        <v>7</v>
      </c>
      <c r="E456" s="31">
        <v>516.20000000000005</v>
      </c>
      <c r="F456" s="31">
        <v>19000</v>
      </c>
      <c r="G456" s="50">
        <v>9807800</v>
      </c>
      <c r="I456" s="288">
        <v>18000</v>
      </c>
      <c r="J456" s="31">
        <f>РЕАЛИЗАЦИЯ[[#This Row],[СОНИ]]*РЕАЛИЗАЦИЯ[[#This Row],[ТАННАРХ]]</f>
        <v>9291600</v>
      </c>
      <c r="K456" s="31">
        <f>РЕАЛИЗАЦИЯ[[#This Row],[ЖАМИ]]-РЕАЛИЗАЦИЯ[[#This Row],[ЖАМИ2]]</f>
        <v>516200</v>
      </c>
      <c r="L456" s="31"/>
    </row>
    <row r="457" spans="1:12" ht="15" customHeight="1" x14ac:dyDescent="0.3">
      <c r="A457" s="3">
        <v>46223</v>
      </c>
      <c r="B457" s="4" t="s">
        <v>320</v>
      </c>
      <c r="C457" s="337" t="s">
        <v>973</v>
      </c>
      <c r="D457" s="337" t="s">
        <v>7</v>
      </c>
      <c r="E457" s="31">
        <v>95.5</v>
      </c>
      <c r="F457" s="31">
        <v>22000</v>
      </c>
      <c r="G457" s="50">
        <v>2101000</v>
      </c>
      <c r="I457" s="288">
        <v>22000</v>
      </c>
      <c r="J457" s="31">
        <f>РЕАЛИЗАЦИЯ[[#This Row],[СОНИ]]*РЕАЛИЗАЦИЯ[[#This Row],[ТАННАРХ]]</f>
        <v>2101000</v>
      </c>
      <c r="K457" s="31">
        <f>РЕАЛИЗАЦИЯ[[#This Row],[ЖАМИ]]-РЕАЛИЗАЦИЯ[[#This Row],[ЖАМИ2]]</f>
        <v>0</v>
      </c>
      <c r="L457" s="31"/>
    </row>
    <row r="458" spans="1:12" ht="15" customHeight="1" x14ac:dyDescent="0.3">
      <c r="A458" s="3">
        <v>46223</v>
      </c>
      <c r="B458" s="4" t="s">
        <v>488</v>
      </c>
      <c r="C458" s="337" t="s">
        <v>973</v>
      </c>
      <c r="D458" s="337" t="s">
        <v>7</v>
      </c>
      <c r="E458" s="31">
        <v>49.7</v>
      </c>
      <c r="F458" s="31">
        <v>22000</v>
      </c>
      <c r="G458" s="50">
        <v>1093400</v>
      </c>
      <c r="I458" s="288">
        <v>22000</v>
      </c>
      <c r="J458" s="31">
        <f>РЕАЛИЗАЦИЯ[[#This Row],[СОНИ]]*РЕАЛИЗАЦИЯ[[#This Row],[ТАННАРХ]]</f>
        <v>1093400</v>
      </c>
      <c r="K458" s="31">
        <f>РЕАЛИЗАЦИЯ[[#This Row],[ЖАМИ]]-РЕАЛИЗАЦИЯ[[#This Row],[ЖАМИ2]]</f>
        <v>0</v>
      </c>
      <c r="L458" s="31"/>
    </row>
    <row r="459" spans="1:12" ht="15" customHeight="1" x14ac:dyDescent="0.3">
      <c r="A459" s="3">
        <v>46223</v>
      </c>
      <c r="B459" s="4" t="s">
        <v>983</v>
      </c>
      <c r="C459" s="337" t="s">
        <v>973</v>
      </c>
      <c r="D459" s="337" t="s">
        <v>7</v>
      </c>
      <c r="E459" s="31">
        <v>89.5</v>
      </c>
      <c r="F459" s="31">
        <v>22000</v>
      </c>
      <c r="G459" s="50">
        <v>1969000</v>
      </c>
      <c r="I459" s="288">
        <v>22000</v>
      </c>
      <c r="J459" s="31">
        <f>РЕАЛИЗАЦИЯ[[#This Row],[СОНИ]]*РЕАЛИЗАЦИЯ[[#This Row],[ТАННАРХ]]</f>
        <v>1969000</v>
      </c>
      <c r="K459" s="31">
        <f>РЕАЛИЗАЦИЯ[[#This Row],[ЖАМИ]]-РЕАЛИЗАЦИЯ[[#This Row],[ЖАМИ2]]</f>
        <v>0</v>
      </c>
      <c r="L459" s="31"/>
    </row>
    <row r="460" spans="1:12" ht="15" customHeight="1" x14ac:dyDescent="0.3">
      <c r="A460" s="3">
        <v>46223</v>
      </c>
      <c r="B460" s="4" t="s">
        <v>983</v>
      </c>
      <c r="C460" s="337" t="s">
        <v>43</v>
      </c>
      <c r="D460" s="337" t="s">
        <v>7</v>
      </c>
      <c r="E460" s="31">
        <v>93.3</v>
      </c>
      <c r="F460" s="31">
        <v>15000</v>
      </c>
      <c r="G460" s="50">
        <v>1399500</v>
      </c>
      <c r="I460" s="288">
        <v>14000</v>
      </c>
      <c r="J460" s="31">
        <f>РЕАЛИЗАЦИЯ[[#This Row],[СОНИ]]*РЕАЛИЗАЦИЯ[[#This Row],[ТАННАРХ]]</f>
        <v>1306200</v>
      </c>
      <c r="K460" s="31">
        <f>РЕАЛИЗАЦИЯ[[#This Row],[ЖАМИ]]-РЕАЛИЗАЦИЯ[[#This Row],[ЖАМИ2]]</f>
        <v>93300</v>
      </c>
      <c r="L460" s="31"/>
    </row>
    <row r="461" spans="1:12" ht="15" customHeight="1" x14ac:dyDescent="0.3">
      <c r="A461" s="3">
        <v>46223</v>
      </c>
      <c r="B461" s="4" t="s">
        <v>497</v>
      </c>
      <c r="C461" s="337" t="s">
        <v>973</v>
      </c>
      <c r="D461" s="337" t="s">
        <v>7</v>
      </c>
      <c r="E461" s="31">
        <v>199.1</v>
      </c>
      <c r="F461" s="31">
        <v>23000</v>
      </c>
      <c r="G461" s="50">
        <v>4579300</v>
      </c>
      <c r="I461" s="288">
        <v>23000</v>
      </c>
      <c r="J461" s="31">
        <f>РЕАЛИЗАЦИЯ[[#This Row],[СОНИ]]*РЕАЛИЗАЦИЯ[[#This Row],[ТАННАРХ]]</f>
        <v>4579300</v>
      </c>
      <c r="K461" s="31">
        <f>РЕАЛИЗАЦИЯ[[#This Row],[ЖАМИ]]-РЕАЛИЗАЦИЯ[[#This Row],[ЖАМИ2]]</f>
        <v>0</v>
      </c>
      <c r="L461" s="31"/>
    </row>
    <row r="462" spans="1:12" ht="15" customHeight="1" x14ac:dyDescent="0.3">
      <c r="A462" s="3">
        <v>46223</v>
      </c>
      <c r="B462" s="4" t="s">
        <v>497</v>
      </c>
      <c r="C462" s="337" t="s">
        <v>43</v>
      </c>
      <c r="D462" s="337" t="s">
        <v>7</v>
      </c>
      <c r="E462" s="31">
        <v>52.5</v>
      </c>
      <c r="F462" s="31">
        <v>15000</v>
      </c>
      <c r="G462" s="50">
        <v>787500</v>
      </c>
      <c r="I462" s="288">
        <v>14000</v>
      </c>
      <c r="J462" s="31">
        <f>РЕАЛИЗАЦИЯ[[#This Row],[СОНИ]]*РЕАЛИЗАЦИЯ[[#This Row],[ТАННАРХ]]</f>
        <v>735000</v>
      </c>
      <c r="K462" s="31">
        <f>РЕАЛИЗАЦИЯ[[#This Row],[ЖАМИ]]-РЕАЛИЗАЦИЯ[[#This Row],[ЖАМИ2]]</f>
        <v>52500</v>
      </c>
      <c r="L462" s="31"/>
    </row>
    <row r="463" spans="1:12" ht="15" customHeight="1" x14ac:dyDescent="0.3">
      <c r="A463" s="3">
        <v>46223</v>
      </c>
      <c r="B463" s="4" t="s">
        <v>508</v>
      </c>
      <c r="C463" s="337" t="s">
        <v>605</v>
      </c>
      <c r="D463" s="337" t="s">
        <v>7</v>
      </c>
      <c r="E463" s="31">
        <v>428.9</v>
      </c>
      <c r="F463" s="31">
        <v>24000</v>
      </c>
      <c r="G463" s="50">
        <v>10293600</v>
      </c>
      <c r="I463" s="288">
        <v>22000</v>
      </c>
      <c r="J463" s="31">
        <f>РЕАЛИЗАЦИЯ[[#This Row],[СОНИ]]*РЕАЛИЗАЦИЯ[[#This Row],[ТАННАРХ]]</f>
        <v>9435800</v>
      </c>
      <c r="K463" s="31">
        <f>РЕАЛИЗАЦИЯ[[#This Row],[ЖАМИ]]-РЕАЛИЗАЦИЯ[[#This Row],[ЖАМИ2]]</f>
        <v>857800</v>
      </c>
      <c r="L463" s="31"/>
    </row>
    <row r="464" spans="1:12" ht="15" customHeight="1" x14ac:dyDescent="0.3">
      <c r="A464" s="3">
        <v>46223</v>
      </c>
      <c r="B464" s="4" t="s">
        <v>597</v>
      </c>
      <c r="C464" s="340" t="s">
        <v>605</v>
      </c>
      <c r="D464" s="337" t="s">
        <v>7</v>
      </c>
      <c r="E464" s="31">
        <v>93.9</v>
      </c>
      <c r="F464" s="31">
        <v>24000</v>
      </c>
      <c r="G464" s="50">
        <v>2253600</v>
      </c>
      <c r="I464" s="288">
        <v>22000</v>
      </c>
      <c r="J464" s="31">
        <f>РЕАЛИЗАЦИЯ[[#This Row],[СОНИ]]*РЕАЛИЗАЦИЯ[[#This Row],[ТАННАРХ]]</f>
        <v>2065800.0000000002</v>
      </c>
      <c r="K464" s="31">
        <f>РЕАЛИЗАЦИЯ[[#This Row],[ЖАМИ]]-РЕАЛИЗАЦИЯ[[#This Row],[ЖАМИ2]]</f>
        <v>187799.99999999977</v>
      </c>
      <c r="L464" s="31"/>
    </row>
    <row r="465" spans="1:12" ht="15" customHeight="1" x14ac:dyDescent="0.3">
      <c r="A465" s="3">
        <v>46223</v>
      </c>
      <c r="B465" s="4" t="s">
        <v>681</v>
      </c>
      <c r="C465" s="337" t="s">
        <v>973</v>
      </c>
      <c r="D465" s="337" t="s">
        <v>7</v>
      </c>
      <c r="E465" s="31">
        <v>239.5</v>
      </c>
      <c r="F465" s="31">
        <v>23000</v>
      </c>
      <c r="G465" s="50">
        <v>5508500</v>
      </c>
      <c r="I465" s="288">
        <v>23000</v>
      </c>
      <c r="J465" s="31">
        <f>РЕАЛИЗАЦИЯ[[#This Row],[СОНИ]]*РЕАЛИЗАЦИЯ[[#This Row],[ТАННАРХ]]</f>
        <v>5508500</v>
      </c>
      <c r="K465" s="31">
        <f>РЕАЛИЗАЦИЯ[[#This Row],[ЖАМИ]]-РЕАЛИЗАЦИЯ[[#This Row],[ЖАМИ2]]</f>
        <v>0</v>
      </c>
      <c r="L465" s="31"/>
    </row>
    <row r="466" spans="1:12" ht="15" customHeight="1" x14ac:dyDescent="0.3">
      <c r="A466" s="3">
        <v>46223</v>
      </c>
      <c r="B466" s="4" t="s">
        <v>681</v>
      </c>
      <c r="C466" s="337" t="s">
        <v>43</v>
      </c>
      <c r="D466" s="337" t="s">
        <v>7</v>
      </c>
      <c r="E466" s="31">
        <v>90.8</v>
      </c>
      <c r="F466" s="31">
        <v>15500</v>
      </c>
      <c r="G466" s="50">
        <v>1407400</v>
      </c>
      <c r="I466" s="288">
        <v>14000</v>
      </c>
      <c r="J466" s="31">
        <f>РЕАЛИЗАЦИЯ[[#This Row],[СОНИ]]*РЕАЛИЗАЦИЯ[[#This Row],[ТАННАРХ]]</f>
        <v>1271200</v>
      </c>
      <c r="K466" s="31">
        <f>РЕАЛИЗАЦИЯ[[#This Row],[ЖАМИ]]-РЕАЛИЗАЦИЯ[[#This Row],[ЖАМИ2]]</f>
        <v>136200</v>
      </c>
      <c r="L466" s="31"/>
    </row>
    <row r="467" spans="1:12" ht="15" customHeight="1" x14ac:dyDescent="0.3">
      <c r="A467" s="3">
        <v>46223</v>
      </c>
      <c r="B467" s="4" t="s">
        <v>521</v>
      </c>
      <c r="C467" s="337" t="s">
        <v>78</v>
      </c>
      <c r="D467" s="337" t="s">
        <v>7</v>
      </c>
      <c r="E467" s="31">
        <v>443.3</v>
      </c>
      <c r="F467" s="31">
        <v>24000</v>
      </c>
      <c r="G467" s="50">
        <v>10639200</v>
      </c>
      <c r="I467" s="288">
        <v>22000</v>
      </c>
      <c r="J467" s="31">
        <f>РЕАЛИЗАЦИЯ[[#This Row],[СОНИ]]*РЕАЛИЗАЦИЯ[[#This Row],[ТАННАРХ]]</f>
        <v>9752600</v>
      </c>
      <c r="K467" s="31">
        <f>РЕАЛИЗАЦИЯ[[#This Row],[ЖАМИ]]-РЕАЛИЗАЦИЯ[[#This Row],[ЖАМИ2]]</f>
        <v>886600</v>
      </c>
      <c r="L467" s="31"/>
    </row>
    <row r="468" spans="1:12" ht="15" customHeight="1" x14ac:dyDescent="0.3">
      <c r="A468" s="3">
        <v>46223</v>
      </c>
      <c r="B468" s="4" t="s">
        <v>807</v>
      </c>
      <c r="C468" s="337" t="s">
        <v>43</v>
      </c>
      <c r="D468" s="337" t="s">
        <v>7</v>
      </c>
      <c r="E468" s="31">
        <v>2979.4</v>
      </c>
      <c r="F468" s="31">
        <v>14000</v>
      </c>
      <c r="G468" s="50">
        <v>41711600</v>
      </c>
      <c r="I468" s="288">
        <v>14000</v>
      </c>
      <c r="J468" s="31">
        <f>РЕАЛИЗАЦИЯ[[#This Row],[СОНИ]]*РЕАЛИЗАЦИЯ[[#This Row],[ТАННАРХ]]</f>
        <v>41711600</v>
      </c>
      <c r="K468" s="31">
        <f>РЕАЛИЗАЦИЯ[[#This Row],[ЖАМИ]]-РЕАЛИЗАЦИЯ[[#This Row],[ЖАМИ2]]</f>
        <v>0</v>
      </c>
      <c r="L468" s="31"/>
    </row>
    <row r="469" spans="1:12" ht="15" customHeight="1" x14ac:dyDescent="0.3">
      <c r="A469" s="3">
        <v>46223</v>
      </c>
      <c r="B469" s="4" t="s">
        <v>552</v>
      </c>
      <c r="C469" s="337" t="s">
        <v>593</v>
      </c>
      <c r="D469" s="337" t="s">
        <v>7</v>
      </c>
      <c r="E469" s="31">
        <v>1107.8</v>
      </c>
      <c r="F469" s="31">
        <v>30000</v>
      </c>
      <c r="G469" s="50">
        <v>33234000</v>
      </c>
      <c r="I469" s="288">
        <v>25000</v>
      </c>
      <c r="J469" s="31">
        <f>РЕАЛИЗАЦИЯ[[#This Row],[СОНИ]]*РЕАЛИЗАЦИЯ[[#This Row],[ТАННАРХ]]</f>
        <v>27695000</v>
      </c>
      <c r="K469" s="31">
        <f>РЕАЛИЗАЦИЯ[[#This Row],[ЖАМИ]]-РЕАЛИЗАЦИЯ[[#This Row],[ЖАМИ2]]</f>
        <v>5539000</v>
      </c>
      <c r="L469" s="31"/>
    </row>
    <row r="470" spans="1:12" ht="15" customHeight="1" x14ac:dyDescent="0.3">
      <c r="A470" s="3">
        <v>46224</v>
      </c>
      <c r="B470" s="4" t="s">
        <v>984</v>
      </c>
      <c r="C470" s="337" t="s">
        <v>973</v>
      </c>
      <c r="D470" s="337" t="s">
        <v>7</v>
      </c>
      <c r="E470" s="31">
        <v>42.8</v>
      </c>
      <c r="F470" s="31">
        <v>22000</v>
      </c>
      <c r="G470" s="50">
        <v>941599.99999999988</v>
      </c>
      <c r="I470" s="288">
        <v>22000</v>
      </c>
      <c r="J470" s="31">
        <f>РЕАЛИЗАЦИЯ[[#This Row],[СОНИ]]*РЕАЛИЗАЦИЯ[[#This Row],[ТАННАРХ]]</f>
        <v>941599.99999999988</v>
      </c>
      <c r="K470" s="31">
        <f>РЕАЛИЗАЦИЯ[[#This Row],[ЖАМИ]]-РЕАЛИЗАЦИЯ[[#This Row],[ЖАМИ2]]</f>
        <v>0</v>
      </c>
      <c r="L470" s="31"/>
    </row>
    <row r="471" spans="1:12" ht="15" customHeight="1" x14ac:dyDescent="0.3">
      <c r="A471" s="3">
        <v>46224</v>
      </c>
      <c r="B471" s="4" t="s">
        <v>129</v>
      </c>
      <c r="C471" s="337" t="s">
        <v>590</v>
      </c>
      <c r="D471" s="337" t="s">
        <v>7</v>
      </c>
      <c r="E471" s="31">
        <v>110.9</v>
      </c>
      <c r="F471" s="31">
        <v>28000</v>
      </c>
      <c r="G471" s="50">
        <v>3105200</v>
      </c>
      <c r="I471" s="288">
        <v>26000</v>
      </c>
      <c r="J471" s="31">
        <f>РЕАЛИЗАЦИЯ[[#This Row],[СОНИ]]*РЕАЛИЗАЦИЯ[[#This Row],[ТАННАРХ]]</f>
        <v>2883400</v>
      </c>
      <c r="K471" s="31">
        <f>РЕАЛИЗАЦИЯ[[#This Row],[ЖАМИ]]-РЕАЛИЗАЦИЯ[[#This Row],[ЖАМИ2]]</f>
        <v>221800</v>
      </c>
      <c r="L471" s="31"/>
    </row>
    <row r="472" spans="1:12" ht="15" customHeight="1" x14ac:dyDescent="0.3">
      <c r="A472" s="3">
        <v>46224</v>
      </c>
      <c r="B472" s="4" t="s">
        <v>741</v>
      </c>
      <c r="C472" s="337" t="s">
        <v>973</v>
      </c>
      <c r="D472" s="337" t="s">
        <v>7</v>
      </c>
      <c r="E472" s="31">
        <v>1071.7</v>
      </c>
      <c r="F472" s="31">
        <v>23500</v>
      </c>
      <c r="G472" s="50">
        <v>25184950</v>
      </c>
      <c r="I472" s="288">
        <v>22500</v>
      </c>
      <c r="J472" s="31">
        <f>РЕАЛИЗАЦИЯ[[#This Row],[СОНИ]]*РЕАЛИЗАЦИЯ[[#This Row],[ТАННАРХ]]</f>
        <v>24113250</v>
      </c>
      <c r="K472" s="31">
        <f>РЕАЛИЗАЦИЯ[[#This Row],[ЖАМИ]]-РЕАЛИЗАЦИЯ[[#This Row],[ЖАМИ2]]</f>
        <v>1071700</v>
      </c>
      <c r="L472" s="31"/>
    </row>
    <row r="473" spans="1:12" ht="15" customHeight="1" x14ac:dyDescent="0.3">
      <c r="A473" s="3">
        <v>46224</v>
      </c>
      <c r="B473" s="4" t="s">
        <v>727</v>
      </c>
      <c r="C473" s="337" t="s">
        <v>605</v>
      </c>
      <c r="D473" s="337" t="s">
        <v>7</v>
      </c>
      <c r="E473" s="31">
        <v>117.7</v>
      </c>
      <c r="F473" s="31">
        <v>24000</v>
      </c>
      <c r="G473" s="50">
        <v>2824800</v>
      </c>
      <c r="I473" s="288">
        <v>22000</v>
      </c>
      <c r="J473" s="31">
        <f>РЕАЛИЗАЦИЯ[[#This Row],[СОНИ]]*РЕАЛИЗАЦИЯ[[#This Row],[ТАННАРХ]]</f>
        <v>2589400</v>
      </c>
      <c r="K473" s="31">
        <f>РЕАЛИЗАЦИЯ[[#This Row],[ЖАМИ]]-РЕАЛИЗАЦИЯ[[#This Row],[ЖАМИ2]]</f>
        <v>235400</v>
      </c>
      <c r="L473" s="31"/>
    </row>
    <row r="474" spans="1:12" ht="15" customHeight="1" x14ac:dyDescent="0.3">
      <c r="A474" s="3">
        <v>46224</v>
      </c>
      <c r="B474" s="4" t="s">
        <v>451</v>
      </c>
      <c r="C474" s="337" t="s">
        <v>43</v>
      </c>
      <c r="D474" s="337" t="s">
        <v>7</v>
      </c>
      <c r="E474" s="31">
        <v>92.4</v>
      </c>
      <c r="F474" s="31">
        <v>14500</v>
      </c>
      <c r="G474" s="50">
        <v>1339800</v>
      </c>
      <c r="I474" s="288">
        <v>14000</v>
      </c>
      <c r="J474" s="31">
        <f>РЕАЛИЗАЦИЯ[[#This Row],[СОНИ]]*РЕАЛИЗАЦИЯ[[#This Row],[ТАННАРХ]]</f>
        <v>1293600</v>
      </c>
      <c r="K474" s="31">
        <f>РЕАЛИЗАЦИЯ[[#This Row],[ЖАМИ]]-РЕАЛИЗАЦИЯ[[#This Row],[ЖАМИ2]]</f>
        <v>46200</v>
      </c>
      <c r="L474" s="31"/>
    </row>
    <row r="475" spans="1:12" ht="15" customHeight="1" x14ac:dyDescent="0.3">
      <c r="A475" s="3">
        <v>46224</v>
      </c>
      <c r="B475" s="4" t="s">
        <v>451</v>
      </c>
      <c r="C475" s="337" t="s">
        <v>973</v>
      </c>
      <c r="D475" s="337" t="s">
        <v>7</v>
      </c>
      <c r="E475" s="31">
        <v>49.1</v>
      </c>
      <c r="F475" s="31">
        <v>24000</v>
      </c>
      <c r="G475" s="50">
        <v>1178400</v>
      </c>
      <c r="I475" s="288">
        <v>23000</v>
      </c>
      <c r="J475" s="31">
        <f>РЕАЛИЗАЦИЯ[[#This Row],[СОНИ]]*РЕАЛИЗАЦИЯ[[#This Row],[ТАННАРХ]]</f>
        <v>1129300</v>
      </c>
      <c r="K475" s="31">
        <f>РЕАЛИЗАЦИЯ[[#This Row],[ЖАМИ]]-РЕАЛИЗАЦИЯ[[#This Row],[ЖАМИ2]]</f>
        <v>49100</v>
      </c>
      <c r="L475" s="31"/>
    </row>
    <row r="476" spans="1:12" ht="15" customHeight="1" x14ac:dyDescent="0.3">
      <c r="A476" s="3">
        <v>46224</v>
      </c>
      <c r="B476" s="4" t="s">
        <v>430</v>
      </c>
      <c r="C476" s="337" t="s">
        <v>973</v>
      </c>
      <c r="D476" s="337" t="s">
        <v>7</v>
      </c>
      <c r="E476" s="31">
        <v>47.5</v>
      </c>
      <c r="F476" s="31">
        <v>23000</v>
      </c>
      <c r="G476" s="50">
        <v>1092500</v>
      </c>
      <c r="I476" s="288">
        <v>23000</v>
      </c>
      <c r="J476" s="31">
        <f>РЕАЛИЗАЦИЯ[[#This Row],[СОНИ]]*РЕАЛИЗАЦИЯ[[#This Row],[ТАННАРХ]]</f>
        <v>1092500</v>
      </c>
      <c r="K476" s="31">
        <f>РЕАЛИЗАЦИЯ[[#This Row],[ЖАМИ]]-РЕАЛИЗАЦИЯ[[#This Row],[ЖАМИ2]]</f>
        <v>0</v>
      </c>
      <c r="L476" s="31"/>
    </row>
    <row r="477" spans="1:12" ht="15" customHeight="1" x14ac:dyDescent="0.3">
      <c r="A477" s="3">
        <v>46224</v>
      </c>
      <c r="B477" s="4" t="s">
        <v>672</v>
      </c>
      <c r="C477" s="337" t="s">
        <v>973</v>
      </c>
      <c r="D477" s="337" t="s">
        <v>7</v>
      </c>
      <c r="E477" s="31">
        <v>47.2</v>
      </c>
      <c r="F477" s="31">
        <v>22000</v>
      </c>
      <c r="G477" s="50">
        <v>1038400.0000000001</v>
      </c>
      <c r="I477" s="288">
        <v>22000</v>
      </c>
      <c r="J477" s="31">
        <f>РЕАЛИЗАЦИЯ[[#This Row],[СОНИ]]*РЕАЛИЗАЦИЯ[[#This Row],[ТАННАРХ]]</f>
        <v>1038400.0000000001</v>
      </c>
      <c r="K477" s="31">
        <f>РЕАЛИЗАЦИЯ[[#This Row],[ЖАМИ]]-РЕАЛИЗАЦИЯ[[#This Row],[ЖАМИ2]]</f>
        <v>0</v>
      </c>
      <c r="L477" s="31"/>
    </row>
    <row r="478" spans="1:12" ht="15" customHeight="1" x14ac:dyDescent="0.3">
      <c r="A478" s="3">
        <v>46224</v>
      </c>
      <c r="B478" s="4" t="s">
        <v>156</v>
      </c>
      <c r="C478" s="337" t="s">
        <v>43</v>
      </c>
      <c r="D478" s="337" t="s">
        <v>7</v>
      </c>
      <c r="E478" s="31">
        <v>422</v>
      </c>
      <c r="F478" s="31">
        <v>15500</v>
      </c>
      <c r="G478" s="50">
        <v>6541000</v>
      </c>
      <c r="I478" s="288">
        <v>14000</v>
      </c>
      <c r="J478" s="31">
        <f>РЕАЛИЗАЦИЯ[[#This Row],[СОНИ]]*РЕАЛИЗАЦИЯ[[#This Row],[ТАННАРХ]]</f>
        <v>5908000</v>
      </c>
      <c r="K478" s="31">
        <f>РЕАЛИЗАЦИЯ[[#This Row],[ЖАМИ]]-РЕАЛИЗАЦИЯ[[#This Row],[ЖАМИ2]]</f>
        <v>633000</v>
      </c>
      <c r="L478" s="31"/>
    </row>
    <row r="479" spans="1:12" ht="15" customHeight="1" x14ac:dyDescent="0.3">
      <c r="A479" s="3">
        <v>46224</v>
      </c>
      <c r="B479" s="4" t="s">
        <v>156</v>
      </c>
      <c r="C479" s="337" t="s">
        <v>973</v>
      </c>
      <c r="D479" s="337" t="s">
        <v>7</v>
      </c>
      <c r="E479" s="31">
        <v>51.1</v>
      </c>
      <c r="F479" s="31">
        <v>23500</v>
      </c>
      <c r="G479" s="50">
        <v>1200850</v>
      </c>
      <c r="I479" s="288">
        <v>23000</v>
      </c>
      <c r="J479" s="31">
        <f>РЕАЛИЗАЦИЯ[[#This Row],[СОНИ]]*РЕАЛИЗАЦИЯ[[#This Row],[ТАННАРХ]]</f>
        <v>1175300</v>
      </c>
      <c r="K479" s="31">
        <f>РЕАЛИЗАЦИЯ[[#This Row],[ЖАМИ]]-РЕАЛИЗАЦИЯ[[#This Row],[ЖАМИ2]]</f>
        <v>25550</v>
      </c>
      <c r="L479" s="31"/>
    </row>
    <row r="480" spans="1:12" ht="15" customHeight="1" x14ac:dyDescent="0.3">
      <c r="A480" s="3">
        <v>46224</v>
      </c>
      <c r="B480" s="4" t="s">
        <v>156</v>
      </c>
      <c r="C480" s="337" t="s">
        <v>973</v>
      </c>
      <c r="D480" s="337" t="s">
        <v>7</v>
      </c>
      <c r="E480" s="31">
        <v>406.9</v>
      </c>
      <c r="F480" s="31">
        <v>23500</v>
      </c>
      <c r="G480" s="50">
        <v>9562150</v>
      </c>
      <c r="I480" s="288">
        <v>23000</v>
      </c>
      <c r="J480" s="31">
        <f>РЕАЛИЗАЦИЯ[[#This Row],[СОНИ]]*РЕАЛИЗАЦИЯ[[#This Row],[ТАННАРХ]]</f>
        <v>9358700</v>
      </c>
      <c r="K480" s="31">
        <f>РЕАЛИЗАЦИЯ[[#This Row],[ЖАМИ]]-РЕАЛИЗАЦИЯ[[#This Row],[ЖАМИ2]]</f>
        <v>203450</v>
      </c>
      <c r="L480" s="31"/>
    </row>
    <row r="481" spans="1:12" ht="15" customHeight="1" x14ac:dyDescent="0.3">
      <c r="A481" s="3">
        <v>46224</v>
      </c>
      <c r="B481" s="4" t="s">
        <v>776</v>
      </c>
      <c r="C481" s="337" t="s">
        <v>43</v>
      </c>
      <c r="D481" s="337" t="s">
        <v>7</v>
      </c>
      <c r="E481" s="31">
        <v>80.099999999999994</v>
      </c>
      <c r="F481" s="31">
        <v>15000</v>
      </c>
      <c r="G481" s="50">
        <v>1201500</v>
      </c>
      <c r="I481" s="288">
        <v>14000</v>
      </c>
      <c r="J481" s="31">
        <f>РЕАЛИЗАЦИЯ[[#This Row],[СОНИ]]*РЕАЛИЗАЦИЯ[[#This Row],[ТАННАРХ]]</f>
        <v>1121400</v>
      </c>
      <c r="K481" s="31">
        <f>РЕАЛИЗАЦИЯ[[#This Row],[ЖАМИ]]-РЕАЛИЗАЦИЯ[[#This Row],[ЖАМИ2]]</f>
        <v>80100</v>
      </c>
      <c r="L481" s="31"/>
    </row>
    <row r="482" spans="1:12" ht="15" customHeight="1" x14ac:dyDescent="0.3">
      <c r="A482" s="3">
        <v>46224</v>
      </c>
      <c r="B482" s="4" t="s">
        <v>776</v>
      </c>
      <c r="C482" s="337" t="s">
        <v>973</v>
      </c>
      <c r="D482" s="337" t="s">
        <v>7</v>
      </c>
      <c r="E482" s="31">
        <v>142.1</v>
      </c>
      <c r="F482" s="31">
        <v>23000</v>
      </c>
      <c r="G482" s="50">
        <v>3268300</v>
      </c>
      <c r="I482" s="288">
        <v>23000</v>
      </c>
      <c r="J482" s="31">
        <f>РЕАЛИЗАЦИЯ[[#This Row],[СОНИ]]*РЕАЛИЗАЦИЯ[[#This Row],[ТАННАРХ]]</f>
        <v>3268300</v>
      </c>
      <c r="K482" s="31">
        <f>РЕАЛИЗАЦИЯ[[#This Row],[ЖАМИ]]-РЕАЛИЗАЦИЯ[[#This Row],[ЖАМИ2]]</f>
        <v>0</v>
      </c>
      <c r="L482" s="31"/>
    </row>
    <row r="483" spans="1:12" ht="15" customHeight="1" x14ac:dyDescent="0.3">
      <c r="A483" s="3">
        <v>46224</v>
      </c>
      <c r="B483" s="4" t="s">
        <v>552</v>
      </c>
      <c r="C483" s="337" t="s">
        <v>593</v>
      </c>
      <c r="D483" s="337" t="s">
        <v>7</v>
      </c>
      <c r="E483" s="31">
        <v>1749.6</v>
      </c>
      <c r="F483" s="31">
        <v>30000</v>
      </c>
      <c r="G483" s="50">
        <v>52488000</v>
      </c>
      <c r="I483" s="288">
        <v>25000</v>
      </c>
      <c r="J483" s="31">
        <f>РЕАЛИЗАЦИЯ[[#This Row],[СОНИ]]*РЕАЛИЗАЦИЯ[[#This Row],[ТАННАРХ]]</f>
        <v>43740000</v>
      </c>
      <c r="K483" s="31">
        <f>РЕАЛИЗАЦИЯ[[#This Row],[ЖАМИ]]-РЕАЛИЗАЦИЯ[[#This Row],[ЖАМИ2]]</f>
        <v>8748000</v>
      </c>
      <c r="L483" s="31"/>
    </row>
    <row r="484" spans="1:12" ht="15" customHeight="1" x14ac:dyDescent="0.3">
      <c r="A484" s="3">
        <v>46224</v>
      </c>
      <c r="B484" s="4" t="s">
        <v>53</v>
      </c>
      <c r="C484" s="337" t="s">
        <v>43</v>
      </c>
      <c r="D484" s="337" t="s">
        <v>7</v>
      </c>
      <c r="E484" s="31">
        <v>262.39999999999998</v>
      </c>
      <c r="F484" s="31">
        <v>14000</v>
      </c>
      <c r="G484" s="50">
        <v>3673599.9999999995</v>
      </c>
      <c r="I484" s="288">
        <v>14000</v>
      </c>
      <c r="J484" s="31">
        <f>РЕАЛИЗАЦИЯ[[#This Row],[СОНИ]]*РЕАЛИЗАЦИЯ[[#This Row],[ТАННАРХ]]</f>
        <v>3673599.9999999995</v>
      </c>
      <c r="K484" s="31">
        <f>РЕАЛИЗАЦИЯ[[#This Row],[ЖАМИ]]-РЕАЛИЗАЦИЯ[[#This Row],[ЖАМИ2]]</f>
        <v>0</v>
      </c>
      <c r="L484" s="31"/>
    </row>
    <row r="485" spans="1:12" ht="15" customHeight="1" x14ac:dyDescent="0.3">
      <c r="A485" s="3">
        <v>21.7</v>
      </c>
      <c r="B485" s="4" t="s">
        <v>53</v>
      </c>
      <c r="C485" s="338" t="s">
        <v>973</v>
      </c>
      <c r="D485" s="338" t="s">
        <v>7</v>
      </c>
      <c r="E485" s="31">
        <v>145.4</v>
      </c>
      <c r="F485" s="31">
        <v>22000</v>
      </c>
      <c r="G485" s="50">
        <f>РЕАЛИЗАЦИЯ[[#This Row],[СОНИ]]*РЕАЛИЗАЦИЯ[[#This Row],[НАРХИ]]</f>
        <v>3198800</v>
      </c>
      <c r="I485" s="288">
        <v>22000</v>
      </c>
      <c r="J485" s="31">
        <f>РЕАЛИЗАЦИЯ[[#This Row],[СОНИ]]*РЕАЛИЗАЦИЯ[[#This Row],[ТАННАРХ]]</f>
        <v>3198800</v>
      </c>
      <c r="K485" s="31">
        <f>РЕАЛИЗАЦИЯ[[#This Row],[ЖАМИ]]-РЕАЛИЗАЦИЯ[[#This Row],[ЖАМИ2]]</f>
        <v>0</v>
      </c>
      <c r="L485" s="31"/>
    </row>
    <row r="486" spans="1:12" ht="15" customHeight="1" x14ac:dyDescent="0.3">
      <c r="A486" s="3">
        <v>46225</v>
      </c>
      <c r="B486" s="4" t="s">
        <v>831</v>
      </c>
      <c r="C486" s="337" t="s">
        <v>973</v>
      </c>
      <c r="D486" s="337" t="s">
        <v>7</v>
      </c>
      <c r="E486" s="31">
        <v>316.39999999999998</v>
      </c>
      <c r="F486" s="31">
        <v>24000</v>
      </c>
      <c r="G486" s="50">
        <v>7593599.9999999991</v>
      </c>
      <c r="I486" s="288">
        <v>23000</v>
      </c>
      <c r="J486" s="31">
        <f>РЕАЛИЗАЦИЯ[[#This Row],[СОНИ]]*РЕАЛИЗАЦИЯ[[#This Row],[ТАННАРХ]]</f>
        <v>7277199.9999999991</v>
      </c>
      <c r="K486" s="31">
        <f>РЕАЛИЗАЦИЯ[[#This Row],[ЖАМИ]]-РЕАЛИЗАЦИЯ[[#This Row],[ЖАМИ2]]</f>
        <v>316400</v>
      </c>
      <c r="L486" s="31"/>
    </row>
    <row r="487" spans="1:12" ht="15" customHeight="1" x14ac:dyDescent="0.3">
      <c r="A487" s="3">
        <v>46225</v>
      </c>
      <c r="B487" s="4" t="s">
        <v>118</v>
      </c>
      <c r="C487" s="337" t="s">
        <v>973</v>
      </c>
      <c r="D487" s="337" t="s">
        <v>7</v>
      </c>
      <c r="E487" s="31">
        <v>51.6</v>
      </c>
      <c r="F487" s="31">
        <v>22000</v>
      </c>
      <c r="G487" s="50">
        <v>1135200</v>
      </c>
      <c r="I487" s="288">
        <v>22000</v>
      </c>
      <c r="J487" s="31">
        <f>РЕАЛИЗАЦИЯ[[#This Row],[СОНИ]]*РЕАЛИЗАЦИЯ[[#This Row],[ТАННАРХ]]</f>
        <v>1135200</v>
      </c>
      <c r="K487" s="31">
        <f>РЕАЛИЗАЦИЯ[[#This Row],[ЖАМИ]]-РЕАЛИЗАЦИЯ[[#This Row],[ЖАМИ2]]</f>
        <v>0</v>
      </c>
      <c r="L487" s="31"/>
    </row>
    <row r="488" spans="1:12" ht="15" customHeight="1" x14ac:dyDescent="0.3">
      <c r="A488" s="3">
        <v>46225</v>
      </c>
      <c r="B488" s="4" t="s">
        <v>983</v>
      </c>
      <c r="C488" s="337" t="s">
        <v>973</v>
      </c>
      <c r="D488" s="337" t="s">
        <v>7</v>
      </c>
      <c r="E488" s="31">
        <v>45.3</v>
      </c>
      <c r="F488" s="31">
        <v>22000</v>
      </c>
      <c r="G488" s="50">
        <v>996599.99999999988</v>
      </c>
      <c r="I488" s="288">
        <v>22000</v>
      </c>
      <c r="J488" s="31">
        <f>РЕАЛИЗАЦИЯ[[#This Row],[СОНИ]]*РЕАЛИЗАЦИЯ[[#This Row],[ТАННАРХ]]</f>
        <v>996599.99999999988</v>
      </c>
      <c r="K488" s="31">
        <f>РЕАЛИЗАЦИЯ[[#This Row],[ЖАМИ]]-РЕАЛИЗАЦИЯ[[#This Row],[ЖАМИ2]]</f>
        <v>0</v>
      </c>
      <c r="L488" s="31"/>
    </row>
    <row r="489" spans="1:12" ht="15" customHeight="1" x14ac:dyDescent="0.3">
      <c r="A489" s="3">
        <v>46225</v>
      </c>
      <c r="B489" s="4" t="s">
        <v>983</v>
      </c>
      <c r="C489" s="337" t="s">
        <v>43</v>
      </c>
      <c r="D489" s="337" t="s">
        <v>7</v>
      </c>
      <c r="E489" s="31">
        <v>43.3</v>
      </c>
      <c r="F489" s="31">
        <v>15000</v>
      </c>
      <c r="G489" s="50">
        <v>649500</v>
      </c>
      <c r="I489" s="288">
        <v>14000</v>
      </c>
      <c r="J489" s="31">
        <f>РЕАЛИЗАЦИЯ[[#This Row],[СОНИ]]*РЕАЛИЗАЦИЯ[[#This Row],[ТАННАРХ]]</f>
        <v>606200</v>
      </c>
      <c r="K489" s="31">
        <f>РЕАЛИЗАЦИЯ[[#This Row],[ЖАМИ]]-РЕАЛИЗАЦИЯ[[#This Row],[ЖАМИ2]]</f>
        <v>43300</v>
      </c>
      <c r="L489" s="31"/>
    </row>
    <row r="490" spans="1:12" ht="15" customHeight="1" x14ac:dyDescent="0.3">
      <c r="A490" s="3">
        <v>46225</v>
      </c>
      <c r="B490" s="4" t="s">
        <v>315</v>
      </c>
      <c r="C490" s="337" t="s">
        <v>973</v>
      </c>
      <c r="D490" s="337" t="s">
        <v>7</v>
      </c>
      <c r="E490" s="31">
        <v>43.6</v>
      </c>
      <c r="F490" s="31">
        <v>22000</v>
      </c>
      <c r="G490" s="50">
        <v>959200</v>
      </c>
      <c r="I490" s="288">
        <v>22000</v>
      </c>
      <c r="J490" s="31">
        <f>РЕАЛИЗАЦИЯ[[#This Row],[СОНИ]]*РЕАЛИЗАЦИЯ[[#This Row],[ТАННАРХ]]</f>
        <v>959200</v>
      </c>
      <c r="K490" s="31">
        <f>РЕАЛИЗАЦИЯ[[#This Row],[ЖАМИ]]-РЕАЛИЗАЦИЯ[[#This Row],[ЖАМИ2]]</f>
        <v>0</v>
      </c>
      <c r="L490" s="31"/>
    </row>
    <row r="491" spans="1:12" ht="15" customHeight="1" x14ac:dyDescent="0.3">
      <c r="A491" s="3">
        <v>46225</v>
      </c>
      <c r="B491" s="4" t="s">
        <v>829</v>
      </c>
      <c r="C491" s="337" t="s">
        <v>43</v>
      </c>
      <c r="D491" s="337" t="s">
        <v>7</v>
      </c>
      <c r="E491" s="31">
        <v>48.5</v>
      </c>
      <c r="F491" s="31">
        <v>16000</v>
      </c>
      <c r="G491" s="50">
        <v>776000</v>
      </c>
      <c r="I491" s="288">
        <v>14000</v>
      </c>
      <c r="J491" s="31">
        <f>РЕАЛИЗАЦИЯ[[#This Row],[СОНИ]]*РЕАЛИЗАЦИЯ[[#This Row],[ТАННАРХ]]</f>
        <v>679000</v>
      </c>
      <c r="K491" s="31">
        <f>РЕАЛИЗАЦИЯ[[#This Row],[ЖАМИ]]-РЕАЛИЗАЦИЯ[[#This Row],[ЖАМИ2]]</f>
        <v>97000</v>
      </c>
      <c r="L491" s="31"/>
    </row>
    <row r="492" spans="1:12" ht="15" customHeight="1" x14ac:dyDescent="0.3">
      <c r="A492" s="3">
        <v>46225</v>
      </c>
      <c r="B492" s="4" t="s">
        <v>812</v>
      </c>
      <c r="C492" s="337" t="s">
        <v>973</v>
      </c>
      <c r="D492" s="337" t="s">
        <v>7</v>
      </c>
      <c r="E492" s="31">
        <v>50.4</v>
      </c>
      <c r="F492" s="31">
        <v>23000</v>
      </c>
      <c r="G492" s="50">
        <v>1159200</v>
      </c>
      <c r="I492" s="288">
        <v>23000</v>
      </c>
      <c r="J492" s="31">
        <f>РЕАЛИЗАЦИЯ[[#This Row],[СОНИ]]*РЕАЛИЗАЦИЯ[[#This Row],[ТАННАРХ]]</f>
        <v>1159200</v>
      </c>
      <c r="K492" s="31">
        <f>РЕАЛИЗАЦИЯ[[#This Row],[ЖАМИ]]-РЕАЛИЗАЦИЯ[[#This Row],[ЖАМИ2]]</f>
        <v>0</v>
      </c>
      <c r="L492" s="31"/>
    </row>
    <row r="493" spans="1:12" ht="15" customHeight="1" x14ac:dyDescent="0.3">
      <c r="A493" s="3">
        <v>46225</v>
      </c>
      <c r="B493" s="4" t="s">
        <v>793</v>
      </c>
      <c r="C493" s="337" t="s">
        <v>605</v>
      </c>
      <c r="D493" s="337" t="s">
        <v>7</v>
      </c>
      <c r="E493" s="31">
        <v>980.8</v>
      </c>
      <c r="F493" s="31">
        <v>24000</v>
      </c>
      <c r="G493" s="50">
        <v>23539200</v>
      </c>
      <c r="I493" s="288">
        <v>14000</v>
      </c>
      <c r="J493" s="31">
        <f>РЕАЛИЗАЦИЯ[[#This Row],[СОНИ]]*РЕАЛИЗАЦИЯ[[#This Row],[ТАННАРХ]]</f>
        <v>13731200</v>
      </c>
      <c r="K493" s="31">
        <f>РЕАЛИЗАЦИЯ[[#This Row],[ЖАМИ]]-РЕАЛИЗАЦИЯ[[#This Row],[ЖАМИ2]]</f>
        <v>9808000</v>
      </c>
      <c r="L493" s="31"/>
    </row>
    <row r="494" spans="1:12" ht="15" customHeight="1" x14ac:dyDescent="0.3">
      <c r="A494" s="3">
        <v>46225</v>
      </c>
      <c r="B494" s="4" t="s">
        <v>190</v>
      </c>
      <c r="C494" s="337" t="s">
        <v>973</v>
      </c>
      <c r="D494" s="337" t="s">
        <v>7</v>
      </c>
      <c r="E494" s="31">
        <v>192.4</v>
      </c>
      <c r="F494" s="31">
        <v>23000</v>
      </c>
      <c r="G494" s="50">
        <v>4425200</v>
      </c>
      <c r="I494" s="288">
        <v>23000</v>
      </c>
      <c r="J494" s="31">
        <f>РЕАЛИЗАЦИЯ[[#This Row],[СОНИ]]*РЕАЛИЗАЦИЯ[[#This Row],[ТАННАРХ]]</f>
        <v>4425200</v>
      </c>
      <c r="K494" s="31">
        <f>РЕАЛИЗАЦИЯ[[#This Row],[ЖАМИ]]-РЕАЛИЗАЦИЯ[[#This Row],[ЖАМИ2]]</f>
        <v>0</v>
      </c>
      <c r="L494" s="31"/>
    </row>
    <row r="495" spans="1:12" ht="15" customHeight="1" x14ac:dyDescent="0.3">
      <c r="A495" s="3">
        <v>46225</v>
      </c>
      <c r="B495" s="4" t="s">
        <v>190</v>
      </c>
      <c r="C495" s="337" t="s">
        <v>43</v>
      </c>
      <c r="D495" s="337" t="s">
        <v>7</v>
      </c>
      <c r="E495" s="31">
        <v>98.5</v>
      </c>
      <c r="F495" s="31">
        <v>15000</v>
      </c>
      <c r="G495" s="50">
        <v>1477500</v>
      </c>
      <c r="I495" s="288">
        <v>14000</v>
      </c>
      <c r="J495" s="31">
        <f>РЕАЛИЗАЦИЯ[[#This Row],[СОНИ]]*РЕАЛИЗАЦИЯ[[#This Row],[ТАННАРХ]]</f>
        <v>1379000</v>
      </c>
      <c r="K495" s="31">
        <f>РЕАЛИЗАЦИЯ[[#This Row],[ЖАМИ]]-РЕАЛИЗАЦИЯ[[#This Row],[ЖАМИ2]]</f>
        <v>98500</v>
      </c>
      <c r="L495" s="31"/>
    </row>
    <row r="496" spans="1:12" s="338" customFormat="1" ht="15" customHeight="1" x14ac:dyDescent="0.3">
      <c r="A496" s="3">
        <v>46225</v>
      </c>
      <c r="B496" s="4" t="s">
        <v>808</v>
      </c>
      <c r="C496" s="337" t="s">
        <v>973</v>
      </c>
      <c r="D496" s="337" t="s">
        <v>7</v>
      </c>
      <c r="E496" s="31">
        <v>46</v>
      </c>
      <c r="F496" s="31">
        <v>23000</v>
      </c>
      <c r="G496" s="50">
        <v>1058000</v>
      </c>
      <c r="H496" s="31"/>
      <c r="I496" s="288">
        <v>23000</v>
      </c>
      <c r="J496" s="31">
        <f>РЕАЛИЗАЦИЯ[[#This Row],[СОНИ]]*РЕАЛИЗАЦИЯ[[#This Row],[ТАННАРХ]]</f>
        <v>1058000</v>
      </c>
      <c r="K496" s="31">
        <f>РЕАЛИЗАЦИЯ[[#This Row],[ЖАМИ]]-РЕАЛИЗАЦИЯ[[#This Row],[ЖАМИ2]]</f>
        <v>0</v>
      </c>
      <c r="L496" s="31"/>
    </row>
    <row r="497" spans="1:12" ht="15" customHeight="1" x14ac:dyDescent="0.3">
      <c r="A497" s="336">
        <v>46225</v>
      </c>
      <c r="B497" s="343" t="s">
        <v>246</v>
      </c>
      <c r="C497" s="337" t="s">
        <v>973</v>
      </c>
      <c r="D497" s="337" t="s">
        <v>7</v>
      </c>
      <c r="E497" s="31">
        <v>94.6</v>
      </c>
      <c r="F497" s="31">
        <v>23000</v>
      </c>
      <c r="G497" s="50">
        <v>2175800</v>
      </c>
      <c r="I497" s="288">
        <v>23000</v>
      </c>
      <c r="J497" s="31">
        <f>РЕАЛИЗАЦИЯ[[#This Row],[СОНИ]]*РЕАЛИЗАЦИЯ[[#This Row],[ТАННАРХ]]</f>
        <v>2175800</v>
      </c>
      <c r="K497" s="31">
        <f>РЕАЛИЗАЦИЯ[[#This Row],[ЖАМИ]]-РЕАЛИЗАЦИЯ[[#This Row],[ЖАМИ2]]</f>
        <v>0</v>
      </c>
      <c r="L497" s="31"/>
    </row>
    <row r="498" spans="1:12" ht="15" customHeight="1" x14ac:dyDescent="0.3">
      <c r="C498" s="345"/>
      <c r="D498" s="96"/>
      <c r="G498" s="50">
        <f>РЕАЛИЗАЦИЯ[[#This Row],[СОНИ]]*РЕАЛИЗАЦИЯ[[#This Row],[НАРХИ]]</f>
        <v>0</v>
      </c>
      <c r="I498" s="94"/>
      <c r="J498" s="31">
        <f>РЕАЛИЗАЦИЯ[[#This Row],[СОНИ]]*РЕАЛИЗАЦИЯ[[#This Row],[ТАННАРХ]]</f>
        <v>0</v>
      </c>
      <c r="K498" s="31">
        <f>РЕАЛИЗАЦИЯ[[#This Row],[ЖАМИ]]-РЕАЛИЗАЦИЯ[[#This Row],[ЖАМИ2]]</f>
        <v>0</v>
      </c>
      <c r="L498" s="31"/>
    </row>
    <row r="499" spans="1:12" ht="15" customHeight="1" x14ac:dyDescent="0.3">
      <c r="C499" s="345"/>
      <c r="D499" s="96"/>
      <c r="G499" s="50">
        <f>РЕАЛИЗАЦИЯ[[#This Row],[СОНИ]]*РЕАЛИЗАЦИЯ[[#This Row],[НАРХИ]]</f>
        <v>0</v>
      </c>
      <c r="I499" s="94"/>
      <c r="J499" s="31">
        <f>РЕАЛИЗАЦИЯ[[#This Row],[СОНИ]]*РЕАЛИЗАЦИЯ[[#This Row],[ТАННАРХ]]</f>
        <v>0</v>
      </c>
      <c r="K499" s="31">
        <f>РЕАЛИЗАЦИЯ[[#This Row],[ЖАМИ]]-РЕАЛИЗАЦИЯ[[#This Row],[ЖАМИ2]]</f>
        <v>0</v>
      </c>
      <c r="L499" s="31"/>
    </row>
    <row r="500" spans="1:12" ht="15" customHeight="1" x14ac:dyDescent="0.3">
      <c r="C500" s="345"/>
      <c r="D500" s="96"/>
      <c r="G500" s="50">
        <f>РЕАЛИЗАЦИЯ[[#This Row],[СОНИ]]*РЕАЛИЗАЦИЯ[[#This Row],[НАРХИ]]</f>
        <v>0</v>
      </c>
      <c r="I500" s="94"/>
      <c r="J500" s="31">
        <f>РЕАЛИЗАЦИЯ[[#This Row],[СОНИ]]*РЕАЛИЗАЦИЯ[[#This Row],[ТАННАРХ]]</f>
        <v>0</v>
      </c>
      <c r="K500" s="31">
        <f>РЕАЛИЗАЦИЯ[[#This Row],[ЖАМИ]]-РЕАЛИЗАЦИЯ[[#This Row],[ЖАМИ2]]</f>
        <v>0</v>
      </c>
      <c r="L500" s="31"/>
    </row>
    <row r="501" spans="1:12" ht="15" customHeight="1" x14ac:dyDescent="0.3">
      <c r="C501" s="345"/>
      <c r="D501" s="96"/>
      <c r="G501" s="50">
        <f>РЕАЛИЗАЦИЯ[[#This Row],[СОНИ]]*РЕАЛИЗАЦИЯ[[#This Row],[НАРХИ]]</f>
        <v>0</v>
      </c>
      <c r="I501" s="94"/>
      <c r="J501" s="31">
        <f>РЕАЛИЗАЦИЯ[[#This Row],[СОНИ]]*РЕАЛИЗАЦИЯ[[#This Row],[ТАННАРХ]]</f>
        <v>0</v>
      </c>
      <c r="K501" s="31">
        <f>РЕАЛИЗАЦИЯ[[#This Row],[ЖАМИ]]-РЕАЛИЗАЦИЯ[[#This Row],[ЖАМИ2]]</f>
        <v>0</v>
      </c>
      <c r="L501" s="31"/>
    </row>
    <row r="502" spans="1:12" ht="15" customHeight="1" x14ac:dyDescent="0.3">
      <c r="C502" s="345"/>
      <c r="D502" s="139"/>
      <c r="G502" s="50">
        <f>РЕАЛИЗАЦИЯ[[#This Row],[СОНИ]]*РЕАЛИЗАЦИЯ[[#This Row],[НАРХИ]]</f>
        <v>0</v>
      </c>
      <c r="I502" s="132"/>
      <c r="J502" s="31">
        <f>РЕАЛИЗАЦИЯ[[#This Row],[СОНИ]]*РЕАЛИЗАЦИЯ[[#This Row],[ТАННАРХ]]</f>
        <v>0</v>
      </c>
      <c r="K502" s="31">
        <f>РЕАЛИЗАЦИЯ[[#This Row],[ЖАМИ]]-РЕАЛИЗАЦИЯ[[#This Row],[ЖАМИ2]]</f>
        <v>0</v>
      </c>
      <c r="L502" s="31"/>
    </row>
    <row r="503" spans="1:12" ht="15" customHeight="1" x14ac:dyDescent="0.3">
      <c r="C503" s="345"/>
      <c r="D503" s="96"/>
      <c r="G503" s="50">
        <f>РЕАЛИЗАЦИЯ[[#This Row],[СОНИ]]*РЕАЛИЗАЦИЯ[[#This Row],[НАРХИ]]</f>
        <v>0</v>
      </c>
      <c r="I503" s="94"/>
      <c r="J503" s="31">
        <f>РЕАЛИЗАЦИЯ[[#This Row],[СОНИ]]*РЕАЛИЗАЦИЯ[[#This Row],[ТАННАРХ]]</f>
        <v>0</v>
      </c>
      <c r="K503" s="31">
        <f>РЕАЛИЗАЦИЯ[[#This Row],[ЖАМИ]]-РЕАЛИЗАЦИЯ[[#This Row],[ЖАМИ2]]</f>
        <v>0</v>
      </c>
      <c r="L503" s="31"/>
    </row>
    <row r="504" spans="1:12" ht="15" customHeight="1" x14ac:dyDescent="0.3">
      <c r="C504" s="96"/>
      <c r="D504" s="96"/>
      <c r="G504" s="50">
        <f>РЕАЛИЗАЦИЯ[[#This Row],[СОНИ]]*РЕАЛИЗАЦИЯ[[#This Row],[НАРХИ]]</f>
        <v>0</v>
      </c>
      <c r="I504" s="94"/>
      <c r="J504" s="31">
        <f>РЕАЛИЗАЦИЯ[[#This Row],[СОНИ]]*РЕАЛИЗАЦИЯ[[#This Row],[ТАННАРХ]]</f>
        <v>0</v>
      </c>
      <c r="K504" s="31">
        <f>РЕАЛИЗАЦИЯ[[#This Row],[ЖАМИ]]-РЕАЛИЗАЦИЯ[[#This Row],[ЖАМИ2]]</f>
        <v>0</v>
      </c>
      <c r="L504" s="31"/>
    </row>
    <row r="505" spans="1:12" ht="15" customHeight="1" x14ac:dyDescent="0.3">
      <c r="C505" s="345"/>
      <c r="D505" s="96"/>
      <c r="G505" s="50">
        <f>РЕАЛИЗАЦИЯ[[#This Row],[СОНИ]]*РЕАЛИЗАЦИЯ[[#This Row],[НАРХИ]]</f>
        <v>0</v>
      </c>
      <c r="I505" s="94"/>
      <c r="J505" s="31">
        <f>РЕАЛИЗАЦИЯ[[#This Row],[СОНИ]]*РЕАЛИЗАЦИЯ[[#This Row],[ТАННАРХ]]</f>
        <v>0</v>
      </c>
      <c r="K505" s="31">
        <f>РЕАЛИЗАЦИЯ[[#This Row],[ЖАМИ]]-РЕАЛИЗАЦИЯ[[#This Row],[ЖАМИ2]]</f>
        <v>0</v>
      </c>
      <c r="L505" s="31"/>
    </row>
    <row r="506" spans="1:12" ht="15" customHeight="1" x14ac:dyDescent="0.3">
      <c r="C506" s="345"/>
      <c r="D506" s="96"/>
      <c r="G506" s="50">
        <f>РЕАЛИЗАЦИЯ[[#This Row],[СОНИ]]*РЕАЛИЗАЦИЯ[[#This Row],[НАРХИ]]</f>
        <v>0</v>
      </c>
      <c r="I506" s="94"/>
      <c r="J506" s="31">
        <f>РЕАЛИЗАЦИЯ[[#This Row],[СОНИ]]*РЕАЛИЗАЦИЯ[[#This Row],[ТАННАРХ]]</f>
        <v>0</v>
      </c>
      <c r="K506" s="31">
        <f>РЕАЛИЗАЦИЯ[[#This Row],[ЖАМИ]]-РЕАЛИЗАЦИЯ[[#This Row],[ЖАМИ2]]</f>
        <v>0</v>
      </c>
      <c r="L506" s="31"/>
    </row>
    <row r="507" spans="1:12" ht="15" customHeight="1" x14ac:dyDescent="0.3">
      <c r="C507" s="96"/>
      <c r="D507" s="96"/>
      <c r="G507" s="50">
        <f>РЕАЛИЗАЦИЯ[[#This Row],[СОНИ]]*РЕАЛИЗАЦИЯ[[#This Row],[НАРХИ]]</f>
        <v>0</v>
      </c>
      <c r="I507" s="94"/>
      <c r="J507" s="31">
        <f>РЕАЛИЗАЦИЯ[[#This Row],[СОНИ]]*РЕАЛИЗАЦИЯ[[#This Row],[ТАННАРХ]]</f>
        <v>0</v>
      </c>
      <c r="K507" s="31">
        <f>РЕАЛИЗАЦИЯ[[#This Row],[ЖАМИ]]-РЕАЛИЗАЦИЯ[[#This Row],[ЖАМИ2]]</f>
        <v>0</v>
      </c>
      <c r="L507" s="31"/>
    </row>
    <row r="508" spans="1:12" ht="15" customHeight="1" x14ac:dyDescent="0.3">
      <c r="C508" s="345"/>
      <c r="D508" s="96"/>
      <c r="G508" s="50">
        <f>РЕАЛИЗАЦИЯ[[#This Row],[СОНИ]]*РЕАЛИЗАЦИЯ[[#This Row],[НАРХИ]]</f>
        <v>0</v>
      </c>
      <c r="I508" s="94"/>
      <c r="J508" s="31">
        <f>РЕАЛИЗАЦИЯ[[#This Row],[СОНИ]]*РЕАЛИЗАЦИЯ[[#This Row],[ТАННАРХ]]</f>
        <v>0</v>
      </c>
      <c r="K508" s="31">
        <f>РЕАЛИЗАЦИЯ[[#This Row],[ЖАМИ]]-РЕАЛИЗАЦИЯ[[#This Row],[ЖАМИ2]]</f>
        <v>0</v>
      </c>
      <c r="L508" s="31"/>
    </row>
    <row r="509" spans="1:12" ht="15" customHeight="1" x14ac:dyDescent="0.3">
      <c r="C509" s="345"/>
      <c r="D509" s="96"/>
      <c r="G509" s="50">
        <f>РЕАЛИЗАЦИЯ[[#This Row],[СОНИ]]*РЕАЛИЗАЦИЯ[[#This Row],[НАРХИ]]</f>
        <v>0</v>
      </c>
      <c r="I509" s="94"/>
      <c r="J509" s="31">
        <f>РЕАЛИЗАЦИЯ[[#This Row],[СОНИ]]*РЕАЛИЗАЦИЯ[[#This Row],[ТАННАРХ]]</f>
        <v>0</v>
      </c>
      <c r="K509" s="31">
        <f>РЕАЛИЗАЦИЯ[[#This Row],[ЖАМИ]]-РЕАЛИЗАЦИЯ[[#This Row],[ЖАМИ2]]</f>
        <v>0</v>
      </c>
      <c r="L509" s="31"/>
    </row>
    <row r="510" spans="1:12" ht="15" customHeight="1" x14ac:dyDescent="0.3">
      <c r="C510" s="345"/>
      <c r="D510" s="96"/>
      <c r="G510" s="50">
        <f>РЕАЛИЗАЦИЯ[[#This Row],[СОНИ]]*РЕАЛИЗАЦИЯ[[#This Row],[НАРХИ]]</f>
        <v>0</v>
      </c>
      <c r="I510" s="94"/>
      <c r="J510" s="31">
        <f>РЕАЛИЗАЦИЯ[[#This Row],[СОНИ]]*РЕАЛИЗАЦИЯ[[#This Row],[ТАННАРХ]]</f>
        <v>0</v>
      </c>
      <c r="K510" s="31">
        <f>РЕАЛИЗАЦИЯ[[#This Row],[ЖАМИ]]-РЕАЛИЗАЦИЯ[[#This Row],[ЖАМИ2]]</f>
        <v>0</v>
      </c>
      <c r="L510" s="31"/>
    </row>
    <row r="511" spans="1:12" ht="15" customHeight="1" x14ac:dyDescent="0.3">
      <c r="C511" s="345"/>
      <c r="D511" s="96"/>
      <c r="G511" s="50">
        <f>РЕАЛИЗАЦИЯ[[#This Row],[СОНИ]]*РЕАЛИЗАЦИЯ[[#This Row],[НАРХИ]]</f>
        <v>0</v>
      </c>
      <c r="I511" s="94"/>
      <c r="J511" s="31">
        <f>РЕАЛИЗАЦИЯ[[#This Row],[СОНИ]]*РЕАЛИЗАЦИЯ[[#This Row],[ТАННАРХ]]</f>
        <v>0</v>
      </c>
      <c r="K511" s="31">
        <f>РЕАЛИЗАЦИЯ[[#This Row],[ЖАМИ]]-РЕАЛИЗАЦИЯ[[#This Row],[ЖАМИ2]]</f>
        <v>0</v>
      </c>
      <c r="L511" s="31"/>
    </row>
    <row r="512" spans="1:12" ht="15" customHeight="1" x14ac:dyDescent="0.3">
      <c r="C512" s="96"/>
      <c r="D512" s="96"/>
      <c r="G512" s="50">
        <f>РЕАЛИЗАЦИЯ[[#This Row],[СОНИ]]*РЕАЛИЗАЦИЯ[[#This Row],[НАРХИ]]</f>
        <v>0</v>
      </c>
      <c r="I512" s="94"/>
      <c r="J512" s="31">
        <f>РЕАЛИЗАЦИЯ[[#This Row],[СОНИ]]*РЕАЛИЗАЦИЯ[[#This Row],[ТАННАРХ]]</f>
        <v>0</v>
      </c>
      <c r="K512" s="31">
        <f>РЕАЛИЗАЦИЯ[[#This Row],[ЖАМИ]]-РЕАЛИЗАЦИЯ[[#This Row],[ЖАМИ2]]</f>
        <v>0</v>
      </c>
      <c r="L512" s="31"/>
    </row>
    <row r="513" spans="3:12" ht="15" customHeight="1" x14ac:dyDescent="0.3">
      <c r="C513" s="358"/>
      <c r="D513" s="96"/>
      <c r="G513" s="50">
        <f>РЕАЛИЗАЦИЯ[[#This Row],[СОНИ]]*РЕАЛИЗАЦИЯ[[#This Row],[НАРХИ]]</f>
        <v>0</v>
      </c>
      <c r="I513" s="94"/>
      <c r="J513" s="31">
        <f>РЕАЛИЗАЦИЯ[[#This Row],[СОНИ]]*РЕАЛИЗАЦИЯ[[#This Row],[ТАННАРХ]]</f>
        <v>0</v>
      </c>
      <c r="K513" s="31">
        <f>РЕАЛИЗАЦИЯ[[#This Row],[ЖАМИ]]-РЕАЛИЗАЦИЯ[[#This Row],[ЖАМИ2]]</f>
        <v>0</v>
      </c>
      <c r="L513" s="31"/>
    </row>
    <row r="514" spans="3:12" ht="15" customHeight="1" x14ac:dyDescent="0.3">
      <c r="C514" s="358"/>
      <c r="D514" s="96"/>
      <c r="G514" s="50">
        <f>РЕАЛИЗАЦИЯ[[#This Row],[СОНИ]]*РЕАЛИЗАЦИЯ[[#This Row],[НАРХИ]]</f>
        <v>0</v>
      </c>
      <c r="I514" s="94"/>
      <c r="J514" s="31">
        <f>РЕАЛИЗАЦИЯ[[#This Row],[СОНИ]]*РЕАЛИЗАЦИЯ[[#This Row],[ТАННАРХ]]</f>
        <v>0</v>
      </c>
      <c r="K514" s="31">
        <f>РЕАЛИЗАЦИЯ[[#This Row],[ЖАМИ]]-РЕАЛИЗАЦИЯ[[#This Row],[ЖАМИ2]]</f>
        <v>0</v>
      </c>
      <c r="L514" s="31"/>
    </row>
    <row r="515" spans="3:12" ht="15" customHeight="1" x14ac:dyDescent="0.3">
      <c r="C515" s="358"/>
      <c r="D515" s="96"/>
      <c r="G515" s="50">
        <f>РЕАЛИЗАЦИЯ[[#This Row],[СОНИ]]*РЕАЛИЗАЦИЯ[[#This Row],[НАРХИ]]</f>
        <v>0</v>
      </c>
      <c r="I515" s="94"/>
      <c r="J515" s="31">
        <f>РЕАЛИЗАЦИЯ[[#This Row],[СОНИ]]*РЕАЛИЗАЦИЯ[[#This Row],[ТАННАРХ]]</f>
        <v>0</v>
      </c>
      <c r="K515" s="31">
        <f>РЕАЛИЗАЦИЯ[[#This Row],[ЖАМИ]]-РЕАЛИЗАЦИЯ[[#This Row],[ЖАМИ2]]</f>
        <v>0</v>
      </c>
      <c r="L515" s="31"/>
    </row>
    <row r="516" spans="3:12" ht="15" customHeight="1" x14ac:dyDescent="0.3">
      <c r="C516" s="358"/>
      <c r="D516" s="96"/>
      <c r="G516" s="50">
        <f>РЕАЛИЗАЦИЯ[[#This Row],[СОНИ]]*РЕАЛИЗАЦИЯ[[#This Row],[НАРХИ]]</f>
        <v>0</v>
      </c>
      <c r="I516" s="94"/>
      <c r="J516" s="31">
        <f>РЕАЛИЗАЦИЯ[[#This Row],[СОНИ]]*РЕАЛИЗАЦИЯ[[#This Row],[ТАННАРХ]]</f>
        <v>0</v>
      </c>
      <c r="K516" s="31">
        <f>РЕАЛИЗАЦИЯ[[#This Row],[ЖАМИ]]-РЕАЛИЗАЦИЯ[[#This Row],[ЖАМИ2]]</f>
        <v>0</v>
      </c>
      <c r="L516" s="31"/>
    </row>
    <row r="517" spans="3:12" x14ac:dyDescent="0.3">
      <c r="C517" s="358"/>
      <c r="D517" s="96"/>
      <c r="G517" s="50">
        <f>РЕАЛИЗАЦИЯ[[#This Row],[СОНИ]]*РЕАЛИЗАЦИЯ[[#This Row],[НАРХИ]]</f>
        <v>0</v>
      </c>
      <c r="I517" s="94"/>
      <c r="J517" s="31">
        <f>РЕАЛИЗАЦИЯ[[#This Row],[СОНИ]]*РЕАЛИЗАЦИЯ[[#This Row],[ТАННАРХ]]</f>
        <v>0</v>
      </c>
      <c r="K517" s="31">
        <f>РЕАЛИЗАЦИЯ[[#This Row],[ЖАМИ]]-РЕАЛИЗАЦИЯ[[#This Row],[ЖАМИ2]]</f>
        <v>0</v>
      </c>
      <c r="L517" s="31"/>
    </row>
    <row r="518" spans="3:12" x14ac:dyDescent="0.3">
      <c r="C518" s="358"/>
      <c r="D518" s="96"/>
      <c r="G518" s="50">
        <f>РЕАЛИЗАЦИЯ[[#This Row],[СОНИ]]*РЕАЛИЗАЦИЯ[[#This Row],[НАРХИ]]</f>
        <v>0</v>
      </c>
      <c r="I518" s="94"/>
      <c r="J518" s="31">
        <f>РЕАЛИЗАЦИЯ[[#This Row],[СОНИ]]*РЕАЛИЗАЦИЯ[[#This Row],[ТАННАРХ]]</f>
        <v>0</v>
      </c>
      <c r="K518" s="31">
        <f>РЕАЛИЗАЦИЯ[[#This Row],[ЖАМИ]]-РЕАЛИЗАЦИЯ[[#This Row],[ЖАМИ2]]</f>
        <v>0</v>
      </c>
      <c r="L518" s="31"/>
    </row>
    <row r="519" spans="3:12" ht="15" customHeight="1" x14ac:dyDescent="0.3">
      <c r="C519" s="358"/>
      <c r="D519" s="96"/>
      <c r="G519" s="50">
        <f>РЕАЛИЗАЦИЯ[[#This Row],[СОНИ]]*РЕАЛИЗАЦИЯ[[#This Row],[НАРХИ]]</f>
        <v>0</v>
      </c>
      <c r="I519" s="94"/>
      <c r="J519" s="31">
        <f>РЕАЛИЗАЦИЯ[[#This Row],[СОНИ]]*РЕАЛИЗАЦИЯ[[#This Row],[ТАННАРХ]]</f>
        <v>0</v>
      </c>
      <c r="K519" s="31">
        <f>РЕАЛИЗАЦИЯ[[#This Row],[ЖАМИ]]-РЕАЛИЗАЦИЯ[[#This Row],[ЖАМИ2]]</f>
        <v>0</v>
      </c>
      <c r="L519" s="31"/>
    </row>
    <row r="520" spans="3:12" ht="15" customHeight="1" x14ac:dyDescent="0.3">
      <c r="C520" s="96"/>
      <c r="D520" s="96"/>
      <c r="G520" s="50">
        <f>РЕАЛИЗАЦИЯ[[#This Row],[СОНИ]]*РЕАЛИЗАЦИЯ[[#This Row],[НАРХИ]]</f>
        <v>0</v>
      </c>
      <c r="I520" s="94"/>
      <c r="J520" s="31">
        <f>РЕАЛИЗАЦИЯ[[#This Row],[СОНИ]]*РЕАЛИЗАЦИЯ[[#This Row],[ТАННАРХ]]</f>
        <v>0</v>
      </c>
      <c r="K520" s="31">
        <f>РЕАЛИЗАЦИЯ[[#This Row],[ЖАМИ]]-РЕАЛИЗАЦИЯ[[#This Row],[ЖАМИ2]]</f>
        <v>0</v>
      </c>
      <c r="L520" s="31"/>
    </row>
    <row r="521" spans="3:12" ht="15" customHeight="1" x14ac:dyDescent="0.3">
      <c r="C521" s="96"/>
      <c r="D521" s="96"/>
      <c r="G521" s="50">
        <f>РЕАЛИЗАЦИЯ[[#This Row],[СОНИ]]*РЕАЛИЗАЦИЯ[[#This Row],[НАРХИ]]</f>
        <v>0</v>
      </c>
      <c r="I521" s="94"/>
      <c r="J521" s="31">
        <f>РЕАЛИЗАЦИЯ[[#This Row],[СОНИ]]*РЕАЛИЗАЦИЯ[[#This Row],[ТАННАРХ]]</f>
        <v>0</v>
      </c>
      <c r="K521" s="31">
        <f>РЕАЛИЗАЦИЯ[[#This Row],[ЖАМИ]]-РЕАЛИЗАЦИЯ[[#This Row],[ЖАМИ2]]</f>
        <v>0</v>
      </c>
      <c r="L521" s="31"/>
    </row>
    <row r="522" spans="3:12" ht="15" customHeight="1" x14ac:dyDescent="0.3">
      <c r="C522" s="96"/>
      <c r="D522" s="96"/>
      <c r="G522" s="50">
        <f>РЕАЛИЗАЦИЯ[[#This Row],[СОНИ]]*РЕАЛИЗАЦИЯ[[#This Row],[НАРХИ]]</f>
        <v>0</v>
      </c>
      <c r="I522" s="94"/>
      <c r="J522" s="31">
        <f>РЕАЛИЗАЦИЯ[[#This Row],[СОНИ]]*РЕАЛИЗАЦИЯ[[#This Row],[ТАННАРХ]]</f>
        <v>0</v>
      </c>
      <c r="K522" s="31">
        <f>РЕАЛИЗАЦИЯ[[#This Row],[ЖАМИ]]-РЕАЛИЗАЦИЯ[[#This Row],[ЖАМИ2]]</f>
        <v>0</v>
      </c>
      <c r="L522" s="31"/>
    </row>
    <row r="523" spans="3:12" x14ac:dyDescent="0.3">
      <c r="C523" s="96"/>
      <c r="D523" s="96"/>
      <c r="G523" s="50">
        <f>РЕАЛИЗАЦИЯ[[#This Row],[СОНИ]]*РЕАЛИЗАЦИЯ[[#This Row],[НАРХИ]]</f>
        <v>0</v>
      </c>
      <c r="I523" s="94"/>
      <c r="J523" s="31">
        <f>РЕАЛИЗАЦИЯ[[#This Row],[СОНИ]]*РЕАЛИЗАЦИЯ[[#This Row],[ТАННАРХ]]</f>
        <v>0</v>
      </c>
      <c r="K523" s="31">
        <f>РЕАЛИЗАЦИЯ[[#This Row],[ЖАМИ]]-РЕАЛИЗАЦИЯ[[#This Row],[ЖАМИ2]]</f>
        <v>0</v>
      </c>
      <c r="L523" s="31"/>
    </row>
    <row r="524" spans="3:12" ht="15" customHeight="1" x14ac:dyDescent="0.3">
      <c r="C524" s="96"/>
      <c r="D524" s="96"/>
      <c r="G524" s="50">
        <f>РЕАЛИЗАЦИЯ[[#This Row],[СОНИ]]*РЕАЛИЗАЦИЯ[[#This Row],[НАРХИ]]</f>
        <v>0</v>
      </c>
      <c r="I524" s="94"/>
      <c r="J524" s="31">
        <f>РЕАЛИЗАЦИЯ[[#This Row],[СОНИ]]*РЕАЛИЗАЦИЯ[[#This Row],[ТАННАРХ]]</f>
        <v>0</v>
      </c>
      <c r="K524" s="31">
        <f>РЕАЛИЗАЦИЯ[[#This Row],[ЖАМИ]]-РЕАЛИЗАЦИЯ[[#This Row],[ЖАМИ2]]</f>
        <v>0</v>
      </c>
      <c r="L524" s="31"/>
    </row>
    <row r="525" spans="3:12" ht="15" customHeight="1" x14ac:dyDescent="0.3">
      <c r="C525" s="96"/>
      <c r="D525" s="96"/>
      <c r="G525" s="50">
        <f>РЕАЛИЗАЦИЯ[[#This Row],[СОНИ]]*РЕАЛИЗАЦИЯ[[#This Row],[НАРХИ]]</f>
        <v>0</v>
      </c>
      <c r="I525" s="94"/>
      <c r="J525" s="31">
        <f>РЕАЛИЗАЦИЯ[[#This Row],[СОНИ]]*РЕАЛИЗАЦИЯ[[#This Row],[ТАННАРХ]]</f>
        <v>0</v>
      </c>
      <c r="K525" s="31">
        <f>РЕАЛИЗАЦИЯ[[#This Row],[ЖАМИ]]-РЕАЛИЗАЦИЯ[[#This Row],[ЖАМИ2]]</f>
        <v>0</v>
      </c>
      <c r="L525" s="31"/>
    </row>
    <row r="526" spans="3:12" ht="15" customHeight="1" x14ac:dyDescent="0.3">
      <c r="C526" s="96"/>
      <c r="D526" s="96"/>
      <c r="G526" s="50">
        <f>РЕАЛИЗАЦИЯ[[#This Row],[СОНИ]]*РЕАЛИЗАЦИЯ[[#This Row],[НАРХИ]]</f>
        <v>0</v>
      </c>
      <c r="I526" s="94"/>
      <c r="J526" s="31">
        <f>РЕАЛИЗАЦИЯ[[#This Row],[СОНИ]]*РЕАЛИЗАЦИЯ[[#This Row],[ТАННАРХ]]</f>
        <v>0</v>
      </c>
      <c r="K526" s="31">
        <f>РЕАЛИЗАЦИЯ[[#This Row],[ЖАМИ]]-РЕАЛИЗАЦИЯ[[#This Row],[ЖАМИ2]]</f>
        <v>0</v>
      </c>
      <c r="L526" s="31"/>
    </row>
    <row r="527" spans="3:12" ht="15" customHeight="1" x14ac:dyDescent="0.3">
      <c r="C527" s="96"/>
      <c r="D527" s="96"/>
      <c r="G527" s="50">
        <f>РЕАЛИЗАЦИЯ[[#This Row],[СОНИ]]*РЕАЛИЗАЦИЯ[[#This Row],[НАРХИ]]</f>
        <v>0</v>
      </c>
      <c r="I527" s="94"/>
      <c r="J527" s="31">
        <f>РЕАЛИЗАЦИЯ[[#This Row],[СОНИ]]*РЕАЛИЗАЦИЯ[[#This Row],[ТАННАРХ]]</f>
        <v>0</v>
      </c>
      <c r="K527" s="31">
        <f>РЕАЛИЗАЦИЯ[[#This Row],[ЖАМИ]]-РЕАЛИЗАЦИЯ[[#This Row],[ЖАМИ2]]</f>
        <v>0</v>
      </c>
      <c r="L527" s="31"/>
    </row>
    <row r="528" spans="3:12" ht="15" customHeight="1" x14ac:dyDescent="0.3">
      <c r="C528" s="96"/>
      <c r="D528" s="96"/>
      <c r="G528" s="50">
        <f>РЕАЛИЗАЦИЯ[[#This Row],[СОНИ]]*РЕАЛИЗАЦИЯ[[#This Row],[НАРХИ]]</f>
        <v>0</v>
      </c>
      <c r="I528" s="94"/>
      <c r="J528" s="31">
        <f>РЕАЛИЗАЦИЯ[[#This Row],[СОНИ]]*РЕАЛИЗАЦИЯ[[#This Row],[ТАННАРХ]]</f>
        <v>0</v>
      </c>
      <c r="K528" s="31">
        <f>РЕАЛИЗАЦИЯ[[#This Row],[ЖАМИ]]-РЕАЛИЗАЦИЯ[[#This Row],[ЖАМИ2]]</f>
        <v>0</v>
      </c>
      <c r="L528" s="31"/>
    </row>
    <row r="529" spans="3:12" ht="15" customHeight="1" x14ac:dyDescent="0.3">
      <c r="C529" s="96"/>
      <c r="D529" s="96"/>
      <c r="G529" s="50">
        <f>РЕАЛИЗАЦИЯ[[#This Row],[СОНИ]]*РЕАЛИЗАЦИЯ[[#This Row],[НАРХИ]]</f>
        <v>0</v>
      </c>
      <c r="I529" s="94"/>
      <c r="J529" s="31">
        <f>РЕАЛИЗАЦИЯ[[#This Row],[СОНИ]]*РЕАЛИЗАЦИЯ[[#This Row],[ТАННАРХ]]</f>
        <v>0</v>
      </c>
      <c r="K529" s="31">
        <f>РЕАЛИЗАЦИЯ[[#This Row],[ЖАМИ]]-РЕАЛИЗАЦИЯ[[#This Row],[ЖАМИ2]]</f>
        <v>0</v>
      </c>
      <c r="L529" s="31"/>
    </row>
    <row r="530" spans="3:12" ht="15" customHeight="1" x14ac:dyDescent="0.3">
      <c r="C530" s="96"/>
      <c r="D530" s="96"/>
      <c r="G530" s="50">
        <f>РЕАЛИЗАЦИЯ[[#This Row],[СОНИ]]*РЕАЛИЗАЦИЯ[[#This Row],[НАРХИ]]</f>
        <v>0</v>
      </c>
      <c r="I530" s="94"/>
      <c r="J530" s="31">
        <f>РЕАЛИЗАЦИЯ[[#This Row],[СОНИ]]*РЕАЛИЗАЦИЯ[[#This Row],[ТАННАРХ]]</f>
        <v>0</v>
      </c>
      <c r="K530" s="31">
        <f>РЕАЛИЗАЦИЯ[[#This Row],[ЖАМИ]]-РЕАЛИЗАЦИЯ[[#This Row],[ЖАМИ2]]</f>
        <v>0</v>
      </c>
      <c r="L530" s="31"/>
    </row>
    <row r="531" spans="3:12" ht="15" customHeight="1" x14ac:dyDescent="0.3">
      <c r="C531" s="96"/>
      <c r="D531" s="96"/>
      <c r="G531" s="50">
        <f>РЕАЛИЗАЦИЯ[[#This Row],[СОНИ]]*РЕАЛИЗАЦИЯ[[#This Row],[НАРХИ]]</f>
        <v>0</v>
      </c>
      <c r="I531" s="94"/>
      <c r="J531" s="31">
        <f>РЕАЛИЗАЦИЯ[[#This Row],[СОНИ]]*РЕАЛИЗАЦИЯ[[#This Row],[ТАННАРХ]]</f>
        <v>0</v>
      </c>
      <c r="K531" s="31">
        <f>РЕАЛИЗАЦИЯ[[#This Row],[ЖАМИ]]-РЕАЛИЗАЦИЯ[[#This Row],[ЖАМИ2]]</f>
        <v>0</v>
      </c>
      <c r="L531" s="31"/>
    </row>
    <row r="532" spans="3:12" ht="15" customHeight="1" x14ac:dyDescent="0.3">
      <c r="C532" s="96"/>
      <c r="D532" s="96"/>
      <c r="G532" s="50">
        <f>РЕАЛИЗАЦИЯ[[#This Row],[СОНИ]]*РЕАЛИЗАЦИЯ[[#This Row],[НАРХИ]]</f>
        <v>0</v>
      </c>
      <c r="I532" s="94"/>
      <c r="J532" s="31">
        <f>РЕАЛИЗАЦИЯ[[#This Row],[СОНИ]]*РЕАЛИЗАЦИЯ[[#This Row],[ТАННАРХ]]</f>
        <v>0</v>
      </c>
      <c r="K532" s="31">
        <f>РЕАЛИЗАЦИЯ[[#This Row],[ЖАМИ]]-РЕАЛИЗАЦИЯ[[#This Row],[ЖАМИ2]]</f>
        <v>0</v>
      </c>
      <c r="L532" s="31"/>
    </row>
    <row r="533" spans="3:12" x14ac:dyDescent="0.3">
      <c r="C533" s="96"/>
      <c r="D533" s="96"/>
      <c r="G533" s="50">
        <f>РЕАЛИЗАЦИЯ[[#This Row],[СОНИ]]*РЕАЛИЗАЦИЯ[[#This Row],[НАРХИ]]</f>
        <v>0</v>
      </c>
      <c r="I533" s="94"/>
      <c r="J533" s="31">
        <f>РЕАЛИЗАЦИЯ[[#This Row],[СОНИ]]*РЕАЛИЗАЦИЯ[[#This Row],[ТАННАРХ]]</f>
        <v>0</v>
      </c>
      <c r="K533" s="31">
        <f>РЕАЛИЗАЦИЯ[[#This Row],[ЖАМИ]]-РЕАЛИЗАЦИЯ[[#This Row],[ЖАМИ2]]</f>
        <v>0</v>
      </c>
      <c r="L533" s="31"/>
    </row>
    <row r="534" spans="3:12" ht="15" customHeight="1" x14ac:dyDescent="0.3">
      <c r="C534" s="96"/>
      <c r="D534" s="96"/>
      <c r="G534" s="50">
        <f>РЕАЛИЗАЦИЯ[[#This Row],[СОНИ]]*РЕАЛИЗАЦИЯ[[#This Row],[НАРХИ]]</f>
        <v>0</v>
      </c>
      <c r="I534" s="94"/>
      <c r="J534" s="31">
        <f>РЕАЛИЗАЦИЯ[[#This Row],[СОНИ]]*РЕАЛИЗАЦИЯ[[#This Row],[ТАННАРХ]]</f>
        <v>0</v>
      </c>
      <c r="K534" s="31">
        <f>РЕАЛИЗАЦИЯ[[#This Row],[ЖАМИ]]-РЕАЛИЗАЦИЯ[[#This Row],[ЖАМИ2]]</f>
        <v>0</v>
      </c>
      <c r="L534" s="31"/>
    </row>
    <row r="535" spans="3:12" ht="15" customHeight="1" x14ac:dyDescent="0.3">
      <c r="C535" s="96"/>
      <c r="D535" s="96"/>
      <c r="G535" s="50">
        <f>РЕАЛИЗАЦИЯ[[#This Row],[СОНИ]]*РЕАЛИЗАЦИЯ[[#This Row],[НАРХИ]]</f>
        <v>0</v>
      </c>
      <c r="I535" s="94"/>
      <c r="J535" s="31">
        <f>РЕАЛИЗАЦИЯ[[#This Row],[СОНИ]]*РЕАЛИЗАЦИЯ[[#This Row],[ТАННАРХ]]</f>
        <v>0</v>
      </c>
      <c r="K535" s="31">
        <f>РЕАЛИЗАЦИЯ[[#This Row],[ЖАМИ]]-РЕАЛИЗАЦИЯ[[#This Row],[ЖАМИ2]]</f>
        <v>0</v>
      </c>
      <c r="L535" s="31"/>
    </row>
    <row r="536" spans="3:12" ht="15" customHeight="1" x14ac:dyDescent="0.3">
      <c r="C536" s="96"/>
      <c r="D536" s="96"/>
      <c r="G536" s="50">
        <f>РЕАЛИЗАЦИЯ[[#This Row],[СОНИ]]*РЕАЛИЗАЦИЯ[[#This Row],[НАРХИ]]</f>
        <v>0</v>
      </c>
      <c r="I536" s="94"/>
      <c r="J536" s="31">
        <f>РЕАЛИЗАЦИЯ[[#This Row],[СОНИ]]*РЕАЛИЗАЦИЯ[[#This Row],[ТАННАРХ]]</f>
        <v>0</v>
      </c>
      <c r="K536" s="31">
        <f>РЕАЛИЗАЦИЯ[[#This Row],[ЖАМИ]]-РЕАЛИЗАЦИЯ[[#This Row],[ЖАМИ2]]</f>
        <v>0</v>
      </c>
      <c r="L536" s="31"/>
    </row>
    <row r="537" spans="3:12" ht="15" customHeight="1" x14ac:dyDescent="0.3">
      <c r="C537" s="96"/>
      <c r="D537" s="96"/>
      <c r="G537" s="50">
        <f>РЕАЛИЗАЦИЯ[[#This Row],[СОНИ]]*РЕАЛИЗАЦИЯ[[#This Row],[НАРХИ]]</f>
        <v>0</v>
      </c>
      <c r="I537" s="94"/>
      <c r="J537" s="31">
        <f>РЕАЛИЗАЦИЯ[[#This Row],[СОНИ]]*РЕАЛИЗАЦИЯ[[#This Row],[ТАННАРХ]]</f>
        <v>0</v>
      </c>
      <c r="K537" s="31">
        <f>РЕАЛИЗАЦИЯ[[#This Row],[ЖАМИ]]-РЕАЛИЗАЦИЯ[[#This Row],[ЖАМИ2]]</f>
        <v>0</v>
      </c>
      <c r="L537" s="31"/>
    </row>
    <row r="538" spans="3:12" ht="15" customHeight="1" x14ac:dyDescent="0.3">
      <c r="C538" s="96"/>
      <c r="D538" s="96"/>
      <c r="G538" s="50">
        <f>РЕАЛИЗАЦИЯ[[#This Row],[СОНИ]]*РЕАЛИЗАЦИЯ[[#This Row],[НАРХИ]]</f>
        <v>0</v>
      </c>
      <c r="I538" s="94"/>
      <c r="J538" s="31">
        <f>РЕАЛИЗАЦИЯ[[#This Row],[СОНИ]]*РЕАЛИЗАЦИЯ[[#This Row],[ТАННАРХ]]</f>
        <v>0</v>
      </c>
      <c r="K538" s="31">
        <f>РЕАЛИЗАЦИЯ[[#This Row],[ЖАМИ]]-РЕАЛИЗАЦИЯ[[#This Row],[ЖАМИ2]]</f>
        <v>0</v>
      </c>
      <c r="L538" s="31"/>
    </row>
    <row r="539" spans="3:12" ht="15" customHeight="1" x14ac:dyDescent="0.3">
      <c r="C539" s="96"/>
      <c r="D539" s="96"/>
      <c r="G539" s="50">
        <f>РЕАЛИЗАЦИЯ[[#This Row],[СОНИ]]*РЕАЛИЗАЦИЯ[[#This Row],[НАРХИ]]</f>
        <v>0</v>
      </c>
      <c r="I539" s="94"/>
      <c r="J539" s="31">
        <f>РЕАЛИЗАЦИЯ[[#This Row],[СОНИ]]*РЕАЛИЗАЦИЯ[[#This Row],[ТАННАРХ]]</f>
        <v>0</v>
      </c>
      <c r="K539" s="31">
        <f>РЕАЛИЗАЦИЯ[[#This Row],[ЖАМИ]]-РЕАЛИЗАЦИЯ[[#This Row],[ЖАМИ2]]</f>
        <v>0</v>
      </c>
      <c r="L539" s="31"/>
    </row>
    <row r="540" spans="3:12" ht="15" customHeight="1" x14ac:dyDescent="0.3">
      <c r="C540" s="96"/>
      <c r="D540" s="96"/>
      <c r="G540" s="50">
        <f>РЕАЛИЗАЦИЯ[[#This Row],[СОНИ]]*РЕАЛИЗАЦИЯ[[#This Row],[НАРХИ]]</f>
        <v>0</v>
      </c>
      <c r="I540" s="94"/>
      <c r="J540" s="31">
        <f>РЕАЛИЗАЦИЯ[[#This Row],[СОНИ]]*РЕАЛИЗАЦИЯ[[#This Row],[ТАННАРХ]]</f>
        <v>0</v>
      </c>
      <c r="K540" s="31">
        <f>РЕАЛИЗАЦИЯ[[#This Row],[ЖАМИ]]-РЕАЛИЗАЦИЯ[[#This Row],[ЖАМИ2]]</f>
        <v>0</v>
      </c>
      <c r="L540" s="31"/>
    </row>
    <row r="541" spans="3:12" ht="15" customHeight="1" x14ac:dyDescent="0.3">
      <c r="C541" s="96"/>
      <c r="D541" s="96"/>
      <c r="G541" s="50">
        <f>РЕАЛИЗАЦИЯ[[#This Row],[СОНИ]]*РЕАЛИЗАЦИЯ[[#This Row],[НАРХИ]]</f>
        <v>0</v>
      </c>
      <c r="I541" s="94"/>
      <c r="J541" s="31">
        <f>РЕАЛИЗАЦИЯ[[#This Row],[СОНИ]]*РЕАЛИЗАЦИЯ[[#This Row],[ТАННАРХ]]</f>
        <v>0</v>
      </c>
      <c r="K541" s="31">
        <f>РЕАЛИЗАЦИЯ[[#This Row],[ЖАМИ]]-РЕАЛИЗАЦИЯ[[#This Row],[ЖАМИ2]]</f>
        <v>0</v>
      </c>
      <c r="L541" s="31"/>
    </row>
    <row r="542" spans="3:12" ht="15" customHeight="1" x14ac:dyDescent="0.3">
      <c r="C542" s="96"/>
      <c r="D542" s="96"/>
      <c r="G542" s="50">
        <f>РЕАЛИЗАЦИЯ[[#This Row],[СОНИ]]*РЕАЛИЗАЦИЯ[[#This Row],[НАРХИ]]</f>
        <v>0</v>
      </c>
      <c r="I542" s="94"/>
      <c r="J542" s="31">
        <f>РЕАЛИЗАЦИЯ[[#This Row],[СОНИ]]*РЕАЛИЗАЦИЯ[[#This Row],[ТАННАРХ]]</f>
        <v>0</v>
      </c>
      <c r="K542" s="31">
        <f>РЕАЛИЗАЦИЯ[[#This Row],[ЖАМИ]]-РЕАЛИЗАЦИЯ[[#This Row],[ЖАМИ2]]</f>
        <v>0</v>
      </c>
      <c r="L542" s="31"/>
    </row>
    <row r="543" spans="3:12" ht="15" customHeight="1" x14ac:dyDescent="0.3">
      <c r="C543" s="96"/>
      <c r="D543" s="96"/>
      <c r="G543" s="50">
        <f>РЕАЛИЗАЦИЯ[[#This Row],[СОНИ]]*РЕАЛИЗАЦИЯ[[#This Row],[НАРХИ]]</f>
        <v>0</v>
      </c>
      <c r="I543" s="94"/>
      <c r="J543" s="31">
        <f>РЕАЛИЗАЦИЯ[[#This Row],[СОНИ]]*РЕАЛИЗАЦИЯ[[#This Row],[ТАННАРХ]]</f>
        <v>0</v>
      </c>
      <c r="K543" s="31">
        <f>РЕАЛИЗАЦИЯ[[#This Row],[ЖАМИ]]-РЕАЛИЗАЦИЯ[[#This Row],[ЖАМИ2]]</f>
        <v>0</v>
      </c>
      <c r="L543" s="31"/>
    </row>
    <row r="544" spans="3:12" ht="15" customHeight="1" x14ac:dyDescent="0.3">
      <c r="C544" s="96"/>
      <c r="D544" s="96"/>
      <c r="G544" s="50">
        <f>РЕАЛИЗАЦИЯ[[#This Row],[СОНИ]]*РЕАЛИЗАЦИЯ[[#This Row],[НАРХИ]]</f>
        <v>0</v>
      </c>
      <c r="I544" s="94"/>
      <c r="J544" s="31">
        <f>РЕАЛИЗАЦИЯ[[#This Row],[СОНИ]]*РЕАЛИЗАЦИЯ[[#This Row],[ТАННАРХ]]</f>
        <v>0</v>
      </c>
      <c r="K544" s="31">
        <f>РЕАЛИЗАЦИЯ[[#This Row],[ЖАМИ]]-РЕАЛИЗАЦИЯ[[#This Row],[ЖАМИ2]]</f>
        <v>0</v>
      </c>
      <c r="L544" s="31"/>
    </row>
    <row r="545" spans="3:12" ht="15" customHeight="1" x14ac:dyDescent="0.3">
      <c r="C545" s="96"/>
      <c r="D545" s="96"/>
      <c r="G545" s="50">
        <f>РЕАЛИЗАЦИЯ[[#This Row],[СОНИ]]*РЕАЛИЗАЦИЯ[[#This Row],[НАРХИ]]</f>
        <v>0</v>
      </c>
      <c r="I545" s="94"/>
      <c r="J545" s="31">
        <f>РЕАЛИЗАЦИЯ[[#This Row],[СОНИ]]*РЕАЛИЗАЦИЯ[[#This Row],[ТАННАРХ]]</f>
        <v>0</v>
      </c>
      <c r="K545" s="31">
        <f>РЕАЛИЗАЦИЯ[[#This Row],[ЖАМИ]]-РЕАЛИЗАЦИЯ[[#This Row],[ЖАМИ2]]</f>
        <v>0</v>
      </c>
      <c r="L545" s="31"/>
    </row>
    <row r="546" spans="3:12" ht="15" customHeight="1" x14ac:dyDescent="0.3">
      <c r="C546" s="96"/>
      <c r="D546" s="96"/>
      <c r="G546" s="50">
        <f>РЕАЛИЗАЦИЯ[[#This Row],[СОНИ]]*РЕАЛИЗАЦИЯ[[#This Row],[НАРХИ]]</f>
        <v>0</v>
      </c>
      <c r="I546" s="94"/>
      <c r="J546" s="31">
        <f>РЕАЛИЗАЦИЯ[[#This Row],[СОНИ]]*РЕАЛИЗАЦИЯ[[#This Row],[ТАННАРХ]]</f>
        <v>0</v>
      </c>
      <c r="K546" s="31">
        <f>РЕАЛИЗАЦИЯ[[#This Row],[ЖАМИ]]-РЕАЛИЗАЦИЯ[[#This Row],[ЖАМИ2]]</f>
        <v>0</v>
      </c>
      <c r="L546" s="31"/>
    </row>
    <row r="547" spans="3:12" ht="15" customHeight="1" x14ac:dyDescent="0.3">
      <c r="C547" s="96"/>
      <c r="D547" s="96"/>
      <c r="G547" s="50">
        <f>РЕАЛИЗАЦИЯ[[#This Row],[СОНИ]]*РЕАЛИЗАЦИЯ[[#This Row],[НАРХИ]]</f>
        <v>0</v>
      </c>
      <c r="I547" s="94"/>
      <c r="J547" s="31">
        <f>РЕАЛИЗАЦИЯ[[#This Row],[СОНИ]]*РЕАЛИЗАЦИЯ[[#This Row],[ТАННАРХ]]</f>
        <v>0</v>
      </c>
      <c r="K547" s="31">
        <f>РЕАЛИЗАЦИЯ[[#This Row],[ЖАМИ]]-РЕАЛИЗАЦИЯ[[#This Row],[ЖАМИ2]]</f>
        <v>0</v>
      </c>
      <c r="L547" s="31"/>
    </row>
    <row r="548" spans="3:12" ht="15" customHeight="1" x14ac:dyDescent="0.3">
      <c r="C548" s="96"/>
      <c r="D548" s="96"/>
      <c r="G548" s="50">
        <f>РЕАЛИЗАЦИЯ[[#This Row],[СОНИ]]*РЕАЛИЗАЦИЯ[[#This Row],[НАРХИ]]</f>
        <v>0</v>
      </c>
      <c r="I548" s="94"/>
      <c r="J548" s="31">
        <f>РЕАЛИЗАЦИЯ[[#This Row],[СОНИ]]*РЕАЛИЗАЦИЯ[[#This Row],[ТАННАРХ]]</f>
        <v>0</v>
      </c>
      <c r="K548" s="31">
        <f>РЕАЛИЗАЦИЯ[[#This Row],[ЖАМИ]]-РЕАЛИЗАЦИЯ[[#This Row],[ЖАМИ2]]</f>
        <v>0</v>
      </c>
      <c r="L548" s="31"/>
    </row>
    <row r="549" spans="3:12" ht="15" customHeight="1" x14ac:dyDescent="0.3">
      <c r="C549" s="96"/>
      <c r="D549" s="96"/>
      <c r="G549" s="50">
        <f>РЕАЛИЗАЦИЯ[[#This Row],[СОНИ]]*РЕАЛИЗАЦИЯ[[#This Row],[НАРХИ]]</f>
        <v>0</v>
      </c>
      <c r="I549" s="94"/>
      <c r="J549" s="31">
        <f>РЕАЛИЗАЦИЯ[[#This Row],[СОНИ]]*РЕАЛИЗАЦИЯ[[#This Row],[ТАННАРХ]]</f>
        <v>0</v>
      </c>
      <c r="K549" s="31">
        <f>РЕАЛИЗАЦИЯ[[#This Row],[ЖАМИ]]-РЕАЛИЗАЦИЯ[[#This Row],[ЖАМИ2]]</f>
        <v>0</v>
      </c>
      <c r="L549" s="31"/>
    </row>
    <row r="550" spans="3:12" ht="15" customHeight="1" x14ac:dyDescent="0.3">
      <c r="C550" s="96"/>
      <c r="D550" s="96"/>
      <c r="G550" s="50">
        <f>РЕАЛИЗАЦИЯ[[#This Row],[СОНИ]]*РЕАЛИЗАЦИЯ[[#This Row],[НАРХИ]]</f>
        <v>0</v>
      </c>
      <c r="I550" s="94"/>
      <c r="J550" s="31">
        <f>РЕАЛИЗАЦИЯ[[#This Row],[СОНИ]]*РЕАЛИЗАЦИЯ[[#This Row],[ТАННАРХ]]</f>
        <v>0</v>
      </c>
      <c r="K550" s="31">
        <f>РЕАЛИЗАЦИЯ[[#This Row],[ЖАМИ]]-РЕАЛИЗАЦИЯ[[#This Row],[ЖАМИ2]]</f>
        <v>0</v>
      </c>
      <c r="L550" s="31"/>
    </row>
    <row r="551" spans="3:12" ht="15" customHeight="1" x14ac:dyDescent="0.3">
      <c r="C551" s="96"/>
      <c r="D551" s="96"/>
      <c r="G551" s="50">
        <f>РЕАЛИЗАЦИЯ[[#This Row],[СОНИ]]*РЕАЛИЗАЦИЯ[[#This Row],[НАРХИ]]</f>
        <v>0</v>
      </c>
      <c r="I551" s="94"/>
      <c r="J551" s="31">
        <f>РЕАЛИЗАЦИЯ[[#This Row],[СОНИ]]*РЕАЛИЗАЦИЯ[[#This Row],[ТАННАРХ]]</f>
        <v>0</v>
      </c>
      <c r="K551" s="31">
        <f>РЕАЛИЗАЦИЯ[[#This Row],[ЖАМИ]]-РЕАЛИЗАЦИЯ[[#This Row],[ЖАМИ2]]</f>
        <v>0</v>
      </c>
      <c r="L551" s="31"/>
    </row>
    <row r="552" spans="3:12" ht="15" customHeight="1" x14ac:dyDescent="0.3">
      <c r="C552" s="96"/>
      <c r="D552" s="96"/>
      <c r="G552" s="50">
        <f>РЕАЛИЗАЦИЯ[[#This Row],[СОНИ]]*РЕАЛИЗАЦИЯ[[#This Row],[НАРХИ]]</f>
        <v>0</v>
      </c>
      <c r="I552" s="94"/>
      <c r="J552" s="31">
        <f>РЕАЛИЗАЦИЯ[[#This Row],[СОНИ]]*РЕАЛИЗАЦИЯ[[#This Row],[ТАННАРХ]]</f>
        <v>0</v>
      </c>
      <c r="K552" s="31">
        <f>РЕАЛИЗАЦИЯ[[#This Row],[ЖАМИ]]-РЕАЛИЗАЦИЯ[[#This Row],[ЖАМИ2]]</f>
        <v>0</v>
      </c>
      <c r="L552" s="31"/>
    </row>
    <row r="553" spans="3:12" ht="15" customHeight="1" x14ac:dyDescent="0.3">
      <c r="C553" s="96"/>
      <c r="D553" s="96"/>
      <c r="G553" s="50">
        <f>РЕАЛИЗАЦИЯ[[#This Row],[СОНИ]]*РЕАЛИЗАЦИЯ[[#This Row],[НАРХИ]]</f>
        <v>0</v>
      </c>
      <c r="I553" s="94"/>
      <c r="J553" s="31">
        <f>РЕАЛИЗАЦИЯ[[#This Row],[СОНИ]]*РЕАЛИЗАЦИЯ[[#This Row],[ТАННАРХ]]</f>
        <v>0</v>
      </c>
      <c r="K553" s="31">
        <f>РЕАЛИЗАЦИЯ[[#This Row],[ЖАМИ]]-РЕАЛИЗАЦИЯ[[#This Row],[ЖАМИ2]]</f>
        <v>0</v>
      </c>
      <c r="L553" s="31"/>
    </row>
    <row r="554" spans="3:12" ht="15" customHeight="1" x14ac:dyDescent="0.3">
      <c r="C554" s="96"/>
      <c r="D554" s="96"/>
      <c r="G554" s="50">
        <f>РЕАЛИЗАЦИЯ[[#This Row],[СОНИ]]*РЕАЛИЗАЦИЯ[[#This Row],[НАРХИ]]</f>
        <v>0</v>
      </c>
      <c r="I554" s="94"/>
      <c r="J554" s="31">
        <f>РЕАЛИЗАЦИЯ[[#This Row],[СОНИ]]*РЕАЛИЗАЦИЯ[[#This Row],[ТАННАРХ]]</f>
        <v>0</v>
      </c>
      <c r="K554" s="31">
        <f>РЕАЛИЗАЦИЯ[[#This Row],[ЖАМИ]]-РЕАЛИЗАЦИЯ[[#This Row],[ЖАМИ2]]</f>
        <v>0</v>
      </c>
      <c r="L554" s="31"/>
    </row>
    <row r="555" spans="3:12" ht="15" customHeight="1" x14ac:dyDescent="0.3">
      <c r="C555" s="96"/>
      <c r="D555" s="96"/>
      <c r="G555" s="50">
        <f>РЕАЛИЗАЦИЯ[[#This Row],[СОНИ]]*РЕАЛИЗАЦИЯ[[#This Row],[НАРХИ]]</f>
        <v>0</v>
      </c>
      <c r="I555" s="94"/>
      <c r="J555" s="31">
        <f>РЕАЛИЗАЦИЯ[[#This Row],[СОНИ]]*РЕАЛИЗАЦИЯ[[#This Row],[ТАННАРХ]]</f>
        <v>0</v>
      </c>
      <c r="K555" s="31">
        <f>РЕАЛИЗАЦИЯ[[#This Row],[ЖАМИ]]-РЕАЛИЗАЦИЯ[[#This Row],[ЖАМИ2]]</f>
        <v>0</v>
      </c>
      <c r="L555" s="31"/>
    </row>
    <row r="556" spans="3:12" ht="15" customHeight="1" x14ac:dyDescent="0.3">
      <c r="C556" s="96"/>
      <c r="D556" s="96"/>
      <c r="G556" s="50">
        <f>РЕАЛИЗАЦИЯ[[#This Row],[СОНИ]]*РЕАЛИЗАЦИЯ[[#This Row],[НАРХИ]]</f>
        <v>0</v>
      </c>
      <c r="I556" s="94"/>
      <c r="J556" s="31">
        <f>РЕАЛИЗАЦИЯ[[#This Row],[СОНИ]]*РЕАЛИЗАЦИЯ[[#This Row],[ТАННАРХ]]</f>
        <v>0</v>
      </c>
      <c r="K556" s="31">
        <f>РЕАЛИЗАЦИЯ[[#This Row],[ЖАМИ]]-РЕАЛИЗАЦИЯ[[#This Row],[ЖАМИ2]]</f>
        <v>0</v>
      </c>
      <c r="L556" s="31"/>
    </row>
    <row r="557" spans="3:12" ht="15" customHeight="1" x14ac:dyDescent="0.3">
      <c r="C557" s="96"/>
      <c r="D557" s="96"/>
      <c r="G557" s="50">
        <f>РЕАЛИЗАЦИЯ[[#This Row],[СОНИ]]*РЕАЛИЗАЦИЯ[[#This Row],[НАРХИ]]</f>
        <v>0</v>
      </c>
      <c r="I557" s="94"/>
      <c r="J557" s="31">
        <f>РЕАЛИЗАЦИЯ[[#This Row],[СОНИ]]*РЕАЛИЗАЦИЯ[[#This Row],[ТАННАРХ]]</f>
        <v>0</v>
      </c>
      <c r="K557" s="31">
        <f>РЕАЛИЗАЦИЯ[[#This Row],[ЖАМИ]]-РЕАЛИЗАЦИЯ[[#This Row],[ЖАМИ2]]</f>
        <v>0</v>
      </c>
      <c r="L557" s="31"/>
    </row>
    <row r="558" spans="3:12" ht="15" customHeight="1" x14ac:dyDescent="0.3">
      <c r="C558" s="96"/>
      <c r="D558" s="96"/>
      <c r="G558" s="50">
        <f>РЕАЛИЗАЦИЯ[[#This Row],[СОНИ]]*РЕАЛИЗАЦИЯ[[#This Row],[НАРХИ]]</f>
        <v>0</v>
      </c>
      <c r="I558" s="94"/>
      <c r="J558" s="31">
        <f>РЕАЛИЗАЦИЯ[[#This Row],[СОНИ]]*РЕАЛИЗАЦИЯ[[#This Row],[ТАННАРХ]]</f>
        <v>0</v>
      </c>
      <c r="K558" s="31">
        <f>РЕАЛИЗАЦИЯ[[#This Row],[ЖАМИ]]-РЕАЛИЗАЦИЯ[[#This Row],[ЖАМИ2]]</f>
        <v>0</v>
      </c>
      <c r="L558" s="31"/>
    </row>
    <row r="559" spans="3:12" ht="15" customHeight="1" x14ac:dyDescent="0.3">
      <c r="C559" s="96"/>
      <c r="D559" s="96"/>
      <c r="G559" s="50">
        <f>РЕАЛИЗАЦИЯ[[#This Row],[СОНИ]]*РЕАЛИЗАЦИЯ[[#This Row],[НАРХИ]]</f>
        <v>0</v>
      </c>
      <c r="I559" s="94"/>
      <c r="J559" s="31">
        <f>РЕАЛИЗАЦИЯ[[#This Row],[СОНИ]]*РЕАЛИЗАЦИЯ[[#This Row],[ТАННАРХ]]</f>
        <v>0</v>
      </c>
      <c r="K559" s="31">
        <f>РЕАЛИЗАЦИЯ[[#This Row],[ЖАМИ]]-РЕАЛИЗАЦИЯ[[#This Row],[ЖАМИ2]]</f>
        <v>0</v>
      </c>
      <c r="L559" s="31"/>
    </row>
    <row r="560" spans="3:12" ht="15" customHeight="1" x14ac:dyDescent="0.3">
      <c r="C560" s="96"/>
      <c r="D560" s="96"/>
      <c r="G560" s="50">
        <f>РЕАЛИЗАЦИЯ[[#This Row],[СОНИ]]*РЕАЛИЗАЦИЯ[[#This Row],[НАРХИ]]</f>
        <v>0</v>
      </c>
      <c r="I560" s="94"/>
      <c r="J560" s="31">
        <f>РЕАЛИЗАЦИЯ[[#This Row],[СОНИ]]*РЕАЛИЗАЦИЯ[[#This Row],[ТАННАРХ]]</f>
        <v>0</v>
      </c>
      <c r="K560" s="31">
        <f>РЕАЛИЗАЦИЯ[[#This Row],[ЖАМИ]]-РЕАЛИЗАЦИЯ[[#This Row],[ЖАМИ2]]</f>
        <v>0</v>
      </c>
      <c r="L560" s="31"/>
    </row>
    <row r="561" spans="3:12" ht="15" customHeight="1" x14ac:dyDescent="0.3">
      <c r="C561" s="96"/>
      <c r="D561" s="96"/>
      <c r="G561" s="50">
        <f>РЕАЛИЗАЦИЯ[[#This Row],[СОНИ]]*РЕАЛИЗАЦИЯ[[#This Row],[НАРХИ]]</f>
        <v>0</v>
      </c>
      <c r="I561" s="94"/>
      <c r="J561" s="31">
        <f>РЕАЛИЗАЦИЯ[[#This Row],[СОНИ]]*РЕАЛИЗАЦИЯ[[#This Row],[ТАННАРХ]]</f>
        <v>0</v>
      </c>
      <c r="K561" s="31">
        <f>РЕАЛИЗАЦИЯ[[#This Row],[ЖАМИ]]-РЕАЛИЗАЦИЯ[[#This Row],[ЖАМИ2]]</f>
        <v>0</v>
      </c>
      <c r="L561" s="31"/>
    </row>
    <row r="562" spans="3:12" ht="15" customHeight="1" x14ac:dyDescent="0.3">
      <c r="C562" s="96"/>
      <c r="D562" s="96"/>
      <c r="G562" s="50">
        <f>РЕАЛИЗАЦИЯ[[#This Row],[СОНИ]]*РЕАЛИЗАЦИЯ[[#This Row],[НАРХИ]]</f>
        <v>0</v>
      </c>
      <c r="I562" s="94"/>
      <c r="J562" s="31">
        <f>РЕАЛИЗАЦИЯ[[#This Row],[СОНИ]]*РЕАЛИЗАЦИЯ[[#This Row],[ТАННАРХ]]</f>
        <v>0</v>
      </c>
      <c r="K562" s="31">
        <f>РЕАЛИЗАЦИЯ[[#This Row],[ЖАМИ]]-РЕАЛИЗАЦИЯ[[#This Row],[ЖАМИ2]]</f>
        <v>0</v>
      </c>
      <c r="L562" s="31"/>
    </row>
    <row r="563" spans="3:12" ht="15" customHeight="1" x14ac:dyDescent="0.3">
      <c r="C563" s="96"/>
      <c r="D563" s="96"/>
      <c r="G563" s="50">
        <f>РЕАЛИЗАЦИЯ[[#This Row],[СОНИ]]*РЕАЛИЗАЦИЯ[[#This Row],[НАРХИ]]</f>
        <v>0</v>
      </c>
      <c r="I563" s="94"/>
      <c r="J563" s="31">
        <f>РЕАЛИЗАЦИЯ[[#This Row],[СОНИ]]*РЕАЛИЗАЦИЯ[[#This Row],[ТАННАРХ]]</f>
        <v>0</v>
      </c>
      <c r="K563" s="31">
        <f>РЕАЛИЗАЦИЯ[[#This Row],[ЖАМИ]]-РЕАЛИЗАЦИЯ[[#This Row],[ЖАМИ2]]</f>
        <v>0</v>
      </c>
      <c r="L563" s="31"/>
    </row>
    <row r="564" spans="3:12" ht="15" customHeight="1" x14ac:dyDescent="0.3">
      <c r="C564" s="96"/>
      <c r="D564" s="96"/>
      <c r="G564" s="50">
        <f>РЕАЛИЗАЦИЯ[[#This Row],[СОНИ]]*РЕАЛИЗАЦИЯ[[#This Row],[НАРХИ]]</f>
        <v>0</v>
      </c>
      <c r="I564" s="94"/>
      <c r="J564" s="31">
        <f>РЕАЛИЗАЦИЯ[[#This Row],[СОНИ]]*РЕАЛИЗАЦИЯ[[#This Row],[ТАННАРХ]]</f>
        <v>0</v>
      </c>
      <c r="K564" s="31">
        <f>РЕАЛИЗАЦИЯ[[#This Row],[ЖАМИ]]-РЕАЛИЗАЦИЯ[[#This Row],[ЖАМИ2]]</f>
        <v>0</v>
      </c>
      <c r="L564" s="31"/>
    </row>
    <row r="565" spans="3:12" ht="15" customHeight="1" x14ac:dyDescent="0.3">
      <c r="C565" s="96"/>
      <c r="D565" s="96"/>
      <c r="G565" s="50">
        <f>РЕАЛИЗАЦИЯ[[#This Row],[СОНИ]]*РЕАЛИЗАЦИЯ[[#This Row],[НАРХИ]]</f>
        <v>0</v>
      </c>
      <c r="I565" s="94"/>
      <c r="J565" s="31">
        <f>РЕАЛИЗАЦИЯ[[#This Row],[СОНИ]]*РЕАЛИЗАЦИЯ[[#This Row],[ТАННАРХ]]</f>
        <v>0</v>
      </c>
      <c r="K565" s="31">
        <f>РЕАЛИЗАЦИЯ[[#This Row],[ЖАМИ]]-РЕАЛИЗАЦИЯ[[#This Row],[ЖАМИ2]]</f>
        <v>0</v>
      </c>
      <c r="L565" s="31"/>
    </row>
    <row r="566" spans="3:12" ht="15" customHeight="1" x14ac:dyDescent="0.3">
      <c r="C566" s="96"/>
      <c r="D566" s="96"/>
      <c r="G566" s="50">
        <f>РЕАЛИЗАЦИЯ[[#This Row],[СОНИ]]*РЕАЛИЗАЦИЯ[[#This Row],[НАРХИ]]</f>
        <v>0</v>
      </c>
      <c r="I566" s="94"/>
      <c r="J566" s="31">
        <f>РЕАЛИЗАЦИЯ[[#This Row],[СОНИ]]*РЕАЛИЗАЦИЯ[[#This Row],[ТАННАРХ]]</f>
        <v>0</v>
      </c>
      <c r="K566" s="31">
        <f>РЕАЛИЗАЦИЯ[[#This Row],[ЖАМИ]]-РЕАЛИЗАЦИЯ[[#This Row],[ЖАМИ2]]</f>
        <v>0</v>
      </c>
      <c r="L566" s="31"/>
    </row>
    <row r="567" spans="3:12" ht="15" customHeight="1" x14ac:dyDescent="0.3">
      <c r="C567" s="96"/>
      <c r="D567" s="96"/>
      <c r="G567" s="50">
        <f>РЕАЛИЗАЦИЯ[[#This Row],[СОНИ]]*РЕАЛИЗАЦИЯ[[#This Row],[НАРХИ]]</f>
        <v>0</v>
      </c>
      <c r="I567" s="94"/>
      <c r="J567" s="31">
        <f>РЕАЛИЗАЦИЯ[[#This Row],[СОНИ]]*РЕАЛИЗАЦИЯ[[#This Row],[ТАННАРХ]]</f>
        <v>0</v>
      </c>
      <c r="K567" s="31">
        <f>РЕАЛИЗАЦИЯ[[#This Row],[ЖАМИ]]-РЕАЛИЗАЦИЯ[[#This Row],[ЖАМИ2]]</f>
        <v>0</v>
      </c>
      <c r="L567" s="31"/>
    </row>
    <row r="568" spans="3:12" ht="15" customHeight="1" x14ac:dyDescent="0.3">
      <c r="C568" s="96"/>
      <c r="D568" s="96"/>
      <c r="G568" s="50">
        <f>РЕАЛИЗАЦИЯ[[#This Row],[СОНИ]]*РЕАЛИЗАЦИЯ[[#This Row],[НАРХИ]]</f>
        <v>0</v>
      </c>
      <c r="I568" s="94"/>
      <c r="J568" s="31">
        <f>РЕАЛИЗАЦИЯ[[#This Row],[СОНИ]]*РЕАЛИЗАЦИЯ[[#This Row],[ТАННАРХ]]</f>
        <v>0</v>
      </c>
      <c r="K568" s="31">
        <f>РЕАЛИЗАЦИЯ[[#This Row],[ЖАМИ]]-РЕАЛИЗАЦИЯ[[#This Row],[ЖАМИ2]]</f>
        <v>0</v>
      </c>
      <c r="L568" s="31"/>
    </row>
    <row r="569" spans="3:12" ht="15" customHeight="1" x14ac:dyDescent="0.3">
      <c r="C569" s="96"/>
      <c r="D569" s="96"/>
      <c r="G569" s="50">
        <f>РЕАЛИЗАЦИЯ[[#This Row],[СОНИ]]*РЕАЛИЗАЦИЯ[[#This Row],[НАРХИ]]</f>
        <v>0</v>
      </c>
      <c r="I569" s="94"/>
      <c r="J569" s="31">
        <f>РЕАЛИЗАЦИЯ[[#This Row],[СОНИ]]*РЕАЛИЗАЦИЯ[[#This Row],[ТАННАРХ]]</f>
        <v>0</v>
      </c>
      <c r="K569" s="31">
        <f>РЕАЛИЗАЦИЯ[[#This Row],[ЖАМИ]]-РЕАЛИЗАЦИЯ[[#This Row],[ЖАМИ2]]</f>
        <v>0</v>
      </c>
      <c r="L569" s="31"/>
    </row>
    <row r="570" spans="3:12" ht="15" customHeight="1" x14ac:dyDescent="0.3">
      <c r="C570" s="96"/>
      <c r="D570" s="96"/>
      <c r="G570" s="50">
        <f>РЕАЛИЗАЦИЯ[[#This Row],[СОНИ]]*РЕАЛИЗАЦИЯ[[#This Row],[НАРХИ]]</f>
        <v>0</v>
      </c>
      <c r="I570" s="94"/>
      <c r="J570" s="31">
        <f>РЕАЛИЗАЦИЯ[[#This Row],[СОНИ]]*РЕАЛИЗАЦИЯ[[#This Row],[ТАННАРХ]]</f>
        <v>0</v>
      </c>
      <c r="K570" s="31">
        <f>РЕАЛИЗАЦИЯ[[#This Row],[ЖАМИ]]-РЕАЛИЗАЦИЯ[[#This Row],[ЖАМИ2]]</f>
        <v>0</v>
      </c>
      <c r="L570" s="31"/>
    </row>
    <row r="571" spans="3:12" ht="15" customHeight="1" x14ac:dyDescent="0.3">
      <c r="C571" s="96"/>
      <c r="D571" s="96"/>
      <c r="G571" s="50">
        <f>РЕАЛИЗАЦИЯ[[#This Row],[СОНИ]]*РЕАЛИЗАЦИЯ[[#This Row],[НАРХИ]]</f>
        <v>0</v>
      </c>
      <c r="I571" s="94"/>
      <c r="J571" s="31">
        <f>РЕАЛИЗАЦИЯ[[#This Row],[СОНИ]]*РЕАЛИЗАЦИЯ[[#This Row],[ТАННАРХ]]</f>
        <v>0</v>
      </c>
      <c r="K571" s="31">
        <f>РЕАЛИЗАЦИЯ[[#This Row],[ЖАМИ]]-РЕАЛИЗАЦИЯ[[#This Row],[ЖАМИ2]]</f>
        <v>0</v>
      </c>
      <c r="L571" s="31"/>
    </row>
    <row r="572" spans="3:12" ht="15" customHeight="1" x14ac:dyDescent="0.3">
      <c r="C572" s="96"/>
      <c r="D572" s="96"/>
      <c r="G572" s="50">
        <f>РЕАЛИЗАЦИЯ[[#This Row],[СОНИ]]*РЕАЛИЗАЦИЯ[[#This Row],[НАРХИ]]</f>
        <v>0</v>
      </c>
      <c r="I572" s="94"/>
      <c r="J572" s="31">
        <f>РЕАЛИЗАЦИЯ[[#This Row],[СОНИ]]*РЕАЛИЗАЦИЯ[[#This Row],[ТАННАРХ]]</f>
        <v>0</v>
      </c>
      <c r="K572" s="31">
        <f>РЕАЛИЗАЦИЯ[[#This Row],[ЖАМИ]]-РЕАЛИЗАЦИЯ[[#This Row],[ЖАМИ2]]</f>
        <v>0</v>
      </c>
      <c r="L572" s="31"/>
    </row>
    <row r="573" spans="3:12" ht="15" customHeight="1" x14ac:dyDescent="0.3">
      <c r="C573" s="96"/>
      <c r="D573" s="96"/>
      <c r="G573" s="50">
        <f>РЕАЛИЗАЦИЯ[[#This Row],[СОНИ]]*РЕАЛИЗАЦИЯ[[#This Row],[НАРХИ]]</f>
        <v>0</v>
      </c>
      <c r="I573" s="94"/>
      <c r="J573" s="31">
        <f>РЕАЛИЗАЦИЯ[[#This Row],[СОНИ]]*РЕАЛИЗАЦИЯ[[#This Row],[ТАННАРХ]]</f>
        <v>0</v>
      </c>
      <c r="K573" s="31">
        <f>РЕАЛИЗАЦИЯ[[#This Row],[ЖАМИ]]-РЕАЛИЗАЦИЯ[[#This Row],[ЖАМИ2]]</f>
        <v>0</v>
      </c>
      <c r="L573" s="31"/>
    </row>
    <row r="574" spans="3:12" ht="15" customHeight="1" x14ac:dyDescent="0.3">
      <c r="C574" s="140"/>
      <c r="D574" s="140"/>
      <c r="G574" s="50">
        <f>РЕАЛИЗАЦИЯ[[#This Row],[СОНИ]]*РЕАЛИЗАЦИЯ[[#This Row],[НАРХИ]]</f>
        <v>0</v>
      </c>
      <c r="I574" s="132"/>
      <c r="J574" s="31">
        <f>РЕАЛИЗАЦИЯ[[#This Row],[СОНИ]]*РЕАЛИЗАЦИЯ[[#This Row],[ТАННАРХ]]</f>
        <v>0</v>
      </c>
      <c r="K574" s="31">
        <f>РЕАЛИЗАЦИЯ[[#This Row],[ЖАМИ]]-РЕАЛИЗАЦИЯ[[#This Row],[ЖАМИ2]]</f>
        <v>0</v>
      </c>
      <c r="L574" s="31"/>
    </row>
    <row r="575" spans="3:12" ht="15" customHeight="1" x14ac:dyDescent="0.3">
      <c r="C575" s="140"/>
      <c r="D575" s="140"/>
      <c r="G575" s="50">
        <f>РЕАЛИЗАЦИЯ[[#This Row],[СОНИ]]*РЕАЛИЗАЦИЯ[[#This Row],[НАРХИ]]</f>
        <v>0</v>
      </c>
      <c r="I575" s="132"/>
      <c r="J575" s="31">
        <f>РЕАЛИЗАЦИЯ[[#This Row],[СОНИ]]*РЕАЛИЗАЦИЯ[[#This Row],[ТАННАРХ]]</f>
        <v>0</v>
      </c>
      <c r="K575" s="31">
        <f>РЕАЛИЗАЦИЯ[[#This Row],[ЖАМИ]]-РЕАЛИЗАЦИЯ[[#This Row],[ЖАМИ2]]</f>
        <v>0</v>
      </c>
      <c r="L575" s="31"/>
    </row>
    <row r="576" spans="3:12" ht="15" customHeight="1" x14ac:dyDescent="0.3">
      <c r="C576" s="96"/>
      <c r="D576" s="96"/>
      <c r="G576" s="50">
        <f>РЕАЛИЗАЦИЯ[[#This Row],[СОНИ]]*РЕАЛИЗАЦИЯ[[#This Row],[НАРХИ]]</f>
        <v>0</v>
      </c>
      <c r="I576" s="94"/>
      <c r="J576" s="31">
        <f>РЕАЛИЗАЦИЯ[[#This Row],[СОНИ]]*РЕАЛИЗАЦИЯ[[#This Row],[ТАННАРХ]]</f>
        <v>0</v>
      </c>
      <c r="K576" s="31">
        <f>РЕАЛИЗАЦИЯ[[#This Row],[ЖАМИ]]-РЕАЛИЗАЦИЯ[[#This Row],[ЖАМИ2]]</f>
        <v>0</v>
      </c>
      <c r="L576" s="31"/>
    </row>
    <row r="577" spans="3:12" ht="15" customHeight="1" x14ac:dyDescent="0.3">
      <c r="C577" s="96"/>
      <c r="D577" s="96"/>
      <c r="G577" s="50">
        <f>РЕАЛИЗАЦИЯ[[#This Row],[СОНИ]]*РЕАЛИЗАЦИЯ[[#This Row],[НАРХИ]]</f>
        <v>0</v>
      </c>
      <c r="I577" s="94"/>
      <c r="J577" s="31">
        <f>РЕАЛИЗАЦИЯ[[#This Row],[СОНИ]]*РЕАЛИЗАЦИЯ[[#This Row],[ТАННАРХ]]</f>
        <v>0</v>
      </c>
      <c r="K577" s="31">
        <f>РЕАЛИЗАЦИЯ[[#This Row],[ЖАМИ]]-РЕАЛИЗАЦИЯ[[#This Row],[ЖАМИ2]]</f>
        <v>0</v>
      </c>
      <c r="L577" s="31"/>
    </row>
    <row r="578" spans="3:12" ht="15" customHeight="1" x14ac:dyDescent="0.3">
      <c r="C578" s="96"/>
      <c r="D578" s="96"/>
      <c r="G578" s="50">
        <f>РЕАЛИЗАЦИЯ[[#This Row],[СОНИ]]*РЕАЛИЗАЦИЯ[[#This Row],[НАРХИ]]</f>
        <v>0</v>
      </c>
      <c r="I578" s="94"/>
      <c r="J578" s="31">
        <f>РЕАЛИЗАЦИЯ[[#This Row],[СОНИ]]*РЕАЛИЗАЦИЯ[[#This Row],[ТАННАРХ]]</f>
        <v>0</v>
      </c>
      <c r="K578" s="31">
        <f>РЕАЛИЗАЦИЯ[[#This Row],[ЖАМИ]]-РЕАЛИЗАЦИЯ[[#This Row],[ЖАМИ2]]</f>
        <v>0</v>
      </c>
      <c r="L578" s="31"/>
    </row>
    <row r="579" spans="3:12" ht="15" customHeight="1" x14ac:dyDescent="0.3">
      <c r="C579" s="96"/>
      <c r="D579" s="96"/>
      <c r="G579" s="50">
        <f>РЕАЛИЗАЦИЯ[[#This Row],[СОНИ]]*РЕАЛИЗАЦИЯ[[#This Row],[НАРХИ]]</f>
        <v>0</v>
      </c>
      <c r="I579" s="94"/>
      <c r="J579" s="31">
        <f>РЕАЛИЗАЦИЯ[[#This Row],[СОНИ]]*РЕАЛИЗАЦИЯ[[#This Row],[ТАННАРХ]]</f>
        <v>0</v>
      </c>
      <c r="K579" s="31">
        <f>РЕАЛИЗАЦИЯ[[#This Row],[ЖАМИ]]-РЕАЛИЗАЦИЯ[[#This Row],[ЖАМИ2]]</f>
        <v>0</v>
      </c>
      <c r="L579" s="31"/>
    </row>
    <row r="580" spans="3:12" ht="15" customHeight="1" x14ac:dyDescent="0.3">
      <c r="C580" s="96"/>
      <c r="D580" s="96"/>
      <c r="G580" s="50">
        <f>РЕАЛИЗАЦИЯ[[#This Row],[СОНИ]]*РЕАЛИЗАЦИЯ[[#This Row],[НАРХИ]]</f>
        <v>0</v>
      </c>
      <c r="I580" s="94"/>
      <c r="J580" s="31">
        <f>РЕАЛИЗАЦИЯ[[#This Row],[СОНИ]]*РЕАЛИЗАЦИЯ[[#This Row],[ТАННАРХ]]</f>
        <v>0</v>
      </c>
      <c r="K580" s="31">
        <f>РЕАЛИЗАЦИЯ[[#This Row],[ЖАМИ]]-РЕАЛИЗАЦИЯ[[#This Row],[ЖАМИ2]]</f>
        <v>0</v>
      </c>
      <c r="L580" s="31"/>
    </row>
    <row r="581" spans="3:12" ht="15" customHeight="1" x14ac:dyDescent="0.3">
      <c r="C581" s="96"/>
      <c r="D581" s="96"/>
      <c r="G581" s="50">
        <f>РЕАЛИЗАЦИЯ[[#This Row],[СОНИ]]*РЕАЛИЗАЦИЯ[[#This Row],[НАРХИ]]</f>
        <v>0</v>
      </c>
      <c r="I581" s="94"/>
      <c r="J581" s="31">
        <f>РЕАЛИЗАЦИЯ[[#This Row],[СОНИ]]*РЕАЛИЗАЦИЯ[[#This Row],[ТАННАРХ]]</f>
        <v>0</v>
      </c>
      <c r="K581" s="31">
        <f>РЕАЛИЗАЦИЯ[[#This Row],[ЖАМИ]]-РЕАЛИЗАЦИЯ[[#This Row],[ЖАМИ2]]</f>
        <v>0</v>
      </c>
      <c r="L581" s="31"/>
    </row>
    <row r="582" spans="3:12" ht="15" customHeight="1" x14ac:dyDescent="0.3">
      <c r="C582" s="96"/>
      <c r="D582" s="96"/>
      <c r="G582" s="50">
        <f>РЕАЛИЗАЦИЯ[[#This Row],[СОНИ]]*РЕАЛИЗАЦИЯ[[#This Row],[НАРХИ]]</f>
        <v>0</v>
      </c>
      <c r="I582" s="94"/>
      <c r="J582" s="31">
        <f>РЕАЛИЗАЦИЯ[[#This Row],[СОНИ]]*РЕАЛИЗАЦИЯ[[#This Row],[ТАННАРХ]]</f>
        <v>0</v>
      </c>
      <c r="K582" s="31">
        <f>РЕАЛИЗАЦИЯ[[#This Row],[ЖАМИ]]-РЕАЛИЗАЦИЯ[[#This Row],[ЖАМИ2]]</f>
        <v>0</v>
      </c>
      <c r="L582" s="31"/>
    </row>
    <row r="583" spans="3:12" ht="15" customHeight="1" x14ac:dyDescent="0.3">
      <c r="C583" s="96"/>
      <c r="D583" s="96"/>
      <c r="G583" s="50">
        <f>РЕАЛИЗАЦИЯ[[#This Row],[СОНИ]]*РЕАЛИЗАЦИЯ[[#This Row],[НАРХИ]]</f>
        <v>0</v>
      </c>
      <c r="I583" s="94"/>
      <c r="J583" s="31">
        <f>РЕАЛИЗАЦИЯ[[#This Row],[СОНИ]]*РЕАЛИЗАЦИЯ[[#This Row],[ТАННАРХ]]</f>
        <v>0</v>
      </c>
      <c r="K583" s="31">
        <f>РЕАЛИЗАЦИЯ[[#This Row],[ЖАМИ]]-РЕАЛИЗАЦИЯ[[#This Row],[ЖАМИ2]]</f>
        <v>0</v>
      </c>
      <c r="L583" s="31"/>
    </row>
    <row r="584" spans="3:12" ht="15" customHeight="1" x14ac:dyDescent="0.3">
      <c r="C584" s="96"/>
      <c r="D584" s="96"/>
      <c r="G584" s="50">
        <f>РЕАЛИЗАЦИЯ[[#This Row],[СОНИ]]*РЕАЛИЗАЦИЯ[[#This Row],[НАРХИ]]</f>
        <v>0</v>
      </c>
      <c r="I584" s="94"/>
      <c r="J584" s="31">
        <f>РЕАЛИЗАЦИЯ[[#This Row],[СОНИ]]*РЕАЛИЗАЦИЯ[[#This Row],[ТАННАРХ]]</f>
        <v>0</v>
      </c>
      <c r="K584" s="31">
        <f>РЕАЛИЗАЦИЯ[[#This Row],[ЖАМИ]]-РЕАЛИЗАЦИЯ[[#This Row],[ЖАМИ2]]</f>
        <v>0</v>
      </c>
      <c r="L584" s="31"/>
    </row>
    <row r="585" spans="3:12" ht="15" customHeight="1" x14ac:dyDescent="0.3">
      <c r="C585" s="96"/>
      <c r="D585" s="96"/>
      <c r="G585" s="50">
        <f>РЕАЛИЗАЦИЯ[[#This Row],[СОНИ]]*РЕАЛИЗАЦИЯ[[#This Row],[НАРХИ]]</f>
        <v>0</v>
      </c>
      <c r="I585" s="94"/>
      <c r="J585" s="31">
        <f>РЕАЛИЗАЦИЯ[[#This Row],[СОНИ]]*РЕАЛИЗАЦИЯ[[#This Row],[ТАННАРХ]]</f>
        <v>0</v>
      </c>
      <c r="K585" s="31">
        <f>РЕАЛИЗАЦИЯ[[#This Row],[ЖАМИ]]-РЕАЛИЗАЦИЯ[[#This Row],[ЖАМИ2]]</f>
        <v>0</v>
      </c>
      <c r="L585" s="31"/>
    </row>
    <row r="586" spans="3:12" ht="15" customHeight="1" x14ac:dyDescent="0.3">
      <c r="C586" s="96"/>
      <c r="D586" s="96"/>
      <c r="G586" s="50">
        <f>РЕАЛИЗАЦИЯ[[#This Row],[СОНИ]]*РЕАЛИЗАЦИЯ[[#This Row],[НАРХИ]]</f>
        <v>0</v>
      </c>
      <c r="I586" s="94"/>
      <c r="J586" s="31">
        <f>РЕАЛИЗАЦИЯ[[#This Row],[СОНИ]]*РЕАЛИЗАЦИЯ[[#This Row],[ТАННАРХ]]</f>
        <v>0</v>
      </c>
      <c r="K586" s="31">
        <f>РЕАЛИЗАЦИЯ[[#This Row],[ЖАМИ]]-РЕАЛИЗАЦИЯ[[#This Row],[ЖАМИ2]]</f>
        <v>0</v>
      </c>
      <c r="L586" s="31"/>
    </row>
    <row r="587" spans="3:12" ht="15" customHeight="1" x14ac:dyDescent="0.3">
      <c r="C587" s="96"/>
      <c r="D587" s="96"/>
      <c r="G587" s="50">
        <f>РЕАЛИЗАЦИЯ[[#This Row],[СОНИ]]*РЕАЛИЗАЦИЯ[[#This Row],[НАРХИ]]</f>
        <v>0</v>
      </c>
      <c r="I587" s="94"/>
      <c r="J587" s="31">
        <f>РЕАЛИЗАЦИЯ[[#This Row],[СОНИ]]*РЕАЛИЗАЦИЯ[[#This Row],[ТАННАРХ]]</f>
        <v>0</v>
      </c>
      <c r="K587" s="31">
        <f>РЕАЛИЗАЦИЯ[[#This Row],[ЖАМИ]]-РЕАЛИЗАЦИЯ[[#This Row],[ЖАМИ2]]</f>
        <v>0</v>
      </c>
      <c r="L587" s="31"/>
    </row>
    <row r="588" spans="3:12" ht="13.95" customHeight="1" x14ac:dyDescent="0.3">
      <c r="C588" s="96"/>
      <c r="D588" s="96"/>
      <c r="G588" s="50">
        <f>РЕАЛИЗАЦИЯ[[#This Row],[СОНИ]]*РЕАЛИЗАЦИЯ[[#This Row],[НАРХИ]]</f>
        <v>0</v>
      </c>
      <c r="I588" s="94"/>
      <c r="J588" s="31">
        <f>РЕАЛИЗАЦИЯ[[#This Row],[СОНИ]]*РЕАЛИЗАЦИЯ[[#This Row],[ТАННАРХ]]</f>
        <v>0</v>
      </c>
      <c r="K588" s="31">
        <f>РЕАЛИЗАЦИЯ[[#This Row],[ЖАМИ]]-РЕАЛИЗАЦИЯ[[#This Row],[ЖАМИ2]]</f>
        <v>0</v>
      </c>
      <c r="L588" s="31"/>
    </row>
    <row r="589" spans="3:12" ht="15" customHeight="1" x14ac:dyDescent="0.3">
      <c r="C589" s="96"/>
      <c r="D589" s="96"/>
      <c r="G589" s="50">
        <f>РЕАЛИЗАЦИЯ[[#This Row],[СОНИ]]*РЕАЛИЗАЦИЯ[[#This Row],[НАРХИ]]</f>
        <v>0</v>
      </c>
      <c r="I589" s="94"/>
      <c r="J589" s="31">
        <f>РЕАЛИЗАЦИЯ[[#This Row],[СОНИ]]*РЕАЛИЗАЦИЯ[[#This Row],[ТАННАРХ]]</f>
        <v>0</v>
      </c>
      <c r="K589" s="31">
        <f>РЕАЛИЗАЦИЯ[[#This Row],[ЖАМИ]]-РЕАЛИЗАЦИЯ[[#This Row],[ЖАМИ2]]</f>
        <v>0</v>
      </c>
      <c r="L589" s="31"/>
    </row>
    <row r="590" spans="3:12" ht="15" customHeight="1" x14ac:dyDescent="0.3">
      <c r="C590" s="96"/>
      <c r="D590" s="96"/>
      <c r="G590" s="50">
        <f>РЕАЛИЗАЦИЯ[[#This Row],[СОНИ]]*РЕАЛИЗАЦИЯ[[#This Row],[НАРХИ]]</f>
        <v>0</v>
      </c>
      <c r="I590" s="94"/>
      <c r="J590" s="31">
        <f>РЕАЛИЗАЦИЯ[[#This Row],[СОНИ]]*РЕАЛИЗАЦИЯ[[#This Row],[ТАННАРХ]]</f>
        <v>0</v>
      </c>
      <c r="K590" s="31">
        <f>РЕАЛИЗАЦИЯ[[#This Row],[ЖАМИ]]-РЕАЛИЗАЦИЯ[[#This Row],[ЖАМИ2]]</f>
        <v>0</v>
      </c>
      <c r="L590" s="31"/>
    </row>
    <row r="591" spans="3:12" ht="15" customHeight="1" x14ac:dyDescent="0.3">
      <c r="C591" s="96"/>
      <c r="D591" s="96"/>
      <c r="G591" s="50">
        <f>РЕАЛИЗАЦИЯ[[#This Row],[СОНИ]]*РЕАЛИЗАЦИЯ[[#This Row],[НАРХИ]]</f>
        <v>0</v>
      </c>
      <c r="I591" s="94"/>
      <c r="J591" s="31">
        <f>РЕАЛИЗАЦИЯ[[#This Row],[СОНИ]]*РЕАЛИЗАЦИЯ[[#This Row],[ТАННАРХ]]</f>
        <v>0</v>
      </c>
      <c r="K591" s="31">
        <f>РЕАЛИЗАЦИЯ[[#This Row],[ЖАМИ]]-РЕАЛИЗАЦИЯ[[#This Row],[ЖАМИ2]]</f>
        <v>0</v>
      </c>
      <c r="L591" s="31"/>
    </row>
    <row r="592" spans="3:12" ht="15" customHeight="1" x14ac:dyDescent="0.3">
      <c r="C592" s="96"/>
      <c r="D592" s="96"/>
      <c r="G592" s="50">
        <f>РЕАЛИЗАЦИЯ[[#This Row],[СОНИ]]*РЕАЛИЗАЦИЯ[[#This Row],[НАРХИ]]</f>
        <v>0</v>
      </c>
      <c r="I592" s="94"/>
      <c r="J592" s="31">
        <f>РЕАЛИЗАЦИЯ[[#This Row],[СОНИ]]*РЕАЛИЗАЦИЯ[[#This Row],[ТАННАРХ]]</f>
        <v>0</v>
      </c>
      <c r="K592" s="31">
        <f>РЕАЛИЗАЦИЯ[[#This Row],[ЖАМИ]]-РЕАЛИЗАЦИЯ[[#This Row],[ЖАМИ2]]</f>
        <v>0</v>
      </c>
      <c r="L592" s="31"/>
    </row>
    <row r="593" spans="3:12" ht="15" customHeight="1" x14ac:dyDescent="0.3">
      <c r="C593" s="96"/>
      <c r="D593" s="96"/>
      <c r="G593" s="50">
        <f>РЕАЛИЗАЦИЯ[[#This Row],[СОНИ]]*РЕАЛИЗАЦИЯ[[#This Row],[НАРХИ]]</f>
        <v>0</v>
      </c>
      <c r="I593" s="94"/>
      <c r="J593" s="31">
        <f>РЕАЛИЗАЦИЯ[[#This Row],[СОНИ]]*РЕАЛИЗАЦИЯ[[#This Row],[ТАННАРХ]]</f>
        <v>0</v>
      </c>
      <c r="K593" s="31">
        <f>РЕАЛИЗАЦИЯ[[#This Row],[ЖАМИ]]-РЕАЛИЗАЦИЯ[[#This Row],[ЖАМИ2]]</f>
        <v>0</v>
      </c>
      <c r="L593" s="31"/>
    </row>
    <row r="594" spans="3:12" ht="15" customHeight="1" x14ac:dyDescent="0.3">
      <c r="C594" s="96"/>
      <c r="D594" s="96"/>
      <c r="G594" s="50">
        <f>РЕАЛИЗАЦИЯ[[#This Row],[СОНИ]]*РЕАЛИЗАЦИЯ[[#This Row],[НАРХИ]]</f>
        <v>0</v>
      </c>
      <c r="I594" s="94"/>
      <c r="J594" s="31">
        <f>РЕАЛИЗАЦИЯ[[#This Row],[СОНИ]]*РЕАЛИЗАЦИЯ[[#This Row],[ТАННАРХ]]</f>
        <v>0</v>
      </c>
      <c r="K594" s="31">
        <f>РЕАЛИЗАЦИЯ[[#This Row],[ЖАМИ]]-РЕАЛИЗАЦИЯ[[#This Row],[ЖАМИ2]]</f>
        <v>0</v>
      </c>
      <c r="L594" s="31"/>
    </row>
    <row r="595" spans="3:12" ht="15" customHeight="1" x14ac:dyDescent="0.3">
      <c r="C595" s="96"/>
      <c r="D595" s="96"/>
      <c r="G595" s="50">
        <f>РЕАЛИЗАЦИЯ[[#This Row],[СОНИ]]*РЕАЛИЗАЦИЯ[[#This Row],[НАРХИ]]</f>
        <v>0</v>
      </c>
      <c r="I595" s="94"/>
      <c r="J595" s="31">
        <f>РЕАЛИЗАЦИЯ[[#This Row],[СОНИ]]*РЕАЛИЗАЦИЯ[[#This Row],[ТАННАРХ]]</f>
        <v>0</v>
      </c>
      <c r="K595" s="31">
        <f>РЕАЛИЗАЦИЯ[[#This Row],[ЖАМИ]]-РЕАЛИЗАЦИЯ[[#This Row],[ЖАМИ2]]</f>
        <v>0</v>
      </c>
      <c r="L595" s="31"/>
    </row>
    <row r="596" spans="3:12" ht="15" customHeight="1" x14ac:dyDescent="0.3">
      <c r="C596" s="96"/>
      <c r="D596" s="96"/>
      <c r="G596" s="50">
        <f>РЕАЛИЗАЦИЯ[[#This Row],[СОНИ]]*РЕАЛИЗАЦИЯ[[#This Row],[НАРХИ]]</f>
        <v>0</v>
      </c>
      <c r="I596" s="94"/>
      <c r="J596" s="31">
        <f>РЕАЛИЗАЦИЯ[[#This Row],[СОНИ]]*РЕАЛИЗАЦИЯ[[#This Row],[ТАННАРХ]]</f>
        <v>0</v>
      </c>
      <c r="K596" s="31">
        <f>РЕАЛИЗАЦИЯ[[#This Row],[ЖАМИ]]-РЕАЛИЗАЦИЯ[[#This Row],[ЖАМИ2]]</f>
        <v>0</v>
      </c>
      <c r="L596" s="31"/>
    </row>
    <row r="597" spans="3:12" ht="15" customHeight="1" x14ac:dyDescent="0.3">
      <c r="C597" s="96"/>
      <c r="D597" s="96"/>
      <c r="G597" s="50">
        <f>РЕАЛИЗАЦИЯ[[#This Row],[СОНИ]]*РЕАЛИЗАЦИЯ[[#This Row],[НАРХИ]]</f>
        <v>0</v>
      </c>
      <c r="I597" s="94"/>
      <c r="J597" s="31">
        <f>РЕАЛИЗАЦИЯ[[#This Row],[СОНИ]]*РЕАЛИЗАЦИЯ[[#This Row],[ТАННАРХ]]</f>
        <v>0</v>
      </c>
      <c r="K597" s="31">
        <f>РЕАЛИЗАЦИЯ[[#This Row],[ЖАМИ]]-РЕАЛИЗАЦИЯ[[#This Row],[ЖАМИ2]]</f>
        <v>0</v>
      </c>
      <c r="L597" s="31"/>
    </row>
    <row r="598" spans="3:12" ht="15" customHeight="1" x14ac:dyDescent="0.3">
      <c r="C598" s="96"/>
      <c r="D598" s="96"/>
      <c r="G598" s="50">
        <f>РЕАЛИЗАЦИЯ[[#This Row],[СОНИ]]*РЕАЛИЗАЦИЯ[[#This Row],[НАРХИ]]</f>
        <v>0</v>
      </c>
      <c r="I598" s="94"/>
      <c r="J598" s="31">
        <f>РЕАЛИЗАЦИЯ[[#This Row],[СОНИ]]*РЕАЛИЗАЦИЯ[[#This Row],[ТАННАРХ]]</f>
        <v>0</v>
      </c>
      <c r="K598" s="31">
        <f>РЕАЛИЗАЦИЯ[[#This Row],[ЖАМИ]]-РЕАЛИЗАЦИЯ[[#This Row],[ЖАМИ2]]</f>
        <v>0</v>
      </c>
      <c r="L598" s="31"/>
    </row>
    <row r="599" spans="3:12" ht="15" customHeight="1" x14ac:dyDescent="0.3">
      <c r="C599" s="96"/>
      <c r="D599" s="96"/>
      <c r="G599" s="50">
        <f>РЕАЛИЗАЦИЯ[[#This Row],[СОНИ]]*РЕАЛИЗАЦИЯ[[#This Row],[НАРХИ]]</f>
        <v>0</v>
      </c>
      <c r="I599" s="94"/>
      <c r="J599" s="31">
        <f>РЕАЛИЗАЦИЯ[[#This Row],[СОНИ]]*РЕАЛИЗАЦИЯ[[#This Row],[ТАННАРХ]]</f>
        <v>0</v>
      </c>
      <c r="K599" s="31">
        <f>РЕАЛИЗАЦИЯ[[#This Row],[ЖАМИ]]-РЕАЛИЗАЦИЯ[[#This Row],[ЖАМИ2]]</f>
        <v>0</v>
      </c>
      <c r="L599" s="31"/>
    </row>
    <row r="600" spans="3:12" x14ac:dyDescent="0.3">
      <c r="C600" s="96"/>
      <c r="D600" s="96"/>
      <c r="G600" s="50">
        <f>РЕАЛИЗАЦИЯ[[#This Row],[СОНИ]]*РЕАЛИЗАЦИЯ[[#This Row],[НАРХИ]]</f>
        <v>0</v>
      </c>
      <c r="I600" s="94"/>
      <c r="J600" s="31">
        <f>РЕАЛИЗАЦИЯ[[#This Row],[СОНИ]]*РЕАЛИЗАЦИЯ[[#This Row],[ТАННАРХ]]</f>
        <v>0</v>
      </c>
      <c r="K600" s="31">
        <f>РЕАЛИЗАЦИЯ[[#This Row],[ЖАМИ]]-РЕАЛИЗАЦИЯ[[#This Row],[ЖАМИ2]]</f>
        <v>0</v>
      </c>
      <c r="L600" s="31"/>
    </row>
    <row r="601" spans="3:12" ht="15" customHeight="1" x14ac:dyDescent="0.3">
      <c r="C601" s="96"/>
      <c r="D601" s="96"/>
      <c r="G601" s="50">
        <f>РЕАЛИЗАЦИЯ[[#This Row],[СОНИ]]*РЕАЛИЗАЦИЯ[[#This Row],[НАРХИ]]</f>
        <v>0</v>
      </c>
      <c r="I601" s="94"/>
      <c r="J601" s="31">
        <f>РЕАЛИЗАЦИЯ[[#This Row],[СОНИ]]*РЕАЛИЗАЦИЯ[[#This Row],[ТАННАРХ]]</f>
        <v>0</v>
      </c>
      <c r="K601" s="31">
        <f>РЕАЛИЗАЦИЯ[[#This Row],[ЖАМИ]]-РЕАЛИЗАЦИЯ[[#This Row],[ЖАМИ2]]</f>
        <v>0</v>
      </c>
      <c r="L601" s="31"/>
    </row>
    <row r="602" spans="3:12" ht="15" customHeight="1" x14ac:dyDescent="0.3">
      <c r="C602" s="96"/>
      <c r="D602" s="96"/>
      <c r="G602" s="50">
        <f>РЕАЛИЗАЦИЯ[[#This Row],[СОНИ]]*РЕАЛИЗАЦИЯ[[#This Row],[НАРХИ]]</f>
        <v>0</v>
      </c>
      <c r="I602" s="94"/>
      <c r="J602" s="31">
        <f>РЕАЛИЗАЦИЯ[[#This Row],[СОНИ]]*РЕАЛИЗАЦИЯ[[#This Row],[ТАННАРХ]]</f>
        <v>0</v>
      </c>
      <c r="K602" s="31">
        <f>РЕАЛИЗАЦИЯ[[#This Row],[ЖАМИ]]-РЕАЛИЗАЦИЯ[[#This Row],[ЖАМИ2]]</f>
        <v>0</v>
      </c>
      <c r="L602" s="31"/>
    </row>
    <row r="603" spans="3:12" ht="15" customHeight="1" x14ac:dyDescent="0.3">
      <c r="C603" s="96"/>
      <c r="D603" s="96"/>
      <c r="G603" s="50">
        <f>РЕАЛИЗАЦИЯ[[#This Row],[СОНИ]]*РЕАЛИЗАЦИЯ[[#This Row],[НАРХИ]]</f>
        <v>0</v>
      </c>
      <c r="I603" s="94"/>
      <c r="J603" s="31">
        <f>РЕАЛИЗАЦИЯ[[#This Row],[СОНИ]]*РЕАЛИЗАЦИЯ[[#This Row],[ТАННАРХ]]</f>
        <v>0</v>
      </c>
      <c r="K603" s="31">
        <f>РЕАЛИЗАЦИЯ[[#This Row],[ЖАМИ]]-РЕАЛИЗАЦИЯ[[#This Row],[ЖАМИ2]]</f>
        <v>0</v>
      </c>
      <c r="L603" s="31"/>
    </row>
    <row r="604" spans="3:12" ht="15" customHeight="1" x14ac:dyDescent="0.3">
      <c r="C604" s="96"/>
      <c r="D604" s="96"/>
      <c r="G604" s="50">
        <f>РЕАЛИЗАЦИЯ[[#This Row],[СОНИ]]*РЕАЛИЗАЦИЯ[[#This Row],[НАРХИ]]</f>
        <v>0</v>
      </c>
      <c r="I604" s="94"/>
      <c r="J604" s="31">
        <f>РЕАЛИЗАЦИЯ[[#This Row],[СОНИ]]*РЕАЛИЗАЦИЯ[[#This Row],[ТАННАРХ]]</f>
        <v>0</v>
      </c>
      <c r="K604" s="31">
        <f>РЕАЛИЗАЦИЯ[[#This Row],[ЖАМИ]]-РЕАЛИЗАЦИЯ[[#This Row],[ЖАМИ2]]</f>
        <v>0</v>
      </c>
      <c r="L604" s="31"/>
    </row>
    <row r="605" spans="3:12" ht="15" customHeight="1" x14ac:dyDescent="0.3">
      <c r="C605" s="96"/>
      <c r="D605" s="96"/>
      <c r="G605" s="50">
        <f>РЕАЛИЗАЦИЯ[[#This Row],[СОНИ]]*РЕАЛИЗАЦИЯ[[#This Row],[НАРХИ]]</f>
        <v>0</v>
      </c>
      <c r="I605" s="94"/>
      <c r="J605" s="31">
        <f>РЕАЛИЗАЦИЯ[[#This Row],[СОНИ]]*РЕАЛИЗАЦИЯ[[#This Row],[ТАННАРХ]]</f>
        <v>0</v>
      </c>
      <c r="K605" s="31">
        <f>РЕАЛИЗАЦИЯ[[#This Row],[ЖАМИ]]-РЕАЛИЗАЦИЯ[[#This Row],[ЖАМИ2]]</f>
        <v>0</v>
      </c>
      <c r="L605" s="31"/>
    </row>
    <row r="606" spans="3:12" ht="15" customHeight="1" x14ac:dyDescent="0.3">
      <c r="C606" s="96"/>
      <c r="D606" s="96"/>
      <c r="G606" s="50">
        <f>РЕАЛИЗАЦИЯ[[#This Row],[СОНИ]]*РЕАЛИЗАЦИЯ[[#This Row],[НАРХИ]]</f>
        <v>0</v>
      </c>
      <c r="I606" s="94"/>
      <c r="J606" s="31">
        <f>РЕАЛИЗАЦИЯ[[#This Row],[СОНИ]]*РЕАЛИЗАЦИЯ[[#This Row],[ТАННАРХ]]</f>
        <v>0</v>
      </c>
      <c r="K606" s="31">
        <f>РЕАЛИЗАЦИЯ[[#This Row],[ЖАМИ]]-РЕАЛИЗАЦИЯ[[#This Row],[ЖАМИ2]]</f>
        <v>0</v>
      </c>
      <c r="L606" s="31"/>
    </row>
    <row r="607" spans="3:12" ht="15" customHeight="1" x14ac:dyDescent="0.3">
      <c r="C607" s="96"/>
      <c r="D607" s="96"/>
      <c r="G607" s="50">
        <f>РЕАЛИЗАЦИЯ[[#This Row],[СОНИ]]*РЕАЛИЗАЦИЯ[[#This Row],[НАРХИ]]</f>
        <v>0</v>
      </c>
      <c r="I607" s="94"/>
      <c r="J607" s="31">
        <f>РЕАЛИЗАЦИЯ[[#This Row],[СОНИ]]*РЕАЛИЗАЦИЯ[[#This Row],[ТАННАРХ]]</f>
        <v>0</v>
      </c>
      <c r="K607" s="31">
        <f>РЕАЛИЗАЦИЯ[[#This Row],[ЖАМИ]]-РЕАЛИЗАЦИЯ[[#This Row],[ЖАМИ2]]</f>
        <v>0</v>
      </c>
      <c r="L607" s="31"/>
    </row>
    <row r="608" spans="3:12" ht="15" customHeight="1" x14ac:dyDescent="0.3">
      <c r="C608" s="96"/>
      <c r="D608" s="96"/>
      <c r="G608" s="50">
        <f>РЕАЛИЗАЦИЯ[[#This Row],[СОНИ]]*РЕАЛИЗАЦИЯ[[#This Row],[НАРХИ]]</f>
        <v>0</v>
      </c>
      <c r="I608" s="94"/>
      <c r="J608" s="31">
        <f>РЕАЛИЗАЦИЯ[[#This Row],[СОНИ]]*РЕАЛИЗАЦИЯ[[#This Row],[ТАННАРХ]]</f>
        <v>0</v>
      </c>
      <c r="K608" s="31">
        <f>РЕАЛИЗАЦИЯ[[#This Row],[ЖАМИ]]-РЕАЛИЗАЦИЯ[[#This Row],[ЖАМИ2]]</f>
        <v>0</v>
      </c>
      <c r="L608" s="31"/>
    </row>
    <row r="609" spans="3:12" ht="15" customHeight="1" x14ac:dyDescent="0.3">
      <c r="C609" s="96"/>
      <c r="D609" s="96"/>
      <c r="G609" s="50">
        <f>РЕАЛИЗАЦИЯ[[#This Row],[СОНИ]]*РЕАЛИЗАЦИЯ[[#This Row],[НАРХИ]]</f>
        <v>0</v>
      </c>
      <c r="I609" s="94"/>
      <c r="J609" s="31">
        <f>РЕАЛИЗАЦИЯ[[#This Row],[СОНИ]]*РЕАЛИЗАЦИЯ[[#This Row],[ТАННАРХ]]</f>
        <v>0</v>
      </c>
      <c r="K609" s="31">
        <f>РЕАЛИЗАЦИЯ[[#This Row],[ЖАМИ]]-РЕАЛИЗАЦИЯ[[#This Row],[ЖАМИ2]]</f>
        <v>0</v>
      </c>
      <c r="L609" s="31"/>
    </row>
    <row r="610" spans="3:12" ht="15" customHeight="1" x14ac:dyDescent="0.3">
      <c r="C610" s="96"/>
      <c r="D610" s="96"/>
      <c r="G610" s="50">
        <f>РЕАЛИЗАЦИЯ[[#This Row],[СОНИ]]*РЕАЛИЗАЦИЯ[[#This Row],[НАРХИ]]</f>
        <v>0</v>
      </c>
      <c r="I610" s="94"/>
      <c r="J610" s="31">
        <f>РЕАЛИЗАЦИЯ[[#This Row],[СОНИ]]*РЕАЛИЗАЦИЯ[[#This Row],[ТАННАРХ]]</f>
        <v>0</v>
      </c>
      <c r="K610" s="31">
        <f>РЕАЛИЗАЦИЯ[[#This Row],[ЖАМИ]]-РЕАЛИЗАЦИЯ[[#This Row],[ЖАМИ2]]</f>
        <v>0</v>
      </c>
      <c r="L610" s="31"/>
    </row>
    <row r="611" spans="3:12" ht="15" customHeight="1" x14ac:dyDescent="0.3">
      <c r="C611" s="96"/>
      <c r="D611" s="96"/>
      <c r="G611" s="50">
        <f>РЕАЛИЗАЦИЯ[[#This Row],[СОНИ]]*РЕАЛИЗАЦИЯ[[#This Row],[НАРХИ]]</f>
        <v>0</v>
      </c>
      <c r="I611" s="94"/>
      <c r="J611" s="31">
        <f>РЕАЛИЗАЦИЯ[[#This Row],[СОНИ]]*РЕАЛИЗАЦИЯ[[#This Row],[ТАННАРХ]]</f>
        <v>0</v>
      </c>
      <c r="K611" s="31">
        <f>РЕАЛИЗАЦИЯ[[#This Row],[ЖАМИ]]-РЕАЛИЗАЦИЯ[[#This Row],[ЖАМИ2]]</f>
        <v>0</v>
      </c>
      <c r="L611" s="31"/>
    </row>
    <row r="612" spans="3:12" ht="15" customHeight="1" x14ac:dyDescent="0.3">
      <c r="C612" s="96"/>
      <c r="D612" s="96"/>
      <c r="G612" s="50">
        <f>РЕАЛИЗАЦИЯ[[#This Row],[СОНИ]]*РЕАЛИЗАЦИЯ[[#This Row],[НАРХИ]]</f>
        <v>0</v>
      </c>
      <c r="I612" s="94"/>
      <c r="J612" s="31">
        <f>РЕАЛИЗАЦИЯ[[#This Row],[СОНИ]]*РЕАЛИЗАЦИЯ[[#This Row],[ТАННАРХ]]</f>
        <v>0</v>
      </c>
      <c r="K612" s="31">
        <f>РЕАЛИЗАЦИЯ[[#This Row],[ЖАМИ]]-РЕАЛИЗАЦИЯ[[#This Row],[ЖАМИ2]]</f>
        <v>0</v>
      </c>
      <c r="L612" s="31"/>
    </row>
    <row r="613" spans="3:12" ht="15" customHeight="1" x14ac:dyDescent="0.3">
      <c r="C613" s="96"/>
      <c r="D613" s="96"/>
      <c r="G613" s="50">
        <f>РЕАЛИЗАЦИЯ[[#This Row],[СОНИ]]*РЕАЛИЗАЦИЯ[[#This Row],[НАРХИ]]</f>
        <v>0</v>
      </c>
      <c r="I613" s="94"/>
      <c r="J613" s="31">
        <f>РЕАЛИЗАЦИЯ[[#This Row],[СОНИ]]*РЕАЛИЗАЦИЯ[[#This Row],[ТАННАРХ]]</f>
        <v>0</v>
      </c>
      <c r="K613" s="31">
        <f>РЕАЛИЗАЦИЯ[[#This Row],[ЖАМИ]]-РЕАЛИЗАЦИЯ[[#This Row],[ЖАМИ2]]</f>
        <v>0</v>
      </c>
      <c r="L613" s="31"/>
    </row>
    <row r="614" spans="3:12" ht="15" customHeight="1" x14ac:dyDescent="0.3">
      <c r="C614" s="96"/>
      <c r="D614" s="96"/>
      <c r="G614" s="50">
        <f>РЕАЛИЗАЦИЯ[[#This Row],[СОНИ]]*РЕАЛИЗАЦИЯ[[#This Row],[НАРХИ]]</f>
        <v>0</v>
      </c>
      <c r="I614" s="94"/>
      <c r="J614" s="31">
        <f>РЕАЛИЗАЦИЯ[[#This Row],[СОНИ]]*РЕАЛИЗАЦИЯ[[#This Row],[ТАННАРХ]]</f>
        <v>0</v>
      </c>
      <c r="K614" s="31">
        <f>РЕАЛИЗАЦИЯ[[#This Row],[ЖАМИ]]-РЕАЛИЗАЦИЯ[[#This Row],[ЖАМИ2]]</f>
        <v>0</v>
      </c>
      <c r="L614" s="31"/>
    </row>
    <row r="615" spans="3:12" ht="15" customHeight="1" x14ac:dyDescent="0.3">
      <c r="C615" s="96"/>
      <c r="D615" s="96"/>
      <c r="G615" s="50">
        <f>РЕАЛИЗАЦИЯ[[#This Row],[СОНИ]]*РЕАЛИЗАЦИЯ[[#This Row],[НАРХИ]]</f>
        <v>0</v>
      </c>
      <c r="I615" s="94"/>
      <c r="J615" s="31">
        <f>РЕАЛИЗАЦИЯ[[#This Row],[СОНИ]]*РЕАЛИЗАЦИЯ[[#This Row],[ТАННАРХ]]</f>
        <v>0</v>
      </c>
      <c r="K615" s="31">
        <f>РЕАЛИЗАЦИЯ[[#This Row],[ЖАМИ]]-РЕАЛИЗАЦИЯ[[#This Row],[ЖАМИ2]]</f>
        <v>0</v>
      </c>
      <c r="L615" s="31"/>
    </row>
    <row r="616" spans="3:12" ht="15" customHeight="1" x14ac:dyDescent="0.3">
      <c r="C616" s="96"/>
      <c r="D616" s="96"/>
      <c r="G616" s="50">
        <f>РЕАЛИЗАЦИЯ[[#This Row],[СОНИ]]*РЕАЛИЗАЦИЯ[[#This Row],[НАРХИ]]</f>
        <v>0</v>
      </c>
      <c r="I616" s="94"/>
      <c r="J616" s="31">
        <f>РЕАЛИЗАЦИЯ[[#This Row],[СОНИ]]*РЕАЛИЗАЦИЯ[[#This Row],[ТАННАРХ]]</f>
        <v>0</v>
      </c>
      <c r="K616" s="31">
        <f>РЕАЛИЗАЦИЯ[[#This Row],[ЖАМИ]]-РЕАЛИЗАЦИЯ[[#This Row],[ЖАМИ2]]</f>
        <v>0</v>
      </c>
      <c r="L616" s="31"/>
    </row>
    <row r="617" spans="3:12" ht="15" customHeight="1" x14ac:dyDescent="0.3">
      <c r="C617" s="96"/>
      <c r="D617" s="96"/>
      <c r="G617" s="50">
        <f>РЕАЛИЗАЦИЯ[[#This Row],[СОНИ]]*РЕАЛИЗАЦИЯ[[#This Row],[НАРХИ]]</f>
        <v>0</v>
      </c>
      <c r="I617" s="94"/>
      <c r="J617" s="31">
        <f>РЕАЛИЗАЦИЯ[[#This Row],[СОНИ]]*РЕАЛИЗАЦИЯ[[#This Row],[ТАННАРХ]]</f>
        <v>0</v>
      </c>
      <c r="K617" s="31">
        <f>РЕАЛИЗАЦИЯ[[#This Row],[ЖАМИ]]-РЕАЛИЗАЦИЯ[[#This Row],[ЖАМИ2]]</f>
        <v>0</v>
      </c>
      <c r="L617" s="31"/>
    </row>
    <row r="618" spans="3:12" ht="15" customHeight="1" x14ac:dyDescent="0.3">
      <c r="C618" s="96"/>
      <c r="D618" s="96"/>
      <c r="G618" s="50">
        <f>РЕАЛИЗАЦИЯ[[#This Row],[СОНИ]]*РЕАЛИЗАЦИЯ[[#This Row],[НАРХИ]]</f>
        <v>0</v>
      </c>
      <c r="I618" s="94"/>
      <c r="J618" s="31">
        <f>РЕАЛИЗАЦИЯ[[#This Row],[СОНИ]]*РЕАЛИЗАЦИЯ[[#This Row],[ТАННАРХ]]</f>
        <v>0</v>
      </c>
      <c r="K618" s="31">
        <f>РЕАЛИЗАЦИЯ[[#This Row],[ЖАМИ]]-РЕАЛИЗАЦИЯ[[#This Row],[ЖАМИ2]]</f>
        <v>0</v>
      </c>
      <c r="L618" s="31"/>
    </row>
    <row r="619" spans="3:12" ht="15" customHeight="1" x14ac:dyDescent="0.3">
      <c r="C619" s="96"/>
      <c r="D619" s="96"/>
      <c r="G619" s="50">
        <f>РЕАЛИЗАЦИЯ[[#This Row],[СОНИ]]*РЕАЛИЗАЦИЯ[[#This Row],[НАРХИ]]</f>
        <v>0</v>
      </c>
      <c r="I619" s="94"/>
      <c r="J619" s="31">
        <f>РЕАЛИЗАЦИЯ[[#This Row],[СОНИ]]*РЕАЛИЗАЦИЯ[[#This Row],[ТАННАРХ]]</f>
        <v>0</v>
      </c>
      <c r="K619" s="31">
        <f>РЕАЛИЗАЦИЯ[[#This Row],[ЖАМИ]]-РЕАЛИЗАЦИЯ[[#This Row],[ЖАМИ2]]</f>
        <v>0</v>
      </c>
      <c r="L619" s="31"/>
    </row>
    <row r="620" spans="3:12" ht="15" customHeight="1" x14ac:dyDescent="0.3">
      <c r="C620" s="96"/>
      <c r="D620" s="96"/>
      <c r="G620" s="50">
        <f>РЕАЛИЗАЦИЯ[[#This Row],[СОНИ]]*РЕАЛИЗАЦИЯ[[#This Row],[НАРХИ]]</f>
        <v>0</v>
      </c>
      <c r="I620" s="94"/>
      <c r="J620" s="31">
        <f>РЕАЛИЗАЦИЯ[[#This Row],[СОНИ]]*РЕАЛИЗАЦИЯ[[#This Row],[ТАННАРХ]]</f>
        <v>0</v>
      </c>
      <c r="K620" s="31">
        <f>РЕАЛИЗАЦИЯ[[#This Row],[ЖАМИ]]-РЕАЛИЗАЦИЯ[[#This Row],[ЖАМИ2]]</f>
        <v>0</v>
      </c>
      <c r="L620" s="31"/>
    </row>
    <row r="621" spans="3:12" ht="15" customHeight="1" x14ac:dyDescent="0.3">
      <c r="C621" s="96"/>
      <c r="D621" s="96"/>
      <c r="G621" s="50">
        <f>РЕАЛИЗАЦИЯ[[#This Row],[СОНИ]]*РЕАЛИЗАЦИЯ[[#This Row],[НАРХИ]]</f>
        <v>0</v>
      </c>
      <c r="I621" s="94"/>
      <c r="J621" s="31">
        <f>РЕАЛИЗАЦИЯ[[#This Row],[СОНИ]]*РЕАЛИЗАЦИЯ[[#This Row],[ТАННАРХ]]</f>
        <v>0</v>
      </c>
      <c r="K621" s="31">
        <f>РЕАЛИЗАЦИЯ[[#This Row],[ЖАМИ]]-РЕАЛИЗАЦИЯ[[#This Row],[ЖАМИ2]]</f>
        <v>0</v>
      </c>
      <c r="L621" s="31"/>
    </row>
    <row r="622" spans="3:12" ht="15" customHeight="1" x14ac:dyDescent="0.3">
      <c r="C622" s="96"/>
      <c r="D622" s="96"/>
      <c r="G622" s="50">
        <f>РЕАЛИЗАЦИЯ[[#This Row],[СОНИ]]*РЕАЛИЗАЦИЯ[[#This Row],[НАРХИ]]</f>
        <v>0</v>
      </c>
      <c r="I622" s="94"/>
      <c r="J622" s="31">
        <f>РЕАЛИЗАЦИЯ[[#This Row],[СОНИ]]*РЕАЛИЗАЦИЯ[[#This Row],[ТАННАРХ]]</f>
        <v>0</v>
      </c>
      <c r="K622" s="31">
        <f>РЕАЛИЗАЦИЯ[[#This Row],[ЖАМИ]]-РЕАЛИЗАЦИЯ[[#This Row],[ЖАМИ2]]</f>
        <v>0</v>
      </c>
      <c r="L622" s="31"/>
    </row>
    <row r="623" spans="3:12" ht="15" customHeight="1" x14ac:dyDescent="0.3">
      <c r="C623" s="96"/>
      <c r="D623" s="96"/>
      <c r="G623" s="50">
        <f>РЕАЛИЗАЦИЯ[[#This Row],[СОНИ]]*РЕАЛИЗАЦИЯ[[#This Row],[НАРХИ]]</f>
        <v>0</v>
      </c>
      <c r="I623" s="94"/>
      <c r="J623" s="31">
        <f>РЕАЛИЗАЦИЯ[[#This Row],[СОНИ]]*РЕАЛИЗАЦИЯ[[#This Row],[ТАННАРХ]]</f>
        <v>0</v>
      </c>
      <c r="K623" s="31">
        <f>РЕАЛИЗАЦИЯ[[#This Row],[ЖАМИ]]-РЕАЛИЗАЦИЯ[[#This Row],[ЖАМИ2]]</f>
        <v>0</v>
      </c>
      <c r="L623" s="31"/>
    </row>
    <row r="624" spans="3:12" ht="15" customHeight="1" x14ac:dyDescent="0.3">
      <c r="C624" s="96"/>
      <c r="D624" s="96"/>
      <c r="G624" s="50">
        <f>РЕАЛИЗАЦИЯ[[#This Row],[СОНИ]]*РЕАЛИЗАЦИЯ[[#This Row],[НАРХИ]]</f>
        <v>0</v>
      </c>
      <c r="I624" s="94"/>
      <c r="J624" s="31">
        <f>РЕАЛИЗАЦИЯ[[#This Row],[СОНИ]]*РЕАЛИЗАЦИЯ[[#This Row],[ТАННАРХ]]</f>
        <v>0</v>
      </c>
      <c r="K624" s="31">
        <f>РЕАЛИЗАЦИЯ[[#This Row],[ЖАМИ]]-РЕАЛИЗАЦИЯ[[#This Row],[ЖАМИ2]]</f>
        <v>0</v>
      </c>
      <c r="L624" s="31"/>
    </row>
    <row r="625" spans="3:12" ht="15" customHeight="1" x14ac:dyDescent="0.3">
      <c r="C625" s="96"/>
      <c r="D625" s="96"/>
      <c r="G625" s="50">
        <f>РЕАЛИЗАЦИЯ[[#This Row],[СОНИ]]*РЕАЛИЗАЦИЯ[[#This Row],[НАРХИ]]</f>
        <v>0</v>
      </c>
      <c r="I625" s="94"/>
      <c r="J625" s="31">
        <f>РЕАЛИЗАЦИЯ[[#This Row],[СОНИ]]*РЕАЛИЗАЦИЯ[[#This Row],[ТАННАРХ]]</f>
        <v>0</v>
      </c>
      <c r="K625" s="31">
        <f>РЕАЛИЗАЦИЯ[[#This Row],[ЖАМИ]]-РЕАЛИЗАЦИЯ[[#This Row],[ЖАМИ2]]</f>
        <v>0</v>
      </c>
      <c r="L625" s="31"/>
    </row>
    <row r="626" spans="3:12" ht="15" customHeight="1" x14ac:dyDescent="0.3">
      <c r="C626" s="96"/>
      <c r="D626" s="96"/>
      <c r="G626" s="50">
        <f>РЕАЛИЗАЦИЯ[[#This Row],[СОНИ]]*РЕАЛИЗАЦИЯ[[#This Row],[НАРХИ]]</f>
        <v>0</v>
      </c>
      <c r="I626" s="94"/>
      <c r="J626" s="31">
        <f>РЕАЛИЗАЦИЯ[[#This Row],[СОНИ]]*РЕАЛИЗАЦИЯ[[#This Row],[ТАННАРХ]]</f>
        <v>0</v>
      </c>
      <c r="K626" s="31">
        <f>РЕАЛИЗАЦИЯ[[#This Row],[ЖАМИ]]-РЕАЛИЗАЦИЯ[[#This Row],[ЖАМИ2]]</f>
        <v>0</v>
      </c>
      <c r="L626" s="31"/>
    </row>
    <row r="627" spans="3:12" ht="15" customHeight="1" x14ac:dyDescent="0.3">
      <c r="C627" s="96"/>
      <c r="D627" s="96"/>
      <c r="G627" s="50">
        <f>РЕАЛИЗАЦИЯ[[#This Row],[СОНИ]]*РЕАЛИЗАЦИЯ[[#This Row],[НАРХИ]]</f>
        <v>0</v>
      </c>
      <c r="I627" s="94"/>
      <c r="J627" s="31">
        <f>РЕАЛИЗАЦИЯ[[#This Row],[СОНИ]]*РЕАЛИЗАЦИЯ[[#This Row],[ТАННАРХ]]</f>
        <v>0</v>
      </c>
      <c r="K627" s="31">
        <f>РЕАЛИЗАЦИЯ[[#This Row],[ЖАМИ]]-РЕАЛИЗАЦИЯ[[#This Row],[ЖАМИ2]]</f>
        <v>0</v>
      </c>
      <c r="L627" s="31"/>
    </row>
    <row r="628" spans="3:12" ht="15" customHeight="1" x14ac:dyDescent="0.3">
      <c r="C628" s="97"/>
      <c r="D628" s="97"/>
      <c r="G628" s="50">
        <f>РЕАЛИЗАЦИЯ[[#This Row],[СОНИ]]*РЕАЛИЗАЦИЯ[[#This Row],[НАРХИ]]</f>
        <v>0</v>
      </c>
      <c r="I628" s="94"/>
      <c r="J628" s="31">
        <f>РЕАЛИЗАЦИЯ[[#This Row],[СОНИ]]*РЕАЛИЗАЦИЯ[[#This Row],[ТАННАРХ]]</f>
        <v>0</v>
      </c>
      <c r="K628" s="31">
        <f>РЕАЛИЗАЦИЯ[[#This Row],[ЖАМИ]]-РЕАЛИЗАЦИЯ[[#This Row],[ЖАМИ2]]</f>
        <v>0</v>
      </c>
      <c r="L628" s="31"/>
    </row>
    <row r="629" spans="3:12" ht="15" customHeight="1" x14ac:dyDescent="0.3">
      <c r="C629" s="97"/>
      <c r="D629" s="97"/>
      <c r="G629" s="50">
        <f>РЕАЛИЗАЦИЯ[[#This Row],[СОНИ]]*РЕАЛИЗАЦИЯ[[#This Row],[НАРХИ]]</f>
        <v>0</v>
      </c>
      <c r="I629" s="94"/>
      <c r="J629" s="31">
        <f>РЕАЛИЗАЦИЯ[[#This Row],[СОНИ]]*РЕАЛИЗАЦИЯ[[#This Row],[ТАННАРХ]]</f>
        <v>0</v>
      </c>
      <c r="K629" s="31">
        <f>РЕАЛИЗАЦИЯ[[#This Row],[ЖАМИ]]-РЕАЛИЗАЦИЯ[[#This Row],[ЖАМИ2]]</f>
        <v>0</v>
      </c>
      <c r="L629" s="31"/>
    </row>
    <row r="630" spans="3:12" ht="15" customHeight="1" x14ac:dyDescent="0.3">
      <c r="C630" s="97"/>
      <c r="D630" s="97"/>
      <c r="G630" s="50">
        <f>РЕАЛИЗАЦИЯ[[#This Row],[СОНИ]]*РЕАЛИЗАЦИЯ[[#This Row],[НАРХИ]]</f>
        <v>0</v>
      </c>
      <c r="I630" s="94"/>
      <c r="J630" s="31">
        <f>РЕАЛИЗАЦИЯ[[#This Row],[СОНИ]]*РЕАЛИЗАЦИЯ[[#This Row],[ТАННАРХ]]</f>
        <v>0</v>
      </c>
      <c r="K630" s="31">
        <f>РЕАЛИЗАЦИЯ[[#This Row],[ЖАМИ]]-РЕАЛИЗАЦИЯ[[#This Row],[ЖАМИ2]]</f>
        <v>0</v>
      </c>
      <c r="L630" s="31"/>
    </row>
    <row r="631" spans="3:12" ht="15" customHeight="1" x14ac:dyDescent="0.3">
      <c r="C631" s="97"/>
      <c r="D631" s="97"/>
      <c r="G631" s="50">
        <f>РЕАЛИЗАЦИЯ[[#This Row],[СОНИ]]*РЕАЛИЗАЦИЯ[[#This Row],[НАРХИ]]</f>
        <v>0</v>
      </c>
      <c r="I631" s="94"/>
      <c r="J631" s="31">
        <f>РЕАЛИЗАЦИЯ[[#This Row],[СОНИ]]*РЕАЛИЗАЦИЯ[[#This Row],[ТАННАРХ]]</f>
        <v>0</v>
      </c>
      <c r="K631" s="31">
        <f>РЕАЛИЗАЦИЯ[[#This Row],[ЖАМИ]]-РЕАЛИЗАЦИЯ[[#This Row],[ЖАМИ2]]</f>
        <v>0</v>
      </c>
      <c r="L631" s="31"/>
    </row>
    <row r="632" spans="3:12" ht="15" customHeight="1" x14ac:dyDescent="0.3">
      <c r="C632" s="97"/>
      <c r="D632" s="97"/>
      <c r="G632" s="50">
        <f>РЕАЛИЗАЦИЯ[[#This Row],[СОНИ]]*РЕАЛИЗАЦИЯ[[#This Row],[НАРХИ]]</f>
        <v>0</v>
      </c>
      <c r="I632" s="94"/>
      <c r="J632" s="31">
        <f>РЕАЛИЗАЦИЯ[[#This Row],[СОНИ]]*РЕАЛИЗАЦИЯ[[#This Row],[ТАННАРХ]]</f>
        <v>0</v>
      </c>
      <c r="K632" s="31">
        <f>РЕАЛИЗАЦИЯ[[#This Row],[ЖАМИ]]-РЕАЛИЗАЦИЯ[[#This Row],[ЖАМИ2]]</f>
        <v>0</v>
      </c>
      <c r="L632" s="31"/>
    </row>
    <row r="633" spans="3:12" ht="15" customHeight="1" x14ac:dyDescent="0.3">
      <c r="C633" s="141"/>
      <c r="D633" s="141"/>
      <c r="G633" s="50">
        <f>РЕАЛИЗАЦИЯ[[#This Row],[СОНИ]]*РЕАЛИЗАЦИЯ[[#This Row],[НАРХИ]]</f>
        <v>0</v>
      </c>
      <c r="I633" s="132"/>
      <c r="J633" s="31">
        <f>РЕАЛИЗАЦИЯ[[#This Row],[СОНИ]]*РЕАЛИЗАЦИЯ[[#This Row],[ТАННАРХ]]</f>
        <v>0</v>
      </c>
      <c r="K633" s="31">
        <f>РЕАЛИЗАЦИЯ[[#This Row],[ЖАМИ]]-РЕАЛИЗАЦИЯ[[#This Row],[ЖАМИ2]]</f>
        <v>0</v>
      </c>
      <c r="L633" s="31"/>
    </row>
    <row r="634" spans="3:12" ht="15" customHeight="1" x14ac:dyDescent="0.3">
      <c r="C634" s="97"/>
      <c r="D634" s="97"/>
      <c r="G634" s="50">
        <f>РЕАЛИЗАЦИЯ[[#This Row],[СОНИ]]*РЕАЛИЗАЦИЯ[[#This Row],[НАРХИ]]</f>
        <v>0</v>
      </c>
      <c r="I634" s="94"/>
      <c r="J634" s="31">
        <f>РЕАЛИЗАЦИЯ[[#This Row],[СОНИ]]*РЕАЛИЗАЦИЯ[[#This Row],[ТАННАРХ]]</f>
        <v>0</v>
      </c>
      <c r="K634" s="31">
        <f>РЕАЛИЗАЦИЯ[[#This Row],[ЖАМИ]]-РЕАЛИЗАЦИЯ[[#This Row],[ЖАМИ2]]</f>
        <v>0</v>
      </c>
      <c r="L634" s="31"/>
    </row>
    <row r="635" spans="3:12" ht="15" customHeight="1" x14ac:dyDescent="0.3">
      <c r="C635" s="97"/>
      <c r="D635" s="97"/>
      <c r="G635" s="50">
        <f>РЕАЛИЗАЦИЯ[[#This Row],[СОНИ]]*РЕАЛИЗАЦИЯ[[#This Row],[НАРХИ]]</f>
        <v>0</v>
      </c>
      <c r="I635" s="94"/>
      <c r="J635" s="31">
        <f>РЕАЛИЗАЦИЯ[[#This Row],[СОНИ]]*РЕАЛИЗАЦИЯ[[#This Row],[ТАННАРХ]]</f>
        <v>0</v>
      </c>
      <c r="K635" s="31">
        <f>РЕАЛИЗАЦИЯ[[#This Row],[ЖАМИ]]-РЕАЛИЗАЦИЯ[[#This Row],[ЖАМИ2]]</f>
        <v>0</v>
      </c>
      <c r="L635" s="31"/>
    </row>
    <row r="636" spans="3:12" ht="15" customHeight="1" x14ac:dyDescent="0.3">
      <c r="C636" s="97"/>
      <c r="D636" s="97"/>
      <c r="G636" s="50">
        <f>РЕАЛИЗАЦИЯ[[#This Row],[СОНИ]]*РЕАЛИЗАЦИЯ[[#This Row],[НАРХИ]]</f>
        <v>0</v>
      </c>
      <c r="I636" s="94"/>
      <c r="J636" s="31">
        <f>РЕАЛИЗАЦИЯ[[#This Row],[СОНИ]]*РЕАЛИЗАЦИЯ[[#This Row],[ТАННАРХ]]</f>
        <v>0</v>
      </c>
      <c r="K636" s="31">
        <f>РЕАЛИЗАЦИЯ[[#This Row],[ЖАМИ]]-РЕАЛИЗАЦИЯ[[#This Row],[ЖАМИ2]]</f>
        <v>0</v>
      </c>
      <c r="L636" s="31"/>
    </row>
    <row r="637" spans="3:12" ht="15" customHeight="1" x14ac:dyDescent="0.3">
      <c r="C637" s="97"/>
      <c r="D637" s="97"/>
      <c r="G637" s="50">
        <f>РЕАЛИЗАЦИЯ[[#This Row],[СОНИ]]*РЕАЛИЗАЦИЯ[[#This Row],[НАРХИ]]</f>
        <v>0</v>
      </c>
      <c r="I637" s="94"/>
      <c r="J637" s="31">
        <f>РЕАЛИЗАЦИЯ[[#This Row],[СОНИ]]*РЕАЛИЗАЦИЯ[[#This Row],[ТАННАРХ]]</f>
        <v>0</v>
      </c>
      <c r="K637" s="31">
        <f>РЕАЛИЗАЦИЯ[[#This Row],[ЖАМИ]]-РЕАЛИЗАЦИЯ[[#This Row],[ЖАМИ2]]</f>
        <v>0</v>
      </c>
      <c r="L637" s="31"/>
    </row>
    <row r="638" spans="3:12" ht="15" customHeight="1" x14ac:dyDescent="0.3">
      <c r="C638" s="97"/>
      <c r="D638" s="97"/>
      <c r="G638" s="50">
        <f>РЕАЛИЗАЦИЯ[[#This Row],[СОНИ]]*РЕАЛИЗАЦИЯ[[#This Row],[НАРХИ]]</f>
        <v>0</v>
      </c>
      <c r="I638" s="94"/>
      <c r="J638" s="31">
        <f>РЕАЛИЗАЦИЯ[[#This Row],[СОНИ]]*РЕАЛИЗАЦИЯ[[#This Row],[ТАННАРХ]]</f>
        <v>0</v>
      </c>
      <c r="K638" s="31">
        <f>РЕАЛИЗАЦИЯ[[#This Row],[ЖАМИ]]-РЕАЛИЗАЦИЯ[[#This Row],[ЖАМИ2]]</f>
        <v>0</v>
      </c>
      <c r="L638" s="31"/>
    </row>
    <row r="639" spans="3:12" ht="15" customHeight="1" x14ac:dyDescent="0.3">
      <c r="C639" s="97"/>
      <c r="D639" s="97"/>
      <c r="G639" s="50">
        <f>РЕАЛИЗАЦИЯ[[#This Row],[СОНИ]]*РЕАЛИЗАЦИЯ[[#This Row],[НАРХИ]]</f>
        <v>0</v>
      </c>
      <c r="I639" s="94"/>
      <c r="J639" s="31">
        <f>РЕАЛИЗАЦИЯ[[#This Row],[СОНИ]]*РЕАЛИЗАЦИЯ[[#This Row],[ТАННАРХ]]</f>
        <v>0</v>
      </c>
      <c r="K639" s="31">
        <f>РЕАЛИЗАЦИЯ[[#This Row],[ЖАМИ]]-РЕАЛИЗАЦИЯ[[#This Row],[ЖАМИ2]]</f>
        <v>0</v>
      </c>
      <c r="L639" s="31"/>
    </row>
    <row r="640" spans="3:12" ht="15" customHeight="1" x14ac:dyDescent="0.3">
      <c r="C640" s="97"/>
      <c r="D640" s="97"/>
      <c r="G640" s="50">
        <f>РЕАЛИЗАЦИЯ[[#This Row],[СОНИ]]*РЕАЛИЗАЦИЯ[[#This Row],[НАРХИ]]</f>
        <v>0</v>
      </c>
      <c r="I640" s="94"/>
      <c r="J640" s="31">
        <f>РЕАЛИЗАЦИЯ[[#This Row],[СОНИ]]*РЕАЛИЗАЦИЯ[[#This Row],[ТАННАРХ]]</f>
        <v>0</v>
      </c>
      <c r="K640" s="31">
        <f>РЕАЛИЗАЦИЯ[[#This Row],[ЖАМИ]]-РЕАЛИЗАЦИЯ[[#This Row],[ЖАМИ2]]</f>
        <v>0</v>
      </c>
      <c r="L640" s="31"/>
    </row>
    <row r="641" spans="3:12" ht="15" customHeight="1" x14ac:dyDescent="0.3">
      <c r="C641" s="97"/>
      <c r="D641" s="97"/>
      <c r="G641" s="50">
        <f>РЕАЛИЗАЦИЯ[[#This Row],[СОНИ]]*РЕАЛИЗАЦИЯ[[#This Row],[НАРХИ]]</f>
        <v>0</v>
      </c>
      <c r="I641" s="94"/>
      <c r="J641" s="31">
        <f>РЕАЛИЗАЦИЯ[[#This Row],[СОНИ]]*РЕАЛИЗАЦИЯ[[#This Row],[ТАННАРХ]]</f>
        <v>0</v>
      </c>
      <c r="K641" s="31">
        <f>РЕАЛИЗАЦИЯ[[#This Row],[ЖАМИ]]-РЕАЛИЗАЦИЯ[[#This Row],[ЖАМИ2]]</f>
        <v>0</v>
      </c>
      <c r="L641" s="31"/>
    </row>
    <row r="642" spans="3:12" ht="15" customHeight="1" x14ac:dyDescent="0.3">
      <c r="C642" s="97"/>
      <c r="D642" s="97"/>
      <c r="G642" s="50">
        <f>РЕАЛИЗАЦИЯ[[#This Row],[СОНИ]]*РЕАЛИЗАЦИЯ[[#This Row],[НАРХИ]]</f>
        <v>0</v>
      </c>
      <c r="I642" s="94"/>
      <c r="J642" s="31">
        <f>РЕАЛИЗАЦИЯ[[#This Row],[СОНИ]]*РЕАЛИЗАЦИЯ[[#This Row],[ТАННАРХ]]</f>
        <v>0</v>
      </c>
      <c r="K642" s="31">
        <f>РЕАЛИЗАЦИЯ[[#This Row],[ЖАМИ]]-РЕАЛИЗАЦИЯ[[#This Row],[ЖАМИ2]]</f>
        <v>0</v>
      </c>
      <c r="L642" s="31"/>
    </row>
    <row r="643" spans="3:12" ht="15" customHeight="1" x14ac:dyDescent="0.3">
      <c r="C643" s="97"/>
      <c r="D643" s="97"/>
      <c r="G643" s="50">
        <f>РЕАЛИЗАЦИЯ[[#This Row],[СОНИ]]*РЕАЛИЗАЦИЯ[[#This Row],[НАРХИ]]</f>
        <v>0</v>
      </c>
      <c r="I643" s="94"/>
      <c r="J643" s="31">
        <f>РЕАЛИЗАЦИЯ[[#This Row],[СОНИ]]*РЕАЛИЗАЦИЯ[[#This Row],[ТАННАРХ]]</f>
        <v>0</v>
      </c>
      <c r="K643" s="31">
        <f>РЕАЛИЗАЦИЯ[[#This Row],[ЖАМИ]]-РЕАЛИЗАЦИЯ[[#This Row],[ЖАМИ2]]</f>
        <v>0</v>
      </c>
      <c r="L643" s="31"/>
    </row>
    <row r="644" spans="3:12" ht="15" customHeight="1" x14ac:dyDescent="0.3">
      <c r="C644" s="97"/>
      <c r="D644" s="97"/>
      <c r="G644" s="50">
        <f>РЕАЛИЗАЦИЯ[[#This Row],[СОНИ]]*РЕАЛИЗАЦИЯ[[#This Row],[НАРХИ]]</f>
        <v>0</v>
      </c>
      <c r="I644" s="94"/>
      <c r="J644" s="31">
        <f>РЕАЛИЗАЦИЯ[[#This Row],[СОНИ]]*РЕАЛИЗАЦИЯ[[#This Row],[ТАННАРХ]]</f>
        <v>0</v>
      </c>
      <c r="K644" s="31">
        <f>РЕАЛИЗАЦИЯ[[#This Row],[ЖАМИ]]-РЕАЛИЗАЦИЯ[[#This Row],[ЖАМИ2]]</f>
        <v>0</v>
      </c>
      <c r="L644" s="31"/>
    </row>
    <row r="645" spans="3:12" ht="15" customHeight="1" x14ac:dyDescent="0.3">
      <c r="C645" s="97"/>
      <c r="D645" s="97"/>
      <c r="G645" s="50">
        <f>РЕАЛИЗАЦИЯ[[#This Row],[СОНИ]]*РЕАЛИЗАЦИЯ[[#This Row],[НАРХИ]]</f>
        <v>0</v>
      </c>
      <c r="I645" s="94"/>
      <c r="J645" s="31">
        <f>РЕАЛИЗАЦИЯ[[#This Row],[СОНИ]]*РЕАЛИЗАЦИЯ[[#This Row],[ТАННАРХ]]</f>
        <v>0</v>
      </c>
      <c r="K645" s="31">
        <f>РЕАЛИЗАЦИЯ[[#This Row],[ЖАМИ]]-РЕАЛИЗАЦИЯ[[#This Row],[ЖАМИ2]]</f>
        <v>0</v>
      </c>
      <c r="L645" s="31"/>
    </row>
    <row r="646" spans="3:12" ht="15" customHeight="1" x14ac:dyDescent="0.3">
      <c r="C646" s="97"/>
      <c r="D646" s="97"/>
      <c r="G646" s="50">
        <f>РЕАЛИЗАЦИЯ[[#This Row],[СОНИ]]*РЕАЛИЗАЦИЯ[[#This Row],[НАРХИ]]</f>
        <v>0</v>
      </c>
      <c r="I646" s="94"/>
      <c r="J646" s="31">
        <f>РЕАЛИЗАЦИЯ[[#This Row],[СОНИ]]*РЕАЛИЗАЦИЯ[[#This Row],[ТАННАРХ]]</f>
        <v>0</v>
      </c>
      <c r="K646" s="31">
        <f>РЕАЛИЗАЦИЯ[[#This Row],[ЖАМИ]]-РЕАЛИЗАЦИЯ[[#This Row],[ЖАМИ2]]</f>
        <v>0</v>
      </c>
      <c r="L646" s="31"/>
    </row>
    <row r="647" spans="3:12" ht="15" customHeight="1" x14ac:dyDescent="0.3">
      <c r="C647" s="97"/>
      <c r="D647" s="97"/>
      <c r="G647" s="50">
        <f>РЕАЛИЗАЦИЯ[[#This Row],[СОНИ]]*РЕАЛИЗАЦИЯ[[#This Row],[НАРХИ]]</f>
        <v>0</v>
      </c>
      <c r="I647" s="94"/>
      <c r="J647" s="31">
        <f>РЕАЛИЗАЦИЯ[[#This Row],[СОНИ]]*РЕАЛИЗАЦИЯ[[#This Row],[ТАННАРХ]]</f>
        <v>0</v>
      </c>
      <c r="K647" s="31">
        <f>РЕАЛИЗАЦИЯ[[#This Row],[ЖАМИ]]-РЕАЛИЗАЦИЯ[[#This Row],[ЖАМИ2]]</f>
        <v>0</v>
      </c>
      <c r="L647" s="31"/>
    </row>
    <row r="648" spans="3:12" ht="15" customHeight="1" x14ac:dyDescent="0.3">
      <c r="C648" s="97"/>
      <c r="D648" s="97"/>
      <c r="G648" s="50">
        <f>РЕАЛИЗАЦИЯ[[#This Row],[СОНИ]]*РЕАЛИЗАЦИЯ[[#This Row],[НАРХИ]]</f>
        <v>0</v>
      </c>
      <c r="I648" s="94"/>
      <c r="J648" s="31">
        <f>РЕАЛИЗАЦИЯ[[#This Row],[СОНИ]]*РЕАЛИЗАЦИЯ[[#This Row],[ТАННАРХ]]</f>
        <v>0</v>
      </c>
      <c r="K648" s="31">
        <f>РЕАЛИЗАЦИЯ[[#This Row],[ЖАМИ]]-РЕАЛИЗАЦИЯ[[#This Row],[ЖАМИ2]]</f>
        <v>0</v>
      </c>
      <c r="L648" s="31"/>
    </row>
    <row r="649" spans="3:12" ht="15" customHeight="1" x14ac:dyDescent="0.3">
      <c r="C649" s="97"/>
      <c r="D649" s="97"/>
      <c r="G649" s="50">
        <f>РЕАЛИЗАЦИЯ[[#This Row],[СОНИ]]*РЕАЛИЗАЦИЯ[[#This Row],[НАРХИ]]</f>
        <v>0</v>
      </c>
      <c r="I649" s="94"/>
      <c r="J649" s="31">
        <f>РЕАЛИЗАЦИЯ[[#This Row],[СОНИ]]*РЕАЛИЗАЦИЯ[[#This Row],[ТАННАРХ]]</f>
        <v>0</v>
      </c>
      <c r="K649" s="31">
        <f>РЕАЛИЗАЦИЯ[[#This Row],[ЖАМИ]]-РЕАЛИЗАЦИЯ[[#This Row],[ЖАМИ2]]</f>
        <v>0</v>
      </c>
      <c r="L649" s="31"/>
    </row>
    <row r="650" spans="3:12" ht="15" customHeight="1" x14ac:dyDescent="0.3">
      <c r="C650" s="97"/>
      <c r="D650" s="97"/>
      <c r="G650" s="50">
        <f>РЕАЛИЗАЦИЯ[[#This Row],[СОНИ]]*РЕАЛИЗАЦИЯ[[#This Row],[НАРХИ]]</f>
        <v>0</v>
      </c>
      <c r="I650" s="94"/>
      <c r="J650" s="31">
        <f>РЕАЛИЗАЦИЯ[[#This Row],[СОНИ]]*РЕАЛИЗАЦИЯ[[#This Row],[ТАННАРХ]]</f>
        <v>0</v>
      </c>
      <c r="K650" s="31">
        <f>РЕАЛИЗАЦИЯ[[#This Row],[ЖАМИ]]-РЕАЛИЗАЦИЯ[[#This Row],[ЖАМИ2]]</f>
        <v>0</v>
      </c>
      <c r="L650" s="31"/>
    </row>
    <row r="651" spans="3:12" ht="15" customHeight="1" x14ac:dyDescent="0.3">
      <c r="C651" s="97"/>
      <c r="D651" s="97"/>
      <c r="G651" s="50">
        <f>РЕАЛИЗАЦИЯ[[#This Row],[СОНИ]]*РЕАЛИЗАЦИЯ[[#This Row],[НАРХИ]]</f>
        <v>0</v>
      </c>
      <c r="I651" s="94"/>
      <c r="J651" s="31">
        <f>РЕАЛИЗАЦИЯ[[#This Row],[СОНИ]]*РЕАЛИЗАЦИЯ[[#This Row],[ТАННАРХ]]</f>
        <v>0</v>
      </c>
      <c r="K651" s="31">
        <f>РЕАЛИЗАЦИЯ[[#This Row],[ЖАМИ]]-РЕАЛИЗАЦИЯ[[#This Row],[ЖАМИ2]]</f>
        <v>0</v>
      </c>
      <c r="L651" s="31"/>
    </row>
    <row r="652" spans="3:12" ht="15" customHeight="1" x14ac:dyDescent="0.3">
      <c r="C652" s="97"/>
      <c r="D652" s="97"/>
      <c r="G652" s="50">
        <f>РЕАЛИЗАЦИЯ[[#This Row],[СОНИ]]*РЕАЛИЗАЦИЯ[[#This Row],[НАРХИ]]</f>
        <v>0</v>
      </c>
      <c r="I652" s="94"/>
      <c r="J652" s="31">
        <f>РЕАЛИЗАЦИЯ[[#This Row],[СОНИ]]*РЕАЛИЗАЦИЯ[[#This Row],[ТАННАРХ]]</f>
        <v>0</v>
      </c>
      <c r="K652" s="31">
        <f>РЕАЛИЗАЦИЯ[[#This Row],[ЖАМИ]]-РЕАЛИЗАЦИЯ[[#This Row],[ЖАМИ2]]</f>
        <v>0</v>
      </c>
      <c r="L652" s="31"/>
    </row>
    <row r="653" spans="3:12" ht="15" customHeight="1" x14ac:dyDescent="0.3">
      <c r="C653" s="97"/>
      <c r="D653" s="97"/>
      <c r="G653" s="50">
        <f>РЕАЛИЗАЦИЯ[[#This Row],[СОНИ]]*РЕАЛИЗАЦИЯ[[#This Row],[НАРХИ]]</f>
        <v>0</v>
      </c>
      <c r="I653" s="94"/>
      <c r="J653" s="31">
        <f>РЕАЛИЗАЦИЯ[[#This Row],[СОНИ]]*РЕАЛИЗАЦИЯ[[#This Row],[ТАННАРХ]]</f>
        <v>0</v>
      </c>
      <c r="K653" s="31">
        <f>РЕАЛИЗАЦИЯ[[#This Row],[ЖАМИ]]-РЕАЛИЗАЦИЯ[[#This Row],[ЖАМИ2]]</f>
        <v>0</v>
      </c>
      <c r="L653" s="31"/>
    </row>
    <row r="654" spans="3:12" ht="15" customHeight="1" x14ac:dyDescent="0.3">
      <c r="C654" s="97"/>
      <c r="D654" s="97"/>
      <c r="G654" s="50">
        <f>РЕАЛИЗАЦИЯ[[#This Row],[СОНИ]]*РЕАЛИЗАЦИЯ[[#This Row],[НАРХИ]]</f>
        <v>0</v>
      </c>
      <c r="I654" s="94"/>
      <c r="J654" s="31">
        <f>РЕАЛИЗАЦИЯ[[#This Row],[СОНИ]]*РЕАЛИЗАЦИЯ[[#This Row],[ТАННАРХ]]</f>
        <v>0</v>
      </c>
      <c r="K654" s="31">
        <f>РЕАЛИЗАЦИЯ[[#This Row],[ЖАМИ]]-РЕАЛИЗАЦИЯ[[#This Row],[ЖАМИ2]]</f>
        <v>0</v>
      </c>
      <c r="L654" s="31"/>
    </row>
    <row r="655" spans="3:12" ht="15" customHeight="1" x14ac:dyDescent="0.3">
      <c r="C655" s="97"/>
      <c r="D655" s="97"/>
      <c r="G655" s="50">
        <f>РЕАЛИЗАЦИЯ[[#This Row],[СОНИ]]*РЕАЛИЗАЦИЯ[[#This Row],[НАРХИ]]</f>
        <v>0</v>
      </c>
      <c r="I655" s="94"/>
      <c r="J655" s="31">
        <f>РЕАЛИЗАЦИЯ[[#This Row],[СОНИ]]*РЕАЛИЗАЦИЯ[[#This Row],[ТАННАРХ]]</f>
        <v>0</v>
      </c>
      <c r="K655" s="31">
        <f>РЕАЛИЗАЦИЯ[[#This Row],[ЖАМИ]]-РЕАЛИЗАЦИЯ[[#This Row],[ЖАМИ2]]</f>
        <v>0</v>
      </c>
      <c r="L655" s="31"/>
    </row>
    <row r="656" spans="3:12" ht="15" customHeight="1" x14ac:dyDescent="0.3">
      <c r="C656" s="97"/>
      <c r="D656" s="97"/>
      <c r="G656" s="50">
        <f>РЕАЛИЗАЦИЯ[[#This Row],[СОНИ]]*РЕАЛИЗАЦИЯ[[#This Row],[НАРХИ]]</f>
        <v>0</v>
      </c>
      <c r="I656" s="94"/>
      <c r="J656" s="31">
        <f>РЕАЛИЗАЦИЯ[[#This Row],[СОНИ]]*РЕАЛИЗАЦИЯ[[#This Row],[ТАННАРХ]]</f>
        <v>0</v>
      </c>
      <c r="K656" s="31">
        <f>РЕАЛИЗАЦИЯ[[#This Row],[ЖАМИ]]-РЕАЛИЗАЦИЯ[[#This Row],[ЖАМИ2]]</f>
        <v>0</v>
      </c>
      <c r="L656" s="31"/>
    </row>
    <row r="657" spans="3:12" ht="15" customHeight="1" x14ac:dyDescent="0.3">
      <c r="C657" s="97"/>
      <c r="D657" s="97"/>
      <c r="G657" s="50">
        <f>РЕАЛИЗАЦИЯ[[#This Row],[СОНИ]]*РЕАЛИЗАЦИЯ[[#This Row],[НАРХИ]]</f>
        <v>0</v>
      </c>
      <c r="I657" s="94"/>
      <c r="J657" s="31">
        <f>РЕАЛИЗАЦИЯ[[#This Row],[СОНИ]]*РЕАЛИЗАЦИЯ[[#This Row],[ТАННАРХ]]</f>
        <v>0</v>
      </c>
      <c r="K657" s="31">
        <f>РЕАЛИЗАЦИЯ[[#This Row],[ЖАМИ]]-РЕАЛИЗАЦИЯ[[#This Row],[ЖАМИ2]]</f>
        <v>0</v>
      </c>
      <c r="L657" s="31"/>
    </row>
    <row r="658" spans="3:12" ht="15" customHeight="1" x14ac:dyDescent="0.3">
      <c r="C658" s="97"/>
      <c r="D658" s="97"/>
      <c r="G658" s="50">
        <f>РЕАЛИЗАЦИЯ[[#This Row],[СОНИ]]*РЕАЛИЗАЦИЯ[[#This Row],[НАРХИ]]</f>
        <v>0</v>
      </c>
      <c r="I658" s="94"/>
      <c r="J658" s="31">
        <f>РЕАЛИЗАЦИЯ[[#This Row],[СОНИ]]*РЕАЛИЗАЦИЯ[[#This Row],[ТАННАРХ]]</f>
        <v>0</v>
      </c>
      <c r="K658" s="31">
        <f>РЕАЛИЗАЦИЯ[[#This Row],[ЖАМИ]]-РЕАЛИЗАЦИЯ[[#This Row],[ЖАМИ2]]</f>
        <v>0</v>
      </c>
      <c r="L658" s="31"/>
    </row>
    <row r="659" spans="3:12" ht="15" customHeight="1" x14ac:dyDescent="0.3">
      <c r="C659" s="97"/>
      <c r="D659" s="97"/>
      <c r="G659" s="50">
        <f>РЕАЛИЗАЦИЯ[[#This Row],[СОНИ]]*РЕАЛИЗАЦИЯ[[#This Row],[НАРХИ]]</f>
        <v>0</v>
      </c>
      <c r="I659" s="94"/>
      <c r="J659" s="31">
        <f>РЕАЛИЗАЦИЯ[[#This Row],[СОНИ]]*РЕАЛИЗАЦИЯ[[#This Row],[ТАННАРХ]]</f>
        <v>0</v>
      </c>
      <c r="K659" s="31">
        <f>РЕАЛИЗАЦИЯ[[#This Row],[ЖАМИ]]-РЕАЛИЗАЦИЯ[[#This Row],[ЖАМИ2]]</f>
        <v>0</v>
      </c>
      <c r="L659" s="31"/>
    </row>
    <row r="660" spans="3:12" ht="15" customHeight="1" x14ac:dyDescent="0.3">
      <c r="C660" s="97"/>
      <c r="D660" s="97"/>
      <c r="G660" s="50">
        <f>РЕАЛИЗАЦИЯ[[#This Row],[СОНИ]]*РЕАЛИЗАЦИЯ[[#This Row],[НАРХИ]]</f>
        <v>0</v>
      </c>
      <c r="I660" s="94"/>
      <c r="J660" s="31">
        <f>РЕАЛИЗАЦИЯ[[#This Row],[СОНИ]]*РЕАЛИЗАЦИЯ[[#This Row],[ТАННАРХ]]</f>
        <v>0</v>
      </c>
      <c r="K660" s="31">
        <f>РЕАЛИЗАЦИЯ[[#This Row],[ЖАМИ]]-РЕАЛИЗАЦИЯ[[#This Row],[ЖАМИ2]]</f>
        <v>0</v>
      </c>
      <c r="L660" s="31"/>
    </row>
    <row r="661" spans="3:12" ht="15" customHeight="1" x14ac:dyDescent="0.3">
      <c r="C661" s="97"/>
      <c r="D661" s="97"/>
      <c r="G661" s="50">
        <f>РЕАЛИЗАЦИЯ[[#This Row],[СОНИ]]*РЕАЛИЗАЦИЯ[[#This Row],[НАРХИ]]</f>
        <v>0</v>
      </c>
      <c r="I661" s="94"/>
      <c r="J661" s="31">
        <f>РЕАЛИЗАЦИЯ[[#This Row],[СОНИ]]*РЕАЛИЗАЦИЯ[[#This Row],[ТАННАРХ]]</f>
        <v>0</v>
      </c>
      <c r="K661" s="31">
        <f>РЕАЛИЗАЦИЯ[[#This Row],[ЖАМИ]]-РЕАЛИЗАЦИЯ[[#This Row],[ЖАМИ2]]</f>
        <v>0</v>
      </c>
      <c r="L661" s="31"/>
    </row>
    <row r="662" spans="3:12" ht="15" customHeight="1" x14ac:dyDescent="0.3">
      <c r="C662" s="97"/>
      <c r="D662" s="97"/>
      <c r="G662" s="50">
        <f>РЕАЛИЗАЦИЯ[[#This Row],[СОНИ]]*РЕАЛИЗАЦИЯ[[#This Row],[НАРХИ]]</f>
        <v>0</v>
      </c>
      <c r="I662" s="94"/>
      <c r="J662" s="31">
        <f>РЕАЛИЗАЦИЯ[[#This Row],[СОНИ]]*РЕАЛИЗАЦИЯ[[#This Row],[ТАННАРХ]]</f>
        <v>0</v>
      </c>
      <c r="K662" s="31">
        <f>РЕАЛИЗАЦИЯ[[#This Row],[ЖАМИ]]-РЕАЛИЗАЦИЯ[[#This Row],[ЖАМИ2]]</f>
        <v>0</v>
      </c>
      <c r="L662" s="31"/>
    </row>
    <row r="663" spans="3:12" ht="15" customHeight="1" x14ac:dyDescent="0.3">
      <c r="C663" s="97"/>
      <c r="D663" s="97"/>
      <c r="G663" s="50">
        <f>РЕАЛИЗАЦИЯ[[#This Row],[СОНИ]]*РЕАЛИЗАЦИЯ[[#This Row],[НАРХИ]]</f>
        <v>0</v>
      </c>
      <c r="I663" s="94"/>
      <c r="J663" s="31">
        <f>РЕАЛИЗАЦИЯ[[#This Row],[СОНИ]]*РЕАЛИЗАЦИЯ[[#This Row],[ТАННАРХ]]</f>
        <v>0</v>
      </c>
      <c r="K663" s="31">
        <f>РЕАЛИЗАЦИЯ[[#This Row],[ЖАМИ]]-РЕАЛИЗАЦИЯ[[#This Row],[ЖАМИ2]]</f>
        <v>0</v>
      </c>
      <c r="L663" s="31"/>
    </row>
    <row r="664" spans="3:12" ht="15" customHeight="1" x14ac:dyDescent="0.3">
      <c r="C664" s="97"/>
      <c r="D664" s="97"/>
      <c r="G664" s="50">
        <f>РЕАЛИЗАЦИЯ[[#This Row],[СОНИ]]*РЕАЛИЗАЦИЯ[[#This Row],[НАРХИ]]</f>
        <v>0</v>
      </c>
      <c r="I664" s="94"/>
      <c r="J664" s="31">
        <f>РЕАЛИЗАЦИЯ[[#This Row],[СОНИ]]*РЕАЛИЗАЦИЯ[[#This Row],[ТАННАРХ]]</f>
        <v>0</v>
      </c>
      <c r="K664" s="31">
        <f>РЕАЛИЗАЦИЯ[[#This Row],[ЖАМИ]]-РЕАЛИЗАЦИЯ[[#This Row],[ЖАМИ2]]</f>
        <v>0</v>
      </c>
      <c r="L664" s="31"/>
    </row>
    <row r="665" spans="3:12" x14ac:dyDescent="0.3">
      <c r="C665" s="97"/>
      <c r="D665" s="97"/>
      <c r="G665" s="50">
        <f>РЕАЛИЗАЦИЯ[[#This Row],[СОНИ]]*РЕАЛИЗАЦИЯ[[#This Row],[НАРХИ]]</f>
        <v>0</v>
      </c>
      <c r="I665" s="94"/>
      <c r="J665" s="31">
        <f>РЕАЛИЗАЦИЯ[[#This Row],[СОНИ]]*РЕАЛИЗАЦИЯ[[#This Row],[ТАННАРХ]]</f>
        <v>0</v>
      </c>
      <c r="K665" s="31">
        <f>РЕАЛИЗАЦИЯ[[#This Row],[ЖАМИ]]-РЕАЛИЗАЦИЯ[[#This Row],[ЖАМИ2]]</f>
        <v>0</v>
      </c>
      <c r="L665" s="31"/>
    </row>
    <row r="666" spans="3:12" ht="15" customHeight="1" x14ac:dyDescent="0.3">
      <c r="C666" s="97"/>
      <c r="D666" s="97"/>
      <c r="G666" s="50">
        <f>РЕАЛИЗАЦИЯ[[#This Row],[СОНИ]]*РЕАЛИЗАЦИЯ[[#This Row],[НАРХИ]]</f>
        <v>0</v>
      </c>
      <c r="I666" s="94"/>
      <c r="J666" s="31">
        <f>РЕАЛИЗАЦИЯ[[#This Row],[СОНИ]]*РЕАЛИЗАЦИЯ[[#This Row],[ТАННАРХ]]</f>
        <v>0</v>
      </c>
      <c r="K666" s="31">
        <f>РЕАЛИЗАЦИЯ[[#This Row],[ЖАМИ]]-РЕАЛИЗАЦИЯ[[#This Row],[ЖАМИ2]]</f>
        <v>0</v>
      </c>
      <c r="L666" s="31"/>
    </row>
    <row r="667" spans="3:12" ht="15" customHeight="1" x14ac:dyDescent="0.3">
      <c r="C667" s="97"/>
      <c r="D667" s="97"/>
      <c r="G667" s="50">
        <f>РЕАЛИЗАЦИЯ[[#This Row],[СОНИ]]*РЕАЛИЗАЦИЯ[[#This Row],[НАРХИ]]</f>
        <v>0</v>
      </c>
      <c r="I667" s="94"/>
      <c r="J667" s="31">
        <f>РЕАЛИЗАЦИЯ[[#This Row],[СОНИ]]*РЕАЛИЗАЦИЯ[[#This Row],[ТАННАРХ]]</f>
        <v>0</v>
      </c>
      <c r="K667" s="31">
        <f>РЕАЛИЗАЦИЯ[[#This Row],[ЖАМИ]]-РЕАЛИЗАЦИЯ[[#This Row],[ЖАМИ2]]</f>
        <v>0</v>
      </c>
      <c r="L667" s="31"/>
    </row>
    <row r="668" spans="3:12" ht="15" customHeight="1" x14ac:dyDescent="0.3">
      <c r="C668" s="97"/>
      <c r="D668" s="97"/>
      <c r="G668" s="50">
        <f>РЕАЛИЗАЦИЯ[[#This Row],[СОНИ]]*РЕАЛИЗАЦИЯ[[#This Row],[НАРХИ]]</f>
        <v>0</v>
      </c>
      <c r="I668" s="94"/>
      <c r="J668" s="31">
        <f>РЕАЛИЗАЦИЯ[[#This Row],[СОНИ]]*РЕАЛИЗАЦИЯ[[#This Row],[ТАННАРХ]]</f>
        <v>0</v>
      </c>
      <c r="K668" s="31">
        <f>РЕАЛИЗАЦИЯ[[#This Row],[ЖАМИ]]-РЕАЛИЗАЦИЯ[[#This Row],[ЖАМИ2]]</f>
        <v>0</v>
      </c>
      <c r="L668" s="31"/>
    </row>
    <row r="669" spans="3:12" ht="15" customHeight="1" x14ac:dyDescent="0.3">
      <c r="C669" s="97"/>
      <c r="D669" s="97"/>
      <c r="G669" s="50">
        <f>РЕАЛИЗАЦИЯ[[#This Row],[СОНИ]]*РЕАЛИЗАЦИЯ[[#This Row],[НАРХИ]]</f>
        <v>0</v>
      </c>
      <c r="I669" s="94"/>
      <c r="J669" s="31">
        <f>РЕАЛИЗАЦИЯ[[#This Row],[СОНИ]]*РЕАЛИЗАЦИЯ[[#This Row],[ТАННАРХ]]</f>
        <v>0</v>
      </c>
      <c r="K669" s="31">
        <f>РЕАЛИЗАЦИЯ[[#This Row],[ЖАМИ]]-РЕАЛИЗАЦИЯ[[#This Row],[ЖАМИ2]]</f>
        <v>0</v>
      </c>
      <c r="L669" s="31"/>
    </row>
    <row r="670" spans="3:12" ht="15" customHeight="1" x14ac:dyDescent="0.3">
      <c r="C670" s="97"/>
      <c r="D670" s="97"/>
      <c r="G670" s="50">
        <f>РЕАЛИЗАЦИЯ[[#This Row],[СОНИ]]*РЕАЛИЗАЦИЯ[[#This Row],[НАРХИ]]</f>
        <v>0</v>
      </c>
      <c r="I670" s="94"/>
      <c r="J670" s="31">
        <f>РЕАЛИЗАЦИЯ[[#This Row],[СОНИ]]*РЕАЛИЗАЦИЯ[[#This Row],[ТАННАРХ]]</f>
        <v>0</v>
      </c>
      <c r="K670" s="31">
        <f>РЕАЛИЗАЦИЯ[[#This Row],[ЖАМИ]]-РЕАЛИЗАЦИЯ[[#This Row],[ЖАМИ2]]</f>
        <v>0</v>
      </c>
      <c r="L670" s="31"/>
    </row>
    <row r="671" spans="3:12" ht="15" customHeight="1" x14ac:dyDescent="0.3">
      <c r="C671" s="97"/>
      <c r="D671" s="97"/>
      <c r="G671" s="50">
        <f>РЕАЛИЗАЦИЯ[[#This Row],[СОНИ]]*РЕАЛИЗАЦИЯ[[#This Row],[НАРХИ]]</f>
        <v>0</v>
      </c>
      <c r="I671" s="94"/>
      <c r="J671" s="31">
        <f>РЕАЛИЗАЦИЯ[[#This Row],[СОНИ]]*РЕАЛИЗАЦИЯ[[#This Row],[ТАННАРХ]]</f>
        <v>0</v>
      </c>
      <c r="K671" s="31">
        <f>РЕАЛИЗАЦИЯ[[#This Row],[ЖАМИ]]-РЕАЛИЗАЦИЯ[[#This Row],[ЖАМИ2]]</f>
        <v>0</v>
      </c>
      <c r="L671" s="31"/>
    </row>
    <row r="672" spans="3:12" ht="15" customHeight="1" x14ac:dyDescent="0.3">
      <c r="C672" s="97"/>
      <c r="D672" s="97"/>
      <c r="G672" s="50">
        <f>РЕАЛИЗАЦИЯ[[#This Row],[СОНИ]]*РЕАЛИЗАЦИЯ[[#This Row],[НАРХИ]]</f>
        <v>0</v>
      </c>
      <c r="I672" s="94"/>
      <c r="J672" s="31">
        <f>РЕАЛИЗАЦИЯ[[#This Row],[СОНИ]]*РЕАЛИЗАЦИЯ[[#This Row],[ТАННАРХ]]</f>
        <v>0</v>
      </c>
      <c r="K672" s="31">
        <f>РЕАЛИЗАЦИЯ[[#This Row],[ЖАМИ]]-РЕАЛИЗАЦИЯ[[#This Row],[ЖАМИ2]]</f>
        <v>0</v>
      </c>
      <c r="L672" s="31"/>
    </row>
    <row r="673" spans="3:12" ht="15" customHeight="1" x14ac:dyDescent="0.3">
      <c r="C673" s="97"/>
      <c r="D673" s="97"/>
      <c r="G673" s="50">
        <f>РЕАЛИЗАЦИЯ[[#This Row],[СОНИ]]*РЕАЛИЗАЦИЯ[[#This Row],[НАРХИ]]</f>
        <v>0</v>
      </c>
      <c r="I673" s="94"/>
      <c r="J673" s="31">
        <f>РЕАЛИЗАЦИЯ[[#This Row],[СОНИ]]*РЕАЛИЗАЦИЯ[[#This Row],[ТАННАРХ]]</f>
        <v>0</v>
      </c>
      <c r="K673" s="31">
        <f>РЕАЛИЗАЦИЯ[[#This Row],[ЖАМИ]]-РЕАЛИЗАЦИЯ[[#This Row],[ЖАМИ2]]</f>
        <v>0</v>
      </c>
      <c r="L673" s="31"/>
    </row>
    <row r="674" spans="3:12" ht="15" customHeight="1" x14ac:dyDescent="0.3">
      <c r="C674" s="97"/>
      <c r="D674" s="97"/>
      <c r="G674" s="50">
        <f>РЕАЛИЗАЦИЯ[[#This Row],[СОНИ]]*РЕАЛИЗАЦИЯ[[#This Row],[НАРХИ]]</f>
        <v>0</v>
      </c>
      <c r="I674" s="94"/>
      <c r="J674" s="31">
        <f>РЕАЛИЗАЦИЯ[[#This Row],[СОНИ]]*РЕАЛИЗАЦИЯ[[#This Row],[ТАННАРХ]]</f>
        <v>0</v>
      </c>
      <c r="K674" s="31">
        <f>РЕАЛИЗАЦИЯ[[#This Row],[ЖАМИ]]-РЕАЛИЗАЦИЯ[[#This Row],[ЖАМИ2]]</f>
        <v>0</v>
      </c>
      <c r="L674" s="31"/>
    </row>
    <row r="675" spans="3:12" ht="15" customHeight="1" x14ac:dyDescent="0.3">
      <c r="C675" s="97"/>
      <c r="D675" s="97"/>
      <c r="G675" s="50">
        <f>РЕАЛИЗАЦИЯ[[#This Row],[СОНИ]]*РЕАЛИЗАЦИЯ[[#This Row],[НАРХИ]]</f>
        <v>0</v>
      </c>
      <c r="I675" s="94"/>
      <c r="J675" s="31">
        <f>РЕАЛИЗАЦИЯ[[#This Row],[СОНИ]]*РЕАЛИЗАЦИЯ[[#This Row],[ТАННАРХ]]</f>
        <v>0</v>
      </c>
      <c r="K675" s="31">
        <f>РЕАЛИЗАЦИЯ[[#This Row],[ЖАМИ]]-РЕАЛИЗАЦИЯ[[#This Row],[ЖАМИ2]]</f>
        <v>0</v>
      </c>
      <c r="L675" s="31"/>
    </row>
    <row r="676" spans="3:12" ht="15" customHeight="1" x14ac:dyDescent="0.3">
      <c r="C676" s="97"/>
      <c r="D676" s="97"/>
      <c r="G676" s="50">
        <f>РЕАЛИЗАЦИЯ[[#This Row],[СОНИ]]*РЕАЛИЗАЦИЯ[[#This Row],[НАРХИ]]</f>
        <v>0</v>
      </c>
      <c r="I676" s="94"/>
      <c r="J676" s="31">
        <f>РЕАЛИЗАЦИЯ[[#This Row],[СОНИ]]*РЕАЛИЗАЦИЯ[[#This Row],[ТАННАРХ]]</f>
        <v>0</v>
      </c>
      <c r="K676" s="31">
        <f>РЕАЛИЗАЦИЯ[[#This Row],[ЖАМИ]]-РЕАЛИЗАЦИЯ[[#This Row],[ЖАМИ2]]</f>
        <v>0</v>
      </c>
      <c r="L676" s="31"/>
    </row>
    <row r="677" spans="3:12" ht="15" customHeight="1" x14ac:dyDescent="0.3">
      <c r="C677" s="97"/>
      <c r="D677" s="97"/>
      <c r="G677" s="50">
        <f>РЕАЛИЗАЦИЯ[[#This Row],[СОНИ]]*РЕАЛИЗАЦИЯ[[#This Row],[НАРХИ]]</f>
        <v>0</v>
      </c>
      <c r="I677" s="94"/>
      <c r="J677" s="31">
        <f>РЕАЛИЗАЦИЯ[[#This Row],[СОНИ]]*РЕАЛИЗАЦИЯ[[#This Row],[ТАННАРХ]]</f>
        <v>0</v>
      </c>
      <c r="K677" s="31">
        <f>РЕАЛИЗАЦИЯ[[#This Row],[ЖАМИ]]-РЕАЛИЗАЦИЯ[[#This Row],[ЖАМИ2]]</f>
        <v>0</v>
      </c>
      <c r="L677" s="31"/>
    </row>
    <row r="678" spans="3:12" ht="15" customHeight="1" x14ac:dyDescent="0.3">
      <c r="C678" s="142"/>
      <c r="D678" s="142"/>
      <c r="G678" s="50">
        <f>РЕАЛИЗАЦИЯ[[#This Row],[СОНИ]]*РЕАЛИЗАЦИЯ[[#This Row],[НАРХИ]]</f>
        <v>0</v>
      </c>
      <c r="I678" s="132"/>
      <c r="J678" s="31">
        <f>РЕАЛИЗАЦИЯ[[#This Row],[СОНИ]]*РЕАЛИЗАЦИЯ[[#This Row],[ТАННАРХ]]</f>
        <v>0</v>
      </c>
      <c r="K678" s="31">
        <f>РЕАЛИЗАЦИЯ[[#This Row],[ЖАМИ]]-РЕАЛИЗАЦИЯ[[#This Row],[ЖАМИ2]]</f>
        <v>0</v>
      </c>
      <c r="L678" s="31"/>
    </row>
    <row r="679" spans="3:12" ht="15" customHeight="1" x14ac:dyDescent="0.3">
      <c r="C679" s="97"/>
      <c r="D679" s="97"/>
      <c r="G679" s="50">
        <f>РЕАЛИЗАЦИЯ[[#This Row],[СОНИ]]*РЕАЛИЗАЦИЯ[[#This Row],[НАРХИ]]</f>
        <v>0</v>
      </c>
      <c r="I679" s="94"/>
      <c r="J679" s="31">
        <f>РЕАЛИЗАЦИЯ[[#This Row],[СОНИ]]*РЕАЛИЗАЦИЯ[[#This Row],[ТАННАРХ]]</f>
        <v>0</v>
      </c>
      <c r="K679" s="31">
        <f>РЕАЛИЗАЦИЯ[[#This Row],[ЖАМИ]]-РЕАЛИЗАЦИЯ[[#This Row],[ЖАМИ2]]</f>
        <v>0</v>
      </c>
      <c r="L679" s="31"/>
    </row>
    <row r="680" spans="3:12" ht="15" customHeight="1" x14ac:dyDescent="0.3">
      <c r="C680" s="97"/>
      <c r="D680" s="97"/>
      <c r="G680" s="50">
        <f>РЕАЛИЗАЦИЯ[[#This Row],[СОНИ]]*РЕАЛИЗАЦИЯ[[#This Row],[НАРХИ]]</f>
        <v>0</v>
      </c>
      <c r="I680" s="94"/>
      <c r="J680" s="31">
        <f>РЕАЛИЗАЦИЯ[[#This Row],[СОНИ]]*РЕАЛИЗАЦИЯ[[#This Row],[ТАННАРХ]]</f>
        <v>0</v>
      </c>
      <c r="K680" s="31">
        <f>РЕАЛИЗАЦИЯ[[#This Row],[ЖАМИ]]-РЕАЛИЗАЦИЯ[[#This Row],[ЖАМИ2]]</f>
        <v>0</v>
      </c>
      <c r="L680" s="31"/>
    </row>
    <row r="681" spans="3:12" ht="15" customHeight="1" x14ac:dyDescent="0.3">
      <c r="C681" s="97"/>
      <c r="D681" s="97"/>
      <c r="G681" s="50">
        <f>РЕАЛИЗАЦИЯ[[#This Row],[СОНИ]]*РЕАЛИЗАЦИЯ[[#This Row],[НАРХИ]]</f>
        <v>0</v>
      </c>
      <c r="I681" s="94"/>
      <c r="J681" s="31">
        <f>РЕАЛИЗАЦИЯ[[#This Row],[СОНИ]]*РЕАЛИЗАЦИЯ[[#This Row],[ТАННАРХ]]</f>
        <v>0</v>
      </c>
      <c r="K681" s="31">
        <f>РЕАЛИЗАЦИЯ[[#This Row],[ЖАМИ]]-РЕАЛИЗАЦИЯ[[#This Row],[ЖАМИ2]]</f>
        <v>0</v>
      </c>
      <c r="L681" s="31"/>
    </row>
    <row r="682" spans="3:12" ht="15" customHeight="1" x14ac:dyDescent="0.3">
      <c r="C682" s="97"/>
      <c r="D682" s="97"/>
      <c r="G682" s="50">
        <f>РЕАЛИЗАЦИЯ[[#This Row],[СОНИ]]*РЕАЛИЗАЦИЯ[[#This Row],[НАРХИ]]</f>
        <v>0</v>
      </c>
      <c r="I682" s="94"/>
      <c r="J682" s="31">
        <f>РЕАЛИЗАЦИЯ[[#This Row],[СОНИ]]*РЕАЛИЗАЦИЯ[[#This Row],[ТАННАРХ]]</f>
        <v>0</v>
      </c>
      <c r="K682" s="31">
        <f>РЕАЛИЗАЦИЯ[[#This Row],[ЖАМИ]]-РЕАЛИЗАЦИЯ[[#This Row],[ЖАМИ2]]</f>
        <v>0</v>
      </c>
      <c r="L682" s="31"/>
    </row>
    <row r="683" spans="3:12" ht="15" customHeight="1" x14ac:dyDescent="0.3">
      <c r="C683" s="97"/>
      <c r="D683" s="97"/>
      <c r="G683" s="50">
        <f>РЕАЛИЗАЦИЯ[[#This Row],[СОНИ]]*РЕАЛИЗАЦИЯ[[#This Row],[НАРХИ]]</f>
        <v>0</v>
      </c>
      <c r="I683" s="94"/>
      <c r="J683" s="31">
        <f>РЕАЛИЗАЦИЯ[[#This Row],[СОНИ]]*РЕАЛИЗАЦИЯ[[#This Row],[ТАННАРХ]]</f>
        <v>0</v>
      </c>
      <c r="K683" s="31">
        <f>РЕАЛИЗАЦИЯ[[#This Row],[ЖАМИ]]-РЕАЛИЗАЦИЯ[[#This Row],[ЖАМИ2]]</f>
        <v>0</v>
      </c>
      <c r="L683" s="31"/>
    </row>
    <row r="684" spans="3:12" ht="15" customHeight="1" x14ac:dyDescent="0.3">
      <c r="C684" s="97"/>
      <c r="D684" s="97"/>
      <c r="G684" s="50">
        <f>РЕАЛИЗАЦИЯ[[#This Row],[СОНИ]]*РЕАЛИЗАЦИЯ[[#This Row],[НАРХИ]]</f>
        <v>0</v>
      </c>
      <c r="I684" s="94"/>
      <c r="J684" s="31">
        <f>РЕАЛИЗАЦИЯ[[#This Row],[СОНИ]]*РЕАЛИЗАЦИЯ[[#This Row],[ТАННАРХ]]</f>
        <v>0</v>
      </c>
      <c r="K684" s="31">
        <f>РЕАЛИЗАЦИЯ[[#This Row],[ЖАМИ]]-РЕАЛИЗАЦИЯ[[#This Row],[ЖАМИ2]]</f>
        <v>0</v>
      </c>
      <c r="L684" s="31"/>
    </row>
    <row r="685" spans="3:12" ht="15" customHeight="1" x14ac:dyDescent="0.3">
      <c r="C685" s="97"/>
      <c r="D685" s="97"/>
      <c r="G685" s="50">
        <f>РЕАЛИЗАЦИЯ[[#This Row],[СОНИ]]*РЕАЛИЗАЦИЯ[[#This Row],[НАРХИ]]</f>
        <v>0</v>
      </c>
      <c r="I685" s="94"/>
      <c r="J685" s="31">
        <f>РЕАЛИЗАЦИЯ[[#This Row],[СОНИ]]*РЕАЛИЗАЦИЯ[[#This Row],[ТАННАРХ]]</f>
        <v>0</v>
      </c>
      <c r="K685" s="31">
        <f>РЕАЛИЗАЦИЯ[[#This Row],[ЖАМИ]]-РЕАЛИЗАЦИЯ[[#This Row],[ЖАМИ2]]</f>
        <v>0</v>
      </c>
      <c r="L685" s="31"/>
    </row>
    <row r="686" spans="3:12" ht="15" customHeight="1" x14ac:dyDescent="0.3">
      <c r="C686" s="97"/>
      <c r="D686" s="97"/>
      <c r="G686" s="50">
        <f>РЕАЛИЗАЦИЯ[[#This Row],[СОНИ]]*РЕАЛИЗАЦИЯ[[#This Row],[НАРХИ]]</f>
        <v>0</v>
      </c>
      <c r="I686" s="94"/>
      <c r="J686" s="31">
        <f>РЕАЛИЗАЦИЯ[[#This Row],[СОНИ]]*РЕАЛИЗАЦИЯ[[#This Row],[ТАННАРХ]]</f>
        <v>0</v>
      </c>
      <c r="K686" s="31">
        <f>РЕАЛИЗАЦИЯ[[#This Row],[ЖАМИ]]-РЕАЛИЗАЦИЯ[[#This Row],[ЖАМИ2]]</f>
        <v>0</v>
      </c>
      <c r="L686" s="31"/>
    </row>
    <row r="687" spans="3:12" ht="15" customHeight="1" x14ac:dyDescent="0.3">
      <c r="C687" s="97"/>
      <c r="D687" s="97"/>
      <c r="G687" s="50">
        <f>РЕАЛИЗАЦИЯ[[#This Row],[СОНИ]]*РЕАЛИЗАЦИЯ[[#This Row],[НАРХИ]]</f>
        <v>0</v>
      </c>
      <c r="I687" s="94"/>
      <c r="J687" s="31">
        <f>РЕАЛИЗАЦИЯ[[#This Row],[СОНИ]]*РЕАЛИЗАЦИЯ[[#This Row],[ТАННАРХ]]</f>
        <v>0</v>
      </c>
      <c r="K687" s="31">
        <f>РЕАЛИЗАЦИЯ[[#This Row],[ЖАМИ]]-РЕАЛИЗАЦИЯ[[#This Row],[ЖАМИ2]]</f>
        <v>0</v>
      </c>
      <c r="L687" s="31"/>
    </row>
    <row r="688" spans="3:12" ht="15" customHeight="1" x14ac:dyDescent="0.3">
      <c r="C688" s="97"/>
      <c r="D688" s="97"/>
      <c r="G688" s="50">
        <f>РЕАЛИЗАЦИЯ[[#This Row],[СОНИ]]*РЕАЛИЗАЦИЯ[[#This Row],[НАРХИ]]</f>
        <v>0</v>
      </c>
      <c r="I688" s="94"/>
      <c r="J688" s="31">
        <f>РЕАЛИЗАЦИЯ[[#This Row],[СОНИ]]*РЕАЛИЗАЦИЯ[[#This Row],[ТАННАРХ]]</f>
        <v>0</v>
      </c>
      <c r="K688" s="31">
        <f>РЕАЛИЗАЦИЯ[[#This Row],[ЖАМИ]]-РЕАЛИЗАЦИЯ[[#This Row],[ЖАМИ2]]</f>
        <v>0</v>
      </c>
      <c r="L688" s="31"/>
    </row>
    <row r="689" spans="3:12" ht="15" customHeight="1" x14ac:dyDescent="0.3">
      <c r="C689" s="145"/>
      <c r="D689" s="145"/>
      <c r="G689" s="50">
        <f>РЕАЛИЗАЦИЯ[[#This Row],[СОНИ]]*РЕАЛИЗАЦИЯ[[#This Row],[НАРХИ]]</f>
        <v>0</v>
      </c>
      <c r="I689" s="132"/>
      <c r="J689" s="31">
        <f>РЕАЛИЗАЦИЯ[[#This Row],[СОНИ]]*РЕАЛИЗАЦИЯ[[#This Row],[ТАННАРХ]]</f>
        <v>0</v>
      </c>
      <c r="K689" s="31">
        <f>РЕАЛИЗАЦИЯ[[#This Row],[ЖАМИ]]-РЕАЛИЗАЦИЯ[[#This Row],[ЖАМИ2]]</f>
        <v>0</v>
      </c>
      <c r="L689" s="31"/>
    </row>
    <row r="690" spans="3:12" ht="15" customHeight="1" x14ac:dyDescent="0.3">
      <c r="C690" s="97"/>
      <c r="D690" s="97"/>
      <c r="G690" s="50">
        <f>РЕАЛИЗАЦИЯ[[#This Row],[СОНИ]]*РЕАЛИЗАЦИЯ[[#This Row],[НАРХИ]]</f>
        <v>0</v>
      </c>
      <c r="I690" s="94"/>
      <c r="J690" s="31">
        <f>РЕАЛИЗАЦИЯ[[#This Row],[СОНИ]]*РЕАЛИЗАЦИЯ[[#This Row],[ТАННАРХ]]</f>
        <v>0</v>
      </c>
      <c r="K690" s="31">
        <f>РЕАЛИЗАЦИЯ[[#This Row],[ЖАМИ]]-РЕАЛИЗАЦИЯ[[#This Row],[ЖАМИ2]]</f>
        <v>0</v>
      </c>
      <c r="L690" s="31"/>
    </row>
    <row r="691" spans="3:12" ht="15" customHeight="1" x14ac:dyDescent="0.3">
      <c r="C691" s="97"/>
      <c r="D691" s="97"/>
      <c r="G691" s="50">
        <f>РЕАЛИЗАЦИЯ[[#This Row],[СОНИ]]*РЕАЛИЗАЦИЯ[[#This Row],[НАРХИ]]</f>
        <v>0</v>
      </c>
      <c r="I691" s="94"/>
      <c r="J691" s="31">
        <f>РЕАЛИЗАЦИЯ[[#This Row],[СОНИ]]*РЕАЛИЗАЦИЯ[[#This Row],[ТАННАРХ]]</f>
        <v>0</v>
      </c>
      <c r="K691" s="31">
        <f>РЕАЛИЗАЦИЯ[[#This Row],[ЖАМИ]]-РЕАЛИЗАЦИЯ[[#This Row],[ЖАМИ2]]</f>
        <v>0</v>
      </c>
      <c r="L691" s="31"/>
    </row>
    <row r="692" spans="3:12" ht="15" customHeight="1" x14ac:dyDescent="0.3">
      <c r="C692" s="97"/>
      <c r="D692" s="97"/>
      <c r="G692" s="50">
        <f>РЕАЛИЗАЦИЯ[[#This Row],[СОНИ]]*РЕАЛИЗАЦИЯ[[#This Row],[НАРХИ]]</f>
        <v>0</v>
      </c>
      <c r="I692" s="94"/>
      <c r="J692" s="31">
        <f>РЕАЛИЗАЦИЯ[[#This Row],[СОНИ]]*РЕАЛИЗАЦИЯ[[#This Row],[ТАННАРХ]]</f>
        <v>0</v>
      </c>
      <c r="K692" s="31">
        <f>РЕАЛИЗАЦИЯ[[#This Row],[ЖАМИ]]-РЕАЛИЗАЦИЯ[[#This Row],[ЖАМИ2]]</f>
        <v>0</v>
      </c>
      <c r="L692" s="31"/>
    </row>
    <row r="693" spans="3:12" ht="15" customHeight="1" x14ac:dyDescent="0.3">
      <c r="C693" s="97"/>
      <c r="D693" s="97"/>
      <c r="G693" s="50">
        <f>РЕАЛИЗАЦИЯ[[#This Row],[СОНИ]]*РЕАЛИЗАЦИЯ[[#This Row],[НАРХИ]]</f>
        <v>0</v>
      </c>
      <c r="I693" s="94"/>
      <c r="J693" s="31">
        <f>РЕАЛИЗАЦИЯ[[#This Row],[СОНИ]]*РЕАЛИЗАЦИЯ[[#This Row],[ТАННАРХ]]</f>
        <v>0</v>
      </c>
      <c r="K693" s="31">
        <f>РЕАЛИЗАЦИЯ[[#This Row],[ЖАМИ]]-РЕАЛИЗАЦИЯ[[#This Row],[ЖАМИ2]]</f>
        <v>0</v>
      </c>
      <c r="L693" s="31"/>
    </row>
    <row r="694" spans="3:12" ht="15" customHeight="1" x14ac:dyDescent="0.3">
      <c r="C694" s="97"/>
      <c r="D694" s="97"/>
      <c r="G694" s="50">
        <f>РЕАЛИЗАЦИЯ[[#This Row],[СОНИ]]*РЕАЛИЗАЦИЯ[[#This Row],[НАРХИ]]</f>
        <v>0</v>
      </c>
      <c r="I694" s="94"/>
      <c r="J694" s="31">
        <f>РЕАЛИЗАЦИЯ[[#This Row],[СОНИ]]*РЕАЛИЗАЦИЯ[[#This Row],[ТАННАРХ]]</f>
        <v>0</v>
      </c>
      <c r="K694" s="31">
        <f>РЕАЛИЗАЦИЯ[[#This Row],[ЖАМИ]]-РЕАЛИЗАЦИЯ[[#This Row],[ЖАМИ2]]</f>
        <v>0</v>
      </c>
      <c r="L694" s="31"/>
    </row>
    <row r="695" spans="3:12" ht="15" customHeight="1" x14ac:dyDescent="0.3">
      <c r="C695" s="97"/>
      <c r="D695" s="97"/>
      <c r="G695" s="50">
        <f>РЕАЛИЗАЦИЯ[[#This Row],[СОНИ]]*РЕАЛИЗАЦИЯ[[#This Row],[НАРХИ]]</f>
        <v>0</v>
      </c>
      <c r="I695" s="94"/>
      <c r="J695" s="31">
        <f>РЕАЛИЗАЦИЯ[[#This Row],[СОНИ]]*РЕАЛИЗАЦИЯ[[#This Row],[ТАННАРХ]]</f>
        <v>0</v>
      </c>
      <c r="K695" s="31">
        <f>РЕАЛИЗАЦИЯ[[#This Row],[ЖАМИ]]-РЕАЛИЗАЦИЯ[[#This Row],[ЖАМИ2]]</f>
        <v>0</v>
      </c>
      <c r="L695" s="31"/>
    </row>
    <row r="696" spans="3:12" ht="15" customHeight="1" x14ac:dyDescent="0.3">
      <c r="C696" s="97"/>
      <c r="D696" s="97"/>
      <c r="G696" s="50">
        <f>РЕАЛИЗАЦИЯ[[#This Row],[СОНИ]]*РЕАЛИЗАЦИЯ[[#This Row],[НАРХИ]]</f>
        <v>0</v>
      </c>
      <c r="I696" s="94"/>
      <c r="J696" s="31">
        <f>РЕАЛИЗАЦИЯ[[#This Row],[СОНИ]]*РЕАЛИЗАЦИЯ[[#This Row],[ТАННАРХ]]</f>
        <v>0</v>
      </c>
      <c r="K696" s="31">
        <f>РЕАЛИЗАЦИЯ[[#This Row],[ЖАМИ]]-РЕАЛИЗАЦИЯ[[#This Row],[ЖАМИ2]]</f>
        <v>0</v>
      </c>
      <c r="L696" s="31"/>
    </row>
    <row r="697" spans="3:12" ht="15" customHeight="1" x14ac:dyDescent="0.3">
      <c r="C697" s="143"/>
      <c r="D697" s="143"/>
      <c r="G697" s="50">
        <f>РЕАЛИЗАЦИЯ[[#This Row],[СОНИ]]*РЕАЛИЗАЦИЯ[[#This Row],[НАРХИ]]</f>
        <v>0</v>
      </c>
      <c r="I697" s="132"/>
      <c r="J697" s="31">
        <f>РЕАЛИЗАЦИЯ[[#This Row],[СОНИ]]*РЕАЛИЗАЦИЯ[[#This Row],[ТАННАРХ]]</f>
        <v>0</v>
      </c>
      <c r="K697" s="31">
        <f>РЕАЛИЗАЦИЯ[[#This Row],[ЖАМИ]]-РЕАЛИЗАЦИЯ[[#This Row],[ЖАМИ2]]</f>
        <v>0</v>
      </c>
      <c r="L697" s="31"/>
    </row>
    <row r="698" spans="3:12" ht="15" customHeight="1" x14ac:dyDescent="0.3">
      <c r="C698" s="97"/>
      <c r="D698" s="97"/>
      <c r="G698" s="50">
        <f>РЕАЛИЗАЦИЯ[[#This Row],[СОНИ]]*РЕАЛИЗАЦИЯ[[#This Row],[НАРХИ]]</f>
        <v>0</v>
      </c>
      <c r="I698" s="94"/>
      <c r="J698" s="31">
        <f>РЕАЛИЗАЦИЯ[[#This Row],[СОНИ]]*РЕАЛИЗАЦИЯ[[#This Row],[ТАННАРХ]]</f>
        <v>0</v>
      </c>
      <c r="K698" s="31">
        <f>РЕАЛИЗАЦИЯ[[#This Row],[ЖАМИ]]-РЕАЛИЗАЦИЯ[[#This Row],[ЖАМИ2]]</f>
        <v>0</v>
      </c>
      <c r="L698" s="31"/>
    </row>
    <row r="699" spans="3:12" ht="15" customHeight="1" x14ac:dyDescent="0.3">
      <c r="C699" s="97"/>
      <c r="D699" s="97"/>
      <c r="G699" s="50">
        <f>РЕАЛИЗАЦИЯ[[#This Row],[СОНИ]]*РЕАЛИЗАЦИЯ[[#This Row],[НАРХИ]]</f>
        <v>0</v>
      </c>
      <c r="I699" s="94"/>
      <c r="J699" s="31">
        <f>РЕАЛИЗАЦИЯ[[#This Row],[СОНИ]]*РЕАЛИЗАЦИЯ[[#This Row],[ТАННАРХ]]</f>
        <v>0</v>
      </c>
      <c r="K699" s="31">
        <f>РЕАЛИЗАЦИЯ[[#This Row],[ЖАМИ]]-РЕАЛИЗАЦИЯ[[#This Row],[ЖАМИ2]]</f>
        <v>0</v>
      </c>
      <c r="L699" s="31"/>
    </row>
    <row r="700" spans="3:12" ht="15" customHeight="1" x14ac:dyDescent="0.3">
      <c r="C700" s="97"/>
      <c r="D700" s="97"/>
      <c r="G700" s="50">
        <f>РЕАЛИЗАЦИЯ[[#This Row],[СОНИ]]*РЕАЛИЗАЦИЯ[[#This Row],[НАРХИ]]</f>
        <v>0</v>
      </c>
      <c r="I700" s="94"/>
      <c r="J700" s="31">
        <f>РЕАЛИЗАЦИЯ[[#This Row],[СОНИ]]*РЕАЛИЗАЦИЯ[[#This Row],[ТАННАРХ]]</f>
        <v>0</v>
      </c>
      <c r="K700" s="31">
        <f>РЕАЛИЗАЦИЯ[[#This Row],[ЖАМИ]]-РЕАЛИЗАЦИЯ[[#This Row],[ЖАМИ2]]</f>
        <v>0</v>
      </c>
      <c r="L700" s="31"/>
    </row>
    <row r="701" spans="3:12" ht="15" customHeight="1" x14ac:dyDescent="0.3">
      <c r="C701" s="97"/>
      <c r="D701" s="97"/>
      <c r="G701" s="50">
        <f>РЕАЛИЗАЦИЯ[[#This Row],[СОНИ]]*РЕАЛИЗАЦИЯ[[#This Row],[НАРХИ]]</f>
        <v>0</v>
      </c>
      <c r="I701" s="94"/>
      <c r="J701" s="31">
        <f>РЕАЛИЗАЦИЯ[[#This Row],[СОНИ]]*РЕАЛИЗАЦИЯ[[#This Row],[ТАННАРХ]]</f>
        <v>0</v>
      </c>
      <c r="K701" s="31">
        <f>РЕАЛИЗАЦИЯ[[#This Row],[ЖАМИ]]-РЕАЛИЗАЦИЯ[[#This Row],[ЖАМИ2]]</f>
        <v>0</v>
      </c>
      <c r="L701" s="31"/>
    </row>
    <row r="702" spans="3:12" ht="15" customHeight="1" x14ac:dyDescent="0.3">
      <c r="C702" s="97"/>
      <c r="D702" s="97"/>
      <c r="G702" s="50">
        <f>РЕАЛИЗАЦИЯ[[#This Row],[СОНИ]]*РЕАЛИЗАЦИЯ[[#This Row],[НАРХИ]]</f>
        <v>0</v>
      </c>
      <c r="I702" s="94"/>
      <c r="J702" s="31">
        <f>РЕАЛИЗАЦИЯ[[#This Row],[СОНИ]]*РЕАЛИЗАЦИЯ[[#This Row],[ТАННАРХ]]</f>
        <v>0</v>
      </c>
      <c r="K702" s="31">
        <f>РЕАЛИЗАЦИЯ[[#This Row],[ЖАМИ]]-РЕАЛИЗАЦИЯ[[#This Row],[ЖАМИ2]]</f>
        <v>0</v>
      </c>
      <c r="L702" s="31"/>
    </row>
    <row r="703" spans="3:12" ht="15" customHeight="1" x14ac:dyDescent="0.3">
      <c r="C703" s="97"/>
      <c r="D703" s="97"/>
      <c r="G703" s="50">
        <f>РЕАЛИЗАЦИЯ[[#This Row],[СОНИ]]*РЕАЛИЗАЦИЯ[[#This Row],[НАРХИ]]</f>
        <v>0</v>
      </c>
      <c r="I703" s="94"/>
      <c r="J703" s="31">
        <f>РЕАЛИЗАЦИЯ[[#This Row],[СОНИ]]*РЕАЛИЗАЦИЯ[[#This Row],[ТАННАРХ]]</f>
        <v>0</v>
      </c>
      <c r="K703" s="31">
        <f>РЕАЛИЗАЦИЯ[[#This Row],[ЖАМИ]]-РЕАЛИЗАЦИЯ[[#This Row],[ЖАМИ2]]</f>
        <v>0</v>
      </c>
      <c r="L703" s="31"/>
    </row>
    <row r="704" spans="3:12" ht="15" customHeight="1" x14ac:dyDescent="0.3">
      <c r="C704" s="97"/>
      <c r="D704" s="97"/>
      <c r="G704" s="50">
        <f>РЕАЛИЗАЦИЯ[[#This Row],[СОНИ]]*РЕАЛИЗАЦИЯ[[#This Row],[НАРХИ]]</f>
        <v>0</v>
      </c>
      <c r="I704" s="94"/>
      <c r="J704" s="31">
        <f>РЕАЛИЗАЦИЯ[[#This Row],[СОНИ]]*РЕАЛИЗАЦИЯ[[#This Row],[ТАННАРХ]]</f>
        <v>0</v>
      </c>
      <c r="K704" s="31">
        <f>РЕАЛИЗАЦИЯ[[#This Row],[ЖАМИ]]-РЕАЛИЗАЦИЯ[[#This Row],[ЖАМИ2]]</f>
        <v>0</v>
      </c>
      <c r="L704" s="31"/>
    </row>
    <row r="705" spans="3:12" ht="15" customHeight="1" x14ac:dyDescent="0.3">
      <c r="C705" s="97"/>
      <c r="D705" s="97"/>
      <c r="G705" s="50">
        <f>РЕАЛИЗАЦИЯ[[#This Row],[СОНИ]]*РЕАЛИЗАЦИЯ[[#This Row],[НАРХИ]]</f>
        <v>0</v>
      </c>
      <c r="I705" s="94"/>
      <c r="J705" s="31">
        <f>РЕАЛИЗАЦИЯ[[#This Row],[СОНИ]]*РЕАЛИЗАЦИЯ[[#This Row],[ТАННАРХ]]</f>
        <v>0</v>
      </c>
      <c r="K705" s="31">
        <f>РЕАЛИЗАЦИЯ[[#This Row],[ЖАМИ]]-РЕАЛИЗАЦИЯ[[#This Row],[ЖАМИ2]]</f>
        <v>0</v>
      </c>
      <c r="L705" s="31"/>
    </row>
    <row r="706" spans="3:12" ht="15" customHeight="1" x14ac:dyDescent="0.3">
      <c r="C706" s="97"/>
      <c r="D706" s="97"/>
      <c r="G706" s="50">
        <f>РЕАЛИЗАЦИЯ[[#This Row],[СОНИ]]*РЕАЛИЗАЦИЯ[[#This Row],[НАРХИ]]</f>
        <v>0</v>
      </c>
      <c r="I706" s="94"/>
      <c r="J706" s="31">
        <f>РЕАЛИЗАЦИЯ[[#This Row],[СОНИ]]*РЕАЛИЗАЦИЯ[[#This Row],[ТАННАРХ]]</f>
        <v>0</v>
      </c>
      <c r="K706" s="31">
        <f>РЕАЛИЗАЦИЯ[[#This Row],[ЖАМИ]]-РЕАЛИЗАЦИЯ[[#This Row],[ЖАМИ2]]</f>
        <v>0</v>
      </c>
      <c r="L706" s="31"/>
    </row>
    <row r="707" spans="3:12" ht="15" customHeight="1" x14ac:dyDescent="0.3">
      <c r="C707" s="97"/>
      <c r="D707" s="97"/>
      <c r="G707" s="50">
        <f>РЕАЛИЗАЦИЯ[[#This Row],[СОНИ]]*РЕАЛИЗАЦИЯ[[#This Row],[НАРХИ]]</f>
        <v>0</v>
      </c>
      <c r="I707" s="94"/>
      <c r="J707" s="31">
        <f>РЕАЛИЗАЦИЯ[[#This Row],[СОНИ]]*РЕАЛИЗАЦИЯ[[#This Row],[ТАННАРХ]]</f>
        <v>0</v>
      </c>
      <c r="K707" s="31">
        <f>РЕАЛИЗАЦИЯ[[#This Row],[ЖАМИ]]-РЕАЛИЗАЦИЯ[[#This Row],[ЖАМИ2]]</f>
        <v>0</v>
      </c>
      <c r="L707" s="31"/>
    </row>
    <row r="708" spans="3:12" ht="15" customHeight="1" x14ac:dyDescent="0.3">
      <c r="C708" s="97"/>
      <c r="D708" s="97"/>
      <c r="G708" s="50">
        <f>РЕАЛИЗАЦИЯ[[#This Row],[СОНИ]]*РЕАЛИЗАЦИЯ[[#This Row],[НАРХИ]]</f>
        <v>0</v>
      </c>
      <c r="I708" s="94"/>
      <c r="J708" s="31">
        <f>РЕАЛИЗАЦИЯ[[#This Row],[СОНИ]]*РЕАЛИЗАЦИЯ[[#This Row],[ТАННАРХ]]</f>
        <v>0</v>
      </c>
      <c r="K708" s="31">
        <f>РЕАЛИЗАЦИЯ[[#This Row],[ЖАМИ]]-РЕАЛИЗАЦИЯ[[#This Row],[ЖАМИ2]]</f>
        <v>0</v>
      </c>
      <c r="L708" s="31"/>
    </row>
    <row r="709" spans="3:12" ht="15" customHeight="1" x14ac:dyDescent="0.3">
      <c r="C709" s="97"/>
      <c r="D709" s="97"/>
      <c r="G709" s="50">
        <f>РЕАЛИЗАЦИЯ[[#This Row],[СОНИ]]*РЕАЛИЗАЦИЯ[[#This Row],[НАРХИ]]</f>
        <v>0</v>
      </c>
      <c r="I709" s="94"/>
      <c r="J709" s="31">
        <f>РЕАЛИЗАЦИЯ[[#This Row],[СОНИ]]*РЕАЛИЗАЦИЯ[[#This Row],[ТАННАРХ]]</f>
        <v>0</v>
      </c>
      <c r="K709" s="31">
        <f>РЕАЛИЗАЦИЯ[[#This Row],[ЖАМИ]]-РЕАЛИЗАЦИЯ[[#This Row],[ЖАМИ2]]</f>
        <v>0</v>
      </c>
      <c r="L709" s="31"/>
    </row>
    <row r="710" spans="3:12" ht="15" customHeight="1" x14ac:dyDescent="0.3">
      <c r="C710" s="97"/>
      <c r="D710" s="97"/>
      <c r="G710" s="50">
        <f>РЕАЛИЗАЦИЯ[[#This Row],[СОНИ]]*РЕАЛИЗАЦИЯ[[#This Row],[НАРХИ]]</f>
        <v>0</v>
      </c>
      <c r="I710" s="94"/>
      <c r="J710" s="31">
        <f>РЕАЛИЗАЦИЯ[[#This Row],[СОНИ]]*РЕАЛИЗАЦИЯ[[#This Row],[ТАННАРХ]]</f>
        <v>0</v>
      </c>
      <c r="K710" s="31">
        <f>РЕАЛИЗАЦИЯ[[#This Row],[ЖАМИ]]-РЕАЛИЗАЦИЯ[[#This Row],[ЖАМИ2]]</f>
        <v>0</v>
      </c>
      <c r="L710" s="31"/>
    </row>
    <row r="711" spans="3:12" ht="15" customHeight="1" x14ac:dyDescent="0.3">
      <c r="C711" s="97"/>
      <c r="D711" s="97"/>
      <c r="G711" s="50">
        <f>РЕАЛИЗАЦИЯ[[#This Row],[СОНИ]]*РЕАЛИЗАЦИЯ[[#This Row],[НАРХИ]]</f>
        <v>0</v>
      </c>
      <c r="I711" s="94"/>
      <c r="J711" s="31">
        <f>РЕАЛИЗАЦИЯ[[#This Row],[СОНИ]]*РЕАЛИЗАЦИЯ[[#This Row],[ТАННАРХ]]</f>
        <v>0</v>
      </c>
      <c r="K711" s="31">
        <f>РЕАЛИЗАЦИЯ[[#This Row],[ЖАМИ]]-РЕАЛИЗАЦИЯ[[#This Row],[ЖАМИ2]]</f>
        <v>0</v>
      </c>
      <c r="L711" s="31"/>
    </row>
    <row r="712" spans="3:12" ht="15" customHeight="1" x14ac:dyDescent="0.3">
      <c r="C712" s="97"/>
      <c r="D712" s="97"/>
      <c r="G712" s="50">
        <f>РЕАЛИЗАЦИЯ[[#This Row],[СОНИ]]*РЕАЛИЗАЦИЯ[[#This Row],[НАРХИ]]</f>
        <v>0</v>
      </c>
      <c r="I712" s="94"/>
      <c r="J712" s="31">
        <f>РЕАЛИЗАЦИЯ[[#This Row],[СОНИ]]*РЕАЛИЗАЦИЯ[[#This Row],[ТАННАРХ]]</f>
        <v>0</v>
      </c>
      <c r="K712" s="31">
        <f>РЕАЛИЗАЦИЯ[[#This Row],[ЖАМИ]]-РЕАЛИЗАЦИЯ[[#This Row],[ЖАМИ2]]</f>
        <v>0</v>
      </c>
      <c r="L712" s="31"/>
    </row>
    <row r="713" spans="3:12" ht="15" customHeight="1" x14ac:dyDescent="0.3">
      <c r="C713" s="97"/>
      <c r="D713" s="97"/>
      <c r="G713" s="50">
        <f>РЕАЛИЗАЦИЯ[[#This Row],[СОНИ]]*РЕАЛИЗАЦИЯ[[#This Row],[НАРХИ]]</f>
        <v>0</v>
      </c>
      <c r="I713" s="94"/>
      <c r="J713" s="31">
        <f>РЕАЛИЗАЦИЯ[[#This Row],[СОНИ]]*РЕАЛИЗАЦИЯ[[#This Row],[ТАННАРХ]]</f>
        <v>0</v>
      </c>
      <c r="K713" s="31">
        <f>РЕАЛИЗАЦИЯ[[#This Row],[ЖАМИ]]-РЕАЛИЗАЦИЯ[[#This Row],[ЖАМИ2]]</f>
        <v>0</v>
      </c>
      <c r="L713" s="31"/>
    </row>
    <row r="714" spans="3:12" ht="15" customHeight="1" x14ac:dyDescent="0.3">
      <c r="C714" s="97"/>
      <c r="D714" s="97"/>
      <c r="G714" s="50">
        <f>РЕАЛИЗАЦИЯ[[#This Row],[СОНИ]]*РЕАЛИЗАЦИЯ[[#This Row],[НАРХИ]]</f>
        <v>0</v>
      </c>
      <c r="I714" s="94"/>
      <c r="J714" s="31">
        <f>РЕАЛИЗАЦИЯ[[#This Row],[СОНИ]]*РЕАЛИЗАЦИЯ[[#This Row],[ТАННАРХ]]</f>
        <v>0</v>
      </c>
      <c r="K714" s="31">
        <f>РЕАЛИЗАЦИЯ[[#This Row],[ЖАМИ]]-РЕАЛИЗАЦИЯ[[#This Row],[ЖАМИ2]]</f>
        <v>0</v>
      </c>
      <c r="L714" s="31"/>
    </row>
    <row r="715" spans="3:12" ht="15" customHeight="1" x14ac:dyDescent="0.3">
      <c r="C715" s="97"/>
      <c r="D715" s="97"/>
      <c r="G715" s="50">
        <f>РЕАЛИЗАЦИЯ[[#This Row],[СОНИ]]*РЕАЛИЗАЦИЯ[[#This Row],[НАРХИ]]</f>
        <v>0</v>
      </c>
      <c r="I715" s="94"/>
      <c r="J715" s="31">
        <f>РЕАЛИЗАЦИЯ[[#This Row],[СОНИ]]*РЕАЛИЗАЦИЯ[[#This Row],[ТАННАРХ]]</f>
        <v>0</v>
      </c>
      <c r="K715" s="31">
        <f>РЕАЛИЗАЦИЯ[[#This Row],[ЖАМИ]]-РЕАЛИЗАЦИЯ[[#This Row],[ЖАМИ2]]</f>
        <v>0</v>
      </c>
      <c r="L715" s="31"/>
    </row>
    <row r="716" spans="3:12" ht="15" customHeight="1" x14ac:dyDescent="0.3">
      <c r="C716" s="97"/>
      <c r="D716" s="97"/>
      <c r="G716" s="50">
        <f>РЕАЛИЗАЦИЯ[[#This Row],[СОНИ]]*РЕАЛИЗАЦИЯ[[#This Row],[НАРХИ]]</f>
        <v>0</v>
      </c>
      <c r="I716" s="94"/>
      <c r="J716" s="31">
        <f>РЕАЛИЗАЦИЯ[[#This Row],[СОНИ]]*РЕАЛИЗАЦИЯ[[#This Row],[ТАННАРХ]]</f>
        <v>0</v>
      </c>
      <c r="K716" s="31">
        <f>РЕАЛИЗАЦИЯ[[#This Row],[ЖАМИ]]-РЕАЛИЗАЦИЯ[[#This Row],[ЖАМИ2]]</f>
        <v>0</v>
      </c>
      <c r="L716" s="31"/>
    </row>
    <row r="717" spans="3:12" ht="15" customHeight="1" x14ac:dyDescent="0.3">
      <c r="C717" s="97"/>
      <c r="D717" s="97"/>
      <c r="G717" s="50">
        <f>РЕАЛИЗАЦИЯ[[#This Row],[СОНИ]]*РЕАЛИЗАЦИЯ[[#This Row],[НАРХИ]]</f>
        <v>0</v>
      </c>
      <c r="I717" s="94"/>
      <c r="J717" s="31">
        <f>РЕАЛИЗАЦИЯ[[#This Row],[СОНИ]]*РЕАЛИЗАЦИЯ[[#This Row],[ТАННАРХ]]</f>
        <v>0</v>
      </c>
      <c r="K717" s="31">
        <f>РЕАЛИЗАЦИЯ[[#This Row],[ЖАМИ]]-РЕАЛИЗАЦИЯ[[#This Row],[ЖАМИ2]]</f>
        <v>0</v>
      </c>
      <c r="L717" s="31"/>
    </row>
    <row r="718" spans="3:12" ht="15" customHeight="1" x14ac:dyDescent="0.3">
      <c r="C718" s="97"/>
      <c r="D718" s="97"/>
      <c r="G718" s="50">
        <f>РЕАЛИЗАЦИЯ[[#This Row],[СОНИ]]*РЕАЛИЗАЦИЯ[[#This Row],[НАРХИ]]</f>
        <v>0</v>
      </c>
      <c r="I718" s="94"/>
      <c r="J718" s="31">
        <f>РЕАЛИЗАЦИЯ[[#This Row],[СОНИ]]*РЕАЛИЗАЦИЯ[[#This Row],[ТАННАРХ]]</f>
        <v>0</v>
      </c>
      <c r="K718" s="31">
        <f>РЕАЛИЗАЦИЯ[[#This Row],[ЖАМИ]]-РЕАЛИЗАЦИЯ[[#This Row],[ЖАМИ2]]</f>
        <v>0</v>
      </c>
      <c r="L718" s="31"/>
    </row>
    <row r="719" spans="3:12" ht="15" customHeight="1" x14ac:dyDescent="0.3">
      <c r="C719" s="97"/>
      <c r="D719" s="97"/>
      <c r="G719" s="50">
        <f>РЕАЛИЗАЦИЯ[[#This Row],[СОНИ]]*РЕАЛИЗАЦИЯ[[#This Row],[НАРХИ]]</f>
        <v>0</v>
      </c>
      <c r="I719" s="94"/>
      <c r="J719" s="31">
        <f>РЕАЛИЗАЦИЯ[[#This Row],[СОНИ]]*РЕАЛИЗАЦИЯ[[#This Row],[ТАННАРХ]]</f>
        <v>0</v>
      </c>
      <c r="K719" s="31">
        <f>РЕАЛИЗАЦИЯ[[#This Row],[ЖАМИ]]-РЕАЛИЗАЦИЯ[[#This Row],[ЖАМИ2]]</f>
        <v>0</v>
      </c>
      <c r="L719" s="31"/>
    </row>
    <row r="720" spans="3:12" ht="15" customHeight="1" x14ac:dyDescent="0.3">
      <c r="C720" s="97"/>
      <c r="D720" s="97"/>
      <c r="G720" s="50">
        <f>РЕАЛИЗАЦИЯ[[#This Row],[СОНИ]]*РЕАЛИЗАЦИЯ[[#This Row],[НАРХИ]]</f>
        <v>0</v>
      </c>
      <c r="I720" s="94"/>
      <c r="J720" s="31">
        <f>РЕАЛИЗАЦИЯ[[#This Row],[СОНИ]]*РЕАЛИЗАЦИЯ[[#This Row],[ТАННАРХ]]</f>
        <v>0</v>
      </c>
      <c r="K720" s="31">
        <f>РЕАЛИЗАЦИЯ[[#This Row],[ЖАМИ]]-РЕАЛИЗАЦИЯ[[#This Row],[ЖАМИ2]]</f>
        <v>0</v>
      </c>
      <c r="L720" s="31"/>
    </row>
    <row r="721" spans="3:12" ht="15" customHeight="1" x14ac:dyDescent="0.3">
      <c r="C721" s="97"/>
      <c r="D721" s="97"/>
      <c r="G721" s="50">
        <f>РЕАЛИЗАЦИЯ[[#This Row],[СОНИ]]*РЕАЛИЗАЦИЯ[[#This Row],[НАРХИ]]</f>
        <v>0</v>
      </c>
      <c r="I721" s="94"/>
      <c r="J721" s="31">
        <f>РЕАЛИЗАЦИЯ[[#This Row],[СОНИ]]*РЕАЛИЗАЦИЯ[[#This Row],[ТАННАРХ]]</f>
        <v>0</v>
      </c>
      <c r="K721" s="31">
        <f>РЕАЛИЗАЦИЯ[[#This Row],[ЖАМИ]]-РЕАЛИЗАЦИЯ[[#This Row],[ЖАМИ2]]</f>
        <v>0</v>
      </c>
      <c r="L721" s="31"/>
    </row>
    <row r="722" spans="3:12" ht="15" customHeight="1" x14ac:dyDescent="0.3">
      <c r="C722" s="97"/>
      <c r="D722" s="97"/>
      <c r="G722" s="50">
        <f>РЕАЛИЗАЦИЯ[[#This Row],[СОНИ]]*РЕАЛИЗАЦИЯ[[#This Row],[НАРХИ]]</f>
        <v>0</v>
      </c>
      <c r="I722" s="94"/>
      <c r="J722" s="31">
        <f>РЕАЛИЗАЦИЯ[[#This Row],[СОНИ]]*РЕАЛИЗАЦИЯ[[#This Row],[ТАННАРХ]]</f>
        <v>0</v>
      </c>
      <c r="K722" s="31">
        <f>РЕАЛИЗАЦИЯ[[#This Row],[ЖАМИ]]-РЕАЛИЗАЦИЯ[[#This Row],[ЖАМИ2]]</f>
        <v>0</v>
      </c>
      <c r="L722" s="31"/>
    </row>
    <row r="723" spans="3:12" x14ac:dyDescent="0.3">
      <c r="C723" s="97"/>
      <c r="D723" s="97"/>
      <c r="G723" s="50">
        <f>РЕАЛИЗАЦИЯ[[#This Row],[СОНИ]]*РЕАЛИЗАЦИЯ[[#This Row],[НАРХИ]]</f>
        <v>0</v>
      </c>
      <c r="I723" s="94"/>
      <c r="J723" s="31">
        <f>РЕАЛИЗАЦИЯ[[#This Row],[СОНИ]]*РЕАЛИЗАЦИЯ[[#This Row],[ТАННАРХ]]</f>
        <v>0</v>
      </c>
      <c r="K723" s="31">
        <f>РЕАЛИЗАЦИЯ[[#This Row],[ЖАМИ]]-РЕАЛИЗАЦИЯ[[#This Row],[ЖАМИ2]]</f>
        <v>0</v>
      </c>
      <c r="L723" s="31"/>
    </row>
    <row r="724" spans="3:12" ht="15" customHeight="1" x14ac:dyDescent="0.3">
      <c r="C724" s="97"/>
      <c r="D724" s="97"/>
      <c r="G724" s="50">
        <f>РЕАЛИЗАЦИЯ[[#This Row],[СОНИ]]*РЕАЛИЗАЦИЯ[[#This Row],[НАРХИ]]</f>
        <v>0</v>
      </c>
      <c r="I724" s="94"/>
      <c r="J724" s="31">
        <f>РЕАЛИЗАЦИЯ[[#This Row],[СОНИ]]*РЕАЛИЗАЦИЯ[[#This Row],[ТАННАРХ]]</f>
        <v>0</v>
      </c>
      <c r="K724" s="31">
        <f>РЕАЛИЗАЦИЯ[[#This Row],[ЖАМИ]]-РЕАЛИЗАЦИЯ[[#This Row],[ЖАМИ2]]</f>
        <v>0</v>
      </c>
      <c r="L724" s="31"/>
    </row>
    <row r="725" spans="3:12" ht="15" customHeight="1" x14ac:dyDescent="0.3">
      <c r="C725" s="97"/>
      <c r="D725" s="97"/>
      <c r="G725" s="50">
        <f>РЕАЛИЗАЦИЯ[[#This Row],[СОНИ]]*РЕАЛИЗАЦИЯ[[#This Row],[НАРХИ]]</f>
        <v>0</v>
      </c>
      <c r="I725" s="94"/>
      <c r="J725" s="31">
        <f>РЕАЛИЗАЦИЯ[[#This Row],[СОНИ]]*РЕАЛИЗАЦИЯ[[#This Row],[ТАННАРХ]]</f>
        <v>0</v>
      </c>
      <c r="K725" s="31">
        <f>РЕАЛИЗАЦИЯ[[#This Row],[ЖАМИ]]-РЕАЛИЗАЦИЯ[[#This Row],[ЖАМИ2]]</f>
        <v>0</v>
      </c>
      <c r="L725" s="31"/>
    </row>
    <row r="726" spans="3:12" ht="15" customHeight="1" x14ac:dyDescent="0.3">
      <c r="C726" s="98"/>
      <c r="D726" s="98"/>
      <c r="G726" s="50">
        <f>РЕАЛИЗАЦИЯ[[#This Row],[СОНИ]]*РЕАЛИЗАЦИЯ[[#This Row],[НАРХИ]]</f>
        <v>0</v>
      </c>
      <c r="I726" s="94"/>
      <c r="J726" s="31">
        <f>РЕАЛИЗАЦИЯ[[#This Row],[СОНИ]]*РЕАЛИЗАЦИЯ[[#This Row],[ТАННАРХ]]</f>
        <v>0</v>
      </c>
      <c r="K726" s="31">
        <f>РЕАЛИЗАЦИЯ[[#This Row],[ЖАМИ]]-РЕАЛИЗАЦИЯ[[#This Row],[ЖАМИ2]]</f>
        <v>0</v>
      </c>
      <c r="L726" s="31"/>
    </row>
    <row r="727" spans="3:12" ht="15" customHeight="1" x14ac:dyDescent="0.3">
      <c r="C727" s="98"/>
      <c r="D727" s="98"/>
      <c r="G727" s="50">
        <f>РЕАЛИЗАЦИЯ[[#This Row],[СОНИ]]*РЕАЛИЗАЦИЯ[[#This Row],[НАРХИ]]</f>
        <v>0</v>
      </c>
      <c r="I727" s="94"/>
      <c r="J727" s="31">
        <f>РЕАЛИЗАЦИЯ[[#This Row],[СОНИ]]*РЕАЛИЗАЦИЯ[[#This Row],[ТАННАРХ]]</f>
        <v>0</v>
      </c>
      <c r="K727" s="31">
        <f>РЕАЛИЗАЦИЯ[[#This Row],[ЖАМИ]]-РЕАЛИЗАЦИЯ[[#This Row],[ЖАМИ2]]</f>
        <v>0</v>
      </c>
      <c r="L727" s="31"/>
    </row>
    <row r="728" spans="3:12" ht="15" customHeight="1" x14ac:dyDescent="0.3">
      <c r="C728" s="98"/>
      <c r="D728" s="98"/>
      <c r="G728" s="50">
        <f>РЕАЛИЗАЦИЯ[[#This Row],[СОНИ]]*РЕАЛИЗАЦИЯ[[#This Row],[НАРХИ]]</f>
        <v>0</v>
      </c>
      <c r="I728" s="94"/>
      <c r="J728" s="31">
        <f>РЕАЛИЗАЦИЯ[[#This Row],[СОНИ]]*РЕАЛИЗАЦИЯ[[#This Row],[ТАННАРХ]]</f>
        <v>0</v>
      </c>
      <c r="K728" s="31">
        <f>РЕАЛИЗАЦИЯ[[#This Row],[ЖАМИ]]-РЕАЛИЗАЦИЯ[[#This Row],[ЖАМИ2]]</f>
        <v>0</v>
      </c>
      <c r="L728" s="31"/>
    </row>
    <row r="729" spans="3:12" ht="15" customHeight="1" x14ac:dyDescent="0.3">
      <c r="C729" s="98"/>
      <c r="D729" s="98"/>
      <c r="G729" s="50">
        <f>РЕАЛИЗАЦИЯ[[#This Row],[СОНИ]]*РЕАЛИЗАЦИЯ[[#This Row],[НАРХИ]]</f>
        <v>0</v>
      </c>
      <c r="I729" s="94"/>
      <c r="J729" s="31">
        <f>РЕАЛИЗАЦИЯ[[#This Row],[СОНИ]]*РЕАЛИЗАЦИЯ[[#This Row],[ТАННАРХ]]</f>
        <v>0</v>
      </c>
      <c r="K729" s="31">
        <f>РЕАЛИЗАЦИЯ[[#This Row],[ЖАМИ]]-РЕАЛИЗАЦИЯ[[#This Row],[ЖАМИ2]]</f>
        <v>0</v>
      </c>
      <c r="L729" s="31"/>
    </row>
    <row r="730" spans="3:12" ht="15" customHeight="1" x14ac:dyDescent="0.3">
      <c r="C730" s="98"/>
      <c r="D730" s="98"/>
      <c r="G730" s="50">
        <f>РЕАЛИЗАЦИЯ[[#This Row],[СОНИ]]*РЕАЛИЗАЦИЯ[[#This Row],[НАРХИ]]</f>
        <v>0</v>
      </c>
      <c r="I730" s="94"/>
      <c r="J730" s="31">
        <f>РЕАЛИЗАЦИЯ[[#This Row],[СОНИ]]*РЕАЛИЗАЦИЯ[[#This Row],[ТАННАРХ]]</f>
        <v>0</v>
      </c>
      <c r="K730" s="31">
        <f>РЕАЛИЗАЦИЯ[[#This Row],[ЖАМИ]]-РЕАЛИЗАЦИЯ[[#This Row],[ЖАМИ2]]</f>
        <v>0</v>
      </c>
      <c r="L730" s="31"/>
    </row>
    <row r="731" spans="3:12" ht="15" customHeight="1" x14ac:dyDescent="0.3">
      <c r="C731" s="98"/>
      <c r="D731" s="98"/>
      <c r="G731" s="50">
        <f>РЕАЛИЗАЦИЯ[[#This Row],[СОНИ]]*РЕАЛИЗАЦИЯ[[#This Row],[НАРХИ]]</f>
        <v>0</v>
      </c>
      <c r="I731" s="94"/>
      <c r="J731" s="31">
        <f>РЕАЛИЗАЦИЯ[[#This Row],[СОНИ]]*РЕАЛИЗАЦИЯ[[#This Row],[ТАННАРХ]]</f>
        <v>0</v>
      </c>
      <c r="K731" s="31">
        <f>РЕАЛИЗАЦИЯ[[#This Row],[ЖАМИ]]-РЕАЛИЗАЦИЯ[[#This Row],[ЖАМИ2]]</f>
        <v>0</v>
      </c>
      <c r="L731" s="31"/>
    </row>
    <row r="732" spans="3:12" ht="15" customHeight="1" x14ac:dyDescent="0.3">
      <c r="C732" s="98"/>
      <c r="D732" s="98"/>
      <c r="G732" s="50">
        <f>РЕАЛИЗАЦИЯ[[#This Row],[СОНИ]]*РЕАЛИЗАЦИЯ[[#This Row],[НАРХИ]]</f>
        <v>0</v>
      </c>
      <c r="I732" s="94"/>
      <c r="J732" s="31">
        <f>РЕАЛИЗАЦИЯ[[#This Row],[СОНИ]]*РЕАЛИЗАЦИЯ[[#This Row],[ТАННАРХ]]</f>
        <v>0</v>
      </c>
      <c r="K732" s="31">
        <f>РЕАЛИЗАЦИЯ[[#This Row],[ЖАМИ]]-РЕАЛИЗАЦИЯ[[#This Row],[ЖАМИ2]]</f>
        <v>0</v>
      </c>
      <c r="L732" s="31"/>
    </row>
    <row r="733" spans="3:12" ht="15" customHeight="1" x14ac:dyDescent="0.3">
      <c r="C733" s="98"/>
      <c r="D733" s="98"/>
      <c r="G733" s="50">
        <f>РЕАЛИЗАЦИЯ[[#This Row],[СОНИ]]*РЕАЛИЗАЦИЯ[[#This Row],[НАРХИ]]</f>
        <v>0</v>
      </c>
      <c r="I733" s="94"/>
      <c r="J733" s="31">
        <f>РЕАЛИЗАЦИЯ[[#This Row],[СОНИ]]*РЕАЛИЗАЦИЯ[[#This Row],[ТАННАРХ]]</f>
        <v>0</v>
      </c>
      <c r="K733" s="31">
        <f>РЕАЛИЗАЦИЯ[[#This Row],[ЖАМИ]]-РЕАЛИЗАЦИЯ[[#This Row],[ЖАМИ2]]</f>
        <v>0</v>
      </c>
      <c r="L733" s="31"/>
    </row>
    <row r="734" spans="3:12" ht="15" customHeight="1" x14ac:dyDescent="0.3">
      <c r="C734" s="98"/>
      <c r="D734" s="98"/>
      <c r="G734" s="50">
        <f>РЕАЛИЗАЦИЯ[[#This Row],[СОНИ]]*РЕАЛИЗАЦИЯ[[#This Row],[НАРХИ]]</f>
        <v>0</v>
      </c>
      <c r="I734" s="94"/>
      <c r="J734" s="31">
        <f>РЕАЛИЗАЦИЯ[[#This Row],[СОНИ]]*РЕАЛИЗАЦИЯ[[#This Row],[ТАННАРХ]]</f>
        <v>0</v>
      </c>
      <c r="K734" s="31">
        <f>РЕАЛИЗАЦИЯ[[#This Row],[ЖАМИ]]-РЕАЛИЗАЦИЯ[[#This Row],[ЖАМИ2]]</f>
        <v>0</v>
      </c>
      <c r="L734" s="31"/>
    </row>
    <row r="735" spans="3:12" ht="15" customHeight="1" x14ac:dyDescent="0.3">
      <c r="C735" s="98"/>
      <c r="D735" s="98"/>
      <c r="G735" s="50">
        <f>РЕАЛИЗАЦИЯ[[#This Row],[СОНИ]]*РЕАЛИЗАЦИЯ[[#This Row],[НАРХИ]]</f>
        <v>0</v>
      </c>
      <c r="I735" s="94"/>
      <c r="J735" s="31">
        <f>РЕАЛИЗАЦИЯ[[#This Row],[СОНИ]]*РЕАЛИЗАЦИЯ[[#This Row],[ТАННАРХ]]</f>
        <v>0</v>
      </c>
      <c r="K735" s="31">
        <f>РЕАЛИЗАЦИЯ[[#This Row],[ЖАМИ]]-РЕАЛИЗАЦИЯ[[#This Row],[ЖАМИ2]]</f>
        <v>0</v>
      </c>
      <c r="L735" s="31"/>
    </row>
    <row r="736" spans="3:12" ht="15" customHeight="1" x14ac:dyDescent="0.3">
      <c r="C736" s="98"/>
      <c r="D736" s="98"/>
      <c r="G736" s="50">
        <f>РЕАЛИЗАЦИЯ[[#This Row],[СОНИ]]*РЕАЛИЗАЦИЯ[[#This Row],[НАРХИ]]</f>
        <v>0</v>
      </c>
      <c r="I736" s="94"/>
      <c r="J736" s="31">
        <f>РЕАЛИЗАЦИЯ[[#This Row],[СОНИ]]*РЕАЛИЗАЦИЯ[[#This Row],[ТАННАРХ]]</f>
        <v>0</v>
      </c>
      <c r="K736" s="31">
        <f>РЕАЛИЗАЦИЯ[[#This Row],[ЖАМИ]]-РЕАЛИЗАЦИЯ[[#This Row],[ЖАМИ2]]</f>
        <v>0</v>
      </c>
      <c r="L736" s="31"/>
    </row>
    <row r="737" spans="3:12" ht="15" customHeight="1" x14ac:dyDescent="0.3">
      <c r="C737" s="98"/>
      <c r="D737" s="98"/>
      <c r="G737" s="50">
        <f>РЕАЛИЗАЦИЯ[[#This Row],[СОНИ]]*РЕАЛИЗАЦИЯ[[#This Row],[НАРХИ]]</f>
        <v>0</v>
      </c>
      <c r="I737" s="94"/>
      <c r="J737" s="31">
        <f>РЕАЛИЗАЦИЯ[[#This Row],[СОНИ]]*РЕАЛИЗАЦИЯ[[#This Row],[ТАННАРХ]]</f>
        <v>0</v>
      </c>
      <c r="K737" s="31">
        <f>РЕАЛИЗАЦИЯ[[#This Row],[ЖАМИ]]-РЕАЛИЗАЦИЯ[[#This Row],[ЖАМИ2]]</f>
        <v>0</v>
      </c>
      <c r="L737" s="31"/>
    </row>
    <row r="738" spans="3:12" ht="15" customHeight="1" x14ac:dyDescent="0.3">
      <c r="C738" s="98"/>
      <c r="D738" s="98"/>
      <c r="G738" s="50">
        <f>РЕАЛИЗАЦИЯ[[#This Row],[СОНИ]]*РЕАЛИЗАЦИЯ[[#This Row],[НАРХИ]]</f>
        <v>0</v>
      </c>
      <c r="I738" s="94"/>
      <c r="J738" s="31">
        <f>РЕАЛИЗАЦИЯ[[#This Row],[СОНИ]]*РЕАЛИЗАЦИЯ[[#This Row],[ТАННАРХ]]</f>
        <v>0</v>
      </c>
      <c r="K738" s="31">
        <f>РЕАЛИЗАЦИЯ[[#This Row],[ЖАМИ]]-РЕАЛИЗАЦИЯ[[#This Row],[ЖАМИ2]]</f>
        <v>0</v>
      </c>
      <c r="L738" s="31"/>
    </row>
    <row r="739" spans="3:12" ht="15" customHeight="1" x14ac:dyDescent="0.3">
      <c r="C739" s="98"/>
      <c r="D739" s="98"/>
      <c r="G739" s="50">
        <f>РЕАЛИЗАЦИЯ[[#This Row],[СОНИ]]*РЕАЛИЗАЦИЯ[[#This Row],[НАРХИ]]</f>
        <v>0</v>
      </c>
      <c r="I739" s="94"/>
      <c r="J739" s="31">
        <f>РЕАЛИЗАЦИЯ[[#This Row],[СОНИ]]*РЕАЛИЗАЦИЯ[[#This Row],[ТАННАРХ]]</f>
        <v>0</v>
      </c>
      <c r="K739" s="31">
        <f>РЕАЛИЗАЦИЯ[[#This Row],[ЖАМИ]]-РЕАЛИЗАЦИЯ[[#This Row],[ЖАМИ2]]</f>
        <v>0</v>
      </c>
      <c r="L739" s="31"/>
    </row>
    <row r="740" spans="3:12" ht="15" customHeight="1" x14ac:dyDescent="0.3">
      <c r="C740" s="98"/>
      <c r="D740" s="98"/>
      <c r="G740" s="50">
        <f>РЕАЛИЗАЦИЯ[[#This Row],[СОНИ]]*РЕАЛИЗАЦИЯ[[#This Row],[НАРХИ]]</f>
        <v>0</v>
      </c>
      <c r="I740" s="94"/>
      <c r="J740" s="31">
        <f>РЕАЛИЗАЦИЯ[[#This Row],[СОНИ]]*РЕАЛИЗАЦИЯ[[#This Row],[ТАННАРХ]]</f>
        <v>0</v>
      </c>
      <c r="K740" s="31">
        <f>РЕАЛИЗАЦИЯ[[#This Row],[ЖАМИ]]-РЕАЛИЗАЦИЯ[[#This Row],[ЖАМИ2]]</f>
        <v>0</v>
      </c>
      <c r="L740" s="31"/>
    </row>
    <row r="741" spans="3:12" ht="15" customHeight="1" x14ac:dyDescent="0.3">
      <c r="C741" s="98"/>
      <c r="D741" s="98"/>
      <c r="G741" s="50">
        <f>РЕАЛИЗАЦИЯ[[#This Row],[СОНИ]]*РЕАЛИЗАЦИЯ[[#This Row],[НАРХИ]]</f>
        <v>0</v>
      </c>
      <c r="I741" s="94"/>
      <c r="J741" s="31">
        <f>РЕАЛИЗАЦИЯ[[#This Row],[СОНИ]]*РЕАЛИЗАЦИЯ[[#This Row],[ТАННАРХ]]</f>
        <v>0</v>
      </c>
      <c r="K741" s="31">
        <f>РЕАЛИЗАЦИЯ[[#This Row],[ЖАМИ]]-РЕАЛИЗАЦИЯ[[#This Row],[ЖАМИ2]]</f>
        <v>0</v>
      </c>
      <c r="L741" s="31"/>
    </row>
    <row r="742" spans="3:12" ht="15" customHeight="1" x14ac:dyDescent="0.3">
      <c r="C742" s="98"/>
      <c r="D742" s="98"/>
      <c r="G742" s="50">
        <f>РЕАЛИЗАЦИЯ[[#This Row],[СОНИ]]*РЕАЛИЗАЦИЯ[[#This Row],[НАРХИ]]</f>
        <v>0</v>
      </c>
      <c r="I742" s="94"/>
      <c r="J742" s="31">
        <f>РЕАЛИЗАЦИЯ[[#This Row],[СОНИ]]*РЕАЛИЗАЦИЯ[[#This Row],[ТАННАРХ]]</f>
        <v>0</v>
      </c>
      <c r="K742" s="31">
        <f>РЕАЛИЗАЦИЯ[[#This Row],[ЖАМИ]]-РЕАЛИЗАЦИЯ[[#This Row],[ЖАМИ2]]</f>
        <v>0</v>
      </c>
      <c r="L742" s="31"/>
    </row>
    <row r="743" spans="3:12" ht="15" customHeight="1" x14ac:dyDescent="0.3">
      <c r="C743" s="98"/>
      <c r="D743" s="98"/>
      <c r="G743" s="50">
        <f>РЕАЛИЗАЦИЯ[[#This Row],[СОНИ]]*РЕАЛИЗАЦИЯ[[#This Row],[НАРХИ]]</f>
        <v>0</v>
      </c>
      <c r="I743" s="94"/>
      <c r="J743" s="31">
        <f>РЕАЛИЗАЦИЯ[[#This Row],[СОНИ]]*РЕАЛИЗАЦИЯ[[#This Row],[ТАННАРХ]]</f>
        <v>0</v>
      </c>
      <c r="K743" s="31">
        <f>РЕАЛИЗАЦИЯ[[#This Row],[ЖАМИ]]-РЕАЛИЗАЦИЯ[[#This Row],[ЖАМИ2]]</f>
        <v>0</v>
      </c>
      <c r="L743" s="31"/>
    </row>
    <row r="744" spans="3:12" ht="15" customHeight="1" x14ac:dyDescent="0.3">
      <c r="C744" s="98"/>
      <c r="D744" s="98"/>
      <c r="G744" s="50">
        <f>РЕАЛИЗАЦИЯ[[#This Row],[СОНИ]]*РЕАЛИЗАЦИЯ[[#This Row],[НАРХИ]]</f>
        <v>0</v>
      </c>
      <c r="I744" s="94"/>
      <c r="J744" s="31">
        <f>РЕАЛИЗАЦИЯ[[#This Row],[СОНИ]]*РЕАЛИЗАЦИЯ[[#This Row],[ТАННАРХ]]</f>
        <v>0</v>
      </c>
      <c r="K744" s="31">
        <f>РЕАЛИЗАЦИЯ[[#This Row],[ЖАМИ]]-РЕАЛИЗАЦИЯ[[#This Row],[ЖАМИ2]]</f>
        <v>0</v>
      </c>
      <c r="L744" s="31"/>
    </row>
    <row r="745" spans="3:12" ht="15" customHeight="1" x14ac:dyDescent="0.3">
      <c r="C745" s="98"/>
      <c r="D745" s="98"/>
      <c r="G745" s="50">
        <f>РЕАЛИЗАЦИЯ[[#This Row],[СОНИ]]*РЕАЛИЗАЦИЯ[[#This Row],[НАРХИ]]</f>
        <v>0</v>
      </c>
      <c r="I745" s="94"/>
      <c r="J745" s="31">
        <f>РЕАЛИЗАЦИЯ[[#This Row],[СОНИ]]*РЕАЛИЗАЦИЯ[[#This Row],[ТАННАРХ]]</f>
        <v>0</v>
      </c>
      <c r="K745" s="31">
        <f>РЕАЛИЗАЦИЯ[[#This Row],[ЖАМИ]]-РЕАЛИЗАЦИЯ[[#This Row],[ЖАМИ2]]</f>
        <v>0</v>
      </c>
      <c r="L745" s="31"/>
    </row>
    <row r="746" spans="3:12" ht="15" customHeight="1" x14ac:dyDescent="0.3">
      <c r="C746" s="98"/>
      <c r="D746" s="98"/>
      <c r="G746" s="50">
        <f>РЕАЛИЗАЦИЯ[[#This Row],[СОНИ]]*РЕАЛИЗАЦИЯ[[#This Row],[НАРХИ]]</f>
        <v>0</v>
      </c>
      <c r="I746" s="94"/>
      <c r="J746" s="31">
        <f>РЕАЛИЗАЦИЯ[[#This Row],[СОНИ]]*РЕАЛИЗАЦИЯ[[#This Row],[ТАННАРХ]]</f>
        <v>0</v>
      </c>
      <c r="K746" s="31">
        <f>РЕАЛИЗАЦИЯ[[#This Row],[ЖАМИ]]-РЕАЛИЗАЦИЯ[[#This Row],[ЖАМИ2]]</f>
        <v>0</v>
      </c>
      <c r="L746" s="31"/>
    </row>
    <row r="747" spans="3:12" ht="15" customHeight="1" x14ac:dyDescent="0.3">
      <c r="C747" s="98"/>
      <c r="D747" s="98"/>
      <c r="G747" s="50">
        <f>РЕАЛИЗАЦИЯ[[#This Row],[СОНИ]]*РЕАЛИЗАЦИЯ[[#This Row],[НАРХИ]]</f>
        <v>0</v>
      </c>
      <c r="I747" s="94"/>
      <c r="J747" s="31">
        <f>РЕАЛИЗАЦИЯ[[#This Row],[СОНИ]]*РЕАЛИЗАЦИЯ[[#This Row],[ТАННАРХ]]</f>
        <v>0</v>
      </c>
      <c r="K747" s="31">
        <f>РЕАЛИЗАЦИЯ[[#This Row],[ЖАМИ]]-РЕАЛИЗАЦИЯ[[#This Row],[ЖАМИ2]]</f>
        <v>0</v>
      </c>
      <c r="L747" s="31"/>
    </row>
    <row r="748" spans="3:12" ht="15" customHeight="1" x14ac:dyDescent="0.3">
      <c r="C748" s="98"/>
      <c r="D748" s="98"/>
      <c r="G748" s="50">
        <f>РЕАЛИЗАЦИЯ[[#This Row],[СОНИ]]*РЕАЛИЗАЦИЯ[[#This Row],[НАРХИ]]</f>
        <v>0</v>
      </c>
      <c r="I748" s="94"/>
      <c r="J748" s="31">
        <f>РЕАЛИЗАЦИЯ[[#This Row],[СОНИ]]*РЕАЛИЗАЦИЯ[[#This Row],[ТАННАРХ]]</f>
        <v>0</v>
      </c>
      <c r="K748" s="31">
        <f>РЕАЛИЗАЦИЯ[[#This Row],[ЖАМИ]]-РЕАЛИЗАЦИЯ[[#This Row],[ЖАМИ2]]</f>
        <v>0</v>
      </c>
      <c r="L748" s="31"/>
    </row>
    <row r="749" spans="3:12" ht="15" customHeight="1" x14ac:dyDescent="0.3">
      <c r="C749" s="98"/>
      <c r="D749" s="98"/>
      <c r="G749" s="50">
        <f>РЕАЛИЗАЦИЯ[[#This Row],[СОНИ]]*РЕАЛИЗАЦИЯ[[#This Row],[НАРХИ]]</f>
        <v>0</v>
      </c>
      <c r="I749" s="94"/>
      <c r="J749" s="31">
        <f>РЕАЛИЗАЦИЯ[[#This Row],[СОНИ]]*РЕАЛИЗАЦИЯ[[#This Row],[ТАННАРХ]]</f>
        <v>0</v>
      </c>
      <c r="K749" s="31">
        <f>РЕАЛИЗАЦИЯ[[#This Row],[ЖАМИ]]-РЕАЛИЗАЦИЯ[[#This Row],[ЖАМИ2]]</f>
        <v>0</v>
      </c>
      <c r="L749" s="31"/>
    </row>
    <row r="750" spans="3:12" ht="15" customHeight="1" x14ac:dyDescent="0.3">
      <c r="C750" s="98"/>
      <c r="D750" s="98"/>
      <c r="G750" s="50">
        <f>РЕАЛИЗАЦИЯ[[#This Row],[СОНИ]]*РЕАЛИЗАЦИЯ[[#This Row],[НАРХИ]]</f>
        <v>0</v>
      </c>
      <c r="I750" s="94"/>
      <c r="J750" s="31">
        <f>РЕАЛИЗАЦИЯ[[#This Row],[СОНИ]]*РЕАЛИЗАЦИЯ[[#This Row],[ТАННАРХ]]</f>
        <v>0</v>
      </c>
      <c r="K750" s="31">
        <f>РЕАЛИЗАЦИЯ[[#This Row],[ЖАМИ]]-РЕАЛИЗАЦИЯ[[#This Row],[ЖАМИ2]]</f>
        <v>0</v>
      </c>
      <c r="L750" s="31"/>
    </row>
    <row r="751" spans="3:12" ht="15" customHeight="1" x14ac:dyDescent="0.3">
      <c r="C751" s="98"/>
      <c r="D751" s="98"/>
      <c r="G751" s="50">
        <f>РЕАЛИЗАЦИЯ[[#This Row],[СОНИ]]*РЕАЛИЗАЦИЯ[[#This Row],[НАРХИ]]</f>
        <v>0</v>
      </c>
      <c r="I751" s="94"/>
      <c r="J751" s="31">
        <f>РЕАЛИЗАЦИЯ[[#This Row],[СОНИ]]*РЕАЛИЗАЦИЯ[[#This Row],[ТАННАРХ]]</f>
        <v>0</v>
      </c>
      <c r="K751" s="31">
        <f>РЕАЛИЗАЦИЯ[[#This Row],[ЖАМИ]]-РЕАЛИЗАЦИЯ[[#This Row],[ЖАМИ2]]</f>
        <v>0</v>
      </c>
      <c r="L751" s="31"/>
    </row>
    <row r="752" spans="3:12" ht="15" customHeight="1" x14ac:dyDescent="0.3">
      <c r="C752" s="98"/>
      <c r="D752" s="98"/>
      <c r="G752" s="50">
        <f>РЕАЛИЗАЦИЯ[[#This Row],[СОНИ]]*РЕАЛИЗАЦИЯ[[#This Row],[НАРХИ]]</f>
        <v>0</v>
      </c>
      <c r="I752" s="94"/>
      <c r="J752" s="31">
        <f>РЕАЛИЗАЦИЯ[[#This Row],[СОНИ]]*РЕАЛИЗАЦИЯ[[#This Row],[ТАННАРХ]]</f>
        <v>0</v>
      </c>
      <c r="K752" s="31">
        <f>РЕАЛИЗАЦИЯ[[#This Row],[ЖАМИ]]-РЕАЛИЗАЦИЯ[[#This Row],[ЖАМИ2]]</f>
        <v>0</v>
      </c>
      <c r="L752" s="31"/>
    </row>
    <row r="753" spans="3:12" ht="15" customHeight="1" x14ac:dyDescent="0.3">
      <c r="C753" s="98"/>
      <c r="D753" s="98"/>
      <c r="G753" s="50">
        <f>РЕАЛИЗАЦИЯ[[#This Row],[СОНИ]]*РЕАЛИЗАЦИЯ[[#This Row],[НАРХИ]]</f>
        <v>0</v>
      </c>
      <c r="I753" s="94"/>
      <c r="J753" s="31">
        <f>РЕАЛИЗАЦИЯ[[#This Row],[СОНИ]]*РЕАЛИЗАЦИЯ[[#This Row],[ТАННАРХ]]</f>
        <v>0</v>
      </c>
      <c r="K753" s="31">
        <f>РЕАЛИЗАЦИЯ[[#This Row],[ЖАМИ]]-РЕАЛИЗАЦИЯ[[#This Row],[ЖАМИ2]]</f>
        <v>0</v>
      </c>
      <c r="L753" s="31"/>
    </row>
    <row r="754" spans="3:12" ht="15" customHeight="1" x14ac:dyDescent="0.3">
      <c r="C754" s="98"/>
      <c r="D754" s="98"/>
      <c r="G754" s="50">
        <f>РЕАЛИЗАЦИЯ[[#This Row],[СОНИ]]*РЕАЛИЗАЦИЯ[[#This Row],[НАРХИ]]</f>
        <v>0</v>
      </c>
      <c r="I754" s="94"/>
      <c r="J754" s="31">
        <f>РЕАЛИЗАЦИЯ[[#This Row],[СОНИ]]*РЕАЛИЗАЦИЯ[[#This Row],[ТАННАРХ]]</f>
        <v>0</v>
      </c>
      <c r="K754" s="31">
        <f>РЕАЛИЗАЦИЯ[[#This Row],[ЖАМИ]]-РЕАЛИЗАЦИЯ[[#This Row],[ЖАМИ2]]</f>
        <v>0</v>
      </c>
      <c r="L754" s="31"/>
    </row>
    <row r="755" spans="3:12" ht="15" customHeight="1" x14ac:dyDescent="0.3">
      <c r="C755" s="98"/>
      <c r="D755" s="98"/>
      <c r="G755" s="50">
        <f>РЕАЛИЗАЦИЯ[[#This Row],[СОНИ]]*РЕАЛИЗАЦИЯ[[#This Row],[НАРХИ]]</f>
        <v>0</v>
      </c>
      <c r="I755" s="94"/>
      <c r="J755" s="31">
        <f>РЕАЛИЗАЦИЯ[[#This Row],[СОНИ]]*РЕАЛИЗАЦИЯ[[#This Row],[ТАННАРХ]]</f>
        <v>0</v>
      </c>
      <c r="K755" s="31">
        <f>РЕАЛИЗАЦИЯ[[#This Row],[ЖАМИ]]-РЕАЛИЗАЦИЯ[[#This Row],[ЖАМИ2]]</f>
        <v>0</v>
      </c>
      <c r="L755" s="31"/>
    </row>
    <row r="756" spans="3:12" ht="15" customHeight="1" x14ac:dyDescent="0.3">
      <c r="C756" s="98"/>
      <c r="D756" s="98"/>
      <c r="G756" s="50">
        <f>РЕАЛИЗАЦИЯ[[#This Row],[СОНИ]]*РЕАЛИЗАЦИЯ[[#This Row],[НАРХИ]]</f>
        <v>0</v>
      </c>
      <c r="I756" s="94"/>
      <c r="J756" s="31">
        <f>РЕАЛИЗАЦИЯ[[#This Row],[СОНИ]]*РЕАЛИЗАЦИЯ[[#This Row],[ТАННАРХ]]</f>
        <v>0</v>
      </c>
      <c r="K756" s="31">
        <f>РЕАЛИЗАЦИЯ[[#This Row],[ЖАМИ]]-РЕАЛИЗАЦИЯ[[#This Row],[ЖАМИ2]]</f>
        <v>0</v>
      </c>
      <c r="L756" s="31"/>
    </row>
    <row r="757" spans="3:12" ht="15" customHeight="1" x14ac:dyDescent="0.3">
      <c r="C757" s="98"/>
      <c r="D757" s="98"/>
      <c r="G757" s="50">
        <f>РЕАЛИЗАЦИЯ[[#This Row],[СОНИ]]*РЕАЛИЗАЦИЯ[[#This Row],[НАРХИ]]</f>
        <v>0</v>
      </c>
      <c r="I757" s="94"/>
      <c r="J757" s="31">
        <f>РЕАЛИЗАЦИЯ[[#This Row],[СОНИ]]*РЕАЛИЗАЦИЯ[[#This Row],[ТАННАРХ]]</f>
        <v>0</v>
      </c>
      <c r="K757" s="31">
        <f>РЕАЛИЗАЦИЯ[[#This Row],[ЖАМИ]]-РЕАЛИЗАЦИЯ[[#This Row],[ЖАМИ2]]</f>
        <v>0</v>
      </c>
      <c r="L757" s="31"/>
    </row>
    <row r="758" spans="3:12" ht="15" customHeight="1" x14ac:dyDescent="0.3">
      <c r="C758" s="98"/>
      <c r="D758" s="98"/>
      <c r="G758" s="50">
        <f>РЕАЛИЗАЦИЯ[[#This Row],[СОНИ]]*РЕАЛИЗАЦИЯ[[#This Row],[НАРХИ]]</f>
        <v>0</v>
      </c>
      <c r="I758" s="94"/>
      <c r="J758" s="31">
        <f>РЕАЛИЗАЦИЯ[[#This Row],[СОНИ]]*РЕАЛИЗАЦИЯ[[#This Row],[ТАННАРХ]]</f>
        <v>0</v>
      </c>
      <c r="K758" s="31">
        <f>РЕАЛИЗАЦИЯ[[#This Row],[ЖАМИ]]-РЕАЛИЗАЦИЯ[[#This Row],[ЖАМИ2]]</f>
        <v>0</v>
      </c>
      <c r="L758" s="31"/>
    </row>
    <row r="759" spans="3:12" ht="15" customHeight="1" x14ac:dyDescent="0.3">
      <c r="C759" s="98"/>
      <c r="D759" s="98"/>
      <c r="G759" s="50">
        <f>РЕАЛИЗАЦИЯ[[#This Row],[СОНИ]]*РЕАЛИЗАЦИЯ[[#This Row],[НАРХИ]]</f>
        <v>0</v>
      </c>
      <c r="I759" s="94"/>
      <c r="J759" s="31">
        <f>РЕАЛИЗАЦИЯ[[#This Row],[СОНИ]]*РЕАЛИЗАЦИЯ[[#This Row],[ТАННАРХ]]</f>
        <v>0</v>
      </c>
      <c r="K759" s="31">
        <f>РЕАЛИЗАЦИЯ[[#This Row],[ЖАМИ]]-РЕАЛИЗАЦИЯ[[#This Row],[ЖАМИ2]]</f>
        <v>0</v>
      </c>
      <c r="L759" s="31"/>
    </row>
    <row r="760" spans="3:12" ht="15" customHeight="1" x14ac:dyDescent="0.3">
      <c r="C760" s="98"/>
      <c r="D760" s="98"/>
      <c r="G760" s="50">
        <f>РЕАЛИЗАЦИЯ[[#This Row],[СОНИ]]*РЕАЛИЗАЦИЯ[[#This Row],[НАРХИ]]</f>
        <v>0</v>
      </c>
      <c r="I760" s="94"/>
      <c r="J760" s="31">
        <f>РЕАЛИЗАЦИЯ[[#This Row],[СОНИ]]*РЕАЛИЗАЦИЯ[[#This Row],[ТАННАРХ]]</f>
        <v>0</v>
      </c>
      <c r="K760" s="31">
        <f>РЕАЛИЗАЦИЯ[[#This Row],[ЖАМИ]]-РЕАЛИЗАЦИЯ[[#This Row],[ЖАМИ2]]</f>
        <v>0</v>
      </c>
      <c r="L760" s="31"/>
    </row>
    <row r="761" spans="3:12" ht="15" customHeight="1" x14ac:dyDescent="0.3">
      <c r="C761" s="98"/>
      <c r="D761" s="98"/>
      <c r="G761" s="50">
        <f>РЕАЛИЗАЦИЯ[[#This Row],[СОНИ]]*РЕАЛИЗАЦИЯ[[#This Row],[НАРХИ]]</f>
        <v>0</v>
      </c>
      <c r="I761" s="94"/>
      <c r="J761" s="31">
        <f>РЕАЛИЗАЦИЯ[[#This Row],[СОНИ]]*РЕАЛИЗАЦИЯ[[#This Row],[ТАННАРХ]]</f>
        <v>0</v>
      </c>
      <c r="K761" s="31">
        <f>РЕАЛИЗАЦИЯ[[#This Row],[ЖАМИ]]-РЕАЛИЗАЦИЯ[[#This Row],[ЖАМИ2]]</f>
        <v>0</v>
      </c>
      <c r="L761" s="31"/>
    </row>
    <row r="762" spans="3:12" ht="15" customHeight="1" x14ac:dyDescent="0.3">
      <c r="C762" s="98"/>
      <c r="D762" s="98"/>
      <c r="G762" s="50">
        <f>РЕАЛИЗАЦИЯ[[#This Row],[СОНИ]]*РЕАЛИЗАЦИЯ[[#This Row],[НАРХИ]]</f>
        <v>0</v>
      </c>
      <c r="I762" s="94"/>
      <c r="J762" s="31">
        <f>РЕАЛИЗАЦИЯ[[#This Row],[СОНИ]]*РЕАЛИЗАЦИЯ[[#This Row],[ТАННАРХ]]</f>
        <v>0</v>
      </c>
      <c r="K762" s="31">
        <f>РЕАЛИЗАЦИЯ[[#This Row],[ЖАМИ]]-РЕАЛИЗАЦИЯ[[#This Row],[ЖАМИ2]]</f>
        <v>0</v>
      </c>
      <c r="L762" s="31"/>
    </row>
    <row r="763" spans="3:12" ht="15" customHeight="1" x14ac:dyDescent="0.3">
      <c r="C763" s="98"/>
      <c r="D763" s="98"/>
      <c r="G763" s="50">
        <f>РЕАЛИЗАЦИЯ[[#This Row],[СОНИ]]*РЕАЛИЗАЦИЯ[[#This Row],[НАРХИ]]</f>
        <v>0</v>
      </c>
      <c r="I763" s="94"/>
      <c r="J763" s="31">
        <f>РЕАЛИЗАЦИЯ[[#This Row],[СОНИ]]*РЕАЛИЗАЦИЯ[[#This Row],[ТАННАРХ]]</f>
        <v>0</v>
      </c>
      <c r="K763" s="31">
        <f>РЕАЛИЗАЦИЯ[[#This Row],[ЖАМИ]]-РЕАЛИЗАЦИЯ[[#This Row],[ЖАМИ2]]</f>
        <v>0</v>
      </c>
      <c r="L763" s="31"/>
    </row>
    <row r="764" spans="3:12" ht="15" customHeight="1" x14ac:dyDescent="0.3">
      <c r="C764" s="98"/>
      <c r="D764" s="98"/>
      <c r="G764" s="50">
        <f>РЕАЛИЗАЦИЯ[[#This Row],[СОНИ]]*РЕАЛИЗАЦИЯ[[#This Row],[НАРХИ]]</f>
        <v>0</v>
      </c>
      <c r="I764" s="94"/>
      <c r="J764" s="31">
        <f>РЕАЛИЗАЦИЯ[[#This Row],[СОНИ]]*РЕАЛИЗАЦИЯ[[#This Row],[ТАННАРХ]]</f>
        <v>0</v>
      </c>
      <c r="K764" s="31">
        <f>РЕАЛИЗАЦИЯ[[#This Row],[ЖАМИ]]-РЕАЛИЗАЦИЯ[[#This Row],[ЖАМИ2]]</f>
        <v>0</v>
      </c>
      <c r="L764" s="31"/>
    </row>
    <row r="765" spans="3:12" ht="15" customHeight="1" x14ac:dyDescent="0.3">
      <c r="C765" s="98"/>
      <c r="D765" s="98"/>
      <c r="G765" s="50">
        <f>РЕАЛИЗАЦИЯ[[#This Row],[СОНИ]]*РЕАЛИЗАЦИЯ[[#This Row],[НАРХИ]]</f>
        <v>0</v>
      </c>
      <c r="I765" s="94"/>
      <c r="J765" s="31">
        <f>РЕАЛИЗАЦИЯ[[#This Row],[СОНИ]]*РЕАЛИЗАЦИЯ[[#This Row],[ТАННАРХ]]</f>
        <v>0</v>
      </c>
      <c r="K765" s="31">
        <f>РЕАЛИЗАЦИЯ[[#This Row],[ЖАМИ]]-РЕАЛИЗАЦИЯ[[#This Row],[ЖАМИ2]]</f>
        <v>0</v>
      </c>
      <c r="L765" s="31"/>
    </row>
    <row r="766" spans="3:12" ht="15" customHeight="1" x14ac:dyDescent="0.3">
      <c r="C766" s="98"/>
      <c r="D766" s="98"/>
      <c r="G766" s="50">
        <f>РЕАЛИЗАЦИЯ[[#This Row],[СОНИ]]*РЕАЛИЗАЦИЯ[[#This Row],[НАРХИ]]</f>
        <v>0</v>
      </c>
      <c r="I766" s="94"/>
      <c r="J766" s="31">
        <f>РЕАЛИЗАЦИЯ[[#This Row],[СОНИ]]*РЕАЛИЗАЦИЯ[[#This Row],[ТАННАРХ]]</f>
        <v>0</v>
      </c>
      <c r="K766" s="31">
        <f>РЕАЛИЗАЦИЯ[[#This Row],[ЖАМИ]]-РЕАЛИЗАЦИЯ[[#This Row],[ЖАМИ2]]</f>
        <v>0</v>
      </c>
      <c r="L766" s="31"/>
    </row>
    <row r="767" spans="3:12" ht="15" customHeight="1" x14ac:dyDescent="0.3">
      <c r="C767" s="98"/>
      <c r="D767" s="98"/>
      <c r="G767" s="50">
        <f>РЕАЛИЗАЦИЯ[[#This Row],[СОНИ]]*РЕАЛИЗАЦИЯ[[#This Row],[НАРХИ]]</f>
        <v>0</v>
      </c>
      <c r="I767" s="94"/>
      <c r="J767" s="31">
        <f>РЕАЛИЗАЦИЯ[[#This Row],[СОНИ]]*РЕАЛИЗАЦИЯ[[#This Row],[ТАННАРХ]]</f>
        <v>0</v>
      </c>
      <c r="K767" s="31">
        <f>РЕАЛИЗАЦИЯ[[#This Row],[ЖАМИ]]-РЕАЛИЗАЦИЯ[[#This Row],[ЖАМИ2]]</f>
        <v>0</v>
      </c>
      <c r="L767" s="31"/>
    </row>
    <row r="768" spans="3:12" x14ac:dyDescent="0.3">
      <c r="C768" s="98"/>
      <c r="D768" s="98"/>
      <c r="G768" s="50">
        <f>РЕАЛИЗАЦИЯ[[#This Row],[СОНИ]]*РЕАЛИЗАЦИЯ[[#This Row],[НАРХИ]]</f>
        <v>0</v>
      </c>
      <c r="I768" s="94"/>
      <c r="J768" s="31">
        <f>РЕАЛИЗАЦИЯ[[#This Row],[СОНИ]]*РЕАЛИЗАЦИЯ[[#This Row],[ТАННАРХ]]</f>
        <v>0</v>
      </c>
      <c r="K768" s="31">
        <f>РЕАЛИЗАЦИЯ[[#This Row],[ЖАМИ]]-РЕАЛИЗАЦИЯ[[#This Row],[ЖАМИ2]]</f>
        <v>0</v>
      </c>
      <c r="L768" s="31"/>
    </row>
    <row r="769" spans="3:12" ht="15" customHeight="1" x14ac:dyDescent="0.3">
      <c r="C769" s="98"/>
      <c r="D769" s="98"/>
      <c r="G769" s="50">
        <f>РЕАЛИЗАЦИЯ[[#This Row],[СОНИ]]*РЕАЛИЗАЦИЯ[[#This Row],[НАРХИ]]</f>
        <v>0</v>
      </c>
      <c r="I769" s="94"/>
      <c r="J769" s="31">
        <f>РЕАЛИЗАЦИЯ[[#This Row],[СОНИ]]*РЕАЛИЗАЦИЯ[[#This Row],[ТАННАРХ]]</f>
        <v>0</v>
      </c>
      <c r="K769" s="31">
        <f>РЕАЛИЗАЦИЯ[[#This Row],[ЖАМИ]]-РЕАЛИЗАЦИЯ[[#This Row],[ЖАМИ2]]</f>
        <v>0</v>
      </c>
      <c r="L769" s="31"/>
    </row>
    <row r="770" spans="3:12" ht="15" customHeight="1" x14ac:dyDescent="0.3">
      <c r="C770" s="98"/>
      <c r="D770" s="98"/>
      <c r="G770" s="50">
        <f>РЕАЛИЗАЦИЯ[[#This Row],[СОНИ]]*РЕАЛИЗАЦИЯ[[#This Row],[НАРХИ]]</f>
        <v>0</v>
      </c>
      <c r="I770" s="94"/>
      <c r="J770" s="31">
        <f>РЕАЛИЗАЦИЯ[[#This Row],[СОНИ]]*РЕАЛИЗАЦИЯ[[#This Row],[ТАННАРХ]]</f>
        <v>0</v>
      </c>
      <c r="K770" s="31">
        <f>РЕАЛИЗАЦИЯ[[#This Row],[ЖАМИ]]-РЕАЛИЗАЦИЯ[[#This Row],[ЖАМИ2]]</f>
        <v>0</v>
      </c>
      <c r="L770" s="31"/>
    </row>
    <row r="771" spans="3:12" ht="15" customHeight="1" x14ac:dyDescent="0.3">
      <c r="C771" s="98"/>
      <c r="D771" s="98"/>
      <c r="G771" s="50">
        <f>РЕАЛИЗАЦИЯ[[#This Row],[СОНИ]]*РЕАЛИЗАЦИЯ[[#This Row],[НАРХИ]]</f>
        <v>0</v>
      </c>
      <c r="I771" s="94"/>
      <c r="J771" s="31">
        <f>РЕАЛИЗАЦИЯ[[#This Row],[СОНИ]]*РЕАЛИЗАЦИЯ[[#This Row],[ТАННАРХ]]</f>
        <v>0</v>
      </c>
      <c r="K771" s="31">
        <f>РЕАЛИЗАЦИЯ[[#This Row],[ЖАМИ]]-РЕАЛИЗАЦИЯ[[#This Row],[ЖАМИ2]]</f>
        <v>0</v>
      </c>
      <c r="L771" s="31"/>
    </row>
    <row r="772" spans="3:12" ht="15" customHeight="1" x14ac:dyDescent="0.3">
      <c r="C772" s="98"/>
      <c r="D772" s="98"/>
      <c r="G772" s="50">
        <f>РЕАЛИЗАЦИЯ[[#This Row],[СОНИ]]*РЕАЛИЗАЦИЯ[[#This Row],[НАРХИ]]</f>
        <v>0</v>
      </c>
      <c r="I772" s="94"/>
      <c r="J772" s="31">
        <f>РЕАЛИЗАЦИЯ[[#This Row],[СОНИ]]*РЕАЛИЗАЦИЯ[[#This Row],[ТАННАРХ]]</f>
        <v>0</v>
      </c>
      <c r="K772" s="31">
        <f>РЕАЛИЗАЦИЯ[[#This Row],[ЖАМИ]]-РЕАЛИЗАЦИЯ[[#This Row],[ЖАМИ2]]</f>
        <v>0</v>
      </c>
      <c r="L772" s="31"/>
    </row>
    <row r="773" spans="3:12" ht="15" customHeight="1" x14ac:dyDescent="0.3">
      <c r="C773" s="98"/>
      <c r="D773" s="98"/>
      <c r="G773" s="50">
        <f>РЕАЛИЗАЦИЯ[[#This Row],[СОНИ]]*РЕАЛИЗАЦИЯ[[#This Row],[НАРХИ]]</f>
        <v>0</v>
      </c>
      <c r="I773" s="94"/>
      <c r="J773" s="31">
        <f>РЕАЛИЗАЦИЯ[[#This Row],[СОНИ]]*РЕАЛИЗАЦИЯ[[#This Row],[ТАННАРХ]]</f>
        <v>0</v>
      </c>
      <c r="K773" s="31">
        <f>РЕАЛИЗАЦИЯ[[#This Row],[ЖАМИ]]-РЕАЛИЗАЦИЯ[[#This Row],[ЖАМИ2]]</f>
        <v>0</v>
      </c>
      <c r="L773" s="31"/>
    </row>
    <row r="774" spans="3:12" ht="15" customHeight="1" x14ac:dyDescent="0.3">
      <c r="C774" s="99"/>
      <c r="D774" s="99"/>
      <c r="G774" s="50">
        <f>РЕАЛИЗАЦИЯ[[#This Row],[СОНИ]]*РЕАЛИЗАЦИЯ[[#This Row],[НАРХИ]]</f>
        <v>0</v>
      </c>
      <c r="I774" s="94"/>
      <c r="J774" s="31">
        <f>РЕАЛИЗАЦИЯ[[#This Row],[СОНИ]]*РЕАЛИЗАЦИЯ[[#This Row],[ТАННАРХ]]</f>
        <v>0</v>
      </c>
      <c r="K774" s="31">
        <f>РЕАЛИЗАЦИЯ[[#This Row],[ЖАМИ]]-РЕАЛИЗАЦИЯ[[#This Row],[ЖАМИ2]]</f>
        <v>0</v>
      </c>
      <c r="L774" s="31"/>
    </row>
    <row r="775" spans="3:12" ht="15" customHeight="1" x14ac:dyDescent="0.3">
      <c r="C775" s="99"/>
      <c r="D775" s="99"/>
      <c r="G775" s="50">
        <f>РЕАЛИЗАЦИЯ[[#This Row],[СОНИ]]*РЕАЛИЗАЦИЯ[[#This Row],[НАРХИ]]</f>
        <v>0</v>
      </c>
      <c r="I775" s="94"/>
      <c r="J775" s="31">
        <f>РЕАЛИЗАЦИЯ[[#This Row],[СОНИ]]*РЕАЛИЗАЦИЯ[[#This Row],[ТАННАРХ]]</f>
        <v>0</v>
      </c>
      <c r="K775" s="31">
        <f>РЕАЛИЗАЦИЯ[[#This Row],[ЖАМИ]]-РЕАЛИЗАЦИЯ[[#This Row],[ЖАМИ2]]</f>
        <v>0</v>
      </c>
      <c r="L775" s="31"/>
    </row>
    <row r="776" spans="3:12" ht="15" customHeight="1" x14ac:dyDescent="0.3">
      <c r="C776" s="99"/>
      <c r="D776" s="99"/>
      <c r="G776" s="50">
        <f>РЕАЛИЗАЦИЯ[[#This Row],[СОНИ]]*РЕАЛИЗАЦИЯ[[#This Row],[НАРХИ]]</f>
        <v>0</v>
      </c>
      <c r="I776" s="94"/>
      <c r="J776" s="31">
        <f>РЕАЛИЗАЦИЯ[[#This Row],[СОНИ]]*РЕАЛИЗАЦИЯ[[#This Row],[ТАННАРХ]]</f>
        <v>0</v>
      </c>
      <c r="K776" s="31">
        <f>РЕАЛИЗАЦИЯ[[#This Row],[ЖАМИ]]-РЕАЛИЗАЦИЯ[[#This Row],[ЖАМИ2]]</f>
        <v>0</v>
      </c>
      <c r="L776" s="31"/>
    </row>
    <row r="777" spans="3:12" ht="15" customHeight="1" x14ac:dyDescent="0.3">
      <c r="C777" s="99"/>
      <c r="D777" s="99"/>
      <c r="G777" s="50">
        <f>РЕАЛИЗАЦИЯ[[#This Row],[СОНИ]]*РЕАЛИЗАЦИЯ[[#This Row],[НАРХИ]]</f>
        <v>0</v>
      </c>
      <c r="I777" s="94"/>
      <c r="J777" s="31">
        <f>РЕАЛИЗАЦИЯ[[#This Row],[СОНИ]]*РЕАЛИЗАЦИЯ[[#This Row],[ТАННАРХ]]</f>
        <v>0</v>
      </c>
      <c r="K777" s="31">
        <f>РЕАЛИЗАЦИЯ[[#This Row],[ЖАМИ]]-РЕАЛИЗАЦИЯ[[#This Row],[ЖАМИ2]]</f>
        <v>0</v>
      </c>
      <c r="L777" s="31"/>
    </row>
    <row r="778" spans="3:12" ht="15" customHeight="1" x14ac:dyDescent="0.3">
      <c r="C778" s="99"/>
      <c r="D778" s="99"/>
      <c r="G778" s="50">
        <f>РЕАЛИЗАЦИЯ[[#This Row],[СОНИ]]*РЕАЛИЗАЦИЯ[[#This Row],[НАРХИ]]</f>
        <v>0</v>
      </c>
      <c r="I778" s="94"/>
      <c r="J778" s="31">
        <f>РЕАЛИЗАЦИЯ[[#This Row],[СОНИ]]*РЕАЛИЗАЦИЯ[[#This Row],[ТАННАРХ]]</f>
        <v>0</v>
      </c>
      <c r="K778" s="31">
        <f>РЕАЛИЗАЦИЯ[[#This Row],[ЖАМИ]]-РЕАЛИЗАЦИЯ[[#This Row],[ЖАМИ2]]</f>
        <v>0</v>
      </c>
      <c r="L778" s="31"/>
    </row>
    <row r="779" spans="3:12" ht="15" customHeight="1" x14ac:dyDescent="0.3">
      <c r="C779" s="99"/>
      <c r="D779" s="99"/>
      <c r="G779" s="50">
        <f>РЕАЛИЗАЦИЯ[[#This Row],[СОНИ]]*РЕАЛИЗАЦИЯ[[#This Row],[НАРХИ]]</f>
        <v>0</v>
      </c>
      <c r="I779" s="94"/>
      <c r="J779" s="31">
        <f>РЕАЛИЗАЦИЯ[[#This Row],[СОНИ]]*РЕАЛИЗАЦИЯ[[#This Row],[ТАННАРХ]]</f>
        <v>0</v>
      </c>
      <c r="K779" s="31">
        <f>РЕАЛИЗАЦИЯ[[#This Row],[ЖАМИ]]-РЕАЛИЗАЦИЯ[[#This Row],[ЖАМИ2]]</f>
        <v>0</v>
      </c>
      <c r="L779" s="31"/>
    </row>
    <row r="780" spans="3:12" ht="15" customHeight="1" x14ac:dyDescent="0.3">
      <c r="C780" s="99"/>
      <c r="D780" s="99"/>
      <c r="G780" s="50">
        <f>РЕАЛИЗАЦИЯ[[#This Row],[СОНИ]]*РЕАЛИЗАЦИЯ[[#This Row],[НАРХИ]]</f>
        <v>0</v>
      </c>
      <c r="I780" s="94"/>
      <c r="J780" s="31">
        <f>РЕАЛИЗАЦИЯ[[#This Row],[СОНИ]]*РЕАЛИЗАЦИЯ[[#This Row],[ТАННАРХ]]</f>
        <v>0</v>
      </c>
      <c r="K780" s="31">
        <f>РЕАЛИЗАЦИЯ[[#This Row],[ЖАМИ]]-РЕАЛИЗАЦИЯ[[#This Row],[ЖАМИ2]]</f>
        <v>0</v>
      </c>
      <c r="L780" s="31"/>
    </row>
    <row r="781" spans="3:12" ht="15" customHeight="1" x14ac:dyDescent="0.3">
      <c r="C781" s="99"/>
      <c r="D781" s="99"/>
      <c r="G781" s="50">
        <f>РЕАЛИЗАЦИЯ[[#This Row],[СОНИ]]*РЕАЛИЗАЦИЯ[[#This Row],[НАРХИ]]</f>
        <v>0</v>
      </c>
      <c r="I781" s="94"/>
      <c r="J781" s="31">
        <f>РЕАЛИЗАЦИЯ[[#This Row],[СОНИ]]*РЕАЛИЗАЦИЯ[[#This Row],[ТАННАРХ]]</f>
        <v>0</v>
      </c>
      <c r="K781" s="31">
        <f>РЕАЛИЗАЦИЯ[[#This Row],[ЖАМИ]]-РЕАЛИЗАЦИЯ[[#This Row],[ЖАМИ2]]</f>
        <v>0</v>
      </c>
      <c r="L781" s="31"/>
    </row>
    <row r="782" spans="3:12" ht="15" customHeight="1" x14ac:dyDescent="0.3">
      <c r="C782" s="99"/>
      <c r="D782" s="99"/>
      <c r="G782" s="50">
        <f>РЕАЛИЗАЦИЯ[[#This Row],[СОНИ]]*РЕАЛИЗАЦИЯ[[#This Row],[НАРХИ]]</f>
        <v>0</v>
      </c>
      <c r="I782" s="94"/>
      <c r="J782" s="31">
        <f>РЕАЛИЗАЦИЯ[[#This Row],[СОНИ]]*РЕАЛИЗАЦИЯ[[#This Row],[ТАННАРХ]]</f>
        <v>0</v>
      </c>
      <c r="K782" s="31">
        <f>РЕАЛИЗАЦИЯ[[#This Row],[ЖАМИ]]-РЕАЛИЗАЦИЯ[[#This Row],[ЖАМИ2]]</f>
        <v>0</v>
      </c>
      <c r="L782" s="31"/>
    </row>
    <row r="783" spans="3:12" ht="15" customHeight="1" x14ac:dyDescent="0.3">
      <c r="C783" s="99"/>
      <c r="D783" s="99"/>
      <c r="G783" s="50">
        <f>РЕАЛИЗАЦИЯ[[#This Row],[СОНИ]]*РЕАЛИЗАЦИЯ[[#This Row],[НАРХИ]]</f>
        <v>0</v>
      </c>
      <c r="I783" s="94"/>
      <c r="J783" s="31">
        <f>РЕАЛИЗАЦИЯ[[#This Row],[СОНИ]]*РЕАЛИЗАЦИЯ[[#This Row],[ТАННАРХ]]</f>
        <v>0</v>
      </c>
      <c r="K783" s="31">
        <f>РЕАЛИЗАЦИЯ[[#This Row],[ЖАМИ]]-РЕАЛИЗАЦИЯ[[#This Row],[ЖАМИ2]]</f>
        <v>0</v>
      </c>
      <c r="L783" s="31"/>
    </row>
    <row r="784" spans="3:12" ht="15" customHeight="1" x14ac:dyDescent="0.3">
      <c r="C784" s="99"/>
      <c r="D784" s="99"/>
      <c r="G784" s="50">
        <f>РЕАЛИЗАЦИЯ[[#This Row],[СОНИ]]*РЕАЛИЗАЦИЯ[[#This Row],[НАРХИ]]</f>
        <v>0</v>
      </c>
      <c r="I784" s="94"/>
      <c r="J784" s="31">
        <f>РЕАЛИЗАЦИЯ[[#This Row],[СОНИ]]*РЕАЛИЗАЦИЯ[[#This Row],[ТАННАРХ]]</f>
        <v>0</v>
      </c>
      <c r="K784" s="31">
        <f>РЕАЛИЗАЦИЯ[[#This Row],[ЖАМИ]]-РЕАЛИЗАЦИЯ[[#This Row],[ЖАМИ2]]</f>
        <v>0</v>
      </c>
      <c r="L784" s="31"/>
    </row>
    <row r="785" spans="3:12" ht="15" customHeight="1" x14ac:dyDescent="0.3">
      <c r="C785" s="99"/>
      <c r="D785" s="99"/>
      <c r="G785" s="50">
        <f>РЕАЛИЗАЦИЯ[[#This Row],[СОНИ]]*РЕАЛИЗАЦИЯ[[#This Row],[НАРХИ]]</f>
        <v>0</v>
      </c>
      <c r="I785" s="94"/>
      <c r="J785" s="31">
        <f>РЕАЛИЗАЦИЯ[[#This Row],[СОНИ]]*РЕАЛИЗАЦИЯ[[#This Row],[ТАННАРХ]]</f>
        <v>0</v>
      </c>
      <c r="K785" s="31">
        <f>РЕАЛИЗАЦИЯ[[#This Row],[ЖАМИ]]-РЕАЛИЗАЦИЯ[[#This Row],[ЖАМИ2]]</f>
        <v>0</v>
      </c>
      <c r="L785" s="31"/>
    </row>
    <row r="786" spans="3:12" ht="15" customHeight="1" x14ac:dyDescent="0.3">
      <c r="C786" s="99"/>
      <c r="D786" s="99"/>
      <c r="G786" s="50">
        <f>РЕАЛИЗАЦИЯ[[#This Row],[СОНИ]]*РЕАЛИЗАЦИЯ[[#This Row],[НАРХИ]]</f>
        <v>0</v>
      </c>
      <c r="I786" s="94"/>
      <c r="J786" s="31">
        <f>РЕАЛИЗАЦИЯ[[#This Row],[СОНИ]]*РЕАЛИЗАЦИЯ[[#This Row],[ТАННАРХ]]</f>
        <v>0</v>
      </c>
      <c r="K786" s="31">
        <f>РЕАЛИЗАЦИЯ[[#This Row],[ЖАМИ]]-РЕАЛИЗАЦИЯ[[#This Row],[ЖАМИ2]]</f>
        <v>0</v>
      </c>
      <c r="L786" s="31"/>
    </row>
    <row r="787" spans="3:12" ht="15" customHeight="1" x14ac:dyDescent="0.3">
      <c r="C787" s="99"/>
      <c r="D787" s="99"/>
      <c r="G787" s="50">
        <f>РЕАЛИЗАЦИЯ[[#This Row],[СОНИ]]*РЕАЛИЗАЦИЯ[[#This Row],[НАРХИ]]</f>
        <v>0</v>
      </c>
      <c r="I787" s="94"/>
      <c r="J787" s="31">
        <f>РЕАЛИЗАЦИЯ[[#This Row],[СОНИ]]*РЕАЛИЗАЦИЯ[[#This Row],[ТАННАРХ]]</f>
        <v>0</v>
      </c>
      <c r="K787" s="31">
        <f>РЕАЛИЗАЦИЯ[[#This Row],[ЖАМИ]]-РЕАЛИЗАЦИЯ[[#This Row],[ЖАМИ2]]</f>
        <v>0</v>
      </c>
      <c r="L787" s="31"/>
    </row>
    <row r="788" spans="3:12" ht="15" customHeight="1" x14ac:dyDescent="0.3">
      <c r="C788" s="99"/>
      <c r="D788" s="99"/>
      <c r="G788" s="50">
        <f>РЕАЛИЗАЦИЯ[[#This Row],[СОНИ]]*РЕАЛИЗАЦИЯ[[#This Row],[НАРХИ]]</f>
        <v>0</v>
      </c>
      <c r="I788" s="94"/>
      <c r="J788" s="31">
        <f>РЕАЛИЗАЦИЯ[[#This Row],[СОНИ]]*РЕАЛИЗАЦИЯ[[#This Row],[ТАННАРХ]]</f>
        <v>0</v>
      </c>
      <c r="K788" s="31">
        <f>РЕАЛИЗАЦИЯ[[#This Row],[ЖАМИ]]-РЕАЛИЗАЦИЯ[[#This Row],[ЖАМИ2]]</f>
        <v>0</v>
      </c>
      <c r="L788" s="31"/>
    </row>
    <row r="789" spans="3:12" ht="15" customHeight="1" x14ac:dyDescent="0.3">
      <c r="C789" s="99"/>
      <c r="D789" s="99"/>
      <c r="G789" s="50">
        <f>РЕАЛИЗАЦИЯ[[#This Row],[СОНИ]]*РЕАЛИЗАЦИЯ[[#This Row],[НАРХИ]]</f>
        <v>0</v>
      </c>
      <c r="I789" s="94"/>
      <c r="J789" s="31">
        <f>РЕАЛИЗАЦИЯ[[#This Row],[СОНИ]]*РЕАЛИЗАЦИЯ[[#This Row],[ТАННАРХ]]</f>
        <v>0</v>
      </c>
      <c r="K789" s="31">
        <f>РЕАЛИЗАЦИЯ[[#This Row],[ЖАМИ]]-РЕАЛИЗАЦИЯ[[#This Row],[ЖАМИ2]]</f>
        <v>0</v>
      </c>
      <c r="L789" s="31"/>
    </row>
    <row r="790" spans="3:12" ht="15" customHeight="1" x14ac:dyDescent="0.3">
      <c r="C790" s="99"/>
      <c r="D790" s="99"/>
      <c r="G790" s="50">
        <f>РЕАЛИЗАЦИЯ[[#This Row],[СОНИ]]*РЕАЛИЗАЦИЯ[[#This Row],[НАРХИ]]</f>
        <v>0</v>
      </c>
      <c r="I790" s="94"/>
      <c r="J790" s="31">
        <f>РЕАЛИЗАЦИЯ[[#This Row],[СОНИ]]*РЕАЛИЗАЦИЯ[[#This Row],[ТАННАРХ]]</f>
        <v>0</v>
      </c>
      <c r="K790" s="31">
        <f>РЕАЛИЗАЦИЯ[[#This Row],[ЖАМИ]]-РЕАЛИЗАЦИЯ[[#This Row],[ЖАМИ2]]</f>
        <v>0</v>
      </c>
      <c r="L790" s="31"/>
    </row>
    <row r="791" spans="3:12" ht="15" customHeight="1" x14ac:dyDescent="0.3">
      <c r="C791" s="99"/>
      <c r="D791" s="99"/>
      <c r="G791" s="50">
        <f>РЕАЛИЗАЦИЯ[[#This Row],[СОНИ]]*РЕАЛИЗАЦИЯ[[#This Row],[НАРХИ]]</f>
        <v>0</v>
      </c>
      <c r="I791" s="94"/>
      <c r="J791" s="31">
        <f>РЕАЛИЗАЦИЯ[[#This Row],[СОНИ]]*РЕАЛИЗАЦИЯ[[#This Row],[ТАННАРХ]]</f>
        <v>0</v>
      </c>
      <c r="K791" s="31">
        <f>РЕАЛИЗАЦИЯ[[#This Row],[ЖАМИ]]-РЕАЛИЗАЦИЯ[[#This Row],[ЖАМИ2]]</f>
        <v>0</v>
      </c>
      <c r="L791" s="31"/>
    </row>
    <row r="792" spans="3:12" ht="15" customHeight="1" x14ac:dyDescent="0.3">
      <c r="C792" s="99"/>
      <c r="D792" s="99"/>
      <c r="G792" s="50">
        <f>РЕАЛИЗАЦИЯ[[#This Row],[СОНИ]]*РЕАЛИЗАЦИЯ[[#This Row],[НАРХИ]]</f>
        <v>0</v>
      </c>
      <c r="I792" s="94"/>
      <c r="J792" s="31">
        <f>РЕАЛИЗАЦИЯ[[#This Row],[СОНИ]]*РЕАЛИЗАЦИЯ[[#This Row],[ТАННАРХ]]</f>
        <v>0</v>
      </c>
      <c r="K792" s="31">
        <f>РЕАЛИЗАЦИЯ[[#This Row],[ЖАМИ]]-РЕАЛИЗАЦИЯ[[#This Row],[ЖАМИ2]]</f>
        <v>0</v>
      </c>
      <c r="L792" s="31"/>
    </row>
    <row r="793" spans="3:12" ht="15" customHeight="1" x14ac:dyDescent="0.3">
      <c r="C793" s="99"/>
      <c r="D793" s="99"/>
      <c r="G793" s="50">
        <f>РЕАЛИЗАЦИЯ[[#This Row],[СОНИ]]*РЕАЛИЗАЦИЯ[[#This Row],[НАРХИ]]</f>
        <v>0</v>
      </c>
      <c r="I793" s="94"/>
      <c r="J793" s="31">
        <f>РЕАЛИЗАЦИЯ[[#This Row],[СОНИ]]*РЕАЛИЗАЦИЯ[[#This Row],[ТАННАРХ]]</f>
        <v>0</v>
      </c>
      <c r="K793" s="31">
        <f>РЕАЛИЗАЦИЯ[[#This Row],[ЖАМИ]]-РЕАЛИЗАЦИЯ[[#This Row],[ЖАМИ2]]</f>
        <v>0</v>
      </c>
      <c r="L793" s="31"/>
    </row>
    <row r="794" spans="3:12" ht="15" customHeight="1" x14ac:dyDescent="0.3">
      <c r="C794" s="144"/>
      <c r="D794" s="144"/>
      <c r="G794" s="50">
        <f>РЕАЛИЗАЦИЯ[[#This Row],[СОНИ]]*РЕАЛИЗАЦИЯ[[#This Row],[НАРХИ]]</f>
        <v>0</v>
      </c>
      <c r="I794" s="132"/>
      <c r="J794" s="31">
        <f>РЕАЛИЗАЦИЯ[[#This Row],[СОНИ]]*РЕАЛИЗАЦИЯ[[#This Row],[ТАННАРХ]]</f>
        <v>0</v>
      </c>
      <c r="K794" s="31">
        <f>РЕАЛИЗАЦИЯ[[#This Row],[ЖАМИ]]-РЕАЛИЗАЦИЯ[[#This Row],[ЖАМИ2]]</f>
        <v>0</v>
      </c>
      <c r="L794" s="31"/>
    </row>
    <row r="795" spans="3:12" ht="15" customHeight="1" x14ac:dyDescent="0.3">
      <c r="C795" s="144"/>
      <c r="D795" s="144"/>
      <c r="G795" s="50">
        <f>РЕАЛИЗАЦИЯ[[#This Row],[СОНИ]]*РЕАЛИЗАЦИЯ[[#This Row],[НАРХИ]]</f>
        <v>0</v>
      </c>
      <c r="I795" s="132"/>
      <c r="J795" s="31">
        <f>РЕАЛИЗАЦИЯ[[#This Row],[СОНИ]]*РЕАЛИЗАЦИЯ[[#This Row],[ТАННАРХ]]</f>
        <v>0</v>
      </c>
      <c r="K795" s="31">
        <f>РЕАЛИЗАЦИЯ[[#This Row],[ЖАМИ]]-РЕАЛИЗАЦИЯ[[#This Row],[ЖАМИ2]]</f>
        <v>0</v>
      </c>
      <c r="L795" s="31"/>
    </row>
    <row r="796" spans="3:12" ht="15" customHeight="1" x14ac:dyDescent="0.3">
      <c r="C796" s="99"/>
      <c r="D796" s="99"/>
      <c r="G796" s="50">
        <f>РЕАЛИЗАЦИЯ[[#This Row],[СОНИ]]*РЕАЛИЗАЦИЯ[[#This Row],[НАРХИ]]</f>
        <v>0</v>
      </c>
      <c r="I796" s="94"/>
      <c r="J796" s="31">
        <f>РЕАЛИЗАЦИЯ[[#This Row],[СОНИ]]*РЕАЛИЗАЦИЯ[[#This Row],[ТАННАРХ]]</f>
        <v>0</v>
      </c>
      <c r="K796" s="31">
        <f>РЕАЛИЗАЦИЯ[[#This Row],[ЖАМИ]]-РЕАЛИЗАЦИЯ[[#This Row],[ЖАМИ2]]</f>
        <v>0</v>
      </c>
      <c r="L796" s="31"/>
    </row>
    <row r="797" spans="3:12" ht="15" customHeight="1" x14ac:dyDescent="0.3">
      <c r="C797" s="99"/>
      <c r="D797" s="99"/>
      <c r="G797" s="50">
        <f>РЕАЛИЗАЦИЯ[[#This Row],[СОНИ]]*РЕАЛИЗАЦИЯ[[#This Row],[НАРХИ]]</f>
        <v>0</v>
      </c>
      <c r="I797" s="94"/>
      <c r="J797" s="31">
        <f>РЕАЛИЗАЦИЯ[[#This Row],[СОНИ]]*РЕАЛИЗАЦИЯ[[#This Row],[ТАННАРХ]]</f>
        <v>0</v>
      </c>
      <c r="K797" s="31">
        <f>РЕАЛИЗАЦИЯ[[#This Row],[ЖАМИ]]-РЕАЛИЗАЦИЯ[[#This Row],[ЖАМИ2]]</f>
        <v>0</v>
      </c>
      <c r="L797" s="31"/>
    </row>
    <row r="798" spans="3:12" ht="15" customHeight="1" x14ac:dyDescent="0.3">
      <c r="C798" s="99"/>
      <c r="D798" s="99"/>
      <c r="G798" s="50">
        <f>РЕАЛИЗАЦИЯ[[#This Row],[СОНИ]]*РЕАЛИЗАЦИЯ[[#This Row],[НАРХИ]]</f>
        <v>0</v>
      </c>
      <c r="I798" s="94"/>
      <c r="J798" s="31">
        <f>РЕАЛИЗАЦИЯ[[#This Row],[СОНИ]]*РЕАЛИЗАЦИЯ[[#This Row],[ТАННАРХ]]</f>
        <v>0</v>
      </c>
      <c r="K798" s="31">
        <f>РЕАЛИЗАЦИЯ[[#This Row],[ЖАМИ]]-РЕАЛИЗАЦИЯ[[#This Row],[ЖАМИ2]]</f>
        <v>0</v>
      </c>
      <c r="L798" s="31"/>
    </row>
    <row r="799" spans="3:12" ht="15" customHeight="1" x14ac:dyDescent="0.3">
      <c r="C799" s="99"/>
      <c r="D799" s="99"/>
      <c r="G799" s="50">
        <f>РЕАЛИЗАЦИЯ[[#This Row],[СОНИ]]*РЕАЛИЗАЦИЯ[[#This Row],[НАРХИ]]</f>
        <v>0</v>
      </c>
      <c r="I799" s="94"/>
      <c r="J799" s="31">
        <f>РЕАЛИЗАЦИЯ[[#This Row],[СОНИ]]*РЕАЛИЗАЦИЯ[[#This Row],[ТАННАРХ]]</f>
        <v>0</v>
      </c>
      <c r="K799" s="31">
        <f>РЕАЛИЗАЦИЯ[[#This Row],[ЖАМИ]]-РЕАЛИЗАЦИЯ[[#This Row],[ЖАМИ2]]</f>
        <v>0</v>
      </c>
      <c r="L799" s="31"/>
    </row>
    <row r="800" spans="3:12" ht="15" customHeight="1" x14ac:dyDescent="0.3">
      <c r="C800" s="99"/>
      <c r="D800" s="99"/>
      <c r="G800" s="50">
        <f>РЕАЛИЗАЦИЯ[[#This Row],[СОНИ]]*РЕАЛИЗАЦИЯ[[#This Row],[НАРХИ]]</f>
        <v>0</v>
      </c>
      <c r="I800" s="94"/>
      <c r="J800" s="31">
        <f>РЕАЛИЗАЦИЯ[[#This Row],[СОНИ]]*РЕАЛИЗАЦИЯ[[#This Row],[ТАННАРХ]]</f>
        <v>0</v>
      </c>
      <c r="K800" s="31">
        <f>РЕАЛИЗАЦИЯ[[#This Row],[ЖАМИ]]-РЕАЛИЗАЦИЯ[[#This Row],[ЖАМИ2]]</f>
        <v>0</v>
      </c>
      <c r="L800" s="31"/>
    </row>
    <row r="801" spans="3:12" ht="15" customHeight="1" x14ac:dyDescent="0.3">
      <c r="C801" s="99"/>
      <c r="D801" s="99"/>
      <c r="G801" s="50">
        <f>РЕАЛИЗАЦИЯ[[#This Row],[СОНИ]]*РЕАЛИЗАЦИЯ[[#This Row],[НАРХИ]]</f>
        <v>0</v>
      </c>
      <c r="I801" s="94"/>
      <c r="J801" s="31">
        <f>РЕАЛИЗАЦИЯ[[#This Row],[СОНИ]]*РЕАЛИЗАЦИЯ[[#This Row],[ТАННАРХ]]</f>
        <v>0</v>
      </c>
      <c r="K801" s="31">
        <f>РЕАЛИЗАЦИЯ[[#This Row],[ЖАМИ]]-РЕАЛИЗАЦИЯ[[#This Row],[ЖАМИ2]]</f>
        <v>0</v>
      </c>
      <c r="L801" s="31"/>
    </row>
    <row r="802" spans="3:12" ht="15" customHeight="1" x14ac:dyDescent="0.3">
      <c r="C802" s="99"/>
      <c r="D802" s="99"/>
      <c r="G802" s="50">
        <f>РЕАЛИЗАЦИЯ[[#This Row],[СОНИ]]*РЕАЛИЗАЦИЯ[[#This Row],[НАРХИ]]</f>
        <v>0</v>
      </c>
      <c r="I802" s="94"/>
      <c r="J802" s="31">
        <f>РЕАЛИЗАЦИЯ[[#This Row],[СОНИ]]*РЕАЛИЗАЦИЯ[[#This Row],[ТАННАРХ]]</f>
        <v>0</v>
      </c>
      <c r="K802" s="31">
        <f>РЕАЛИЗАЦИЯ[[#This Row],[ЖАМИ]]-РЕАЛИЗАЦИЯ[[#This Row],[ЖАМИ2]]</f>
        <v>0</v>
      </c>
      <c r="L802" s="31"/>
    </row>
    <row r="803" spans="3:12" ht="15" customHeight="1" x14ac:dyDescent="0.3">
      <c r="C803" s="99"/>
      <c r="D803" s="99"/>
      <c r="G803" s="50">
        <f>РЕАЛИЗАЦИЯ[[#This Row],[СОНИ]]*РЕАЛИЗАЦИЯ[[#This Row],[НАРХИ]]</f>
        <v>0</v>
      </c>
      <c r="I803" s="94"/>
      <c r="J803" s="31">
        <f>РЕАЛИЗАЦИЯ[[#This Row],[СОНИ]]*РЕАЛИЗАЦИЯ[[#This Row],[ТАННАРХ]]</f>
        <v>0</v>
      </c>
      <c r="K803" s="31">
        <f>РЕАЛИЗАЦИЯ[[#This Row],[ЖАМИ]]-РЕАЛИЗАЦИЯ[[#This Row],[ЖАМИ2]]</f>
        <v>0</v>
      </c>
      <c r="L803" s="31"/>
    </row>
    <row r="804" spans="3:12" ht="15" customHeight="1" x14ac:dyDescent="0.3">
      <c r="C804" s="99"/>
      <c r="D804" s="99"/>
      <c r="G804" s="50">
        <f>РЕАЛИЗАЦИЯ[[#This Row],[СОНИ]]*РЕАЛИЗАЦИЯ[[#This Row],[НАРХИ]]</f>
        <v>0</v>
      </c>
      <c r="I804" s="94"/>
      <c r="J804" s="31">
        <f>РЕАЛИЗАЦИЯ[[#This Row],[СОНИ]]*РЕАЛИЗАЦИЯ[[#This Row],[ТАННАРХ]]</f>
        <v>0</v>
      </c>
      <c r="K804" s="31">
        <f>РЕАЛИЗАЦИЯ[[#This Row],[ЖАМИ]]-РЕАЛИЗАЦИЯ[[#This Row],[ЖАМИ2]]</f>
        <v>0</v>
      </c>
      <c r="L804" s="31"/>
    </row>
    <row r="805" spans="3:12" ht="15" customHeight="1" x14ac:dyDescent="0.3">
      <c r="C805" s="99"/>
      <c r="D805" s="99"/>
      <c r="G805" s="50">
        <f>РЕАЛИЗАЦИЯ[[#This Row],[СОНИ]]*РЕАЛИЗАЦИЯ[[#This Row],[НАРХИ]]</f>
        <v>0</v>
      </c>
      <c r="I805" s="94"/>
      <c r="J805" s="31">
        <f>РЕАЛИЗАЦИЯ[[#This Row],[СОНИ]]*РЕАЛИЗАЦИЯ[[#This Row],[ТАННАРХ]]</f>
        <v>0</v>
      </c>
      <c r="K805" s="31">
        <f>РЕАЛИЗАЦИЯ[[#This Row],[ЖАМИ]]-РЕАЛИЗАЦИЯ[[#This Row],[ЖАМИ2]]</f>
        <v>0</v>
      </c>
      <c r="L805" s="31"/>
    </row>
    <row r="806" spans="3:12" ht="15" customHeight="1" x14ac:dyDescent="0.3">
      <c r="C806" s="99"/>
      <c r="D806" s="99"/>
      <c r="G806" s="50">
        <f>РЕАЛИЗАЦИЯ[[#This Row],[СОНИ]]*РЕАЛИЗАЦИЯ[[#This Row],[НАРХИ]]</f>
        <v>0</v>
      </c>
      <c r="I806" s="94"/>
      <c r="J806" s="31">
        <f>РЕАЛИЗАЦИЯ[[#This Row],[СОНИ]]*РЕАЛИЗАЦИЯ[[#This Row],[ТАННАРХ]]</f>
        <v>0</v>
      </c>
      <c r="K806" s="31">
        <f>РЕАЛИЗАЦИЯ[[#This Row],[ЖАМИ]]-РЕАЛИЗАЦИЯ[[#This Row],[ЖАМИ2]]</f>
        <v>0</v>
      </c>
      <c r="L806" s="31"/>
    </row>
    <row r="807" spans="3:12" ht="15" customHeight="1" x14ac:dyDescent="0.3">
      <c r="C807" s="99"/>
      <c r="D807" s="99"/>
      <c r="G807" s="50">
        <f>РЕАЛИЗАЦИЯ[[#This Row],[СОНИ]]*РЕАЛИЗАЦИЯ[[#This Row],[НАРХИ]]</f>
        <v>0</v>
      </c>
      <c r="I807" s="94"/>
      <c r="J807" s="31">
        <f>РЕАЛИЗАЦИЯ[[#This Row],[СОНИ]]*РЕАЛИЗАЦИЯ[[#This Row],[ТАННАРХ]]</f>
        <v>0</v>
      </c>
      <c r="K807" s="31">
        <f>РЕАЛИЗАЦИЯ[[#This Row],[ЖАМИ]]-РЕАЛИЗАЦИЯ[[#This Row],[ЖАМИ2]]</f>
        <v>0</v>
      </c>
      <c r="L807" s="31"/>
    </row>
    <row r="808" spans="3:12" ht="15" customHeight="1" x14ac:dyDescent="0.3">
      <c r="C808" s="99"/>
      <c r="D808" s="99"/>
      <c r="G808" s="50">
        <f>РЕАЛИЗАЦИЯ[[#This Row],[СОНИ]]*РЕАЛИЗАЦИЯ[[#This Row],[НАРХИ]]</f>
        <v>0</v>
      </c>
      <c r="I808" s="94"/>
      <c r="J808" s="31">
        <f>РЕАЛИЗАЦИЯ[[#This Row],[СОНИ]]*РЕАЛИЗАЦИЯ[[#This Row],[ТАННАРХ]]</f>
        <v>0</v>
      </c>
      <c r="K808" s="31">
        <f>РЕАЛИЗАЦИЯ[[#This Row],[ЖАМИ]]-РЕАЛИЗАЦИЯ[[#This Row],[ЖАМИ2]]</f>
        <v>0</v>
      </c>
      <c r="L808" s="31"/>
    </row>
    <row r="809" spans="3:12" ht="15" customHeight="1" x14ac:dyDescent="0.3">
      <c r="C809" s="99"/>
      <c r="D809" s="99"/>
      <c r="G809" s="50">
        <f>РЕАЛИЗАЦИЯ[[#This Row],[СОНИ]]*РЕАЛИЗАЦИЯ[[#This Row],[НАРХИ]]</f>
        <v>0</v>
      </c>
      <c r="I809" s="94"/>
      <c r="J809" s="31">
        <f>РЕАЛИЗАЦИЯ[[#This Row],[СОНИ]]*РЕАЛИЗАЦИЯ[[#This Row],[ТАННАРХ]]</f>
        <v>0</v>
      </c>
      <c r="K809" s="31">
        <f>РЕАЛИЗАЦИЯ[[#This Row],[ЖАМИ]]-РЕАЛИЗАЦИЯ[[#This Row],[ЖАМИ2]]</f>
        <v>0</v>
      </c>
      <c r="L809" s="31"/>
    </row>
    <row r="810" spans="3:12" ht="15" customHeight="1" x14ac:dyDescent="0.3">
      <c r="C810" s="99"/>
      <c r="D810" s="99"/>
      <c r="G810" s="50">
        <f>РЕАЛИЗАЦИЯ[[#This Row],[СОНИ]]*РЕАЛИЗАЦИЯ[[#This Row],[НАРХИ]]</f>
        <v>0</v>
      </c>
      <c r="I810" s="94"/>
      <c r="J810" s="31">
        <f>РЕАЛИЗАЦИЯ[[#This Row],[СОНИ]]*РЕАЛИЗАЦИЯ[[#This Row],[ТАННАРХ]]</f>
        <v>0</v>
      </c>
      <c r="K810" s="31">
        <f>РЕАЛИЗАЦИЯ[[#This Row],[ЖАМИ]]-РЕАЛИЗАЦИЯ[[#This Row],[ЖАМИ2]]</f>
        <v>0</v>
      </c>
      <c r="L810" s="31"/>
    </row>
    <row r="811" spans="3:12" ht="15" customHeight="1" x14ac:dyDescent="0.3">
      <c r="C811" s="99"/>
      <c r="D811" s="99"/>
      <c r="G811" s="50">
        <f>РЕАЛИЗАЦИЯ[[#This Row],[СОНИ]]*РЕАЛИЗАЦИЯ[[#This Row],[НАРХИ]]</f>
        <v>0</v>
      </c>
      <c r="I811" s="94"/>
      <c r="J811" s="31">
        <f>РЕАЛИЗАЦИЯ[[#This Row],[СОНИ]]*РЕАЛИЗАЦИЯ[[#This Row],[ТАННАРХ]]</f>
        <v>0</v>
      </c>
      <c r="K811" s="31">
        <f>РЕАЛИЗАЦИЯ[[#This Row],[ЖАМИ]]-РЕАЛИЗАЦИЯ[[#This Row],[ЖАМИ2]]</f>
        <v>0</v>
      </c>
      <c r="L811" s="31"/>
    </row>
    <row r="812" spans="3:12" ht="15" customHeight="1" x14ac:dyDescent="0.3">
      <c r="C812" s="99"/>
      <c r="D812" s="99"/>
      <c r="G812" s="50">
        <f>РЕАЛИЗАЦИЯ[[#This Row],[СОНИ]]*РЕАЛИЗАЦИЯ[[#This Row],[НАРХИ]]</f>
        <v>0</v>
      </c>
      <c r="I812" s="94"/>
      <c r="J812" s="31">
        <f>РЕАЛИЗАЦИЯ[[#This Row],[СОНИ]]*РЕАЛИЗАЦИЯ[[#This Row],[ТАННАРХ]]</f>
        <v>0</v>
      </c>
      <c r="K812" s="31">
        <f>РЕАЛИЗАЦИЯ[[#This Row],[ЖАМИ]]-РЕАЛИЗАЦИЯ[[#This Row],[ЖАМИ2]]</f>
        <v>0</v>
      </c>
      <c r="L812" s="31"/>
    </row>
    <row r="813" spans="3:12" ht="15" customHeight="1" x14ac:dyDescent="0.3">
      <c r="C813" s="99"/>
      <c r="D813" s="99"/>
      <c r="G813" s="50">
        <f>РЕАЛИЗАЦИЯ[[#This Row],[СОНИ]]*РЕАЛИЗАЦИЯ[[#This Row],[НАРХИ]]</f>
        <v>0</v>
      </c>
      <c r="I813" s="94"/>
      <c r="J813" s="31">
        <f>РЕАЛИЗАЦИЯ[[#This Row],[СОНИ]]*РЕАЛИЗАЦИЯ[[#This Row],[ТАННАРХ]]</f>
        <v>0</v>
      </c>
      <c r="K813" s="31">
        <f>РЕАЛИЗАЦИЯ[[#This Row],[ЖАМИ]]-РЕАЛИЗАЦИЯ[[#This Row],[ЖАМИ2]]</f>
        <v>0</v>
      </c>
      <c r="L813" s="31"/>
    </row>
    <row r="814" spans="3:12" ht="15" customHeight="1" x14ac:dyDescent="0.3">
      <c r="C814" s="99"/>
      <c r="D814" s="99"/>
      <c r="G814" s="50">
        <f>РЕАЛИЗАЦИЯ[[#This Row],[СОНИ]]*РЕАЛИЗАЦИЯ[[#This Row],[НАРХИ]]</f>
        <v>0</v>
      </c>
      <c r="I814" s="94"/>
      <c r="J814" s="31">
        <f>РЕАЛИЗАЦИЯ[[#This Row],[СОНИ]]*РЕАЛИЗАЦИЯ[[#This Row],[ТАННАРХ]]</f>
        <v>0</v>
      </c>
      <c r="K814" s="31">
        <f>РЕАЛИЗАЦИЯ[[#This Row],[ЖАМИ]]-РЕАЛИЗАЦИЯ[[#This Row],[ЖАМИ2]]</f>
        <v>0</v>
      </c>
      <c r="L814" s="31"/>
    </row>
    <row r="815" spans="3:12" ht="15" customHeight="1" x14ac:dyDescent="0.3">
      <c r="C815" s="99"/>
      <c r="D815" s="99"/>
      <c r="G815" s="50">
        <f>РЕАЛИЗАЦИЯ[[#This Row],[СОНИ]]*РЕАЛИЗАЦИЯ[[#This Row],[НАРХИ]]</f>
        <v>0</v>
      </c>
      <c r="I815" s="94"/>
      <c r="J815" s="31">
        <f>РЕАЛИЗАЦИЯ[[#This Row],[СОНИ]]*РЕАЛИЗАЦИЯ[[#This Row],[ТАННАРХ]]</f>
        <v>0</v>
      </c>
      <c r="K815" s="31">
        <f>РЕАЛИЗАЦИЯ[[#This Row],[ЖАМИ]]-РЕАЛИЗАЦИЯ[[#This Row],[ЖАМИ2]]</f>
        <v>0</v>
      </c>
      <c r="L815" s="31"/>
    </row>
    <row r="816" spans="3:12" ht="15" customHeight="1" x14ac:dyDescent="0.3">
      <c r="C816" s="99"/>
      <c r="D816" s="99"/>
      <c r="G816" s="50">
        <f>РЕАЛИЗАЦИЯ[[#This Row],[СОНИ]]*РЕАЛИЗАЦИЯ[[#This Row],[НАРХИ]]</f>
        <v>0</v>
      </c>
      <c r="I816" s="94"/>
      <c r="J816" s="31">
        <f>РЕАЛИЗАЦИЯ[[#This Row],[СОНИ]]*РЕАЛИЗАЦИЯ[[#This Row],[ТАННАРХ]]</f>
        <v>0</v>
      </c>
      <c r="K816" s="31">
        <f>РЕАЛИЗАЦИЯ[[#This Row],[ЖАМИ]]-РЕАЛИЗАЦИЯ[[#This Row],[ЖАМИ2]]</f>
        <v>0</v>
      </c>
      <c r="L816" s="31"/>
    </row>
    <row r="817" spans="3:12" ht="15" customHeight="1" x14ac:dyDescent="0.3">
      <c r="C817" s="99"/>
      <c r="D817" s="99"/>
      <c r="G817" s="50">
        <f>РЕАЛИЗАЦИЯ[[#This Row],[СОНИ]]*РЕАЛИЗАЦИЯ[[#This Row],[НАРХИ]]</f>
        <v>0</v>
      </c>
      <c r="I817" s="94"/>
      <c r="J817" s="31">
        <f>РЕАЛИЗАЦИЯ[[#This Row],[СОНИ]]*РЕАЛИЗАЦИЯ[[#This Row],[ТАННАРХ]]</f>
        <v>0</v>
      </c>
      <c r="K817" s="31">
        <f>РЕАЛИЗАЦИЯ[[#This Row],[ЖАМИ]]-РЕАЛИЗАЦИЯ[[#This Row],[ЖАМИ2]]</f>
        <v>0</v>
      </c>
      <c r="L817" s="31"/>
    </row>
    <row r="818" spans="3:12" ht="15" customHeight="1" x14ac:dyDescent="0.3">
      <c r="C818" s="99"/>
      <c r="D818" s="99"/>
      <c r="G818" s="50">
        <f>РЕАЛИЗАЦИЯ[[#This Row],[СОНИ]]*РЕАЛИЗАЦИЯ[[#This Row],[НАРХИ]]</f>
        <v>0</v>
      </c>
      <c r="I818" s="94"/>
      <c r="J818" s="31">
        <f>РЕАЛИЗАЦИЯ[[#This Row],[СОНИ]]*РЕАЛИЗАЦИЯ[[#This Row],[ТАННАРХ]]</f>
        <v>0</v>
      </c>
      <c r="K818" s="31">
        <f>РЕАЛИЗАЦИЯ[[#This Row],[ЖАМИ]]-РЕАЛИЗАЦИЯ[[#This Row],[ЖАМИ2]]</f>
        <v>0</v>
      </c>
      <c r="L818" s="31"/>
    </row>
    <row r="819" spans="3:12" ht="15" customHeight="1" x14ac:dyDescent="0.3">
      <c r="C819" s="99"/>
      <c r="D819" s="99"/>
      <c r="G819" s="50">
        <f>РЕАЛИЗАЦИЯ[[#This Row],[СОНИ]]*РЕАЛИЗАЦИЯ[[#This Row],[НАРХИ]]</f>
        <v>0</v>
      </c>
      <c r="I819" s="94"/>
      <c r="J819" s="31">
        <f>РЕАЛИЗАЦИЯ[[#This Row],[СОНИ]]*РЕАЛИЗАЦИЯ[[#This Row],[ТАННАРХ]]</f>
        <v>0</v>
      </c>
      <c r="K819" s="31">
        <f>РЕАЛИЗАЦИЯ[[#This Row],[ЖАМИ]]-РЕАЛИЗАЦИЯ[[#This Row],[ЖАМИ2]]</f>
        <v>0</v>
      </c>
      <c r="L819" s="31"/>
    </row>
    <row r="820" spans="3:12" ht="15" customHeight="1" x14ac:dyDescent="0.3">
      <c r="C820" s="99"/>
      <c r="D820" s="99"/>
      <c r="G820" s="50">
        <f>РЕАЛИЗАЦИЯ[[#This Row],[СОНИ]]*РЕАЛИЗАЦИЯ[[#This Row],[НАРХИ]]</f>
        <v>0</v>
      </c>
      <c r="I820" s="94"/>
      <c r="J820" s="31">
        <f>РЕАЛИЗАЦИЯ[[#This Row],[СОНИ]]*РЕАЛИЗАЦИЯ[[#This Row],[ТАННАРХ]]</f>
        <v>0</v>
      </c>
      <c r="K820" s="31">
        <f>РЕАЛИЗАЦИЯ[[#This Row],[ЖАМИ]]-РЕАЛИЗАЦИЯ[[#This Row],[ЖАМИ2]]</f>
        <v>0</v>
      </c>
      <c r="L820" s="31"/>
    </row>
    <row r="821" spans="3:12" ht="15" customHeight="1" x14ac:dyDescent="0.3">
      <c r="C821" s="99"/>
      <c r="D821" s="99"/>
      <c r="G821" s="50">
        <f>РЕАЛИЗАЦИЯ[[#This Row],[СОНИ]]*РЕАЛИЗАЦИЯ[[#This Row],[НАРХИ]]</f>
        <v>0</v>
      </c>
      <c r="I821" s="94"/>
      <c r="J821" s="31">
        <f>РЕАЛИЗАЦИЯ[[#This Row],[СОНИ]]*РЕАЛИЗАЦИЯ[[#This Row],[ТАННАРХ]]</f>
        <v>0</v>
      </c>
      <c r="K821" s="31">
        <f>РЕАЛИЗАЦИЯ[[#This Row],[ЖАМИ]]-РЕАЛИЗАЦИЯ[[#This Row],[ЖАМИ2]]</f>
        <v>0</v>
      </c>
      <c r="L821" s="31"/>
    </row>
    <row r="822" spans="3:12" ht="15" customHeight="1" x14ac:dyDescent="0.3">
      <c r="C822" s="99"/>
      <c r="D822" s="99"/>
      <c r="G822" s="50">
        <f>РЕАЛИЗАЦИЯ[[#This Row],[СОНИ]]*РЕАЛИЗАЦИЯ[[#This Row],[НАРХИ]]</f>
        <v>0</v>
      </c>
      <c r="I822" s="94"/>
      <c r="J822" s="31">
        <f>РЕАЛИЗАЦИЯ[[#This Row],[СОНИ]]*РЕАЛИЗАЦИЯ[[#This Row],[ТАННАРХ]]</f>
        <v>0</v>
      </c>
      <c r="K822" s="31">
        <f>РЕАЛИЗАЦИЯ[[#This Row],[ЖАМИ]]-РЕАЛИЗАЦИЯ[[#This Row],[ЖАМИ2]]</f>
        <v>0</v>
      </c>
      <c r="L822" s="31"/>
    </row>
    <row r="823" spans="3:12" ht="15" customHeight="1" x14ac:dyDescent="0.3">
      <c r="C823" s="99"/>
      <c r="D823" s="99"/>
      <c r="G823" s="50">
        <f>РЕАЛИЗАЦИЯ[[#This Row],[СОНИ]]*РЕАЛИЗАЦИЯ[[#This Row],[НАРХИ]]</f>
        <v>0</v>
      </c>
      <c r="I823" s="94"/>
      <c r="J823" s="31">
        <f>РЕАЛИЗАЦИЯ[[#This Row],[СОНИ]]*РЕАЛИЗАЦИЯ[[#This Row],[ТАННАРХ]]</f>
        <v>0</v>
      </c>
      <c r="K823" s="31">
        <f>РЕАЛИЗАЦИЯ[[#This Row],[ЖАМИ]]-РЕАЛИЗАЦИЯ[[#This Row],[ЖАМИ2]]</f>
        <v>0</v>
      </c>
      <c r="L823" s="31"/>
    </row>
    <row r="824" spans="3:12" ht="15" customHeight="1" x14ac:dyDescent="0.3">
      <c r="C824" s="99"/>
      <c r="D824" s="99"/>
      <c r="G824" s="50">
        <f>РЕАЛИЗАЦИЯ[[#This Row],[СОНИ]]*РЕАЛИЗАЦИЯ[[#This Row],[НАРХИ]]</f>
        <v>0</v>
      </c>
      <c r="I824" s="94"/>
      <c r="J824" s="31">
        <f>РЕАЛИЗАЦИЯ[[#This Row],[СОНИ]]*РЕАЛИЗАЦИЯ[[#This Row],[ТАННАРХ]]</f>
        <v>0</v>
      </c>
      <c r="K824" s="31">
        <f>РЕАЛИЗАЦИЯ[[#This Row],[ЖАМИ]]-РЕАЛИЗАЦИЯ[[#This Row],[ЖАМИ2]]</f>
        <v>0</v>
      </c>
      <c r="L824" s="31"/>
    </row>
    <row r="825" spans="3:12" ht="15" customHeight="1" x14ac:dyDescent="0.3">
      <c r="C825" s="99"/>
      <c r="D825" s="99"/>
      <c r="G825" s="50">
        <f>РЕАЛИЗАЦИЯ[[#This Row],[СОНИ]]*РЕАЛИЗАЦИЯ[[#This Row],[НАРХИ]]</f>
        <v>0</v>
      </c>
      <c r="I825" s="94"/>
      <c r="J825" s="31">
        <f>РЕАЛИЗАЦИЯ[[#This Row],[СОНИ]]*РЕАЛИЗАЦИЯ[[#This Row],[ТАННАРХ]]</f>
        <v>0</v>
      </c>
      <c r="K825" s="31">
        <f>РЕАЛИЗАЦИЯ[[#This Row],[ЖАМИ]]-РЕАЛИЗАЦИЯ[[#This Row],[ЖАМИ2]]</f>
        <v>0</v>
      </c>
      <c r="L825" s="31"/>
    </row>
    <row r="826" spans="3:12" ht="15" customHeight="1" x14ac:dyDescent="0.3">
      <c r="C826" s="99"/>
      <c r="D826" s="99"/>
      <c r="G826" s="50">
        <f>РЕАЛИЗАЦИЯ[[#This Row],[СОНИ]]*РЕАЛИЗАЦИЯ[[#This Row],[НАРХИ]]</f>
        <v>0</v>
      </c>
      <c r="I826" s="94"/>
      <c r="J826" s="31">
        <f>РЕАЛИЗАЦИЯ[[#This Row],[СОНИ]]*РЕАЛИЗАЦИЯ[[#This Row],[ТАННАРХ]]</f>
        <v>0</v>
      </c>
      <c r="K826" s="31">
        <f>РЕАЛИЗАЦИЯ[[#This Row],[ЖАМИ]]-РЕАЛИЗАЦИЯ[[#This Row],[ЖАМИ2]]</f>
        <v>0</v>
      </c>
      <c r="L826" s="31"/>
    </row>
    <row r="827" spans="3:12" ht="15" customHeight="1" x14ac:dyDescent="0.3">
      <c r="C827" s="99"/>
      <c r="D827" s="99"/>
      <c r="G827" s="50">
        <f>РЕАЛИЗАЦИЯ[[#This Row],[СОНИ]]*РЕАЛИЗАЦИЯ[[#This Row],[НАРХИ]]</f>
        <v>0</v>
      </c>
      <c r="I827" s="94"/>
      <c r="J827" s="31">
        <f>РЕАЛИЗАЦИЯ[[#This Row],[СОНИ]]*РЕАЛИЗАЦИЯ[[#This Row],[ТАННАРХ]]</f>
        <v>0</v>
      </c>
      <c r="K827" s="31">
        <f>РЕАЛИЗАЦИЯ[[#This Row],[ЖАМИ]]-РЕАЛИЗАЦИЯ[[#This Row],[ЖАМИ2]]</f>
        <v>0</v>
      </c>
      <c r="L827" s="31"/>
    </row>
    <row r="828" spans="3:12" ht="15" customHeight="1" x14ac:dyDescent="0.3">
      <c r="C828" s="146"/>
      <c r="D828" s="146"/>
      <c r="G828" s="50">
        <f>РЕАЛИЗАЦИЯ[[#This Row],[СОНИ]]*РЕАЛИЗАЦИЯ[[#This Row],[НАРХИ]]</f>
        <v>0</v>
      </c>
      <c r="I828" s="132"/>
      <c r="J828" s="31">
        <f>РЕАЛИЗАЦИЯ[[#This Row],[СОНИ]]*РЕАЛИЗАЦИЯ[[#This Row],[ТАННАРХ]]</f>
        <v>0</v>
      </c>
      <c r="K828" s="31">
        <f>РЕАЛИЗАЦИЯ[[#This Row],[ЖАМИ]]-РЕАЛИЗАЦИЯ[[#This Row],[ЖАМИ2]]</f>
        <v>0</v>
      </c>
      <c r="L828" s="31"/>
    </row>
    <row r="829" spans="3:12" ht="15" customHeight="1" x14ac:dyDescent="0.3">
      <c r="C829" s="99"/>
      <c r="D829" s="99"/>
      <c r="G829" s="50">
        <f>РЕАЛИЗАЦИЯ[[#This Row],[СОНИ]]*РЕАЛИЗАЦИЯ[[#This Row],[НАРХИ]]</f>
        <v>0</v>
      </c>
      <c r="I829" s="94"/>
      <c r="J829" s="31">
        <f>РЕАЛИЗАЦИЯ[[#This Row],[СОНИ]]*РЕАЛИЗАЦИЯ[[#This Row],[ТАННАРХ]]</f>
        <v>0</v>
      </c>
      <c r="K829" s="31">
        <f>РЕАЛИЗАЦИЯ[[#This Row],[ЖАМИ]]-РЕАЛИЗАЦИЯ[[#This Row],[ЖАМИ2]]</f>
        <v>0</v>
      </c>
      <c r="L829" s="31"/>
    </row>
    <row r="830" spans="3:12" ht="15" customHeight="1" x14ac:dyDescent="0.3">
      <c r="C830" s="99"/>
      <c r="D830" s="99"/>
      <c r="G830" s="50">
        <f>РЕАЛИЗАЦИЯ[[#This Row],[СОНИ]]*РЕАЛИЗАЦИЯ[[#This Row],[НАРХИ]]</f>
        <v>0</v>
      </c>
      <c r="I830" s="94"/>
      <c r="J830" s="31">
        <f>РЕАЛИЗАЦИЯ[[#This Row],[СОНИ]]*РЕАЛИЗАЦИЯ[[#This Row],[ТАННАРХ]]</f>
        <v>0</v>
      </c>
      <c r="K830" s="31">
        <f>РЕАЛИЗАЦИЯ[[#This Row],[ЖАМИ]]-РЕАЛИЗАЦИЯ[[#This Row],[ЖАМИ2]]</f>
        <v>0</v>
      </c>
      <c r="L830" s="31"/>
    </row>
    <row r="831" spans="3:12" ht="15" customHeight="1" x14ac:dyDescent="0.3">
      <c r="C831" s="99"/>
      <c r="D831" s="99"/>
      <c r="G831" s="50">
        <f>РЕАЛИЗАЦИЯ[[#This Row],[СОНИ]]*РЕАЛИЗАЦИЯ[[#This Row],[НАРХИ]]</f>
        <v>0</v>
      </c>
      <c r="I831" s="94"/>
      <c r="J831" s="31">
        <f>РЕАЛИЗАЦИЯ[[#This Row],[СОНИ]]*РЕАЛИЗАЦИЯ[[#This Row],[ТАННАРХ]]</f>
        <v>0</v>
      </c>
      <c r="K831" s="31">
        <f>РЕАЛИЗАЦИЯ[[#This Row],[ЖАМИ]]-РЕАЛИЗАЦИЯ[[#This Row],[ЖАМИ2]]</f>
        <v>0</v>
      </c>
      <c r="L831" s="31"/>
    </row>
    <row r="832" spans="3:12" x14ac:dyDescent="0.3">
      <c r="C832" s="99"/>
      <c r="D832" s="99"/>
      <c r="G832" s="50">
        <f>РЕАЛИЗАЦИЯ[[#This Row],[СОНИ]]*РЕАЛИЗАЦИЯ[[#This Row],[НАРХИ]]</f>
        <v>0</v>
      </c>
      <c r="I832" s="94"/>
      <c r="J832" s="31">
        <f>РЕАЛИЗАЦИЯ[[#This Row],[СОНИ]]*РЕАЛИЗАЦИЯ[[#This Row],[ТАННАРХ]]</f>
        <v>0</v>
      </c>
      <c r="K832" s="31">
        <f>РЕАЛИЗАЦИЯ[[#This Row],[ЖАМИ]]-РЕАЛИЗАЦИЯ[[#This Row],[ЖАМИ2]]</f>
        <v>0</v>
      </c>
      <c r="L832" s="31"/>
    </row>
    <row r="833" spans="3:12" ht="15" customHeight="1" x14ac:dyDescent="0.3">
      <c r="C833" s="99"/>
      <c r="D833" s="99"/>
      <c r="G833" s="50">
        <f>РЕАЛИЗАЦИЯ[[#This Row],[СОНИ]]*РЕАЛИЗАЦИЯ[[#This Row],[НАРХИ]]</f>
        <v>0</v>
      </c>
      <c r="I833" s="94"/>
      <c r="J833" s="31">
        <f>РЕАЛИЗАЦИЯ[[#This Row],[СОНИ]]*РЕАЛИЗАЦИЯ[[#This Row],[ТАННАРХ]]</f>
        <v>0</v>
      </c>
      <c r="K833" s="31">
        <f>РЕАЛИЗАЦИЯ[[#This Row],[ЖАМИ]]-РЕАЛИЗАЦИЯ[[#This Row],[ЖАМИ2]]</f>
        <v>0</v>
      </c>
      <c r="L833" s="31"/>
    </row>
    <row r="834" spans="3:12" ht="15" customHeight="1" x14ac:dyDescent="0.3">
      <c r="C834" s="99"/>
      <c r="D834" s="99"/>
      <c r="G834" s="50">
        <f>РЕАЛИЗАЦИЯ[[#This Row],[СОНИ]]*РЕАЛИЗАЦИЯ[[#This Row],[НАРХИ]]</f>
        <v>0</v>
      </c>
      <c r="I834" s="94"/>
      <c r="J834" s="31">
        <f>РЕАЛИЗАЦИЯ[[#This Row],[СОНИ]]*РЕАЛИЗАЦИЯ[[#This Row],[ТАННАРХ]]</f>
        <v>0</v>
      </c>
      <c r="K834" s="31">
        <f>РЕАЛИЗАЦИЯ[[#This Row],[ЖАМИ]]-РЕАЛИЗАЦИЯ[[#This Row],[ЖАМИ2]]</f>
        <v>0</v>
      </c>
      <c r="L834" s="31"/>
    </row>
    <row r="835" spans="3:12" ht="15" customHeight="1" x14ac:dyDescent="0.3">
      <c r="C835" s="99"/>
      <c r="D835" s="99"/>
      <c r="G835" s="50">
        <f>РЕАЛИЗАЦИЯ[[#This Row],[СОНИ]]*РЕАЛИЗАЦИЯ[[#This Row],[НАРХИ]]</f>
        <v>0</v>
      </c>
      <c r="I835" s="94"/>
      <c r="J835" s="31">
        <f>РЕАЛИЗАЦИЯ[[#This Row],[СОНИ]]*РЕАЛИЗАЦИЯ[[#This Row],[ТАННАРХ]]</f>
        <v>0</v>
      </c>
      <c r="K835" s="31">
        <f>РЕАЛИЗАЦИЯ[[#This Row],[ЖАМИ]]-РЕАЛИЗАЦИЯ[[#This Row],[ЖАМИ2]]</f>
        <v>0</v>
      </c>
      <c r="L835" s="31"/>
    </row>
    <row r="836" spans="3:12" ht="15" customHeight="1" x14ac:dyDescent="0.3">
      <c r="C836" s="99"/>
      <c r="D836" s="99"/>
      <c r="G836" s="50">
        <f>РЕАЛИЗАЦИЯ[[#This Row],[СОНИ]]*РЕАЛИЗАЦИЯ[[#This Row],[НАРХИ]]</f>
        <v>0</v>
      </c>
      <c r="I836" s="94"/>
      <c r="J836" s="31">
        <f>РЕАЛИЗАЦИЯ[[#This Row],[СОНИ]]*РЕАЛИЗАЦИЯ[[#This Row],[ТАННАРХ]]</f>
        <v>0</v>
      </c>
      <c r="K836" s="31">
        <f>РЕАЛИЗАЦИЯ[[#This Row],[ЖАМИ]]-РЕАЛИЗАЦИЯ[[#This Row],[ЖАМИ2]]</f>
        <v>0</v>
      </c>
      <c r="L836" s="31"/>
    </row>
    <row r="837" spans="3:12" ht="15" customHeight="1" x14ac:dyDescent="0.3">
      <c r="C837" s="99"/>
      <c r="D837" s="99"/>
      <c r="G837" s="50">
        <f>РЕАЛИЗАЦИЯ[[#This Row],[СОНИ]]*РЕАЛИЗАЦИЯ[[#This Row],[НАРХИ]]</f>
        <v>0</v>
      </c>
      <c r="I837" s="94"/>
      <c r="J837" s="31">
        <f>РЕАЛИЗАЦИЯ[[#This Row],[СОНИ]]*РЕАЛИЗАЦИЯ[[#This Row],[ТАННАРХ]]</f>
        <v>0</v>
      </c>
      <c r="K837" s="31">
        <f>РЕАЛИЗАЦИЯ[[#This Row],[ЖАМИ]]-РЕАЛИЗАЦИЯ[[#This Row],[ЖАМИ2]]</f>
        <v>0</v>
      </c>
      <c r="L837" s="31"/>
    </row>
    <row r="838" spans="3:12" ht="15" customHeight="1" x14ac:dyDescent="0.3">
      <c r="C838" s="99"/>
      <c r="D838" s="99"/>
      <c r="G838" s="50">
        <f>РЕАЛИЗАЦИЯ[[#This Row],[СОНИ]]*РЕАЛИЗАЦИЯ[[#This Row],[НАРХИ]]</f>
        <v>0</v>
      </c>
      <c r="I838" s="94"/>
      <c r="J838" s="31">
        <f>РЕАЛИЗАЦИЯ[[#This Row],[СОНИ]]*РЕАЛИЗАЦИЯ[[#This Row],[ТАННАРХ]]</f>
        <v>0</v>
      </c>
      <c r="K838" s="31">
        <f>РЕАЛИЗАЦИЯ[[#This Row],[ЖАМИ]]-РЕАЛИЗАЦИЯ[[#This Row],[ЖАМИ2]]</f>
        <v>0</v>
      </c>
      <c r="L838" s="31"/>
    </row>
    <row r="839" spans="3:12" ht="15" customHeight="1" x14ac:dyDescent="0.3">
      <c r="C839" s="99"/>
      <c r="D839" s="99"/>
      <c r="G839" s="50">
        <f>РЕАЛИЗАЦИЯ[[#This Row],[СОНИ]]*РЕАЛИЗАЦИЯ[[#This Row],[НАРХИ]]</f>
        <v>0</v>
      </c>
      <c r="I839" s="94"/>
      <c r="J839" s="31">
        <f>РЕАЛИЗАЦИЯ[[#This Row],[СОНИ]]*РЕАЛИЗАЦИЯ[[#This Row],[ТАННАРХ]]</f>
        <v>0</v>
      </c>
      <c r="K839" s="31">
        <f>РЕАЛИЗАЦИЯ[[#This Row],[ЖАМИ]]-РЕАЛИЗАЦИЯ[[#This Row],[ЖАМИ2]]</f>
        <v>0</v>
      </c>
      <c r="L839" s="31"/>
    </row>
    <row r="840" spans="3:12" ht="15" customHeight="1" x14ac:dyDescent="0.3">
      <c r="C840" s="99"/>
      <c r="D840" s="99"/>
      <c r="G840" s="50">
        <f>РЕАЛИЗАЦИЯ[[#This Row],[СОНИ]]*РЕАЛИЗАЦИЯ[[#This Row],[НАРХИ]]</f>
        <v>0</v>
      </c>
      <c r="I840" s="94"/>
      <c r="J840" s="31">
        <f>РЕАЛИЗАЦИЯ[[#This Row],[СОНИ]]*РЕАЛИЗАЦИЯ[[#This Row],[ТАННАРХ]]</f>
        <v>0</v>
      </c>
      <c r="K840" s="31">
        <f>РЕАЛИЗАЦИЯ[[#This Row],[ЖАМИ]]-РЕАЛИЗАЦИЯ[[#This Row],[ЖАМИ2]]</f>
        <v>0</v>
      </c>
      <c r="L840" s="31"/>
    </row>
    <row r="841" spans="3:12" ht="15" customHeight="1" x14ac:dyDescent="0.3">
      <c r="C841" s="99"/>
      <c r="D841" s="99"/>
      <c r="G841" s="50">
        <f>РЕАЛИЗАЦИЯ[[#This Row],[СОНИ]]*РЕАЛИЗАЦИЯ[[#This Row],[НАРХИ]]</f>
        <v>0</v>
      </c>
      <c r="I841" s="94"/>
      <c r="J841" s="31">
        <f>РЕАЛИЗАЦИЯ[[#This Row],[СОНИ]]*РЕАЛИЗАЦИЯ[[#This Row],[ТАННАРХ]]</f>
        <v>0</v>
      </c>
      <c r="K841" s="31">
        <f>РЕАЛИЗАЦИЯ[[#This Row],[ЖАМИ]]-РЕАЛИЗАЦИЯ[[#This Row],[ЖАМИ2]]</f>
        <v>0</v>
      </c>
      <c r="L841" s="31"/>
    </row>
    <row r="842" spans="3:12" ht="15" customHeight="1" x14ac:dyDescent="0.3">
      <c r="C842" s="99"/>
      <c r="D842" s="99"/>
      <c r="G842" s="50">
        <f>РЕАЛИЗАЦИЯ[[#This Row],[СОНИ]]*РЕАЛИЗАЦИЯ[[#This Row],[НАРХИ]]</f>
        <v>0</v>
      </c>
      <c r="I842" s="94"/>
      <c r="J842" s="31">
        <f>РЕАЛИЗАЦИЯ[[#This Row],[СОНИ]]*РЕАЛИЗАЦИЯ[[#This Row],[ТАННАРХ]]</f>
        <v>0</v>
      </c>
      <c r="K842" s="31">
        <f>РЕАЛИЗАЦИЯ[[#This Row],[ЖАМИ]]-РЕАЛИЗАЦИЯ[[#This Row],[ЖАМИ2]]</f>
        <v>0</v>
      </c>
      <c r="L842" s="31"/>
    </row>
    <row r="843" spans="3:12" ht="15" customHeight="1" x14ac:dyDescent="0.3">
      <c r="C843" s="99"/>
      <c r="D843" s="99"/>
      <c r="G843" s="50">
        <f>РЕАЛИЗАЦИЯ[[#This Row],[СОНИ]]*РЕАЛИЗАЦИЯ[[#This Row],[НАРХИ]]</f>
        <v>0</v>
      </c>
      <c r="I843" s="94"/>
      <c r="J843" s="31">
        <f>РЕАЛИЗАЦИЯ[[#This Row],[СОНИ]]*РЕАЛИЗАЦИЯ[[#This Row],[ТАННАРХ]]</f>
        <v>0</v>
      </c>
      <c r="K843" s="31">
        <f>РЕАЛИЗАЦИЯ[[#This Row],[ЖАМИ]]-РЕАЛИЗАЦИЯ[[#This Row],[ЖАМИ2]]</f>
        <v>0</v>
      </c>
      <c r="L843" s="31"/>
    </row>
    <row r="844" spans="3:12" ht="15" customHeight="1" x14ac:dyDescent="0.3">
      <c r="C844" s="99"/>
      <c r="D844" s="99"/>
      <c r="G844" s="50">
        <f>РЕАЛИЗАЦИЯ[[#This Row],[СОНИ]]*РЕАЛИЗАЦИЯ[[#This Row],[НАРХИ]]</f>
        <v>0</v>
      </c>
      <c r="I844" s="94"/>
      <c r="J844" s="31">
        <f>РЕАЛИЗАЦИЯ[[#This Row],[СОНИ]]*РЕАЛИЗАЦИЯ[[#This Row],[ТАННАРХ]]</f>
        <v>0</v>
      </c>
      <c r="K844" s="31">
        <f>РЕАЛИЗАЦИЯ[[#This Row],[ЖАМИ]]-РЕАЛИЗАЦИЯ[[#This Row],[ЖАМИ2]]</f>
        <v>0</v>
      </c>
      <c r="L844" s="31"/>
    </row>
    <row r="845" spans="3:12" ht="15" customHeight="1" x14ac:dyDescent="0.3">
      <c r="C845" s="99"/>
      <c r="D845" s="99"/>
      <c r="G845" s="50">
        <f>РЕАЛИЗАЦИЯ[[#This Row],[СОНИ]]*РЕАЛИЗАЦИЯ[[#This Row],[НАРХИ]]</f>
        <v>0</v>
      </c>
      <c r="I845" s="94"/>
      <c r="J845" s="31">
        <f>РЕАЛИЗАЦИЯ[[#This Row],[СОНИ]]*РЕАЛИЗАЦИЯ[[#This Row],[ТАННАРХ]]</f>
        <v>0</v>
      </c>
      <c r="K845" s="31">
        <f>РЕАЛИЗАЦИЯ[[#This Row],[ЖАМИ]]-РЕАЛИЗАЦИЯ[[#This Row],[ЖАМИ2]]</f>
        <v>0</v>
      </c>
      <c r="L845" s="31"/>
    </row>
    <row r="846" spans="3:12" ht="15" customHeight="1" x14ac:dyDescent="0.3">
      <c r="C846" s="99"/>
      <c r="D846" s="99"/>
      <c r="G846" s="50">
        <f>РЕАЛИЗАЦИЯ[[#This Row],[СОНИ]]*РЕАЛИЗАЦИЯ[[#This Row],[НАРХИ]]</f>
        <v>0</v>
      </c>
      <c r="I846" s="94"/>
      <c r="J846" s="31">
        <f>РЕАЛИЗАЦИЯ[[#This Row],[СОНИ]]*РЕАЛИЗАЦИЯ[[#This Row],[ТАННАРХ]]</f>
        <v>0</v>
      </c>
      <c r="K846" s="31">
        <f>РЕАЛИЗАЦИЯ[[#This Row],[ЖАМИ]]-РЕАЛИЗАЦИЯ[[#This Row],[ЖАМИ2]]</f>
        <v>0</v>
      </c>
      <c r="L846" s="31"/>
    </row>
    <row r="847" spans="3:12" ht="15" customHeight="1" x14ac:dyDescent="0.3">
      <c r="C847" s="99"/>
      <c r="D847" s="99"/>
      <c r="G847" s="50">
        <f>РЕАЛИЗАЦИЯ[[#This Row],[СОНИ]]*РЕАЛИЗАЦИЯ[[#This Row],[НАРХИ]]</f>
        <v>0</v>
      </c>
      <c r="I847" s="94"/>
      <c r="J847" s="31">
        <f>РЕАЛИЗАЦИЯ[[#This Row],[СОНИ]]*РЕАЛИЗАЦИЯ[[#This Row],[ТАННАРХ]]</f>
        <v>0</v>
      </c>
      <c r="K847" s="31">
        <f>РЕАЛИЗАЦИЯ[[#This Row],[ЖАМИ]]-РЕАЛИЗАЦИЯ[[#This Row],[ЖАМИ2]]</f>
        <v>0</v>
      </c>
      <c r="L847" s="31"/>
    </row>
    <row r="848" spans="3:12" ht="15" customHeight="1" x14ac:dyDescent="0.3">
      <c r="C848" s="99"/>
      <c r="D848" s="99"/>
      <c r="G848" s="50">
        <f>РЕАЛИЗАЦИЯ[[#This Row],[СОНИ]]*РЕАЛИЗАЦИЯ[[#This Row],[НАРХИ]]</f>
        <v>0</v>
      </c>
      <c r="I848" s="94"/>
      <c r="J848" s="31">
        <f>РЕАЛИЗАЦИЯ[[#This Row],[СОНИ]]*РЕАЛИЗАЦИЯ[[#This Row],[ТАННАРХ]]</f>
        <v>0</v>
      </c>
      <c r="K848" s="31">
        <f>РЕАЛИЗАЦИЯ[[#This Row],[ЖАМИ]]-РЕАЛИЗАЦИЯ[[#This Row],[ЖАМИ2]]</f>
        <v>0</v>
      </c>
      <c r="L848" s="31"/>
    </row>
    <row r="849" spans="3:12" ht="15" customHeight="1" x14ac:dyDescent="0.3">
      <c r="C849" s="99"/>
      <c r="D849" s="99"/>
      <c r="G849" s="50">
        <f>РЕАЛИЗАЦИЯ[[#This Row],[СОНИ]]*РЕАЛИЗАЦИЯ[[#This Row],[НАРХИ]]</f>
        <v>0</v>
      </c>
      <c r="I849" s="94"/>
      <c r="J849" s="31">
        <f>РЕАЛИЗАЦИЯ[[#This Row],[СОНИ]]*РЕАЛИЗАЦИЯ[[#This Row],[ТАННАРХ]]</f>
        <v>0</v>
      </c>
      <c r="K849" s="31">
        <f>РЕАЛИЗАЦИЯ[[#This Row],[ЖАМИ]]-РЕАЛИЗАЦИЯ[[#This Row],[ЖАМИ2]]</f>
        <v>0</v>
      </c>
      <c r="L849" s="31"/>
    </row>
    <row r="850" spans="3:12" ht="15" customHeight="1" x14ac:dyDescent="0.3">
      <c r="C850" s="99"/>
      <c r="D850" s="99"/>
      <c r="G850" s="50">
        <f>РЕАЛИЗАЦИЯ[[#This Row],[СОНИ]]*РЕАЛИЗАЦИЯ[[#This Row],[НАРХИ]]</f>
        <v>0</v>
      </c>
      <c r="I850" s="94"/>
      <c r="J850" s="31">
        <f>РЕАЛИЗАЦИЯ[[#This Row],[СОНИ]]*РЕАЛИЗАЦИЯ[[#This Row],[ТАННАРХ]]</f>
        <v>0</v>
      </c>
      <c r="K850" s="31">
        <f>РЕАЛИЗАЦИЯ[[#This Row],[ЖАМИ]]-РЕАЛИЗАЦИЯ[[#This Row],[ЖАМИ2]]</f>
        <v>0</v>
      </c>
      <c r="L850" s="31"/>
    </row>
    <row r="851" spans="3:12" ht="15" customHeight="1" x14ac:dyDescent="0.3">
      <c r="C851" s="99"/>
      <c r="D851" s="99"/>
      <c r="G851" s="50">
        <f>РЕАЛИЗАЦИЯ[[#This Row],[СОНИ]]*РЕАЛИЗАЦИЯ[[#This Row],[НАРХИ]]</f>
        <v>0</v>
      </c>
      <c r="I851" s="94"/>
      <c r="J851" s="31">
        <f>РЕАЛИЗАЦИЯ[[#This Row],[СОНИ]]*РЕАЛИЗАЦИЯ[[#This Row],[ТАННАРХ]]</f>
        <v>0</v>
      </c>
      <c r="K851" s="31">
        <f>РЕАЛИЗАЦИЯ[[#This Row],[ЖАМИ]]-РЕАЛИЗАЦИЯ[[#This Row],[ЖАМИ2]]</f>
        <v>0</v>
      </c>
      <c r="L851" s="31"/>
    </row>
    <row r="852" spans="3:12" ht="15" customHeight="1" x14ac:dyDescent="0.3">
      <c r="C852" s="99"/>
      <c r="D852" s="99"/>
      <c r="G852" s="50">
        <f>РЕАЛИЗАЦИЯ[[#This Row],[СОНИ]]*РЕАЛИЗАЦИЯ[[#This Row],[НАРХИ]]</f>
        <v>0</v>
      </c>
      <c r="I852" s="94"/>
      <c r="J852" s="31">
        <f>РЕАЛИЗАЦИЯ[[#This Row],[СОНИ]]*РЕАЛИЗАЦИЯ[[#This Row],[ТАННАРХ]]</f>
        <v>0</v>
      </c>
      <c r="K852" s="31">
        <f>РЕАЛИЗАЦИЯ[[#This Row],[ЖАМИ]]-РЕАЛИЗАЦИЯ[[#This Row],[ЖАМИ2]]</f>
        <v>0</v>
      </c>
      <c r="L852" s="31"/>
    </row>
    <row r="853" spans="3:12" ht="15" customHeight="1" x14ac:dyDescent="0.3">
      <c r="C853" s="99"/>
      <c r="D853" s="99"/>
      <c r="G853" s="50">
        <f>РЕАЛИЗАЦИЯ[[#This Row],[СОНИ]]*РЕАЛИЗАЦИЯ[[#This Row],[НАРХИ]]</f>
        <v>0</v>
      </c>
      <c r="I853" s="94"/>
      <c r="J853" s="31">
        <f>РЕАЛИЗАЦИЯ[[#This Row],[СОНИ]]*РЕАЛИЗАЦИЯ[[#This Row],[ТАННАРХ]]</f>
        <v>0</v>
      </c>
      <c r="K853" s="31">
        <f>РЕАЛИЗАЦИЯ[[#This Row],[ЖАМИ]]-РЕАЛИЗАЦИЯ[[#This Row],[ЖАМИ2]]</f>
        <v>0</v>
      </c>
      <c r="L853" s="31"/>
    </row>
    <row r="854" spans="3:12" ht="15" customHeight="1" x14ac:dyDescent="0.3">
      <c r="C854" s="99"/>
      <c r="D854" s="99"/>
      <c r="G854" s="50">
        <f>РЕАЛИЗАЦИЯ[[#This Row],[СОНИ]]*РЕАЛИЗАЦИЯ[[#This Row],[НАРХИ]]</f>
        <v>0</v>
      </c>
      <c r="I854" s="94"/>
      <c r="J854" s="31">
        <f>РЕАЛИЗАЦИЯ[[#This Row],[СОНИ]]*РЕАЛИЗАЦИЯ[[#This Row],[ТАННАРХ]]</f>
        <v>0</v>
      </c>
      <c r="K854" s="31">
        <f>РЕАЛИЗАЦИЯ[[#This Row],[ЖАМИ]]-РЕАЛИЗАЦИЯ[[#This Row],[ЖАМИ2]]</f>
        <v>0</v>
      </c>
      <c r="L854" s="31"/>
    </row>
    <row r="855" spans="3:12" ht="15" customHeight="1" x14ac:dyDescent="0.3">
      <c r="C855" s="99"/>
      <c r="D855" s="99"/>
      <c r="G855" s="50">
        <f>РЕАЛИЗАЦИЯ[[#This Row],[СОНИ]]*РЕАЛИЗАЦИЯ[[#This Row],[НАРХИ]]</f>
        <v>0</v>
      </c>
      <c r="I855" s="94"/>
      <c r="J855" s="31">
        <f>РЕАЛИЗАЦИЯ[[#This Row],[СОНИ]]*РЕАЛИЗАЦИЯ[[#This Row],[ТАННАРХ]]</f>
        <v>0</v>
      </c>
      <c r="K855" s="31">
        <f>РЕАЛИЗАЦИЯ[[#This Row],[ЖАМИ]]-РЕАЛИЗАЦИЯ[[#This Row],[ЖАМИ2]]</f>
        <v>0</v>
      </c>
      <c r="L855" s="31"/>
    </row>
    <row r="856" spans="3:12" ht="15" customHeight="1" x14ac:dyDescent="0.3">
      <c r="C856" s="99"/>
      <c r="D856" s="99"/>
      <c r="G856" s="50">
        <f>РЕАЛИЗАЦИЯ[[#This Row],[СОНИ]]*РЕАЛИЗАЦИЯ[[#This Row],[НАРХИ]]</f>
        <v>0</v>
      </c>
      <c r="I856" s="94"/>
      <c r="J856" s="31">
        <f>РЕАЛИЗАЦИЯ[[#This Row],[СОНИ]]*РЕАЛИЗАЦИЯ[[#This Row],[ТАННАРХ]]</f>
        <v>0</v>
      </c>
      <c r="K856" s="31">
        <f>РЕАЛИЗАЦИЯ[[#This Row],[ЖАМИ]]-РЕАЛИЗАЦИЯ[[#This Row],[ЖАМИ2]]</f>
        <v>0</v>
      </c>
      <c r="L856" s="31"/>
    </row>
    <row r="857" spans="3:12" ht="15" customHeight="1" x14ac:dyDescent="0.3">
      <c r="C857" s="99"/>
      <c r="D857" s="99"/>
      <c r="G857" s="50">
        <f>РЕАЛИЗАЦИЯ[[#This Row],[СОНИ]]*РЕАЛИЗАЦИЯ[[#This Row],[НАРХИ]]</f>
        <v>0</v>
      </c>
      <c r="I857" s="94"/>
      <c r="J857" s="31">
        <f>РЕАЛИЗАЦИЯ[[#This Row],[СОНИ]]*РЕАЛИЗАЦИЯ[[#This Row],[ТАННАРХ]]</f>
        <v>0</v>
      </c>
      <c r="K857" s="31">
        <f>РЕАЛИЗАЦИЯ[[#This Row],[ЖАМИ]]-РЕАЛИЗАЦИЯ[[#This Row],[ЖАМИ2]]</f>
        <v>0</v>
      </c>
      <c r="L857" s="31"/>
    </row>
    <row r="858" spans="3:12" ht="15" customHeight="1" x14ac:dyDescent="0.3">
      <c r="C858" s="99"/>
      <c r="D858" s="99"/>
      <c r="G858" s="50">
        <f>РЕАЛИЗАЦИЯ[[#This Row],[СОНИ]]*РЕАЛИЗАЦИЯ[[#This Row],[НАРХИ]]</f>
        <v>0</v>
      </c>
      <c r="I858" s="94"/>
      <c r="J858" s="31">
        <f>РЕАЛИЗАЦИЯ[[#This Row],[СОНИ]]*РЕАЛИЗАЦИЯ[[#This Row],[ТАННАРХ]]</f>
        <v>0</v>
      </c>
      <c r="K858" s="31">
        <f>РЕАЛИЗАЦИЯ[[#This Row],[ЖАМИ]]-РЕАЛИЗАЦИЯ[[#This Row],[ЖАМИ2]]</f>
        <v>0</v>
      </c>
      <c r="L858" s="31"/>
    </row>
    <row r="859" spans="3:12" ht="15" customHeight="1" x14ac:dyDescent="0.3">
      <c r="C859" s="99"/>
      <c r="D859" s="99"/>
      <c r="G859" s="50">
        <f>РЕАЛИЗАЦИЯ[[#This Row],[СОНИ]]*РЕАЛИЗАЦИЯ[[#This Row],[НАРХИ]]</f>
        <v>0</v>
      </c>
      <c r="I859" s="94"/>
      <c r="J859" s="31">
        <f>РЕАЛИЗАЦИЯ[[#This Row],[СОНИ]]*РЕАЛИЗАЦИЯ[[#This Row],[ТАННАРХ]]</f>
        <v>0</v>
      </c>
      <c r="K859" s="31">
        <f>РЕАЛИЗАЦИЯ[[#This Row],[ЖАМИ]]-РЕАЛИЗАЦИЯ[[#This Row],[ЖАМИ2]]</f>
        <v>0</v>
      </c>
      <c r="L859" s="31"/>
    </row>
    <row r="860" spans="3:12" ht="15" customHeight="1" x14ac:dyDescent="0.3">
      <c r="C860" s="99"/>
      <c r="D860" s="99"/>
      <c r="G860" s="50">
        <f>РЕАЛИЗАЦИЯ[[#This Row],[СОНИ]]*РЕАЛИЗАЦИЯ[[#This Row],[НАРХИ]]</f>
        <v>0</v>
      </c>
      <c r="I860" s="94"/>
      <c r="J860" s="31">
        <f>РЕАЛИЗАЦИЯ[[#This Row],[СОНИ]]*РЕАЛИЗАЦИЯ[[#This Row],[ТАННАРХ]]</f>
        <v>0</v>
      </c>
      <c r="K860" s="31">
        <f>РЕАЛИЗАЦИЯ[[#This Row],[ЖАМИ]]-РЕАЛИЗАЦИЯ[[#This Row],[ЖАМИ2]]</f>
        <v>0</v>
      </c>
      <c r="L860" s="31"/>
    </row>
    <row r="861" spans="3:12" ht="15" customHeight="1" x14ac:dyDescent="0.3">
      <c r="C861" s="99"/>
      <c r="D861" s="99"/>
      <c r="G861" s="50">
        <f>РЕАЛИЗАЦИЯ[[#This Row],[СОНИ]]*РЕАЛИЗАЦИЯ[[#This Row],[НАРХИ]]</f>
        <v>0</v>
      </c>
      <c r="I861" s="94"/>
      <c r="J861" s="31">
        <f>РЕАЛИЗАЦИЯ[[#This Row],[СОНИ]]*РЕАЛИЗАЦИЯ[[#This Row],[ТАННАРХ]]</f>
        <v>0</v>
      </c>
      <c r="K861" s="31">
        <f>РЕАЛИЗАЦИЯ[[#This Row],[ЖАМИ]]-РЕАЛИЗАЦИЯ[[#This Row],[ЖАМИ2]]</f>
        <v>0</v>
      </c>
      <c r="L861" s="31"/>
    </row>
    <row r="862" spans="3:12" ht="15" customHeight="1" x14ac:dyDescent="0.3">
      <c r="C862" s="99"/>
      <c r="D862" s="99"/>
      <c r="G862" s="50">
        <f>РЕАЛИЗАЦИЯ[[#This Row],[СОНИ]]*РЕАЛИЗАЦИЯ[[#This Row],[НАРХИ]]</f>
        <v>0</v>
      </c>
      <c r="I862" s="94"/>
      <c r="J862" s="31">
        <f>РЕАЛИЗАЦИЯ[[#This Row],[СОНИ]]*РЕАЛИЗАЦИЯ[[#This Row],[ТАННАРХ]]</f>
        <v>0</v>
      </c>
      <c r="K862" s="31">
        <f>РЕАЛИЗАЦИЯ[[#This Row],[ЖАМИ]]-РЕАЛИЗАЦИЯ[[#This Row],[ЖАМИ2]]</f>
        <v>0</v>
      </c>
      <c r="L862" s="31"/>
    </row>
    <row r="863" spans="3:12" ht="15" customHeight="1" x14ac:dyDescent="0.3">
      <c r="C863" s="99"/>
      <c r="D863" s="99"/>
      <c r="G863" s="50">
        <f>РЕАЛИЗАЦИЯ[[#This Row],[СОНИ]]*РЕАЛИЗАЦИЯ[[#This Row],[НАРХИ]]</f>
        <v>0</v>
      </c>
      <c r="I863" s="94"/>
      <c r="J863" s="31">
        <f>РЕАЛИЗАЦИЯ[[#This Row],[СОНИ]]*РЕАЛИЗАЦИЯ[[#This Row],[ТАННАРХ]]</f>
        <v>0</v>
      </c>
      <c r="K863" s="31">
        <f>РЕАЛИЗАЦИЯ[[#This Row],[ЖАМИ]]-РЕАЛИЗАЦИЯ[[#This Row],[ЖАМИ2]]</f>
        <v>0</v>
      </c>
      <c r="L863" s="31"/>
    </row>
    <row r="864" spans="3:12" ht="15" customHeight="1" x14ac:dyDescent="0.3">
      <c r="C864" s="146"/>
      <c r="D864" s="146"/>
      <c r="G864" s="50">
        <f>РЕАЛИЗАЦИЯ[[#This Row],[СОНИ]]*РЕАЛИЗАЦИЯ[[#This Row],[НАРХИ]]</f>
        <v>0</v>
      </c>
      <c r="I864" s="132"/>
      <c r="J864" s="31">
        <f>РЕАЛИЗАЦИЯ[[#This Row],[СОНИ]]*РЕАЛИЗАЦИЯ[[#This Row],[ТАННАРХ]]</f>
        <v>0</v>
      </c>
      <c r="K864" s="31">
        <f>РЕАЛИЗАЦИЯ[[#This Row],[ЖАМИ]]-РЕАЛИЗАЦИЯ[[#This Row],[ЖАМИ2]]</f>
        <v>0</v>
      </c>
      <c r="L864" s="31"/>
    </row>
    <row r="865" spans="3:12" ht="15" customHeight="1" x14ac:dyDescent="0.3">
      <c r="C865" s="99"/>
      <c r="D865" s="99"/>
      <c r="G865" s="50">
        <f>РЕАЛИЗАЦИЯ[[#This Row],[СОНИ]]*РЕАЛИЗАЦИЯ[[#This Row],[НАРХИ]]</f>
        <v>0</v>
      </c>
      <c r="I865" s="94"/>
      <c r="J865" s="31">
        <f>РЕАЛИЗАЦИЯ[[#This Row],[СОНИ]]*РЕАЛИЗАЦИЯ[[#This Row],[ТАННАРХ]]</f>
        <v>0</v>
      </c>
      <c r="K865" s="31">
        <f>РЕАЛИЗАЦИЯ[[#This Row],[ЖАМИ]]-РЕАЛИЗАЦИЯ[[#This Row],[ЖАМИ2]]</f>
        <v>0</v>
      </c>
      <c r="L865" s="31"/>
    </row>
    <row r="866" spans="3:12" ht="15" customHeight="1" x14ac:dyDescent="0.3">
      <c r="C866" s="99"/>
      <c r="D866" s="99"/>
      <c r="G866" s="50">
        <f>РЕАЛИЗАЦИЯ[[#This Row],[СОНИ]]*РЕАЛИЗАЦИЯ[[#This Row],[НАРХИ]]</f>
        <v>0</v>
      </c>
      <c r="I866" s="94"/>
      <c r="J866" s="31">
        <f>РЕАЛИЗАЦИЯ[[#This Row],[СОНИ]]*РЕАЛИЗАЦИЯ[[#This Row],[ТАННАРХ]]</f>
        <v>0</v>
      </c>
      <c r="K866" s="31">
        <f>РЕАЛИЗАЦИЯ[[#This Row],[ЖАМИ]]-РЕАЛИЗАЦИЯ[[#This Row],[ЖАМИ2]]</f>
        <v>0</v>
      </c>
      <c r="L866" s="31"/>
    </row>
    <row r="867" spans="3:12" ht="15" customHeight="1" x14ac:dyDescent="0.3">
      <c r="C867" s="99"/>
      <c r="D867" s="99"/>
      <c r="G867" s="50">
        <f>РЕАЛИЗАЦИЯ[[#This Row],[СОНИ]]*РЕАЛИЗАЦИЯ[[#This Row],[НАРХИ]]</f>
        <v>0</v>
      </c>
      <c r="I867" s="94"/>
      <c r="J867" s="31">
        <f>РЕАЛИЗАЦИЯ[[#This Row],[СОНИ]]*РЕАЛИЗАЦИЯ[[#This Row],[ТАННАРХ]]</f>
        <v>0</v>
      </c>
      <c r="K867" s="31">
        <f>РЕАЛИЗАЦИЯ[[#This Row],[ЖАМИ]]-РЕАЛИЗАЦИЯ[[#This Row],[ЖАМИ2]]</f>
        <v>0</v>
      </c>
      <c r="L867" s="31"/>
    </row>
    <row r="868" spans="3:12" ht="15" customHeight="1" x14ac:dyDescent="0.3">
      <c r="C868" s="99"/>
      <c r="D868" s="99"/>
      <c r="G868" s="50">
        <f>РЕАЛИЗАЦИЯ[[#This Row],[СОНИ]]*РЕАЛИЗАЦИЯ[[#This Row],[НАРХИ]]</f>
        <v>0</v>
      </c>
      <c r="I868" s="94"/>
      <c r="J868" s="31">
        <f>РЕАЛИЗАЦИЯ[[#This Row],[СОНИ]]*РЕАЛИЗАЦИЯ[[#This Row],[ТАННАРХ]]</f>
        <v>0</v>
      </c>
      <c r="K868" s="31">
        <f>РЕАЛИЗАЦИЯ[[#This Row],[ЖАМИ]]-РЕАЛИЗАЦИЯ[[#This Row],[ЖАМИ2]]</f>
        <v>0</v>
      </c>
      <c r="L868" s="31"/>
    </row>
    <row r="869" spans="3:12" ht="15" customHeight="1" x14ac:dyDescent="0.3">
      <c r="C869" s="99"/>
      <c r="D869" s="99"/>
      <c r="G869" s="50">
        <f>РЕАЛИЗАЦИЯ[[#This Row],[СОНИ]]*РЕАЛИЗАЦИЯ[[#This Row],[НАРХИ]]</f>
        <v>0</v>
      </c>
      <c r="I869" s="94"/>
      <c r="J869" s="31">
        <f>РЕАЛИЗАЦИЯ[[#This Row],[СОНИ]]*РЕАЛИЗАЦИЯ[[#This Row],[ТАННАРХ]]</f>
        <v>0</v>
      </c>
      <c r="K869" s="31">
        <f>РЕАЛИЗАЦИЯ[[#This Row],[ЖАМИ]]-РЕАЛИЗАЦИЯ[[#This Row],[ЖАМИ2]]</f>
        <v>0</v>
      </c>
      <c r="L869" s="31"/>
    </row>
    <row r="870" spans="3:12" ht="15" customHeight="1" x14ac:dyDescent="0.3">
      <c r="C870" s="99"/>
      <c r="D870" s="99"/>
      <c r="G870" s="50">
        <f>РЕАЛИЗАЦИЯ[[#This Row],[СОНИ]]*РЕАЛИЗАЦИЯ[[#This Row],[НАРХИ]]</f>
        <v>0</v>
      </c>
      <c r="I870" s="94"/>
      <c r="J870" s="31">
        <f>РЕАЛИЗАЦИЯ[[#This Row],[СОНИ]]*РЕАЛИЗАЦИЯ[[#This Row],[ТАННАРХ]]</f>
        <v>0</v>
      </c>
      <c r="K870" s="31">
        <f>РЕАЛИЗАЦИЯ[[#This Row],[ЖАМИ]]-РЕАЛИЗАЦИЯ[[#This Row],[ЖАМИ2]]</f>
        <v>0</v>
      </c>
      <c r="L870" s="31"/>
    </row>
    <row r="871" spans="3:12" ht="15" customHeight="1" x14ac:dyDescent="0.3">
      <c r="C871" s="99"/>
      <c r="D871" s="99"/>
      <c r="G871" s="50">
        <f>РЕАЛИЗАЦИЯ[[#This Row],[СОНИ]]*РЕАЛИЗАЦИЯ[[#This Row],[НАРХИ]]</f>
        <v>0</v>
      </c>
      <c r="I871" s="94"/>
      <c r="J871" s="31">
        <f>РЕАЛИЗАЦИЯ[[#This Row],[СОНИ]]*РЕАЛИЗАЦИЯ[[#This Row],[ТАННАРХ]]</f>
        <v>0</v>
      </c>
      <c r="K871" s="31">
        <f>РЕАЛИЗАЦИЯ[[#This Row],[ЖАМИ]]-РЕАЛИЗАЦИЯ[[#This Row],[ЖАМИ2]]</f>
        <v>0</v>
      </c>
      <c r="L871" s="31"/>
    </row>
    <row r="872" spans="3:12" ht="15" customHeight="1" x14ac:dyDescent="0.3">
      <c r="C872" s="99"/>
      <c r="D872" s="99"/>
      <c r="G872" s="50">
        <f>РЕАЛИЗАЦИЯ[[#This Row],[СОНИ]]*РЕАЛИЗАЦИЯ[[#This Row],[НАРХИ]]</f>
        <v>0</v>
      </c>
      <c r="I872" s="94"/>
      <c r="J872" s="31">
        <f>РЕАЛИЗАЦИЯ[[#This Row],[СОНИ]]*РЕАЛИЗАЦИЯ[[#This Row],[ТАННАРХ]]</f>
        <v>0</v>
      </c>
      <c r="K872" s="31">
        <f>РЕАЛИЗАЦИЯ[[#This Row],[ЖАМИ]]-РЕАЛИЗАЦИЯ[[#This Row],[ЖАМИ2]]</f>
        <v>0</v>
      </c>
      <c r="L872" s="31"/>
    </row>
    <row r="873" spans="3:12" ht="15" customHeight="1" x14ac:dyDescent="0.3">
      <c r="C873" s="99"/>
      <c r="D873" s="99"/>
      <c r="G873" s="50">
        <f>РЕАЛИЗАЦИЯ[[#This Row],[СОНИ]]*РЕАЛИЗАЦИЯ[[#This Row],[НАРХИ]]</f>
        <v>0</v>
      </c>
      <c r="I873" s="94"/>
      <c r="J873" s="31">
        <f>РЕАЛИЗАЦИЯ[[#This Row],[СОНИ]]*РЕАЛИЗАЦИЯ[[#This Row],[ТАННАРХ]]</f>
        <v>0</v>
      </c>
      <c r="K873" s="31">
        <f>РЕАЛИЗАЦИЯ[[#This Row],[ЖАМИ]]-РЕАЛИЗАЦИЯ[[#This Row],[ЖАМИ2]]</f>
        <v>0</v>
      </c>
      <c r="L873" s="31"/>
    </row>
    <row r="874" spans="3:12" ht="15" customHeight="1" x14ac:dyDescent="0.3">
      <c r="C874" s="99"/>
      <c r="D874" s="99"/>
      <c r="G874" s="50">
        <f>РЕАЛИЗАЦИЯ[[#This Row],[СОНИ]]*РЕАЛИЗАЦИЯ[[#This Row],[НАРХИ]]</f>
        <v>0</v>
      </c>
      <c r="I874" s="94"/>
      <c r="J874" s="31">
        <f>РЕАЛИЗАЦИЯ[[#This Row],[СОНИ]]*РЕАЛИЗАЦИЯ[[#This Row],[ТАННАРХ]]</f>
        <v>0</v>
      </c>
      <c r="K874" s="31">
        <f>РЕАЛИЗАЦИЯ[[#This Row],[ЖАМИ]]-РЕАЛИЗАЦИЯ[[#This Row],[ЖАМИ2]]</f>
        <v>0</v>
      </c>
      <c r="L874" s="31"/>
    </row>
    <row r="875" spans="3:12" ht="15" customHeight="1" x14ac:dyDescent="0.3">
      <c r="C875" s="99"/>
      <c r="D875" s="99"/>
      <c r="G875" s="50">
        <f>РЕАЛИЗАЦИЯ[[#This Row],[СОНИ]]*РЕАЛИЗАЦИЯ[[#This Row],[НАРХИ]]</f>
        <v>0</v>
      </c>
      <c r="I875" s="94"/>
      <c r="J875" s="31">
        <f>РЕАЛИЗАЦИЯ[[#This Row],[СОНИ]]*РЕАЛИЗАЦИЯ[[#This Row],[ТАННАРХ]]</f>
        <v>0</v>
      </c>
      <c r="K875" s="31">
        <f>РЕАЛИЗАЦИЯ[[#This Row],[ЖАМИ]]-РЕАЛИЗАЦИЯ[[#This Row],[ЖАМИ2]]</f>
        <v>0</v>
      </c>
      <c r="L875" s="31"/>
    </row>
    <row r="876" spans="3:12" ht="15" customHeight="1" x14ac:dyDescent="0.3">
      <c r="C876" s="99"/>
      <c r="D876" s="99"/>
      <c r="G876" s="50">
        <f>РЕАЛИЗАЦИЯ[[#This Row],[СОНИ]]*РЕАЛИЗАЦИЯ[[#This Row],[НАРХИ]]</f>
        <v>0</v>
      </c>
      <c r="I876" s="94"/>
      <c r="J876" s="31">
        <f>РЕАЛИЗАЦИЯ[[#This Row],[СОНИ]]*РЕАЛИЗАЦИЯ[[#This Row],[ТАННАРХ]]</f>
        <v>0</v>
      </c>
      <c r="K876" s="31">
        <f>РЕАЛИЗАЦИЯ[[#This Row],[ЖАМИ]]-РЕАЛИЗАЦИЯ[[#This Row],[ЖАМИ2]]</f>
        <v>0</v>
      </c>
      <c r="L876" s="31"/>
    </row>
    <row r="877" spans="3:12" ht="15" customHeight="1" x14ac:dyDescent="0.3">
      <c r="C877" s="99"/>
      <c r="D877" s="99"/>
      <c r="G877" s="50">
        <f>РЕАЛИЗАЦИЯ[[#This Row],[СОНИ]]*РЕАЛИЗАЦИЯ[[#This Row],[НАРХИ]]</f>
        <v>0</v>
      </c>
      <c r="I877" s="94"/>
      <c r="J877" s="31">
        <f>РЕАЛИЗАЦИЯ[[#This Row],[СОНИ]]*РЕАЛИЗАЦИЯ[[#This Row],[ТАННАРХ]]</f>
        <v>0</v>
      </c>
      <c r="K877" s="31">
        <f>РЕАЛИЗАЦИЯ[[#This Row],[ЖАМИ]]-РЕАЛИЗАЦИЯ[[#This Row],[ЖАМИ2]]</f>
        <v>0</v>
      </c>
      <c r="L877" s="31"/>
    </row>
    <row r="878" spans="3:12" ht="15" customHeight="1" x14ac:dyDescent="0.3">
      <c r="C878" s="99"/>
      <c r="D878" s="99"/>
      <c r="G878" s="50">
        <f>РЕАЛИЗАЦИЯ[[#This Row],[СОНИ]]*РЕАЛИЗАЦИЯ[[#This Row],[НАРХИ]]</f>
        <v>0</v>
      </c>
      <c r="I878" s="94"/>
      <c r="J878" s="31">
        <f>РЕАЛИЗАЦИЯ[[#This Row],[СОНИ]]*РЕАЛИЗАЦИЯ[[#This Row],[ТАННАРХ]]</f>
        <v>0</v>
      </c>
      <c r="K878" s="31">
        <f>РЕАЛИЗАЦИЯ[[#This Row],[ЖАМИ]]-РЕАЛИЗАЦИЯ[[#This Row],[ЖАМИ2]]</f>
        <v>0</v>
      </c>
      <c r="L878" s="31"/>
    </row>
    <row r="879" spans="3:12" ht="15" customHeight="1" x14ac:dyDescent="0.3">
      <c r="C879" s="99"/>
      <c r="D879" s="99"/>
      <c r="G879" s="50">
        <f>РЕАЛИЗАЦИЯ[[#This Row],[СОНИ]]*РЕАЛИЗАЦИЯ[[#This Row],[НАРХИ]]</f>
        <v>0</v>
      </c>
      <c r="I879" s="94"/>
      <c r="J879" s="31">
        <f>РЕАЛИЗАЦИЯ[[#This Row],[СОНИ]]*РЕАЛИЗАЦИЯ[[#This Row],[ТАННАРХ]]</f>
        <v>0</v>
      </c>
      <c r="K879" s="31">
        <f>РЕАЛИЗАЦИЯ[[#This Row],[ЖАМИ]]-РЕАЛИЗАЦИЯ[[#This Row],[ЖАМИ2]]</f>
        <v>0</v>
      </c>
      <c r="L879" s="31"/>
    </row>
    <row r="880" spans="3:12" ht="15" customHeight="1" x14ac:dyDescent="0.3">
      <c r="C880" s="99"/>
      <c r="D880" s="99"/>
      <c r="G880" s="50">
        <f>РЕАЛИЗАЦИЯ[[#This Row],[СОНИ]]*РЕАЛИЗАЦИЯ[[#This Row],[НАРХИ]]</f>
        <v>0</v>
      </c>
      <c r="I880" s="94"/>
      <c r="J880" s="31">
        <f>РЕАЛИЗАЦИЯ[[#This Row],[СОНИ]]*РЕАЛИЗАЦИЯ[[#This Row],[ТАННАРХ]]</f>
        <v>0</v>
      </c>
      <c r="K880" s="31">
        <f>РЕАЛИЗАЦИЯ[[#This Row],[ЖАМИ]]-РЕАЛИЗАЦИЯ[[#This Row],[ЖАМИ2]]</f>
        <v>0</v>
      </c>
      <c r="L880" s="31"/>
    </row>
    <row r="881" spans="3:12" ht="15" customHeight="1" x14ac:dyDescent="0.3">
      <c r="C881" s="99"/>
      <c r="D881" s="99"/>
      <c r="G881" s="50">
        <f>РЕАЛИЗАЦИЯ[[#This Row],[СОНИ]]*РЕАЛИЗАЦИЯ[[#This Row],[НАРХИ]]</f>
        <v>0</v>
      </c>
      <c r="I881" s="94"/>
      <c r="J881" s="31">
        <f>РЕАЛИЗАЦИЯ[[#This Row],[СОНИ]]*РЕАЛИЗАЦИЯ[[#This Row],[ТАННАРХ]]</f>
        <v>0</v>
      </c>
      <c r="K881" s="31">
        <f>РЕАЛИЗАЦИЯ[[#This Row],[ЖАМИ]]-РЕАЛИЗАЦИЯ[[#This Row],[ЖАМИ2]]</f>
        <v>0</v>
      </c>
      <c r="L881" s="31"/>
    </row>
    <row r="882" spans="3:12" ht="15" customHeight="1" x14ac:dyDescent="0.3">
      <c r="C882" s="99"/>
      <c r="D882" s="99"/>
      <c r="G882" s="50">
        <f>РЕАЛИЗАЦИЯ[[#This Row],[СОНИ]]*РЕАЛИЗАЦИЯ[[#This Row],[НАРХИ]]</f>
        <v>0</v>
      </c>
      <c r="I882" s="94"/>
      <c r="J882" s="31">
        <f>РЕАЛИЗАЦИЯ[[#This Row],[СОНИ]]*РЕАЛИЗАЦИЯ[[#This Row],[ТАННАРХ]]</f>
        <v>0</v>
      </c>
      <c r="K882" s="31">
        <f>РЕАЛИЗАЦИЯ[[#This Row],[ЖАМИ]]-РЕАЛИЗАЦИЯ[[#This Row],[ЖАМИ2]]</f>
        <v>0</v>
      </c>
      <c r="L882" s="31"/>
    </row>
    <row r="883" spans="3:12" ht="15" customHeight="1" x14ac:dyDescent="0.3">
      <c r="C883" s="99"/>
      <c r="D883" s="99"/>
      <c r="G883" s="50">
        <f>РЕАЛИЗАЦИЯ[[#This Row],[СОНИ]]*РЕАЛИЗАЦИЯ[[#This Row],[НАРХИ]]</f>
        <v>0</v>
      </c>
      <c r="I883" s="94"/>
      <c r="J883" s="31">
        <f>РЕАЛИЗАЦИЯ[[#This Row],[СОНИ]]*РЕАЛИЗАЦИЯ[[#This Row],[ТАННАРХ]]</f>
        <v>0</v>
      </c>
      <c r="K883" s="31">
        <f>РЕАЛИЗАЦИЯ[[#This Row],[ЖАМИ]]-РЕАЛИЗАЦИЯ[[#This Row],[ЖАМИ2]]</f>
        <v>0</v>
      </c>
      <c r="L883" s="31"/>
    </row>
    <row r="884" spans="3:12" ht="15" customHeight="1" x14ac:dyDescent="0.3">
      <c r="C884" s="99"/>
      <c r="D884" s="99"/>
      <c r="G884" s="50">
        <f>РЕАЛИЗАЦИЯ[[#This Row],[СОНИ]]*РЕАЛИЗАЦИЯ[[#This Row],[НАРХИ]]</f>
        <v>0</v>
      </c>
      <c r="I884" s="94"/>
      <c r="J884" s="31">
        <f>РЕАЛИЗАЦИЯ[[#This Row],[СОНИ]]*РЕАЛИЗАЦИЯ[[#This Row],[ТАННАРХ]]</f>
        <v>0</v>
      </c>
      <c r="K884" s="31">
        <f>РЕАЛИЗАЦИЯ[[#This Row],[ЖАМИ]]-РЕАЛИЗАЦИЯ[[#This Row],[ЖАМИ2]]</f>
        <v>0</v>
      </c>
      <c r="L884" s="31"/>
    </row>
    <row r="885" spans="3:12" ht="15" customHeight="1" x14ac:dyDescent="0.3">
      <c r="C885" s="99"/>
      <c r="D885" s="99"/>
      <c r="G885" s="50">
        <f>РЕАЛИЗАЦИЯ[[#This Row],[СОНИ]]*РЕАЛИЗАЦИЯ[[#This Row],[НАРХИ]]</f>
        <v>0</v>
      </c>
      <c r="I885" s="94"/>
      <c r="J885" s="31">
        <f>РЕАЛИЗАЦИЯ[[#This Row],[СОНИ]]*РЕАЛИЗАЦИЯ[[#This Row],[ТАННАРХ]]</f>
        <v>0</v>
      </c>
      <c r="K885" s="31">
        <f>РЕАЛИЗАЦИЯ[[#This Row],[ЖАМИ]]-РЕАЛИЗАЦИЯ[[#This Row],[ЖАМИ2]]</f>
        <v>0</v>
      </c>
      <c r="L885" s="31"/>
    </row>
    <row r="886" spans="3:12" ht="15" customHeight="1" x14ac:dyDescent="0.3">
      <c r="C886" s="99"/>
      <c r="D886" s="99"/>
      <c r="G886" s="50">
        <f>РЕАЛИЗАЦИЯ[[#This Row],[СОНИ]]*РЕАЛИЗАЦИЯ[[#This Row],[НАРХИ]]</f>
        <v>0</v>
      </c>
      <c r="I886" s="94"/>
      <c r="J886" s="31">
        <f>РЕАЛИЗАЦИЯ[[#This Row],[СОНИ]]*РЕАЛИЗАЦИЯ[[#This Row],[ТАННАРХ]]</f>
        <v>0</v>
      </c>
      <c r="K886" s="31">
        <f>РЕАЛИЗАЦИЯ[[#This Row],[ЖАМИ]]-РЕАЛИЗАЦИЯ[[#This Row],[ЖАМИ2]]</f>
        <v>0</v>
      </c>
      <c r="L886" s="31"/>
    </row>
    <row r="887" spans="3:12" ht="15" customHeight="1" x14ac:dyDescent="0.3">
      <c r="C887" s="99"/>
      <c r="D887" s="99"/>
      <c r="G887" s="50">
        <f>РЕАЛИЗАЦИЯ[[#This Row],[СОНИ]]*РЕАЛИЗАЦИЯ[[#This Row],[НАРХИ]]</f>
        <v>0</v>
      </c>
      <c r="I887" s="94"/>
      <c r="J887" s="31">
        <f>РЕАЛИЗАЦИЯ[[#This Row],[СОНИ]]*РЕАЛИЗАЦИЯ[[#This Row],[ТАННАРХ]]</f>
        <v>0</v>
      </c>
      <c r="K887" s="31">
        <f>РЕАЛИЗАЦИЯ[[#This Row],[ЖАМИ]]-РЕАЛИЗАЦИЯ[[#This Row],[ЖАМИ2]]</f>
        <v>0</v>
      </c>
      <c r="L887" s="31"/>
    </row>
    <row r="888" spans="3:12" ht="15" customHeight="1" x14ac:dyDescent="0.3">
      <c r="C888" s="99"/>
      <c r="D888" s="99"/>
      <c r="G888" s="50">
        <f>РЕАЛИЗАЦИЯ[[#This Row],[СОНИ]]*РЕАЛИЗАЦИЯ[[#This Row],[НАРХИ]]</f>
        <v>0</v>
      </c>
      <c r="I888" s="94"/>
      <c r="J888" s="31">
        <f>РЕАЛИЗАЦИЯ[[#This Row],[СОНИ]]*РЕАЛИЗАЦИЯ[[#This Row],[ТАННАРХ]]</f>
        <v>0</v>
      </c>
      <c r="K888" s="31">
        <f>РЕАЛИЗАЦИЯ[[#This Row],[ЖАМИ]]-РЕАЛИЗАЦИЯ[[#This Row],[ЖАМИ2]]</f>
        <v>0</v>
      </c>
      <c r="L888" s="31"/>
    </row>
    <row r="889" spans="3:12" ht="15" customHeight="1" x14ac:dyDescent="0.3">
      <c r="C889" s="99"/>
      <c r="D889" s="99"/>
      <c r="G889" s="50">
        <f>РЕАЛИЗАЦИЯ[[#This Row],[СОНИ]]*РЕАЛИЗАЦИЯ[[#This Row],[НАРХИ]]</f>
        <v>0</v>
      </c>
      <c r="I889" s="94"/>
      <c r="J889" s="31">
        <f>РЕАЛИЗАЦИЯ[[#This Row],[СОНИ]]*РЕАЛИЗАЦИЯ[[#This Row],[ТАННАРХ]]</f>
        <v>0</v>
      </c>
      <c r="K889" s="31">
        <f>РЕАЛИЗАЦИЯ[[#This Row],[ЖАМИ]]-РЕАЛИЗАЦИЯ[[#This Row],[ЖАМИ2]]</f>
        <v>0</v>
      </c>
      <c r="L889" s="31"/>
    </row>
    <row r="890" spans="3:12" ht="15" customHeight="1" x14ac:dyDescent="0.3">
      <c r="C890" s="99"/>
      <c r="D890" s="99"/>
      <c r="G890" s="50">
        <f>РЕАЛИЗАЦИЯ[[#This Row],[СОНИ]]*РЕАЛИЗАЦИЯ[[#This Row],[НАРХИ]]</f>
        <v>0</v>
      </c>
      <c r="I890" s="94"/>
      <c r="J890" s="31">
        <f>РЕАЛИЗАЦИЯ[[#This Row],[СОНИ]]*РЕАЛИЗАЦИЯ[[#This Row],[ТАННАРХ]]</f>
        <v>0</v>
      </c>
      <c r="K890" s="31">
        <f>РЕАЛИЗАЦИЯ[[#This Row],[ЖАМИ]]-РЕАЛИЗАЦИЯ[[#This Row],[ЖАМИ2]]</f>
        <v>0</v>
      </c>
      <c r="L890" s="31"/>
    </row>
    <row r="891" spans="3:12" ht="15" customHeight="1" x14ac:dyDescent="0.3">
      <c r="C891" s="99"/>
      <c r="D891" s="99"/>
      <c r="G891" s="50">
        <f>РЕАЛИЗАЦИЯ[[#This Row],[СОНИ]]*РЕАЛИЗАЦИЯ[[#This Row],[НАРХИ]]</f>
        <v>0</v>
      </c>
      <c r="I891" s="94"/>
      <c r="J891" s="31">
        <f>РЕАЛИЗАЦИЯ[[#This Row],[СОНИ]]*РЕАЛИЗАЦИЯ[[#This Row],[ТАННАРХ]]</f>
        <v>0</v>
      </c>
      <c r="K891" s="31">
        <f>РЕАЛИЗАЦИЯ[[#This Row],[ЖАМИ]]-РЕАЛИЗАЦИЯ[[#This Row],[ЖАМИ2]]</f>
        <v>0</v>
      </c>
      <c r="L891" s="31"/>
    </row>
    <row r="892" spans="3:12" ht="15" customHeight="1" x14ac:dyDescent="0.3">
      <c r="C892" s="99"/>
      <c r="D892" s="99"/>
      <c r="G892" s="50">
        <f>РЕАЛИЗАЦИЯ[[#This Row],[СОНИ]]*РЕАЛИЗАЦИЯ[[#This Row],[НАРХИ]]</f>
        <v>0</v>
      </c>
      <c r="I892" s="94"/>
      <c r="J892" s="31">
        <f>РЕАЛИЗАЦИЯ[[#This Row],[СОНИ]]*РЕАЛИЗАЦИЯ[[#This Row],[ТАННАРХ]]</f>
        <v>0</v>
      </c>
      <c r="K892" s="31">
        <f>РЕАЛИЗАЦИЯ[[#This Row],[ЖАМИ]]-РЕАЛИЗАЦИЯ[[#This Row],[ЖАМИ2]]</f>
        <v>0</v>
      </c>
      <c r="L892" s="31"/>
    </row>
    <row r="893" spans="3:12" ht="15" customHeight="1" x14ac:dyDescent="0.3">
      <c r="C893" s="99"/>
      <c r="D893" s="99"/>
      <c r="G893" s="50">
        <f>РЕАЛИЗАЦИЯ[[#This Row],[СОНИ]]*РЕАЛИЗАЦИЯ[[#This Row],[НАРХИ]]</f>
        <v>0</v>
      </c>
      <c r="I893" s="94"/>
      <c r="J893" s="31">
        <f>РЕАЛИЗАЦИЯ[[#This Row],[СОНИ]]*РЕАЛИЗАЦИЯ[[#This Row],[ТАННАРХ]]</f>
        <v>0</v>
      </c>
      <c r="K893" s="31">
        <f>РЕАЛИЗАЦИЯ[[#This Row],[ЖАМИ]]-РЕАЛИЗАЦИЯ[[#This Row],[ЖАМИ2]]</f>
        <v>0</v>
      </c>
      <c r="L893" s="31"/>
    </row>
    <row r="894" spans="3:12" ht="15" customHeight="1" x14ac:dyDescent="0.3">
      <c r="C894" s="99"/>
      <c r="D894" s="99"/>
      <c r="G894" s="50">
        <f>РЕАЛИЗАЦИЯ[[#This Row],[СОНИ]]*РЕАЛИЗАЦИЯ[[#This Row],[НАРХИ]]</f>
        <v>0</v>
      </c>
      <c r="I894" s="94"/>
      <c r="J894" s="31">
        <f>РЕАЛИЗАЦИЯ[[#This Row],[СОНИ]]*РЕАЛИЗАЦИЯ[[#This Row],[ТАННАРХ]]</f>
        <v>0</v>
      </c>
      <c r="K894" s="31">
        <f>РЕАЛИЗАЦИЯ[[#This Row],[ЖАМИ]]-РЕАЛИЗАЦИЯ[[#This Row],[ЖАМИ2]]</f>
        <v>0</v>
      </c>
      <c r="L894" s="31"/>
    </row>
    <row r="895" spans="3:12" ht="15" customHeight="1" x14ac:dyDescent="0.3">
      <c r="C895" s="99"/>
      <c r="D895" s="99"/>
      <c r="G895" s="50">
        <f>РЕАЛИЗАЦИЯ[[#This Row],[СОНИ]]*РЕАЛИЗАЦИЯ[[#This Row],[НАРХИ]]</f>
        <v>0</v>
      </c>
      <c r="I895" s="94"/>
      <c r="J895" s="31">
        <f>РЕАЛИЗАЦИЯ[[#This Row],[СОНИ]]*РЕАЛИЗАЦИЯ[[#This Row],[ТАННАРХ]]</f>
        <v>0</v>
      </c>
      <c r="K895" s="31">
        <f>РЕАЛИЗАЦИЯ[[#This Row],[ЖАМИ]]-РЕАЛИЗАЦИЯ[[#This Row],[ЖАМИ2]]</f>
        <v>0</v>
      </c>
      <c r="L895" s="31"/>
    </row>
    <row r="896" spans="3:12" ht="15" customHeight="1" x14ac:dyDescent="0.3">
      <c r="C896" s="99"/>
      <c r="D896" s="99"/>
      <c r="G896" s="50">
        <f>РЕАЛИЗАЦИЯ[[#This Row],[СОНИ]]*РЕАЛИЗАЦИЯ[[#This Row],[НАРХИ]]</f>
        <v>0</v>
      </c>
      <c r="I896" s="94"/>
      <c r="J896" s="31">
        <f>РЕАЛИЗАЦИЯ[[#This Row],[СОНИ]]*РЕАЛИЗАЦИЯ[[#This Row],[ТАННАРХ]]</f>
        <v>0</v>
      </c>
      <c r="K896" s="31">
        <f>РЕАЛИЗАЦИЯ[[#This Row],[ЖАМИ]]-РЕАЛИЗАЦИЯ[[#This Row],[ЖАМИ2]]</f>
        <v>0</v>
      </c>
      <c r="L896" s="31"/>
    </row>
    <row r="897" spans="3:12" ht="15" customHeight="1" x14ac:dyDescent="0.3">
      <c r="C897" s="99"/>
      <c r="D897" s="99"/>
      <c r="G897" s="50">
        <f>РЕАЛИЗАЦИЯ[[#This Row],[СОНИ]]*РЕАЛИЗАЦИЯ[[#This Row],[НАРХИ]]</f>
        <v>0</v>
      </c>
      <c r="I897" s="94"/>
      <c r="J897" s="31">
        <f>РЕАЛИЗАЦИЯ[[#This Row],[СОНИ]]*РЕАЛИЗАЦИЯ[[#This Row],[ТАННАРХ]]</f>
        <v>0</v>
      </c>
      <c r="K897" s="31">
        <f>РЕАЛИЗАЦИЯ[[#This Row],[ЖАМИ]]-РЕАЛИЗАЦИЯ[[#This Row],[ЖАМИ2]]</f>
        <v>0</v>
      </c>
      <c r="L897" s="31"/>
    </row>
    <row r="898" spans="3:12" ht="15" customHeight="1" x14ac:dyDescent="0.3">
      <c r="C898" s="99"/>
      <c r="D898" s="99"/>
      <c r="G898" s="50">
        <f>РЕАЛИЗАЦИЯ[[#This Row],[СОНИ]]*РЕАЛИЗАЦИЯ[[#This Row],[НАРХИ]]</f>
        <v>0</v>
      </c>
      <c r="I898" s="94"/>
      <c r="J898" s="31">
        <f>РЕАЛИЗАЦИЯ[[#This Row],[СОНИ]]*РЕАЛИЗАЦИЯ[[#This Row],[ТАННАРХ]]</f>
        <v>0</v>
      </c>
      <c r="K898" s="31">
        <f>РЕАЛИЗАЦИЯ[[#This Row],[ЖАМИ]]-РЕАЛИЗАЦИЯ[[#This Row],[ЖАМИ2]]</f>
        <v>0</v>
      </c>
      <c r="L898" s="31"/>
    </row>
    <row r="899" spans="3:12" ht="15" customHeight="1" x14ac:dyDescent="0.3">
      <c r="C899" s="99"/>
      <c r="D899" s="99"/>
      <c r="G899" s="50">
        <f>РЕАЛИЗАЦИЯ[[#This Row],[СОНИ]]*РЕАЛИЗАЦИЯ[[#This Row],[НАРХИ]]</f>
        <v>0</v>
      </c>
      <c r="I899" s="94"/>
      <c r="J899" s="31">
        <f>РЕАЛИЗАЦИЯ[[#This Row],[СОНИ]]*РЕАЛИЗАЦИЯ[[#This Row],[ТАННАРХ]]</f>
        <v>0</v>
      </c>
      <c r="K899" s="31">
        <f>РЕАЛИЗАЦИЯ[[#This Row],[ЖАМИ]]-РЕАЛИЗАЦИЯ[[#This Row],[ЖАМИ2]]</f>
        <v>0</v>
      </c>
      <c r="L899" s="31"/>
    </row>
    <row r="900" spans="3:12" ht="15" customHeight="1" x14ac:dyDescent="0.3">
      <c r="C900" s="99"/>
      <c r="D900" s="99"/>
      <c r="G900" s="50">
        <f>РЕАЛИЗАЦИЯ[[#This Row],[СОНИ]]*РЕАЛИЗАЦИЯ[[#This Row],[НАРХИ]]</f>
        <v>0</v>
      </c>
      <c r="I900" s="94"/>
      <c r="J900" s="31">
        <f>РЕАЛИЗАЦИЯ[[#This Row],[СОНИ]]*РЕАЛИЗАЦИЯ[[#This Row],[ТАННАРХ]]</f>
        <v>0</v>
      </c>
      <c r="K900" s="31">
        <f>РЕАЛИЗАЦИЯ[[#This Row],[ЖАМИ]]-РЕАЛИЗАЦИЯ[[#This Row],[ЖАМИ2]]</f>
        <v>0</v>
      </c>
      <c r="L900" s="31"/>
    </row>
    <row r="901" spans="3:12" ht="15" customHeight="1" x14ac:dyDescent="0.3">
      <c r="C901" s="99"/>
      <c r="D901" s="99"/>
      <c r="G901" s="50">
        <f>РЕАЛИЗАЦИЯ[[#This Row],[СОНИ]]*РЕАЛИЗАЦИЯ[[#This Row],[НАРХИ]]</f>
        <v>0</v>
      </c>
      <c r="I901" s="94"/>
      <c r="J901" s="31">
        <f>РЕАЛИЗАЦИЯ[[#This Row],[СОНИ]]*РЕАЛИЗАЦИЯ[[#This Row],[ТАННАРХ]]</f>
        <v>0</v>
      </c>
      <c r="K901" s="31">
        <f>РЕАЛИЗАЦИЯ[[#This Row],[ЖАМИ]]-РЕАЛИЗАЦИЯ[[#This Row],[ЖАМИ2]]</f>
        <v>0</v>
      </c>
      <c r="L901" s="31"/>
    </row>
    <row r="902" spans="3:12" ht="15" customHeight="1" x14ac:dyDescent="0.3">
      <c r="C902" s="99"/>
      <c r="D902" s="99"/>
      <c r="G902" s="50">
        <f>РЕАЛИЗАЦИЯ[[#This Row],[СОНИ]]*РЕАЛИЗАЦИЯ[[#This Row],[НАРХИ]]</f>
        <v>0</v>
      </c>
      <c r="I902" s="94"/>
      <c r="J902" s="31">
        <f>РЕАЛИЗАЦИЯ[[#This Row],[СОНИ]]*РЕАЛИЗАЦИЯ[[#This Row],[ТАННАРХ]]</f>
        <v>0</v>
      </c>
      <c r="K902" s="31">
        <f>РЕАЛИЗАЦИЯ[[#This Row],[ЖАМИ]]-РЕАЛИЗАЦИЯ[[#This Row],[ЖАМИ2]]</f>
        <v>0</v>
      </c>
      <c r="L902" s="31"/>
    </row>
    <row r="903" spans="3:12" ht="15" customHeight="1" x14ac:dyDescent="0.3">
      <c r="C903" s="99"/>
      <c r="D903" s="99"/>
      <c r="G903" s="50">
        <f>РЕАЛИЗАЦИЯ[[#This Row],[СОНИ]]*РЕАЛИЗАЦИЯ[[#This Row],[НАРХИ]]</f>
        <v>0</v>
      </c>
      <c r="I903" s="94"/>
      <c r="J903" s="31">
        <f>РЕАЛИЗАЦИЯ[[#This Row],[СОНИ]]*РЕАЛИЗАЦИЯ[[#This Row],[ТАННАРХ]]</f>
        <v>0</v>
      </c>
      <c r="K903" s="31">
        <f>РЕАЛИЗАЦИЯ[[#This Row],[ЖАМИ]]-РЕАЛИЗАЦИЯ[[#This Row],[ЖАМИ2]]</f>
        <v>0</v>
      </c>
      <c r="L903" s="31"/>
    </row>
    <row r="904" spans="3:12" ht="15" customHeight="1" x14ac:dyDescent="0.3">
      <c r="C904" s="99"/>
      <c r="D904" s="99"/>
      <c r="G904" s="50">
        <f>РЕАЛИЗАЦИЯ[[#This Row],[СОНИ]]*РЕАЛИЗАЦИЯ[[#This Row],[НАРХИ]]</f>
        <v>0</v>
      </c>
      <c r="I904" s="94"/>
      <c r="J904" s="31">
        <f>РЕАЛИЗАЦИЯ[[#This Row],[СОНИ]]*РЕАЛИЗАЦИЯ[[#This Row],[ТАННАРХ]]</f>
        <v>0</v>
      </c>
      <c r="K904" s="31">
        <f>РЕАЛИЗАЦИЯ[[#This Row],[ЖАМИ]]-РЕАЛИЗАЦИЯ[[#This Row],[ЖАМИ2]]</f>
        <v>0</v>
      </c>
      <c r="L904" s="31"/>
    </row>
    <row r="905" spans="3:12" ht="15" customHeight="1" x14ac:dyDescent="0.3">
      <c r="C905" s="99"/>
      <c r="D905" s="99"/>
      <c r="G905" s="50">
        <f>РЕАЛИЗАЦИЯ[[#This Row],[СОНИ]]*РЕАЛИЗАЦИЯ[[#This Row],[НАРХИ]]</f>
        <v>0</v>
      </c>
      <c r="I905" s="94"/>
      <c r="J905" s="31">
        <f>РЕАЛИЗАЦИЯ[[#This Row],[СОНИ]]*РЕАЛИЗАЦИЯ[[#This Row],[ТАННАРХ]]</f>
        <v>0</v>
      </c>
      <c r="K905" s="31">
        <f>РЕАЛИЗАЦИЯ[[#This Row],[ЖАМИ]]-РЕАЛИЗАЦИЯ[[#This Row],[ЖАМИ2]]</f>
        <v>0</v>
      </c>
      <c r="L905" s="31"/>
    </row>
    <row r="906" spans="3:12" ht="15" customHeight="1" x14ac:dyDescent="0.3">
      <c r="C906" s="99"/>
      <c r="D906" s="99"/>
      <c r="G906" s="50">
        <f>РЕАЛИЗАЦИЯ[[#This Row],[СОНИ]]*РЕАЛИЗАЦИЯ[[#This Row],[НАРХИ]]</f>
        <v>0</v>
      </c>
      <c r="I906" s="94"/>
      <c r="J906" s="31">
        <f>РЕАЛИЗАЦИЯ[[#This Row],[СОНИ]]*РЕАЛИЗАЦИЯ[[#This Row],[ТАННАРХ]]</f>
        <v>0</v>
      </c>
      <c r="K906" s="31">
        <f>РЕАЛИЗАЦИЯ[[#This Row],[ЖАМИ]]-РЕАЛИЗАЦИЯ[[#This Row],[ЖАМИ2]]</f>
        <v>0</v>
      </c>
      <c r="L906" s="31"/>
    </row>
    <row r="907" spans="3:12" ht="15" customHeight="1" x14ac:dyDescent="0.3">
      <c r="C907" s="148"/>
      <c r="D907" s="148"/>
      <c r="G907" s="50">
        <f>РЕАЛИЗАЦИЯ[[#This Row],[СОНИ]]*РЕАЛИЗАЦИЯ[[#This Row],[НАРХИ]]</f>
        <v>0</v>
      </c>
      <c r="I907" s="132"/>
      <c r="J907" s="31">
        <f>РЕАЛИЗАЦИЯ[[#This Row],[СОНИ]]*РЕАЛИЗАЦИЯ[[#This Row],[ТАННАРХ]]</f>
        <v>0</v>
      </c>
      <c r="K907" s="31">
        <f>РЕАЛИЗАЦИЯ[[#This Row],[ЖАМИ]]-РЕАЛИЗАЦИЯ[[#This Row],[ЖАМИ2]]</f>
        <v>0</v>
      </c>
      <c r="L907" s="31"/>
    </row>
    <row r="908" spans="3:12" ht="15" customHeight="1" x14ac:dyDescent="0.3">
      <c r="C908" s="99"/>
      <c r="D908" s="99"/>
      <c r="G908" s="50">
        <f>РЕАЛИЗАЦИЯ[[#This Row],[СОНИ]]*РЕАЛИЗАЦИЯ[[#This Row],[НАРХИ]]</f>
        <v>0</v>
      </c>
      <c r="I908" s="94"/>
      <c r="J908" s="31">
        <f>РЕАЛИЗАЦИЯ[[#This Row],[СОНИ]]*РЕАЛИЗАЦИЯ[[#This Row],[ТАННАРХ]]</f>
        <v>0</v>
      </c>
      <c r="K908" s="31">
        <f>РЕАЛИЗАЦИЯ[[#This Row],[ЖАМИ]]-РЕАЛИЗАЦИЯ[[#This Row],[ЖАМИ2]]</f>
        <v>0</v>
      </c>
      <c r="L908" s="31"/>
    </row>
    <row r="909" spans="3:12" ht="15" customHeight="1" x14ac:dyDescent="0.3">
      <c r="C909" s="148"/>
      <c r="D909" s="148"/>
      <c r="G909" s="50">
        <f>РЕАЛИЗАЦИЯ[[#This Row],[СОНИ]]*РЕАЛИЗАЦИЯ[[#This Row],[НАРХИ]]</f>
        <v>0</v>
      </c>
      <c r="I909" s="132"/>
      <c r="J909" s="31">
        <f>РЕАЛИЗАЦИЯ[[#This Row],[СОНИ]]*РЕАЛИЗАЦИЯ[[#This Row],[ТАННАРХ]]</f>
        <v>0</v>
      </c>
      <c r="K909" s="31">
        <f>РЕАЛИЗАЦИЯ[[#This Row],[ЖАМИ]]-РЕАЛИЗАЦИЯ[[#This Row],[ЖАМИ2]]</f>
        <v>0</v>
      </c>
      <c r="L909" s="31"/>
    </row>
    <row r="910" spans="3:12" ht="15" customHeight="1" x14ac:dyDescent="0.3">
      <c r="C910" s="148"/>
      <c r="D910" s="148"/>
      <c r="G910" s="50">
        <f>РЕАЛИЗАЦИЯ[[#This Row],[СОНИ]]*РЕАЛИЗАЦИЯ[[#This Row],[НАРХИ]]</f>
        <v>0</v>
      </c>
      <c r="I910" s="132"/>
      <c r="J910" s="31">
        <f>РЕАЛИЗАЦИЯ[[#This Row],[СОНИ]]*РЕАЛИЗАЦИЯ[[#This Row],[ТАННАРХ]]</f>
        <v>0</v>
      </c>
      <c r="K910" s="31">
        <f>РЕАЛИЗАЦИЯ[[#This Row],[ЖАМИ]]-РЕАЛИЗАЦИЯ[[#This Row],[ЖАМИ2]]</f>
        <v>0</v>
      </c>
      <c r="L910" s="31"/>
    </row>
    <row r="911" spans="3:12" ht="15" customHeight="1" x14ac:dyDescent="0.3">
      <c r="C911" s="99"/>
      <c r="D911" s="99"/>
      <c r="G911" s="50">
        <f>РЕАЛИЗАЦИЯ[[#This Row],[СОНИ]]*РЕАЛИЗАЦИЯ[[#This Row],[НАРХИ]]</f>
        <v>0</v>
      </c>
      <c r="I911" s="94"/>
      <c r="J911" s="31">
        <f>РЕАЛИЗАЦИЯ[[#This Row],[СОНИ]]*РЕАЛИЗАЦИЯ[[#This Row],[ТАННАРХ]]</f>
        <v>0</v>
      </c>
      <c r="K911" s="31">
        <f>РЕАЛИЗАЦИЯ[[#This Row],[ЖАМИ]]-РЕАЛИЗАЦИЯ[[#This Row],[ЖАМИ2]]</f>
        <v>0</v>
      </c>
      <c r="L911" s="31"/>
    </row>
    <row r="912" spans="3:12" ht="15" customHeight="1" x14ac:dyDescent="0.3">
      <c r="C912" s="99"/>
      <c r="D912" s="99"/>
      <c r="G912" s="50">
        <f>РЕАЛИЗАЦИЯ[[#This Row],[СОНИ]]*РЕАЛИЗАЦИЯ[[#This Row],[НАРХИ]]</f>
        <v>0</v>
      </c>
      <c r="I912" s="94"/>
      <c r="J912" s="31">
        <f>РЕАЛИЗАЦИЯ[[#This Row],[СОНИ]]*РЕАЛИЗАЦИЯ[[#This Row],[ТАННАРХ]]</f>
        <v>0</v>
      </c>
      <c r="K912" s="31">
        <f>РЕАЛИЗАЦИЯ[[#This Row],[ЖАМИ]]-РЕАЛИЗАЦИЯ[[#This Row],[ЖАМИ2]]</f>
        <v>0</v>
      </c>
      <c r="L912" s="31"/>
    </row>
    <row r="913" spans="3:12" ht="15" customHeight="1" x14ac:dyDescent="0.3">
      <c r="C913" s="99"/>
      <c r="D913" s="99"/>
      <c r="G913" s="50">
        <f>РЕАЛИЗАЦИЯ[[#This Row],[СОНИ]]*РЕАЛИЗАЦИЯ[[#This Row],[НАРХИ]]</f>
        <v>0</v>
      </c>
      <c r="I913" s="94"/>
      <c r="J913" s="31">
        <f>РЕАЛИЗАЦИЯ[[#This Row],[СОНИ]]*РЕАЛИЗАЦИЯ[[#This Row],[ТАННАРХ]]</f>
        <v>0</v>
      </c>
      <c r="K913" s="31">
        <f>РЕАЛИЗАЦИЯ[[#This Row],[ЖАМИ]]-РЕАЛИЗАЦИЯ[[#This Row],[ЖАМИ2]]</f>
        <v>0</v>
      </c>
      <c r="L913" s="31"/>
    </row>
    <row r="914" spans="3:12" ht="15" customHeight="1" x14ac:dyDescent="0.3">
      <c r="C914" s="99"/>
      <c r="D914" s="99"/>
      <c r="G914" s="50">
        <f>РЕАЛИЗАЦИЯ[[#This Row],[СОНИ]]*РЕАЛИЗАЦИЯ[[#This Row],[НАРХИ]]</f>
        <v>0</v>
      </c>
      <c r="I914" s="94"/>
      <c r="J914" s="31">
        <f>РЕАЛИЗАЦИЯ[[#This Row],[СОНИ]]*РЕАЛИЗАЦИЯ[[#This Row],[ТАННАРХ]]</f>
        <v>0</v>
      </c>
      <c r="K914" s="31">
        <f>РЕАЛИЗАЦИЯ[[#This Row],[ЖАМИ]]-РЕАЛИЗАЦИЯ[[#This Row],[ЖАМИ2]]</f>
        <v>0</v>
      </c>
      <c r="L914" s="31"/>
    </row>
    <row r="915" spans="3:12" ht="15" customHeight="1" x14ac:dyDescent="0.3">
      <c r="C915" s="99"/>
      <c r="D915" s="99"/>
      <c r="G915" s="50">
        <f>РЕАЛИЗАЦИЯ[[#This Row],[СОНИ]]*РЕАЛИЗАЦИЯ[[#This Row],[НАРХИ]]</f>
        <v>0</v>
      </c>
      <c r="I915" s="94"/>
      <c r="J915" s="31">
        <f>РЕАЛИЗАЦИЯ[[#This Row],[СОНИ]]*РЕАЛИЗАЦИЯ[[#This Row],[ТАННАРХ]]</f>
        <v>0</v>
      </c>
      <c r="K915" s="31">
        <f>РЕАЛИЗАЦИЯ[[#This Row],[ЖАМИ]]-РЕАЛИЗАЦИЯ[[#This Row],[ЖАМИ2]]</f>
        <v>0</v>
      </c>
      <c r="L915" s="31"/>
    </row>
    <row r="916" spans="3:12" ht="15" customHeight="1" x14ac:dyDescent="0.3">
      <c r="C916" s="99"/>
      <c r="D916" s="99"/>
      <c r="G916" s="50">
        <f>РЕАЛИЗАЦИЯ[[#This Row],[СОНИ]]*РЕАЛИЗАЦИЯ[[#This Row],[НАРХИ]]</f>
        <v>0</v>
      </c>
      <c r="I916" s="94"/>
      <c r="J916" s="31">
        <f>РЕАЛИЗАЦИЯ[[#This Row],[СОНИ]]*РЕАЛИЗАЦИЯ[[#This Row],[ТАННАРХ]]</f>
        <v>0</v>
      </c>
      <c r="K916" s="31">
        <f>РЕАЛИЗАЦИЯ[[#This Row],[ЖАМИ]]-РЕАЛИЗАЦИЯ[[#This Row],[ЖАМИ2]]</f>
        <v>0</v>
      </c>
      <c r="L916" s="31"/>
    </row>
    <row r="917" spans="3:12" ht="15" customHeight="1" x14ac:dyDescent="0.3">
      <c r="C917" s="99"/>
      <c r="D917" s="99"/>
      <c r="G917" s="50">
        <f>РЕАЛИЗАЦИЯ[[#This Row],[СОНИ]]*РЕАЛИЗАЦИЯ[[#This Row],[НАРХИ]]</f>
        <v>0</v>
      </c>
      <c r="I917" s="94"/>
      <c r="J917" s="31">
        <f>РЕАЛИЗАЦИЯ[[#This Row],[СОНИ]]*РЕАЛИЗАЦИЯ[[#This Row],[ТАННАРХ]]</f>
        <v>0</v>
      </c>
      <c r="K917" s="31">
        <f>РЕАЛИЗАЦИЯ[[#This Row],[ЖАМИ]]-РЕАЛИЗАЦИЯ[[#This Row],[ЖАМИ2]]</f>
        <v>0</v>
      </c>
      <c r="L917" s="31"/>
    </row>
    <row r="918" spans="3:12" ht="15" customHeight="1" x14ac:dyDescent="0.3">
      <c r="C918" s="99"/>
      <c r="D918" s="99"/>
      <c r="G918" s="50">
        <f>РЕАЛИЗАЦИЯ[[#This Row],[СОНИ]]*РЕАЛИЗАЦИЯ[[#This Row],[НАРХИ]]</f>
        <v>0</v>
      </c>
      <c r="I918" s="94"/>
      <c r="J918" s="31">
        <f>РЕАЛИЗАЦИЯ[[#This Row],[СОНИ]]*РЕАЛИЗАЦИЯ[[#This Row],[ТАННАРХ]]</f>
        <v>0</v>
      </c>
      <c r="K918" s="31">
        <f>РЕАЛИЗАЦИЯ[[#This Row],[ЖАМИ]]-РЕАЛИЗАЦИЯ[[#This Row],[ЖАМИ2]]</f>
        <v>0</v>
      </c>
      <c r="L918" s="31"/>
    </row>
    <row r="919" spans="3:12" ht="15" customHeight="1" x14ac:dyDescent="0.3">
      <c r="C919" s="99"/>
      <c r="D919" s="99"/>
      <c r="G919" s="50">
        <f>РЕАЛИЗАЦИЯ[[#This Row],[СОНИ]]*РЕАЛИЗАЦИЯ[[#This Row],[НАРХИ]]</f>
        <v>0</v>
      </c>
      <c r="I919" s="94"/>
      <c r="J919" s="31">
        <f>РЕАЛИЗАЦИЯ[[#This Row],[СОНИ]]*РЕАЛИЗАЦИЯ[[#This Row],[ТАННАРХ]]</f>
        <v>0</v>
      </c>
      <c r="K919" s="31">
        <f>РЕАЛИЗАЦИЯ[[#This Row],[ЖАМИ]]-РЕАЛИЗАЦИЯ[[#This Row],[ЖАМИ2]]</f>
        <v>0</v>
      </c>
      <c r="L919" s="31"/>
    </row>
    <row r="920" spans="3:12" x14ac:dyDescent="0.3">
      <c r="C920" s="99"/>
      <c r="D920" s="99"/>
      <c r="G920" s="50">
        <f>РЕАЛИЗАЦИЯ[[#This Row],[СОНИ]]*РЕАЛИЗАЦИЯ[[#This Row],[НАРХИ]]</f>
        <v>0</v>
      </c>
      <c r="I920" s="94"/>
      <c r="J920" s="31">
        <f>РЕАЛИЗАЦИЯ[[#This Row],[СОНИ]]*РЕАЛИЗАЦИЯ[[#This Row],[ТАННАРХ]]</f>
        <v>0</v>
      </c>
      <c r="K920" s="31">
        <f>РЕАЛИЗАЦИЯ[[#This Row],[ЖАМИ]]-РЕАЛИЗАЦИЯ[[#This Row],[ЖАМИ2]]</f>
        <v>0</v>
      </c>
      <c r="L920" s="31"/>
    </row>
    <row r="921" spans="3:12" ht="15" customHeight="1" x14ac:dyDescent="0.3">
      <c r="C921" s="99"/>
      <c r="D921" s="99"/>
      <c r="G921" s="50">
        <f>РЕАЛИЗАЦИЯ[[#This Row],[СОНИ]]*РЕАЛИЗАЦИЯ[[#This Row],[НАРХИ]]</f>
        <v>0</v>
      </c>
      <c r="I921" s="94"/>
      <c r="J921" s="31">
        <f>РЕАЛИЗАЦИЯ[[#This Row],[СОНИ]]*РЕАЛИЗАЦИЯ[[#This Row],[ТАННАРХ]]</f>
        <v>0</v>
      </c>
      <c r="K921" s="31">
        <f>РЕАЛИЗАЦИЯ[[#This Row],[ЖАМИ]]-РЕАЛИЗАЦИЯ[[#This Row],[ЖАМИ2]]</f>
        <v>0</v>
      </c>
      <c r="L921" s="31"/>
    </row>
    <row r="922" spans="3:12" ht="15" customHeight="1" x14ac:dyDescent="0.3">
      <c r="C922" s="99"/>
      <c r="D922" s="99"/>
      <c r="G922" s="50">
        <f>РЕАЛИЗАЦИЯ[[#This Row],[СОНИ]]*РЕАЛИЗАЦИЯ[[#This Row],[НАРХИ]]</f>
        <v>0</v>
      </c>
      <c r="I922" s="94"/>
      <c r="J922" s="31">
        <f>РЕАЛИЗАЦИЯ[[#This Row],[СОНИ]]*РЕАЛИЗАЦИЯ[[#This Row],[ТАННАРХ]]</f>
        <v>0</v>
      </c>
      <c r="K922" s="31">
        <f>РЕАЛИЗАЦИЯ[[#This Row],[ЖАМИ]]-РЕАЛИЗАЦИЯ[[#This Row],[ЖАМИ2]]</f>
        <v>0</v>
      </c>
      <c r="L922" s="31"/>
    </row>
    <row r="923" spans="3:12" ht="15" customHeight="1" x14ac:dyDescent="0.3">
      <c r="C923" s="99"/>
      <c r="D923" s="99"/>
      <c r="G923" s="50">
        <f>РЕАЛИЗАЦИЯ[[#This Row],[СОНИ]]*РЕАЛИЗАЦИЯ[[#This Row],[НАРХИ]]</f>
        <v>0</v>
      </c>
      <c r="I923" s="94"/>
      <c r="J923" s="31">
        <f>РЕАЛИЗАЦИЯ[[#This Row],[СОНИ]]*РЕАЛИЗАЦИЯ[[#This Row],[ТАННАРХ]]</f>
        <v>0</v>
      </c>
      <c r="K923" s="31">
        <f>РЕАЛИЗАЦИЯ[[#This Row],[ЖАМИ]]-РЕАЛИЗАЦИЯ[[#This Row],[ЖАМИ2]]</f>
        <v>0</v>
      </c>
      <c r="L923" s="31"/>
    </row>
    <row r="924" spans="3:12" ht="15" customHeight="1" x14ac:dyDescent="0.3">
      <c r="C924" s="99"/>
      <c r="D924" s="99"/>
      <c r="G924" s="50">
        <f>РЕАЛИЗАЦИЯ[[#This Row],[СОНИ]]*РЕАЛИЗАЦИЯ[[#This Row],[НАРХИ]]</f>
        <v>0</v>
      </c>
      <c r="I924" s="94"/>
      <c r="J924" s="31">
        <f>РЕАЛИЗАЦИЯ[[#This Row],[СОНИ]]*РЕАЛИЗАЦИЯ[[#This Row],[ТАННАРХ]]</f>
        <v>0</v>
      </c>
      <c r="K924" s="31">
        <f>РЕАЛИЗАЦИЯ[[#This Row],[ЖАМИ]]-РЕАЛИЗАЦИЯ[[#This Row],[ЖАМИ2]]</f>
        <v>0</v>
      </c>
      <c r="L924" s="31"/>
    </row>
    <row r="925" spans="3:12" ht="15" customHeight="1" x14ac:dyDescent="0.3">
      <c r="C925" s="99"/>
      <c r="D925" s="99"/>
      <c r="G925" s="50">
        <f>РЕАЛИЗАЦИЯ[[#This Row],[СОНИ]]*РЕАЛИЗАЦИЯ[[#This Row],[НАРХИ]]</f>
        <v>0</v>
      </c>
      <c r="I925" s="94"/>
      <c r="J925" s="31">
        <f>РЕАЛИЗАЦИЯ[[#This Row],[СОНИ]]*РЕАЛИЗАЦИЯ[[#This Row],[ТАННАРХ]]</f>
        <v>0</v>
      </c>
      <c r="K925" s="31">
        <f>РЕАЛИЗАЦИЯ[[#This Row],[ЖАМИ]]-РЕАЛИЗАЦИЯ[[#This Row],[ЖАМИ2]]</f>
        <v>0</v>
      </c>
      <c r="L925" s="31"/>
    </row>
    <row r="926" spans="3:12" ht="15" customHeight="1" x14ac:dyDescent="0.3">
      <c r="C926" s="99"/>
      <c r="D926" s="99"/>
      <c r="G926" s="50">
        <f>РЕАЛИЗАЦИЯ[[#This Row],[СОНИ]]*РЕАЛИЗАЦИЯ[[#This Row],[НАРХИ]]</f>
        <v>0</v>
      </c>
      <c r="I926" s="94"/>
      <c r="J926" s="31">
        <f>РЕАЛИЗАЦИЯ[[#This Row],[СОНИ]]*РЕАЛИЗАЦИЯ[[#This Row],[ТАННАРХ]]</f>
        <v>0</v>
      </c>
      <c r="K926" s="31">
        <f>РЕАЛИЗАЦИЯ[[#This Row],[ЖАМИ]]-РЕАЛИЗАЦИЯ[[#This Row],[ЖАМИ2]]</f>
        <v>0</v>
      </c>
      <c r="L926" s="31"/>
    </row>
    <row r="927" spans="3:12" ht="15" customHeight="1" x14ac:dyDescent="0.3">
      <c r="C927" s="99"/>
      <c r="D927" s="99"/>
      <c r="G927" s="50">
        <f>РЕАЛИЗАЦИЯ[[#This Row],[СОНИ]]*РЕАЛИЗАЦИЯ[[#This Row],[НАРХИ]]</f>
        <v>0</v>
      </c>
      <c r="I927" s="94"/>
      <c r="J927" s="31">
        <f>РЕАЛИЗАЦИЯ[[#This Row],[СОНИ]]*РЕАЛИЗАЦИЯ[[#This Row],[ТАННАРХ]]</f>
        <v>0</v>
      </c>
      <c r="K927" s="31">
        <f>РЕАЛИЗАЦИЯ[[#This Row],[ЖАМИ]]-РЕАЛИЗАЦИЯ[[#This Row],[ЖАМИ2]]</f>
        <v>0</v>
      </c>
      <c r="L927" s="31"/>
    </row>
    <row r="928" spans="3:12" ht="15" customHeight="1" x14ac:dyDescent="0.3">
      <c r="C928" s="99"/>
      <c r="D928" s="99"/>
      <c r="G928" s="50">
        <f>РЕАЛИЗАЦИЯ[[#This Row],[СОНИ]]*РЕАЛИЗАЦИЯ[[#This Row],[НАРХИ]]</f>
        <v>0</v>
      </c>
      <c r="I928" s="94"/>
      <c r="J928" s="31">
        <f>РЕАЛИЗАЦИЯ[[#This Row],[СОНИ]]*РЕАЛИЗАЦИЯ[[#This Row],[ТАННАРХ]]</f>
        <v>0</v>
      </c>
      <c r="K928" s="31">
        <f>РЕАЛИЗАЦИЯ[[#This Row],[ЖАМИ]]-РЕАЛИЗАЦИЯ[[#This Row],[ЖАМИ2]]</f>
        <v>0</v>
      </c>
      <c r="L928" s="31"/>
    </row>
    <row r="929" spans="3:12" ht="15" customHeight="1" x14ac:dyDescent="0.3">
      <c r="C929" s="99"/>
      <c r="D929" s="99"/>
      <c r="G929" s="50">
        <f>РЕАЛИЗАЦИЯ[[#This Row],[СОНИ]]*РЕАЛИЗАЦИЯ[[#This Row],[НАРХИ]]</f>
        <v>0</v>
      </c>
      <c r="I929" s="94"/>
      <c r="J929" s="31">
        <f>РЕАЛИЗАЦИЯ[[#This Row],[СОНИ]]*РЕАЛИЗАЦИЯ[[#This Row],[ТАННАРХ]]</f>
        <v>0</v>
      </c>
      <c r="K929" s="31">
        <f>РЕАЛИЗАЦИЯ[[#This Row],[ЖАМИ]]-РЕАЛИЗАЦИЯ[[#This Row],[ЖАМИ2]]</f>
        <v>0</v>
      </c>
      <c r="L929" s="31"/>
    </row>
    <row r="930" spans="3:12" x14ac:dyDescent="0.3">
      <c r="C930" s="99"/>
      <c r="D930" s="99"/>
      <c r="G930" s="50">
        <f>РЕАЛИЗАЦИЯ[[#This Row],[СОНИ]]*РЕАЛИЗАЦИЯ[[#This Row],[НАРХИ]]</f>
        <v>0</v>
      </c>
      <c r="I930" s="94"/>
      <c r="J930" s="31">
        <f>РЕАЛИЗАЦИЯ[[#This Row],[СОНИ]]*РЕАЛИЗАЦИЯ[[#This Row],[ТАННАРХ]]</f>
        <v>0</v>
      </c>
      <c r="K930" s="31">
        <f>РЕАЛИЗАЦИЯ[[#This Row],[ЖАМИ]]-РЕАЛИЗАЦИЯ[[#This Row],[ЖАМИ2]]</f>
        <v>0</v>
      </c>
      <c r="L930" s="31"/>
    </row>
    <row r="931" spans="3:12" ht="15" customHeight="1" x14ac:dyDescent="0.3">
      <c r="C931" s="99"/>
      <c r="D931" s="99"/>
      <c r="G931" s="50">
        <f>РЕАЛИЗАЦИЯ[[#This Row],[СОНИ]]*РЕАЛИЗАЦИЯ[[#This Row],[НАРХИ]]</f>
        <v>0</v>
      </c>
      <c r="I931" s="94"/>
      <c r="J931" s="31">
        <f>РЕАЛИЗАЦИЯ[[#This Row],[СОНИ]]*РЕАЛИЗАЦИЯ[[#This Row],[ТАННАРХ]]</f>
        <v>0</v>
      </c>
      <c r="K931" s="31">
        <f>РЕАЛИЗАЦИЯ[[#This Row],[ЖАМИ]]-РЕАЛИЗАЦИЯ[[#This Row],[ЖАМИ2]]</f>
        <v>0</v>
      </c>
      <c r="L931" s="31"/>
    </row>
    <row r="932" spans="3:12" ht="15" customHeight="1" x14ac:dyDescent="0.3">
      <c r="C932" s="99"/>
      <c r="D932" s="99"/>
      <c r="G932" s="50">
        <f>РЕАЛИЗАЦИЯ[[#This Row],[СОНИ]]*РЕАЛИЗАЦИЯ[[#This Row],[НАРХИ]]</f>
        <v>0</v>
      </c>
      <c r="I932" s="94"/>
      <c r="J932" s="31">
        <f>РЕАЛИЗАЦИЯ[[#This Row],[СОНИ]]*РЕАЛИЗАЦИЯ[[#This Row],[ТАННАРХ]]</f>
        <v>0</v>
      </c>
      <c r="K932" s="31">
        <f>РЕАЛИЗАЦИЯ[[#This Row],[ЖАМИ]]-РЕАЛИЗАЦИЯ[[#This Row],[ЖАМИ2]]</f>
        <v>0</v>
      </c>
      <c r="L932" s="31"/>
    </row>
    <row r="933" spans="3:12" ht="15" customHeight="1" x14ac:dyDescent="0.3">
      <c r="C933" s="99"/>
      <c r="D933" s="99"/>
      <c r="G933" s="50">
        <f>РЕАЛИЗАЦИЯ[[#This Row],[СОНИ]]*РЕАЛИЗАЦИЯ[[#This Row],[НАРХИ]]</f>
        <v>0</v>
      </c>
      <c r="I933" s="94"/>
      <c r="J933" s="31">
        <f>РЕАЛИЗАЦИЯ[[#This Row],[СОНИ]]*РЕАЛИЗАЦИЯ[[#This Row],[ТАННАРХ]]</f>
        <v>0</v>
      </c>
      <c r="K933" s="31">
        <f>РЕАЛИЗАЦИЯ[[#This Row],[ЖАМИ]]-РЕАЛИЗАЦИЯ[[#This Row],[ЖАМИ2]]</f>
        <v>0</v>
      </c>
      <c r="L933" s="31"/>
    </row>
    <row r="934" spans="3:12" ht="15" customHeight="1" x14ac:dyDescent="0.3">
      <c r="C934" s="99"/>
      <c r="D934" s="99"/>
      <c r="G934" s="50">
        <f>РЕАЛИЗАЦИЯ[[#This Row],[СОНИ]]*РЕАЛИЗАЦИЯ[[#This Row],[НАРХИ]]</f>
        <v>0</v>
      </c>
      <c r="I934" s="94"/>
      <c r="J934" s="31">
        <f>РЕАЛИЗАЦИЯ[[#This Row],[СОНИ]]*РЕАЛИЗАЦИЯ[[#This Row],[ТАННАРХ]]</f>
        <v>0</v>
      </c>
      <c r="K934" s="31">
        <f>РЕАЛИЗАЦИЯ[[#This Row],[ЖАМИ]]-РЕАЛИЗАЦИЯ[[#This Row],[ЖАМИ2]]</f>
        <v>0</v>
      </c>
      <c r="L934" s="31"/>
    </row>
    <row r="935" spans="3:12" ht="15" customHeight="1" x14ac:dyDescent="0.3">
      <c r="C935" s="99"/>
      <c r="D935" s="99"/>
      <c r="G935" s="50">
        <f>РЕАЛИЗАЦИЯ[[#This Row],[СОНИ]]*РЕАЛИЗАЦИЯ[[#This Row],[НАРХИ]]</f>
        <v>0</v>
      </c>
      <c r="I935" s="94"/>
      <c r="J935" s="31">
        <f>РЕАЛИЗАЦИЯ[[#This Row],[СОНИ]]*РЕАЛИЗАЦИЯ[[#This Row],[ТАННАРХ]]</f>
        <v>0</v>
      </c>
      <c r="K935" s="31">
        <f>РЕАЛИЗАЦИЯ[[#This Row],[ЖАМИ]]-РЕАЛИЗАЦИЯ[[#This Row],[ЖАМИ2]]</f>
        <v>0</v>
      </c>
      <c r="L935" s="31"/>
    </row>
    <row r="936" spans="3:12" ht="15" customHeight="1" x14ac:dyDescent="0.3">
      <c r="C936" s="99"/>
      <c r="D936" s="99"/>
      <c r="G936" s="50">
        <f>РЕАЛИЗАЦИЯ[[#This Row],[СОНИ]]*РЕАЛИЗАЦИЯ[[#This Row],[НАРХИ]]</f>
        <v>0</v>
      </c>
      <c r="I936" s="94"/>
      <c r="J936" s="31">
        <f>РЕАЛИЗАЦИЯ[[#This Row],[СОНИ]]*РЕАЛИЗАЦИЯ[[#This Row],[ТАННАРХ]]</f>
        <v>0</v>
      </c>
      <c r="K936" s="31">
        <f>РЕАЛИЗАЦИЯ[[#This Row],[ЖАМИ]]-РЕАЛИЗАЦИЯ[[#This Row],[ЖАМИ2]]</f>
        <v>0</v>
      </c>
      <c r="L936" s="31"/>
    </row>
    <row r="937" spans="3:12" x14ac:dyDescent="0.3">
      <c r="C937" s="99"/>
      <c r="D937" s="99"/>
      <c r="G937" s="50">
        <f>РЕАЛИЗАЦИЯ[[#This Row],[СОНИ]]*РЕАЛИЗАЦИЯ[[#This Row],[НАРХИ]]</f>
        <v>0</v>
      </c>
      <c r="I937" s="94"/>
      <c r="J937" s="31">
        <f>РЕАЛИЗАЦИЯ[[#This Row],[СОНИ]]*РЕАЛИЗАЦИЯ[[#This Row],[ТАННАРХ]]</f>
        <v>0</v>
      </c>
      <c r="K937" s="31">
        <f>РЕАЛИЗАЦИЯ[[#This Row],[ЖАМИ]]-РЕАЛИЗАЦИЯ[[#This Row],[ЖАМИ2]]</f>
        <v>0</v>
      </c>
      <c r="L937" s="31"/>
    </row>
    <row r="938" spans="3:12" ht="15" customHeight="1" x14ac:dyDescent="0.3">
      <c r="C938" s="99"/>
      <c r="D938" s="99"/>
      <c r="G938" s="50">
        <f>РЕАЛИЗАЦИЯ[[#This Row],[СОНИ]]*РЕАЛИЗАЦИЯ[[#This Row],[НАРХИ]]</f>
        <v>0</v>
      </c>
      <c r="I938" s="94"/>
      <c r="J938" s="31">
        <f>РЕАЛИЗАЦИЯ[[#This Row],[СОНИ]]*РЕАЛИЗАЦИЯ[[#This Row],[ТАННАРХ]]</f>
        <v>0</v>
      </c>
      <c r="K938" s="31">
        <f>РЕАЛИЗАЦИЯ[[#This Row],[ЖАМИ]]-РЕАЛИЗАЦИЯ[[#This Row],[ЖАМИ2]]</f>
        <v>0</v>
      </c>
      <c r="L938" s="31"/>
    </row>
    <row r="939" spans="3:12" ht="15" customHeight="1" x14ac:dyDescent="0.3">
      <c r="C939" s="99"/>
      <c r="D939" s="99"/>
      <c r="G939" s="50">
        <f>РЕАЛИЗАЦИЯ[[#This Row],[СОНИ]]*РЕАЛИЗАЦИЯ[[#This Row],[НАРХИ]]</f>
        <v>0</v>
      </c>
      <c r="I939" s="94"/>
      <c r="J939" s="31">
        <f>РЕАЛИЗАЦИЯ[[#This Row],[СОНИ]]*РЕАЛИЗАЦИЯ[[#This Row],[ТАННАРХ]]</f>
        <v>0</v>
      </c>
      <c r="K939" s="31">
        <f>РЕАЛИЗАЦИЯ[[#This Row],[ЖАМИ]]-РЕАЛИЗАЦИЯ[[#This Row],[ЖАМИ2]]</f>
        <v>0</v>
      </c>
      <c r="L939" s="31"/>
    </row>
    <row r="940" spans="3:12" ht="15" customHeight="1" x14ac:dyDescent="0.3">
      <c r="C940" s="99"/>
      <c r="D940" s="99"/>
      <c r="G940" s="50">
        <f>РЕАЛИЗАЦИЯ[[#This Row],[СОНИ]]*РЕАЛИЗАЦИЯ[[#This Row],[НАРХИ]]</f>
        <v>0</v>
      </c>
      <c r="I940" s="94"/>
      <c r="J940" s="31">
        <f>РЕАЛИЗАЦИЯ[[#This Row],[СОНИ]]*РЕАЛИЗАЦИЯ[[#This Row],[ТАННАРХ]]</f>
        <v>0</v>
      </c>
      <c r="K940" s="31">
        <f>РЕАЛИЗАЦИЯ[[#This Row],[ЖАМИ]]-РЕАЛИЗАЦИЯ[[#This Row],[ЖАМИ2]]</f>
        <v>0</v>
      </c>
      <c r="L940" s="31"/>
    </row>
    <row r="941" spans="3:12" ht="15" customHeight="1" x14ac:dyDescent="0.3">
      <c r="C941" s="99"/>
      <c r="D941" s="99"/>
      <c r="G941" s="50">
        <f>РЕАЛИЗАЦИЯ[[#This Row],[СОНИ]]*РЕАЛИЗАЦИЯ[[#This Row],[НАРХИ]]</f>
        <v>0</v>
      </c>
      <c r="I941" s="94"/>
      <c r="J941" s="31">
        <f>РЕАЛИЗАЦИЯ[[#This Row],[СОНИ]]*РЕАЛИЗАЦИЯ[[#This Row],[ТАННАРХ]]</f>
        <v>0</v>
      </c>
      <c r="K941" s="31">
        <f>РЕАЛИЗАЦИЯ[[#This Row],[ЖАМИ]]-РЕАЛИЗАЦИЯ[[#This Row],[ЖАМИ2]]</f>
        <v>0</v>
      </c>
      <c r="L941" s="31"/>
    </row>
    <row r="942" spans="3:12" ht="15" customHeight="1" x14ac:dyDescent="0.3">
      <c r="C942" s="99"/>
      <c r="D942" s="99"/>
      <c r="G942" s="50">
        <f>РЕАЛИЗАЦИЯ[[#This Row],[СОНИ]]*РЕАЛИЗАЦИЯ[[#This Row],[НАРХИ]]</f>
        <v>0</v>
      </c>
      <c r="I942" s="94"/>
      <c r="J942" s="31">
        <f>РЕАЛИЗАЦИЯ[[#This Row],[СОНИ]]*РЕАЛИЗАЦИЯ[[#This Row],[ТАННАРХ]]</f>
        <v>0</v>
      </c>
      <c r="K942" s="31">
        <f>РЕАЛИЗАЦИЯ[[#This Row],[ЖАМИ]]-РЕАЛИЗАЦИЯ[[#This Row],[ЖАМИ2]]</f>
        <v>0</v>
      </c>
      <c r="L942" s="31"/>
    </row>
    <row r="943" spans="3:12" ht="15" customHeight="1" x14ac:dyDescent="0.3">
      <c r="C943" s="99"/>
      <c r="D943" s="99"/>
      <c r="G943" s="50">
        <f>РЕАЛИЗАЦИЯ[[#This Row],[СОНИ]]*РЕАЛИЗАЦИЯ[[#This Row],[НАРХИ]]</f>
        <v>0</v>
      </c>
      <c r="I943" s="94"/>
      <c r="J943" s="31">
        <f>РЕАЛИЗАЦИЯ[[#This Row],[СОНИ]]*РЕАЛИЗАЦИЯ[[#This Row],[ТАННАРХ]]</f>
        <v>0</v>
      </c>
      <c r="K943" s="31">
        <f>РЕАЛИЗАЦИЯ[[#This Row],[ЖАМИ]]-РЕАЛИЗАЦИЯ[[#This Row],[ЖАМИ2]]</f>
        <v>0</v>
      </c>
      <c r="L943" s="31"/>
    </row>
    <row r="944" spans="3:12" ht="15" customHeight="1" x14ac:dyDescent="0.3">
      <c r="C944" s="99"/>
      <c r="D944" s="99"/>
      <c r="G944" s="50">
        <f>РЕАЛИЗАЦИЯ[[#This Row],[СОНИ]]*РЕАЛИЗАЦИЯ[[#This Row],[НАРХИ]]</f>
        <v>0</v>
      </c>
      <c r="I944" s="94"/>
      <c r="J944" s="31">
        <f>РЕАЛИЗАЦИЯ[[#This Row],[СОНИ]]*РЕАЛИЗАЦИЯ[[#This Row],[ТАННАРХ]]</f>
        <v>0</v>
      </c>
      <c r="K944" s="31">
        <f>РЕАЛИЗАЦИЯ[[#This Row],[ЖАМИ]]-РЕАЛИЗАЦИЯ[[#This Row],[ЖАМИ2]]</f>
        <v>0</v>
      </c>
      <c r="L944" s="31"/>
    </row>
    <row r="945" spans="3:12" ht="15" customHeight="1" x14ac:dyDescent="0.3">
      <c r="C945" s="99"/>
      <c r="D945" s="99"/>
      <c r="G945" s="50">
        <f>РЕАЛИЗАЦИЯ[[#This Row],[СОНИ]]*РЕАЛИЗАЦИЯ[[#This Row],[НАРХИ]]</f>
        <v>0</v>
      </c>
      <c r="I945" s="94"/>
      <c r="J945" s="31">
        <f>РЕАЛИЗАЦИЯ[[#This Row],[СОНИ]]*РЕАЛИЗАЦИЯ[[#This Row],[ТАННАРХ]]</f>
        <v>0</v>
      </c>
      <c r="K945" s="31">
        <f>РЕАЛИЗАЦИЯ[[#This Row],[ЖАМИ]]-РЕАЛИЗАЦИЯ[[#This Row],[ЖАМИ2]]</f>
        <v>0</v>
      </c>
      <c r="L945" s="31"/>
    </row>
    <row r="946" spans="3:12" ht="15" customHeight="1" x14ac:dyDescent="0.3">
      <c r="C946" s="99"/>
      <c r="D946" s="99"/>
      <c r="G946" s="50">
        <f>РЕАЛИЗАЦИЯ[[#This Row],[СОНИ]]*РЕАЛИЗАЦИЯ[[#This Row],[НАРХИ]]</f>
        <v>0</v>
      </c>
      <c r="I946" s="94"/>
      <c r="J946" s="31">
        <f>РЕАЛИЗАЦИЯ[[#This Row],[СОНИ]]*РЕАЛИЗАЦИЯ[[#This Row],[ТАННАРХ]]</f>
        <v>0</v>
      </c>
      <c r="K946" s="31">
        <f>РЕАЛИЗАЦИЯ[[#This Row],[ЖАМИ]]-РЕАЛИЗАЦИЯ[[#This Row],[ЖАМИ2]]</f>
        <v>0</v>
      </c>
      <c r="L946" s="31"/>
    </row>
    <row r="947" spans="3:12" ht="15" customHeight="1" x14ac:dyDescent="0.3">
      <c r="C947" s="99"/>
      <c r="D947" s="99"/>
      <c r="G947" s="50">
        <f>РЕАЛИЗАЦИЯ[[#This Row],[СОНИ]]*РЕАЛИЗАЦИЯ[[#This Row],[НАРХИ]]</f>
        <v>0</v>
      </c>
      <c r="I947" s="94"/>
      <c r="J947" s="31">
        <f>РЕАЛИЗАЦИЯ[[#This Row],[СОНИ]]*РЕАЛИЗАЦИЯ[[#This Row],[ТАННАРХ]]</f>
        <v>0</v>
      </c>
      <c r="K947" s="31">
        <f>РЕАЛИЗАЦИЯ[[#This Row],[ЖАМИ]]-РЕАЛИЗАЦИЯ[[#This Row],[ЖАМИ2]]</f>
        <v>0</v>
      </c>
      <c r="L947" s="31"/>
    </row>
    <row r="948" spans="3:12" ht="15" customHeight="1" x14ac:dyDescent="0.3">
      <c r="C948" s="99"/>
      <c r="D948" s="99"/>
      <c r="G948" s="50">
        <f>РЕАЛИЗАЦИЯ[[#This Row],[СОНИ]]*РЕАЛИЗАЦИЯ[[#This Row],[НАРХИ]]</f>
        <v>0</v>
      </c>
      <c r="I948" s="94"/>
      <c r="J948" s="31">
        <f>РЕАЛИЗАЦИЯ[[#This Row],[СОНИ]]*РЕАЛИЗАЦИЯ[[#This Row],[ТАННАРХ]]</f>
        <v>0</v>
      </c>
      <c r="K948" s="31">
        <f>РЕАЛИЗАЦИЯ[[#This Row],[ЖАМИ]]-РЕАЛИЗАЦИЯ[[#This Row],[ЖАМИ2]]</f>
        <v>0</v>
      </c>
      <c r="L948" s="31"/>
    </row>
    <row r="949" spans="3:12" ht="15" customHeight="1" x14ac:dyDescent="0.3">
      <c r="C949" s="100"/>
      <c r="D949" s="100"/>
      <c r="G949" s="50">
        <f>РЕАЛИЗАЦИЯ[[#This Row],[СОНИ]]*РЕАЛИЗАЦИЯ[[#This Row],[НАРХИ]]</f>
        <v>0</v>
      </c>
      <c r="I949" s="94"/>
      <c r="J949" s="31">
        <f>РЕАЛИЗАЦИЯ[[#This Row],[СОНИ]]*РЕАЛИЗАЦИЯ[[#This Row],[ТАННАРХ]]</f>
        <v>0</v>
      </c>
      <c r="K949" s="31">
        <f>РЕАЛИЗАЦИЯ[[#This Row],[ЖАМИ]]-РЕАЛИЗАЦИЯ[[#This Row],[ЖАМИ2]]</f>
        <v>0</v>
      </c>
      <c r="L949" s="31"/>
    </row>
    <row r="950" spans="3:12" ht="15" customHeight="1" x14ac:dyDescent="0.3">
      <c r="C950" s="149"/>
      <c r="D950" s="149"/>
      <c r="G950" s="50">
        <f>РЕАЛИЗАЦИЯ[[#This Row],[СОНИ]]*РЕАЛИЗАЦИЯ[[#This Row],[НАРХИ]]</f>
        <v>0</v>
      </c>
      <c r="I950" s="132"/>
      <c r="J950" s="31">
        <f>РЕАЛИЗАЦИЯ[[#This Row],[СОНИ]]*РЕАЛИЗАЦИЯ[[#This Row],[ТАННАРХ]]</f>
        <v>0</v>
      </c>
      <c r="K950" s="31">
        <f>РЕАЛИЗАЦИЯ[[#This Row],[ЖАМИ]]-РЕАЛИЗАЦИЯ[[#This Row],[ЖАМИ2]]</f>
        <v>0</v>
      </c>
      <c r="L950" s="31"/>
    </row>
    <row r="951" spans="3:12" ht="15" customHeight="1" x14ac:dyDescent="0.3">
      <c r="C951" s="100"/>
      <c r="D951" s="100"/>
      <c r="G951" s="50">
        <f>РЕАЛИЗАЦИЯ[[#This Row],[СОНИ]]*РЕАЛИЗАЦИЯ[[#This Row],[НАРХИ]]</f>
        <v>0</v>
      </c>
      <c r="I951" s="94"/>
      <c r="J951" s="31">
        <f>РЕАЛИЗАЦИЯ[[#This Row],[СОНИ]]*РЕАЛИЗАЦИЯ[[#This Row],[ТАННАРХ]]</f>
        <v>0</v>
      </c>
      <c r="K951" s="31">
        <f>РЕАЛИЗАЦИЯ[[#This Row],[ЖАМИ]]-РЕАЛИЗАЦИЯ[[#This Row],[ЖАМИ2]]</f>
        <v>0</v>
      </c>
      <c r="L951" s="31"/>
    </row>
    <row r="952" spans="3:12" ht="15" customHeight="1" x14ac:dyDescent="0.3">
      <c r="C952" s="100"/>
      <c r="D952" s="100"/>
      <c r="G952" s="50">
        <f>РЕАЛИЗАЦИЯ[[#This Row],[СОНИ]]*РЕАЛИЗАЦИЯ[[#This Row],[НАРХИ]]</f>
        <v>0</v>
      </c>
      <c r="I952" s="94"/>
      <c r="J952" s="31">
        <f>РЕАЛИЗАЦИЯ[[#This Row],[СОНИ]]*РЕАЛИЗАЦИЯ[[#This Row],[ТАННАРХ]]</f>
        <v>0</v>
      </c>
      <c r="K952" s="31">
        <f>РЕАЛИЗАЦИЯ[[#This Row],[ЖАМИ]]-РЕАЛИЗАЦИЯ[[#This Row],[ЖАМИ2]]</f>
        <v>0</v>
      </c>
      <c r="L952" s="31"/>
    </row>
    <row r="953" spans="3:12" ht="15" customHeight="1" x14ac:dyDescent="0.3">
      <c r="C953" s="100"/>
      <c r="D953" s="100"/>
      <c r="G953" s="50">
        <f>РЕАЛИЗАЦИЯ[[#This Row],[СОНИ]]*РЕАЛИЗАЦИЯ[[#This Row],[НАРХИ]]</f>
        <v>0</v>
      </c>
      <c r="I953" s="94"/>
      <c r="J953" s="31">
        <f>РЕАЛИЗАЦИЯ[[#This Row],[СОНИ]]*РЕАЛИЗАЦИЯ[[#This Row],[ТАННАРХ]]</f>
        <v>0</v>
      </c>
      <c r="K953" s="31">
        <f>РЕАЛИЗАЦИЯ[[#This Row],[ЖАМИ]]-РЕАЛИЗАЦИЯ[[#This Row],[ЖАМИ2]]</f>
        <v>0</v>
      </c>
      <c r="L953" s="31"/>
    </row>
    <row r="954" spans="3:12" ht="15" customHeight="1" x14ac:dyDescent="0.3">
      <c r="C954" s="100"/>
      <c r="D954" s="100"/>
      <c r="G954" s="50">
        <f>РЕАЛИЗАЦИЯ[[#This Row],[СОНИ]]*РЕАЛИЗАЦИЯ[[#This Row],[НАРХИ]]</f>
        <v>0</v>
      </c>
      <c r="I954" s="94"/>
      <c r="J954" s="31">
        <f>РЕАЛИЗАЦИЯ[[#This Row],[СОНИ]]*РЕАЛИЗАЦИЯ[[#This Row],[ТАННАРХ]]</f>
        <v>0</v>
      </c>
      <c r="K954" s="31">
        <f>РЕАЛИЗАЦИЯ[[#This Row],[ЖАМИ]]-РЕАЛИЗАЦИЯ[[#This Row],[ЖАМИ2]]</f>
        <v>0</v>
      </c>
      <c r="L954" s="31"/>
    </row>
    <row r="955" spans="3:12" ht="15" customHeight="1" x14ac:dyDescent="0.3">
      <c r="C955" s="100"/>
      <c r="D955" s="100"/>
      <c r="G955" s="50">
        <f>РЕАЛИЗАЦИЯ[[#This Row],[СОНИ]]*РЕАЛИЗАЦИЯ[[#This Row],[НАРХИ]]</f>
        <v>0</v>
      </c>
      <c r="I955" s="94"/>
      <c r="J955" s="31">
        <f>РЕАЛИЗАЦИЯ[[#This Row],[СОНИ]]*РЕАЛИЗАЦИЯ[[#This Row],[ТАННАРХ]]</f>
        <v>0</v>
      </c>
      <c r="K955" s="31">
        <f>РЕАЛИЗАЦИЯ[[#This Row],[ЖАМИ]]-РЕАЛИЗАЦИЯ[[#This Row],[ЖАМИ2]]</f>
        <v>0</v>
      </c>
      <c r="L955" s="31"/>
    </row>
    <row r="956" spans="3:12" ht="15" customHeight="1" x14ac:dyDescent="0.3">
      <c r="C956" s="100"/>
      <c r="D956" s="100"/>
      <c r="G956" s="50">
        <f>РЕАЛИЗАЦИЯ[[#This Row],[СОНИ]]*РЕАЛИЗАЦИЯ[[#This Row],[НАРХИ]]</f>
        <v>0</v>
      </c>
      <c r="I956" s="94"/>
      <c r="J956" s="31">
        <f>РЕАЛИЗАЦИЯ[[#This Row],[СОНИ]]*РЕАЛИЗАЦИЯ[[#This Row],[ТАННАРХ]]</f>
        <v>0</v>
      </c>
      <c r="K956" s="31">
        <f>РЕАЛИЗАЦИЯ[[#This Row],[ЖАМИ]]-РЕАЛИЗАЦИЯ[[#This Row],[ЖАМИ2]]</f>
        <v>0</v>
      </c>
      <c r="L956" s="31"/>
    </row>
    <row r="957" spans="3:12" ht="15" customHeight="1" x14ac:dyDescent="0.3">
      <c r="C957" s="100"/>
      <c r="D957" s="100"/>
      <c r="G957" s="50">
        <f>РЕАЛИЗАЦИЯ[[#This Row],[СОНИ]]*РЕАЛИЗАЦИЯ[[#This Row],[НАРХИ]]</f>
        <v>0</v>
      </c>
      <c r="I957" s="94"/>
      <c r="J957" s="31">
        <f>РЕАЛИЗАЦИЯ[[#This Row],[СОНИ]]*РЕАЛИЗАЦИЯ[[#This Row],[ТАННАРХ]]</f>
        <v>0</v>
      </c>
      <c r="K957" s="31">
        <f>РЕАЛИЗАЦИЯ[[#This Row],[ЖАМИ]]-РЕАЛИЗАЦИЯ[[#This Row],[ЖАМИ2]]</f>
        <v>0</v>
      </c>
      <c r="L957" s="31"/>
    </row>
    <row r="958" spans="3:12" ht="15" customHeight="1" x14ac:dyDescent="0.3">
      <c r="C958" s="100"/>
      <c r="D958" s="100"/>
      <c r="G958" s="50">
        <f>РЕАЛИЗАЦИЯ[[#This Row],[СОНИ]]*РЕАЛИЗАЦИЯ[[#This Row],[НАРХИ]]</f>
        <v>0</v>
      </c>
      <c r="I958" s="94"/>
      <c r="J958" s="31">
        <f>РЕАЛИЗАЦИЯ[[#This Row],[СОНИ]]*РЕАЛИЗАЦИЯ[[#This Row],[ТАННАРХ]]</f>
        <v>0</v>
      </c>
      <c r="K958" s="31">
        <f>РЕАЛИЗАЦИЯ[[#This Row],[ЖАМИ]]-РЕАЛИЗАЦИЯ[[#This Row],[ЖАМИ2]]</f>
        <v>0</v>
      </c>
      <c r="L958" s="31"/>
    </row>
    <row r="959" spans="3:12" ht="15" customHeight="1" x14ac:dyDescent="0.3">
      <c r="C959" s="100"/>
      <c r="D959" s="100"/>
      <c r="G959" s="50">
        <f>РЕАЛИЗАЦИЯ[[#This Row],[СОНИ]]*РЕАЛИЗАЦИЯ[[#This Row],[НАРХИ]]</f>
        <v>0</v>
      </c>
      <c r="I959" s="94"/>
      <c r="J959" s="31">
        <f>РЕАЛИЗАЦИЯ[[#This Row],[СОНИ]]*РЕАЛИЗАЦИЯ[[#This Row],[ТАННАРХ]]</f>
        <v>0</v>
      </c>
      <c r="K959" s="31">
        <f>РЕАЛИЗАЦИЯ[[#This Row],[ЖАМИ]]-РЕАЛИЗАЦИЯ[[#This Row],[ЖАМИ2]]</f>
        <v>0</v>
      </c>
      <c r="L959" s="31"/>
    </row>
    <row r="960" spans="3:12" ht="15" customHeight="1" x14ac:dyDescent="0.3">
      <c r="C960" s="100"/>
      <c r="D960" s="100"/>
      <c r="G960" s="50">
        <f>РЕАЛИЗАЦИЯ[[#This Row],[СОНИ]]*РЕАЛИЗАЦИЯ[[#This Row],[НАРХИ]]</f>
        <v>0</v>
      </c>
      <c r="I960" s="94"/>
      <c r="J960" s="31">
        <f>РЕАЛИЗАЦИЯ[[#This Row],[СОНИ]]*РЕАЛИЗАЦИЯ[[#This Row],[ТАННАРХ]]</f>
        <v>0</v>
      </c>
      <c r="K960" s="31">
        <f>РЕАЛИЗАЦИЯ[[#This Row],[ЖАМИ]]-РЕАЛИЗАЦИЯ[[#This Row],[ЖАМИ2]]</f>
        <v>0</v>
      </c>
      <c r="L960" s="31"/>
    </row>
    <row r="961" spans="3:12" ht="15" customHeight="1" x14ac:dyDescent="0.3">
      <c r="C961" s="100"/>
      <c r="D961" s="100"/>
      <c r="G961" s="50">
        <f>РЕАЛИЗАЦИЯ[[#This Row],[СОНИ]]*РЕАЛИЗАЦИЯ[[#This Row],[НАРХИ]]</f>
        <v>0</v>
      </c>
      <c r="I961" s="94"/>
      <c r="J961" s="31">
        <f>РЕАЛИЗАЦИЯ[[#This Row],[СОНИ]]*РЕАЛИЗАЦИЯ[[#This Row],[ТАННАРХ]]</f>
        <v>0</v>
      </c>
      <c r="K961" s="31">
        <f>РЕАЛИЗАЦИЯ[[#This Row],[ЖАМИ]]-РЕАЛИЗАЦИЯ[[#This Row],[ЖАМИ2]]</f>
        <v>0</v>
      </c>
      <c r="L961" s="31"/>
    </row>
    <row r="962" spans="3:12" ht="15" customHeight="1" x14ac:dyDescent="0.3">
      <c r="C962" s="100"/>
      <c r="D962" s="100"/>
      <c r="G962" s="50">
        <f>РЕАЛИЗАЦИЯ[[#This Row],[СОНИ]]*РЕАЛИЗАЦИЯ[[#This Row],[НАРХИ]]</f>
        <v>0</v>
      </c>
      <c r="I962" s="94"/>
      <c r="J962" s="31">
        <f>РЕАЛИЗАЦИЯ[[#This Row],[СОНИ]]*РЕАЛИЗАЦИЯ[[#This Row],[ТАННАРХ]]</f>
        <v>0</v>
      </c>
      <c r="K962" s="31">
        <f>РЕАЛИЗАЦИЯ[[#This Row],[ЖАМИ]]-РЕАЛИЗАЦИЯ[[#This Row],[ЖАМИ2]]</f>
        <v>0</v>
      </c>
      <c r="L962" s="31"/>
    </row>
    <row r="963" spans="3:12" ht="15" customHeight="1" x14ac:dyDescent="0.3">
      <c r="C963" s="100"/>
      <c r="D963" s="100"/>
      <c r="G963" s="50">
        <f>РЕАЛИЗАЦИЯ[[#This Row],[СОНИ]]*РЕАЛИЗАЦИЯ[[#This Row],[НАРХИ]]</f>
        <v>0</v>
      </c>
      <c r="I963" s="94"/>
      <c r="J963" s="31">
        <f>РЕАЛИЗАЦИЯ[[#This Row],[СОНИ]]*РЕАЛИЗАЦИЯ[[#This Row],[ТАННАРХ]]</f>
        <v>0</v>
      </c>
      <c r="K963" s="31">
        <f>РЕАЛИЗАЦИЯ[[#This Row],[ЖАМИ]]-РЕАЛИЗАЦИЯ[[#This Row],[ЖАМИ2]]</f>
        <v>0</v>
      </c>
      <c r="L963" s="31"/>
    </row>
    <row r="964" spans="3:12" ht="15" customHeight="1" x14ac:dyDescent="0.3">
      <c r="C964" s="100"/>
      <c r="D964" s="100"/>
      <c r="G964" s="50">
        <f>РЕАЛИЗАЦИЯ[[#This Row],[СОНИ]]*РЕАЛИЗАЦИЯ[[#This Row],[НАРХИ]]</f>
        <v>0</v>
      </c>
      <c r="I964" s="94"/>
      <c r="J964" s="31">
        <f>РЕАЛИЗАЦИЯ[[#This Row],[СОНИ]]*РЕАЛИЗАЦИЯ[[#This Row],[ТАННАРХ]]</f>
        <v>0</v>
      </c>
      <c r="K964" s="31">
        <f>РЕАЛИЗАЦИЯ[[#This Row],[ЖАМИ]]-РЕАЛИЗАЦИЯ[[#This Row],[ЖАМИ2]]</f>
        <v>0</v>
      </c>
      <c r="L964" s="31"/>
    </row>
    <row r="965" spans="3:12" ht="15" customHeight="1" x14ac:dyDescent="0.3">
      <c r="C965" s="100"/>
      <c r="D965" s="100"/>
      <c r="G965" s="50">
        <f>РЕАЛИЗАЦИЯ[[#This Row],[СОНИ]]*РЕАЛИЗАЦИЯ[[#This Row],[НАРХИ]]</f>
        <v>0</v>
      </c>
      <c r="I965" s="94"/>
      <c r="J965" s="31">
        <f>РЕАЛИЗАЦИЯ[[#This Row],[СОНИ]]*РЕАЛИЗАЦИЯ[[#This Row],[ТАННАРХ]]</f>
        <v>0</v>
      </c>
      <c r="K965" s="31">
        <f>РЕАЛИЗАЦИЯ[[#This Row],[ЖАМИ]]-РЕАЛИЗАЦИЯ[[#This Row],[ЖАМИ2]]</f>
        <v>0</v>
      </c>
      <c r="L965" s="31"/>
    </row>
    <row r="966" spans="3:12" ht="15" customHeight="1" x14ac:dyDescent="0.3">
      <c r="C966" s="100"/>
      <c r="D966" s="100"/>
      <c r="G966" s="50">
        <f>РЕАЛИЗАЦИЯ[[#This Row],[СОНИ]]*РЕАЛИЗАЦИЯ[[#This Row],[НАРХИ]]</f>
        <v>0</v>
      </c>
      <c r="I966" s="94"/>
      <c r="J966" s="31">
        <f>РЕАЛИЗАЦИЯ[[#This Row],[СОНИ]]*РЕАЛИЗАЦИЯ[[#This Row],[ТАННАРХ]]</f>
        <v>0</v>
      </c>
      <c r="K966" s="31">
        <f>РЕАЛИЗАЦИЯ[[#This Row],[ЖАМИ]]-РЕАЛИЗАЦИЯ[[#This Row],[ЖАМИ2]]</f>
        <v>0</v>
      </c>
      <c r="L966" s="31"/>
    </row>
    <row r="967" spans="3:12" ht="15" customHeight="1" x14ac:dyDescent="0.3">
      <c r="C967" s="100"/>
      <c r="D967" s="100"/>
      <c r="G967" s="50">
        <f>РЕАЛИЗАЦИЯ[[#This Row],[СОНИ]]*РЕАЛИЗАЦИЯ[[#This Row],[НАРХИ]]</f>
        <v>0</v>
      </c>
      <c r="I967" s="94"/>
      <c r="J967" s="31">
        <f>РЕАЛИЗАЦИЯ[[#This Row],[СОНИ]]*РЕАЛИЗАЦИЯ[[#This Row],[ТАННАРХ]]</f>
        <v>0</v>
      </c>
      <c r="K967" s="31">
        <f>РЕАЛИЗАЦИЯ[[#This Row],[ЖАМИ]]-РЕАЛИЗАЦИЯ[[#This Row],[ЖАМИ2]]</f>
        <v>0</v>
      </c>
      <c r="L967" s="31"/>
    </row>
    <row r="968" spans="3:12" ht="15" customHeight="1" x14ac:dyDescent="0.3">
      <c r="C968" s="100"/>
      <c r="D968" s="100"/>
      <c r="G968" s="50">
        <f>РЕАЛИЗАЦИЯ[[#This Row],[СОНИ]]*РЕАЛИЗАЦИЯ[[#This Row],[НАРХИ]]</f>
        <v>0</v>
      </c>
      <c r="I968" s="94"/>
      <c r="J968" s="31">
        <f>РЕАЛИЗАЦИЯ[[#This Row],[СОНИ]]*РЕАЛИЗАЦИЯ[[#This Row],[ТАННАРХ]]</f>
        <v>0</v>
      </c>
      <c r="K968" s="31">
        <f>РЕАЛИЗАЦИЯ[[#This Row],[ЖАМИ]]-РЕАЛИЗАЦИЯ[[#This Row],[ЖАМИ2]]</f>
        <v>0</v>
      </c>
      <c r="L968" s="31"/>
    </row>
    <row r="969" spans="3:12" ht="15" customHeight="1" x14ac:dyDescent="0.3">
      <c r="C969" s="100"/>
      <c r="D969" s="100"/>
      <c r="G969" s="50">
        <f>РЕАЛИЗАЦИЯ[[#This Row],[СОНИ]]*РЕАЛИЗАЦИЯ[[#This Row],[НАРХИ]]</f>
        <v>0</v>
      </c>
      <c r="I969" s="94"/>
      <c r="J969" s="31">
        <f>РЕАЛИЗАЦИЯ[[#This Row],[СОНИ]]*РЕАЛИЗАЦИЯ[[#This Row],[ТАННАРХ]]</f>
        <v>0</v>
      </c>
      <c r="K969" s="31">
        <f>РЕАЛИЗАЦИЯ[[#This Row],[ЖАМИ]]-РЕАЛИЗАЦИЯ[[#This Row],[ЖАМИ2]]</f>
        <v>0</v>
      </c>
      <c r="L969" s="31"/>
    </row>
    <row r="970" spans="3:12" ht="15" customHeight="1" x14ac:dyDescent="0.3">
      <c r="C970" s="150"/>
      <c r="D970" s="150"/>
      <c r="G970" s="50">
        <f>РЕАЛИЗАЦИЯ[[#This Row],[СОНИ]]*РЕАЛИЗАЦИЯ[[#This Row],[НАРХИ]]</f>
        <v>0</v>
      </c>
      <c r="I970" s="132"/>
      <c r="J970" s="31">
        <f>РЕАЛИЗАЦИЯ[[#This Row],[СОНИ]]*РЕАЛИЗАЦИЯ[[#This Row],[ТАННАРХ]]</f>
        <v>0</v>
      </c>
      <c r="K970" s="31">
        <f>РЕАЛИЗАЦИЯ[[#This Row],[ЖАМИ]]-РЕАЛИЗАЦИЯ[[#This Row],[ЖАМИ2]]</f>
        <v>0</v>
      </c>
      <c r="L970" s="31"/>
    </row>
    <row r="971" spans="3:12" ht="15" customHeight="1" x14ac:dyDescent="0.3">
      <c r="C971" s="100"/>
      <c r="D971" s="100"/>
      <c r="G971" s="50">
        <f>РЕАЛИЗАЦИЯ[[#This Row],[СОНИ]]*РЕАЛИЗАЦИЯ[[#This Row],[НАРХИ]]</f>
        <v>0</v>
      </c>
      <c r="I971" s="94"/>
      <c r="J971" s="31">
        <f>РЕАЛИЗАЦИЯ[[#This Row],[СОНИ]]*РЕАЛИЗАЦИЯ[[#This Row],[ТАННАРХ]]</f>
        <v>0</v>
      </c>
      <c r="K971" s="31">
        <f>РЕАЛИЗАЦИЯ[[#This Row],[ЖАМИ]]-РЕАЛИЗАЦИЯ[[#This Row],[ЖАМИ2]]</f>
        <v>0</v>
      </c>
      <c r="L971" s="31"/>
    </row>
    <row r="972" spans="3:12" ht="15" customHeight="1" x14ac:dyDescent="0.3">
      <c r="C972" s="100"/>
      <c r="D972" s="100"/>
      <c r="G972" s="50">
        <f>РЕАЛИЗАЦИЯ[[#This Row],[СОНИ]]*РЕАЛИЗАЦИЯ[[#This Row],[НАРХИ]]</f>
        <v>0</v>
      </c>
      <c r="I972" s="94"/>
      <c r="J972" s="31">
        <f>РЕАЛИЗАЦИЯ[[#This Row],[СОНИ]]*РЕАЛИЗАЦИЯ[[#This Row],[ТАННАРХ]]</f>
        <v>0</v>
      </c>
      <c r="K972" s="31">
        <f>РЕАЛИЗАЦИЯ[[#This Row],[ЖАМИ]]-РЕАЛИЗАЦИЯ[[#This Row],[ЖАМИ2]]</f>
        <v>0</v>
      </c>
      <c r="L972" s="31"/>
    </row>
    <row r="973" spans="3:12" ht="15" customHeight="1" x14ac:dyDescent="0.3">
      <c r="C973" s="100"/>
      <c r="D973" s="100"/>
      <c r="G973" s="50">
        <f>РЕАЛИЗАЦИЯ[[#This Row],[СОНИ]]*РЕАЛИЗАЦИЯ[[#This Row],[НАРХИ]]</f>
        <v>0</v>
      </c>
      <c r="I973" s="94"/>
      <c r="J973" s="31">
        <f>РЕАЛИЗАЦИЯ[[#This Row],[СОНИ]]*РЕАЛИЗАЦИЯ[[#This Row],[ТАННАРХ]]</f>
        <v>0</v>
      </c>
      <c r="K973" s="31">
        <f>РЕАЛИЗАЦИЯ[[#This Row],[ЖАМИ]]-РЕАЛИЗАЦИЯ[[#This Row],[ЖАМИ2]]</f>
        <v>0</v>
      </c>
      <c r="L973" s="31"/>
    </row>
    <row r="974" spans="3:12" ht="15" customHeight="1" x14ac:dyDescent="0.3">
      <c r="C974" s="100"/>
      <c r="D974" s="100"/>
      <c r="G974" s="50">
        <f>РЕАЛИЗАЦИЯ[[#This Row],[СОНИ]]*РЕАЛИЗАЦИЯ[[#This Row],[НАРХИ]]</f>
        <v>0</v>
      </c>
      <c r="I974" s="94"/>
      <c r="J974" s="31">
        <f>РЕАЛИЗАЦИЯ[[#This Row],[СОНИ]]*РЕАЛИЗАЦИЯ[[#This Row],[ТАННАРХ]]</f>
        <v>0</v>
      </c>
      <c r="K974" s="31">
        <f>РЕАЛИЗАЦИЯ[[#This Row],[ЖАМИ]]-РЕАЛИЗАЦИЯ[[#This Row],[ЖАМИ2]]</f>
        <v>0</v>
      </c>
      <c r="L974" s="31"/>
    </row>
    <row r="975" spans="3:12" ht="15" customHeight="1" x14ac:dyDescent="0.3">
      <c r="C975" s="100"/>
      <c r="D975" s="100"/>
      <c r="G975" s="50">
        <f>РЕАЛИЗАЦИЯ[[#This Row],[СОНИ]]*РЕАЛИЗАЦИЯ[[#This Row],[НАРХИ]]</f>
        <v>0</v>
      </c>
      <c r="I975" s="94"/>
      <c r="J975" s="31">
        <f>РЕАЛИЗАЦИЯ[[#This Row],[СОНИ]]*РЕАЛИЗАЦИЯ[[#This Row],[ТАННАРХ]]</f>
        <v>0</v>
      </c>
      <c r="K975" s="31">
        <f>РЕАЛИЗАЦИЯ[[#This Row],[ЖАМИ]]-РЕАЛИЗАЦИЯ[[#This Row],[ЖАМИ2]]</f>
        <v>0</v>
      </c>
      <c r="L975" s="31"/>
    </row>
    <row r="976" spans="3:12" ht="15" customHeight="1" x14ac:dyDescent="0.3">
      <c r="C976" s="100"/>
      <c r="D976" s="100"/>
      <c r="G976" s="50">
        <f>РЕАЛИЗАЦИЯ[[#This Row],[СОНИ]]*РЕАЛИЗАЦИЯ[[#This Row],[НАРХИ]]</f>
        <v>0</v>
      </c>
      <c r="I976" s="94"/>
      <c r="J976" s="31">
        <f>РЕАЛИЗАЦИЯ[[#This Row],[СОНИ]]*РЕАЛИЗАЦИЯ[[#This Row],[ТАННАРХ]]</f>
        <v>0</v>
      </c>
      <c r="K976" s="31">
        <f>РЕАЛИЗАЦИЯ[[#This Row],[ЖАМИ]]-РЕАЛИЗАЦИЯ[[#This Row],[ЖАМИ2]]</f>
        <v>0</v>
      </c>
      <c r="L976" s="31"/>
    </row>
    <row r="977" spans="3:12" ht="15" customHeight="1" x14ac:dyDescent="0.3">
      <c r="C977" s="100"/>
      <c r="D977" s="100"/>
      <c r="G977" s="50">
        <f>РЕАЛИЗАЦИЯ[[#This Row],[СОНИ]]*РЕАЛИЗАЦИЯ[[#This Row],[НАРХИ]]</f>
        <v>0</v>
      </c>
      <c r="I977" s="94"/>
      <c r="J977" s="31">
        <f>РЕАЛИЗАЦИЯ[[#This Row],[СОНИ]]*РЕАЛИЗАЦИЯ[[#This Row],[ТАННАРХ]]</f>
        <v>0</v>
      </c>
      <c r="K977" s="31">
        <f>РЕАЛИЗАЦИЯ[[#This Row],[ЖАМИ]]-РЕАЛИЗАЦИЯ[[#This Row],[ЖАМИ2]]</f>
        <v>0</v>
      </c>
      <c r="L977" s="31"/>
    </row>
    <row r="978" spans="3:12" ht="15" customHeight="1" x14ac:dyDescent="0.3">
      <c r="C978" s="100"/>
      <c r="D978" s="100"/>
      <c r="G978" s="50">
        <f>РЕАЛИЗАЦИЯ[[#This Row],[СОНИ]]*РЕАЛИЗАЦИЯ[[#This Row],[НАРХИ]]</f>
        <v>0</v>
      </c>
      <c r="I978" s="94"/>
      <c r="J978" s="31">
        <f>РЕАЛИЗАЦИЯ[[#This Row],[СОНИ]]*РЕАЛИЗАЦИЯ[[#This Row],[ТАННАРХ]]</f>
        <v>0</v>
      </c>
      <c r="K978" s="31">
        <f>РЕАЛИЗАЦИЯ[[#This Row],[ЖАМИ]]-РЕАЛИЗАЦИЯ[[#This Row],[ЖАМИ2]]</f>
        <v>0</v>
      </c>
      <c r="L978" s="31"/>
    </row>
    <row r="979" spans="3:12" ht="15" customHeight="1" x14ac:dyDescent="0.3">
      <c r="C979" s="100"/>
      <c r="D979" s="100"/>
      <c r="G979" s="50">
        <f>РЕАЛИЗАЦИЯ[[#This Row],[СОНИ]]*РЕАЛИЗАЦИЯ[[#This Row],[НАРХИ]]</f>
        <v>0</v>
      </c>
      <c r="I979" s="94"/>
      <c r="J979" s="31">
        <f>РЕАЛИЗАЦИЯ[[#This Row],[СОНИ]]*РЕАЛИЗАЦИЯ[[#This Row],[ТАННАРХ]]</f>
        <v>0</v>
      </c>
      <c r="K979" s="31">
        <f>РЕАЛИЗАЦИЯ[[#This Row],[ЖАМИ]]-РЕАЛИЗАЦИЯ[[#This Row],[ЖАМИ2]]</f>
        <v>0</v>
      </c>
      <c r="L979" s="31"/>
    </row>
    <row r="980" spans="3:12" ht="15" customHeight="1" x14ac:dyDescent="0.3">
      <c r="C980" s="100"/>
      <c r="D980" s="100"/>
      <c r="G980" s="50">
        <f>РЕАЛИЗАЦИЯ[[#This Row],[СОНИ]]*РЕАЛИЗАЦИЯ[[#This Row],[НАРХИ]]</f>
        <v>0</v>
      </c>
      <c r="I980" s="94"/>
      <c r="J980" s="31">
        <f>РЕАЛИЗАЦИЯ[[#This Row],[СОНИ]]*РЕАЛИЗАЦИЯ[[#This Row],[ТАННАРХ]]</f>
        <v>0</v>
      </c>
      <c r="K980" s="31">
        <f>РЕАЛИЗАЦИЯ[[#This Row],[ЖАМИ]]-РЕАЛИЗАЦИЯ[[#This Row],[ЖАМИ2]]</f>
        <v>0</v>
      </c>
      <c r="L980" s="31"/>
    </row>
    <row r="981" spans="3:12" ht="15" customHeight="1" x14ac:dyDescent="0.3">
      <c r="C981" s="100"/>
      <c r="D981" s="100"/>
      <c r="G981" s="50">
        <f>РЕАЛИЗАЦИЯ[[#This Row],[СОНИ]]*РЕАЛИЗАЦИЯ[[#This Row],[НАРХИ]]</f>
        <v>0</v>
      </c>
      <c r="I981" s="94"/>
      <c r="J981" s="31">
        <f>РЕАЛИЗАЦИЯ[[#This Row],[СОНИ]]*РЕАЛИЗАЦИЯ[[#This Row],[ТАННАРХ]]</f>
        <v>0</v>
      </c>
      <c r="K981" s="31">
        <f>РЕАЛИЗАЦИЯ[[#This Row],[ЖАМИ]]-РЕАЛИЗАЦИЯ[[#This Row],[ЖАМИ2]]</f>
        <v>0</v>
      </c>
      <c r="L981" s="31"/>
    </row>
    <row r="982" spans="3:12" ht="15" customHeight="1" x14ac:dyDescent="0.3">
      <c r="C982" s="100"/>
      <c r="D982" s="100"/>
      <c r="G982" s="50">
        <f>РЕАЛИЗАЦИЯ[[#This Row],[СОНИ]]*РЕАЛИЗАЦИЯ[[#This Row],[НАРХИ]]</f>
        <v>0</v>
      </c>
      <c r="I982" s="94"/>
      <c r="J982" s="31">
        <f>РЕАЛИЗАЦИЯ[[#This Row],[СОНИ]]*РЕАЛИЗАЦИЯ[[#This Row],[ТАННАРХ]]</f>
        <v>0</v>
      </c>
      <c r="K982" s="31">
        <f>РЕАЛИЗАЦИЯ[[#This Row],[ЖАМИ]]-РЕАЛИЗАЦИЯ[[#This Row],[ЖАМИ2]]</f>
        <v>0</v>
      </c>
      <c r="L982" s="31"/>
    </row>
    <row r="983" spans="3:12" ht="15" customHeight="1" x14ac:dyDescent="0.3">
      <c r="C983" s="100"/>
      <c r="D983" s="100"/>
      <c r="G983" s="50">
        <f>РЕАЛИЗАЦИЯ[[#This Row],[СОНИ]]*РЕАЛИЗАЦИЯ[[#This Row],[НАРХИ]]</f>
        <v>0</v>
      </c>
      <c r="I983" s="94"/>
      <c r="J983" s="31">
        <f>РЕАЛИЗАЦИЯ[[#This Row],[СОНИ]]*РЕАЛИЗАЦИЯ[[#This Row],[ТАННАРХ]]</f>
        <v>0</v>
      </c>
      <c r="K983" s="31">
        <f>РЕАЛИЗАЦИЯ[[#This Row],[ЖАМИ]]-РЕАЛИЗАЦИЯ[[#This Row],[ЖАМИ2]]</f>
        <v>0</v>
      </c>
      <c r="L983" s="31"/>
    </row>
    <row r="984" spans="3:12" ht="15" customHeight="1" x14ac:dyDescent="0.3">
      <c r="C984" s="100"/>
      <c r="D984" s="100"/>
      <c r="G984" s="50">
        <f>РЕАЛИЗАЦИЯ[[#This Row],[СОНИ]]*РЕАЛИЗАЦИЯ[[#This Row],[НАРХИ]]</f>
        <v>0</v>
      </c>
      <c r="I984" s="94"/>
      <c r="J984" s="31">
        <f>РЕАЛИЗАЦИЯ[[#This Row],[СОНИ]]*РЕАЛИЗАЦИЯ[[#This Row],[ТАННАРХ]]</f>
        <v>0</v>
      </c>
      <c r="K984" s="31">
        <f>РЕАЛИЗАЦИЯ[[#This Row],[ЖАМИ]]-РЕАЛИЗАЦИЯ[[#This Row],[ЖАМИ2]]</f>
        <v>0</v>
      </c>
      <c r="L984" s="31"/>
    </row>
    <row r="985" spans="3:12" ht="15" customHeight="1" x14ac:dyDescent="0.3">
      <c r="C985" s="100"/>
      <c r="D985" s="100"/>
      <c r="G985" s="50">
        <f>РЕАЛИЗАЦИЯ[[#This Row],[СОНИ]]*РЕАЛИЗАЦИЯ[[#This Row],[НАРХИ]]</f>
        <v>0</v>
      </c>
      <c r="I985" s="94"/>
      <c r="J985" s="31">
        <f>РЕАЛИЗАЦИЯ[[#This Row],[СОНИ]]*РЕАЛИЗАЦИЯ[[#This Row],[ТАННАРХ]]</f>
        <v>0</v>
      </c>
      <c r="K985" s="31">
        <f>РЕАЛИЗАЦИЯ[[#This Row],[ЖАМИ]]-РЕАЛИЗАЦИЯ[[#This Row],[ЖАМИ2]]</f>
        <v>0</v>
      </c>
      <c r="L985" s="31"/>
    </row>
    <row r="986" spans="3:12" ht="15" customHeight="1" x14ac:dyDescent="0.3">
      <c r="C986" s="100"/>
      <c r="D986" s="100"/>
      <c r="G986" s="50">
        <f>РЕАЛИЗАЦИЯ[[#This Row],[СОНИ]]*РЕАЛИЗАЦИЯ[[#This Row],[НАРХИ]]</f>
        <v>0</v>
      </c>
      <c r="I986" s="94"/>
      <c r="J986" s="31">
        <f>РЕАЛИЗАЦИЯ[[#This Row],[СОНИ]]*РЕАЛИЗАЦИЯ[[#This Row],[ТАННАРХ]]</f>
        <v>0</v>
      </c>
      <c r="K986" s="31">
        <f>РЕАЛИЗАЦИЯ[[#This Row],[ЖАМИ]]-РЕАЛИЗАЦИЯ[[#This Row],[ЖАМИ2]]</f>
        <v>0</v>
      </c>
      <c r="L986" s="31"/>
    </row>
    <row r="987" spans="3:12" ht="15" customHeight="1" x14ac:dyDescent="0.3">
      <c r="C987" s="100"/>
      <c r="D987" s="100"/>
      <c r="G987" s="50">
        <f>РЕАЛИЗАЦИЯ[[#This Row],[СОНИ]]*РЕАЛИЗАЦИЯ[[#This Row],[НАРХИ]]</f>
        <v>0</v>
      </c>
      <c r="I987" s="94"/>
      <c r="J987" s="31">
        <f>РЕАЛИЗАЦИЯ[[#This Row],[СОНИ]]*РЕАЛИЗАЦИЯ[[#This Row],[ТАННАРХ]]</f>
        <v>0</v>
      </c>
      <c r="K987" s="31">
        <f>РЕАЛИЗАЦИЯ[[#This Row],[ЖАМИ]]-РЕАЛИЗАЦИЯ[[#This Row],[ЖАМИ2]]</f>
        <v>0</v>
      </c>
      <c r="L987" s="31"/>
    </row>
    <row r="988" spans="3:12" ht="15" customHeight="1" x14ac:dyDescent="0.3">
      <c r="C988" s="100"/>
      <c r="D988" s="100"/>
      <c r="G988" s="50">
        <f>РЕАЛИЗАЦИЯ[[#This Row],[СОНИ]]*РЕАЛИЗАЦИЯ[[#This Row],[НАРХИ]]</f>
        <v>0</v>
      </c>
      <c r="I988" s="94"/>
      <c r="J988" s="31">
        <f>РЕАЛИЗАЦИЯ[[#This Row],[СОНИ]]*РЕАЛИЗАЦИЯ[[#This Row],[ТАННАРХ]]</f>
        <v>0</v>
      </c>
      <c r="K988" s="31">
        <f>РЕАЛИЗАЦИЯ[[#This Row],[ЖАМИ]]-РЕАЛИЗАЦИЯ[[#This Row],[ЖАМИ2]]</f>
        <v>0</v>
      </c>
      <c r="L988" s="31"/>
    </row>
    <row r="989" spans="3:12" ht="15" customHeight="1" x14ac:dyDescent="0.3">
      <c r="C989" s="154"/>
      <c r="D989" s="154"/>
      <c r="G989" s="50">
        <f>РЕАЛИЗАЦИЯ[[#This Row],[СОНИ]]*РЕАЛИЗАЦИЯ[[#This Row],[НАРХИ]]</f>
        <v>0</v>
      </c>
      <c r="I989" s="132"/>
      <c r="J989" s="31">
        <f>РЕАЛИЗАЦИЯ[[#This Row],[СОНИ]]*РЕАЛИЗАЦИЯ[[#This Row],[ТАННАРХ]]</f>
        <v>0</v>
      </c>
      <c r="K989" s="31">
        <f>РЕАЛИЗАЦИЯ[[#This Row],[ЖАМИ]]-РЕАЛИЗАЦИЯ[[#This Row],[ЖАМИ2]]</f>
        <v>0</v>
      </c>
      <c r="L989" s="31"/>
    </row>
    <row r="990" spans="3:12" ht="15" customHeight="1" x14ac:dyDescent="0.3">
      <c r="C990" s="100"/>
      <c r="D990" s="100"/>
      <c r="G990" s="50">
        <f>РЕАЛИЗАЦИЯ[[#This Row],[СОНИ]]*РЕАЛИЗАЦИЯ[[#This Row],[НАРХИ]]</f>
        <v>0</v>
      </c>
      <c r="I990" s="94"/>
      <c r="J990" s="31">
        <f>РЕАЛИЗАЦИЯ[[#This Row],[СОНИ]]*РЕАЛИЗАЦИЯ[[#This Row],[ТАННАРХ]]</f>
        <v>0</v>
      </c>
      <c r="K990" s="31">
        <f>РЕАЛИЗАЦИЯ[[#This Row],[ЖАМИ]]-РЕАЛИЗАЦИЯ[[#This Row],[ЖАМИ2]]</f>
        <v>0</v>
      </c>
      <c r="L990" s="31"/>
    </row>
    <row r="991" spans="3:12" ht="15" customHeight="1" x14ac:dyDescent="0.3">
      <c r="C991" s="100"/>
      <c r="D991" s="100"/>
      <c r="G991" s="50">
        <f>РЕАЛИЗАЦИЯ[[#This Row],[СОНИ]]*РЕАЛИЗАЦИЯ[[#This Row],[НАРХИ]]</f>
        <v>0</v>
      </c>
      <c r="I991" s="94"/>
      <c r="J991" s="31">
        <f>РЕАЛИЗАЦИЯ[[#This Row],[СОНИ]]*РЕАЛИЗАЦИЯ[[#This Row],[ТАННАРХ]]</f>
        <v>0</v>
      </c>
      <c r="K991" s="31">
        <f>РЕАЛИЗАЦИЯ[[#This Row],[ЖАМИ]]-РЕАЛИЗАЦИЯ[[#This Row],[ЖАМИ2]]</f>
        <v>0</v>
      </c>
      <c r="L991" s="31"/>
    </row>
    <row r="992" spans="3:12" ht="15" customHeight="1" x14ac:dyDescent="0.3">
      <c r="C992" s="100"/>
      <c r="D992" s="100"/>
      <c r="G992" s="50">
        <f>РЕАЛИЗАЦИЯ[[#This Row],[СОНИ]]*РЕАЛИЗАЦИЯ[[#This Row],[НАРХИ]]</f>
        <v>0</v>
      </c>
      <c r="I992" s="94"/>
      <c r="J992" s="31">
        <f>РЕАЛИЗАЦИЯ[[#This Row],[СОНИ]]*РЕАЛИЗАЦИЯ[[#This Row],[ТАННАРХ]]</f>
        <v>0</v>
      </c>
      <c r="K992" s="31">
        <f>РЕАЛИЗАЦИЯ[[#This Row],[ЖАМИ]]-РЕАЛИЗАЦИЯ[[#This Row],[ЖАМИ2]]</f>
        <v>0</v>
      </c>
      <c r="L992" s="31"/>
    </row>
    <row r="993" spans="3:12" ht="15" customHeight="1" x14ac:dyDescent="0.3">
      <c r="C993" s="100"/>
      <c r="D993" s="100"/>
      <c r="G993" s="50">
        <f>РЕАЛИЗАЦИЯ[[#This Row],[СОНИ]]*РЕАЛИЗАЦИЯ[[#This Row],[НАРХИ]]</f>
        <v>0</v>
      </c>
      <c r="I993" s="94"/>
      <c r="J993" s="31">
        <f>РЕАЛИЗАЦИЯ[[#This Row],[СОНИ]]*РЕАЛИЗАЦИЯ[[#This Row],[ТАННАРХ]]</f>
        <v>0</v>
      </c>
      <c r="K993" s="31">
        <f>РЕАЛИЗАЦИЯ[[#This Row],[ЖАМИ]]-РЕАЛИЗАЦИЯ[[#This Row],[ЖАМИ2]]</f>
        <v>0</v>
      </c>
      <c r="L993" s="31"/>
    </row>
    <row r="994" spans="3:12" ht="15" customHeight="1" x14ac:dyDescent="0.3">
      <c r="C994" s="100"/>
      <c r="D994" s="100"/>
      <c r="G994" s="50">
        <f>РЕАЛИЗАЦИЯ[[#This Row],[СОНИ]]*РЕАЛИЗАЦИЯ[[#This Row],[НАРХИ]]</f>
        <v>0</v>
      </c>
      <c r="I994" s="94"/>
      <c r="J994" s="31">
        <f>РЕАЛИЗАЦИЯ[[#This Row],[СОНИ]]*РЕАЛИЗАЦИЯ[[#This Row],[ТАННАРХ]]</f>
        <v>0</v>
      </c>
      <c r="K994" s="31">
        <f>РЕАЛИЗАЦИЯ[[#This Row],[ЖАМИ]]-РЕАЛИЗАЦИЯ[[#This Row],[ЖАМИ2]]</f>
        <v>0</v>
      </c>
      <c r="L994" s="31"/>
    </row>
    <row r="995" spans="3:12" ht="15" customHeight="1" x14ac:dyDescent="0.3">
      <c r="C995" s="100"/>
      <c r="D995" s="100"/>
      <c r="G995" s="50">
        <f>РЕАЛИЗАЦИЯ[[#This Row],[СОНИ]]*РЕАЛИЗАЦИЯ[[#This Row],[НАРХИ]]</f>
        <v>0</v>
      </c>
      <c r="I995" s="94"/>
      <c r="J995" s="31">
        <f>РЕАЛИЗАЦИЯ[[#This Row],[СОНИ]]*РЕАЛИЗАЦИЯ[[#This Row],[ТАННАРХ]]</f>
        <v>0</v>
      </c>
      <c r="K995" s="31">
        <f>РЕАЛИЗАЦИЯ[[#This Row],[ЖАМИ]]-РЕАЛИЗАЦИЯ[[#This Row],[ЖАМИ2]]</f>
        <v>0</v>
      </c>
      <c r="L995" s="31"/>
    </row>
    <row r="996" spans="3:12" ht="15" customHeight="1" x14ac:dyDescent="0.3">
      <c r="C996" s="100"/>
      <c r="D996" s="100"/>
      <c r="G996" s="50">
        <f>РЕАЛИЗАЦИЯ[[#This Row],[СОНИ]]*РЕАЛИЗАЦИЯ[[#This Row],[НАРХИ]]</f>
        <v>0</v>
      </c>
      <c r="I996" s="94"/>
      <c r="J996" s="31">
        <f>РЕАЛИЗАЦИЯ[[#This Row],[СОНИ]]*РЕАЛИЗАЦИЯ[[#This Row],[ТАННАРХ]]</f>
        <v>0</v>
      </c>
      <c r="K996" s="31">
        <f>РЕАЛИЗАЦИЯ[[#This Row],[ЖАМИ]]-РЕАЛИЗАЦИЯ[[#This Row],[ЖАМИ2]]</f>
        <v>0</v>
      </c>
      <c r="L996" s="31"/>
    </row>
    <row r="997" spans="3:12" ht="15" customHeight="1" x14ac:dyDescent="0.3">
      <c r="C997" s="100"/>
      <c r="D997" s="100"/>
      <c r="G997" s="50">
        <f>РЕАЛИЗАЦИЯ[[#This Row],[СОНИ]]*РЕАЛИЗАЦИЯ[[#This Row],[НАРХИ]]</f>
        <v>0</v>
      </c>
      <c r="I997" s="94"/>
      <c r="J997" s="31">
        <f>РЕАЛИЗАЦИЯ[[#This Row],[СОНИ]]*РЕАЛИЗАЦИЯ[[#This Row],[ТАННАРХ]]</f>
        <v>0</v>
      </c>
      <c r="K997" s="31">
        <f>РЕАЛИЗАЦИЯ[[#This Row],[ЖАМИ]]-РЕАЛИЗАЦИЯ[[#This Row],[ЖАМИ2]]</f>
        <v>0</v>
      </c>
      <c r="L997" s="31"/>
    </row>
    <row r="998" spans="3:12" ht="15" customHeight="1" x14ac:dyDescent="0.3">
      <c r="C998" s="100"/>
      <c r="D998" s="100"/>
      <c r="G998" s="50">
        <f>РЕАЛИЗАЦИЯ[[#This Row],[СОНИ]]*РЕАЛИЗАЦИЯ[[#This Row],[НАРХИ]]</f>
        <v>0</v>
      </c>
      <c r="I998" s="94"/>
      <c r="J998" s="31">
        <f>РЕАЛИЗАЦИЯ[[#This Row],[СОНИ]]*РЕАЛИЗАЦИЯ[[#This Row],[ТАННАРХ]]</f>
        <v>0</v>
      </c>
      <c r="K998" s="31">
        <f>РЕАЛИЗАЦИЯ[[#This Row],[ЖАМИ]]-РЕАЛИЗАЦИЯ[[#This Row],[ЖАМИ2]]</f>
        <v>0</v>
      </c>
      <c r="L998" s="31"/>
    </row>
    <row r="999" spans="3:12" ht="15" customHeight="1" x14ac:dyDescent="0.3">
      <c r="C999" s="100"/>
      <c r="D999" s="100"/>
      <c r="G999" s="50">
        <f>РЕАЛИЗАЦИЯ[[#This Row],[СОНИ]]*РЕАЛИЗАЦИЯ[[#This Row],[НАРХИ]]</f>
        <v>0</v>
      </c>
      <c r="I999" s="94"/>
      <c r="J999" s="31">
        <f>РЕАЛИЗАЦИЯ[[#This Row],[СОНИ]]*РЕАЛИЗАЦИЯ[[#This Row],[ТАННАРХ]]</f>
        <v>0</v>
      </c>
      <c r="K999" s="31">
        <f>РЕАЛИЗАЦИЯ[[#This Row],[ЖАМИ]]-РЕАЛИЗАЦИЯ[[#This Row],[ЖАМИ2]]</f>
        <v>0</v>
      </c>
      <c r="L999" s="31"/>
    </row>
    <row r="1000" spans="3:12" ht="15" customHeight="1" x14ac:dyDescent="0.3">
      <c r="C1000" s="100"/>
      <c r="D1000" s="100"/>
      <c r="G1000" s="50">
        <f>РЕАЛИЗАЦИЯ[[#This Row],[СОНИ]]*РЕАЛИЗАЦИЯ[[#This Row],[НАРХИ]]</f>
        <v>0</v>
      </c>
      <c r="I1000" s="94"/>
      <c r="J1000" s="31">
        <f>РЕАЛИЗАЦИЯ[[#This Row],[СОНИ]]*РЕАЛИЗАЦИЯ[[#This Row],[ТАННАРХ]]</f>
        <v>0</v>
      </c>
      <c r="K1000" s="31">
        <f>РЕАЛИЗАЦИЯ[[#This Row],[ЖАМИ]]-РЕАЛИЗАЦИЯ[[#This Row],[ЖАМИ2]]</f>
        <v>0</v>
      </c>
      <c r="L1000" s="31"/>
    </row>
    <row r="1001" spans="3:12" ht="15" customHeight="1" x14ac:dyDescent="0.3">
      <c r="C1001" s="100"/>
      <c r="D1001" s="100"/>
      <c r="G1001" s="50">
        <f>РЕАЛИЗАЦИЯ[[#This Row],[СОНИ]]*РЕАЛИЗАЦИЯ[[#This Row],[НАРХИ]]</f>
        <v>0</v>
      </c>
      <c r="I1001" s="94"/>
      <c r="J1001" s="31">
        <f>РЕАЛИЗАЦИЯ[[#This Row],[СОНИ]]*РЕАЛИЗАЦИЯ[[#This Row],[ТАННАРХ]]</f>
        <v>0</v>
      </c>
      <c r="K1001" s="31">
        <f>РЕАЛИЗАЦИЯ[[#This Row],[ЖАМИ]]-РЕАЛИЗАЦИЯ[[#This Row],[ЖАМИ2]]</f>
        <v>0</v>
      </c>
      <c r="L1001" s="31"/>
    </row>
    <row r="1002" spans="3:12" ht="15" customHeight="1" x14ac:dyDescent="0.3">
      <c r="C1002" s="100"/>
      <c r="D1002" s="100"/>
      <c r="G1002" s="50">
        <f>РЕАЛИЗАЦИЯ[[#This Row],[СОНИ]]*РЕАЛИЗАЦИЯ[[#This Row],[НАРХИ]]</f>
        <v>0</v>
      </c>
      <c r="I1002" s="94"/>
      <c r="J1002" s="31">
        <f>РЕАЛИЗАЦИЯ[[#This Row],[СОНИ]]*РЕАЛИЗАЦИЯ[[#This Row],[ТАННАРХ]]</f>
        <v>0</v>
      </c>
      <c r="K1002" s="31">
        <f>РЕАЛИЗАЦИЯ[[#This Row],[ЖАМИ]]-РЕАЛИЗАЦИЯ[[#This Row],[ЖАМИ2]]</f>
        <v>0</v>
      </c>
      <c r="L1002" s="31"/>
    </row>
    <row r="1003" spans="3:12" ht="15" customHeight="1" x14ac:dyDescent="0.3">
      <c r="C1003" s="100"/>
      <c r="D1003" s="100"/>
      <c r="G1003" s="50">
        <f>РЕАЛИЗАЦИЯ[[#This Row],[СОНИ]]*РЕАЛИЗАЦИЯ[[#This Row],[НАРХИ]]</f>
        <v>0</v>
      </c>
      <c r="I1003" s="94"/>
      <c r="J1003" s="31">
        <f>РЕАЛИЗАЦИЯ[[#This Row],[СОНИ]]*РЕАЛИЗАЦИЯ[[#This Row],[ТАННАРХ]]</f>
        <v>0</v>
      </c>
      <c r="K1003" s="31">
        <f>РЕАЛИЗАЦИЯ[[#This Row],[ЖАМИ]]-РЕАЛИЗАЦИЯ[[#This Row],[ЖАМИ2]]</f>
        <v>0</v>
      </c>
      <c r="L1003" s="31"/>
    </row>
    <row r="1004" spans="3:12" ht="15" customHeight="1" x14ac:dyDescent="0.3">
      <c r="C1004" s="100"/>
      <c r="D1004" s="100"/>
      <c r="G1004" s="50">
        <f>РЕАЛИЗАЦИЯ[[#This Row],[СОНИ]]*РЕАЛИЗАЦИЯ[[#This Row],[НАРХИ]]</f>
        <v>0</v>
      </c>
      <c r="I1004" s="94"/>
      <c r="J1004" s="31">
        <f>РЕАЛИЗАЦИЯ[[#This Row],[СОНИ]]*РЕАЛИЗАЦИЯ[[#This Row],[ТАННАРХ]]</f>
        <v>0</v>
      </c>
      <c r="K1004" s="31">
        <f>РЕАЛИЗАЦИЯ[[#This Row],[ЖАМИ]]-РЕАЛИЗАЦИЯ[[#This Row],[ЖАМИ2]]</f>
        <v>0</v>
      </c>
      <c r="L1004" s="31"/>
    </row>
    <row r="1005" spans="3:12" ht="15" customHeight="1" x14ac:dyDescent="0.3">
      <c r="C1005" s="100"/>
      <c r="D1005" s="100"/>
      <c r="G1005" s="50">
        <f>РЕАЛИЗАЦИЯ[[#This Row],[СОНИ]]*РЕАЛИЗАЦИЯ[[#This Row],[НАРХИ]]</f>
        <v>0</v>
      </c>
      <c r="I1005" s="94"/>
      <c r="J1005" s="31">
        <f>РЕАЛИЗАЦИЯ[[#This Row],[СОНИ]]*РЕАЛИЗАЦИЯ[[#This Row],[ТАННАРХ]]</f>
        <v>0</v>
      </c>
      <c r="K1005" s="31">
        <f>РЕАЛИЗАЦИЯ[[#This Row],[ЖАМИ]]-РЕАЛИЗАЦИЯ[[#This Row],[ЖАМИ2]]</f>
        <v>0</v>
      </c>
      <c r="L1005" s="31"/>
    </row>
    <row r="1006" spans="3:12" ht="15" customHeight="1" x14ac:dyDescent="0.3">
      <c r="C1006" s="100"/>
      <c r="D1006" s="100"/>
      <c r="G1006" s="50">
        <f>РЕАЛИЗАЦИЯ[[#This Row],[СОНИ]]*РЕАЛИЗАЦИЯ[[#This Row],[НАРХИ]]</f>
        <v>0</v>
      </c>
      <c r="I1006" s="94"/>
      <c r="J1006" s="31">
        <f>РЕАЛИЗАЦИЯ[[#This Row],[СОНИ]]*РЕАЛИЗАЦИЯ[[#This Row],[ТАННАРХ]]</f>
        <v>0</v>
      </c>
      <c r="K1006" s="31">
        <f>РЕАЛИЗАЦИЯ[[#This Row],[ЖАМИ]]-РЕАЛИЗАЦИЯ[[#This Row],[ЖАМИ2]]</f>
        <v>0</v>
      </c>
      <c r="L1006" s="31"/>
    </row>
    <row r="1007" spans="3:12" ht="15" customHeight="1" x14ac:dyDescent="0.3">
      <c r="C1007" s="100"/>
      <c r="D1007" s="100"/>
      <c r="G1007" s="50">
        <f>РЕАЛИЗАЦИЯ[[#This Row],[СОНИ]]*РЕАЛИЗАЦИЯ[[#This Row],[НАРХИ]]</f>
        <v>0</v>
      </c>
      <c r="I1007" s="94"/>
      <c r="J1007" s="31">
        <f>РЕАЛИЗАЦИЯ[[#This Row],[СОНИ]]*РЕАЛИЗАЦИЯ[[#This Row],[ТАННАРХ]]</f>
        <v>0</v>
      </c>
      <c r="K1007" s="31">
        <f>РЕАЛИЗАЦИЯ[[#This Row],[ЖАМИ]]-РЕАЛИЗАЦИЯ[[#This Row],[ЖАМИ2]]</f>
        <v>0</v>
      </c>
      <c r="L1007" s="31"/>
    </row>
    <row r="1008" spans="3:12" ht="15" customHeight="1" x14ac:dyDescent="0.3">
      <c r="C1008" s="100"/>
      <c r="D1008" s="100"/>
      <c r="G1008" s="50">
        <f>РЕАЛИЗАЦИЯ[[#This Row],[СОНИ]]*РЕАЛИЗАЦИЯ[[#This Row],[НАРХИ]]</f>
        <v>0</v>
      </c>
      <c r="I1008" s="94"/>
      <c r="J1008" s="31">
        <f>РЕАЛИЗАЦИЯ[[#This Row],[СОНИ]]*РЕАЛИЗАЦИЯ[[#This Row],[ТАННАРХ]]</f>
        <v>0</v>
      </c>
      <c r="K1008" s="31">
        <f>РЕАЛИЗАЦИЯ[[#This Row],[ЖАМИ]]-РЕАЛИЗАЦИЯ[[#This Row],[ЖАМИ2]]</f>
        <v>0</v>
      </c>
      <c r="L1008" s="31"/>
    </row>
    <row r="1009" spans="3:12" ht="15" customHeight="1" x14ac:dyDescent="0.3">
      <c r="C1009" s="100"/>
      <c r="D1009" s="100"/>
      <c r="G1009" s="50">
        <f>РЕАЛИЗАЦИЯ[[#This Row],[СОНИ]]*РЕАЛИЗАЦИЯ[[#This Row],[НАРХИ]]</f>
        <v>0</v>
      </c>
      <c r="I1009" s="94"/>
      <c r="J1009" s="31">
        <f>РЕАЛИЗАЦИЯ[[#This Row],[СОНИ]]*РЕАЛИЗАЦИЯ[[#This Row],[ТАННАРХ]]</f>
        <v>0</v>
      </c>
      <c r="K1009" s="31">
        <f>РЕАЛИЗАЦИЯ[[#This Row],[ЖАМИ]]-РЕАЛИЗАЦИЯ[[#This Row],[ЖАМИ2]]</f>
        <v>0</v>
      </c>
      <c r="L1009" s="31"/>
    </row>
    <row r="1010" spans="3:12" ht="15" customHeight="1" x14ac:dyDescent="0.3">
      <c r="C1010" s="100"/>
      <c r="D1010" s="100"/>
      <c r="G1010" s="50">
        <f>РЕАЛИЗАЦИЯ[[#This Row],[СОНИ]]*РЕАЛИЗАЦИЯ[[#This Row],[НАРХИ]]</f>
        <v>0</v>
      </c>
      <c r="I1010" s="94"/>
      <c r="J1010" s="31">
        <f>РЕАЛИЗАЦИЯ[[#This Row],[СОНИ]]*РЕАЛИЗАЦИЯ[[#This Row],[ТАННАРХ]]</f>
        <v>0</v>
      </c>
      <c r="K1010" s="31">
        <f>РЕАЛИЗАЦИЯ[[#This Row],[ЖАМИ]]-РЕАЛИЗАЦИЯ[[#This Row],[ЖАМИ2]]</f>
        <v>0</v>
      </c>
      <c r="L1010" s="31"/>
    </row>
    <row r="1011" spans="3:12" ht="15" customHeight="1" x14ac:dyDescent="0.3">
      <c r="C1011" s="100"/>
      <c r="D1011" s="100"/>
      <c r="G1011" s="50">
        <f>РЕАЛИЗАЦИЯ[[#This Row],[СОНИ]]*РЕАЛИЗАЦИЯ[[#This Row],[НАРХИ]]</f>
        <v>0</v>
      </c>
      <c r="I1011" s="94"/>
      <c r="J1011" s="31">
        <f>РЕАЛИЗАЦИЯ[[#This Row],[СОНИ]]*РЕАЛИЗАЦИЯ[[#This Row],[ТАННАРХ]]</f>
        <v>0</v>
      </c>
      <c r="K1011" s="31">
        <f>РЕАЛИЗАЦИЯ[[#This Row],[ЖАМИ]]-РЕАЛИЗАЦИЯ[[#This Row],[ЖАМИ2]]</f>
        <v>0</v>
      </c>
      <c r="L1011" s="31"/>
    </row>
    <row r="1012" spans="3:12" ht="15" customHeight="1" x14ac:dyDescent="0.3">
      <c r="C1012" s="100"/>
      <c r="D1012" s="100"/>
      <c r="G1012" s="50">
        <f>РЕАЛИЗАЦИЯ[[#This Row],[СОНИ]]*РЕАЛИЗАЦИЯ[[#This Row],[НАРХИ]]</f>
        <v>0</v>
      </c>
      <c r="I1012" s="94"/>
      <c r="J1012" s="31">
        <f>РЕАЛИЗАЦИЯ[[#This Row],[СОНИ]]*РЕАЛИЗАЦИЯ[[#This Row],[ТАННАРХ]]</f>
        <v>0</v>
      </c>
      <c r="K1012" s="31">
        <f>РЕАЛИЗАЦИЯ[[#This Row],[ЖАМИ]]-РЕАЛИЗАЦИЯ[[#This Row],[ЖАМИ2]]</f>
        <v>0</v>
      </c>
      <c r="L1012" s="31"/>
    </row>
    <row r="1013" spans="3:12" ht="15" customHeight="1" x14ac:dyDescent="0.3">
      <c r="C1013" s="100"/>
      <c r="D1013" s="100"/>
      <c r="G1013" s="50">
        <f>РЕАЛИЗАЦИЯ[[#This Row],[СОНИ]]*РЕАЛИЗАЦИЯ[[#This Row],[НАРХИ]]</f>
        <v>0</v>
      </c>
      <c r="I1013" s="94"/>
      <c r="J1013" s="31">
        <f>РЕАЛИЗАЦИЯ[[#This Row],[СОНИ]]*РЕАЛИЗАЦИЯ[[#This Row],[ТАННАРХ]]</f>
        <v>0</v>
      </c>
      <c r="K1013" s="31">
        <f>РЕАЛИЗАЦИЯ[[#This Row],[ЖАМИ]]-РЕАЛИЗАЦИЯ[[#This Row],[ЖАМИ2]]</f>
        <v>0</v>
      </c>
      <c r="L1013" s="31"/>
    </row>
    <row r="1014" spans="3:12" ht="15" customHeight="1" x14ac:dyDescent="0.3">
      <c r="C1014" s="100"/>
      <c r="D1014" s="100"/>
      <c r="G1014" s="50">
        <f>РЕАЛИЗАЦИЯ[[#This Row],[СОНИ]]*РЕАЛИЗАЦИЯ[[#This Row],[НАРХИ]]</f>
        <v>0</v>
      </c>
      <c r="I1014" s="94"/>
      <c r="J1014" s="31">
        <f>РЕАЛИЗАЦИЯ[[#This Row],[СОНИ]]*РЕАЛИЗАЦИЯ[[#This Row],[ТАННАРХ]]</f>
        <v>0</v>
      </c>
      <c r="K1014" s="31">
        <f>РЕАЛИЗАЦИЯ[[#This Row],[ЖАМИ]]-РЕАЛИЗАЦИЯ[[#This Row],[ЖАМИ2]]</f>
        <v>0</v>
      </c>
      <c r="L1014" s="31"/>
    </row>
    <row r="1015" spans="3:12" ht="15" customHeight="1" x14ac:dyDescent="0.3">
      <c r="C1015" s="100"/>
      <c r="D1015" s="100"/>
      <c r="G1015" s="50">
        <f>РЕАЛИЗАЦИЯ[[#This Row],[СОНИ]]*РЕАЛИЗАЦИЯ[[#This Row],[НАРХИ]]</f>
        <v>0</v>
      </c>
      <c r="I1015" s="94"/>
      <c r="J1015" s="31">
        <f>РЕАЛИЗАЦИЯ[[#This Row],[СОНИ]]*РЕАЛИЗАЦИЯ[[#This Row],[ТАННАРХ]]</f>
        <v>0</v>
      </c>
      <c r="K1015" s="31">
        <f>РЕАЛИЗАЦИЯ[[#This Row],[ЖАМИ]]-РЕАЛИЗАЦИЯ[[#This Row],[ЖАМИ2]]</f>
        <v>0</v>
      </c>
      <c r="L1015" s="31"/>
    </row>
    <row r="1016" spans="3:12" ht="15" customHeight="1" x14ac:dyDescent="0.3">
      <c r="C1016" s="100"/>
      <c r="D1016" s="100"/>
      <c r="G1016" s="50">
        <f>РЕАЛИЗАЦИЯ[[#This Row],[СОНИ]]*РЕАЛИЗАЦИЯ[[#This Row],[НАРХИ]]</f>
        <v>0</v>
      </c>
      <c r="I1016" s="94"/>
      <c r="J1016" s="31">
        <f>РЕАЛИЗАЦИЯ[[#This Row],[СОНИ]]*РЕАЛИЗАЦИЯ[[#This Row],[ТАННАРХ]]</f>
        <v>0</v>
      </c>
      <c r="K1016" s="31">
        <f>РЕАЛИЗАЦИЯ[[#This Row],[ЖАМИ]]-РЕАЛИЗАЦИЯ[[#This Row],[ЖАМИ2]]</f>
        <v>0</v>
      </c>
      <c r="L1016" s="31"/>
    </row>
    <row r="1017" spans="3:12" ht="15" customHeight="1" x14ac:dyDescent="0.3">
      <c r="C1017" s="100"/>
      <c r="D1017" s="100"/>
      <c r="G1017" s="50">
        <f>РЕАЛИЗАЦИЯ[[#This Row],[СОНИ]]*РЕАЛИЗАЦИЯ[[#This Row],[НАРХИ]]</f>
        <v>0</v>
      </c>
      <c r="I1017" s="94"/>
      <c r="J1017" s="31">
        <f>РЕАЛИЗАЦИЯ[[#This Row],[СОНИ]]*РЕАЛИЗАЦИЯ[[#This Row],[ТАННАРХ]]</f>
        <v>0</v>
      </c>
      <c r="K1017" s="31">
        <f>РЕАЛИЗАЦИЯ[[#This Row],[ЖАМИ]]-РЕАЛИЗАЦИЯ[[#This Row],[ЖАМИ2]]</f>
        <v>0</v>
      </c>
      <c r="L1017" s="31"/>
    </row>
    <row r="1018" spans="3:12" ht="15" customHeight="1" x14ac:dyDescent="0.3">
      <c r="C1018" s="100"/>
      <c r="D1018" s="100"/>
      <c r="G1018" s="50">
        <f>РЕАЛИЗАЦИЯ[[#This Row],[СОНИ]]*РЕАЛИЗАЦИЯ[[#This Row],[НАРХИ]]</f>
        <v>0</v>
      </c>
      <c r="I1018" s="94"/>
      <c r="J1018" s="31">
        <f>РЕАЛИЗАЦИЯ[[#This Row],[СОНИ]]*РЕАЛИЗАЦИЯ[[#This Row],[ТАННАРХ]]</f>
        <v>0</v>
      </c>
      <c r="K1018" s="31">
        <f>РЕАЛИЗАЦИЯ[[#This Row],[ЖАМИ]]-РЕАЛИЗАЦИЯ[[#This Row],[ЖАМИ2]]</f>
        <v>0</v>
      </c>
      <c r="L1018" s="31"/>
    </row>
    <row r="1019" spans="3:12" ht="15" customHeight="1" x14ac:dyDescent="0.3">
      <c r="C1019" s="100"/>
      <c r="D1019" s="100"/>
      <c r="G1019" s="50">
        <f>РЕАЛИЗАЦИЯ[[#This Row],[СОНИ]]*РЕАЛИЗАЦИЯ[[#This Row],[НАРХИ]]</f>
        <v>0</v>
      </c>
      <c r="I1019" s="94"/>
      <c r="J1019" s="31">
        <f>РЕАЛИЗАЦИЯ[[#This Row],[СОНИ]]*РЕАЛИЗАЦИЯ[[#This Row],[ТАННАРХ]]</f>
        <v>0</v>
      </c>
      <c r="K1019" s="31">
        <f>РЕАЛИЗАЦИЯ[[#This Row],[ЖАМИ]]-РЕАЛИЗАЦИЯ[[#This Row],[ЖАМИ2]]</f>
        <v>0</v>
      </c>
      <c r="L1019" s="31"/>
    </row>
    <row r="1020" spans="3:12" ht="15" customHeight="1" x14ac:dyDescent="0.3">
      <c r="C1020" s="100"/>
      <c r="D1020" s="100"/>
      <c r="G1020" s="50">
        <f>РЕАЛИЗАЦИЯ[[#This Row],[СОНИ]]*РЕАЛИЗАЦИЯ[[#This Row],[НАРХИ]]</f>
        <v>0</v>
      </c>
      <c r="I1020" s="94"/>
      <c r="J1020" s="31">
        <f>РЕАЛИЗАЦИЯ[[#This Row],[СОНИ]]*РЕАЛИЗАЦИЯ[[#This Row],[ТАННАРХ]]</f>
        <v>0</v>
      </c>
      <c r="K1020" s="31">
        <f>РЕАЛИЗАЦИЯ[[#This Row],[ЖАМИ]]-РЕАЛИЗАЦИЯ[[#This Row],[ЖАМИ2]]</f>
        <v>0</v>
      </c>
      <c r="L1020" s="31"/>
    </row>
    <row r="1021" spans="3:12" ht="15" customHeight="1" x14ac:dyDescent="0.3">
      <c r="C1021" s="100"/>
      <c r="D1021" s="100"/>
      <c r="G1021" s="50">
        <f>РЕАЛИЗАЦИЯ[[#This Row],[СОНИ]]*РЕАЛИЗАЦИЯ[[#This Row],[НАРХИ]]</f>
        <v>0</v>
      </c>
      <c r="I1021" s="94"/>
      <c r="J1021" s="31">
        <f>РЕАЛИЗАЦИЯ[[#This Row],[СОНИ]]*РЕАЛИЗАЦИЯ[[#This Row],[ТАННАРХ]]</f>
        <v>0</v>
      </c>
      <c r="K1021" s="31">
        <f>РЕАЛИЗАЦИЯ[[#This Row],[ЖАМИ]]-РЕАЛИЗАЦИЯ[[#This Row],[ЖАМИ2]]</f>
        <v>0</v>
      </c>
      <c r="L1021" s="31"/>
    </row>
    <row r="1022" spans="3:12" ht="15" customHeight="1" x14ac:dyDescent="0.3">
      <c r="C1022" s="100"/>
      <c r="D1022" s="100"/>
      <c r="G1022" s="50">
        <f>РЕАЛИЗАЦИЯ[[#This Row],[СОНИ]]*РЕАЛИЗАЦИЯ[[#This Row],[НАРХИ]]</f>
        <v>0</v>
      </c>
      <c r="I1022" s="94"/>
      <c r="J1022" s="31">
        <f>РЕАЛИЗАЦИЯ[[#This Row],[СОНИ]]*РЕАЛИЗАЦИЯ[[#This Row],[ТАННАРХ]]</f>
        <v>0</v>
      </c>
      <c r="K1022" s="31">
        <f>РЕАЛИЗАЦИЯ[[#This Row],[ЖАМИ]]-РЕАЛИЗАЦИЯ[[#This Row],[ЖАМИ2]]</f>
        <v>0</v>
      </c>
      <c r="L1022" s="31"/>
    </row>
    <row r="1023" spans="3:12" ht="15" customHeight="1" x14ac:dyDescent="0.3">
      <c r="C1023" s="100"/>
      <c r="D1023" s="100"/>
      <c r="G1023" s="50">
        <f>РЕАЛИЗАЦИЯ[[#This Row],[СОНИ]]*РЕАЛИЗАЦИЯ[[#This Row],[НАРХИ]]</f>
        <v>0</v>
      </c>
      <c r="I1023" s="94"/>
      <c r="J1023" s="31">
        <f>РЕАЛИЗАЦИЯ[[#This Row],[СОНИ]]*РЕАЛИЗАЦИЯ[[#This Row],[ТАННАРХ]]</f>
        <v>0</v>
      </c>
      <c r="K1023" s="31">
        <f>РЕАЛИЗАЦИЯ[[#This Row],[ЖАМИ]]-РЕАЛИЗАЦИЯ[[#This Row],[ЖАМИ2]]</f>
        <v>0</v>
      </c>
      <c r="L1023" s="31"/>
    </row>
    <row r="1024" spans="3:12" ht="15" customHeight="1" x14ac:dyDescent="0.3">
      <c r="C1024" s="100"/>
      <c r="D1024" s="100"/>
      <c r="G1024" s="50">
        <f>РЕАЛИЗАЦИЯ[[#This Row],[СОНИ]]*РЕАЛИЗАЦИЯ[[#This Row],[НАРХИ]]</f>
        <v>0</v>
      </c>
      <c r="I1024" s="94"/>
      <c r="J1024" s="31">
        <f>РЕАЛИЗАЦИЯ[[#This Row],[СОНИ]]*РЕАЛИЗАЦИЯ[[#This Row],[ТАННАРХ]]</f>
        <v>0</v>
      </c>
      <c r="K1024" s="31">
        <f>РЕАЛИЗАЦИЯ[[#This Row],[ЖАМИ]]-РЕАЛИЗАЦИЯ[[#This Row],[ЖАМИ2]]</f>
        <v>0</v>
      </c>
      <c r="L1024" s="31"/>
    </row>
    <row r="1025" spans="3:12" ht="15" customHeight="1" x14ac:dyDescent="0.3">
      <c r="C1025" s="100"/>
      <c r="D1025" s="100"/>
      <c r="G1025" s="50">
        <f>РЕАЛИЗАЦИЯ[[#This Row],[СОНИ]]*РЕАЛИЗАЦИЯ[[#This Row],[НАРХИ]]</f>
        <v>0</v>
      </c>
      <c r="I1025" s="94"/>
      <c r="J1025" s="31">
        <f>РЕАЛИЗАЦИЯ[[#This Row],[СОНИ]]*РЕАЛИЗАЦИЯ[[#This Row],[ТАННАРХ]]</f>
        <v>0</v>
      </c>
      <c r="K1025" s="31">
        <f>РЕАЛИЗАЦИЯ[[#This Row],[ЖАМИ]]-РЕАЛИЗАЦИЯ[[#This Row],[ЖАМИ2]]</f>
        <v>0</v>
      </c>
      <c r="L1025" s="31"/>
    </row>
    <row r="1026" spans="3:12" ht="15" customHeight="1" x14ac:dyDescent="0.3">
      <c r="C1026" s="100"/>
      <c r="D1026" s="100"/>
      <c r="G1026" s="50">
        <f>РЕАЛИЗАЦИЯ[[#This Row],[СОНИ]]*РЕАЛИЗАЦИЯ[[#This Row],[НАРХИ]]</f>
        <v>0</v>
      </c>
      <c r="I1026" s="94"/>
      <c r="J1026" s="31">
        <f>РЕАЛИЗАЦИЯ[[#This Row],[СОНИ]]*РЕАЛИЗАЦИЯ[[#This Row],[ТАННАРХ]]</f>
        <v>0</v>
      </c>
      <c r="K1026" s="31">
        <f>РЕАЛИЗАЦИЯ[[#This Row],[ЖАМИ]]-РЕАЛИЗАЦИЯ[[#This Row],[ЖАМИ2]]</f>
        <v>0</v>
      </c>
      <c r="L1026" s="31"/>
    </row>
    <row r="1027" spans="3:12" ht="15" customHeight="1" x14ac:dyDescent="0.3">
      <c r="C1027" s="100"/>
      <c r="D1027" s="100"/>
      <c r="G1027" s="50">
        <f>РЕАЛИЗАЦИЯ[[#This Row],[СОНИ]]*РЕАЛИЗАЦИЯ[[#This Row],[НАРХИ]]</f>
        <v>0</v>
      </c>
      <c r="I1027" s="94"/>
      <c r="J1027" s="31">
        <f>РЕАЛИЗАЦИЯ[[#This Row],[СОНИ]]*РЕАЛИЗАЦИЯ[[#This Row],[ТАННАРХ]]</f>
        <v>0</v>
      </c>
      <c r="K1027" s="31">
        <f>РЕАЛИЗАЦИЯ[[#This Row],[ЖАМИ]]-РЕАЛИЗАЦИЯ[[#This Row],[ЖАМИ2]]</f>
        <v>0</v>
      </c>
      <c r="L1027" s="31"/>
    </row>
    <row r="1028" spans="3:12" ht="15" customHeight="1" x14ac:dyDescent="0.3">
      <c r="C1028" s="100"/>
      <c r="D1028" s="100"/>
      <c r="G1028" s="50">
        <f>РЕАЛИЗАЦИЯ[[#This Row],[СОНИ]]*РЕАЛИЗАЦИЯ[[#This Row],[НАРХИ]]</f>
        <v>0</v>
      </c>
      <c r="I1028" s="94"/>
      <c r="J1028" s="31">
        <f>РЕАЛИЗАЦИЯ[[#This Row],[СОНИ]]*РЕАЛИЗАЦИЯ[[#This Row],[ТАННАРХ]]</f>
        <v>0</v>
      </c>
      <c r="K1028" s="31">
        <f>РЕАЛИЗАЦИЯ[[#This Row],[ЖАМИ]]-РЕАЛИЗАЦИЯ[[#This Row],[ЖАМИ2]]</f>
        <v>0</v>
      </c>
      <c r="L1028" s="31"/>
    </row>
    <row r="1029" spans="3:12" x14ac:dyDescent="0.3">
      <c r="C1029" s="100"/>
      <c r="D1029" s="100"/>
      <c r="G1029" s="50">
        <f>РЕАЛИЗАЦИЯ[[#This Row],[СОНИ]]*РЕАЛИЗАЦИЯ[[#This Row],[НАРХИ]]</f>
        <v>0</v>
      </c>
      <c r="I1029" s="94"/>
      <c r="J1029" s="31">
        <f>РЕАЛИЗАЦИЯ[[#This Row],[СОНИ]]*РЕАЛИЗАЦИЯ[[#This Row],[ТАННАРХ]]</f>
        <v>0</v>
      </c>
      <c r="K1029" s="31">
        <f>РЕАЛИЗАЦИЯ[[#This Row],[ЖАМИ]]-РЕАЛИЗАЦИЯ[[#This Row],[ЖАМИ2]]</f>
        <v>0</v>
      </c>
      <c r="L1029" s="31"/>
    </row>
    <row r="1030" spans="3:12" ht="15" customHeight="1" x14ac:dyDescent="0.3">
      <c r="C1030" s="100"/>
      <c r="D1030" s="100"/>
      <c r="G1030" s="50">
        <f>РЕАЛИЗАЦИЯ[[#This Row],[СОНИ]]*РЕАЛИЗАЦИЯ[[#This Row],[НАРХИ]]</f>
        <v>0</v>
      </c>
      <c r="I1030" s="94"/>
      <c r="J1030" s="31">
        <f>РЕАЛИЗАЦИЯ[[#This Row],[СОНИ]]*РЕАЛИЗАЦИЯ[[#This Row],[ТАННАРХ]]</f>
        <v>0</v>
      </c>
      <c r="K1030" s="31">
        <f>РЕАЛИЗАЦИЯ[[#This Row],[ЖАМИ]]-РЕАЛИЗАЦИЯ[[#This Row],[ЖАМИ2]]</f>
        <v>0</v>
      </c>
      <c r="L1030" s="31"/>
    </row>
    <row r="1031" spans="3:12" ht="15" customHeight="1" x14ac:dyDescent="0.3">
      <c r="C1031" s="100"/>
      <c r="D1031" s="100"/>
      <c r="G1031" s="50">
        <f>РЕАЛИЗАЦИЯ[[#This Row],[СОНИ]]*РЕАЛИЗАЦИЯ[[#This Row],[НАРХИ]]</f>
        <v>0</v>
      </c>
      <c r="I1031" s="94"/>
      <c r="J1031" s="31">
        <f>РЕАЛИЗАЦИЯ[[#This Row],[СОНИ]]*РЕАЛИЗАЦИЯ[[#This Row],[ТАННАРХ]]</f>
        <v>0</v>
      </c>
      <c r="K1031" s="31">
        <f>РЕАЛИЗАЦИЯ[[#This Row],[ЖАМИ]]-РЕАЛИЗАЦИЯ[[#This Row],[ЖАМИ2]]</f>
        <v>0</v>
      </c>
      <c r="L1031" s="31"/>
    </row>
    <row r="1032" spans="3:12" ht="15" customHeight="1" x14ac:dyDescent="0.3">
      <c r="C1032" s="100"/>
      <c r="D1032" s="100"/>
      <c r="G1032" s="50">
        <f>РЕАЛИЗАЦИЯ[[#This Row],[СОНИ]]*РЕАЛИЗАЦИЯ[[#This Row],[НАРХИ]]</f>
        <v>0</v>
      </c>
      <c r="I1032" s="94"/>
      <c r="J1032" s="31">
        <f>РЕАЛИЗАЦИЯ[[#This Row],[СОНИ]]*РЕАЛИЗАЦИЯ[[#This Row],[ТАННАРХ]]</f>
        <v>0</v>
      </c>
      <c r="K1032" s="31">
        <f>РЕАЛИЗАЦИЯ[[#This Row],[ЖАМИ]]-РЕАЛИЗАЦИЯ[[#This Row],[ЖАМИ2]]</f>
        <v>0</v>
      </c>
      <c r="L1032" s="31"/>
    </row>
    <row r="1033" spans="3:12" ht="15" customHeight="1" x14ac:dyDescent="0.3">
      <c r="C1033" s="100"/>
      <c r="D1033" s="100"/>
      <c r="G1033" s="50">
        <f>РЕАЛИЗАЦИЯ[[#This Row],[СОНИ]]*РЕАЛИЗАЦИЯ[[#This Row],[НАРХИ]]</f>
        <v>0</v>
      </c>
      <c r="I1033" s="94"/>
      <c r="J1033" s="31">
        <f>РЕАЛИЗАЦИЯ[[#This Row],[СОНИ]]*РЕАЛИЗАЦИЯ[[#This Row],[ТАННАРХ]]</f>
        <v>0</v>
      </c>
      <c r="K1033" s="31">
        <f>РЕАЛИЗАЦИЯ[[#This Row],[ЖАМИ]]-РЕАЛИЗАЦИЯ[[#This Row],[ЖАМИ2]]</f>
        <v>0</v>
      </c>
      <c r="L1033" s="31"/>
    </row>
    <row r="1034" spans="3:12" ht="15" customHeight="1" x14ac:dyDescent="0.3">
      <c r="C1034" s="100"/>
      <c r="D1034" s="100"/>
      <c r="G1034" s="50">
        <f>РЕАЛИЗАЦИЯ[[#This Row],[СОНИ]]*РЕАЛИЗАЦИЯ[[#This Row],[НАРХИ]]</f>
        <v>0</v>
      </c>
      <c r="I1034" s="94"/>
      <c r="J1034" s="31">
        <f>РЕАЛИЗАЦИЯ[[#This Row],[СОНИ]]*РЕАЛИЗАЦИЯ[[#This Row],[ТАННАРХ]]</f>
        <v>0</v>
      </c>
      <c r="K1034" s="31">
        <f>РЕАЛИЗАЦИЯ[[#This Row],[ЖАМИ]]-РЕАЛИЗАЦИЯ[[#This Row],[ЖАМИ2]]</f>
        <v>0</v>
      </c>
      <c r="L1034" s="31"/>
    </row>
    <row r="1035" spans="3:12" ht="15" customHeight="1" x14ac:dyDescent="0.3">
      <c r="C1035" s="100"/>
      <c r="D1035" s="100"/>
      <c r="G1035" s="50">
        <f>РЕАЛИЗАЦИЯ[[#This Row],[СОНИ]]*РЕАЛИЗАЦИЯ[[#This Row],[НАРХИ]]</f>
        <v>0</v>
      </c>
      <c r="I1035" s="94"/>
      <c r="J1035" s="31">
        <f>РЕАЛИЗАЦИЯ[[#This Row],[СОНИ]]*РЕАЛИЗАЦИЯ[[#This Row],[ТАННАРХ]]</f>
        <v>0</v>
      </c>
      <c r="K1035" s="31">
        <f>РЕАЛИЗАЦИЯ[[#This Row],[ЖАМИ]]-РЕАЛИЗАЦИЯ[[#This Row],[ЖАМИ2]]</f>
        <v>0</v>
      </c>
      <c r="L1035" s="31"/>
    </row>
    <row r="1036" spans="3:12" ht="15" customHeight="1" x14ac:dyDescent="0.3">
      <c r="C1036" s="100"/>
      <c r="D1036" s="100"/>
      <c r="G1036" s="50">
        <f>РЕАЛИЗАЦИЯ[[#This Row],[СОНИ]]*РЕАЛИЗАЦИЯ[[#This Row],[НАРХИ]]</f>
        <v>0</v>
      </c>
      <c r="I1036" s="94"/>
      <c r="J1036" s="31">
        <f>РЕАЛИЗАЦИЯ[[#This Row],[СОНИ]]*РЕАЛИЗАЦИЯ[[#This Row],[ТАННАРХ]]</f>
        <v>0</v>
      </c>
      <c r="K1036" s="31">
        <f>РЕАЛИЗАЦИЯ[[#This Row],[ЖАМИ]]-РЕАЛИЗАЦИЯ[[#This Row],[ЖАМИ2]]</f>
        <v>0</v>
      </c>
      <c r="L1036" s="31"/>
    </row>
    <row r="1037" spans="3:12" ht="15" customHeight="1" x14ac:dyDescent="0.3">
      <c r="C1037" s="100"/>
      <c r="D1037" s="100"/>
      <c r="G1037" s="50">
        <f>РЕАЛИЗАЦИЯ[[#This Row],[СОНИ]]*РЕАЛИЗАЦИЯ[[#This Row],[НАРХИ]]</f>
        <v>0</v>
      </c>
      <c r="I1037" s="94"/>
      <c r="J1037" s="31">
        <f>РЕАЛИЗАЦИЯ[[#This Row],[СОНИ]]*РЕАЛИЗАЦИЯ[[#This Row],[ТАННАРХ]]</f>
        <v>0</v>
      </c>
      <c r="K1037" s="31">
        <f>РЕАЛИЗАЦИЯ[[#This Row],[ЖАМИ]]-РЕАЛИЗАЦИЯ[[#This Row],[ЖАМИ2]]</f>
        <v>0</v>
      </c>
      <c r="L1037" s="31"/>
    </row>
    <row r="1038" spans="3:12" ht="15" customHeight="1" x14ac:dyDescent="0.3">
      <c r="C1038" s="100"/>
      <c r="D1038" s="100"/>
      <c r="G1038" s="50">
        <f>РЕАЛИЗАЦИЯ[[#This Row],[СОНИ]]*РЕАЛИЗАЦИЯ[[#This Row],[НАРХИ]]</f>
        <v>0</v>
      </c>
      <c r="I1038" s="94"/>
      <c r="J1038" s="31">
        <f>РЕАЛИЗАЦИЯ[[#This Row],[СОНИ]]*РЕАЛИЗАЦИЯ[[#This Row],[ТАННАРХ]]</f>
        <v>0</v>
      </c>
      <c r="K1038" s="31">
        <f>РЕАЛИЗАЦИЯ[[#This Row],[ЖАМИ]]-РЕАЛИЗАЦИЯ[[#This Row],[ЖАМИ2]]</f>
        <v>0</v>
      </c>
      <c r="L1038" s="31"/>
    </row>
    <row r="1039" spans="3:12" ht="15" customHeight="1" x14ac:dyDescent="0.3">
      <c r="C1039" s="100"/>
      <c r="D1039" s="100"/>
      <c r="G1039" s="50">
        <f>РЕАЛИЗАЦИЯ[[#This Row],[СОНИ]]*РЕАЛИЗАЦИЯ[[#This Row],[НАРХИ]]</f>
        <v>0</v>
      </c>
      <c r="I1039" s="94"/>
      <c r="J1039" s="31">
        <f>РЕАЛИЗАЦИЯ[[#This Row],[СОНИ]]*РЕАЛИЗАЦИЯ[[#This Row],[ТАННАРХ]]</f>
        <v>0</v>
      </c>
      <c r="K1039" s="31">
        <f>РЕАЛИЗАЦИЯ[[#This Row],[ЖАМИ]]-РЕАЛИЗАЦИЯ[[#This Row],[ЖАМИ2]]</f>
        <v>0</v>
      </c>
      <c r="L1039" s="31"/>
    </row>
    <row r="1040" spans="3:12" ht="15" customHeight="1" x14ac:dyDescent="0.3">
      <c r="C1040" s="100"/>
      <c r="D1040" s="100"/>
      <c r="G1040" s="50">
        <f>РЕАЛИЗАЦИЯ[[#This Row],[СОНИ]]*РЕАЛИЗАЦИЯ[[#This Row],[НАРХИ]]</f>
        <v>0</v>
      </c>
      <c r="I1040" s="94"/>
      <c r="J1040" s="31">
        <f>РЕАЛИЗАЦИЯ[[#This Row],[СОНИ]]*РЕАЛИЗАЦИЯ[[#This Row],[ТАННАРХ]]</f>
        <v>0</v>
      </c>
      <c r="K1040" s="31">
        <f>РЕАЛИЗАЦИЯ[[#This Row],[ЖАМИ]]-РЕАЛИЗАЦИЯ[[#This Row],[ЖАМИ2]]</f>
        <v>0</v>
      </c>
      <c r="L1040" s="31"/>
    </row>
    <row r="1041" spans="3:12" ht="15" customHeight="1" x14ac:dyDescent="0.3">
      <c r="C1041" s="100"/>
      <c r="D1041" s="100"/>
      <c r="G1041" s="50">
        <f>РЕАЛИЗАЦИЯ[[#This Row],[СОНИ]]*РЕАЛИЗАЦИЯ[[#This Row],[НАРХИ]]</f>
        <v>0</v>
      </c>
      <c r="I1041" s="94"/>
      <c r="J1041" s="31">
        <f>РЕАЛИЗАЦИЯ[[#This Row],[СОНИ]]*РЕАЛИЗАЦИЯ[[#This Row],[ТАННАРХ]]</f>
        <v>0</v>
      </c>
      <c r="K1041" s="31">
        <f>РЕАЛИЗАЦИЯ[[#This Row],[ЖАМИ]]-РЕАЛИЗАЦИЯ[[#This Row],[ЖАМИ2]]</f>
        <v>0</v>
      </c>
      <c r="L1041" s="31"/>
    </row>
    <row r="1042" spans="3:12" ht="15" customHeight="1" x14ac:dyDescent="0.3">
      <c r="C1042" s="100"/>
      <c r="D1042" s="100"/>
      <c r="G1042" s="50">
        <f>РЕАЛИЗАЦИЯ[[#This Row],[СОНИ]]*РЕАЛИЗАЦИЯ[[#This Row],[НАРХИ]]</f>
        <v>0</v>
      </c>
      <c r="I1042" s="94"/>
      <c r="J1042" s="31">
        <f>РЕАЛИЗАЦИЯ[[#This Row],[СОНИ]]*РЕАЛИЗАЦИЯ[[#This Row],[ТАННАРХ]]</f>
        <v>0</v>
      </c>
      <c r="K1042" s="31">
        <f>РЕАЛИЗАЦИЯ[[#This Row],[ЖАМИ]]-РЕАЛИЗАЦИЯ[[#This Row],[ЖАМИ2]]</f>
        <v>0</v>
      </c>
      <c r="L1042" s="31"/>
    </row>
    <row r="1043" spans="3:12" ht="15" customHeight="1" x14ac:dyDescent="0.3">
      <c r="C1043" s="100"/>
      <c r="D1043" s="100"/>
      <c r="G1043" s="50">
        <f>РЕАЛИЗАЦИЯ[[#This Row],[СОНИ]]*РЕАЛИЗАЦИЯ[[#This Row],[НАРХИ]]</f>
        <v>0</v>
      </c>
      <c r="I1043" s="94"/>
      <c r="J1043" s="31">
        <f>РЕАЛИЗАЦИЯ[[#This Row],[СОНИ]]*РЕАЛИЗАЦИЯ[[#This Row],[ТАННАРХ]]</f>
        <v>0</v>
      </c>
      <c r="K1043" s="31">
        <f>РЕАЛИЗАЦИЯ[[#This Row],[ЖАМИ]]-РЕАЛИЗАЦИЯ[[#This Row],[ЖАМИ2]]</f>
        <v>0</v>
      </c>
      <c r="L1043" s="31"/>
    </row>
    <row r="1044" spans="3:12" ht="15" customHeight="1" x14ac:dyDescent="0.3">
      <c r="C1044" s="100"/>
      <c r="D1044" s="100"/>
      <c r="G1044" s="50">
        <f>РЕАЛИЗАЦИЯ[[#This Row],[СОНИ]]*РЕАЛИЗАЦИЯ[[#This Row],[НАРХИ]]</f>
        <v>0</v>
      </c>
      <c r="I1044" s="94"/>
      <c r="J1044" s="31">
        <f>РЕАЛИЗАЦИЯ[[#This Row],[СОНИ]]*РЕАЛИЗАЦИЯ[[#This Row],[ТАННАРХ]]</f>
        <v>0</v>
      </c>
      <c r="K1044" s="31">
        <f>РЕАЛИЗАЦИЯ[[#This Row],[ЖАМИ]]-РЕАЛИЗАЦИЯ[[#This Row],[ЖАМИ2]]</f>
        <v>0</v>
      </c>
      <c r="L1044" s="31"/>
    </row>
    <row r="1045" spans="3:12" x14ac:dyDescent="0.3">
      <c r="C1045" s="100"/>
      <c r="D1045" s="100"/>
      <c r="G1045" s="50">
        <f>РЕАЛИЗАЦИЯ[[#This Row],[СОНИ]]*РЕАЛИЗАЦИЯ[[#This Row],[НАРХИ]]</f>
        <v>0</v>
      </c>
      <c r="I1045" s="94"/>
      <c r="J1045" s="31">
        <f>РЕАЛИЗАЦИЯ[[#This Row],[СОНИ]]*РЕАЛИЗАЦИЯ[[#This Row],[ТАННАРХ]]</f>
        <v>0</v>
      </c>
      <c r="K1045" s="31">
        <f>РЕАЛИЗАЦИЯ[[#This Row],[ЖАМИ]]-РЕАЛИЗАЦИЯ[[#This Row],[ЖАМИ2]]</f>
        <v>0</v>
      </c>
      <c r="L1045" s="31"/>
    </row>
    <row r="1046" spans="3:12" ht="15" customHeight="1" x14ac:dyDescent="0.3">
      <c r="C1046" s="100"/>
      <c r="D1046" s="100"/>
      <c r="G1046" s="50">
        <f>РЕАЛИЗАЦИЯ[[#This Row],[СОНИ]]*РЕАЛИЗАЦИЯ[[#This Row],[НАРХИ]]</f>
        <v>0</v>
      </c>
      <c r="I1046" s="94"/>
      <c r="J1046" s="31">
        <f>РЕАЛИЗАЦИЯ[[#This Row],[СОНИ]]*РЕАЛИЗАЦИЯ[[#This Row],[ТАННАРХ]]</f>
        <v>0</v>
      </c>
      <c r="K1046" s="31">
        <f>РЕАЛИЗАЦИЯ[[#This Row],[ЖАМИ]]-РЕАЛИЗАЦИЯ[[#This Row],[ЖАМИ2]]</f>
        <v>0</v>
      </c>
      <c r="L1046" s="31"/>
    </row>
    <row r="1047" spans="3:12" ht="15" customHeight="1" x14ac:dyDescent="0.3">
      <c r="C1047" s="100"/>
      <c r="D1047" s="100"/>
      <c r="G1047" s="50">
        <f>РЕАЛИЗАЦИЯ[[#This Row],[СОНИ]]*РЕАЛИЗАЦИЯ[[#This Row],[НАРХИ]]</f>
        <v>0</v>
      </c>
      <c r="I1047" s="94"/>
      <c r="J1047" s="31">
        <f>РЕАЛИЗАЦИЯ[[#This Row],[СОНИ]]*РЕАЛИЗАЦИЯ[[#This Row],[ТАННАРХ]]</f>
        <v>0</v>
      </c>
      <c r="K1047" s="31">
        <f>РЕАЛИЗАЦИЯ[[#This Row],[ЖАМИ]]-РЕАЛИЗАЦИЯ[[#This Row],[ЖАМИ2]]</f>
        <v>0</v>
      </c>
      <c r="L1047" s="31"/>
    </row>
    <row r="1048" spans="3:12" ht="15" customHeight="1" x14ac:dyDescent="0.3">
      <c r="C1048" s="100"/>
      <c r="D1048" s="100"/>
      <c r="G1048" s="50">
        <f>РЕАЛИЗАЦИЯ[[#This Row],[СОНИ]]*РЕАЛИЗАЦИЯ[[#This Row],[НАРХИ]]</f>
        <v>0</v>
      </c>
      <c r="I1048" s="94"/>
      <c r="J1048" s="31">
        <f>РЕАЛИЗАЦИЯ[[#This Row],[СОНИ]]*РЕАЛИЗАЦИЯ[[#This Row],[ТАННАРХ]]</f>
        <v>0</v>
      </c>
      <c r="K1048" s="31">
        <f>РЕАЛИЗАЦИЯ[[#This Row],[ЖАМИ]]-РЕАЛИЗАЦИЯ[[#This Row],[ЖАМИ2]]</f>
        <v>0</v>
      </c>
      <c r="L1048" s="31"/>
    </row>
    <row r="1049" spans="3:12" ht="15" customHeight="1" x14ac:dyDescent="0.3">
      <c r="C1049" s="100"/>
      <c r="D1049" s="100"/>
      <c r="G1049" s="50">
        <f>РЕАЛИЗАЦИЯ[[#This Row],[СОНИ]]*РЕАЛИЗАЦИЯ[[#This Row],[НАРХИ]]</f>
        <v>0</v>
      </c>
      <c r="I1049" s="94"/>
      <c r="J1049" s="31">
        <f>РЕАЛИЗАЦИЯ[[#This Row],[СОНИ]]*РЕАЛИЗАЦИЯ[[#This Row],[ТАННАРХ]]</f>
        <v>0</v>
      </c>
      <c r="K1049" s="31">
        <f>РЕАЛИЗАЦИЯ[[#This Row],[ЖАМИ]]-РЕАЛИЗАЦИЯ[[#This Row],[ЖАМИ2]]</f>
        <v>0</v>
      </c>
      <c r="L1049" s="31"/>
    </row>
    <row r="1050" spans="3:12" ht="15" customHeight="1" x14ac:dyDescent="0.3">
      <c r="C1050" s="100"/>
      <c r="D1050" s="100"/>
      <c r="G1050" s="50">
        <f>РЕАЛИЗАЦИЯ[[#This Row],[СОНИ]]*РЕАЛИЗАЦИЯ[[#This Row],[НАРХИ]]</f>
        <v>0</v>
      </c>
      <c r="I1050" s="94"/>
      <c r="J1050" s="31">
        <f>РЕАЛИЗАЦИЯ[[#This Row],[СОНИ]]*РЕАЛИЗАЦИЯ[[#This Row],[ТАННАРХ]]</f>
        <v>0</v>
      </c>
      <c r="K1050" s="31">
        <f>РЕАЛИЗАЦИЯ[[#This Row],[ЖАМИ]]-РЕАЛИЗАЦИЯ[[#This Row],[ЖАМИ2]]</f>
        <v>0</v>
      </c>
      <c r="L1050" s="31"/>
    </row>
    <row r="1051" spans="3:12" ht="15" customHeight="1" x14ac:dyDescent="0.3">
      <c r="C1051" s="154"/>
      <c r="D1051" s="154"/>
      <c r="G1051" s="50">
        <f>РЕАЛИЗАЦИЯ[[#This Row],[СОНИ]]*РЕАЛИЗАЦИЯ[[#This Row],[НАРХИ]]</f>
        <v>0</v>
      </c>
      <c r="I1051" s="132"/>
      <c r="J1051" s="31">
        <f>РЕАЛИЗАЦИЯ[[#This Row],[СОНИ]]*РЕАЛИЗАЦИЯ[[#This Row],[ТАННАРХ]]</f>
        <v>0</v>
      </c>
      <c r="K1051" s="31">
        <f>РЕАЛИЗАЦИЯ[[#This Row],[ЖАМИ]]-РЕАЛИЗАЦИЯ[[#This Row],[ЖАМИ2]]</f>
        <v>0</v>
      </c>
      <c r="L1051" s="31"/>
    </row>
    <row r="1052" spans="3:12" ht="15" customHeight="1" x14ac:dyDescent="0.3">
      <c r="C1052" s="100"/>
      <c r="D1052" s="100"/>
      <c r="G1052" s="50">
        <f>РЕАЛИЗАЦИЯ[[#This Row],[СОНИ]]*РЕАЛИЗАЦИЯ[[#This Row],[НАРХИ]]</f>
        <v>0</v>
      </c>
      <c r="I1052" s="94"/>
      <c r="J1052" s="31">
        <f>РЕАЛИЗАЦИЯ[[#This Row],[СОНИ]]*РЕАЛИЗАЦИЯ[[#This Row],[ТАННАРХ]]</f>
        <v>0</v>
      </c>
      <c r="K1052" s="31">
        <f>РЕАЛИЗАЦИЯ[[#This Row],[ЖАМИ]]-РЕАЛИЗАЦИЯ[[#This Row],[ЖАМИ2]]</f>
        <v>0</v>
      </c>
      <c r="L1052" s="31"/>
    </row>
    <row r="1053" spans="3:12" ht="15" customHeight="1" x14ac:dyDescent="0.3">
      <c r="C1053" s="100"/>
      <c r="D1053" s="100"/>
      <c r="G1053" s="50">
        <f>РЕАЛИЗАЦИЯ[[#This Row],[СОНИ]]*РЕАЛИЗАЦИЯ[[#This Row],[НАРХИ]]</f>
        <v>0</v>
      </c>
      <c r="I1053" s="94"/>
      <c r="J1053" s="31">
        <f>РЕАЛИЗАЦИЯ[[#This Row],[СОНИ]]*РЕАЛИЗАЦИЯ[[#This Row],[ТАННАРХ]]</f>
        <v>0</v>
      </c>
      <c r="K1053" s="31">
        <f>РЕАЛИЗАЦИЯ[[#This Row],[ЖАМИ]]-РЕАЛИЗАЦИЯ[[#This Row],[ЖАМИ2]]</f>
        <v>0</v>
      </c>
      <c r="L1053" s="31"/>
    </row>
    <row r="1054" spans="3:12" ht="15" customHeight="1" x14ac:dyDescent="0.3">
      <c r="C1054" s="100"/>
      <c r="D1054" s="100"/>
      <c r="G1054" s="50">
        <f>РЕАЛИЗАЦИЯ[[#This Row],[СОНИ]]*РЕАЛИЗАЦИЯ[[#This Row],[НАРХИ]]</f>
        <v>0</v>
      </c>
      <c r="I1054" s="94"/>
      <c r="J1054" s="31">
        <f>РЕАЛИЗАЦИЯ[[#This Row],[СОНИ]]*РЕАЛИЗАЦИЯ[[#This Row],[ТАННАРХ]]</f>
        <v>0</v>
      </c>
      <c r="K1054" s="31">
        <f>РЕАЛИЗАЦИЯ[[#This Row],[ЖАМИ]]-РЕАЛИЗАЦИЯ[[#This Row],[ЖАМИ2]]</f>
        <v>0</v>
      </c>
      <c r="L1054" s="31"/>
    </row>
    <row r="1055" spans="3:12" ht="15" customHeight="1" x14ac:dyDescent="0.3">
      <c r="C1055" s="100"/>
      <c r="D1055" s="100"/>
      <c r="G1055" s="50">
        <f>РЕАЛИЗАЦИЯ[[#This Row],[СОНИ]]*РЕАЛИЗАЦИЯ[[#This Row],[НАРХИ]]</f>
        <v>0</v>
      </c>
      <c r="I1055" s="94"/>
      <c r="J1055" s="31">
        <f>РЕАЛИЗАЦИЯ[[#This Row],[СОНИ]]*РЕАЛИЗАЦИЯ[[#This Row],[ТАННАРХ]]</f>
        <v>0</v>
      </c>
      <c r="K1055" s="31">
        <f>РЕАЛИЗАЦИЯ[[#This Row],[ЖАМИ]]-РЕАЛИЗАЦИЯ[[#This Row],[ЖАМИ2]]</f>
        <v>0</v>
      </c>
      <c r="L1055" s="31"/>
    </row>
    <row r="1056" spans="3:12" ht="15" customHeight="1" x14ac:dyDescent="0.3">
      <c r="C1056" s="154"/>
      <c r="D1056" s="154"/>
      <c r="G1056" s="50">
        <f>РЕАЛИЗАЦИЯ[[#This Row],[СОНИ]]*РЕАЛИЗАЦИЯ[[#This Row],[НАРХИ]]</f>
        <v>0</v>
      </c>
      <c r="I1056" s="132"/>
      <c r="J1056" s="31">
        <f>РЕАЛИЗАЦИЯ[[#This Row],[СОНИ]]*РЕАЛИЗАЦИЯ[[#This Row],[ТАННАРХ]]</f>
        <v>0</v>
      </c>
      <c r="K1056" s="31">
        <f>РЕАЛИЗАЦИЯ[[#This Row],[ЖАМИ]]-РЕАЛИЗАЦИЯ[[#This Row],[ЖАМИ2]]</f>
        <v>0</v>
      </c>
      <c r="L1056" s="31"/>
    </row>
    <row r="1057" spans="3:12" ht="15" customHeight="1" x14ac:dyDescent="0.3">
      <c r="C1057" s="100"/>
      <c r="D1057" s="100"/>
      <c r="G1057" s="50">
        <f>РЕАЛИЗАЦИЯ[[#This Row],[СОНИ]]*РЕАЛИЗАЦИЯ[[#This Row],[НАРХИ]]</f>
        <v>0</v>
      </c>
      <c r="I1057" s="94"/>
      <c r="J1057" s="31">
        <f>РЕАЛИЗАЦИЯ[[#This Row],[СОНИ]]*РЕАЛИЗАЦИЯ[[#This Row],[ТАННАРХ]]</f>
        <v>0</v>
      </c>
      <c r="K1057" s="31">
        <f>РЕАЛИЗАЦИЯ[[#This Row],[ЖАМИ]]-РЕАЛИЗАЦИЯ[[#This Row],[ЖАМИ2]]</f>
        <v>0</v>
      </c>
      <c r="L1057" s="31"/>
    </row>
    <row r="1058" spans="3:12" ht="15" customHeight="1" x14ac:dyDescent="0.3">
      <c r="C1058" s="100"/>
      <c r="D1058" s="100"/>
      <c r="G1058" s="50">
        <f>РЕАЛИЗАЦИЯ[[#This Row],[СОНИ]]*РЕАЛИЗАЦИЯ[[#This Row],[НАРХИ]]</f>
        <v>0</v>
      </c>
      <c r="I1058" s="94"/>
      <c r="J1058" s="31">
        <f>РЕАЛИЗАЦИЯ[[#This Row],[СОНИ]]*РЕАЛИЗАЦИЯ[[#This Row],[ТАННАРХ]]</f>
        <v>0</v>
      </c>
      <c r="K1058" s="31">
        <f>РЕАЛИЗАЦИЯ[[#This Row],[ЖАМИ]]-РЕАЛИЗАЦИЯ[[#This Row],[ЖАМИ2]]</f>
        <v>0</v>
      </c>
      <c r="L1058" s="31"/>
    </row>
    <row r="1059" spans="3:12" ht="15" customHeight="1" x14ac:dyDescent="0.3">
      <c r="C1059" s="100"/>
      <c r="D1059" s="100"/>
      <c r="G1059" s="50">
        <f>РЕАЛИЗАЦИЯ[[#This Row],[СОНИ]]*РЕАЛИЗАЦИЯ[[#This Row],[НАРХИ]]</f>
        <v>0</v>
      </c>
      <c r="I1059" s="94"/>
      <c r="J1059" s="31">
        <f>РЕАЛИЗАЦИЯ[[#This Row],[СОНИ]]*РЕАЛИЗАЦИЯ[[#This Row],[ТАННАРХ]]</f>
        <v>0</v>
      </c>
      <c r="K1059" s="31">
        <f>РЕАЛИЗАЦИЯ[[#This Row],[ЖАМИ]]-РЕАЛИЗАЦИЯ[[#This Row],[ЖАМИ2]]</f>
        <v>0</v>
      </c>
      <c r="L1059" s="31"/>
    </row>
    <row r="1060" spans="3:12" ht="15" customHeight="1" x14ac:dyDescent="0.3">
      <c r="C1060" s="106"/>
      <c r="D1060" s="106"/>
      <c r="G1060" s="50">
        <f>РЕАЛИЗАЦИЯ[[#This Row],[СОНИ]]*РЕАЛИЗАЦИЯ[[#This Row],[НАРХИ]]</f>
        <v>0</v>
      </c>
      <c r="I1060" s="94"/>
      <c r="J1060" s="31">
        <f>РЕАЛИЗАЦИЯ[[#This Row],[СОНИ]]*РЕАЛИЗАЦИЯ[[#This Row],[ТАННАРХ]]</f>
        <v>0</v>
      </c>
      <c r="K1060" s="31">
        <f>РЕАЛИЗАЦИЯ[[#This Row],[ЖАМИ]]-РЕАЛИЗАЦИЯ[[#This Row],[ЖАМИ2]]</f>
        <v>0</v>
      </c>
      <c r="L1060" s="31"/>
    </row>
    <row r="1061" spans="3:12" ht="15" customHeight="1" x14ac:dyDescent="0.3">
      <c r="C1061" s="106"/>
      <c r="D1061" s="106"/>
      <c r="G1061" s="50">
        <f>РЕАЛИЗАЦИЯ[[#This Row],[СОНИ]]*РЕАЛИЗАЦИЯ[[#This Row],[НАРХИ]]</f>
        <v>0</v>
      </c>
      <c r="I1061" s="94"/>
      <c r="J1061" s="31">
        <f>РЕАЛИЗАЦИЯ[[#This Row],[СОНИ]]*РЕАЛИЗАЦИЯ[[#This Row],[ТАННАРХ]]</f>
        <v>0</v>
      </c>
      <c r="K1061" s="31">
        <f>РЕАЛИЗАЦИЯ[[#This Row],[ЖАМИ]]-РЕАЛИЗАЦИЯ[[#This Row],[ЖАМИ2]]</f>
        <v>0</v>
      </c>
      <c r="L1061" s="31"/>
    </row>
    <row r="1062" spans="3:12" ht="15" customHeight="1" x14ac:dyDescent="0.3">
      <c r="C1062" s="100"/>
      <c r="D1062" s="100"/>
      <c r="G1062" s="50">
        <f>РЕАЛИЗАЦИЯ[[#This Row],[СОНИ]]*РЕАЛИЗАЦИЯ[[#This Row],[НАРХИ]]</f>
        <v>0</v>
      </c>
      <c r="I1062" s="94"/>
      <c r="J1062" s="31">
        <f>РЕАЛИЗАЦИЯ[[#This Row],[СОНИ]]*РЕАЛИЗАЦИЯ[[#This Row],[ТАННАРХ]]</f>
        <v>0</v>
      </c>
      <c r="K1062" s="31">
        <f>РЕАЛИЗАЦИЯ[[#This Row],[ЖАМИ]]-РЕАЛИЗАЦИЯ[[#This Row],[ЖАМИ2]]</f>
        <v>0</v>
      </c>
      <c r="L1062" s="31"/>
    </row>
    <row r="1063" spans="3:12" ht="15" customHeight="1" x14ac:dyDescent="0.3">
      <c r="C1063" s="100"/>
      <c r="D1063" s="100"/>
      <c r="G1063" s="50">
        <f>РЕАЛИЗАЦИЯ[[#This Row],[СОНИ]]*РЕАЛИЗАЦИЯ[[#This Row],[НАРХИ]]</f>
        <v>0</v>
      </c>
      <c r="I1063" s="94"/>
      <c r="J1063" s="31">
        <f>РЕАЛИЗАЦИЯ[[#This Row],[СОНИ]]*РЕАЛИЗАЦИЯ[[#This Row],[ТАННАРХ]]</f>
        <v>0</v>
      </c>
      <c r="K1063" s="31">
        <f>РЕАЛИЗАЦИЯ[[#This Row],[ЖАМИ]]-РЕАЛИЗАЦИЯ[[#This Row],[ЖАМИ2]]</f>
        <v>0</v>
      </c>
      <c r="L1063" s="31"/>
    </row>
    <row r="1064" spans="3:12" ht="15" customHeight="1" x14ac:dyDescent="0.3">
      <c r="C1064" s="100"/>
      <c r="D1064" s="100"/>
      <c r="G1064" s="50">
        <f>РЕАЛИЗАЦИЯ[[#This Row],[СОНИ]]*РЕАЛИЗАЦИЯ[[#This Row],[НАРХИ]]</f>
        <v>0</v>
      </c>
      <c r="I1064" s="94"/>
      <c r="J1064" s="31">
        <f>РЕАЛИЗАЦИЯ[[#This Row],[СОНИ]]*РЕАЛИЗАЦИЯ[[#This Row],[ТАННАРХ]]</f>
        <v>0</v>
      </c>
      <c r="K1064" s="31">
        <f>РЕАЛИЗАЦИЯ[[#This Row],[ЖАМИ]]-РЕАЛИЗАЦИЯ[[#This Row],[ЖАМИ2]]</f>
        <v>0</v>
      </c>
      <c r="L1064" s="31"/>
    </row>
    <row r="1065" spans="3:12" ht="15" customHeight="1" x14ac:dyDescent="0.3">
      <c r="C1065" s="100"/>
      <c r="D1065" s="100"/>
      <c r="G1065" s="50">
        <f>РЕАЛИЗАЦИЯ[[#This Row],[СОНИ]]*РЕАЛИЗАЦИЯ[[#This Row],[НАРХИ]]</f>
        <v>0</v>
      </c>
      <c r="I1065" s="94"/>
      <c r="J1065" s="31">
        <f>РЕАЛИЗАЦИЯ[[#This Row],[СОНИ]]*РЕАЛИЗАЦИЯ[[#This Row],[ТАННАРХ]]</f>
        <v>0</v>
      </c>
      <c r="K1065" s="31">
        <f>РЕАЛИЗАЦИЯ[[#This Row],[ЖАМИ]]-РЕАЛИЗАЦИЯ[[#This Row],[ЖАМИ2]]</f>
        <v>0</v>
      </c>
      <c r="L1065" s="31"/>
    </row>
    <row r="1066" spans="3:12" ht="15" customHeight="1" x14ac:dyDescent="0.3">
      <c r="C1066" s="100"/>
      <c r="D1066" s="100"/>
      <c r="G1066" s="50">
        <f>РЕАЛИЗАЦИЯ[[#This Row],[СОНИ]]*РЕАЛИЗАЦИЯ[[#This Row],[НАРХИ]]</f>
        <v>0</v>
      </c>
      <c r="I1066" s="94"/>
      <c r="J1066" s="31">
        <f>РЕАЛИЗАЦИЯ[[#This Row],[СОНИ]]*РЕАЛИЗАЦИЯ[[#This Row],[ТАННАРХ]]</f>
        <v>0</v>
      </c>
      <c r="K1066" s="31">
        <f>РЕАЛИЗАЦИЯ[[#This Row],[ЖАМИ]]-РЕАЛИЗАЦИЯ[[#This Row],[ЖАМИ2]]</f>
        <v>0</v>
      </c>
      <c r="L1066" s="31"/>
    </row>
    <row r="1067" spans="3:12" ht="15" customHeight="1" x14ac:dyDescent="0.3">
      <c r="C1067" s="100"/>
      <c r="D1067" s="100"/>
      <c r="G1067" s="50">
        <f>РЕАЛИЗАЦИЯ[[#This Row],[СОНИ]]*РЕАЛИЗАЦИЯ[[#This Row],[НАРХИ]]</f>
        <v>0</v>
      </c>
      <c r="I1067" s="94"/>
      <c r="J1067" s="31">
        <f>РЕАЛИЗАЦИЯ[[#This Row],[СОНИ]]*РЕАЛИЗАЦИЯ[[#This Row],[ТАННАРХ]]</f>
        <v>0</v>
      </c>
      <c r="K1067" s="31">
        <f>РЕАЛИЗАЦИЯ[[#This Row],[ЖАМИ]]-РЕАЛИЗАЦИЯ[[#This Row],[ЖАМИ2]]</f>
        <v>0</v>
      </c>
      <c r="L1067" s="31"/>
    </row>
    <row r="1068" spans="3:12" ht="15" customHeight="1" x14ac:dyDescent="0.3">
      <c r="C1068" s="100"/>
      <c r="D1068" s="100"/>
      <c r="G1068" s="50">
        <f>РЕАЛИЗАЦИЯ[[#This Row],[СОНИ]]*РЕАЛИЗАЦИЯ[[#This Row],[НАРХИ]]</f>
        <v>0</v>
      </c>
      <c r="I1068" s="94"/>
      <c r="J1068" s="31">
        <f>РЕАЛИЗАЦИЯ[[#This Row],[СОНИ]]*РЕАЛИЗАЦИЯ[[#This Row],[ТАННАРХ]]</f>
        <v>0</v>
      </c>
      <c r="K1068" s="31">
        <f>РЕАЛИЗАЦИЯ[[#This Row],[ЖАМИ]]-РЕАЛИЗАЦИЯ[[#This Row],[ЖАМИ2]]</f>
        <v>0</v>
      </c>
      <c r="L1068" s="31"/>
    </row>
    <row r="1069" spans="3:12" ht="15" customHeight="1" x14ac:dyDescent="0.3">
      <c r="C1069" s="100"/>
      <c r="D1069" s="100"/>
      <c r="G1069" s="50">
        <f>РЕАЛИЗАЦИЯ[[#This Row],[СОНИ]]*РЕАЛИЗАЦИЯ[[#This Row],[НАРХИ]]</f>
        <v>0</v>
      </c>
      <c r="I1069" s="94"/>
      <c r="J1069" s="31">
        <f>РЕАЛИЗАЦИЯ[[#This Row],[СОНИ]]*РЕАЛИЗАЦИЯ[[#This Row],[ТАННАРХ]]</f>
        <v>0</v>
      </c>
      <c r="K1069" s="31">
        <f>РЕАЛИЗАЦИЯ[[#This Row],[ЖАМИ]]-РЕАЛИЗАЦИЯ[[#This Row],[ЖАМИ2]]</f>
        <v>0</v>
      </c>
      <c r="L1069" s="31"/>
    </row>
    <row r="1070" spans="3:12" ht="15" customHeight="1" x14ac:dyDescent="0.3">
      <c r="C1070" s="100"/>
      <c r="D1070" s="100"/>
      <c r="G1070" s="50">
        <f>РЕАЛИЗАЦИЯ[[#This Row],[СОНИ]]*РЕАЛИЗАЦИЯ[[#This Row],[НАРХИ]]</f>
        <v>0</v>
      </c>
      <c r="I1070" s="94"/>
      <c r="J1070" s="31">
        <f>РЕАЛИЗАЦИЯ[[#This Row],[СОНИ]]*РЕАЛИЗАЦИЯ[[#This Row],[ТАННАРХ]]</f>
        <v>0</v>
      </c>
      <c r="K1070" s="31">
        <f>РЕАЛИЗАЦИЯ[[#This Row],[ЖАМИ]]-РЕАЛИЗАЦИЯ[[#This Row],[ЖАМИ2]]</f>
        <v>0</v>
      </c>
      <c r="L1070" s="31"/>
    </row>
    <row r="1071" spans="3:12" ht="15" customHeight="1" x14ac:dyDescent="0.3">
      <c r="C1071" s="100"/>
      <c r="D1071" s="100"/>
      <c r="G1071" s="50">
        <f>РЕАЛИЗАЦИЯ[[#This Row],[СОНИ]]*РЕАЛИЗАЦИЯ[[#This Row],[НАРХИ]]</f>
        <v>0</v>
      </c>
      <c r="I1071" s="94"/>
      <c r="J1071" s="31">
        <f>РЕАЛИЗАЦИЯ[[#This Row],[СОНИ]]*РЕАЛИЗАЦИЯ[[#This Row],[ТАННАРХ]]</f>
        <v>0</v>
      </c>
      <c r="K1071" s="31">
        <f>РЕАЛИЗАЦИЯ[[#This Row],[ЖАМИ]]-РЕАЛИЗАЦИЯ[[#This Row],[ЖАМИ2]]</f>
        <v>0</v>
      </c>
      <c r="L1071" s="31"/>
    </row>
    <row r="1072" spans="3:12" ht="15" customHeight="1" x14ac:dyDescent="0.3">
      <c r="C1072" s="100"/>
      <c r="D1072" s="100"/>
      <c r="G1072" s="50">
        <f>РЕАЛИЗАЦИЯ[[#This Row],[СОНИ]]*РЕАЛИЗАЦИЯ[[#This Row],[НАРХИ]]</f>
        <v>0</v>
      </c>
      <c r="I1072" s="94"/>
      <c r="J1072" s="31">
        <f>РЕАЛИЗАЦИЯ[[#This Row],[СОНИ]]*РЕАЛИЗАЦИЯ[[#This Row],[ТАННАРХ]]</f>
        <v>0</v>
      </c>
      <c r="K1072" s="31">
        <f>РЕАЛИЗАЦИЯ[[#This Row],[ЖАМИ]]-РЕАЛИЗАЦИЯ[[#This Row],[ЖАМИ2]]</f>
        <v>0</v>
      </c>
      <c r="L1072" s="31"/>
    </row>
    <row r="1073" spans="3:12" ht="15" customHeight="1" x14ac:dyDescent="0.3">
      <c r="C1073" s="100"/>
      <c r="D1073" s="100"/>
      <c r="G1073" s="50">
        <f>РЕАЛИЗАЦИЯ[[#This Row],[СОНИ]]*РЕАЛИЗАЦИЯ[[#This Row],[НАРХИ]]</f>
        <v>0</v>
      </c>
      <c r="I1073" s="94"/>
      <c r="J1073" s="31">
        <f>РЕАЛИЗАЦИЯ[[#This Row],[СОНИ]]*РЕАЛИЗАЦИЯ[[#This Row],[ТАННАРХ]]</f>
        <v>0</v>
      </c>
      <c r="K1073" s="31">
        <f>РЕАЛИЗАЦИЯ[[#This Row],[ЖАМИ]]-РЕАЛИЗАЦИЯ[[#This Row],[ЖАМИ2]]</f>
        <v>0</v>
      </c>
      <c r="L1073" s="31"/>
    </row>
    <row r="1074" spans="3:12" ht="15" customHeight="1" x14ac:dyDescent="0.3">
      <c r="C1074" s="100"/>
      <c r="D1074" s="100"/>
      <c r="G1074" s="50">
        <f>РЕАЛИЗАЦИЯ[[#This Row],[СОНИ]]*РЕАЛИЗАЦИЯ[[#This Row],[НАРХИ]]</f>
        <v>0</v>
      </c>
      <c r="I1074" s="94"/>
      <c r="J1074" s="31">
        <f>РЕАЛИЗАЦИЯ[[#This Row],[СОНИ]]*РЕАЛИЗАЦИЯ[[#This Row],[ТАННАРХ]]</f>
        <v>0</v>
      </c>
      <c r="K1074" s="31">
        <f>РЕАЛИЗАЦИЯ[[#This Row],[ЖАМИ]]-РЕАЛИЗАЦИЯ[[#This Row],[ЖАМИ2]]</f>
        <v>0</v>
      </c>
      <c r="L1074" s="31"/>
    </row>
    <row r="1075" spans="3:12" ht="15" customHeight="1" x14ac:dyDescent="0.3">
      <c r="C1075" s="100"/>
      <c r="D1075" s="100"/>
      <c r="G1075" s="50">
        <f>РЕАЛИЗАЦИЯ[[#This Row],[СОНИ]]*РЕАЛИЗАЦИЯ[[#This Row],[НАРХИ]]</f>
        <v>0</v>
      </c>
      <c r="I1075" s="94"/>
      <c r="J1075" s="31">
        <f>РЕАЛИЗАЦИЯ[[#This Row],[СОНИ]]*РЕАЛИЗАЦИЯ[[#This Row],[ТАННАРХ]]</f>
        <v>0</v>
      </c>
      <c r="K1075" s="31">
        <f>РЕАЛИЗАЦИЯ[[#This Row],[ЖАМИ]]-РЕАЛИЗАЦИЯ[[#This Row],[ЖАМИ2]]</f>
        <v>0</v>
      </c>
      <c r="L1075" s="31"/>
    </row>
    <row r="1076" spans="3:12" ht="15" customHeight="1" x14ac:dyDescent="0.3">
      <c r="C1076" s="100"/>
      <c r="D1076" s="100"/>
      <c r="G1076" s="50">
        <f>РЕАЛИЗАЦИЯ[[#This Row],[СОНИ]]*РЕАЛИЗАЦИЯ[[#This Row],[НАРХИ]]</f>
        <v>0</v>
      </c>
      <c r="I1076" s="94"/>
      <c r="J1076" s="31">
        <f>РЕАЛИЗАЦИЯ[[#This Row],[СОНИ]]*РЕАЛИЗАЦИЯ[[#This Row],[ТАННАРХ]]</f>
        <v>0</v>
      </c>
      <c r="K1076" s="31">
        <f>РЕАЛИЗАЦИЯ[[#This Row],[ЖАМИ]]-РЕАЛИЗАЦИЯ[[#This Row],[ЖАМИ2]]</f>
        <v>0</v>
      </c>
      <c r="L1076" s="31"/>
    </row>
    <row r="1077" spans="3:12" ht="15" customHeight="1" x14ac:dyDescent="0.3">
      <c r="C1077" s="100"/>
      <c r="D1077" s="100"/>
      <c r="G1077" s="50">
        <f>РЕАЛИЗАЦИЯ[[#This Row],[СОНИ]]*РЕАЛИЗАЦИЯ[[#This Row],[НАРХИ]]</f>
        <v>0</v>
      </c>
      <c r="I1077" s="94"/>
      <c r="J1077" s="31">
        <f>РЕАЛИЗАЦИЯ[[#This Row],[СОНИ]]*РЕАЛИЗАЦИЯ[[#This Row],[ТАННАРХ]]</f>
        <v>0</v>
      </c>
      <c r="K1077" s="31">
        <f>РЕАЛИЗАЦИЯ[[#This Row],[ЖАМИ]]-РЕАЛИЗАЦИЯ[[#This Row],[ЖАМИ2]]</f>
        <v>0</v>
      </c>
      <c r="L1077" s="31"/>
    </row>
    <row r="1078" spans="3:12" ht="15" customHeight="1" x14ac:dyDescent="0.3">
      <c r="C1078" s="100"/>
      <c r="D1078" s="100"/>
      <c r="G1078" s="50">
        <f>РЕАЛИЗАЦИЯ[[#This Row],[СОНИ]]*РЕАЛИЗАЦИЯ[[#This Row],[НАРХИ]]</f>
        <v>0</v>
      </c>
      <c r="I1078" s="94"/>
      <c r="J1078" s="31">
        <f>РЕАЛИЗАЦИЯ[[#This Row],[СОНИ]]*РЕАЛИЗАЦИЯ[[#This Row],[ТАННАРХ]]</f>
        <v>0</v>
      </c>
      <c r="K1078" s="31">
        <f>РЕАЛИЗАЦИЯ[[#This Row],[ЖАМИ]]-РЕАЛИЗАЦИЯ[[#This Row],[ЖАМИ2]]</f>
        <v>0</v>
      </c>
      <c r="L1078" s="31"/>
    </row>
    <row r="1079" spans="3:12" ht="15" customHeight="1" x14ac:dyDescent="0.3">
      <c r="C1079" s="100"/>
      <c r="D1079" s="100"/>
      <c r="G1079" s="50">
        <f>РЕАЛИЗАЦИЯ[[#This Row],[СОНИ]]*РЕАЛИЗАЦИЯ[[#This Row],[НАРХИ]]</f>
        <v>0</v>
      </c>
      <c r="I1079" s="94"/>
      <c r="J1079" s="31">
        <f>РЕАЛИЗАЦИЯ[[#This Row],[СОНИ]]*РЕАЛИЗАЦИЯ[[#This Row],[ТАННАРХ]]</f>
        <v>0</v>
      </c>
      <c r="K1079" s="31">
        <f>РЕАЛИЗАЦИЯ[[#This Row],[ЖАМИ]]-РЕАЛИЗАЦИЯ[[#This Row],[ЖАМИ2]]</f>
        <v>0</v>
      </c>
      <c r="L1079" s="31"/>
    </row>
    <row r="1080" spans="3:12" ht="15" customHeight="1" x14ac:dyDescent="0.3">
      <c r="C1080" s="100"/>
      <c r="D1080" s="100"/>
      <c r="G1080" s="50">
        <f>РЕАЛИЗАЦИЯ[[#This Row],[СОНИ]]*РЕАЛИЗАЦИЯ[[#This Row],[НАРХИ]]</f>
        <v>0</v>
      </c>
      <c r="I1080" s="94"/>
      <c r="J1080" s="31">
        <f>РЕАЛИЗАЦИЯ[[#This Row],[СОНИ]]*РЕАЛИЗАЦИЯ[[#This Row],[ТАННАРХ]]</f>
        <v>0</v>
      </c>
      <c r="K1080" s="31">
        <f>РЕАЛИЗАЦИЯ[[#This Row],[ЖАМИ]]-РЕАЛИЗАЦИЯ[[#This Row],[ЖАМИ2]]</f>
        <v>0</v>
      </c>
      <c r="L1080" s="31"/>
    </row>
    <row r="1081" spans="3:12" ht="15" customHeight="1" x14ac:dyDescent="0.3">
      <c r="C1081" s="100"/>
      <c r="D1081" s="100"/>
      <c r="G1081" s="50">
        <f>РЕАЛИЗАЦИЯ[[#This Row],[СОНИ]]*РЕАЛИЗАЦИЯ[[#This Row],[НАРХИ]]</f>
        <v>0</v>
      </c>
      <c r="I1081" s="94"/>
      <c r="J1081" s="31">
        <f>РЕАЛИЗАЦИЯ[[#This Row],[СОНИ]]*РЕАЛИЗАЦИЯ[[#This Row],[ТАННАРХ]]</f>
        <v>0</v>
      </c>
      <c r="K1081" s="31">
        <f>РЕАЛИЗАЦИЯ[[#This Row],[ЖАМИ]]-РЕАЛИЗАЦИЯ[[#This Row],[ЖАМИ2]]</f>
        <v>0</v>
      </c>
      <c r="L1081" s="31"/>
    </row>
    <row r="1082" spans="3:12" ht="15" customHeight="1" x14ac:dyDescent="0.3">
      <c r="C1082" s="100"/>
      <c r="D1082" s="100"/>
      <c r="G1082" s="50">
        <f>РЕАЛИЗАЦИЯ[[#This Row],[СОНИ]]*РЕАЛИЗАЦИЯ[[#This Row],[НАРХИ]]</f>
        <v>0</v>
      </c>
      <c r="I1082" s="94"/>
      <c r="J1082" s="31">
        <f>РЕАЛИЗАЦИЯ[[#This Row],[СОНИ]]*РЕАЛИЗАЦИЯ[[#This Row],[ТАННАРХ]]</f>
        <v>0</v>
      </c>
      <c r="K1082" s="31">
        <f>РЕАЛИЗАЦИЯ[[#This Row],[ЖАМИ]]-РЕАЛИЗАЦИЯ[[#This Row],[ЖАМИ2]]</f>
        <v>0</v>
      </c>
      <c r="L1082" s="31"/>
    </row>
    <row r="1083" spans="3:12" ht="15" customHeight="1" x14ac:dyDescent="0.3">
      <c r="C1083" s="100"/>
      <c r="D1083" s="100"/>
      <c r="G1083" s="50">
        <f>РЕАЛИЗАЦИЯ[[#This Row],[СОНИ]]*РЕАЛИЗАЦИЯ[[#This Row],[НАРХИ]]</f>
        <v>0</v>
      </c>
      <c r="I1083" s="94"/>
      <c r="J1083" s="31">
        <f>РЕАЛИЗАЦИЯ[[#This Row],[СОНИ]]*РЕАЛИЗАЦИЯ[[#This Row],[ТАННАРХ]]</f>
        <v>0</v>
      </c>
      <c r="K1083" s="31">
        <f>РЕАЛИЗАЦИЯ[[#This Row],[ЖАМИ]]-РЕАЛИЗАЦИЯ[[#This Row],[ЖАМИ2]]</f>
        <v>0</v>
      </c>
      <c r="L1083" s="31"/>
    </row>
    <row r="1084" spans="3:12" ht="15" customHeight="1" x14ac:dyDescent="0.3">
      <c r="C1084" s="100"/>
      <c r="D1084" s="100"/>
      <c r="G1084" s="50">
        <f>РЕАЛИЗАЦИЯ[[#This Row],[СОНИ]]*РЕАЛИЗАЦИЯ[[#This Row],[НАРХИ]]</f>
        <v>0</v>
      </c>
      <c r="I1084" s="94"/>
      <c r="J1084" s="31">
        <f>РЕАЛИЗАЦИЯ[[#This Row],[СОНИ]]*РЕАЛИЗАЦИЯ[[#This Row],[ТАННАРХ]]</f>
        <v>0</v>
      </c>
      <c r="K1084" s="31">
        <f>РЕАЛИЗАЦИЯ[[#This Row],[ЖАМИ]]-РЕАЛИЗАЦИЯ[[#This Row],[ЖАМИ2]]</f>
        <v>0</v>
      </c>
      <c r="L1084" s="31"/>
    </row>
    <row r="1085" spans="3:12" ht="15" customHeight="1" x14ac:dyDescent="0.3">
      <c r="C1085" s="100"/>
      <c r="D1085" s="100"/>
      <c r="G1085" s="50">
        <f>РЕАЛИЗАЦИЯ[[#This Row],[СОНИ]]*РЕАЛИЗАЦИЯ[[#This Row],[НАРХИ]]</f>
        <v>0</v>
      </c>
      <c r="I1085" s="94"/>
      <c r="J1085" s="31">
        <f>РЕАЛИЗАЦИЯ[[#This Row],[СОНИ]]*РЕАЛИЗАЦИЯ[[#This Row],[ТАННАРХ]]</f>
        <v>0</v>
      </c>
      <c r="K1085" s="31">
        <f>РЕАЛИЗАЦИЯ[[#This Row],[ЖАМИ]]-РЕАЛИЗАЦИЯ[[#This Row],[ЖАМИ2]]</f>
        <v>0</v>
      </c>
      <c r="L1085" s="31"/>
    </row>
    <row r="1086" spans="3:12" ht="15" customHeight="1" x14ac:dyDescent="0.3">
      <c r="C1086" s="100"/>
      <c r="D1086" s="100"/>
      <c r="G1086" s="50">
        <f>РЕАЛИЗАЦИЯ[[#This Row],[СОНИ]]*РЕАЛИЗАЦИЯ[[#This Row],[НАРХИ]]</f>
        <v>0</v>
      </c>
      <c r="I1086" s="94"/>
      <c r="J1086" s="31">
        <f>РЕАЛИЗАЦИЯ[[#This Row],[СОНИ]]*РЕАЛИЗАЦИЯ[[#This Row],[ТАННАРХ]]</f>
        <v>0</v>
      </c>
      <c r="K1086" s="31">
        <f>РЕАЛИЗАЦИЯ[[#This Row],[ЖАМИ]]-РЕАЛИЗАЦИЯ[[#This Row],[ЖАМИ2]]</f>
        <v>0</v>
      </c>
      <c r="L1086" s="31"/>
    </row>
    <row r="1087" spans="3:12" ht="15" customHeight="1" x14ac:dyDescent="0.3">
      <c r="C1087" s="100"/>
      <c r="D1087" s="100"/>
      <c r="G1087" s="50">
        <f>РЕАЛИЗАЦИЯ[[#This Row],[СОНИ]]*РЕАЛИЗАЦИЯ[[#This Row],[НАРХИ]]</f>
        <v>0</v>
      </c>
      <c r="I1087" s="94"/>
      <c r="J1087" s="31">
        <f>РЕАЛИЗАЦИЯ[[#This Row],[СОНИ]]*РЕАЛИЗАЦИЯ[[#This Row],[ТАННАРХ]]</f>
        <v>0</v>
      </c>
      <c r="K1087" s="31">
        <f>РЕАЛИЗАЦИЯ[[#This Row],[ЖАМИ]]-РЕАЛИЗАЦИЯ[[#This Row],[ЖАМИ2]]</f>
        <v>0</v>
      </c>
      <c r="L1087" s="31"/>
    </row>
    <row r="1088" spans="3:12" ht="15" customHeight="1" x14ac:dyDescent="0.3">
      <c r="C1088" s="100"/>
      <c r="D1088" s="100"/>
      <c r="G1088" s="50">
        <f>РЕАЛИЗАЦИЯ[[#This Row],[СОНИ]]*РЕАЛИЗАЦИЯ[[#This Row],[НАРХИ]]</f>
        <v>0</v>
      </c>
      <c r="I1088" s="94"/>
      <c r="J1088" s="31">
        <f>РЕАЛИЗАЦИЯ[[#This Row],[СОНИ]]*РЕАЛИЗАЦИЯ[[#This Row],[ТАННАРХ]]</f>
        <v>0</v>
      </c>
      <c r="K1088" s="31">
        <f>РЕАЛИЗАЦИЯ[[#This Row],[ЖАМИ]]-РЕАЛИЗАЦИЯ[[#This Row],[ЖАМИ2]]</f>
        <v>0</v>
      </c>
      <c r="L1088" s="31"/>
    </row>
    <row r="1089" spans="3:12" ht="15" customHeight="1" x14ac:dyDescent="0.3">
      <c r="C1089" s="100"/>
      <c r="D1089" s="100"/>
      <c r="G1089" s="50">
        <f>РЕАЛИЗАЦИЯ[[#This Row],[СОНИ]]*РЕАЛИЗАЦИЯ[[#This Row],[НАРХИ]]</f>
        <v>0</v>
      </c>
      <c r="I1089" s="94"/>
      <c r="J1089" s="31">
        <f>РЕАЛИЗАЦИЯ[[#This Row],[СОНИ]]*РЕАЛИЗАЦИЯ[[#This Row],[ТАННАРХ]]</f>
        <v>0</v>
      </c>
      <c r="K1089" s="31">
        <f>РЕАЛИЗАЦИЯ[[#This Row],[ЖАМИ]]-РЕАЛИЗАЦИЯ[[#This Row],[ЖАМИ2]]</f>
        <v>0</v>
      </c>
      <c r="L1089" s="31"/>
    </row>
    <row r="1090" spans="3:12" ht="15" customHeight="1" x14ac:dyDescent="0.3">
      <c r="C1090" s="100"/>
      <c r="D1090" s="100"/>
      <c r="G1090" s="50">
        <f>РЕАЛИЗАЦИЯ[[#This Row],[СОНИ]]*РЕАЛИЗАЦИЯ[[#This Row],[НАРХИ]]</f>
        <v>0</v>
      </c>
      <c r="I1090" s="94"/>
      <c r="J1090" s="31">
        <f>РЕАЛИЗАЦИЯ[[#This Row],[СОНИ]]*РЕАЛИЗАЦИЯ[[#This Row],[ТАННАРХ]]</f>
        <v>0</v>
      </c>
      <c r="K1090" s="31">
        <f>РЕАЛИЗАЦИЯ[[#This Row],[ЖАМИ]]-РЕАЛИЗАЦИЯ[[#This Row],[ЖАМИ2]]</f>
        <v>0</v>
      </c>
      <c r="L1090" s="31"/>
    </row>
    <row r="1091" spans="3:12" ht="15" customHeight="1" x14ac:dyDescent="0.3">
      <c r="C1091" s="100"/>
      <c r="D1091" s="100"/>
      <c r="G1091" s="50">
        <f>РЕАЛИЗАЦИЯ[[#This Row],[СОНИ]]*РЕАЛИЗАЦИЯ[[#This Row],[НАРХИ]]</f>
        <v>0</v>
      </c>
      <c r="I1091" s="94"/>
      <c r="J1091" s="31">
        <f>РЕАЛИЗАЦИЯ[[#This Row],[СОНИ]]*РЕАЛИЗАЦИЯ[[#This Row],[ТАННАРХ]]</f>
        <v>0</v>
      </c>
      <c r="K1091" s="31">
        <f>РЕАЛИЗАЦИЯ[[#This Row],[ЖАМИ]]-РЕАЛИЗАЦИЯ[[#This Row],[ЖАМИ2]]</f>
        <v>0</v>
      </c>
      <c r="L1091" s="31"/>
    </row>
    <row r="1092" spans="3:12" ht="15" customHeight="1" x14ac:dyDescent="0.3">
      <c r="C1092" s="100"/>
      <c r="D1092" s="100"/>
      <c r="G1092" s="50">
        <f>РЕАЛИЗАЦИЯ[[#This Row],[СОНИ]]*РЕАЛИЗАЦИЯ[[#This Row],[НАРХИ]]</f>
        <v>0</v>
      </c>
      <c r="I1092" s="94"/>
      <c r="J1092" s="31">
        <f>РЕАЛИЗАЦИЯ[[#This Row],[СОНИ]]*РЕАЛИЗАЦИЯ[[#This Row],[ТАННАРХ]]</f>
        <v>0</v>
      </c>
      <c r="K1092" s="31">
        <f>РЕАЛИЗАЦИЯ[[#This Row],[ЖАМИ]]-РЕАЛИЗАЦИЯ[[#This Row],[ЖАМИ2]]</f>
        <v>0</v>
      </c>
      <c r="L1092" s="31"/>
    </row>
    <row r="1093" spans="3:12" ht="15" customHeight="1" x14ac:dyDescent="0.3">
      <c r="C1093" s="100"/>
      <c r="D1093" s="100"/>
      <c r="G1093" s="50">
        <f>РЕАЛИЗАЦИЯ[[#This Row],[СОНИ]]*РЕАЛИЗАЦИЯ[[#This Row],[НАРХИ]]</f>
        <v>0</v>
      </c>
      <c r="I1093" s="94"/>
      <c r="J1093" s="31">
        <f>РЕАЛИЗАЦИЯ[[#This Row],[СОНИ]]*РЕАЛИЗАЦИЯ[[#This Row],[ТАННАРХ]]</f>
        <v>0</v>
      </c>
      <c r="K1093" s="31">
        <f>РЕАЛИЗАЦИЯ[[#This Row],[ЖАМИ]]-РЕАЛИЗАЦИЯ[[#This Row],[ЖАМИ2]]</f>
        <v>0</v>
      </c>
      <c r="L1093" s="31"/>
    </row>
    <row r="1094" spans="3:12" ht="15" customHeight="1" x14ac:dyDescent="0.3">
      <c r="C1094" s="100"/>
      <c r="D1094" s="100"/>
      <c r="G1094" s="50">
        <f>РЕАЛИЗАЦИЯ[[#This Row],[СОНИ]]*РЕАЛИЗАЦИЯ[[#This Row],[НАРХИ]]</f>
        <v>0</v>
      </c>
      <c r="I1094" s="94"/>
      <c r="J1094" s="31">
        <f>РЕАЛИЗАЦИЯ[[#This Row],[СОНИ]]*РЕАЛИЗАЦИЯ[[#This Row],[ТАННАРХ]]</f>
        <v>0</v>
      </c>
      <c r="K1094" s="31">
        <f>РЕАЛИЗАЦИЯ[[#This Row],[ЖАМИ]]-РЕАЛИЗАЦИЯ[[#This Row],[ЖАМИ2]]</f>
        <v>0</v>
      </c>
      <c r="L1094" s="31"/>
    </row>
    <row r="1095" spans="3:12" ht="15" customHeight="1" x14ac:dyDescent="0.3">
      <c r="C1095" s="100"/>
      <c r="D1095" s="100"/>
      <c r="G1095" s="50">
        <f>РЕАЛИЗАЦИЯ[[#This Row],[СОНИ]]*РЕАЛИЗАЦИЯ[[#This Row],[НАРХИ]]</f>
        <v>0</v>
      </c>
      <c r="I1095" s="94"/>
      <c r="J1095" s="31">
        <f>РЕАЛИЗАЦИЯ[[#This Row],[СОНИ]]*РЕАЛИЗАЦИЯ[[#This Row],[ТАННАРХ]]</f>
        <v>0</v>
      </c>
      <c r="K1095" s="31">
        <f>РЕАЛИЗАЦИЯ[[#This Row],[ЖАМИ]]-РЕАЛИЗАЦИЯ[[#This Row],[ЖАМИ2]]</f>
        <v>0</v>
      </c>
      <c r="L1095" s="31"/>
    </row>
    <row r="1096" spans="3:12" ht="15" customHeight="1" x14ac:dyDescent="0.3">
      <c r="C1096" s="100"/>
      <c r="D1096" s="100"/>
      <c r="G1096" s="50">
        <f>РЕАЛИЗАЦИЯ[[#This Row],[СОНИ]]*РЕАЛИЗАЦИЯ[[#This Row],[НАРХИ]]</f>
        <v>0</v>
      </c>
      <c r="I1096" s="94"/>
      <c r="J1096" s="31">
        <f>РЕАЛИЗАЦИЯ[[#This Row],[СОНИ]]*РЕАЛИЗАЦИЯ[[#This Row],[ТАННАРХ]]</f>
        <v>0</v>
      </c>
      <c r="K1096" s="31">
        <f>РЕАЛИЗАЦИЯ[[#This Row],[ЖАМИ]]-РЕАЛИЗАЦИЯ[[#This Row],[ЖАМИ2]]</f>
        <v>0</v>
      </c>
      <c r="L1096" s="31"/>
    </row>
    <row r="1097" spans="3:12" ht="15" customHeight="1" x14ac:dyDescent="0.3">
      <c r="C1097" s="100"/>
      <c r="D1097" s="100"/>
      <c r="G1097" s="50">
        <f>РЕАЛИЗАЦИЯ[[#This Row],[СОНИ]]*РЕАЛИЗАЦИЯ[[#This Row],[НАРХИ]]</f>
        <v>0</v>
      </c>
      <c r="I1097" s="94"/>
      <c r="J1097" s="31">
        <f>РЕАЛИЗАЦИЯ[[#This Row],[СОНИ]]*РЕАЛИЗАЦИЯ[[#This Row],[ТАННАРХ]]</f>
        <v>0</v>
      </c>
      <c r="K1097" s="31">
        <f>РЕАЛИЗАЦИЯ[[#This Row],[ЖАМИ]]-РЕАЛИЗАЦИЯ[[#This Row],[ЖАМИ2]]</f>
        <v>0</v>
      </c>
      <c r="L1097" s="31"/>
    </row>
    <row r="1098" spans="3:12" ht="15" customHeight="1" x14ac:dyDescent="0.3">
      <c r="C1098" s="100"/>
      <c r="D1098" s="100"/>
      <c r="G1098" s="50">
        <f>РЕАЛИЗАЦИЯ[[#This Row],[СОНИ]]*РЕАЛИЗАЦИЯ[[#This Row],[НАРХИ]]</f>
        <v>0</v>
      </c>
      <c r="I1098" s="94"/>
      <c r="J1098" s="31">
        <f>РЕАЛИЗАЦИЯ[[#This Row],[СОНИ]]*РЕАЛИЗАЦИЯ[[#This Row],[ТАННАРХ]]</f>
        <v>0</v>
      </c>
      <c r="K1098" s="31">
        <f>РЕАЛИЗАЦИЯ[[#This Row],[ЖАМИ]]-РЕАЛИЗАЦИЯ[[#This Row],[ЖАМИ2]]</f>
        <v>0</v>
      </c>
      <c r="L1098" s="31"/>
    </row>
    <row r="1099" spans="3:12" ht="15" customHeight="1" x14ac:dyDescent="0.3">
      <c r="C1099" s="100"/>
      <c r="D1099" s="100"/>
      <c r="G1099" s="50">
        <f>РЕАЛИЗАЦИЯ[[#This Row],[СОНИ]]*РЕАЛИЗАЦИЯ[[#This Row],[НАРХИ]]</f>
        <v>0</v>
      </c>
      <c r="I1099" s="94"/>
      <c r="J1099" s="31">
        <f>РЕАЛИЗАЦИЯ[[#This Row],[СОНИ]]*РЕАЛИЗАЦИЯ[[#This Row],[ТАННАРХ]]</f>
        <v>0</v>
      </c>
      <c r="K1099" s="31">
        <f>РЕАЛИЗАЦИЯ[[#This Row],[ЖАМИ]]-РЕАЛИЗАЦИЯ[[#This Row],[ЖАМИ2]]</f>
        <v>0</v>
      </c>
      <c r="L1099" s="31"/>
    </row>
    <row r="1100" spans="3:12" ht="15" customHeight="1" x14ac:dyDescent="0.3">
      <c r="C1100" s="100"/>
      <c r="D1100" s="100"/>
      <c r="G1100" s="50">
        <f>РЕАЛИЗАЦИЯ[[#This Row],[СОНИ]]*РЕАЛИЗАЦИЯ[[#This Row],[НАРХИ]]</f>
        <v>0</v>
      </c>
      <c r="I1100" s="94"/>
      <c r="J1100" s="31">
        <f>РЕАЛИЗАЦИЯ[[#This Row],[СОНИ]]*РЕАЛИЗАЦИЯ[[#This Row],[ТАННАРХ]]</f>
        <v>0</v>
      </c>
      <c r="K1100" s="31">
        <f>РЕАЛИЗАЦИЯ[[#This Row],[ЖАМИ]]-РЕАЛИЗАЦИЯ[[#This Row],[ЖАМИ2]]</f>
        <v>0</v>
      </c>
      <c r="L1100" s="31"/>
    </row>
    <row r="1101" spans="3:12" ht="15" customHeight="1" x14ac:dyDescent="0.3">
      <c r="C1101" s="100"/>
      <c r="D1101" s="100"/>
      <c r="G1101" s="50">
        <f>РЕАЛИЗАЦИЯ[[#This Row],[СОНИ]]*РЕАЛИЗАЦИЯ[[#This Row],[НАРХИ]]</f>
        <v>0</v>
      </c>
      <c r="I1101" s="94"/>
      <c r="J1101" s="31">
        <f>РЕАЛИЗАЦИЯ[[#This Row],[СОНИ]]*РЕАЛИЗАЦИЯ[[#This Row],[ТАННАРХ]]</f>
        <v>0</v>
      </c>
      <c r="K1101" s="31">
        <f>РЕАЛИЗАЦИЯ[[#This Row],[ЖАМИ]]-РЕАЛИЗАЦИЯ[[#This Row],[ЖАМИ2]]</f>
        <v>0</v>
      </c>
      <c r="L1101" s="31"/>
    </row>
    <row r="1102" spans="3:12" ht="15" customHeight="1" x14ac:dyDescent="0.3">
      <c r="C1102" s="100"/>
      <c r="D1102" s="100"/>
      <c r="G1102" s="50">
        <f>РЕАЛИЗАЦИЯ[[#This Row],[СОНИ]]*РЕАЛИЗАЦИЯ[[#This Row],[НАРХИ]]</f>
        <v>0</v>
      </c>
      <c r="I1102" s="94"/>
      <c r="J1102" s="31">
        <f>РЕАЛИЗАЦИЯ[[#This Row],[СОНИ]]*РЕАЛИЗАЦИЯ[[#This Row],[ТАННАРХ]]</f>
        <v>0</v>
      </c>
      <c r="K1102" s="31">
        <f>РЕАЛИЗАЦИЯ[[#This Row],[ЖАМИ]]-РЕАЛИЗАЦИЯ[[#This Row],[ЖАМИ2]]</f>
        <v>0</v>
      </c>
      <c r="L1102" s="31"/>
    </row>
    <row r="1103" spans="3:12" ht="15" customHeight="1" x14ac:dyDescent="0.3">
      <c r="C1103" s="100"/>
      <c r="D1103" s="100"/>
      <c r="G1103" s="50">
        <f>РЕАЛИЗАЦИЯ[[#This Row],[СОНИ]]*РЕАЛИЗАЦИЯ[[#This Row],[НАРХИ]]</f>
        <v>0</v>
      </c>
      <c r="I1103" s="94"/>
      <c r="J1103" s="31">
        <f>РЕАЛИЗАЦИЯ[[#This Row],[СОНИ]]*РЕАЛИЗАЦИЯ[[#This Row],[ТАННАРХ]]</f>
        <v>0</v>
      </c>
      <c r="K1103" s="31">
        <f>РЕАЛИЗАЦИЯ[[#This Row],[ЖАМИ]]-РЕАЛИЗАЦИЯ[[#This Row],[ЖАМИ2]]</f>
        <v>0</v>
      </c>
      <c r="L1103" s="31"/>
    </row>
    <row r="1104" spans="3:12" ht="15" customHeight="1" x14ac:dyDescent="0.3">
      <c r="C1104" s="100"/>
      <c r="D1104" s="100"/>
      <c r="G1104" s="50">
        <f>РЕАЛИЗАЦИЯ[[#This Row],[СОНИ]]*РЕАЛИЗАЦИЯ[[#This Row],[НАРХИ]]</f>
        <v>0</v>
      </c>
      <c r="I1104" s="94"/>
      <c r="J1104" s="31">
        <f>РЕАЛИЗАЦИЯ[[#This Row],[СОНИ]]*РЕАЛИЗАЦИЯ[[#This Row],[ТАННАРХ]]</f>
        <v>0</v>
      </c>
      <c r="K1104" s="31">
        <f>РЕАЛИЗАЦИЯ[[#This Row],[ЖАМИ]]-РЕАЛИЗАЦИЯ[[#This Row],[ЖАМИ2]]</f>
        <v>0</v>
      </c>
      <c r="L1104" s="31"/>
    </row>
    <row r="1105" spans="3:12" ht="15" customHeight="1" x14ac:dyDescent="0.3">
      <c r="C1105" s="100"/>
      <c r="D1105" s="100"/>
      <c r="G1105" s="50">
        <f>РЕАЛИЗАЦИЯ[[#This Row],[СОНИ]]*РЕАЛИЗАЦИЯ[[#This Row],[НАРХИ]]</f>
        <v>0</v>
      </c>
      <c r="I1105" s="94"/>
      <c r="J1105" s="31">
        <f>РЕАЛИЗАЦИЯ[[#This Row],[СОНИ]]*РЕАЛИЗАЦИЯ[[#This Row],[ТАННАРХ]]</f>
        <v>0</v>
      </c>
      <c r="K1105" s="31">
        <f>РЕАЛИЗАЦИЯ[[#This Row],[ЖАМИ]]-РЕАЛИЗАЦИЯ[[#This Row],[ЖАМИ2]]</f>
        <v>0</v>
      </c>
      <c r="L1105" s="31"/>
    </row>
    <row r="1106" spans="3:12" ht="15" customHeight="1" x14ac:dyDescent="0.3">
      <c r="C1106" s="100"/>
      <c r="D1106" s="100"/>
      <c r="G1106" s="50">
        <f>РЕАЛИЗАЦИЯ[[#This Row],[СОНИ]]*РЕАЛИЗАЦИЯ[[#This Row],[НАРХИ]]</f>
        <v>0</v>
      </c>
      <c r="I1106" s="94"/>
      <c r="J1106" s="31">
        <f>РЕАЛИЗАЦИЯ[[#This Row],[СОНИ]]*РЕАЛИЗАЦИЯ[[#This Row],[ТАННАРХ]]</f>
        <v>0</v>
      </c>
      <c r="K1106" s="31">
        <f>РЕАЛИЗАЦИЯ[[#This Row],[ЖАМИ]]-РЕАЛИЗАЦИЯ[[#This Row],[ЖАМИ2]]</f>
        <v>0</v>
      </c>
      <c r="L1106" s="31"/>
    </row>
    <row r="1107" spans="3:12" ht="15" customHeight="1" x14ac:dyDescent="0.3">
      <c r="C1107" s="100"/>
      <c r="D1107" s="100"/>
      <c r="G1107" s="50">
        <f>РЕАЛИЗАЦИЯ[[#This Row],[СОНИ]]*РЕАЛИЗАЦИЯ[[#This Row],[НАРХИ]]</f>
        <v>0</v>
      </c>
      <c r="I1107" s="94"/>
      <c r="J1107" s="31">
        <f>РЕАЛИЗАЦИЯ[[#This Row],[СОНИ]]*РЕАЛИЗАЦИЯ[[#This Row],[ТАННАРХ]]</f>
        <v>0</v>
      </c>
      <c r="K1107" s="31">
        <f>РЕАЛИЗАЦИЯ[[#This Row],[ЖАМИ]]-РЕАЛИЗАЦИЯ[[#This Row],[ЖАМИ2]]</f>
        <v>0</v>
      </c>
      <c r="L1107" s="31"/>
    </row>
    <row r="1108" spans="3:12" ht="15" customHeight="1" x14ac:dyDescent="0.3">
      <c r="C1108" s="100"/>
      <c r="D1108" s="100"/>
      <c r="G1108" s="50">
        <f>РЕАЛИЗАЦИЯ[[#This Row],[СОНИ]]*РЕАЛИЗАЦИЯ[[#This Row],[НАРХИ]]</f>
        <v>0</v>
      </c>
      <c r="I1108" s="94"/>
      <c r="J1108" s="31">
        <f>РЕАЛИЗАЦИЯ[[#This Row],[СОНИ]]*РЕАЛИЗАЦИЯ[[#This Row],[ТАННАРХ]]</f>
        <v>0</v>
      </c>
      <c r="K1108" s="31">
        <f>РЕАЛИЗАЦИЯ[[#This Row],[ЖАМИ]]-РЕАЛИЗАЦИЯ[[#This Row],[ЖАМИ2]]</f>
        <v>0</v>
      </c>
      <c r="L1108" s="31"/>
    </row>
    <row r="1109" spans="3:12" ht="15" customHeight="1" x14ac:dyDescent="0.3">
      <c r="C1109" s="100"/>
      <c r="D1109" s="100"/>
      <c r="G1109" s="50">
        <f>РЕАЛИЗАЦИЯ[[#This Row],[СОНИ]]*РЕАЛИЗАЦИЯ[[#This Row],[НАРХИ]]</f>
        <v>0</v>
      </c>
      <c r="I1109" s="94"/>
      <c r="J1109" s="31">
        <f>РЕАЛИЗАЦИЯ[[#This Row],[СОНИ]]*РЕАЛИЗАЦИЯ[[#This Row],[ТАННАРХ]]</f>
        <v>0</v>
      </c>
      <c r="K1109" s="31">
        <f>РЕАЛИЗАЦИЯ[[#This Row],[ЖАМИ]]-РЕАЛИЗАЦИЯ[[#This Row],[ЖАМИ2]]</f>
        <v>0</v>
      </c>
      <c r="L1109" s="31"/>
    </row>
    <row r="1110" spans="3:12" ht="15" customHeight="1" x14ac:dyDescent="0.3">
      <c r="C1110" s="100"/>
      <c r="D1110" s="100"/>
      <c r="G1110" s="50">
        <f>РЕАЛИЗАЦИЯ[[#This Row],[СОНИ]]*РЕАЛИЗАЦИЯ[[#This Row],[НАРХИ]]</f>
        <v>0</v>
      </c>
      <c r="I1110" s="94"/>
      <c r="J1110" s="31">
        <f>РЕАЛИЗАЦИЯ[[#This Row],[СОНИ]]*РЕАЛИЗАЦИЯ[[#This Row],[ТАННАРХ]]</f>
        <v>0</v>
      </c>
      <c r="K1110" s="31">
        <f>РЕАЛИЗАЦИЯ[[#This Row],[ЖАМИ]]-РЕАЛИЗАЦИЯ[[#This Row],[ЖАМИ2]]</f>
        <v>0</v>
      </c>
      <c r="L1110" s="31"/>
    </row>
    <row r="1111" spans="3:12" ht="15" customHeight="1" x14ac:dyDescent="0.3">
      <c r="C1111" s="100"/>
      <c r="D1111" s="100"/>
      <c r="G1111" s="50">
        <f>РЕАЛИЗАЦИЯ[[#This Row],[СОНИ]]*РЕАЛИЗАЦИЯ[[#This Row],[НАРХИ]]</f>
        <v>0</v>
      </c>
      <c r="I1111" s="94"/>
      <c r="J1111" s="31">
        <f>РЕАЛИЗАЦИЯ[[#This Row],[СОНИ]]*РЕАЛИЗАЦИЯ[[#This Row],[ТАННАРХ]]</f>
        <v>0</v>
      </c>
      <c r="K1111" s="31">
        <f>РЕАЛИЗАЦИЯ[[#This Row],[ЖАМИ]]-РЕАЛИЗАЦИЯ[[#This Row],[ЖАМИ2]]</f>
        <v>0</v>
      </c>
      <c r="L1111" s="31"/>
    </row>
    <row r="1112" spans="3:12" ht="15" customHeight="1" x14ac:dyDescent="0.3">
      <c r="C1112" s="100"/>
      <c r="D1112" s="100"/>
      <c r="G1112" s="50">
        <f>РЕАЛИЗАЦИЯ[[#This Row],[СОНИ]]*РЕАЛИЗАЦИЯ[[#This Row],[НАРХИ]]</f>
        <v>0</v>
      </c>
      <c r="I1112" s="94"/>
      <c r="J1112" s="31">
        <f>РЕАЛИЗАЦИЯ[[#This Row],[СОНИ]]*РЕАЛИЗАЦИЯ[[#This Row],[ТАННАРХ]]</f>
        <v>0</v>
      </c>
      <c r="K1112" s="31">
        <f>РЕАЛИЗАЦИЯ[[#This Row],[ЖАМИ]]-РЕАЛИЗАЦИЯ[[#This Row],[ЖАМИ2]]</f>
        <v>0</v>
      </c>
      <c r="L1112" s="31"/>
    </row>
    <row r="1113" spans="3:12" ht="15" customHeight="1" x14ac:dyDescent="0.3">
      <c r="C1113" s="100"/>
      <c r="D1113" s="100"/>
      <c r="G1113" s="50">
        <f>РЕАЛИЗАЦИЯ[[#This Row],[СОНИ]]*РЕАЛИЗАЦИЯ[[#This Row],[НАРХИ]]</f>
        <v>0</v>
      </c>
      <c r="I1113" s="94"/>
      <c r="J1113" s="31">
        <f>РЕАЛИЗАЦИЯ[[#This Row],[СОНИ]]*РЕАЛИЗАЦИЯ[[#This Row],[ТАННАРХ]]</f>
        <v>0</v>
      </c>
      <c r="K1113" s="31">
        <f>РЕАЛИЗАЦИЯ[[#This Row],[ЖАМИ]]-РЕАЛИЗАЦИЯ[[#This Row],[ЖАМИ2]]</f>
        <v>0</v>
      </c>
      <c r="L1113" s="31"/>
    </row>
    <row r="1114" spans="3:12" ht="15" customHeight="1" x14ac:dyDescent="0.3">
      <c r="C1114" s="100"/>
      <c r="D1114" s="100"/>
      <c r="G1114" s="50">
        <f>РЕАЛИЗАЦИЯ[[#This Row],[СОНИ]]*РЕАЛИЗАЦИЯ[[#This Row],[НАРХИ]]</f>
        <v>0</v>
      </c>
      <c r="I1114" s="94"/>
      <c r="J1114" s="31">
        <f>РЕАЛИЗАЦИЯ[[#This Row],[СОНИ]]*РЕАЛИЗАЦИЯ[[#This Row],[ТАННАРХ]]</f>
        <v>0</v>
      </c>
      <c r="K1114" s="31">
        <f>РЕАЛИЗАЦИЯ[[#This Row],[ЖАМИ]]-РЕАЛИЗАЦИЯ[[#This Row],[ЖАМИ2]]</f>
        <v>0</v>
      </c>
      <c r="L1114" s="31"/>
    </row>
    <row r="1115" spans="3:12" ht="15" customHeight="1" x14ac:dyDescent="0.3">
      <c r="C1115" s="100"/>
      <c r="D1115" s="100"/>
      <c r="G1115" s="50">
        <f>РЕАЛИЗАЦИЯ[[#This Row],[СОНИ]]*РЕАЛИЗАЦИЯ[[#This Row],[НАРХИ]]</f>
        <v>0</v>
      </c>
      <c r="I1115" s="94"/>
      <c r="J1115" s="31">
        <f>РЕАЛИЗАЦИЯ[[#This Row],[СОНИ]]*РЕАЛИЗАЦИЯ[[#This Row],[ТАННАРХ]]</f>
        <v>0</v>
      </c>
      <c r="K1115" s="31">
        <f>РЕАЛИЗАЦИЯ[[#This Row],[ЖАМИ]]-РЕАЛИЗАЦИЯ[[#This Row],[ЖАМИ2]]</f>
        <v>0</v>
      </c>
      <c r="L1115" s="31"/>
    </row>
    <row r="1116" spans="3:12" ht="15" customHeight="1" x14ac:dyDescent="0.3">
      <c r="C1116" s="100"/>
      <c r="D1116" s="100"/>
      <c r="G1116" s="50">
        <f>РЕАЛИЗАЦИЯ[[#This Row],[СОНИ]]*РЕАЛИЗАЦИЯ[[#This Row],[НАРХИ]]</f>
        <v>0</v>
      </c>
      <c r="I1116" s="94"/>
      <c r="J1116" s="31">
        <f>РЕАЛИЗАЦИЯ[[#This Row],[СОНИ]]*РЕАЛИЗАЦИЯ[[#This Row],[ТАННАРХ]]</f>
        <v>0</v>
      </c>
      <c r="K1116" s="31">
        <f>РЕАЛИЗАЦИЯ[[#This Row],[ЖАМИ]]-РЕАЛИЗАЦИЯ[[#This Row],[ЖАМИ2]]</f>
        <v>0</v>
      </c>
      <c r="L1116" s="31"/>
    </row>
    <row r="1117" spans="3:12" ht="15" customHeight="1" x14ac:dyDescent="0.3">
      <c r="C1117" s="100"/>
      <c r="D1117" s="100"/>
      <c r="G1117" s="50">
        <f>РЕАЛИЗАЦИЯ[[#This Row],[СОНИ]]*РЕАЛИЗАЦИЯ[[#This Row],[НАРХИ]]</f>
        <v>0</v>
      </c>
      <c r="I1117" s="94"/>
      <c r="J1117" s="31">
        <f>РЕАЛИЗАЦИЯ[[#This Row],[СОНИ]]*РЕАЛИЗАЦИЯ[[#This Row],[ТАННАРХ]]</f>
        <v>0</v>
      </c>
      <c r="K1117" s="31">
        <f>РЕАЛИЗАЦИЯ[[#This Row],[ЖАМИ]]-РЕАЛИЗАЦИЯ[[#This Row],[ЖАМИ2]]</f>
        <v>0</v>
      </c>
      <c r="L1117" s="31"/>
    </row>
    <row r="1118" spans="3:12" ht="15" customHeight="1" x14ac:dyDescent="0.3">
      <c r="C1118" s="101"/>
      <c r="D1118" s="101"/>
      <c r="G1118" s="50">
        <f>РЕАЛИЗАЦИЯ[[#This Row],[СОНИ]]*РЕАЛИЗАЦИЯ[[#This Row],[НАРХИ]]</f>
        <v>0</v>
      </c>
      <c r="I1118" s="94"/>
      <c r="J1118" s="31">
        <f>РЕАЛИЗАЦИЯ[[#This Row],[СОНИ]]*РЕАЛИЗАЦИЯ[[#This Row],[ТАННАРХ]]</f>
        <v>0</v>
      </c>
      <c r="K1118" s="31">
        <f>РЕАЛИЗАЦИЯ[[#This Row],[ЖАМИ]]-РЕАЛИЗАЦИЯ[[#This Row],[ЖАМИ2]]</f>
        <v>0</v>
      </c>
      <c r="L1118" s="31"/>
    </row>
    <row r="1119" spans="3:12" ht="15" customHeight="1" x14ac:dyDescent="0.3">
      <c r="C1119" s="101"/>
      <c r="D1119" s="101"/>
      <c r="G1119" s="50">
        <f>РЕАЛИЗАЦИЯ[[#This Row],[СОНИ]]*РЕАЛИЗАЦИЯ[[#This Row],[НАРХИ]]</f>
        <v>0</v>
      </c>
      <c r="I1119" s="94"/>
      <c r="J1119" s="31">
        <f>РЕАЛИЗАЦИЯ[[#This Row],[СОНИ]]*РЕАЛИЗАЦИЯ[[#This Row],[ТАННАРХ]]</f>
        <v>0</v>
      </c>
      <c r="K1119" s="31">
        <f>РЕАЛИЗАЦИЯ[[#This Row],[ЖАМИ]]-РЕАЛИЗАЦИЯ[[#This Row],[ЖАМИ2]]</f>
        <v>0</v>
      </c>
      <c r="L1119" s="31"/>
    </row>
    <row r="1120" spans="3:12" ht="15" customHeight="1" x14ac:dyDescent="0.3">
      <c r="C1120" s="101"/>
      <c r="D1120" s="101"/>
      <c r="G1120" s="50">
        <f>РЕАЛИЗАЦИЯ[[#This Row],[СОНИ]]*РЕАЛИЗАЦИЯ[[#This Row],[НАРХИ]]</f>
        <v>0</v>
      </c>
      <c r="I1120" s="94"/>
      <c r="J1120" s="31">
        <f>РЕАЛИЗАЦИЯ[[#This Row],[СОНИ]]*РЕАЛИЗАЦИЯ[[#This Row],[ТАННАРХ]]</f>
        <v>0</v>
      </c>
      <c r="K1120" s="31">
        <f>РЕАЛИЗАЦИЯ[[#This Row],[ЖАМИ]]-РЕАЛИЗАЦИЯ[[#This Row],[ЖАМИ2]]</f>
        <v>0</v>
      </c>
      <c r="L1120" s="31"/>
    </row>
    <row r="1121" spans="3:12" ht="15" customHeight="1" x14ac:dyDescent="0.3">
      <c r="C1121" s="101"/>
      <c r="D1121" s="101"/>
      <c r="G1121" s="50">
        <f>РЕАЛИЗАЦИЯ[[#This Row],[СОНИ]]*РЕАЛИЗАЦИЯ[[#This Row],[НАРХИ]]</f>
        <v>0</v>
      </c>
      <c r="I1121" s="94"/>
      <c r="J1121" s="31">
        <f>РЕАЛИЗАЦИЯ[[#This Row],[СОНИ]]*РЕАЛИЗАЦИЯ[[#This Row],[ТАННАРХ]]</f>
        <v>0</v>
      </c>
      <c r="K1121" s="31">
        <f>РЕАЛИЗАЦИЯ[[#This Row],[ЖАМИ]]-РЕАЛИЗАЦИЯ[[#This Row],[ЖАМИ2]]</f>
        <v>0</v>
      </c>
      <c r="L1121" s="31"/>
    </row>
    <row r="1122" spans="3:12" ht="15" customHeight="1" x14ac:dyDescent="0.3">
      <c r="C1122" s="101"/>
      <c r="D1122" s="101"/>
      <c r="G1122" s="50">
        <f>РЕАЛИЗАЦИЯ[[#This Row],[СОНИ]]*РЕАЛИЗАЦИЯ[[#This Row],[НАРХИ]]</f>
        <v>0</v>
      </c>
      <c r="I1122" s="94"/>
      <c r="J1122" s="31">
        <f>РЕАЛИЗАЦИЯ[[#This Row],[СОНИ]]*РЕАЛИЗАЦИЯ[[#This Row],[ТАННАРХ]]</f>
        <v>0</v>
      </c>
      <c r="K1122" s="31">
        <f>РЕАЛИЗАЦИЯ[[#This Row],[ЖАМИ]]-РЕАЛИЗАЦИЯ[[#This Row],[ЖАМИ2]]</f>
        <v>0</v>
      </c>
      <c r="L1122" s="31"/>
    </row>
    <row r="1123" spans="3:12" ht="15" customHeight="1" x14ac:dyDescent="0.3">
      <c r="C1123" s="101"/>
      <c r="D1123" s="101"/>
      <c r="G1123" s="50">
        <f>РЕАЛИЗАЦИЯ[[#This Row],[СОНИ]]*РЕАЛИЗАЦИЯ[[#This Row],[НАРХИ]]</f>
        <v>0</v>
      </c>
      <c r="I1123" s="94"/>
      <c r="J1123" s="31">
        <f>РЕАЛИЗАЦИЯ[[#This Row],[СОНИ]]*РЕАЛИЗАЦИЯ[[#This Row],[ТАННАРХ]]</f>
        <v>0</v>
      </c>
      <c r="K1123" s="31">
        <f>РЕАЛИЗАЦИЯ[[#This Row],[ЖАМИ]]-РЕАЛИЗАЦИЯ[[#This Row],[ЖАМИ2]]</f>
        <v>0</v>
      </c>
      <c r="L1123" s="31"/>
    </row>
    <row r="1124" spans="3:12" ht="15" customHeight="1" x14ac:dyDescent="0.3">
      <c r="C1124" s="101"/>
      <c r="D1124" s="101"/>
      <c r="G1124" s="50">
        <f>РЕАЛИЗАЦИЯ[[#This Row],[СОНИ]]*РЕАЛИЗАЦИЯ[[#This Row],[НАРХИ]]</f>
        <v>0</v>
      </c>
      <c r="I1124" s="94"/>
      <c r="J1124" s="31">
        <f>РЕАЛИЗАЦИЯ[[#This Row],[СОНИ]]*РЕАЛИЗАЦИЯ[[#This Row],[ТАННАРХ]]</f>
        <v>0</v>
      </c>
      <c r="K1124" s="31">
        <f>РЕАЛИЗАЦИЯ[[#This Row],[ЖАМИ]]-РЕАЛИЗАЦИЯ[[#This Row],[ЖАМИ2]]</f>
        <v>0</v>
      </c>
      <c r="L1124" s="31"/>
    </row>
    <row r="1125" spans="3:12" ht="15" customHeight="1" x14ac:dyDescent="0.3">
      <c r="C1125" s="101"/>
      <c r="D1125" s="101"/>
      <c r="G1125" s="50">
        <f>РЕАЛИЗАЦИЯ[[#This Row],[СОНИ]]*РЕАЛИЗАЦИЯ[[#This Row],[НАРХИ]]</f>
        <v>0</v>
      </c>
      <c r="I1125" s="94"/>
      <c r="J1125" s="31">
        <f>РЕАЛИЗАЦИЯ[[#This Row],[СОНИ]]*РЕАЛИЗАЦИЯ[[#This Row],[ТАННАРХ]]</f>
        <v>0</v>
      </c>
      <c r="K1125" s="31">
        <f>РЕАЛИЗАЦИЯ[[#This Row],[ЖАМИ]]-РЕАЛИЗАЦИЯ[[#This Row],[ЖАМИ2]]</f>
        <v>0</v>
      </c>
      <c r="L1125" s="31"/>
    </row>
    <row r="1126" spans="3:12" ht="15" customHeight="1" x14ac:dyDescent="0.3">
      <c r="C1126" s="101"/>
      <c r="D1126" s="101"/>
      <c r="G1126" s="50">
        <f>РЕАЛИЗАЦИЯ[[#This Row],[СОНИ]]*РЕАЛИЗАЦИЯ[[#This Row],[НАРХИ]]</f>
        <v>0</v>
      </c>
      <c r="I1126" s="94"/>
      <c r="J1126" s="31">
        <f>РЕАЛИЗАЦИЯ[[#This Row],[СОНИ]]*РЕАЛИЗАЦИЯ[[#This Row],[ТАННАРХ]]</f>
        <v>0</v>
      </c>
      <c r="K1126" s="31">
        <f>РЕАЛИЗАЦИЯ[[#This Row],[ЖАМИ]]-РЕАЛИЗАЦИЯ[[#This Row],[ЖАМИ2]]</f>
        <v>0</v>
      </c>
      <c r="L1126" s="31"/>
    </row>
    <row r="1127" spans="3:12" ht="15" customHeight="1" x14ac:dyDescent="0.3">
      <c r="C1127" s="101"/>
      <c r="D1127" s="101"/>
      <c r="G1127" s="50">
        <f>РЕАЛИЗАЦИЯ[[#This Row],[СОНИ]]*РЕАЛИЗАЦИЯ[[#This Row],[НАРХИ]]</f>
        <v>0</v>
      </c>
      <c r="I1127" s="94"/>
      <c r="J1127" s="31">
        <f>РЕАЛИЗАЦИЯ[[#This Row],[СОНИ]]*РЕАЛИЗАЦИЯ[[#This Row],[ТАННАРХ]]</f>
        <v>0</v>
      </c>
      <c r="K1127" s="31">
        <f>РЕАЛИЗАЦИЯ[[#This Row],[ЖАМИ]]-РЕАЛИЗАЦИЯ[[#This Row],[ЖАМИ2]]</f>
        <v>0</v>
      </c>
      <c r="L1127" s="31"/>
    </row>
    <row r="1128" spans="3:12" ht="15" customHeight="1" x14ac:dyDescent="0.3">
      <c r="C1128" s="101"/>
      <c r="D1128" s="101"/>
      <c r="G1128" s="50">
        <f>РЕАЛИЗАЦИЯ[[#This Row],[СОНИ]]*РЕАЛИЗАЦИЯ[[#This Row],[НАРХИ]]</f>
        <v>0</v>
      </c>
      <c r="I1128" s="94"/>
      <c r="J1128" s="31">
        <f>РЕАЛИЗАЦИЯ[[#This Row],[СОНИ]]*РЕАЛИЗАЦИЯ[[#This Row],[ТАННАРХ]]</f>
        <v>0</v>
      </c>
      <c r="K1128" s="31">
        <f>РЕАЛИЗАЦИЯ[[#This Row],[ЖАМИ]]-РЕАЛИЗАЦИЯ[[#This Row],[ЖАМИ2]]</f>
        <v>0</v>
      </c>
      <c r="L1128" s="31"/>
    </row>
    <row r="1129" spans="3:12" ht="15" customHeight="1" x14ac:dyDescent="0.3">
      <c r="C1129" s="101"/>
      <c r="D1129" s="101"/>
      <c r="G1129" s="50">
        <f>РЕАЛИЗАЦИЯ[[#This Row],[СОНИ]]*РЕАЛИЗАЦИЯ[[#This Row],[НАРХИ]]</f>
        <v>0</v>
      </c>
      <c r="I1129" s="94"/>
      <c r="J1129" s="31">
        <f>РЕАЛИЗАЦИЯ[[#This Row],[СОНИ]]*РЕАЛИЗАЦИЯ[[#This Row],[ТАННАРХ]]</f>
        <v>0</v>
      </c>
      <c r="K1129" s="31">
        <f>РЕАЛИЗАЦИЯ[[#This Row],[ЖАМИ]]-РЕАЛИЗАЦИЯ[[#This Row],[ЖАМИ2]]</f>
        <v>0</v>
      </c>
      <c r="L1129" s="31"/>
    </row>
    <row r="1130" spans="3:12" ht="15" customHeight="1" x14ac:dyDescent="0.3">
      <c r="C1130" s="101"/>
      <c r="D1130" s="101"/>
      <c r="G1130" s="50">
        <f>РЕАЛИЗАЦИЯ[[#This Row],[СОНИ]]*РЕАЛИЗАЦИЯ[[#This Row],[НАРХИ]]</f>
        <v>0</v>
      </c>
      <c r="I1130" s="94"/>
      <c r="J1130" s="31">
        <f>РЕАЛИЗАЦИЯ[[#This Row],[СОНИ]]*РЕАЛИЗАЦИЯ[[#This Row],[ТАННАРХ]]</f>
        <v>0</v>
      </c>
      <c r="K1130" s="31">
        <f>РЕАЛИЗАЦИЯ[[#This Row],[ЖАМИ]]-РЕАЛИЗАЦИЯ[[#This Row],[ЖАМИ2]]</f>
        <v>0</v>
      </c>
      <c r="L1130" s="31"/>
    </row>
    <row r="1131" spans="3:12" ht="15" customHeight="1" x14ac:dyDescent="0.3">
      <c r="C1131" s="101"/>
      <c r="D1131" s="101"/>
      <c r="G1131" s="50">
        <f>РЕАЛИЗАЦИЯ[[#This Row],[СОНИ]]*РЕАЛИЗАЦИЯ[[#This Row],[НАРХИ]]</f>
        <v>0</v>
      </c>
      <c r="I1131" s="94"/>
      <c r="J1131" s="31">
        <f>РЕАЛИЗАЦИЯ[[#This Row],[СОНИ]]*РЕАЛИЗАЦИЯ[[#This Row],[ТАННАРХ]]</f>
        <v>0</v>
      </c>
      <c r="K1131" s="31">
        <f>РЕАЛИЗАЦИЯ[[#This Row],[ЖАМИ]]-РЕАЛИЗАЦИЯ[[#This Row],[ЖАМИ2]]</f>
        <v>0</v>
      </c>
      <c r="L1131" s="31"/>
    </row>
    <row r="1132" spans="3:12" ht="15" customHeight="1" x14ac:dyDescent="0.3">
      <c r="C1132" s="101"/>
      <c r="D1132" s="101"/>
      <c r="G1132" s="50">
        <f>РЕАЛИЗАЦИЯ[[#This Row],[СОНИ]]*РЕАЛИЗАЦИЯ[[#This Row],[НАРХИ]]</f>
        <v>0</v>
      </c>
      <c r="I1132" s="94"/>
      <c r="J1132" s="31">
        <f>РЕАЛИЗАЦИЯ[[#This Row],[СОНИ]]*РЕАЛИЗАЦИЯ[[#This Row],[ТАННАРХ]]</f>
        <v>0</v>
      </c>
      <c r="K1132" s="31">
        <f>РЕАЛИЗАЦИЯ[[#This Row],[ЖАМИ]]-РЕАЛИЗАЦИЯ[[#This Row],[ЖАМИ2]]</f>
        <v>0</v>
      </c>
      <c r="L1132" s="31"/>
    </row>
    <row r="1133" spans="3:12" ht="15" customHeight="1" x14ac:dyDescent="0.3">
      <c r="C1133" s="101"/>
      <c r="D1133" s="101"/>
      <c r="G1133" s="50">
        <f>РЕАЛИЗАЦИЯ[[#This Row],[СОНИ]]*РЕАЛИЗАЦИЯ[[#This Row],[НАРХИ]]</f>
        <v>0</v>
      </c>
      <c r="I1133" s="94"/>
      <c r="J1133" s="31">
        <f>РЕАЛИЗАЦИЯ[[#This Row],[СОНИ]]*РЕАЛИЗАЦИЯ[[#This Row],[ТАННАРХ]]</f>
        <v>0</v>
      </c>
      <c r="K1133" s="31">
        <f>РЕАЛИЗАЦИЯ[[#This Row],[ЖАМИ]]-РЕАЛИЗАЦИЯ[[#This Row],[ЖАМИ2]]</f>
        <v>0</v>
      </c>
      <c r="L1133" s="31"/>
    </row>
    <row r="1134" spans="3:12" ht="15" customHeight="1" x14ac:dyDescent="0.3">
      <c r="C1134" s="101"/>
      <c r="D1134" s="101"/>
      <c r="G1134" s="50">
        <f>РЕАЛИЗАЦИЯ[[#This Row],[СОНИ]]*РЕАЛИЗАЦИЯ[[#This Row],[НАРХИ]]</f>
        <v>0</v>
      </c>
      <c r="I1134" s="94"/>
      <c r="J1134" s="31">
        <f>РЕАЛИЗАЦИЯ[[#This Row],[СОНИ]]*РЕАЛИЗАЦИЯ[[#This Row],[ТАННАРХ]]</f>
        <v>0</v>
      </c>
      <c r="K1134" s="31">
        <f>РЕАЛИЗАЦИЯ[[#This Row],[ЖАМИ]]-РЕАЛИЗАЦИЯ[[#This Row],[ЖАМИ2]]</f>
        <v>0</v>
      </c>
      <c r="L1134" s="31"/>
    </row>
    <row r="1135" spans="3:12" ht="15" customHeight="1" x14ac:dyDescent="0.3">
      <c r="C1135" s="101"/>
      <c r="D1135" s="101"/>
      <c r="G1135" s="50">
        <f>РЕАЛИЗАЦИЯ[[#This Row],[СОНИ]]*РЕАЛИЗАЦИЯ[[#This Row],[НАРХИ]]</f>
        <v>0</v>
      </c>
      <c r="I1135" s="94"/>
      <c r="J1135" s="31">
        <f>РЕАЛИЗАЦИЯ[[#This Row],[СОНИ]]*РЕАЛИЗАЦИЯ[[#This Row],[ТАННАРХ]]</f>
        <v>0</v>
      </c>
      <c r="K1135" s="31">
        <f>РЕАЛИЗАЦИЯ[[#This Row],[ЖАМИ]]-РЕАЛИЗАЦИЯ[[#This Row],[ЖАМИ2]]</f>
        <v>0</v>
      </c>
      <c r="L1135" s="31"/>
    </row>
    <row r="1136" spans="3:12" ht="15" customHeight="1" x14ac:dyDescent="0.3">
      <c r="C1136" s="101"/>
      <c r="D1136" s="101"/>
      <c r="G1136" s="50">
        <f>РЕАЛИЗАЦИЯ[[#This Row],[СОНИ]]*РЕАЛИЗАЦИЯ[[#This Row],[НАРХИ]]</f>
        <v>0</v>
      </c>
      <c r="I1136" s="94"/>
      <c r="J1136" s="31">
        <f>РЕАЛИЗАЦИЯ[[#This Row],[СОНИ]]*РЕАЛИЗАЦИЯ[[#This Row],[ТАННАРХ]]</f>
        <v>0</v>
      </c>
      <c r="K1136" s="31">
        <f>РЕАЛИЗАЦИЯ[[#This Row],[ЖАМИ]]-РЕАЛИЗАЦИЯ[[#This Row],[ЖАМИ2]]</f>
        <v>0</v>
      </c>
      <c r="L1136" s="31"/>
    </row>
    <row r="1137" spans="3:12" ht="15" customHeight="1" x14ac:dyDescent="0.3">
      <c r="C1137" s="101"/>
      <c r="D1137" s="101"/>
      <c r="G1137" s="50">
        <f>РЕАЛИЗАЦИЯ[[#This Row],[СОНИ]]*РЕАЛИЗАЦИЯ[[#This Row],[НАРХИ]]</f>
        <v>0</v>
      </c>
      <c r="I1137" s="94"/>
      <c r="J1137" s="31">
        <f>РЕАЛИЗАЦИЯ[[#This Row],[СОНИ]]*РЕАЛИЗАЦИЯ[[#This Row],[ТАННАРХ]]</f>
        <v>0</v>
      </c>
      <c r="K1137" s="31">
        <f>РЕАЛИЗАЦИЯ[[#This Row],[ЖАМИ]]-РЕАЛИЗАЦИЯ[[#This Row],[ЖАМИ2]]</f>
        <v>0</v>
      </c>
      <c r="L1137" s="31"/>
    </row>
    <row r="1138" spans="3:12" ht="15" customHeight="1" x14ac:dyDescent="0.3">
      <c r="C1138" s="101"/>
      <c r="D1138" s="101"/>
      <c r="G1138" s="50">
        <f>РЕАЛИЗАЦИЯ[[#This Row],[СОНИ]]*РЕАЛИЗАЦИЯ[[#This Row],[НАРХИ]]</f>
        <v>0</v>
      </c>
      <c r="I1138" s="94"/>
      <c r="J1138" s="31">
        <f>РЕАЛИЗАЦИЯ[[#This Row],[СОНИ]]*РЕАЛИЗАЦИЯ[[#This Row],[ТАННАРХ]]</f>
        <v>0</v>
      </c>
      <c r="K1138" s="31">
        <f>РЕАЛИЗАЦИЯ[[#This Row],[ЖАМИ]]-РЕАЛИЗАЦИЯ[[#This Row],[ЖАМИ2]]</f>
        <v>0</v>
      </c>
      <c r="L1138" s="31"/>
    </row>
    <row r="1139" spans="3:12" ht="15" customHeight="1" x14ac:dyDescent="0.3">
      <c r="C1139" s="101"/>
      <c r="D1139" s="101"/>
      <c r="G1139" s="50">
        <f>РЕАЛИЗАЦИЯ[[#This Row],[СОНИ]]*РЕАЛИЗАЦИЯ[[#This Row],[НАРХИ]]</f>
        <v>0</v>
      </c>
      <c r="I1139" s="94"/>
      <c r="J1139" s="31">
        <f>РЕАЛИЗАЦИЯ[[#This Row],[СОНИ]]*РЕАЛИЗАЦИЯ[[#This Row],[ТАННАРХ]]</f>
        <v>0</v>
      </c>
      <c r="K1139" s="31">
        <f>РЕАЛИЗАЦИЯ[[#This Row],[ЖАМИ]]-РЕАЛИЗАЦИЯ[[#This Row],[ЖАМИ2]]</f>
        <v>0</v>
      </c>
      <c r="L1139" s="31"/>
    </row>
    <row r="1140" spans="3:12" ht="15" customHeight="1" x14ac:dyDescent="0.3">
      <c r="C1140" s="101"/>
      <c r="D1140" s="101"/>
      <c r="G1140" s="50">
        <f>РЕАЛИЗАЦИЯ[[#This Row],[СОНИ]]*РЕАЛИЗАЦИЯ[[#This Row],[НАРХИ]]</f>
        <v>0</v>
      </c>
      <c r="I1140" s="94"/>
      <c r="J1140" s="31">
        <f>РЕАЛИЗАЦИЯ[[#This Row],[СОНИ]]*РЕАЛИЗАЦИЯ[[#This Row],[ТАННАРХ]]</f>
        <v>0</v>
      </c>
      <c r="K1140" s="31">
        <f>РЕАЛИЗАЦИЯ[[#This Row],[ЖАМИ]]-РЕАЛИЗАЦИЯ[[#This Row],[ЖАМИ2]]</f>
        <v>0</v>
      </c>
      <c r="L1140" s="31"/>
    </row>
    <row r="1141" spans="3:12" ht="15" customHeight="1" x14ac:dyDescent="0.3">
      <c r="C1141" s="101"/>
      <c r="D1141" s="101"/>
      <c r="G1141" s="50">
        <f>РЕАЛИЗАЦИЯ[[#This Row],[СОНИ]]*РЕАЛИЗАЦИЯ[[#This Row],[НАРХИ]]</f>
        <v>0</v>
      </c>
      <c r="I1141" s="94"/>
      <c r="J1141" s="31">
        <f>РЕАЛИЗАЦИЯ[[#This Row],[СОНИ]]*РЕАЛИЗАЦИЯ[[#This Row],[ТАННАРХ]]</f>
        <v>0</v>
      </c>
      <c r="K1141" s="31">
        <f>РЕАЛИЗАЦИЯ[[#This Row],[ЖАМИ]]-РЕАЛИЗАЦИЯ[[#This Row],[ЖАМИ2]]</f>
        <v>0</v>
      </c>
      <c r="L1141" s="31"/>
    </row>
    <row r="1142" spans="3:12" ht="15" customHeight="1" x14ac:dyDescent="0.3">
      <c r="C1142" s="101"/>
      <c r="D1142" s="101"/>
      <c r="G1142" s="50">
        <f>РЕАЛИЗАЦИЯ[[#This Row],[СОНИ]]*РЕАЛИЗАЦИЯ[[#This Row],[НАРХИ]]</f>
        <v>0</v>
      </c>
      <c r="I1142" s="94"/>
      <c r="J1142" s="31">
        <f>РЕАЛИЗАЦИЯ[[#This Row],[СОНИ]]*РЕАЛИЗАЦИЯ[[#This Row],[ТАННАРХ]]</f>
        <v>0</v>
      </c>
      <c r="K1142" s="31">
        <f>РЕАЛИЗАЦИЯ[[#This Row],[ЖАМИ]]-РЕАЛИЗАЦИЯ[[#This Row],[ЖАМИ2]]</f>
        <v>0</v>
      </c>
      <c r="L1142" s="31"/>
    </row>
    <row r="1143" spans="3:12" ht="15" customHeight="1" x14ac:dyDescent="0.3">
      <c r="C1143" s="102"/>
      <c r="D1143" s="102"/>
      <c r="G1143" s="50">
        <f>РЕАЛИЗАЦИЯ[[#This Row],[СОНИ]]*РЕАЛИЗАЦИЯ[[#This Row],[НАРХИ]]</f>
        <v>0</v>
      </c>
      <c r="I1143" s="94"/>
      <c r="J1143" s="31">
        <f>РЕАЛИЗАЦИЯ[[#This Row],[СОНИ]]*РЕАЛИЗАЦИЯ[[#This Row],[ТАННАРХ]]</f>
        <v>0</v>
      </c>
      <c r="K1143" s="31">
        <f>РЕАЛИЗАЦИЯ[[#This Row],[ЖАМИ]]-РЕАЛИЗАЦИЯ[[#This Row],[ЖАМИ2]]</f>
        <v>0</v>
      </c>
      <c r="L1143" s="31"/>
    </row>
    <row r="1144" spans="3:12" ht="15" customHeight="1" x14ac:dyDescent="0.3">
      <c r="C1144" s="152"/>
      <c r="D1144" s="152"/>
      <c r="G1144" s="50">
        <f>РЕАЛИЗАЦИЯ[[#This Row],[СОНИ]]*РЕАЛИЗАЦИЯ[[#This Row],[НАРХИ]]</f>
        <v>0</v>
      </c>
      <c r="I1144" s="132"/>
      <c r="J1144" s="31">
        <f>РЕАЛИЗАЦИЯ[[#This Row],[СОНИ]]*РЕАЛИЗАЦИЯ[[#This Row],[ТАННАРХ]]</f>
        <v>0</v>
      </c>
      <c r="K1144" s="31">
        <f>РЕАЛИЗАЦИЯ[[#This Row],[ЖАМИ]]-РЕАЛИЗАЦИЯ[[#This Row],[ЖАМИ2]]</f>
        <v>0</v>
      </c>
      <c r="L1144" s="31"/>
    </row>
    <row r="1145" spans="3:12" ht="15" customHeight="1" x14ac:dyDescent="0.3">
      <c r="C1145" s="152"/>
      <c r="D1145" s="152"/>
      <c r="G1145" s="50">
        <f>РЕАЛИЗАЦИЯ[[#This Row],[СОНИ]]*РЕАЛИЗАЦИЯ[[#This Row],[НАРХИ]]</f>
        <v>0</v>
      </c>
      <c r="I1145" s="132"/>
      <c r="J1145" s="31">
        <f>РЕАЛИЗАЦИЯ[[#This Row],[СОНИ]]*РЕАЛИЗАЦИЯ[[#This Row],[ТАННАРХ]]</f>
        <v>0</v>
      </c>
      <c r="K1145" s="31">
        <f>РЕАЛИЗАЦИЯ[[#This Row],[ЖАМИ]]-РЕАЛИЗАЦИЯ[[#This Row],[ЖАМИ2]]</f>
        <v>0</v>
      </c>
      <c r="L1145" s="31"/>
    </row>
    <row r="1146" spans="3:12" ht="15" customHeight="1" x14ac:dyDescent="0.3">
      <c r="C1146" s="102"/>
      <c r="D1146" s="102"/>
      <c r="G1146" s="50">
        <f>РЕАЛИЗАЦИЯ[[#This Row],[СОНИ]]*РЕАЛИЗАЦИЯ[[#This Row],[НАРХИ]]</f>
        <v>0</v>
      </c>
      <c r="I1146" s="94"/>
      <c r="J1146" s="31">
        <f>РЕАЛИЗАЦИЯ[[#This Row],[СОНИ]]*РЕАЛИЗАЦИЯ[[#This Row],[ТАННАРХ]]</f>
        <v>0</v>
      </c>
      <c r="K1146" s="31">
        <f>РЕАЛИЗАЦИЯ[[#This Row],[ЖАМИ]]-РЕАЛИЗАЦИЯ[[#This Row],[ЖАМИ2]]</f>
        <v>0</v>
      </c>
      <c r="L1146" s="31"/>
    </row>
    <row r="1147" spans="3:12" ht="15" customHeight="1" x14ac:dyDescent="0.3">
      <c r="C1147" s="102"/>
      <c r="D1147" s="102"/>
      <c r="G1147" s="50">
        <f>РЕАЛИЗАЦИЯ[[#This Row],[СОНИ]]*РЕАЛИЗАЦИЯ[[#This Row],[НАРХИ]]</f>
        <v>0</v>
      </c>
      <c r="I1147" s="94"/>
      <c r="J1147" s="31">
        <f>РЕАЛИЗАЦИЯ[[#This Row],[СОНИ]]*РЕАЛИЗАЦИЯ[[#This Row],[ТАННАРХ]]</f>
        <v>0</v>
      </c>
      <c r="K1147" s="31">
        <f>РЕАЛИЗАЦИЯ[[#This Row],[ЖАМИ]]-РЕАЛИЗАЦИЯ[[#This Row],[ЖАМИ2]]</f>
        <v>0</v>
      </c>
      <c r="L1147" s="31"/>
    </row>
    <row r="1148" spans="3:12" ht="15" customHeight="1" x14ac:dyDescent="0.3">
      <c r="C1148" s="102"/>
      <c r="D1148" s="102"/>
      <c r="G1148" s="50">
        <f>РЕАЛИЗАЦИЯ[[#This Row],[СОНИ]]*РЕАЛИЗАЦИЯ[[#This Row],[НАРХИ]]</f>
        <v>0</v>
      </c>
      <c r="I1148" s="94"/>
      <c r="J1148" s="31">
        <f>РЕАЛИЗАЦИЯ[[#This Row],[СОНИ]]*РЕАЛИЗАЦИЯ[[#This Row],[ТАННАРХ]]</f>
        <v>0</v>
      </c>
      <c r="K1148" s="31">
        <f>РЕАЛИЗАЦИЯ[[#This Row],[ЖАМИ]]-РЕАЛИЗАЦИЯ[[#This Row],[ЖАМИ2]]</f>
        <v>0</v>
      </c>
      <c r="L1148" s="31"/>
    </row>
    <row r="1149" spans="3:12" ht="15" customHeight="1" x14ac:dyDescent="0.3">
      <c r="C1149" s="102"/>
      <c r="D1149" s="102"/>
      <c r="G1149" s="50">
        <f>РЕАЛИЗАЦИЯ[[#This Row],[СОНИ]]*РЕАЛИЗАЦИЯ[[#This Row],[НАРХИ]]</f>
        <v>0</v>
      </c>
      <c r="I1149" s="94"/>
      <c r="J1149" s="31">
        <f>РЕАЛИЗАЦИЯ[[#This Row],[СОНИ]]*РЕАЛИЗАЦИЯ[[#This Row],[ТАННАРХ]]</f>
        <v>0</v>
      </c>
      <c r="K1149" s="31">
        <f>РЕАЛИЗАЦИЯ[[#This Row],[ЖАМИ]]-РЕАЛИЗАЦИЯ[[#This Row],[ЖАМИ2]]</f>
        <v>0</v>
      </c>
      <c r="L1149" s="31"/>
    </row>
    <row r="1150" spans="3:12" ht="15" customHeight="1" x14ac:dyDescent="0.3">
      <c r="C1150" s="185"/>
      <c r="D1150" s="185"/>
      <c r="G1150" s="50">
        <f>РЕАЛИЗАЦИЯ[[#This Row],[СОНИ]]*РЕАЛИЗАЦИЯ[[#This Row],[НАРХИ]]</f>
        <v>0</v>
      </c>
      <c r="I1150" s="166"/>
      <c r="J1150" s="31">
        <f>РЕАЛИЗАЦИЯ[[#This Row],[СОНИ]]*РЕАЛИЗАЦИЯ[[#This Row],[ТАННАРХ]]</f>
        <v>0</v>
      </c>
      <c r="K1150" s="31">
        <f>РЕАЛИЗАЦИЯ[[#This Row],[ЖАМИ]]-РЕАЛИЗАЦИЯ[[#This Row],[ЖАМИ2]]</f>
        <v>0</v>
      </c>
      <c r="L1150" s="31"/>
    </row>
    <row r="1151" spans="3:12" ht="15" customHeight="1" x14ac:dyDescent="0.3">
      <c r="C1151" s="102"/>
      <c r="D1151" s="102"/>
      <c r="G1151" s="50">
        <f>РЕАЛИЗАЦИЯ[[#This Row],[СОНИ]]*РЕАЛИЗАЦИЯ[[#This Row],[НАРХИ]]</f>
        <v>0</v>
      </c>
      <c r="I1151" s="94"/>
      <c r="J1151" s="31">
        <f>РЕАЛИЗАЦИЯ[[#This Row],[СОНИ]]*РЕАЛИЗАЦИЯ[[#This Row],[ТАННАРХ]]</f>
        <v>0</v>
      </c>
      <c r="K1151" s="31">
        <f>РЕАЛИЗАЦИЯ[[#This Row],[ЖАМИ]]-РЕАЛИЗАЦИЯ[[#This Row],[ЖАМИ2]]</f>
        <v>0</v>
      </c>
      <c r="L1151" s="31"/>
    </row>
    <row r="1152" spans="3:12" ht="15" customHeight="1" x14ac:dyDescent="0.3">
      <c r="C1152" s="102"/>
      <c r="D1152" s="102"/>
      <c r="G1152" s="50">
        <f>РЕАЛИЗАЦИЯ[[#This Row],[СОНИ]]*РЕАЛИЗАЦИЯ[[#This Row],[НАРХИ]]</f>
        <v>0</v>
      </c>
      <c r="I1152" s="94"/>
      <c r="J1152" s="31">
        <f>РЕАЛИЗАЦИЯ[[#This Row],[СОНИ]]*РЕАЛИЗАЦИЯ[[#This Row],[ТАННАРХ]]</f>
        <v>0</v>
      </c>
      <c r="K1152" s="31">
        <f>РЕАЛИЗАЦИЯ[[#This Row],[ЖАМИ]]-РЕАЛИЗАЦИЯ[[#This Row],[ЖАМИ2]]</f>
        <v>0</v>
      </c>
      <c r="L1152" s="31"/>
    </row>
    <row r="1153" spans="3:12" ht="15" customHeight="1" x14ac:dyDescent="0.3">
      <c r="C1153" s="102"/>
      <c r="D1153" s="102"/>
      <c r="G1153" s="50">
        <f>РЕАЛИЗАЦИЯ[[#This Row],[СОНИ]]*РЕАЛИЗАЦИЯ[[#This Row],[НАРХИ]]</f>
        <v>0</v>
      </c>
      <c r="I1153" s="94"/>
      <c r="J1153" s="31">
        <f>РЕАЛИЗАЦИЯ[[#This Row],[СОНИ]]*РЕАЛИЗАЦИЯ[[#This Row],[ТАННАРХ]]</f>
        <v>0</v>
      </c>
      <c r="K1153" s="31">
        <f>РЕАЛИЗАЦИЯ[[#This Row],[ЖАМИ]]-РЕАЛИЗАЦИЯ[[#This Row],[ЖАМИ2]]</f>
        <v>0</v>
      </c>
      <c r="L1153" s="31"/>
    </row>
    <row r="1154" spans="3:12" ht="15" customHeight="1" x14ac:dyDescent="0.3">
      <c r="C1154" s="102"/>
      <c r="D1154" s="102"/>
      <c r="G1154" s="50">
        <f>РЕАЛИЗАЦИЯ[[#This Row],[СОНИ]]*РЕАЛИЗАЦИЯ[[#This Row],[НАРХИ]]</f>
        <v>0</v>
      </c>
      <c r="I1154" s="94"/>
      <c r="J1154" s="31">
        <f>РЕАЛИЗАЦИЯ[[#This Row],[СОНИ]]*РЕАЛИЗАЦИЯ[[#This Row],[ТАННАРХ]]</f>
        <v>0</v>
      </c>
      <c r="K1154" s="31">
        <f>РЕАЛИЗАЦИЯ[[#This Row],[ЖАМИ]]-РЕАЛИЗАЦИЯ[[#This Row],[ЖАМИ2]]</f>
        <v>0</v>
      </c>
      <c r="L1154" s="31"/>
    </row>
    <row r="1155" spans="3:12" ht="15" customHeight="1" x14ac:dyDescent="0.3">
      <c r="C1155" s="102"/>
      <c r="D1155" s="102"/>
      <c r="G1155" s="50">
        <f>РЕАЛИЗАЦИЯ[[#This Row],[СОНИ]]*РЕАЛИЗАЦИЯ[[#This Row],[НАРХИ]]</f>
        <v>0</v>
      </c>
      <c r="I1155" s="94"/>
      <c r="J1155" s="31">
        <f>РЕАЛИЗАЦИЯ[[#This Row],[СОНИ]]*РЕАЛИЗАЦИЯ[[#This Row],[ТАННАРХ]]</f>
        <v>0</v>
      </c>
      <c r="K1155" s="31">
        <f>РЕАЛИЗАЦИЯ[[#This Row],[ЖАМИ]]-РЕАЛИЗАЦИЯ[[#This Row],[ЖАМИ2]]</f>
        <v>0</v>
      </c>
      <c r="L1155" s="31"/>
    </row>
    <row r="1156" spans="3:12" x14ac:dyDescent="0.3">
      <c r="C1156" s="102"/>
      <c r="D1156" s="102"/>
      <c r="G1156" s="50">
        <f>РЕАЛИЗАЦИЯ[[#This Row],[СОНИ]]*РЕАЛИЗАЦИЯ[[#This Row],[НАРХИ]]</f>
        <v>0</v>
      </c>
      <c r="I1156" s="94"/>
      <c r="J1156" s="31">
        <f>РЕАЛИЗАЦИЯ[[#This Row],[СОНИ]]*РЕАЛИЗАЦИЯ[[#This Row],[ТАННАРХ]]</f>
        <v>0</v>
      </c>
      <c r="K1156" s="31">
        <f>РЕАЛИЗАЦИЯ[[#This Row],[ЖАМИ]]-РЕАЛИЗАЦИЯ[[#This Row],[ЖАМИ2]]</f>
        <v>0</v>
      </c>
      <c r="L1156" s="31"/>
    </row>
    <row r="1157" spans="3:12" ht="15" customHeight="1" x14ac:dyDescent="0.3">
      <c r="C1157" s="102"/>
      <c r="D1157" s="102"/>
      <c r="G1157" s="50">
        <f>РЕАЛИЗАЦИЯ[[#This Row],[СОНИ]]*РЕАЛИЗАЦИЯ[[#This Row],[НАРХИ]]</f>
        <v>0</v>
      </c>
      <c r="I1157" s="94"/>
      <c r="J1157" s="31">
        <f>РЕАЛИЗАЦИЯ[[#This Row],[СОНИ]]*РЕАЛИЗАЦИЯ[[#This Row],[ТАННАРХ]]</f>
        <v>0</v>
      </c>
      <c r="K1157" s="31">
        <f>РЕАЛИЗАЦИЯ[[#This Row],[ЖАМИ]]-РЕАЛИЗАЦИЯ[[#This Row],[ЖАМИ2]]</f>
        <v>0</v>
      </c>
      <c r="L1157" s="31"/>
    </row>
    <row r="1158" spans="3:12" ht="15" customHeight="1" x14ac:dyDescent="0.3">
      <c r="C1158" s="102"/>
      <c r="D1158" s="102"/>
      <c r="G1158" s="50">
        <f>РЕАЛИЗАЦИЯ[[#This Row],[СОНИ]]*РЕАЛИЗАЦИЯ[[#This Row],[НАРХИ]]</f>
        <v>0</v>
      </c>
      <c r="I1158" s="94"/>
      <c r="J1158" s="31">
        <f>РЕАЛИЗАЦИЯ[[#This Row],[СОНИ]]*РЕАЛИЗАЦИЯ[[#This Row],[ТАННАРХ]]</f>
        <v>0</v>
      </c>
      <c r="K1158" s="31">
        <f>РЕАЛИЗАЦИЯ[[#This Row],[ЖАМИ]]-РЕАЛИЗАЦИЯ[[#This Row],[ЖАМИ2]]</f>
        <v>0</v>
      </c>
      <c r="L1158" s="31"/>
    </row>
    <row r="1159" spans="3:12" ht="15" customHeight="1" x14ac:dyDescent="0.3">
      <c r="C1159" s="102"/>
      <c r="D1159" s="102"/>
      <c r="G1159" s="50">
        <f>РЕАЛИЗАЦИЯ[[#This Row],[СОНИ]]*РЕАЛИЗАЦИЯ[[#This Row],[НАРХИ]]</f>
        <v>0</v>
      </c>
      <c r="I1159" s="94"/>
      <c r="J1159" s="31">
        <f>РЕАЛИЗАЦИЯ[[#This Row],[СОНИ]]*РЕАЛИЗАЦИЯ[[#This Row],[ТАННАРХ]]</f>
        <v>0</v>
      </c>
      <c r="K1159" s="31">
        <f>РЕАЛИЗАЦИЯ[[#This Row],[ЖАМИ]]-РЕАЛИЗАЦИЯ[[#This Row],[ЖАМИ2]]</f>
        <v>0</v>
      </c>
      <c r="L1159" s="31"/>
    </row>
    <row r="1160" spans="3:12" ht="15" customHeight="1" x14ac:dyDescent="0.3">
      <c r="C1160" s="102"/>
      <c r="D1160" s="102"/>
      <c r="G1160" s="50">
        <f>РЕАЛИЗАЦИЯ[[#This Row],[СОНИ]]*РЕАЛИЗАЦИЯ[[#This Row],[НАРХИ]]</f>
        <v>0</v>
      </c>
      <c r="I1160" s="94"/>
      <c r="J1160" s="31">
        <f>РЕАЛИЗАЦИЯ[[#This Row],[СОНИ]]*РЕАЛИЗАЦИЯ[[#This Row],[ТАННАРХ]]</f>
        <v>0</v>
      </c>
      <c r="K1160" s="31">
        <f>РЕАЛИЗАЦИЯ[[#This Row],[ЖАМИ]]-РЕАЛИЗАЦИЯ[[#This Row],[ЖАМИ2]]</f>
        <v>0</v>
      </c>
      <c r="L1160" s="31"/>
    </row>
    <row r="1161" spans="3:12" ht="15" customHeight="1" x14ac:dyDescent="0.3">
      <c r="C1161" s="102"/>
      <c r="D1161" s="102"/>
      <c r="G1161" s="50">
        <f>РЕАЛИЗАЦИЯ[[#This Row],[СОНИ]]*РЕАЛИЗАЦИЯ[[#This Row],[НАРХИ]]</f>
        <v>0</v>
      </c>
      <c r="I1161" s="94"/>
      <c r="J1161" s="31">
        <f>РЕАЛИЗАЦИЯ[[#This Row],[СОНИ]]*РЕАЛИЗАЦИЯ[[#This Row],[ТАННАРХ]]</f>
        <v>0</v>
      </c>
      <c r="K1161" s="31">
        <f>РЕАЛИЗАЦИЯ[[#This Row],[ЖАМИ]]-РЕАЛИЗАЦИЯ[[#This Row],[ЖАМИ2]]</f>
        <v>0</v>
      </c>
      <c r="L1161" s="31"/>
    </row>
    <row r="1162" spans="3:12" ht="15" customHeight="1" x14ac:dyDescent="0.3">
      <c r="C1162" s="102"/>
      <c r="D1162" s="102"/>
      <c r="G1162" s="50">
        <f>РЕАЛИЗАЦИЯ[[#This Row],[СОНИ]]*РЕАЛИЗАЦИЯ[[#This Row],[НАРХИ]]</f>
        <v>0</v>
      </c>
      <c r="I1162" s="94"/>
      <c r="J1162" s="31">
        <f>РЕАЛИЗАЦИЯ[[#This Row],[СОНИ]]*РЕАЛИЗАЦИЯ[[#This Row],[ТАННАРХ]]</f>
        <v>0</v>
      </c>
      <c r="K1162" s="31">
        <f>РЕАЛИЗАЦИЯ[[#This Row],[ЖАМИ]]-РЕАЛИЗАЦИЯ[[#This Row],[ЖАМИ2]]</f>
        <v>0</v>
      </c>
      <c r="L1162" s="31"/>
    </row>
    <row r="1163" spans="3:12" ht="15" customHeight="1" x14ac:dyDescent="0.3">
      <c r="C1163" s="102"/>
      <c r="D1163" s="102"/>
      <c r="G1163" s="50">
        <f>РЕАЛИЗАЦИЯ[[#This Row],[СОНИ]]*РЕАЛИЗАЦИЯ[[#This Row],[НАРХИ]]</f>
        <v>0</v>
      </c>
      <c r="I1163" s="94"/>
      <c r="J1163" s="31">
        <f>РЕАЛИЗАЦИЯ[[#This Row],[СОНИ]]*РЕАЛИЗАЦИЯ[[#This Row],[ТАННАРХ]]</f>
        <v>0</v>
      </c>
      <c r="K1163" s="31">
        <f>РЕАЛИЗАЦИЯ[[#This Row],[ЖАМИ]]-РЕАЛИЗАЦИЯ[[#This Row],[ЖАМИ2]]</f>
        <v>0</v>
      </c>
      <c r="L1163" s="31"/>
    </row>
    <row r="1164" spans="3:12" ht="15" customHeight="1" x14ac:dyDescent="0.3">
      <c r="C1164" s="102"/>
      <c r="D1164" s="102"/>
      <c r="G1164" s="50">
        <f>РЕАЛИЗАЦИЯ[[#This Row],[СОНИ]]*РЕАЛИЗАЦИЯ[[#This Row],[НАРХИ]]</f>
        <v>0</v>
      </c>
      <c r="I1164" s="94"/>
      <c r="J1164" s="31">
        <f>РЕАЛИЗАЦИЯ[[#This Row],[СОНИ]]*РЕАЛИЗАЦИЯ[[#This Row],[ТАННАРХ]]</f>
        <v>0</v>
      </c>
      <c r="K1164" s="31">
        <f>РЕАЛИЗАЦИЯ[[#This Row],[ЖАМИ]]-РЕАЛИЗАЦИЯ[[#This Row],[ЖАМИ2]]</f>
        <v>0</v>
      </c>
      <c r="L1164" s="31"/>
    </row>
    <row r="1165" spans="3:12" ht="15" customHeight="1" x14ac:dyDescent="0.3">
      <c r="C1165" s="102"/>
      <c r="D1165" s="102"/>
      <c r="G1165" s="50">
        <f>РЕАЛИЗАЦИЯ[[#This Row],[СОНИ]]*РЕАЛИЗАЦИЯ[[#This Row],[НАРХИ]]</f>
        <v>0</v>
      </c>
      <c r="I1165" s="94"/>
      <c r="J1165" s="31">
        <f>РЕАЛИЗАЦИЯ[[#This Row],[СОНИ]]*РЕАЛИЗАЦИЯ[[#This Row],[ТАННАРХ]]</f>
        <v>0</v>
      </c>
      <c r="K1165" s="31">
        <f>РЕАЛИЗАЦИЯ[[#This Row],[ЖАМИ]]-РЕАЛИЗАЦИЯ[[#This Row],[ЖАМИ2]]</f>
        <v>0</v>
      </c>
      <c r="L1165" s="31"/>
    </row>
    <row r="1166" spans="3:12" ht="15" customHeight="1" x14ac:dyDescent="0.3">
      <c r="C1166" s="102"/>
      <c r="D1166" s="102"/>
      <c r="G1166" s="50">
        <f>РЕАЛИЗАЦИЯ[[#This Row],[СОНИ]]*РЕАЛИЗАЦИЯ[[#This Row],[НАРХИ]]</f>
        <v>0</v>
      </c>
      <c r="I1166" s="94"/>
      <c r="J1166" s="31">
        <f>РЕАЛИЗАЦИЯ[[#This Row],[СОНИ]]*РЕАЛИЗАЦИЯ[[#This Row],[ТАННАРХ]]</f>
        <v>0</v>
      </c>
      <c r="K1166" s="31">
        <f>РЕАЛИЗАЦИЯ[[#This Row],[ЖАМИ]]-РЕАЛИЗАЦИЯ[[#This Row],[ЖАМИ2]]</f>
        <v>0</v>
      </c>
      <c r="L1166" s="31"/>
    </row>
    <row r="1167" spans="3:12" ht="15" customHeight="1" x14ac:dyDescent="0.3">
      <c r="C1167" s="102"/>
      <c r="D1167" s="102"/>
      <c r="G1167" s="50">
        <f>РЕАЛИЗАЦИЯ[[#This Row],[СОНИ]]*РЕАЛИЗАЦИЯ[[#This Row],[НАРХИ]]</f>
        <v>0</v>
      </c>
      <c r="I1167" s="94"/>
      <c r="J1167" s="31">
        <f>РЕАЛИЗАЦИЯ[[#This Row],[СОНИ]]*РЕАЛИЗАЦИЯ[[#This Row],[ТАННАРХ]]</f>
        <v>0</v>
      </c>
      <c r="K1167" s="31">
        <f>РЕАЛИЗАЦИЯ[[#This Row],[ЖАМИ]]-РЕАЛИЗАЦИЯ[[#This Row],[ЖАМИ2]]</f>
        <v>0</v>
      </c>
      <c r="L1167" s="31"/>
    </row>
    <row r="1168" spans="3:12" ht="15" customHeight="1" x14ac:dyDescent="0.3">
      <c r="C1168" s="102"/>
      <c r="D1168" s="102"/>
      <c r="G1168" s="50">
        <f>РЕАЛИЗАЦИЯ[[#This Row],[СОНИ]]*РЕАЛИЗАЦИЯ[[#This Row],[НАРХИ]]</f>
        <v>0</v>
      </c>
      <c r="I1168" s="94"/>
      <c r="J1168" s="31">
        <f>РЕАЛИЗАЦИЯ[[#This Row],[СОНИ]]*РЕАЛИЗАЦИЯ[[#This Row],[ТАННАРХ]]</f>
        <v>0</v>
      </c>
      <c r="K1168" s="31">
        <f>РЕАЛИЗАЦИЯ[[#This Row],[ЖАМИ]]-РЕАЛИЗАЦИЯ[[#This Row],[ЖАМИ2]]</f>
        <v>0</v>
      </c>
      <c r="L1168" s="31"/>
    </row>
    <row r="1169" spans="3:12" ht="15" customHeight="1" x14ac:dyDescent="0.3">
      <c r="C1169" s="102"/>
      <c r="D1169" s="102"/>
      <c r="G1169" s="50">
        <f>РЕАЛИЗАЦИЯ[[#This Row],[СОНИ]]*РЕАЛИЗАЦИЯ[[#This Row],[НАРХИ]]</f>
        <v>0</v>
      </c>
      <c r="I1169" s="94"/>
      <c r="J1169" s="31">
        <f>РЕАЛИЗАЦИЯ[[#This Row],[СОНИ]]*РЕАЛИЗАЦИЯ[[#This Row],[ТАННАРХ]]</f>
        <v>0</v>
      </c>
      <c r="K1169" s="31">
        <f>РЕАЛИЗАЦИЯ[[#This Row],[ЖАМИ]]-РЕАЛИЗАЦИЯ[[#This Row],[ЖАМИ2]]</f>
        <v>0</v>
      </c>
      <c r="L1169" s="31"/>
    </row>
    <row r="1170" spans="3:12" ht="15" customHeight="1" x14ac:dyDescent="0.3">
      <c r="C1170" s="102"/>
      <c r="D1170" s="102"/>
      <c r="G1170" s="50">
        <f>РЕАЛИЗАЦИЯ[[#This Row],[СОНИ]]*РЕАЛИЗАЦИЯ[[#This Row],[НАРХИ]]</f>
        <v>0</v>
      </c>
      <c r="I1170" s="94"/>
      <c r="J1170" s="31">
        <f>РЕАЛИЗАЦИЯ[[#This Row],[СОНИ]]*РЕАЛИЗАЦИЯ[[#This Row],[ТАННАРХ]]</f>
        <v>0</v>
      </c>
      <c r="K1170" s="31">
        <f>РЕАЛИЗАЦИЯ[[#This Row],[ЖАМИ]]-РЕАЛИЗАЦИЯ[[#This Row],[ЖАМИ2]]</f>
        <v>0</v>
      </c>
      <c r="L1170" s="31"/>
    </row>
    <row r="1171" spans="3:12" ht="15" customHeight="1" x14ac:dyDescent="0.3">
      <c r="C1171" s="102"/>
      <c r="D1171" s="102"/>
      <c r="G1171" s="50">
        <f>РЕАЛИЗАЦИЯ[[#This Row],[СОНИ]]*РЕАЛИЗАЦИЯ[[#This Row],[НАРХИ]]</f>
        <v>0</v>
      </c>
      <c r="I1171" s="94"/>
      <c r="J1171" s="31">
        <f>РЕАЛИЗАЦИЯ[[#This Row],[СОНИ]]*РЕАЛИЗАЦИЯ[[#This Row],[ТАННАРХ]]</f>
        <v>0</v>
      </c>
      <c r="K1171" s="31">
        <f>РЕАЛИЗАЦИЯ[[#This Row],[ЖАМИ]]-РЕАЛИЗАЦИЯ[[#This Row],[ЖАМИ2]]</f>
        <v>0</v>
      </c>
      <c r="L1171" s="31"/>
    </row>
    <row r="1172" spans="3:12" ht="15" customHeight="1" x14ac:dyDescent="0.3">
      <c r="C1172" s="102"/>
      <c r="D1172" s="102"/>
      <c r="G1172" s="50">
        <f>РЕАЛИЗАЦИЯ[[#This Row],[СОНИ]]*РЕАЛИЗАЦИЯ[[#This Row],[НАРХИ]]</f>
        <v>0</v>
      </c>
      <c r="I1172" s="94"/>
      <c r="J1172" s="31">
        <f>РЕАЛИЗАЦИЯ[[#This Row],[СОНИ]]*РЕАЛИЗАЦИЯ[[#This Row],[ТАННАРХ]]</f>
        <v>0</v>
      </c>
      <c r="K1172" s="31">
        <f>РЕАЛИЗАЦИЯ[[#This Row],[ЖАМИ]]-РЕАЛИЗАЦИЯ[[#This Row],[ЖАМИ2]]</f>
        <v>0</v>
      </c>
      <c r="L1172" s="31"/>
    </row>
    <row r="1173" spans="3:12" ht="15" customHeight="1" x14ac:dyDescent="0.3">
      <c r="C1173" s="102"/>
      <c r="D1173" s="102"/>
      <c r="G1173" s="50">
        <f>РЕАЛИЗАЦИЯ[[#This Row],[СОНИ]]*РЕАЛИЗАЦИЯ[[#This Row],[НАРХИ]]</f>
        <v>0</v>
      </c>
      <c r="I1173" s="94"/>
      <c r="J1173" s="31">
        <f>РЕАЛИЗАЦИЯ[[#This Row],[СОНИ]]*РЕАЛИЗАЦИЯ[[#This Row],[ТАННАРХ]]</f>
        <v>0</v>
      </c>
      <c r="K1173" s="31">
        <f>РЕАЛИЗАЦИЯ[[#This Row],[ЖАМИ]]-РЕАЛИЗАЦИЯ[[#This Row],[ЖАМИ2]]</f>
        <v>0</v>
      </c>
      <c r="L1173" s="31"/>
    </row>
    <row r="1174" spans="3:12" ht="15" customHeight="1" x14ac:dyDescent="0.3">
      <c r="C1174" s="102"/>
      <c r="D1174" s="102"/>
      <c r="G1174" s="50">
        <f>РЕАЛИЗАЦИЯ[[#This Row],[СОНИ]]*РЕАЛИЗАЦИЯ[[#This Row],[НАРХИ]]</f>
        <v>0</v>
      </c>
      <c r="I1174" s="94"/>
      <c r="J1174" s="31">
        <f>РЕАЛИЗАЦИЯ[[#This Row],[СОНИ]]*РЕАЛИЗАЦИЯ[[#This Row],[ТАННАРХ]]</f>
        <v>0</v>
      </c>
      <c r="K1174" s="31">
        <f>РЕАЛИЗАЦИЯ[[#This Row],[ЖАМИ]]-РЕАЛИЗАЦИЯ[[#This Row],[ЖАМИ2]]</f>
        <v>0</v>
      </c>
      <c r="L1174" s="31"/>
    </row>
    <row r="1175" spans="3:12" ht="15" customHeight="1" x14ac:dyDescent="0.3">
      <c r="C1175" s="102"/>
      <c r="D1175" s="102"/>
      <c r="G1175" s="50">
        <f>РЕАЛИЗАЦИЯ[[#This Row],[СОНИ]]*РЕАЛИЗАЦИЯ[[#This Row],[НАРХИ]]</f>
        <v>0</v>
      </c>
      <c r="I1175" s="94"/>
      <c r="J1175" s="31">
        <f>РЕАЛИЗАЦИЯ[[#This Row],[СОНИ]]*РЕАЛИЗАЦИЯ[[#This Row],[ТАННАРХ]]</f>
        <v>0</v>
      </c>
      <c r="K1175" s="31">
        <f>РЕАЛИЗАЦИЯ[[#This Row],[ЖАМИ]]-РЕАЛИЗАЦИЯ[[#This Row],[ЖАМИ2]]</f>
        <v>0</v>
      </c>
      <c r="L1175" s="31"/>
    </row>
    <row r="1176" spans="3:12" ht="15" customHeight="1" x14ac:dyDescent="0.3">
      <c r="C1176" s="102"/>
      <c r="D1176" s="102"/>
      <c r="G1176" s="50">
        <f>РЕАЛИЗАЦИЯ[[#This Row],[СОНИ]]*РЕАЛИЗАЦИЯ[[#This Row],[НАРХИ]]</f>
        <v>0</v>
      </c>
      <c r="I1176" s="94"/>
      <c r="J1176" s="31">
        <f>РЕАЛИЗАЦИЯ[[#This Row],[СОНИ]]*РЕАЛИЗАЦИЯ[[#This Row],[ТАННАРХ]]</f>
        <v>0</v>
      </c>
      <c r="K1176" s="31">
        <f>РЕАЛИЗАЦИЯ[[#This Row],[ЖАМИ]]-РЕАЛИЗАЦИЯ[[#This Row],[ЖАМИ2]]</f>
        <v>0</v>
      </c>
      <c r="L1176" s="31"/>
    </row>
    <row r="1177" spans="3:12" ht="15" customHeight="1" x14ac:dyDescent="0.3">
      <c r="C1177" s="102"/>
      <c r="D1177" s="102"/>
      <c r="G1177" s="50">
        <f>РЕАЛИЗАЦИЯ[[#This Row],[СОНИ]]*РЕАЛИЗАЦИЯ[[#This Row],[НАРХИ]]</f>
        <v>0</v>
      </c>
      <c r="I1177" s="94"/>
      <c r="J1177" s="31">
        <f>РЕАЛИЗАЦИЯ[[#This Row],[СОНИ]]*РЕАЛИЗАЦИЯ[[#This Row],[ТАННАРХ]]</f>
        <v>0</v>
      </c>
      <c r="K1177" s="31">
        <f>РЕАЛИЗАЦИЯ[[#This Row],[ЖАМИ]]-РЕАЛИЗАЦИЯ[[#This Row],[ЖАМИ2]]</f>
        <v>0</v>
      </c>
      <c r="L1177" s="31"/>
    </row>
    <row r="1178" spans="3:12" ht="15" customHeight="1" x14ac:dyDescent="0.3">
      <c r="C1178" s="102"/>
      <c r="D1178" s="102"/>
      <c r="G1178" s="50">
        <f>РЕАЛИЗАЦИЯ[[#This Row],[СОНИ]]*РЕАЛИЗАЦИЯ[[#This Row],[НАРХИ]]</f>
        <v>0</v>
      </c>
      <c r="I1178" s="94"/>
      <c r="J1178" s="31">
        <f>РЕАЛИЗАЦИЯ[[#This Row],[СОНИ]]*РЕАЛИЗАЦИЯ[[#This Row],[ТАННАРХ]]</f>
        <v>0</v>
      </c>
      <c r="K1178" s="31">
        <f>РЕАЛИЗАЦИЯ[[#This Row],[ЖАМИ]]-РЕАЛИЗАЦИЯ[[#This Row],[ЖАМИ2]]</f>
        <v>0</v>
      </c>
      <c r="L1178" s="31"/>
    </row>
    <row r="1179" spans="3:12" ht="15" customHeight="1" x14ac:dyDescent="0.3">
      <c r="C1179" s="102"/>
      <c r="D1179" s="102"/>
      <c r="G1179" s="50">
        <f>РЕАЛИЗАЦИЯ[[#This Row],[СОНИ]]*РЕАЛИЗАЦИЯ[[#This Row],[НАРХИ]]</f>
        <v>0</v>
      </c>
      <c r="I1179" s="94"/>
      <c r="J1179" s="31">
        <f>РЕАЛИЗАЦИЯ[[#This Row],[СОНИ]]*РЕАЛИЗАЦИЯ[[#This Row],[ТАННАРХ]]</f>
        <v>0</v>
      </c>
      <c r="K1179" s="31">
        <f>РЕАЛИЗАЦИЯ[[#This Row],[ЖАМИ]]-РЕАЛИЗАЦИЯ[[#This Row],[ЖАМИ2]]</f>
        <v>0</v>
      </c>
      <c r="L1179" s="31"/>
    </row>
    <row r="1180" spans="3:12" ht="15" customHeight="1" x14ac:dyDescent="0.3">
      <c r="C1180" s="102"/>
      <c r="D1180" s="102"/>
      <c r="G1180" s="50">
        <f>РЕАЛИЗАЦИЯ[[#This Row],[СОНИ]]*РЕАЛИЗАЦИЯ[[#This Row],[НАРХИ]]</f>
        <v>0</v>
      </c>
      <c r="I1180" s="94"/>
      <c r="J1180" s="31">
        <f>РЕАЛИЗАЦИЯ[[#This Row],[СОНИ]]*РЕАЛИЗАЦИЯ[[#This Row],[ТАННАРХ]]</f>
        <v>0</v>
      </c>
      <c r="K1180" s="31">
        <f>РЕАЛИЗАЦИЯ[[#This Row],[ЖАМИ]]-РЕАЛИЗАЦИЯ[[#This Row],[ЖАМИ2]]</f>
        <v>0</v>
      </c>
      <c r="L1180" s="31"/>
    </row>
    <row r="1181" spans="3:12" ht="15" customHeight="1" x14ac:dyDescent="0.3">
      <c r="C1181" s="102"/>
      <c r="D1181" s="102"/>
      <c r="G1181" s="50">
        <f>РЕАЛИЗАЦИЯ[[#This Row],[СОНИ]]*РЕАЛИЗАЦИЯ[[#This Row],[НАРХИ]]</f>
        <v>0</v>
      </c>
      <c r="I1181" s="94"/>
      <c r="J1181" s="31">
        <f>РЕАЛИЗАЦИЯ[[#This Row],[СОНИ]]*РЕАЛИЗАЦИЯ[[#This Row],[ТАННАРХ]]</f>
        <v>0</v>
      </c>
      <c r="K1181" s="31">
        <f>РЕАЛИЗАЦИЯ[[#This Row],[ЖАМИ]]-РЕАЛИЗАЦИЯ[[#This Row],[ЖАМИ2]]</f>
        <v>0</v>
      </c>
      <c r="L1181" s="31"/>
    </row>
    <row r="1182" spans="3:12" ht="15" customHeight="1" x14ac:dyDescent="0.3">
      <c r="C1182" s="102"/>
      <c r="D1182" s="102"/>
      <c r="G1182" s="50">
        <f>РЕАЛИЗАЦИЯ[[#This Row],[СОНИ]]*РЕАЛИЗАЦИЯ[[#This Row],[НАРХИ]]</f>
        <v>0</v>
      </c>
      <c r="I1182" s="94"/>
      <c r="J1182" s="31">
        <f>РЕАЛИЗАЦИЯ[[#This Row],[СОНИ]]*РЕАЛИЗАЦИЯ[[#This Row],[ТАННАРХ]]</f>
        <v>0</v>
      </c>
      <c r="K1182" s="31">
        <f>РЕАЛИЗАЦИЯ[[#This Row],[ЖАМИ]]-РЕАЛИЗАЦИЯ[[#This Row],[ЖАМИ2]]</f>
        <v>0</v>
      </c>
      <c r="L1182" s="31"/>
    </row>
    <row r="1183" spans="3:12" ht="15" customHeight="1" x14ac:dyDescent="0.3">
      <c r="C1183" s="102"/>
      <c r="D1183" s="102"/>
      <c r="G1183" s="50">
        <f>РЕАЛИЗАЦИЯ[[#This Row],[СОНИ]]*РЕАЛИЗАЦИЯ[[#This Row],[НАРХИ]]</f>
        <v>0</v>
      </c>
      <c r="I1183" s="94"/>
      <c r="J1183" s="31">
        <f>РЕАЛИЗАЦИЯ[[#This Row],[СОНИ]]*РЕАЛИЗАЦИЯ[[#This Row],[ТАННАРХ]]</f>
        <v>0</v>
      </c>
      <c r="K1183" s="31">
        <f>РЕАЛИЗАЦИЯ[[#This Row],[ЖАМИ]]-РЕАЛИЗАЦИЯ[[#This Row],[ЖАМИ2]]</f>
        <v>0</v>
      </c>
      <c r="L1183" s="31"/>
    </row>
    <row r="1184" spans="3:12" ht="15" customHeight="1" x14ac:dyDescent="0.3">
      <c r="C1184" s="156"/>
      <c r="D1184" s="156"/>
      <c r="G1184" s="50">
        <f>РЕАЛИЗАЦИЯ[[#This Row],[СОНИ]]*РЕАЛИЗАЦИЯ[[#This Row],[НАРХИ]]</f>
        <v>0</v>
      </c>
      <c r="I1184" s="132"/>
      <c r="J1184" s="31">
        <f>РЕАЛИЗАЦИЯ[[#This Row],[СОНИ]]*РЕАЛИЗАЦИЯ[[#This Row],[ТАННАРХ]]</f>
        <v>0</v>
      </c>
      <c r="K1184" s="31">
        <f>РЕАЛИЗАЦИЯ[[#This Row],[ЖАМИ]]-РЕАЛИЗАЦИЯ[[#This Row],[ЖАМИ2]]</f>
        <v>0</v>
      </c>
      <c r="L1184" s="31"/>
    </row>
    <row r="1185" spans="3:12" ht="15" customHeight="1" x14ac:dyDescent="0.3">
      <c r="C1185" s="156"/>
      <c r="D1185" s="156"/>
      <c r="G1185" s="50">
        <f>РЕАЛИЗАЦИЯ[[#This Row],[СОНИ]]*РЕАЛИЗАЦИЯ[[#This Row],[НАРХИ]]</f>
        <v>0</v>
      </c>
      <c r="I1185" s="132"/>
      <c r="J1185" s="31">
        <f>РЕАЛИЗАЦИЯ[[#This Row],[СОНИ]]*РЕАЛИЗАЦИЯ[[#This Row],[ТАННАРХ]]</f>
        <v>0</v>
      </c>
      <c r="K1185" s="31">
        <f>РЕАЛИЗАЦИЯ[[#This Row],[ЖАМИ]]-РЕАЛИЗАЦИЯ[[#This Row],[ЖАМИ2]]</f>
        <v>0</v>
      </c>
      <c r="L1185" s="31"/>
    </row>
    <row r="1186" spans="3:12" ht="15" customHeight="1" x14ac:dyDescent="0.3">
      <c r="C1186" s="102"/>
      <c r="D1186" s="102"/>
      <c r="G1186" s="50">
        <f>РЕАЛИЗАЦИЯ[[#This Row],[СОНИ]]*РЕАЛИЗАЦИЯ[[#This Row],[НАРХИ]]</f>
        <v>0</v>
      </c>
      <c r="I1186" s="94"/>
      <c r="J1186" s="31">
        <f>РЕАЛИЗАЦИЯ[[#This Row],[СОНИ]]*РЕАЛИЗАЦИЯ[[#This Row],[ТАННАРХ]]</f>
        <v>0</v>
      </c>
      <c r="K1186" s="31">
        <f>РЕАЛИЗАЦИЯ[[#This Row],[ЖАМИ]]-РЕАЛИЗАЦИЯ[[#This Row],[ЖАМИ2]]</f>
        <v>0</v>
      </c>
      <c r="L1186" s="31"/>
    </row>
    <row r="1187" spans="3:12" ht="15" customHeight="1" x14ac:dyDescent="0.3">
      <c r="C1187" s="102"/>
      <c r="D1187" s="102"/>
      <c r="G1187" s="50">
        <f>РЕАЛИЗАЦИЯ[[#This Row],[СОНИ]]*РЕАЛИЗАЦИЯ[[#This Row],[НАРХИ]]</f>
        <v>0</v>
      </c>
      <c r="I1187" s="94"/>
      <c r="J1187" s="31">
        <f>РЕАЛИЗАЦИЯ[[#This Row],[СОНИ]]*РЕАЛИЗАЦИЯ[[#This Row],[ТАННАРХ]]</f>
        <v>0</v>
      </c>
      <c r="K1187" s="31">
        <f>РЕАЛИЗАЦИЯ[[#This Row],[ЖАМИ]]-РЕАЛИЗАЦИЯ[[#This Row],[ЖАМИ2]]</f>
        <v>0</v>
      </c>
      <c r="L1187" s="31"/>
    </row>
    <row r="1188" spans="3:12" ht="15" customHeight="1" x14ac:dyDescent="0.3">
      <c r="C1188" s="102"/>
      <c r="D1188" s="102"/>
      <c r="G1188" s="50">
        <f>РЕАЛИЗАЦИЯ[[#This Row],[СОНИ]]*РЕАЛИЗАЦИЯ[[#This Row],[НАРХИ]]</f>
        <v>0</v>
      </c>
      <c r="I1188" s="94"/>
      <c r="J1188" s="31">
        <f>РЕАЛИЗАЦИЯ[[#This Row],[СОНИ]]*РЕАЛИЗАЦИЯ[[#This Row],[ТАННАРХ]]</f>
        <v>0</v>
      </c>
      <c r="K1188" s="31">
        <f>РЕАЛИЗАЦИЯ[[#This Row],[ЖАМИ]]-РЕАЛИЗАЦИЯ[[#This Row],[ЖАМИ2]]</f>
        <v>0</v>
      </c>
      <c r="L1188" s="31"/>
    </row>
    <row r="1189" spans="3:12" ht="15" customHeight="1" x14ac:dyDescent="0.3">
      <c r="C1189" s="102"/>
      <c r="D1189" s="102"/>
      <c r="G1189" s="50">
        <f>РЕАЛИЗАЦИЯ[[#This Row],[СОНИ]]*РЕАЛИЗАЦИЯ[[#This Row],[НАРХИ]]</f>
        <v>0</v>
      </c>
      <c r="I1189" s="94"/>
      <c r="J1189" s="31">
        <f>РЕАЛИЗАЦИЯ[[#This Row],[СОНИ]]*РЕАЛИЗАЦИЯ[[#This Row],[ТАННАРХ]]</f>
        <v>0</v>
      </c>
      <c r="K1189" s="31">
        <f>РЕАЛИЗАЦИЯ[[#This Row],[ЖАМИ]]-РЕАЛИЗАЦИЯ[[#This Row],[ЖАМИ2]]</f>
        <v>0</v>
      </c>
      <c r="L1189" s="31"/>
    </row>
    <row r="1190" spans="3:12" ht="15" customHeight="1" x14ac:dyDescent="0.3">
      <c r="C1190" s="102"/>
      <c r="D1190" s="102"/>
      <c r="G1190" s="50">
        <f>РЕАЛИЗАЦИЯ[[#This Row],[СОНИ]]*РЕАЛИЗАЦИЯ[[#This Row],[НАРХИ]]</f>
        <v>0</v>
      </c>
      <c r="I1190" s="94"/>
      <c r="J1190" s="31">
        <f>РЕАЛИЗАЦИЯ[[#This Row],[СОНИ]]*РЕАЛИЗАЦИЯ[[#This Row],[ТАННАРХ]]</f>
        <v>0</v>
      </c>
      <c r="K1190" s="31">
        <f>РЕАЛИЗАЦИЯ[[#This Row],[ЖАМИ]]-РЕАЛИЗАЦИЯ[[#This Row],[ЖАМИ2]]</f>
        <v>0</v>
      </c>
      <c r="L1190" s="31"/>
    </row>
    <row r="1191" spans="3:12" ht="15" customHeight="1" x14ac:dyDescent="0.3">
      <c r="C1191" s="103"/>
      <c r="D1191" s="103"/>
      <c r="G1191" s="50">
        <f>РЕАЛИЗАЦИЯ[[#This Row],[СОНИ]]*РЕАЛИЗАЦИЯ[[#This Row],[НАРХИ]]</f>
        <v>0</v>
      </c>
      <c r="I1191" s="94"/>
      <c r="J1191" s="31">
        <f>РЕАЛИЗАЦИЯ[[#This Row],[СОНИ]]*РЕАЛИЗАЦИЯ[[#This Row],[ТАННАРХ]]</f>
        <v>0</v>
      </c>
      <c r="K1191" s="31">
        <f>РЕАЛИЗАЦИЯ[[#This Row],[ЖАМИ]]-РЕАЛИЗАЦИЯ[[#This Row],[ЖАМИ2]]</f>
        <v>0</v>
      </c>
      <c r="L1191" s="31"/>
    </row>
    <row r="1192" spans="3:12" ht="15" customHeight="1" x14ac:dyDescent="0.3">
      <c r="C1192" s="103"/>
      <c r="D1192" s="103"/>
      <c r="G1192" s="50">
        <f>РЕАЛИЗАЦИЯ[[#This Row],[СОНИ]]*РЕАЛИЗАЦИЯ[[#This Row],[НАРХИ]]</f>
        <v>0</v>
      </c>
      <c r="I1192" s="94"/>
      <c r="J1192" s="31">
        <f>РЕАЛИЗАЦИЯ[[#This Row],[СОНИ]]*РЕАЛИЗАЦИЯ[[#This Row],[ТАННАРХ]]</f>
        <v>0</v>
      </c>
      <c r="K1192" s="31">
        <f>РЕАЛИЗАЦИЯ[[#This Row],[ЖАМИ]]-РЕАЛИЗАЦИЯ[[#This Row],[ЖАМИ2]]</f>
        <v>0</v>
      </c>
      <c r="L1192" s="31"/>
    </row>
    <row r="1193" spans="3:12" ht="15" customHeight="1" x14ac:dyDescent="0.3">
      <c r="C1193" s="103"/>
      <c r="D1193" s="103"/>
      <c r="G1193" s="50">
        <f>РЕАЛИЗАЦИЯ[[#This Row],[СОНИ]]*РЕАЛИЗАЦИЯ[[#This Row],[НАРХИ]]</f>
        <v>0</v>
      </c>
      <c r="I1193" s="94"/>
      <c r="J1193" s="31">
        <f>РЕАЛИЗАЦИЯ[[#This Row],[СОНИ]]*РЕАЛИЗАЦИЯ[[#This Row],[ТАННАРХ]]</f>
        <v>0</v>
      </c>
      <c r="K1193" s="31">
        <f>РЕАЛИЗАЦИЯ[[#This Row],[ЖАМИ]]-РЕАЛИЗАЦИЯ[[#This Row],[ЖАМИ2]]</f>
        <v>0</v>
      </c>
      <c r="L1193" s="31"/>
    </row>
    <row r="1194" spans="3:12" ht="15" customHeight="1" x14ac:dyDescent="0.3">
      <c r="C1194" s="103"/>
      <c r="D1194" s="103"/>
      <c r="G1194" s="50">
        <f>РЕАЛИЗАЦИЯ[[#This Row],[СОНИ]]*РЕАЛИЗАЦИЯ[[#This Row],[НАРХИ]]</f>
        <v>0</v>
      </c>
      <c r="I1194" s="94"/>
      <c r="J1194" s="31">
        <f>РЕАЛИЗАЦИЯ[[#This Row],[СОНИ]]*РЕАЛИЗАЦИЯ[[#This Row],[ТАННАРХ]]</f>
        <v>0</v>
      </c>
      <c r="K1194" s="31">
        <f>РЕАЛИЗАЦИЯ[[#This Row],[ЖАМИ]]-РЕАЛИЗАЦИЯ[[#This Row],[ЖАМИ2]]</f>
        <v>0</v>
      </c>
      <c r="L1194" s="31"/>
    </row>
    <row r="1195" spans="3:12" ht="15" customHeight="1" x14ac:dyDescent="0.3">
      <c r="C1195" s="103"/>
      <c r="D1195" s="103"/>
      <c r="G1195" s="50">
        <f>РЕАЛИЗАЦИЯ[[#This Row],[СОНИ]]*РЕАЛИЗАЦИЯ[[#This Row],[НАРХИ]]</f>
        <v>0</v>
      </c>
      <c r="I1195" s="94"/>
      <c r="J1195" s="31">
        <f>РЕАЛИЗАЦИЯ[[#This Row],[СОНИ]]*РЕАЛИЗАЦИЯ[[#This Row],[ТАННАРХ]]</f>
        <v>0</v>
      </c>
      <c r="K1195" s="31">
        <f>РЕАЛИЗАЦИЯ[[#This Row],[ЖАМИ]]-РЕАЛИЗАЦИЯ[[#This Row],[ЖАМИ2]]</f>
        <v>0</v>
      </c>
      <c r="L1195" s="31"/>
    </row>
    <row r="1196" spans="3:12" ht="15" customHeight="1" x14ac:dyDescent="0.3">
      <c r="C1196" s="154"/>
      <c r="D1196" s="154"/>
      <c r="G1196" s="50">
        <f>РЕАЛИЗАЦИЯ[[#This Row],[СОНИ]]*РЕАЛИЗАЦИЯ[[#This Row],[НАРХИ]]</f>
        <v>0</v>
      </c>
      <c r="I1196" s="132"/>
      <c r="J1196" s="31">
        <f>РЕАЛИЗАЦИЯ[[#This Row],[СОНИ]]*РЕАЛИЗАЦИЯ[[#This Row],[ТАННАРХ]]</f>
        <v>0</v>
      </c>
      <c r="K1196" s="31">
        <f>РЕАЛИЗАЦИЯ[[#This Row],[ЖАМИ]]-РЕАЛИЗАЦИЯ[[#This Row],[ЖАМИ2]]</f>
        <v>0</v>
      </c>
      <c r="L1196" s="31"/>
    </row>
    <row r="1197" spans="3:12" ht="15" customHeight="1" x14ac:dyDescent="0.3">
      <c r="C1197" s="103"/>
      <c r="D1197" s="103"/>
      <c r="G1197" s="50">
        <f>РЕАЛИЗАЦИЯ[[#This Row],[СОНИ]]*РЕАЛИЗАЦИЯ[[#This Row],[НАРХИ]]</f>
        <v>0</v>
      </c>
      <c r="I1197" s="94"/>
      <c r="J1197" s="31">
        <f>РЕАЛИЗАЦИЯ[[#This Row],[СОНИ]]*РЕАЛИЗАЦИЯ[[#This Row],[ТАННАРХ]]</f>
        <v>0</v>
      </c>
      <c r="K1197" s="31">
        <f>РЕАЛИЗАЦИЯ[[#This Row],[ЖАМИ]]-РЕАЛИЗАЦИЯ[[#This Row],[ЖАМИ2]]</f>
        <v>0</v>
      </c>
      <c r="L1197" s="31"/>
    </row>
    <row r="1198" spans="3:12" ht="15" customHeight="1" x14ac:dyDescent="0.3">
      <c r="C1198" s="103"/>
      <c r="D1198" s="103"/>
      <c r="G1198" s="50">
        <f>РЕАЛИЗАЦИЯ[[#This Row],[СОНИ]]*РЕАЛИЗАЦИЯ[[#This Row],[НАРХИ]]</f>
        <v>0</v>
      </c>
      <c r="I1198" s="94"/>
      <c r="J1198" s="31">
        <f>РЕАЛИЗАЦИЯ[[#This Row],[СОНИ]]*РЕАЛИЗАЦИЯ[[#This Row],[ТАННАРХ]]</f>
        <v>0</v>
      </c>
      <c r="K1198" s="31">
        <f>РЕАЛИЗАЦИЯ[[#This Row],[ЖАМИ]]-РЕАЛИЗАЦИЯ[[#This Row],[ЖАМИ2]]</f>
        <v>0</v>
      </c>
      <c r="L1198" s="31"/>
    </row>
    <row r="1199" spans="3:12" ht="15" customHeight="1" x14ac:dyDescent="0.3">
      <c r="C1199" s="103"/>
      <c r="D1199" s="103"/>
      <c r="G1199" s="50">
        <f>РЕАЛИЗАЦИЯ[[#This Row],[СОНИ]]*РЕАЛИЗАЦИЯ[[#This Row],[НАРХИ]]</f>
        <v>0</v>
      </c>
      <c r="I1199" s="94"/>
      <c r="J1199" s="31">
        <f>РЕАЛИЗАЦИЯ[[#This Row],[СОНИ]]*РЕАЛИЗАЦИЯ[[#This Row],[ТАННАРХ]]</f>
        <v>0</v>
      </c>
      <c r="K1199" s="31">
        <f>РЕАЛИЗАЦИЯ[[#This Row],[ЖАМИ]]-РЕАЛИЗАЦИЯ[[#This Row],[ЖАМИ2]]</f>
        <v>0</v>
      </c>
      <c r="L1199" s="31"/>
    </row>
    <row r="1200" spans="3:12" ht="15" customHeight="1" x14ac:dyDescent="0.3">
      <c r="C1200" s="103"/>
      <c r="D1200" s="103"/>
      <c r="G1200" s="50">
        <f>РЕАЛИЗАЦИЯ[[#This Row],[СОНИ]]*РЕАЛИЗАЦИЯ[[#This Row],[НАРХИ]]</f>
        <v>0</v>
      </c>
      <c r="I1200" s="94"/>
      <c r="J1200" s="31">
        <f>РЕАЛИЗАЦИЯ[[#This Row],[СОНИ]]*РЕАЛИЗАЦИЯ[[#This Row],[ТАННАРХ]]</f>
        <v>0</v>
      </c>
      <c r="K1200" s="31">
        <f>РЕАЛИЗАЦИЯ[[#This Row],[ЖАМИ]]-РЕАЛИЗАЦИЯ[[#This Row],[ЖАМИ2]]</f>
        <v>0</v>
      </c>
      <c r="L1200" s="31"/>
    </row>
    <row r="1201" spans="3:12" ht="15" customHeight="1" x14ac:dyDescent="0.3">
      <c r="C1201" s="103"/>
      <c r="D1201" s="103"/>
      <c r="G1201" s="50">
        <f>РЕАЛИЗАЦИЯ[[#This Row],[СОНИ]]*РЕАЛИЗАЦИЯ[[#This Row],[НАРХИ]]</f>
        <v>0</v>
      </c>
      <c r="I1201" s="94"/>
      <c r="J1201" s="31">
        <f>РЕАЛИЗАЦИЯ[[#This Row],[СОНИ]]*РЕАЛИЗАЦИЯ[[#This Row],[ТАННАРХ]]</f>
        <v>0</v>
      </c>
      <c r="K1201" s="31">
        <f>РЕАЛИЗАЦИЯ[[#This Row],[ЖАМИ]]-РЕАЛИЗАЦИЯ[[#This Row],[ЖАМИ2]]</f>
        <v>0</v>
      </c>
      <c r="L1201" s="31"/>
    </row>
    <row r="1202" spans="3:12" ht="15" customHeight="1" x14ac:dyDescent="0.3">
      <c r="C1202" s="103"/>
      <c r="D1202" s="103"/>
      <c r="G1202" s="50">
        <f>РЕАЛИЗАЦИЯ[[#This Row],[СОНИ]]*РЕАЛИЗАЦИЯ[[#This Row],[НАРХИ]]</f>
        <v>0</v>
      </c>
      <c r="I1202" s="94"/>
      <c r="J1202" s="31">
        <f>РЕАЛИЗАЦИЯ[[#This Row],[СОНИ]]*РЕАЛИЗАЦИЯ[[#This Row],[ТАННАРХ]]</f>
        <v>0</v>
      </c>
      <c r="K1202" s="31">
        <f>РЕАЛИЗАЦИЯ[[#This Row],[ЖАМИ]]-РЕАЛИЗАЦИЯ[[#This Row],[ЖАМИ2]]</f>
        <v>0</v>
      </c>
      <c r="L1202" s="31"/>
    </row>
    <row r="1203" spans="3:12" ht="15" customHeight="1" x14ac:dyDescent="0.3">
      <c r="C1203" s="103"/>
      <c r="D1203" s="103"/>
      <c r="G1203" s="50">
        <f>РЕАЛИЗАЦИЯ[[#This Row],[СОНИ]]*РЕАЛИЗАЦИЯ[[#This Row],[НАРХИ]]</f>
        <v>0</v>
      </c>
      <c r="I1203" s="94"/>
      <c r="J1203" s="31">
        <f>РЕАЛИЗАЦИЯ[[#This Row],[СОНИ]]*РЕАЛИЗАЦИЯ[[#This Row],[ТАННАРХ]]</f>
        <v>0</v>
      </c>
      <c r="K1203" s="31">
        <f>РЕАЛИЗАЦИЯ[[#This Row],[ЖАМИ]]-РЕАЛИЗАЦИЯ[[#This Row],[ЖАМИ2]]</f>
        <v>0</v>
      </c>
      <c r="L1203" s="31"/>
    </row>
    <row r="1204" spans="3:12" ht="15" customHeight="1" x14ac:dyDescent="0.3">
      <c r="C1204" s="103"/>
      <c r="D1204" s="103"/>
      <c r="G1204" s="50">
        <f>РЕАЛИЗАЦИЯ[[#This Row],[СОНИ]]*РЕАЛИЗАЦИЯ[[#This Row],[НАРХИ]]</f>
        <v>0</v>
      </c>
      <c r="H1204" s="273"/>
      <c r="I1204" s="94"/>
      <c r="J1204" s="31">
        <f>РЕАЛИЗАЦИЯ[[#This Row],[СОНИ]]*РЕАЛИЗАЦИЯ[[#This Row],[ТАННАРХ]]</f>
        <v>0</v>
      </c>
      <c r="K1204" s="31">
        <f>РЕАЛИЗАЦИЯ[[#This Row],[ЖАМИ]]-РЕАЛИЗАЦИЯ[[#This Row],[ЖАМИ2]]</f>
        <v>0</v>
      </c>
      <c r="L1204" s="31"/>
    </row>
    <row r="1205" spans="3:12" ht="15" customHeight="1" x14ac:dyDescent="0.3">
      <c r="C1205" s="103"/>
      <c r="D1205" s="103"/>
      <c r="G1205" s="50">
        <f>РЕАЛИЗАЦИЯ[[#This Row],[СОНИ]]*РЕАЛИЗАЦИЯ[[#This Row],[НАРХИ]]</f>
        <v>0</v>
      </c>
      <c r="I1205" s="94"/>
      <c r="J1205" s="31">
        <f>РЕАЛИЗАЦИЯ[[#This Row],[СОНИ]]*РЕАЛИЗАЦИЯ[[#This Row],[ТАННАРХ]]</f>
        <v>0</v>
      </c>
      <c r="K1205" s="31">
        <f>РЕАЛИЗАЦИЯ[[#This Row],[ЖАМИ]]-РЕАЛИЗАЦИЯ[[#This Row],[ЖАМИ2]]</f>
        <v>0</v>
      </c>
      <c r="L1205" s="31"/>
    </row>
    <row r="1206" spans="3:12" ht="15" customHeight="1" x14ac:dyDescent="0.3">
      <c r="C1206" s="103"/>
      <c r="D1206" s="103"/>
      <c r="G1206" s="50">
        <f>РЕАЛИЗАЦИЯ[[#This Row],[СОНИ]]*РЕАЛИЗАЦИЯ[[#This Row],[НАРХИ]]</f>
        <v>0</v>
      </c>
      <c r="I1206" s="94"/>
      <c r="J1206" s="31">
        <f>РЕАЛИЗАЦИЯ[[#This Row],[СОНИ]]*РЕАЛИЗАЦИЯ[[#This Row],[ТАННАРХ]]</f>
        <v>0</v>
      </c>
      <c r="K1206" s="31">
        <f>РЕАЛИЗАЦИЯ[[#This Row],[ЖАМИ]]-РЕАЛИЗАЦИЯ[[#This Row],[ЖАМИ2]]</f>
        <v>0</v>
      </c>
      <c r="L1206" s="31"/>
    </row>
    <row r="1207" spans="3:12" ht="15" customHeight="1" x14ac:dyDescent="0.3">
      <c r="C1207" s="103"/>
      <c r="D1207" s="103"/>
      <c r="G1207" s="50">
        <f>РЕАЛИЗАЦИЯ[[#This Row],[СОНИ]]*РЕАЛИЗАЦИЯ[[#This Row],[НАРХИ]]</f>
        <v>0</v>
      </c>
      <c r="I1207" s="94"/>
      <c r="J1207" s="31">
        <f>РЕАЛИЗАЦИЯ[[#This Row],[СОНИ]]*РЕАЛИЗАЦИЯ[[#This Row],[ТАННАРХ]]</f>
        <v>0</v>
      </c>
      <c r="K1207" s="31">
        <f>РЕАЛИЗАЦИЯ[[#This Row],[ЖАМИ]]-РЕАЛИЗАЦИЯ[[#This Row],[ЖАМИ2]]</f>
        <v>0</v>
      </c>
      <c r="L1207" s="31"/>
    </row>
    <row r="1208" spans="3:12" ht="15" customHeight="1" x14ac:dyDescent="0.3">
      <c r="C1208" s="103"/>
      <c r="D1208" s="103"/>
      <c r="G1208" s="50">
        <f>РЕАЛИЗАЦИЯ[[#This Row],[СОНИ]]*РЕАЛИЗАЦИЯ[[#This Row],[НАРХИ]]</f>
        <v>0</v>
      </c>
      <c r="I1208" s="94"/>
      <c r="J1208" s="31">
        <f>РЕАЛИЗАЦИЯ[[#This Row],[СОНИ]]*РЕАЛИЗАЦИЯ[[#This Row],[ТАННАРХ]]</f>
        <v>0</v>
      </c>
      <c r="K1208" s="31">
        <f>РЕАЛИЗАЦИЯ[[#This Row],[ЖАМИ]]-РЕАЛИЗАЦИЯ[[#This Row],[ЖАМИ2]]</f>
        <v>0</v>
      </c>
      <c r="L1208" s="31"/>
    </row>
    <row r="1209" spans="3:12" ht="15" customHeight="1" x14ac:dyDescent="0.3">
      <c r="C1209" s="103"/>
      <c r="D1209" s="103"/>
      <c r="G1209" s="50">
        <f>РЕАЛИЗАЦИЯ[[#This Row],[СОНИ]]*РЕАЛИЗАЦИЯ[[#This Row],[НАРХИ]]</f>
        <v>0</v>
      </c>
      <c r="I1209" s="94"/>
      <c r="J1209" s="31">
        <f>РЕАЛИЗАЦИЯ[[#This Row],[СОНИ]]*РЕАЛИЗАЦИЯ[[#This Row],[ТАННАРХ]]</f>
        <v>0</v>
      </c>
      <c r="K1209" s="31">
        <f>РЕАЛИЗАЦИЯ[[#This Row],[ЖАМИ]]-РЕАЛИЗАЦИЯ[[#This Row],[ЖАМИ2]]</f>
        <v>0</v>
      </c>
      <c r="L1209" s="31"/>
    </row>
    <row r="1210" spans="3:12" ht="15" customHeight="1" x14ac:dyDescent="0.3">
      <c r="C1210" s="103"/>
      <c r="D1210" s="103"/>
      <c r="G1210" s="50">
        <f>РЕАЛИЗАЦИЯ[[#This Row],[СОНИ]]*РЕАЛИЗАЦИЯ[[#This Row],[НАРХИ]]</f>
        <v>0</v>
      </c>
      <c r="I1210" s="94"/>
      <c r="J1210" s="31">
        <f>РЕАЛИЗАЦИЯ[[#This Row],[СОНИ]]*РЕАЛИЗАЦИЯ[[#This Row],[ТАННАРХ]]</f>
        <v>0</v>
      </c>
      <c r="K1210" s="31">
        <f>РЕАЛИЗАЦИЯ[[#This Row],[ЖАМИ]]-РЕАЛИЗАЦИЯ[[#This Row],[ЖАМИ2]]</f>
        <v>0</v>
      </c>
      <c r="L1210" s="31"/>
    </row>
    <row r="1211" spans="3:12" ht="15" customHeight="1" x14ac:dyDescent="0.3">
      <c r="C1211" s="103"/>
      <c r="D1211" s="103"/>
      <c r="G1211" s="50">
        <f>РЕАЛИЗАЦИЯ[[#This Row],[СОНИ]]*РЕАЛИЗАЦИЯ[[#This Row],[НАРХИ]]</f>
        <v>0</v>
      </c>
      <c r="I1211" s="94"/>
      <c r="J1211" s="31">
        <f>РЕАЛИЗАЦИЯ[[#This Row],[СОНИ]]*РЕАЛИЗАЦИЯ[[#This Row],[ТАННАРХ]]</f>
        <v>0</v>
      </c>
      <c r="K1211" s="31">
        <f>РЕАЛИЗАЦИЯ[[#This Row],[ЖАМИ]]-РЕАЛИЗАЦИЯ[[#This Row],[ЖАМИ2]]</f>
        <v>0</v>
      </c>
      <c r="L1211" s="31"/>
    </row>
    <row r="1212" spans="3:12" ht="15" customHeight="1" x14ac:dyDescent="0.3">
      <c r="C1212" s="103"/>
      <c r="D1212" s="103"/>
      <c r="G1212" s="50">
        <f>РЕАЛИЗАЦИЯ[[#This Row],[СОНИ]]*РЕАЛИЗАЦИЯ[[#This Row],[НАРХИ]]</f>
        <v>0</v>
      </c>
      <c r="I1212" s="94"/>
      <c r="J1212" s="31">
        <f>РЕАЛИЗАЦИЯ[[#This Row],[СОНИ]]*РЕАЛИЗАЦИЯ[[#This Row],[ТАННАРХ]]</f>
        <v>0</v>
      </c>
      <c r="K1212" s="31">
        <f>РЕАЛИЗАЦИЯ[[#This Row],[ЖАМИ]]-РЕАЛИЗАЦИЯ[[#This Row],[ЖАМИ2]]</f>
        <v>0</v>
      </c>
      <c r="L1212" s="31"/>
    </row>
    <row r="1213" spans="3:12" x14ac:dyDescent="0.3">
      <c r="C1213" s="103"/>
      <c r="D1213" s="103"/>
      <c r="G1213" s="50">
        <f>РЕАЛИЗАЦИЯ[[#This Row],[СОНИ]]*РЕАЛИЗАЦИЯ[[#This Row],[НАРХИ]]</f>
        <v>0</v>
      </c>
      <c r="I1213" s="94"/>
      <c r="J1213" s="31">
        <f>РЕАЛИЗАЦИЯ[[#This Row],[СОНИ]]*РЕАЛИЗАЦИЯ[[#This Row],[ТАННАРХ]]</f>
        <v>0</v>
      </c>
      <c r="K1213" s="31">
        <f>РЕАЛИЗАЦИЯ[[#This Row],[ЖАМИ]]-РЕАЛИЗАЦИЯ[[#This Row],[ЖАМИ2]]</f>
        <v>0</v>
      </c>
      <c r="L1213" s="31"/>
    </row>
    <row r="1214" spans="3:12" ht="15" customHeight="1" x14ac:dyDescent="0.3">
      <c r="C1214" s="103"/>
      <c r="D1214" s="103"/>
      <c r="G1214" s="50">
        <f>РЕАЛИЗАЦИЯ[[#This Row],[СОНИ]]*РЕАЛИЗАЦИЯ[[#This Row],[НАРХИ]]</f>
        <v>0</v>
      </c>
      <c r="I1214" s="94"/>
      <c r="J1214" s="31">
        <f>РЕАЛИЗАЦИЯ[[#This Row],[СОНИ]]*РЕАЛИЗАЦИЯ[[#This Row],[ТАННАРХ]]</f>
        <v>0</v>
      </c>
      <c r="K1214" s="31">
        <f>РЕАЛИЗАЦИЯ[[#This Row],[ЖАМИ]]-РЕАЛИЗАЦИЯ[[#This Row],[ЖАМИ2]]</f>
        <v>0</v>
      </c>
      <c r="L1214" s="31"/>
    </row>
    <row r="1215" spans="3:12" ht="15" customHeight="1" x14ac:dyDescent="0.3">
      <c r="C1215" s="103"/>
      <c r="D1215" s="103"/>
      <c r="G1215" s="50">
        <f>РЕАЛИЗАЦИЯ[[#This Row],[СОНИ]]*РЕАЛИЗАЦИЯ[[#This Row],[НАРХИ]]</f>
        <v>0</v>
      </c>
      <c r="I1215" s="94"/>
      <c r="J1215" s="31">
        <f>РЕАЛИЗАЦИЯ[[#This Row],[СОНИ]]*РЕАЛИЗАЦИЯ[[#This Row],[ТАННАРХ]]</f>
        <v>0</v>
      </c>
      <c r="K1215" s="31">
        <f>РЕАЛИЗАЦИЯ[[#This Row],[ЖАМИ]]-РЕАЛИЗАЦИЯ[[#This Row],[ЖАМИ2]]</f>
        <v>0</v>
      </c>
      <c r="L1215" s="31"/>
    </row>
    <row r="1216" spans="3:12" ht="15" customHeight="1" x14ac:dyDescent="0.3">
      <c r="C1216" s="103"/>
      <c r="D1216" s="103"/>
      <c r="G1216" s="50">
        <f>РЕАЛИЗАЦИЯ[[#This Row],[СОНИ]]*РЕАЛИЗАЦИЯ[[#This Row],[НАРХИ]]</f>
        <v>0</v>
      </c>
      <c r="I1216" s="94"/>
      <c r="J1216" s="31">
        <f>РЕАЛИЗАЦИЯ[[#This Row],[СОНИ]]*РЕАЛИЗАЦИЯ[[#This Row],[ТАННАРХ]]</f>
        <v>0</v>
      </c>
      <c r="K1216" s="31">
        <f>РЕАЛИЗАЦИЯ[[#This Row],[ЖАМИ]]-РЕАЛИЗАЦИЯ[[#This Row],[ЖАМИ2]]</f>
        <v>0</v>
      </c>
      <c r="L1216" s="31"/>
    </row>
    <row r="1217" spans="3:12" ht="15" customHeight="1" x14ac:dyDescent="0.3">
      <c r="C1217" s="103"/>
      <c r="D1217" s="103"/>
      <c r="G1217" s="50">
        <f>РЕАЛИЗАЦИЯ[[#This Row],[СОНИ]]*РЕАЛИЗАЦИЯ[[#This Row],[НАРХИ]]</f>
        <v>0</v>
      </c>
      <c r="I1217" s="94"/>
      <c r="J1217" s="31">
        <f>РЕАЛИЗАЦИЯ[[#This Row],[СОНИ]]*РЕАЛИЗАЦИЯ[[#This Row],[ТАННАРХ]]</f>
        <v>0</v>
      </c>
      <c r="K1217" s="31">
        <f>РЕАЛИЗАЦИЯ[[#This Row],[ЖАМИ]]-РЕАЛИЗАЦИЯ[[#This Row],[ЖАМИ2]]</f>
        <v>0</v>
      </c>
      <c r="L1217" s="31"/>
    </row>
    <row r="1218" spans="3:12" ht="15" customHeight="1" x14ac:dyDescent="0.3">
      <c r="C1218" s="103"/>
      <c r="D1218" s="103"/>
      <c r="G1218" s="50">
        <f>РЕАЛИЗАЦИЯ[[#This Row],[СОНИ]]*РЕАЛИЗАЦИЯ[[#This Row],[НАРХИ]]</f>
        <v>0</v>
      </c>
      <c r="I1218" s="94"/>
      <c r="J1218" s="31">
        <f>РЕАЛИЗАЦИЯ[[#This Row],[СОНИ]]*РЕАЛИЗАЦИЯ[[#This Row],[ТАННАРХ]]</f>
        <v>0</v>
      </c>
      <c r="K1218" s="31">
        <f>РЕАЛИЗАЦИЯ[[#This Row],[ЖАМИ]]-РЕАЛИЗАЦИЯ[[#This Row],[ЖАМИ2]]</f>
        <v>0</v>
      </c>
      <c r="L1218" s="31"/>
    </row>
    <row r="1219" spans="3:12" ht="15" customHeight="1" x14ac:dyDescent="0.3">
      <c r="C1219" s="103"/>
      <c r="D1219" s="103"/>
      <c r="G1219" s="50">
        <f>РЕАЛИЗАЦИЯ[[#This Row],[СОНИ]]*РЕАЛИЗАЦИЯ[[#This Row],[НАРХИ]]</f>
        <v>0</v>
      </c>
      <c r="I1219" s="94"/>
      <c r="J1219" s="31">
        <f>РЕАЛИЗАЦИЯ[[#This Row],[СОНИ]]*РЕАЛИЗАЦИЯ[[#This Row],[ТАННАРХ]]</f>
        <v>0</v>
      </c>
      <c r="K1219" s="31">
        <f>РЕАЛИЗАЦИЯ[[#This Row],[ЖАМИ]]-РЕАЛИЗАЦИЯ[[#This Row],[ЖАМИ2]]</f>
        <v>0</v>
      </c>
      <c r="L1219" s="31"/>
    </row>
    <row r="1220" spans="3:12" ht="15" customHeight="1" x14ac:dyDescent="0.3">
      <c r="C1220" s="103"/>
      <c r="D1220" s="103"/>
      <c r="G1220" s="50">
        <f>РЕАЛИЗАЦИЯ[[#This Row],[СОНИ]]*РЕАЛИЗАЦИЯ[[#This Row],[НАРХИ]]</f>
        <v>0</v>
      </c>
      <c r="I1220" s="94"/>
      <c r="J1220" s="31">
        <f>РЕАЛИЗАЦИЯ[[#This Row],[СОНИ]]*РЕАЛИЗАЦИЯ[[#This Row],[ТАННАРХ]]</f>
        <v>0</v>
      </c>
      <c r="K1220" s="31">
        <f>РЕАЛИЗАЦИЯ[[#This Row],[ЖАМИ]]-РЕАЛИЗАЦИЯ[[#This Row],[ЖАМИ2]]</f>
        <v>0</v>
      </c>
      <c r="L1220" s="31"/>
    </row>
    <row r="1221" spans="3:12" ht="15" customHeight="1" x14ac:dyDescent="0.3">
      <c r="C1221" s="103"/>
      <c r="D1221" s="103"/>
      <c r="G1221" s="50">
        <f>РЕАЛИЗАЦИЯ[[#This Row],[СОНИ]]*РЕАЛИЗАЦИЯ[[#This Row],[НАРХИ]]</f>
        <v>0</v>
      </c>
      <c r="I1221" s="94"/>
      <c r="J1221" s="31">
        <f>РЕАЛИЗАЦИЯ[[#This Row],[СОНИ]]*РЕАЛИЗАЦИЯ[[#This Row],[ТАННАРХ]]</f>
        <v>0</v>
      </c>
      <c r="K1221" s="31">
        <f>РЕАЛИЗАЦИЯ[[#This Row],[ЖАМИ]]-РЕАЛИЗАЦИЯ[[#This Row],[ЖАМИ2]]</f>
        <v>0</v>
      </c>
      <c r="L1221" s="31"/>
    </row>
    <row r="1222" spans="3:12" ht="15" customHeight="1" x14ac:dyDescent="0.3">
      <c r="C1222" s="103"/>
      <c r="D1222" s="103"/>
      <c r="G1222" s="50">
        <f>РЕАЛИЗАЦИЯ[[#This Row],[СОНИ]]*РЕАЛИЗАЦИЯ[[#This Row],[НАРХИ]]</f>
        <v>0</v>
      </c>
      <c r="I1222" s="94"/>
      <c r="J1222" s="31">
        <f>РЕАЛИЗАЦИЯ[[#This Row],[СОНИ]]*РЕАЛИЗАЦИЯ[[#This Row],[ТАННАРХ]]</f>
        <v>0</v>
      </c>
      <c r="K1222" s="31">
        <f>РЕАЛИЗАЦИЯ[[#This Row],[ЖАМИ]]-РЕАЛИЗАЦИЯ[[#This Row],[ЖАМИ2]]</f>
        <v>0</v>
      </c>
      <c r="L1222" s="31"/>
    </row>
    <row r="1223" spans="3:12" ht="15" customHeight="1" x14ac:dyDescent="0.3">
      <c r="C1223" s="103"/>
      <c r="D1223" s="103"/>
      <c r="G1223" s="50">
        <f>РЕАЛИЗАЦИЯ[[#This Row],[СОНИ]]*РЕАЛИЗАЦИЯ[[#This Row],[НАРХИ]]</f>
        <v>0</v>
      </c>
      <c r="I1223" s="94"/>
      <c r="J1223" s="31">
        <f>РЕАЛИЗАЦИЯ[[#This Row],[СОНИ]]*РЕАЛИЗАЦИЯ[[#This Row],[ТАННАРХ]]</f>
        <v>0</v>
      </c>
      <c r="K1223" s="31">
        <f>РЕАЛИЗАЦИЯ[[#This Row],[ЖАМИ]]-РЕАЛИЗАЦИЯ[[#This Row],[ЖАМИ2]]</f>
        <v>0</v>
      </c>
      <c r="L1223" s="31"/>
    </row>
    <row r="1224" spans="3:12" ht="15" customHeight="1" x14ac:dyDescent="0.3">
      <c r="C1224" s="103"/>
      <c r="D1224" s="103"/>
      <c r="G1224" s="50">
        <f>РЕАЛИЗАЦИЯ[[#This Row],[СОНИ]]*РЕАЛИЗАЦИЯ[[#This Row],[НАРХИ]]</f>
        <v>0</v>
      </c>
      <c r="I1224" s="94"/>
      <c r="J1224" s="31">
        <f>РЕАЛИЗАЦИЯ[[#This Row],[СОНИ]]*РЕАЛИЗАЦИЯ[[#This Row],[ТАННАРХ]]</f>
        <v>0</v>
      </c>
      <c r="K1224" s="31">
        <f>РЕАЛИЗАЦИЯ[[#This Row],[ЖАМИ]]-РЕАЛИЗАЦИЯ[[#This Row],[ЖАМИ2]]</f>
        <v>0</v>
      </c>
      <c r="L1224" s="31"/>
    </row>
    <row r="1225" spans="3:12" ht="15" customHeight="1" x14ac:dyDescent="0.3">
      <c r="C1225" s="103"/>
      <c r="D1225" s="103"/>
      <c r="G1225" s="50">
        <f>РЕАЛИЗАЦИЯ[[#This Row],[СОНИ]]*РЕАЛИЗАЦИЯ[[#This Row],[НАРХИ]]</f>
        <v>0</v>
      </c>
      <c r="I1225" s="94"/>
      <c r="J1225" s="31">
        <f>РЕАЛИЗАЦИЯ[[#This Row],[СОНИ]]*РЕАЛИЗАЦИЯ[[#This Row],[ТАННАРХ]]</f>
        <v>0</v>
      </c>
      <c r="K1225" s="31">
        <f>РЕАЛИЗАЦИЯ[[#This Row],[ЖАМИ]]-РЕАЛИЗАЦИЯ[[#This Row],[ЖАМИ2]]</f>
        <v>0</v>
      </c>
      <c r="L1225" s="31"/>
    </row>
    <row r="1226" spans="3:12" ht="15" customHeight="1" x14ac:dyDescent="0.3">
      <c r="C1226" s="103"/>
      <c r="D1226" s="103"/>
      <c r="G1226" s="50">
        <f>РЕАЛИЗАЦИЯ[[#This Row],[СОНИ]]*РЕАЛИЗАЦИЯ[[#This Row],[НАРХИ]]</f>
        <v>0</v>
      </c>
      <c r="I1226" s="94"/>
      <c r="J1226" s="31">
        <f>РЕАЛИЗАЦИЯ[[#This Row],[СОНИ]]*РЕАЛИЗАЦИЯ[[#This Row],[ТАННАРХ]]</f>
        <v>0</v>
      </c>
      <c r="K1226" s="31">
        <f>РЕАЛИЗАЦИЯ[[#This Row],[ЖАМИ]]-РЕАЛИЗАЦИЯ[[#This Row],[ЖАМИ2]]</f>
        <v>0</v>
      </c>
      <c r="L1226" s="31"/>
    </row>
    <row r="1227" spans="3:12" ht="15" customHeight="1" x14ac:dyDescent="0.3">
      <c r="C1227" s="103"/>
      <c r="D1227" s="103"/>
      <c r="G1227" s="50">
        <f>РЕАЛИЗАЦИЯ[[#This Row],[СОНИ]]*РЕАЛИЗАЦИЯ[[#This Row],[НАРХИ]]</f>
        <v>0</v>
      </c>
      <c r="I1227" s="94"/>
      <c r="J1227" s="31">
        <f>РЕАЛИЗАЦИЯ[[#This Row],[СОНИ]]*РЕАЛИЗАЦИЯ[[#This Row],[ТАННАРХ]]</f>
        <v>0</v>
      </c>
      <c r="K1227" s="31">
        <f>РЕАЛИЗАЦИЯ[[#This Row],[ЖАМИ]]-РЕАЛИЗАЦИЯ[[#This Row],[ЖАМИ2]]</f>
        <v>0</v>
      </c>
      <c r="L1227" s="31"/>
    </row>
    <row r="1228" spans="3:12" ht="15" customHeight="1" x14ac:dyDescent="0.3">
      <c r="C1228" s="103"/>
      <c r="D1228" s="103"/>
      <c r="G1228" s="50">
        <f>РЕАЛИЗАЦИЯ[[#This Row],[СОНИ]]*РЕАЛИЗАЦИЯ[[#This Row],[НАРХИ]]</f>
        <v>0</v>
      </c>
      <c r="I1228" s="94"/>
      <c r="J1228" s="31">
        <f>РЕАЛИЗАЦИЯ[[#This Row],[СОНИ]]*РЕАЛИЗАЦИЯ[[#This Row],[ТАННАРХ]]</f>
        <v>0</v>
      </c>
      <c r="K1228" s="31">
        <f>РЕАЛИЗАЦИЯ[[#This Row],[ЖАМИ]]-РЕАЛИЗАЦИЯ[[#This Row],[ЖАМИ2]]</f>
        <v>0</v>
      </c>
      <c r="L1228" s="31"/>
    </row>
    <row r="1229" spans="3:12" ht="15" customHeight="1" x14ac:dyDescent="0.3">
      <c r="C1229" s="103"/>
      <c r="D1229" s="103"/>
      <c r="G1229" s="50">
        <f>РЕАЛИЗАЦИЯ[[#This Row],[СОНИ]]*РЕАЛИЗАЦИЯ[[#This Row],[НАРХИ]]</f>
        <v>0</v>
      </c>
      <c r="I1229" s="94"/>
      <c r="J1229" s="31">
        <f>РЕАЛИЗАЦИЯ[[#This Row],[СОНИ]]*РЕАЛИЗАЦИЯ[[#This Row],[ТАННАРХ]]</f>
        <v>0</v>
      </c>
      <c r="K1229" s="31">
        <f>РЕАЛИЗАЦИЯ[[#This Row],[ЖАМИ]]-РЕАЛИЗАЦИЯ[[#This Row],[ЖАМИ2]]</f>
        <v>0</v>
      </c>
      <c r="L1229" s="31"/>
    </row>
    <row r="1230" spans="3:12" ht="15" customHeight="1" x14ac:dyDescent="0.3">
      <c r="C1230" s="103"/>
      <c r="D1230" s="103"/>
      <c r="G1230" s="50">
        <f>РЕАЛИЗАЦИЯ[[#This Row],[СОНИ]]*РЕАЛИЗАЦИЯ[[#This Row],[НАРХИ]]</f>
        <v>0</v>
      </c>
      <c r="I1230" s="94"/>
      <c r="J1230" s="31">
        <f>РЕАЛИЗАЦИЯ[[#This Row],[СОНИ]]*РЕАЛИЗАЦИЯ[[#This Row],[ТАННАРХ]]</f>
        <v>0</v>
      </c>
      <c r="K1230" s="31">
        <f>РЕАЛИЗАЦИЯ[[#This Row],[ЖАМИ]]-РЕАЛИЗАЦИЯ[[#This Row],[ЖАМИ2]]</f>
        <v>0</v>
      </c>
      <c r="L1230" s="31"/>
    </row>
    <row r="1231" spans="3:12" ht="15" customHeight="1" x14ac:dyDescent="0.3">
      <c r="C1231" s="103"/>
      <c r="D1231" s="103"/>
      <c r="G1231" s="50">
        <f>РЕАЛИЗАЦИЯ[[#This Row],[СОНИ]]*РЕАЛИЗАЦИЯ[[#This Row],[НАРХИ]]</f>
        <v>0</v>
      </c>
      <c r="I1231" s="94"/>
      <c r="J1231" s="31">
        <f>РЕАЛИЗАЦИЯ[[#This Row],[СОНИ]]*РЕАЛИЗАЦИЯ[[#This Row],[ТАННАРХ]]</f>
        <v>0</v>
      </c>
      <c r="K1231" s="31">
        <f>РЕАЛИЗАЦИЯ[[#This Row],[ЖАМИ]]-РЕАЛИЗАЦИЯ[[#This Row],[ЖАМИ2]]</f>
        <v>0</v>
      </c>
      <c r="L1231" s="31"/>
    </row>
    <row r="1232" spans="3:12" ht="15" customHeight="1" x14ac:dyDescent="0.3">
      <c r="C1232" s="155"/>
      <c r="D1232" s="155"/>
      <c r="G1232" s="50">
        <f>РЕАЛИЗАЦИЯ[[#This Row],[СОНИ]]*РЕАЛИЗАЦИЯ[[#This Row],[НАРХИ]]</f>
        <v>0</v>
      </c>
      <c r="I1232" s="132"/>
      <c r="J1232" s="31">
        <f>РЕАЛИЗАЦИЯ[[#This Row],[СОНИ]]*РЕАЛИЗАЦИЯ[[#This Row],[ТАННАРХ]]</f>
        <v>0</v>
      </c>
      <c r="K1232" s="31">
        <f>РЕАЛИЗАЦИЯ[[#This Row],[ЖАМИ]]-РЕАЛИЗАЦИЯ[[#This Row],[ЖАМИ2]]</f>
        <v>0</v>
      </c>
      <c r="L1232" s="31"/>
    </row>
    <row r="1233" spans="3:12" ht="15" customHeight="1" x14ac:dyDescent="0.3">
      <c r="C1233" s="155"/>
      <c r="D1233" s="155"/>
      <c r="G1233" s="50">
        <f>РЕАЛИЗАЦИЯ[[#This Row],[СОНИ]]*РЕАЛИЗАЦИЯ[[#This Row],[НАРХИ]]</f>
        <v>0</v>
      </c>
      <c r="I1233" s="132"/>
      <c r="J1233" s="31">
        <f>РЕАЛИЗАЦИЯ[[#This Row],[СОНИ]]*РЕАЛИЗАЦИЯ[[#This Row],[ТАННАРХ]]</f>
        <v>0</v>
      </c>
      <c r="K1233" s="31">
        <f>РЕАЛИЗАЦИЯ[[#This Row],[ЖАМИ]]-РЕАЛИЗАЦИЯ[[#This Row],[ЖАМИ2]]</f>
        <v>0</v>
      </c>
      <c r="L1233" s="31"/>
    </row>
    <row r="1234" spans="3:12" ht="15" customHeight="1" x14ac:dyDescent="0.3">
      <c r="C1234" s="103"/>
      <c r="D1234" s="103"/>
      <c r="G1234" s="50">
        <f>РЕАЛИЗАЦИЯ[[#This Row],[СОНИ]]*РЕАЛИЗАЦИЯ[[#This Row],[НАРХИ]]</f>
        <v>0</v>
      </c>
      <c r="I1234" s="94"/>
      <c r="J1234" s="31">
        <f>РЕАЛИЗАЦИЯ[[#This Row],[СОНИ]]*РЕАЛИЗАЦИЯ[[#This Row],[ТАННАРХ]]</f>
        <v>0</v>
      </c>
      <c r="K1234" s="31">
        <f>РЕАЛИЗАЦИЯ[[#This Row],[ЖАМИ]]-РЕАЛИЗАЦИЯ[[#This Row],[ЖАМИ2]]</f>
        <v>0</v>
      </c>
      <c r="L1234" s="31"/>
    </row>
    <row r="1235" spans="3:12" ht="15" customHeight="1" x14ac:dyDescent="0.3">
      <c r="C1235" s="103"/>
      <c r="D1235" s="103"/>
      <c r="G1235" s="50">
        <f>РЕАЛИЗАЦИЯ[[#This Row],[СОНИ]]*РЕАЛИЗАЦИЯ[[#This Row],[НАРХИ]]</f>
        <v>0</v>
      </c>
      <c r="I1235" s="94"/>
      <c r="J1235" s="31">
        <f>РЕАЛИЗАЦИЯ[[#This Row],[СОНИ]]*РЕАЛИЗАЦИЯ[[#This Row],[ТАННАРХ]]</f>
        <v>0</v>
      </c>
      <c r="K1235" s="31">
        <f>РЕАЛИЗАЦИЯ[[#This Row],[ЖАМИ]]-РЕАЛИЗАЦИЯ[[#This Row],[ЖАМИ2]]</f>
        <v>0</v>
      </c>
      <c r="L1235" s="31"/>
    </row>
    <row r="1236" spans="3:12" ht="15" customHeight="1" x14ac:dyDescent="0.3">
      <c r="C1236" s="103"/>
      <c r="D1236" s="103"/>
      <c r="G1236" s="50">
        <f>РЕАЛИЗАЦИЯ[[#This Row],[СОНИ]]*РЕАЛИЗАЦИЯ[[#This Row],[НАРХИ]]</f>
        <v>0</v>
      </c>
      <c r="I1236" s="94"/>
      <c r="J1236" s="31">
        <f>РЕАЛИЗАЦИЯ[[#This Row],[СОНИ]]*РЕАЛИЗАЦИЯ[[#This Row],[ТАННАРХ]]</f>
        <v>0</v>
      </c>
      <c r="K1236" s="31">
        <f>РЕАЛИЗАЦИЯ[[#This Row],[ЖАМИ]]-РЕАЛИЗАЦИЯ[[#This Row],[ЖАМИ2]]</f>
        <v>0</v>
      </c>
      <c r="L1236" s="31"/>
    </row>
    <row r="1237" spans="3:12" ht="15" customHeight="1" x14ac:dyDescent="0.3">
      <c r="C1237" s="103"/>
      <c r="D1237" s="103"/>
      <c r="G1237" s="50">
        <f>РЕАЛИЗАЦИЯ[[#This Row],[СОНИ]]*РЕАЛИЗАЦИЯ[[#This Row],[НАРХИ]]</f>
        <v>0</v>
      </c>
      <c r="I1237" s="94"/>
      <c r="J1237" s="31">
        <f>РЕАЛИЗАЦИЯ[[#This Row],[СОНИ]]*РЕАЛИЗАЦИЯ[[#This Row],[ТАННАРХ]]</f>
        <v>0</v>
      </c>
      <c r="K1237" s="31">
        <f>РЕАЛИЗАЦИЯ[[#This Row],[ЖАМИ]]-РЕАЛИЗАЦИЯ[[#This Row],[ЖАМИ2]]</f>
        <v>0</v>
      </c>
      <c r="L1237" s="31"/>
    </row>
    <row r="1238" spans="3:12" ht="15" customHeight="1" x14ac:dyDescent="0.3">
      <c r="C1238" s="103"/>
      <c r="D1238" s="103"/>
      <c r="G1238" s="50">
        <f>РЕАЛИЗАЦИЯ[[#This Row],[СОНИ]]*РЕАЛИЗАЦИЯ[[#This Row],[НАРХИ]]</f>
        <v>0</v>
      </c>
      <c r="I1238" s="94"/>
      <c r="J1238" s="31">
        <f>РЕАЛИЗАЦИЯ[[#This Row],[СОНИ]]*РЕАЛИЗАЦИЯ[[#This Row],[ТАННАРХ]]</f>
        <v>0</v>
      </c>
      <c r="K1238" s="31">
        <f>РЕАЛИЗАЦИЯ[[#This Row],[ЖАМИ]]-РЕАЛИЗАЦИЯ[[#This Row],[ЖАМИ2]]</f>
        <v>0</v>
      </c>
      <c r="L1238" s="31"/>
    </row>
    <row r="1239" spans="3:12" ht="15" customHeight="1" x14ac:dyDescent="0.3">
      <c r="C1239" s="103"/>
      <c r="D1239" s="103"/>
      <c r="G1239" s="50">
        <f>РЕАЛИЗАЦИЯ[[#This Row],[СОНИ]]*РЕАЛИЗАЦИЯ[[#This Row],[НАРХИ]]</f>
        <v>0</v>
      </c>
      <c r="I1239" s="94"/>
      <c r="J1239" s="31">
        <f>РЕАЛИЗАЦИЯ[[#This Row],[СОНИ]]*РЕАЛИЗАЦИЯ[[#This Row],[ТАННАРХ]]</f>
        <v>0</v>
      </c>
      <c r="K1239" s="31">
        <f>РЕАЛИЗАЦИЯ[[#This Row],[ЖАМИ]]-РЕАЛИЗАЦИЯ[[#This Row],[ЖАМИ2]]</f>
        <v>0</v>
      </c>
      <c r="L1239" s="31"/>
    </row>
    <row r="1240" spans="3:12" ht="15" customHeight="1" x14ac:dyDescent="0.3">
      <c r="C1240" s="103"/>
      <c r="D1240" s="103"/>
      <c r="G1240" s="50">
        <f>РЕАЛИЗАЦИЯ[[#This Row],[СОНИ]]*РЕАЛИЗАЦИЯ[[#This Row],[НАРХИ]]</f>
        <v>0</v>
      </c>
      <c r="I1240" s="94"/>
      <c r="J1240" s="31">
        <f>РЕАЛИЗАЦИЯ[[#This Row],[СОНИ]]*РЕАЛИЗАЦИЯ[[#This Row],[ТАННАРХ]]</f>
        <v>0</v>
      </c>
      <c r="K1240" s="31">
        <f>РЕАЛИЗАЦИЯ[[#This Row],[ЖАМИ]]-РЕАЛИЗАЦИЯ[[#This Row],[ЖАМИ2]]</f>
        <v>0</v>
      </c>
      <c r="L1240" s="31"/>
    </row>
    <row r="1241" spans="3:12" ht="15" customHeight="1" x14ac:dyDescent="0.3">
      <c r="C1241" s="103"/>
      <c r="D1241" s="103"/>
      <c r="G1241" s="50">
        <f>РЕАЛИЗАЦИЯ[[#This Row],[СОНИ]]*РЕАЛИЗАЦИЯ[[#This Row],[НАРХИ]]</f>
        <v>0</v>
      </c>
      <c r="I1241" s="94"/>
      <c r="J1241" s="31">
        <f>РЕАЛИЗАЦИЯ[[#This Row],[СОНИ]]*РЕАЛИЗАЦИЯ[[#This Row],[ТАННАРХ]]</f>
        <v>0</v>
      </c>
      <c r="K1241" s="31">
        <f>РЕАЛИЗАЦИЯ[[#This Row],[ЖАМИ]]-РЕАЛИЗАЦИЯ[[#This Row],[ЖАМИ2]]</f>
        <v>0</v>
      </c>
      <c r="L1241" s="31"/>
    </row>
    <row r="1242" spans="3:12" ht="15" customHeight="1" x14ac:dyDescent="0.3">
      <c r="C1242" s="103"/>
      <c r="D1242" s="103"/>
      <c r="G1242" s="50">
        <f>РЕАЛИЗАЦИЯ[[#This Row],[СОНИ]]*РЕАЛИЗАЦИЯ[[#This Row],[НАРХИ]]</f>
        <v>0</v>
      </c>
      <c r="I1242" s="94"/>
      <c r="J1242" s="31">
        <f>РЕАЛИЗАЦИЯ[[#This Row],[СОНИ]]*РЕАЛИЗАЦИЯ[[#This Row],[ТАННАРХ]]</f>
        <v>0</v>
      </c>
      <c r="K1242" s="31">
        <f>РЕАЛИЗАЦИЯ[[#This Row],[ЖАМИ]]-РЕАЛИЗАЦИЯ[[#This Row],[ЖАМИ2]]</f>
        <v>0</v>
      </c>
      <c r="L1242" s="31"/>
    </row>
    <row r="1243" spans="3:12" ht="15" customHeight="1" x14ac:dyDescent="0.3">
      <c r="C1243" s="103"/>
      <c r="D1243" s="103"/>
      <c r="G1243" s="50">
        <f>РЕАЛИЗАЦИЯ[[#This Row],[СОНИ]]*РЕАЛИЗАЦИЯ[[#This Row],[НАРХИ]]</f>
        <v>0</v>
      </c>
      <c r="I1243" s="94"/>
      <c r="J1243" s="31">
        <f>РЕАЛИЗАЦИЯ[[#This Row],[СОНИ]]*РЕАЛИЗАЦИЯ[[#This Row],[ТАННАРХ]]</f>
        <v>0</v>
      </c>
      <c r="K1243" s="31">
        <f>РЕАЛИЗАЦИЯ[[#This Row],[ЖАМИ]]-РЕАЛИЗАЦИЯ[[#This Row],[ЖАМИ2]]</f>
        <v>0</v>
      </c>
      <c r="L1243" s="31"/>
    </row>
    <row r="1244" spans="3:12" ht="15" customHeight="1" x14ac:dyDescent="0.3">
      <c r="C1244" s="103"/>
      <c r="D1244" s="103"/>
      <c r="G1244" s="50">
        <f>РЕАЛИЗАЦИЯ[[#This Row],[СОНИ]]*РЕАЛИЗАЦИЯ[[#This Row],[НАРХИ]]</f>
        <v>0</v>
      </c>
      <c r="I1244" s="94"/>
      <c r="J1244" s="31">
        <f>РЕАЛИЗАЦИЯ[[#This Row],[СОНИ]]*РЕАЛИЗАЦИЯ[[#This Row],[ТАННАРХ]]</f>
        <v>0</v>
      </c>
      <c r="K1244" s="31">
        <f>РЕАЛИЗАЦИЯ[[#This Row],[ЖАМИ]]-РЕАЛИЗАЦИЯ[[#This Row],[ЖАМИ2]]</f>
        <v>0</v>
      </c>
      <c r="L1244" s="31"/>
    </row>
    <row r="1245" spans="3:12" ht="15" customHeight="1" x14ac:dyDescent="0.3">
      <c r="C1245" s="103"/>
      <c r="D1245" s="103"/>
      <c r="G1245" s="50">
        <f>РЕАЛИЗАЦИЯ[[#This Row],[СОНИ]]*РЕАЛИЗАЦИЯ[[#This Row],[НАРХИ]]</f>
        <v>0</v>
      </c>
      <c r="I1245" s="94"/>
      <c r="J1245" s="31">
        <f>РЕАЛИЗАЦИЯ[[#This Row],[СОНИ]]*РЕАЛИЗАЦИЯ[[#This Row],[ТАННАРХ]]</f>
        <v>0</v>
      </c>
      <c r="K1245" s="31">
        <f>РЕАЛИЗАЦИЯ[[#This Row],[ЖАМИ]]-РЕАЛИЗАЦИЯ[[#This Row],[ЖАМИ2]]</f>
        <v>0</v>
      </c>
      <c r="L1245" s="31"/>
    </row>
    <row r="1246" spans="3:12" ht="15" customHeight="1" x14ac:dyDescent="0.3">
      <c r="C1246" s="103"/>
      <c r="D1246" s="103"/>
      <c r="G1246" s="50">
        <f>РЕАЛИЗАЦИЯ[[#This Row],[СОНИ]]*РЕАЛИЗАЦИЯ[[#This Row],[НАРХИ]]</f>
        <v>0</v>
      </c>
      <c r="I1246" s="94"/>
      <c r="J1246" s="31">
        <f>РЕАЛИЗАЦИЯ[[#This Row],[СОНИ]]*РЕАЛИЗАЦИЯ[[#This Row],[ТАННАРХ]]</f>
        <v>0</v>
      </c>
      <c r="K1246" s="31">
        <f>РЕАЛИЗАЦИЯ[[#This Row],[ЖАМИ]]-РЕАЛИЗАЦИЯ[[#This Row],[ЖАМИ2]]</f>
        <v>0</v>
      </c>
      <c r="L1246" s="31"/>
    </row>
    <row r="1247" spans="3:12" ht="15" customHeight="1" x14ac:dyDescent="0.3">
      <c r="C1247" s="103"/>
      <c r="D1247" s="103"/>
      <c r="G1247" s="50">
        <f>РЕАЛИЗАЦИЯ[[#This Row],[СОНИ]]*РЕАЛИЗАЦИЯ[[#This Row],[НАРХИ]]</f>
        <v>0</v>
      </c>
      <c r="H1247" s="273"/>
      <c r="I1247" s="94"/>
      <c r="J1247" s="31">
        <f>РЕАЛИЗАЦИЯ[[#This Row],[СОНИ]]*РЕАЛИЗАЦИЯ[[#This Row],[ТАННАРХ]]</f>
        <v>0</v>
      </c>
      <c r="K1247" s="31">
        <f>РЕАЛИЗАЦИЯ[[#This Row],[ЖАМИ]]-РЕАЛИЗАЦИЯ[[#This Row],[ЖАМИ2]]</f>
        <v>0</v>
      </c>
      <c r="L1247" s="31"/>
    </row>
    <row r="1248" spans="3:12" ht="15" customHeight="1" x14ac:dyDescent="0.3">
      <c r="C1248" s="103"/>
      <c r="D1248" s="103"/>
      <c r="G1248" s="50">
        <f>РЕАЛИЗАЦИЯ[[#This Row],[СОНИ]]*РЕАЛИЗАЦИЯ[[#This Row],[НАРХИ]]</f>
        <v>0</v>
      </c>
      <c r="I1248" s="94"/>
      <c r="J1248" s="31">
        <f>РЕАЛИЗАЦИЯ[[#This Row],[СОНИ]]*РЕАЛИЗАЦИЯ[[#This Row],[ТАННАРХ]]</f>
        <v>0</v>
      </c>
      <c r="K1248" s="31">
        <f>РЕАЛИЗАЦИЯ[[#This Row],[ЖАМИ]]-РЕАЛИЗАЦИЯ[[#This Row],[ЖАМИ2]]</f>
        <v>0</v>
      </c>
      <c r="L1248" s="31"/>
    </row>
    <row r="1249" spans="3:12" ht="15" customHeight="1" x14ac:dyDescent="0.3">
      <c r="C1249" s="103"/>
      <c r="D1249" s="103"/>
      <c r="G1249" s="50">
        <f>РЕАЛИЗАЦИЯ[[#This Row],[СОНИ]]*РЕАЛИЗАЦИЯ[[#This Row],[НАРХИ]]</f>
        <v>0</v>
      </c>
      <c r="I1249" s="94"/>
      <c r="J1249" s="31">
        <f>РЕАЛИЗАЦИЯ[[#This Row],[СОНИ]]*РЕАЛИЗАЦИЯ[[#This Row],[ТАННАРХ]]</f>
        <v>0</v>
      </c>
      <c r="K1249" s="31">
        <f>РЕАЛИЗАЦИЯ[[#This Row],[ЖАМИ]]-РЕАЛИЗАЦИЯ[[#This Row],[ЖАМИ2]]</f>
        <v>0</v>
      </c>
      <c r="L1249" s="31"/>
    </row>
    <row r="1250" spans="3:12" ht="15" customHeight="1" x14ac:dyDescent="0.3">
      <c r="C1250" s="103"/>
      <c r="D1250" s="103"/>
      <c r="G1250" s="50">
        <f>РЕАЛИЗАЦИЯ[[#This Row],[СОНИ]]*РЕАЛИЗАЦИЯ[[#This Row],[НАРХИ]]</f>
        <v>0</v>
      </c>
      <c r="I1250" s="94"/>
      <c r="J1250" s="31">
        <f>РЕАЛИЗАЦИЯ[[#This Row],[СОНИ]]*РЕАЛИЗАЦИЯ[[#This Row],[ТАННАРХ]]</f>
        <v>0</v>
      </c>
      <c r="K1250" s="31">
        <f>РЕАЛИЗАЦИЯ[[#This Row],[ЖАМИ]]-РЕАЛИЗАЦИЯ[[#This Row],[ЖАМИ2]]</f>
        <v>0</v>
      </c>
      <c r="L1250" s="31"/>
    </row>
    <row r="1251" spans="3:12" ht="15" customHeight="1" x14ac:dyDescent="0.3">
      <c r="C1251" s="103"/>
      <c r="D1251" s="103"/>
      <c r="G1251" s="50">
        <f>РЕАЛИЗАЦИЯ[[#This Row],[СОНИ]]*РЕАЛИЗАЦИЯ[[#This Row],[НАРХИ]]</f>
        <v>0</v>
      </c>
      <c r="I1251" s="94"/>
      <c r="J1251" s="31">
        <f>РЕАЛИЗАЦИЯ[[#This Row],[СОНИ]]*РЕАЛИЗАЦИЯ[[#This Row],[ТАННАРХ]]</f>
        <v>0</v>
      </c>
      <c r="K1251" s="31">
        <f>РЕАЛИЗАЦИЯ[[#This Row],[ЖАМИ]]-РЕАЛИЗАЦИЯ[[#This Row],[ЖАМИ2]]</f>
        <v>0</v>
      </c>
      <c r="L1251" s="31"/>
    </row>
    <row r="1252" spans="3:12" ht="15" customHeight="1" x14ac:dyDescent="0.3">
      <c r="C1252" s="103"/>
      <c r="D1252" s="103"/>
      <c r="G1252" s="50">
        <f>РЕАЛИЗАЦИЯ[[#This Row],[СОНИ]]*РЕАЛИЗАЦИЯ[[#This Row],[НАРХИ]]</f>
        <v>0</v>
      </c>
      <c r="I1252" s="94"/>
      <c r="J1252" s="31">
        <f>РЕАЛИЗАЦИЯ[[#This Row],[СОНИ]]*РЕАЛИЗАЦИЯ[[#This Row],[ТАННАРХ]]</f>
        <v>0</v>
      </c>
      <c r="K1252" s="31">
        <f>РЕАЛИЗАЦИЯ[[#This Row],[ЖАМИ]]-РЕАЛИЗАЦИЯ[[#This Row],[ЖАМИ2]]</f>
        <v>0</v>
      </c>
      <c r="L1252" s="31"/>
    </row>
    <row r="1253" spans="3:12" ht="15" customHeight="1" x14ac:dyDescent="0.3">
      <c r="C1253" s="103"/>
      <c r="D1253" s="103"/>
      <c r="G1253" s="50">
        <f>РЕАЛИЗАЦИЯ[[#This Row],[СОНИ]]*РЕАЛИЗАЦИЯ[[#This Row],[НАРХИ]]</f>
        <v>0</v>
      </c>
      <c r="I1253" s="94"/>
      <c r="J1253" s="31">
        <f>РЕАЛИЗАЦИЯ[[#This Row],[СОНИ]]*РЕАЛИЗАЦИЯ[[#This Row],[ТАННАРХ]]</f>
        <v>0</v>
      </c>
      <c r="K1253" s="31">
        <f>РЕАЛИЗАЦИЯ[[#This Row],[ЖАМИ]]-РЕАЛИЗАЦИЯ[[#This Row],[ЖАМИ2]]</f>
        <v>0</v>
      </c>
      <c r="L1253" s="31"/>
    </row>
    <row r="1254" spans="3:12" ht="15" customHeight="1" x14ac:dyDescent="0.3">
      <c r="C1254" s="103"/>
      <c r="D1254" s="103"/>
      <c r="G1254" s="50">
        <f>РЕАЛИЗАЦИЯ[[#This Row],[СОНИ]]*РЕАЛИЗАЦИЯ[[#This Row],[НАРХИ]]</f>
        <v>0</v>
      </c>
      <c r="I1254" s="94"/>
      <c r="J1254" s="31">
        <f>РЕАЛИЗАЦИЯ[[#This Row],[СОНИ]]*РЕАЛИЗАЦИЯ[[#This Row],[ТАННАРХ]]</f>
        <v>0</v>
      </c>
      <c r="K1254" s="31">
        <f>РЕАЛИЗАЦИЯ[[#This Row],[ЖАМИ]]-РЕАЛИЗАЦИЯ[[#This Row],[ЖАМИ2]]</f>
        <v>0</v>
      </c>
      <c r="L1254" s="31"/>
    </row>
    <row r="1255" spans="3:12" ht="15" customHeight="1" x14ac:dyDescent="0.3">
      <c r="C1255" s="103"/>
      <c r="D1255" s="103"/>
      <c r="G1255" s="50">
        <f>РЕАЛИЗАЦИЯ[[#This Row],[СОНИ]]*РЕАЛИЗАЦИЯ[[#This Row],[НАРХИ]]</f>
        <v>0</v>
      </c>
      <c r="I1255" s="94"/>
      <c r="J1255" s="31">
        <f>РЕАЛИЗАЦИЯ[[#This Row],[СОНИ]]*РЕАЛИЗАЦИЯ[[#This Row],[ТАННАРХ]]</f>
        <v>0</v>
      </c>
      <c r="K1255" s="31">
        <f>РЕАЛИЗАЦИЯ[[#This Row],[ЖАМИ]]-РЕАЛИЗАЦИЯ[[#This Row],[ЖАМИ2]]</f>
        <v>0</v>
      </c>
      <c r="L1255" s="31"/>
    </row>
    <row r="1256" spans="3:12" ht="15" customHeight="1" x14ac:dyDescent="0.3">
      <c r="C1256" s="103"/>
      <c r="D1256" s="103"/>
      <c r="G1256" s="50">
        <f>РЕАЛИЗАЦИЯ[[#This Row],[СОНИ]]*РЕАЛИЗАЦИЯ[[#This Row],[НАРХИ]]</f>
        <v>0</v>
      </c>
      <c r="I1256" s="94"/>
      <c r="J1256" s="31">
        <f>РЕАЛИЗАЦИЯ[[#This Row],[СОНИ]]*РЕАЛИЗАЦИЯ[[#This Row],[ТАННАРХ]]</f>
        <v>0</v>
      </c>
      <c r="K1256" s="31">
        <f>РЕАЛИЗАЦИЯ[[#This Row],[ЖАМИ]]-РЕАЛИЗАЦИЯ[[#This Row],[ЖАМИ2]]</f>
        <v>0</v>
      </c>
      <c r="L1256" s="31"/>
    </row>
    <row r="1257" spans="3:12" ht="15" customHeight="1" x14ac:dyDescent="0.3">
      <c r="C1257" s="103"/>
      <c r="D1257" s="103"/>
      <c r="G1257" s="50">
        <f>РЕАЛИЗАЦИЯ[[#This Row],[СОНИ]]*РЕАЛИЗАЦИЯ[[#This Row],[НАРХИ]]</f>
        <v>0</v>
      </c>
      <c r="I1257" s="94"/>
      <c r="J1257" s="31">
        <f>РЕАЛИЗАЦИЯ[[#This Row],[СОНИ]]*РЕАЛИЗАЦИЯ[[#This Row],[ТАННАРХ]]</f>
        <v>0</v>
      </c>
      <c r="K1257" s="31">
        <f>РЕАЛИЗАЦИЯ[[#This Row],[ЖАМИ]]-РЕАЛИЗАЦИЯ[[#This Row],[ЖАМИ2]]</f>
        <v>0</v>
      </c>
      <c r="L1257" s="31"/>
    </row>
    <row r="1258" spans="3:12" ht="15" customHeight="1" x14ac:dyDescent="0.3">
      <c r="C1258" s="103"/>
      <c r="D1258" s="103"/>
      <c r="G1258" s="50">
        <f>РЕАЛИЗАЦИЯ[[#This Row],[СОНИ]]*РЕАЛИЗАЦИЯ[[#This Row],[НАРХИ]]</f>
        <v>0</v>
      </c>
      <c r="I1258" s="94"/>
      <c r="J1258" s="31">
        <f>РЕАЛИЗАЦИЯ[[#This Row],[СОНИ]]*РЕАЛИЗАЦИЯ[[#This Row],[ТАННАРХ]]</f>
        <v>0</v>
      </c>
      <c r="K1258" s="31">
        <f>РЕАЛИЗАЦИЯ[[#This Row],[ЖАМИ]]-РЕАЛИЗАЦИЯ[[#This Row],[ЖАМИ2]]</f>
        <v>0</v>
      </c>
      <c r="L1258" s="31"/>
    </row>
    <row r="1259" spans="3:12" ht="15" customHeight="1" x14ac:dyDescent="0.3">
      <c r="C1259" s="103"/>
      <c r="D1259" s="103"/>
      <c r="G1259" s="50">
        <f>РЕАЛИЗАЦИЯ[[#This Row],[СОНИ]]*РЕАЛИЗАЦИЯ[[#This Row],[НАРХИ]]</f>
        <v>0</v>
      </c>
      <c r="I1259" s="94"/>
      <c r="J1259" s="31">
        <f>РЕАЛИЗАЦИЯ[[#This Row],[СОНИ]]*РЕАЛИЗАЦИЯ[[#This Row],[ТАННАРХ]]</f>
        <v>0</v>
      </c>
      <c r="K1259" s="31">
        <f>РЕАЛИЗАЦИЯ[[#This Row],[ЖАМИ]]-РЕАЛИЗАЦИЯ[[#This Row],[ЖАМИ2]]</f>
        <v>0</v>
      </c>
      <c r="L1259" s="31"/>
    </row>
    <row r="1260" spans="3:12" ht="15" customHeight="1" x14ac:dyDescent="0.3">
      <c r="C1260" s="103"/>
      <c r="D1260" s="103"/>
      <c r="G1260" s="50">
        <f>РЕАЛИЗАЦИЯ[[#This Row],[СОНИ]]*РЕАЛИЗАЦИЯ[[#This Row],[НАРХИ]]</f>
        <v>0</v>
      </c>
      <c r="I1260" s="94"/>
      <c r="J1260" s="31">
        <f>РЕАЛИЗАЦИЯ[[#This Row],[СОНИ]]*РЕАЛИЗАЦИЯ[[#This Row],[ТАННАРХ]]</f>
        <v>0</v>
      </c>
      <c r="K1260" s="31">
        <f>РЕАЛИЗАЦИЯ[[#This Row],[ЖАМИ]]-РЕАЛИЗАЦИЯ[[#This Row],[ЖАМИ2]]</f>
        <v>0</v>
      </c>
      <c r="L1260" s="31"/>
    </row>
    <row r="1261" spans="3:12" ht="15" customHeight="1" x14ac:dyDescent="0.3">
      <c r="C1261" s="103"/>
      <c r="D1261" s="103"/>
      <c r="G1261" s="50">
        <f>РЕАЛИЗАЦИЯ[[#This Row],[СОНИ]]*РЕАЛИЗАЦИЯ[[#This Row],[НАРХИ]]</f>
        <v>0</v>
      </c>
      <c r="I1261" s="94"/>
      <c r="J1261" s="31">
        <f>РЕАЛИЗАЦИЯ[[#This Row],[СОНИ]]*РЕАЛИЗАЦИЯ[[#This Row],[ТАННАРХ]]</f>
        <v>0</v>
      </c>
      <c r="K1261" s="31">
        <f>РЕАЛИЗАЦИЯ[[#This Row],[ЖАМИ]]-РЕАЛИЗАЦИЯ[[#This Row],[ЖАМИ2]]</f>
        <v>0</v>
      </c>
      <c r="L1261" s="31"/>
    </row>
    <row r="1262" spans="3:12" ht="15" customHeight="1" x14ac:dyDescent="0.3">
      <c r="C1262" s="103"/>
      <c r="D1262" s="103"/>
      <c r="G1262" s="50">
        <f>РЕАЛИЗАЦИЯ[[#This Row],[СОНИ]]*РЕАЛИЗАЦИЯ[[#This Row],[НАРХИ]]</f>
        <v>0</v>
      </c>
      <c r="I1262" s="94"/>
      <c r="J1262" s="31">
        <f>РЕАЛИЗАЦИЯ[[#This Row],[СОНИ]]*РЕАЛИЗАЦИЯ[[#This Row],[ТАННАРХ]]</f>
        <v>0</v>
      </c>
      <c r="K1262" s="31">
        <f>РЕАЛИЗАЦИЯ[[#This Row],[ЖАМИ]]-РЕАЛИЗАЦИЯ[[#This Row],[ЖАМИ2]]</f>
        <v>0</v>
      </c>
      <c r="L1262" s="31"/>
    </row>
    <row r="1263" spans="3:12" ht="15" customHeight="1" x14ac:dyDescent="0.3">
      <c r="C1263" s="103"/>
      <c r="D1263" s="103"/>
      <c r="G1263" s="50">
        <f>РЕАЛИЗАЦИЯ[[#This Row],[СОНИ]]*РЕАЛИЗАЦИЯ[[#This Row],[НАРХИ]]</f>
        <v>0</v>
      </c>
      <c r="I1263" s="94"/>
      <c r="J1263" s="31">
        <f>РЕАЛИЗАЦИЯ[[#This Row],[СОНИ]]*РЕАЛИЗАЦИЯ[[#This Row],[ТАННАРХ]]</f>
        <v>0</v>
      </c>
      <c r="K1263" s="31">
        <f>РЕАЛИЗАЦИЯ[[#This Row],[ЖАМИ]]-РЕАЛИЗАЦИЯ[[#This Row],[ЖАМИ2]]</f>
        <v>0</v>
      </c>
      <c r="L1263" s="31"/>
    </row>
    <row r="1264" spans="3:12" ht="15" customHeight="1" x14ac:dyDescent="0.3">
      <c r="C1264" s="103"/>
      <c r="D1264" s="103"/>
      <c r="G1264" s="50">
        <f>РЕАЛИЗАЦИЯ[[#This Row],[СОНИ]]*РЕАЛИЗАЦИЯ[[#This Row],[НАРХИ]]</f>
        <v>0</v>
      </c>
      <c r="I1264" s="94"/>
      <c r="J1264" s="31">
        <f>РЕАЛИЗАЦИЯ[[#This Row],[СОНИ]]*РЕАЛИЗАЦИЯ[[#This Row],[ТАННАРХ]]</f>
        <v>0</v>
      </c>
      <c r="K1264" s="31">
        <f>РЕАЛИЗАЦИЯ[[#This Row],[ЖАМИ]]-РЕАЛИЗАЦИЯ[[#This Row],[ЖАМИ2]]</f>
        <v>0</v>
      </c>
      <c r="L1264" s="31"/>
    </row>
    <row r="1265" spans="3:12" ht="15" customHeight="1" x14ac:dyDescent="0.3">
      <c r="C1265" s="103"/>
      <c r="D1265" s="103"/>
      <c r="G1265" s="50">
        <f>РЕАЛИЗАЦИЯ[[#This Row],[СОНИ]]*РЕАЛИЗАЦИЯ[[#This Row],[НАРХИ]]</f>
        <v>0</v>
      </c>
      <c r="I1265" s="94"/>
      <c r="J1265" s="31">
        <f>РЕАЛИЗАЦИЯ[[#This Row],[СОНИ]]*РЕАЛИЗАЦИЯ[[#This Row],[ТАННАРХ]]</f>
        <v>0</v>
      </c>
      <c r="K1265" s="31">
        <f>РЕАЛИЗАЦИЯ[[#This Row],[ЖАМИ]]-РЕАЛИЗАЦИЯ[[#This Row],[ЖАМИ2]]</f>
        <v>0</v>
      </c>
      <c r="L1265" s="31"/>
    </row>
    <row r="1266" spans="3:12" ht="15" customHeight="1" x14ac:dyDescent="0.3">
      <c r="C1266" s="103"/>
      <c r="D1266" s="103"/>
      <c r="G1266" s="50">
        <f>РЕАЛИЗАЦИЯ[[#This Row],[СОНИ]]*РЕАЛИЗАЦИЯ[[#This Row],[НАРХИ]]</f>
        <v>0</v>
      </c>
      <c r="I1266" s="94"/>
      <c r="J1266" s="31">
        <f>РЕАЛИЗАЦИЯ[[#This Row],[СОНИ]]*РЕАЛИЗАЦИЯ[[#This Row],[ТАННАРХ]]</f>
        <v>0</v>
      </c>
      <c r="K1266" s="31">
        <f>РЕАЛИЗАЦИЯ[[#This Row],[ЖАМИ]]-РЕАЛИЗАЦИЯ[[#This Row],[ЖАМИ2]]</f>
        <v>0</v>
      </c>
      <c r="L1266" s="31"/>
    </row>
    <row r="1267" spans="3:12" ht="15" customHeight="1" x14ac:dyDescent="0.3">
      <c r="C1267" s="103"/>
      <c r="D1267" s="103"/>
      <c r="G1267" s="50">
        <f>РЕАЛИЗАЦИЯ[[#This Row],[СОНИ]]*РЕАЛИЗАЦИЯ[[#This Row],[НАРХИ]]</f>
        <v>0</v>
      </c>
      <c r="I1267" s="94"/>
      <c r="J1267" s="31">
        <f>РЕАЛИЗАЦИЯ[[#This Row],[СОНИ]]*РЕАЛИЗАЦИЯ[[#This Row],[ТАННАРХ]]</f>
        <v>0</v>
      </c>
      <c r="K1267" s="31">
        <f>РЕАЛИЗАЦИЯ[[#This Row],[ЖАМИ]]-РЕАЛИЗАЦИЯ[[#This Row],[ЖАМИ2]]</f>
        <v>0</v>
      </c>
      <c r="L1267" s="31"/>
    </row>
    <row r="1268" spans="3:12" ht="15" customHeight="1" x14ac:dyDescent="0.3">
      <c r="C1268" s="103"/>
      <c r="D1268" s="103"/>
      <c r="G1268" s="50">
        <f>РЕАЛИЗАЦИЯ[[#This Row],[СОНИ]]*РЕАЛИЗАЦИЯ[[#This Row],[НАРХИ]]</f>
        <v>0</v>
      </c>
      <c r="I1268" s="94"/>
      <c r="J1268" s="31">
        <f>РЕАЛИЗАЦИЯ[[#This Row],[СОНИ]]*РЕАЛИЗАЦИЯ[[#This Row],[ТАННАРХ]]</f>
        <v>0</v>
      </c>
      <c r="K1268" s="31">
        <f>РЕАЛИЗАЦИЯ[[#This Row],[ЖАМИ]]-РЕАЛИЗАЦИЯ[[#This Row],[ЖАМИ2]]</f>
        <v>0</v>
      </c>
      <c r="L1268" s="31"/>
    </row>
    <row r="1269" spans="3:12" ht="15" customHeight="1" x14ac:dyDescent="0.3">
      <c r="C1269" s="103"/>
      <c r="D1269" s="103"/>
      <c r="G1269" s="50">
        <f>РЕАЛИЗАЦИЯ[[#This Row],[СОНИ]]*РЕАЛИЗАЦИЯ[[#This Row],[НАРХИ]]</f>
        <v>0</v>
      </c>
      <c r="I1269" s="94"/>
      <c r="J1269" s="31">
        <f>РЕАЛИЗАЦИЯ[[#This Row],[СОНИ]]*РЕАЛИЗАЦИЯ[[#This Row],[ТАННАРХ]]</f>
        <v>0</v>
      </c>
      <c r="K1269" s="31">
        <f>РЕАЛИЗАЦИЯ[[#This Row],[ЖАМИ]]-РЕАЛИЗАЦИЯ[[#This Row],[ЖАМИ2]]</f>
        <v>0</v>
      </c>
      <c r="L1269" s="31"/>
    </row>
    <row r="1270" spans="3:12" ht="15" customHeight="1" x14ac:dyDescent="0.3">
      <c r="C1270" s="103"/>
      <c r="D1270" s="103"/>
      <c r="G1270" s="50">
        <f>РЕАЛИЗАЦИЯ[[#This Row],[СОНИ]]*РЕАЛИЗАЦИЯ[[#This Row],[НАРХИ]]</f>
        <v>0</v>
      </c>
      <c r="I1270" s="94"/>
      <c r="J1270" s="31">
        <f>РЕАЛИЗАЦИЯ[[#This Row],[СОНИ]]*РЕАЛИЗАЦИЯ[[#This Row],[ТАННАРХ]]</f>
        <v>0</v>
      </c>
      <c r="K1270" s="31">
        <f>РЕАЛИЗАЦИЯ[[#This Row],[ЖАМИ]]-РЕАЛИЗАЦИЯ[[#This Row],[ЖАМИ2]]</f>
        <v>0</v>
      </c>
      <c r="L1270" s="31"/>
    </row>
    <row r="1271" spans="3:12" ht="15" customHeight="1" x14ac:dyDescent="0.3">
      <c r="C1271" s="103"/>
      <c r="D1271" s="103"/>
      <c r="G1271" s="50">
        <f>РЕАЛИЗАЦИЯ[[#This Row],[СОНИ]]*РЕАЛИЗАЦИЯ[[#This Row],[НАРХИ]]</f>
        <v>0</v>
      </c>
      <c r="I1271" s="94"/>
      <c r="J1271" s="31">
        <f>РЕАЛИЗАЦИЯ[[#This Row],[СОНИ]]*РЕАЛИЗАЦИЯ[[#This Row],[ТАННАРХ]]</f>
        <v>0</v>
      </c>
      <c r="K1271" s="31">
        <f>РЕАЛИЗАЦИЯ[[#This Row],[ЖАМИ]]-РЕАЛИЗАЦИЯ[[#This Row],[ЖАМИ2]]</f>
        <v>0</v>
      </c>
      <c r="L1271" s="31"/>
    </row>
    <row r="1272" spans="3:12" ht="15" customHeight="1" x14ac:dyDescent="0.3">
      <c r="C1272" s="103"/>
      <c r="D1272" s="103"/>
      <c r="G1272" s="50">
        <f>РЕАЛИЗАЦИЯ[[#This Row],[СОНИ]]*РЕАЛИЗАЦИЯ[[#This Row],[НАРХИ]]</f>
        <v>0</v>
      </c>
      <c r="I1272" s="94"/>
      <c r="J1272" s="31">
        <f>РЕАЛИЗАЦИЯ[[#This Row],[СОНИ]]*РЕАЛИЗАЦИЯ[[#This Row],[ТАННАРХ]]</f>
        <v>0</v>
      </c>
      <c r="K1272" s="31">
        <f>РЕАЛИЗАЦИЯ[[#This Row],[ЖАМИ]]-РЕАЛИЗАЦИЯ[[#This Row],[ЖАМИ2]]</f>
        <v>0</v>
      </c>
      <c r="L1272" s="31"/>
    </row>
    <row r="1273" spans="3:12" ht="15" customHeight="1" x14ac:dyDescent="0.3">
      <c r="C1273" s="103"/>
      <c r="D1273" s="103"/>
      <c r="G1273" s="50">
        <f>РЕАЛИЗАЦИЯ[[#This Row],[СОНИ]]*РЕАЛИЗАЦИЯ[[#This Row],[НАРХИ]]</f>
        <v>0</v>
      </c>
      <c r="I1273" s="94"/>
      <c r="J1273" s="31">
        <f>РЕАЛИЗАЦИЯ[[#This Row],[СОНИ]]*РЕАЛИЗАЦИЯ[[#This Row],[ТАННАРХ]]</f>
        <v>0</v>
      </c>
      <c r="K1273" s="31">
        <f>РЕАЛИЗАЦИЯ[[#This Row],[ЖАМИ]]-РЕАЛИЗАЦИЯ[[#This Row],[ЖАМИ2]]</f>
        <v>0</v>
      </c>
      <c r="L1273" s="31"/>
    </row>
    <row r="1274" spans="3:12" ht="15" customHeight="1" x14ac:dyDescent="0.3">
      <c r="C1274" s="103"/>
      <c r="D1274" s="103"/>
      <c r="G1274" s="50">
        <f>РЕАЛИЗАЦИЯ[[#This Row],[СОНИ]]*РЕАЛИЗАЦИЯ[[#This Row],[НАРХИ]]</f>
        <v>0</v>
      </c>
      <c r="I1274" s="94"/>
      <c r="J1274" s="31">
        <f>РЕАЛИЗАЦИЯ[[#This Row],[СОНИ]]*РЕАЛИЗАЦИЯ[[#This Row],[ТАННАРХ]]</f>
        <v>0</v>
      </c>
      <c r="K1274" s="31">
        <f>РЕАЛИЗАЦИЯ[[#This Row],[ЖАМИ]]-РЕАЛИЗАЦИЯ[[#This Row],[ЖАМИ2]]</f>
        <v>0</v>
      </c>
      <c r="L1274" s="31"/>
    </row>
    <row r="1275" spans="3:12" ht="15" customHeight="1" x14ac:dyDescent="0.3">
      <c r="C1275" s="103"/>
      <c r="D1275" s="103"/>
      <c r="G1275" s="50">
        <f>РЕАЛИЗАЦИЯ[[#This Row],[СОНИ]]*РЕАЛИЗАЦИЯ[[#This Row],[НАРХИ]]</f>
        <v>0</v>
      </c>
      <c r="I1275" s="94"/>
      <c r="J1275" s="31">
        <f>РЕАЛИЗАЦИЯ[[#This Row],[СОНИ]]*РЕАЛИЗАЦИЯ[[#This Row],[ТАННАРХ]]</f>
        <v>0</v>
      </c>
      <c r="K1275" s="31">
        <f>РЕАЛИЗАЦИЯ[[#This Row],[ЖАМИ]]-РЕАЛИЗАЦИЯ[[#This Row],[ЖАМИ2]]</f>
        <v>0</v>
      </c>
      <c r="L1275" s="31"/>
    </row>
    <row r="1276" spans="3:12" ht="15" customHeight="1" x14ac:dyDescent="0.3">
      <c r="C1276" s="103"/>
      <c r="D1276" s="103"/>
      <c r="G1276" s="50">
        <f>РЕАЛИЗАЦИЯ[[#This Row],[СОНИ]]*РЕАЛИЗАЦИЯ[[#This Row],[НАРХИ]]</f>
        <v>0</v>
      </c>
      <c r="I1276" s="94"/>
      <c r="J1276" s="31">
        <f>РЕАЛИЗАЦИЯ[[#This Row],[СОНИ]]*РЕАЛИЗАЦИЯ[[#This Row],[ТАННАРХ]]</f>
        <v>0</v>
      </c>
      <c r="K1276" s="31">
        <f>РЕАЛИЗАЦИЯ[[#This Row],[ЖАМИ]]-РЕАЛИЗАЦИЯ[[#This Row],[ЖАМИ2]]</f>
        <v>0</v>
      </c>
      <c r="L1276" s="31"/>
    </row>
    <row r="1277" spans="3:12" ht="15" customHeight="1" x14ac:dyDescent="0.3">
      <c r="C1277" s="103"/>
      <c r="D1277" s="103"/>
      <c r="G1277" s="50">
        <f>РЕАЛИЗАЦИЯ[[#This Row],[СОНИ]]*РЕАЛИЗАЦИЯ[[#This Row],[НАРХИ]]</f>
        <v>0</v>
      </c>
      <c r="I1277" s="94"/>
      <c r="J1277" s="31">
        <f>РЕАЛИЗАЦИЯ[[#This Row],[СОНИ]]*РЕАЛИЗАЦИЯ[[#This Row],[ТАННАРХ]]</f>
        <v>0</v>
      </c>
      <c r="K1277" s="31">
        <f>РЕАЛИЗАЦИЯ[[#This Row],[ЖАМИ]]-РЕАЛИЗАЦИЯ[[#This Row],[ЖАМИ2]]</f>
        <v>0</v>
      </c>
      <c r="L1277" s="31"/>
    </row>
    <row r="1278" spans="3:12" ht="15" customHeight="1" x14ac:dyDescent="0.3">
      <c r="C1278" s="103"/>
      <c r="D1278" s="103"/>
      <c r="G1278" s="50">
        <f>РЕАЛИЗАЦИЯ[[#This Row],[СОНИ]]*РЕАЛИЗАЦИЯ[[#This Row],[НАРХИ]]</f>
        <v>0</v>
      </c>
      <c r="I1278" s="94"/>
      <c r="J1278" s="31">
        <f>РЕАЛИЗАЦИЯ[[#This Row],[СОНИ]]*РЕАЛИЗАЦИЯ[[#This Row],[ТАННАРХ]]</f>
        <v>0</v>
      </c>
      <c r="K1278" s="31">
        <f>РЕАЛИЗАЦИЯ[[#This Row],[ЖАМИ]]-РЕАЛИЗАЦИЯ[[#This Row],[ЖАМИ2]]</f>
        <v>0</v>
      </c>
      <c r="L1278" s="31"/>
    </row>
    <row r="1279" spans="3:12" ht="15" customHeight="1" x14ac:dyDescent="0.3">
      <c r="C1279" s="103"/>
      <c r="D1279" s="103"/>
      <c r="G1279" s="50">
        <f>РЕАЛИЗАЦИЯ[[#This Row],[СОНИ]]*РЕАЛИЗАЦИЯ[[#This Row],[НАРХИ]]</f>
        <v>0</v>
      </c>
      <c r="I1279" s="94"/>
      <c r="J1279" s="31">
        <f>РЕАЛИЗАЦИЯ[[#This Row],[СОНИ]]*РЕАЛИЗАЦИЯ[[#This Row],[ТАННАРХ]]</f>
        <v>0</v>
      </c>
      <c r="K1279" s="31">
        <f>РЕАЛИЗАЦИЯ[[#This Row],[ЖАМИ]]-РЕАЛИЗАЦИЯ[[#This Row],[ЖАМИ2]]</f>
        <v>0</v>
      </c>
      <c r="L1279" s="31"/>
    </row>
    <row r="1280" spans="3:12" ht="15" customHeight="1" x14ac:dyDescent="0.3">
      <c r="C1280" s="103"/>
      <c r="D1280" s="103"/>
      <c r="G1280" s="50">
        <f>РЕАЛИЗАЦИЯ[[#This Row],[СОНИ]]*РЕАЛИЗАЦИЯ[[#This Row],[НАРХИ]]</f>
        <v>0</v>
      </c>
      <c r="I1280" s="94"/>
      <c r="J1280" s="31">
        <f>РЕАЛИЗАЦИЯ[[#This Row],[СОНИ]]*РЕАЛИЗАЦИЯ[[#This Row],[ТАННАРХ]]</f>
        <v>0</v>
      </c>
      <c r="K1280" s="31">
        <f>РЕАЛИЗАЦИЯ[[#This Row],[ЖАМИ]]-РЕАЛИЗАЦИЯ[[#This Row],[ЖАМИ2]]</f>
        <v>0</v>
      </c>
      <c r="L1280" s="31"/>
    </row>
    <row r="1281" spans="3:12" ht="15" customHeight="1" x14ac:dyDescent="0.3">
      <c r="C1281" s="107"/>
      <c r="D1281" s="107"/>
      <c r="G1281" s="50">
        <f>РЕАЛИЗАЦИЯ[[#This Row],[СОНИ]]*РЕАЛИЗАЦИЯ[[#This Row],[НАРХИ]]</f>
        <v>0</v>
      </c>
      <c r="I1281" s="94"/>
      <c r="J1281" s="31">
        <f>РЕАЛИЗАЦИЯ[[#This Row],[СОНИ]]*РЕАЛИЗАЦИЯ[[#This Row],[ТАННАРХ]]</f>
        <v>0</v>
      </c>
      <c r="K1281" s="31">
        <f>РЕАЛИЗАЦИЯ[[#This Row],[ЖАМИ]]-РЕАЛИЗАЦИЯ[[#This Row],[ЖАМИ2]]</f>
        <v>0</v>
      </c>
      <c r="L1281" s="31"/>
    </row>
    <row r="1282" spans="3:12" ht="15" customHeight="1" x14ac:dyDescent="0.3">
      <c r="C1282" s="107"/>
      <c r="D1282" s="107"/>
      <c r="G1282" s="50">
        <f>РЕАЛИЗАЦИЯ[[#This Row],[СОНИ]]*РЕАЛИЗАЦИЯ[[#This Row],[НАРХИ]]</f>
        <v>0</v>
      </c>
      <c r="I1282" s="94"/>
      <c r="J1282" s="31">
        <f>РЕАЛИЗАЦИЯ[[#This Row],[СОНИ]]*РЕАЛИЗАЦИЯ[[#This Row],[ТАННАРХ]]</f>
        <v>0</v>
      </c>
      <c r="K1282" s="31">
        <f>РЕАЛИЗАЦИЯ[[#This Row],[ЖАМИ]]-РЕАЛИЗАЦИЯ[[#This Row],[ЖАМИ2]]</f>
        <v>0</v>
      </c>
      <c r="L1282" s="31"/>
    </row>
    <row r="1283" spans="3:12" ht="15" customHeight="1" x14ac:dyDescent="0.3">
      <c r="C1283" s="107"/>
      <c r="D1283" s="107"/>
      <c r="G1283" s="50">
        <f>РЕАЛИЗАЦИЯ[[#This Row],[СОНИ]]*РЕАЛИЗАЦИЯ[[#This Row],[НАРХИ]]</f>
        <v>0</v>
      </c>
      <c r="I1283" s="94"/>
      <c r="J1283" s="31">
        <f>РЕАЛИЗАЦИЯ[[#This Row],[СОНИ]]*РЕАЛИЗАЦИЯ[[#This Row],[ТАННАРХ]]</f>
        <v>0</v>
      </c>
      <c r="K1283" s="31">
        <f>РЕАЛИЗАЦИЯ[[#This Row],[ЖАМИ]]-РЕАЛИЗАЦИЯ[[#This Row],[ЖАМИ2]]</f>
        <v>0</v>
      </c>
      <c r="L1283" s="31"/>
    </row>
    <row r="1284" spans="3:12" ht="15" customHeight="1" x14ac:dyDescent="0.3">
      <c r="C1284" s="107"/>
      <c r="D1284" s="107"/>
      <c r="G1284" s="50">
        <f>РЕАЛИЗАЦИЯ[[#This Row],[СОНИ]]*РЕАЛИЗАЦИЯ[[#This Row],[НАРХИ]]</f>
        <v>0</v>
      </c>
      <c r="I1284" s="94"/>
      <c r="J1284" s="31">
        <f>РЕАЛИЗАЦИЯ[[#This Row],[СОНИ]]*РЕАЛИЗАЦИЯ[[#This Row],[ТАННАРХ]]</f>
        <v>0</v>
      </c>
      <c r="K1284" s="31">
        <f>РЕАЛИЗАЦИЯ[[#This Row],[ЖАМИ]]-РЕАЛИЗАЦИЯ[[#This Row],[ЖАМИ2]]</f>
        <v>0</v>
      </c>
      <c r="L1284" s="31"/>
    </row>
    <row r="1285" spans="3:12" ht="15" customHeight="1" x14ac:dyDescent="0.3">
      <c r="C1285" s="107"/>
      <c r="D1285" s="107"/>
      <c r="G1285" s="50">
        <f>РЕАЛИЗАЦИЯ[[#This Row],[СОНИ]]*РЕАЛИЗАЦИЯ[[#This Row],[НАРХИ]]</f>
        <v>0</v>
      </c>
      <c r="I1285" s="94"/>
      <c r="J1285" s="31">
        <f>РЕАЛИЗАЦИЯ[[#This Row],[СОНИ]]*РЕАЛИЗАЦИЯ[[#This Row],[ТАННАРХ]]</f>
        <v>0</v>
      </c>
      <c r="K1285" s="31">
        <f>РЕАЛИЗАЦИЯ[[#This Row],[ЖАМИ]]-РЕАЛИЗАЦИЯ[[#This Row],[ЖАМИ2]]</f>
        <v>0</v>
      </c>
      <c r="L1285" s="31"/>
    </row>
    <row r="1286" spans="3:12" ht="15" customHeight="1" x14ac:dyDescent="0.3">
      <c r="C1286" s="107"/>
      <c r="D1286" s="107"/>
      <c r="G1286" s="50">
        <f>РЕАЛИЗАЦИЯ[[#This Row],[СОНИ]]*РЕАЛИЗАЦИЯ[[#This Row],[НАРХИ]]</f>
        <v>0</v>
      </c>
      <c r="I1286" s="94"/>
      <c r="J1286" s="31">
        <f>РЕАЛИЗАЦИЯ[[#This Row],[СОНИ]]*РЕАЛИЗАЦИЯ[[#This Row],[ТАННАРХ]]</f>
        <v>0</v>
      </c>
      <c r="K1286" s="31">
        <f>РЕАЛИЗАЦИЯ[[#This Row],[ЖАМИ]]-РЕАЛИЗАЦИЯ[[#This Row],[ЖАМИ2]]</f>
        <v>0</v>
      </c>
      <c r="L1286" s="31"/>
    </row>
    <row r="1287" spans="3:12" ht="15" customHeight="1" x14ac:dyDescent="0.3">
      <c r="C1287" s="107"/>
      <c r="D1287" s="107"/>
      <c r="G1287" s="50">
        <f>РЕАЛИЗАЦИЯ[[#This Row],[СОНИ]]*РЕАЛИЗАЦИЯ[[#This Row],[НАРХИ]]</f>
        <v>0</v>
      </c>
      <c r="I1287" s="94"/>
      <c r="J1287" s="31">
        <f>РЕАЛИЗАЦИЯ[[#This Row],[СОНИ]]*РЕАЛИЗАЦИЯ[[#This Row],[ТАННАРХ]]</f>
        <v>0</v>
      </c>
      <c r="K1287" s="31">
        <f>РЕАЛИЗАЦИЯ[[#This Row],[ЖАМИ]]-РЕАЛИЗАЦИЯ[[#This Row],[ЖАМИ2]]</f>
        <v>0</v>
      </c>
      <c r="L1287" s="31"/>
    </row>
    <row r="1288" spans="3:12" ht="15" customHeight="1" x14ac:dyDescent="0.3">
      <c r="C1288" s="107"/>
      <c r="D1288" s="107"/>
      <c r="G1288" s="50">
        <f>РЕАЛИЗАЦИЯ[[#This Row],[СОНИ]]*РЕАЛИЗАЦИЯ[[#This Row],[НАРХИ]]</f>
        <v>0</v>
      </c>
      <c r="I1288" s="94"/>
      <c r="J1288" s="31">
        <f>РЕАЛИЗАЦИЯ[[#This Row],[СОНИ]]*РЕАЛИЗАЦИЯ[[#This Row],[ТАННАРХ]]</f>
        <v>0</v>
      </c>
      <c r="K1288" s="31">
        <f>РЕАЛИЗАЦИЯ[[#This Row],[ЖАМИ]]-РЕАЛИЗАЦИЯ[[#This Row],[ЖАМИ2]]</f>
        <v>0</v>
      </c>
      <c r="L1288" s="31"/>
    </row>
    <row r="1289" spans="3:12" ht="15" customHeight="1" x14ac:dyDescent="0.3">
      <c r="C1289" s="107"/>
      <c r="D1289" s="107"/>
      <c r="G1289" s="50">
        <f>РЕАЛИЗАЦИЯ[[#This Row],[СОНИ]]*РЕАЛИЗАЦИЯ[[#This Row],[НАРХИ]]</f>
        <v>0</v>
      </c>
      <c r="I1289" s="94"/>
      <c r="J1289" s="31">
        <f>РЕАЛИЗАЦИЯ[[#This Row],[СОНИ]]*РЕАЛИЗАЦИЯ[[#This Row],[ТАННАРХ]]</f>
        <v>0</v>
      </c>
      <c r="K1289" s="31">
        <f>РЕАЛИЗАЦИЯ[[#This Row],[ЖАМИ]]-РЕАЛИЗАЦИЯ[[#This Row],[ЖАМИ2]]</f>
        <v>0</v>
      </c>
      <c r="L1289" s="31"/>
    </row>
    <row r="1290" spans="3:12" ht="15" customHeight="1" x14ac:dyDescent="0.3">
      <c r="C1290" s="107"/>
      <c r="D1290" s="107"/>
      <c r="G1290" s="50">
        <f>РЕАЛИЗАЦИЯ[[#This Row],[СОНИ]]*РЕАЛИЗАЦИЯ[[#This Row],[НАРХИ]]</f>
        <v>0</v>
      </c>
      <c r="I1290" s="94"/>
      <c r="J1290" s="31">
        <f>РЕАЛИЗАЦИЯ[[#This Row],[СОНИ]]*РЕАЛИЗАЦИЯ[[#This Row],[ТАННАРХ]]</f>
        <v>0</v>
      </c>
      <c r="K1290" s="31">
        <f>РЕАЛИЗАЦИЯ[[#This Row],[ЖАМИ]]-РЕАЛИЗАЦИЯ[[#This Row],[ЖАМИ2]]</f>
        <v>0</v>
      </c>
      <c r="L1290" s="31"/>
    </row>
    <row r="1291" spans="3:12" ht="15" customHeight="1" x14ac:dyDescent="0.3">
      <c r="C1291" s="107"/>
      <c r="D1291" s="107"/>
      <c r="G1291" s="50">
        <f>РЕАЛИЗАЦИЯ[[#This Row],[СОНИ]]*РЕАЛИЗАЦИЯ[[#This Row],[НАРХИ]]</f>
        <v>0</v>
      </c>
      <c r="I1291" s="94"/>
      <c r="J1291" s="31">
        <f>РЕАЛИЗАЦИЯ[[#This Row],[СОНИ]]*РЕАЛИЗАЦИЯ[[#This Row],[ТАННАРХ]]</f>
        <v>0</v>
      </c>
      <c r="K1291" s="31">
        <f>РЕАЛИЗАЦИЯ[[#This Row],[ЖАМИ]]-РЕАЛИЗАЦИЯ[[#This Row],[ЖАМИ2]]</f>
        <v>0</v>
      </c>
      <c r="L1291" s="31"/>
    </row>
    <row r="1292" spans="3:12" ht="15" customHeight="1" x14ac:dyDescent="0.3">
      <c r="C1292" s="107"/>
      <c r="D1292" s="107"/>
      <c r="G1292" s="50">
        <f>РЕАЛИЗАЦИЯ[[#This Row],[СОНИ]]*РЕАЛИЗАЦИЯ[[#This Row],[НАРХИ]]</f>
        <v>0</v>
      </c>
      <c r="I1292" s="94"/>
      <c r="J1292" s="31">
        <f>РЕАЛИЗАЦИЯ[[#This Row],[СОНИ]]*РЕАЛИЗАЦИЯ[[#This Row],[ТАННАРХ]]</f>
        <v>0</v>
      </c>
      <c r="K1292" s="31">
        <f>РЕАЛИЗАЦИЯ[[#This Row],[ЖАМИ]]-РЕАЛИЗАЦИЯ[[#This Row],[ЖАМИ2]]</f>
        <v>0</v>
      </c>
      <c r="L1292" s="31"/>
    </row>
    <row r="1293" spans="3:12" ht="15" customHeight="1" x14ac:dyDescent="0.3">
      <c r="C1293" s="107"/>
      <c r="D1293" s="107"/>
      <c r="G1293" s="50">
        <f>РЕАЛИЗАЦИЯ[[#This Row],[СОНИ]]*РЕАЛИЗАЦИЯ[[#This Row],[НАРХИ]]</f>
        <v>0</v>
      </c>
      <c r="I1293" s="94"/>
      <c r="J1293" s="31">
        <f>РЕАЛИЗАЦИЯ[[#This Row],[СОНИ]]*РЕАЛИЗАЦИЯ[[#This Row],[ТАННАРХ]]</f>
        <v>0</v>
      </c>
      <c r="K1293" s="31">
        <f>РЕАЛИЗАЦИЯ[[#This Row],[ЖАМИ]]-РЕАЛИЗАЦИЯ[[#This Row],[ЖАМИ2]]</f>
        <v>0</v>
      </c>
      <c r="L1293" s="31"/>
    </row>
    <row r="1294" spans="3:12" ht="15" customHeight="1" x14ac:dyDescent="0.3">
      <c r="C1294" s="107"/>
      <c r="D1294" s="107"/>
      <c r="G1294" s="50">
        <f>РЕАЛИЗАЦИЯ[[#This Row],[СОНИ]]*РЕАЛИЗАЦИЯ[[#This Row],[НАРХИ]]</f>
        <v>0</v>
      </c>
      <c r="I1294" s="94"/>
      <c r="J1294" s="31">
        <f>РЕАЛИЗАЦИЯ[[#This Row],[СОНИ]]*РЕАЛИЗАЦИЯ[[#This Row],[ТАННАРХ]]</f>
        <v>0</v>
      </c>
      <c r="K1294" s="31">
        <f>РЕАЛИЗАЦИЯ[[#This Row],[ЖАМИ]]-РЕАЛИЗАЦИЯ[[#This Row],[ЖАМИ2]]</f>
        <v>0</v>
      </c>
      <c r="L1294" s="31"/>
    </row>
    <row r="1295" spans="3:12" ht="15" customHeight="1" x14ac:dyDescent="0.3">
      <c r="C1295" s="107"/>
      <c r="D1295" s="107"/>
      <c r="G1295" s="50">
        <f>РЕАЛИЗАЦИЯ[[#This Row],[СОНИ]]*РЕАЛИЗАЦИЯ[[#This Row],[НАРХИ]]</f>
        <v>0</v>
      </c>
      <c r="I1295" s="94"/>
      <c r="J1295" s="31">
        <f>РЕАЛИЗАЦИЯ[[#This Row],[СОНИ]]*РЕАЛИЗАЦИЯ[[#This Row],[ТАННАРХ]]</f>
        <v>0</v>
      </c>
      <c r="K1295" s="31">
        <f>РЕАЛИЗАЦИЯ[[#This Row],[ЖАМИ]]-РЕАЛИЗАЦИЯ[[#This Row],[ЖАМИ2]]</f>
        <v>0</v>
      </c>
      <c r="L1295" s="31"/>
    </row>
    <row r="1296" spans="3:12" ht="15" customHeight="1" x14ac:dyDescent="0.3">
      <c r="C1296" s="107"/>
      <c r="D1296" s="107"/>
      <c r="G1296" s="50">
        <f>РЕАЛИЗАЦИЯ[[#This Row],[СОНИ]]*РЕАЛИЗАЦИЯ[[#This Row],[НАРХИ]]</f>
        <v>0</v>
      </c>
      <c r="I1296" s="94"/>
      <c r="J1296" s="31">
        <f>РЕАЛИЗАЦИЯ[[#This Row],[СОНИ]]*РЕАЛИЗАЦИЯ[[#This Row],[ТАННАРХ]]</f>
        <v>0</v>
      </c>
      <c r="K1296" s="31">
        <f>РЕАЛИЗАЦИЯ[[#This Row],[ЖАМИ]]-РЕАЛИЗАЦИЯ[[#This Row],[ЖАМИ2]]</f>
        <v>0</v>
      </c>
      <c r="L1296" s="31"/>
    </row>
    <row r="1297" spans="3:12" ht="15" customHeight="1" x14ac:dyDescent="0.3">
      <c r="C1297" s="107"/>
      <c r="D1297" s="107"/>
      <c r="G1297" s="50">
        <f>РЕАЛИЗАЦИЯ[[#This Row],[СОНИ]]*РЕАЛИЗАЦИЯ[[#This Row],[НАРХИ]]</f>
        <v>0</v>
      </c>
      <c r="I1297" s="94"/>
      <c r="J1297" s="31">
        <f>РЕАЛИЗАЦИЯ[[#This Row],[СОНИ]]*РЕАЛИЗАЦИЯ[[#This Row],[ТАННАРХ]]</f>
        <v>0</v>
      </c>
      <c r="K1297" s="31">
        <f>РЕАЛИЗАЦИЯ[[#This Row],[ЖАМИ]]-РЕАЛИЗАЦИЯ[[#This Row],[ЖАМИ2]]</f>
        <v>0</v>
      </c>
      <c r="L1297" s="31"/>
    </row>
    <row r="1298" spans="3:12" ht="15" customHeight="1" x14ac:dyDescent="0.3">
      <c r="C1298" s="107"/>
      <c r="D1298" s="107"/>
      <c r="G1298" s="50">
        <f>РЕАЛИЗАЦИЯ[[#This Row],[СОНИ]]*РЕАЛИЗАЦИЯ[[#This Row],[НАРХИ]]</f>
        <v>0</v>
      </c>
      <c r="I1298" s="94"/>
      <c r="J1298" s="31">
        <f>РЕАЛИЗАЦИЯ[[#This Row],[СОНИ]]*РЕАЛИЗАЦИЯ[[#This Row],[ТАННАРХ]]</f>
        <v>0</v>
      </c>
      <c r="K1298" s="31">
        <f>РЕАЛИЗАЦИЯ[[#This Row],[ЖАМИ]]-РЕАЛИЗАЦИЯ[[#This Row],[ЖАМИ2]]</f>
        <v>0</v>
      </c>
      <c r="L1298" s="31"/>
    </row>
    <row r="1299" spans="3:12" ht="15" customHeight="1" x14ac:dyDescent="0.3">
      <c r="C1299" s="107"/>
      <c r="D1299" s="107"/>
      <c r="G1299" s="50">
        <f>РЕАЛИЗАЦИЯ[[#This Row],[СОНИ]]*РЕАЛИЗАЦИЯ[[#This Row],[НАРХИ]]</f>
        <v>0</v>
      </c>
      <c r="I1299" s="94"/>
      <c r="J1299" s="31">
        <f>РЕАЛИЗАЦИЯ[[#This Row],[СОНИ]]*РЕАЛИЗАЦИЯ[[#This Row],[ТАННАРХ]]</f>
        <v>0</v>
      </c>
      <c r="K1299" s="31">
        <f>РЕАЛИЗАЦИЯ[[#This Row],[ЖАМИ]]-РЕАЛИЗАЦИЯ[[#This Row],[ЖАМИ2]]</f>
        <v>0</v>
      </c>
      <c r="L1299" s="31"/>
    </row>
    <row r="1300" spans="3:12" ht="15" customHeight="1" x14ac:dyDescent="0.3">
      <c r="C1300" s="107"/>
      <c r="D1300" s="107"/>
      <c r="G1300" s="50">
        <f>РЕАЛИЗАЦИЯ[[#This Row],[СОНИ]]*РЕАЛИЗАЦИЯ[[#This Row],[НАРХИ]]</f>
        <v>0</v>
      </c>
      <c r="I1300" s="94"/>
      <c r="J1300" s="31">
        <f>РЕАЛИЗАЦИЯ[[#This Row],[СОНИ]]*РЕАЛИЗАЦИЯ[[#This Row],[ТАННАРХ]]</f>
        <v>0</v>
      </c>
      <c r="K1300" s="31">
        <f>РЕАЛИЗАЦИЯ[[#This Row],[ЖАМИ]]-РЕАЛИЗАЦИЯ[[#This Row],[ЖАМИ2]]</f>
        <v>0</v>
      </c>
      <c r="L1300" s="31"/>
    </row>
    <row r="1301" spans="3:12" ht="15" customHeight="1" x14ac:dyDescent="0.3">
      <c r="C1301" s="107"/>
      <c r="D1301" s="107"/>
      <c r="G1301" s="50">
        <f>РЕАЛИЗАЦИЯ[[#This Row],[СОНИ]]*РЕАЛИЗАЦИЯ[[#This Row],[НАРХИ]]</f>
        <v>0</v>
      </c>
      <c r="I1301" s="94"/>
      <c r="J1301" s="31">
        <f>РЕАЛИЗАЦИЯ[[#This Row],[СОНИ]]*РЕАЛИЗАЦИЯ[[#This Row],[ТАННАРХ]]</f>
        <v>0</v>
      </c>
      <c r="K1301" s="31">
        <f>РЕАЛИЗАЦИЯ[[#This Row],[ЖАМИ]]-РЕАЛИЗАЦИЯ[[#This Row],[ЖАМИ2]]</f>
        <v>0</v>
      </c>
      <c r="L1301" s="31"/>
    </row>
    <row r="1302" spans="3:12" ht="15" customHeight="1" x14ac:dyDescent="0.3">
      <c r="C1302" s="107"/>
      <c r="D1302" s="107"/>
      <c r="G1302" s="50">
        <f>РЕАЛИЗАЦИЯ[[#This Row],[СОНИ]]*РЕАЛИЗАЦИЯ[[#This Row],[НАРХИ]]</f>
        <v>0</v>
      </c>
      <c r="I1302" s="94"/>
      <c r="J1302" s="31">
        <f>РЕАЛИЗАЦИЯ[[#This Row],[СОНИ]]*РЕАЛИЗАЦИЯ[[#This Row],[ТАННАРХ]]</f>
        <v>0</v>
      </c>
      <c r="K1302" s="31">
        <f>РЕАЛИЗАЦИЯ[[#This Row],[ЖАМИ]]-РЕАЛИЗАЦИЯ[[#This Row],[ЖАМИ2]]</f>
        <v>0</v>
      </c>
      <c r="L1302" s="31"/>
    </row>
    <row r="1303" spans="3:12" ht="15" customHeight="1" x14ac:dyDescent="0.3">
      <c r="C1303" s="107"/>
      <c r="D1303" s="107"/>
      <c r="G1303" s="50">
        <f>РЕАЛИЗАЦИЯ[[#This Row],[СОНИ]]*РЕАЛИЗАЦИЯ[[#This Row],[НАРХИ]]</f>
        <v>0</v>
      </c>
      <c r="I1303" s="94"/>
      <c r="J1303" s="31">
        <f>РЕАЛИЗАЦИЯ[[#This Row],[СОНИ]]*РЕАЛИЗАЦИЯ[[#This Row],[ТАННАРХ]]</f>
        <v>0</v>
      </c>
      <c r="K1303" s="31">
        <f>РЕАЛИЗАЦИЯ[[#This Row],[ЖАМИ]]-РЕАЛИЗАЦИЯ[[#This Row],[ЖАМИ2]]</f>
        <v>0</v>
      </c>
      <c r="L1303" s="31"/>
    </row>
    <row r="1304" spans="3:12" ht="15" customHeight="1" x14ac:dyDescent="0.3">
      <c r="C1304" s="107"/>
      <c r="D1304" s="107"/>
      <c r="G1304" s="50">
        <f>РЕАЛИЗАЦИЯ[[#This Row],[СОНИ]]*РЕАЛИЗАЦИЯ[[#This Row],[НАРХИ]]</f>
        <v>0</v>
      </c>
      <c r="I1304" s="94"/>
      <c r="J1304" s="31">
        <f>РЕАЛИЗАЦИЯ[[#This Row],[СОНИ]]*РЕАЛИЗАЦИЯ[[#This Row],[ТАННАРХ]]</f>
        <v>0</v>
      </c>
      <c r="K1304" s="31">
        <f>РЕАЛИЗАЦИЯ[[#This Row],[ЖАМИ]]-РЕАЛИЗАЦИЯ[[#This Row],[ЖАМИ2]]</f>
        <v>0</v>
      </c>
      <c r="L1304" s="31"/>
    </row>
    <row r="1305" spans="3:12" ht="15" customHeight="1" x14ac:dyDescent="0.3">
      <c r="C1305" s="107"/>
      <c r="D1305" s="107"/>
      <c r="G1305" s="50">
        <f>РЕАЛИЗАЦИЯ[[#This Row],[СОНИ]]*РЕАЛИЗАЦИЯ[[#This Row],[НАРХИ]]</f>
        <v>0</v>
      </c>
      <c r="I1305" s="94"/>
      <c r="J1305" s="31">
        <f>РЕАЛИЗАЦИЯ[[#This Row],[СОНИ]]*РЕАЛИЗАЦИЯ[[#This Row],[ТАННАРХ]]</f>
        <v>0</v>
      </c>
      <c r="K1305" s="31">
        <f>РЕАЛИЗАЦИЯ[[#This Row],[ЖАМИ]]-РЕАЛИЗАЦИЯ[[#This Row],[ЖАМИ2]]</f>
        <v>0</v>
      </c>
      <c r="L1305" s="31"/>
    </row>
    <row r="1306" spans="3:12" ht="15" customHeight="1" x14ac:dyDescent="0.3">
      <c r="C1306" s="107"/>
      <c r="D1306" s="107"/>
      <c r="G1306" s="50">
        <f>РЕАЛИЗАЦИЯ[[#This Row],[СОНИ]]*РЕАЛИЗАЦИЯ[[#This Row],[НАРХИ]]</f>
        <v>0</v>
      </c>
      <c r="I1306" s="94"/>
      <c r="J1306" s="31">
        <f>РЕАЛИЗАЦИЯ[[#This Row],[СОНИ]]*РЕАЛИЗАЦИЯ[[#This Row],[ТАННАРХ]]</f>
        <v>0</v>
      </c>
      <c r="K1306" s="31">
        <f>РЕАЛИЗАЦИЯ[[#This Row],[ЖАМИ]]-РЕАЛИЗАЦИЯ[[#This Row],[ЖАМИ2]]</f>
        <v>0</v>
      </c>
      <c r="L1306" s="31"/>
    </row>
    <row r="1307" spans="3:12" ht="15" customHeight="1" x14ac:dyDescent="0.3">
      <c r="C1307" s="107"/>
      <c r="D1307" s="107"/>
      <c r="G1307" s="50">
        <f>РЕАЛИЗАЦИЯ[[#This Row],[СОНИ]]*РЕАЛИЗАЦИЯ[[#This Row],[НАРХИ]]</f>
        <v>0</v>
      </c>
      <c r="I1307" s="94"/>
      <c r="J1307" s="31">
        <f>РЕАЛИЗАЦИЯ[[#This Row],[СОНИ]]*РЕАЛИЗАЦИЯ[[#This Row],[ТАННАРХ]]</f>
        <v>0</v>
      </c>
      <c r="K1307" s="31">
        <f>РЕАЛИЗАЦИЯ[[#This Row],[ЖАМИ]]-РЕАЛИЗАЦИЯ[[#This Row],[ЖАМИ2]]</f>
        <v>0</v>
      </c>
      <c r="L1307" s="31"/>
    </row>
    <row r="1308" spans="3:12" ht="15" customHeight="1" x14ac:dyDescent="0.3">
      <c r="C1308" s="107"/>
      <c r="D1308" s="107"/>
      <c r="G1308" s="50">
        <f>РЕАЛИЗАЦИЯ[[#This Row],[СОНИ]]*РЕАЛИЗАЦИЯ[[#This Row],[НАРХИ]]</f>
        <v>0</v>
      </c>
      <c r="I1308" s="94"/>
      <c r="J1308" s="31">
        <f>РЕАЛИЗАЦИЯ[[#This Row],[СОНИ]]*РЕАЛИЗАЦИЯ[[#This Row],[ТАННАРХ]]</f>
        <v>0</v>
      </c>
      <c r="K1308" s="31">
        <f>РЕАЛИЗАЦИЯ[[#This Row],[ЖАМИ]]-РЕАЛИЗАЦИЯ[[#This Row],[ЖАМИ2]]</f>
        <v>0</v>
      </c>
      <c r="L1308" s="31"/>
    </row>
    <row r="1309" spans="3:12" ht="15" customHeight="1" x14ac:dyDescent="0.3">
      <c r="C1309" s="107"/>
      <c r="D1309" s="107"/>
      <c r="G1309" s="50">
        <f>РЕАЛИЗАЦИЯ[[#This Row],[СОНИ]]*РЕАЛИЗАЦИЯ[[#This Row],[НАРХИ]]</f>
        <v>0</v>
      </c>
      <c r="I1309" s="94"/>
      <c r="J1309" s="31">
        <f>РЕАЛИЗАЦИЯ[[#This Row],[СОНИ]]*РЕАЛИЗАЦИЯ[[#This Row],[ТАННАРХ]]</f>
        <v>0</v>
      </c>
      <c r="K1309" s="31">
        <f>РЕАЛИЗАЦИЯ[[#This Row],[ЖАМИ]]-РЕАЛИЗАЦИЯ[[#This Row],[ЖАМИ2]]</f>
        <v>0</v>
      </c>
      <c r="L1309" s="31"/>
    </row>
    <row r="1310" spans="3:12" ht="15" customHeight="1" x14ac:dyDescent="0.3">
      <c r="C1310" s="107"/>
      <c r="D1310" s="107"/>
      <c r="G1310" s="50">
        <f>РЕАЛИЗАЦИЯ[[#This Row],[СОНИ]]*РЕАЛИЗАЦИЯ[[#This Row],[НАРХИ]]</f>
        <v>0</v>
      </c>
      <c r="I1310" s="94"/>
      <c r="J1310" s="31">
        <f>РЕАЛИЗАЦИЯ[[#This Row],[СОНИ]]*РЕАЛИЗАЦИЯ[[#This Row],[ТАННАРХ]]</f>
        <v>0</v>
      </c>
      <c r="K1310" s="31">
        <f>РЕАЛИЗАЦИЯ[[#This Row],[ЖАМИ]]-РЕАЛИЗАЦИЯ[[#This Row],[ЖАМИ2]]</f>
        <v>0</v>
      </c>
      <c r="L1310" s="31"/>
    </row>
    <row r="1311" spans="3:12" ht="15" customHeight="1" x14ac:dyDescent="0.3">
      <c r="C1311" s="107"/>
      <c r="D1311" s="107"/>
      <c r="G1311" s="50">
        <f>РЕАЛИЗАЦИЯ[[#This Row],[СОНИ]]*РЕАЛИЗАЦИЯ[[#This Row],[НАРХИ]]</f>
        <v>0</v>
      </c>
      <c r="I1311" s="94"/>
      <c r="J1311" s="31">
        <f>РЕАЛИЗАЦИЯ[[#This Row],[СОНИ]]*РЕАЛИЗАЦИЯ[[#This Row],[ТАННАРХ]]</f>
        <v>0</v>
      </c>
      <c r="K1311" s="31">
        <f>РЕАЛИЗАЦИЯ[[#This Row],[ЖАМИ]]-РЕАЛИЗАЦИЯ[[#This Row],[ЖАМИ2]]</f>
        <v>0</v>
      </c>
      <c r="L1311" s="31"/>
    </row>
    <row r="1312" spans="3:12" ht="15" customHeight="1" x14ac:dyDescent="0.3">
      <c r="C1312" s="107"/>
      <c r="D1312" s="107"/>
      <c r="G1312" s="50">
        <f>РЕАЛИЗАЦИЯ[[#This Row],[СОНИ]]*РЕАЛИЗАЦИЯ[[#This Row],[НАРХИ]]</f>
        <v>0</v>
      </c>
      <c r="I1312" s="94"/>
      <c r="J1312" s="31">
        <f>РЕАЛИЗАЦИЯ[[#This Row],[СОНИ]]*РЕАЛИЗАЦИЯ[[#This Row],[ТАННАРХ]]</f>
        <v>0</v>
      </c>
      <c r="K1312" s="31">
        <f>РЕАЛИЗАЦИЯ[[#This Row],[ЖАМИ]]-РЕАЛИЗАЦИЯ[[#This Row],[ЖАМИ2]]</f>
        <v>0</v>
      </c>
      <c r="L1312" s="31"/>
    </row>
    <row r="1313" spans="3:12" ht="15" customHeight="1" x14ac:dyDescent="0.3">
      <c r="C1313" s="107"/>
      <c r="D1313" s="107"/>
      <c r="G1313" s="50">
        <f>РЕАЛИЗАЦИЯ[[#This Row],[СОНИ]]*РЕАЛИЗАЦИЯ[[#This Row],[НАРХИ]]</f>
        <v>0</v>
      </c>
      <c r="I1313" s="94"/>
      <c r="J1313" s="31">
        <f>РЕАЛИЗАЦИЯ[[#This Row],[СОНИ]]*РЕАЛИЗАЦИЯ[[#This Row],[ТАННАРХ]]</f>
        <v>0</v>
      </c>
      <c r="K1313" s="31">
        <f>РЕАЛИЗАЦИЯ[[#This Row],[ЖАМИ]]-РЕАЛИЗАЦИЯ[[#This Row],[ЖАМИ2]]</f>
        <v>0</v>
      </c>
      <c r="L1313" s="31"/>
    </row>
    <row r="1314" spans="3:12" ht="15" customHeight="1" x14ac:dyDescent="0.3">
      <c r="C1314" s="107"/>
      <c r="D1314" s="107"/>
      <c r="G1314" s="50">
        <f>РЕАЛИЗАЦИЯ[[#This Row],[СОНИ]]*РЕАЛИЗАЦИЯ[[#This Row],[НАРХИ]]</f>
        <v>0</v>
      </c>
      <c r="I1314" s="94"/>
      <c r="J1314" s="31">
        <f>РЕАЛИЗАЦИЯ[[#This Row],[СОНИ]]*РЕАЛИЗАЦИЯ[[#This Row],[ТАННАРХ]]</f>
        <v>0</v>
      </c>
      <c r="K1314" s="31">
        <f>РЕАЛИЗАЦИЯ[[#This Row],[ЖАМИ]]-РЕАЛИЗАЦИЯ[[#This Row],[ЖАМИ2]]</f>
        <v>0</v>
      </c>
      <c r="L1314" s="31"/>
    </row>
    <row r="1315" spans="3:12" ht="15" customHeight="1" x14ac:dyDescent="0.3">
      <c r="C1315" s="107"/>
      <c r="D1315" s="107"/>
      <c r="G1315" s="50">
        <f>РЕАЛИЗАЦИЯ[[#This Row],[СОНИ]]*РЕАЛИЗАЦИЯ[[#This Row],[НАРХИ]]</f>
        <v>0</v>
      </c>
      <c r="I1315" s="94"/>
      <c r="J1315" s="31">
        <f>РЕАЛИЗАЦИЯ[[#This Row],[СОНИ]]*РЕАЛИЗАЦИЯ[[#This Row],[ТАННАРХ]]</f>
        <v>0</v>
      </c>
      <c r="K1315" s="31">
        <f>РЕАЛИЗАЦИЯ[[#This Row],[ЖАМИ]]-РЕАЛИЗАЦИЯ[[#This Row],[ЖАМИ2]]</f>
        <v>0</v>
      </c>
      <c r="L1315" s="31"/>
    </row>
    <row r="1316" spans="3:12" ht="15" customHeight="1" x14ac:dyDescent="0.3">
      <c r="C1316" s="107"/>
      <c r="D1316" s="107"/>
      <c r="G1316" s="50">
        <f>РЕАЛИЗАЦИЯ[[#This Row],[СОНИ]]*РЕАЛИЗАЦИЯ[[#This Row],[НАРХИ]]</f>
        <v>0</v>
      </c>
      <c r="I1316" s="94"/>
      <c r="J1316" s="31">
        <f>РЕАЛИЗАЦИЯ[[#This Row],[СОНИ]]*РЕАЛИЗАЦИЯ[[#This Row],[ТАННАРХ]]</f>
        <v>0</v>
      </c>
      <c r="K1316" s="31">
        <f>РЕАЛИЗАЦИЯ[[#This Row],[ЖАМИ]]-РЕАЛИЗАЦИЯ[[#This Row],[ЖАМИ2]]</f>
        <v>0</v>
      </c>
      <c r="L1316" s="31"/>
    </row>
    <row r="1317" spans="3:12" ht="15" customHeight="1" x14ac:dyDescent="0.3">
      <c r="C1317" s="107"/>
      <c r="D1317" s="107"/>
      <c r="G1317" s="50">
        <f>РЕАЛИЗАЦИЯ[[#This Row],[СОНИ]]*РЕАЛИЗАЦИЯ[[#This Row],[НАРХИ]]</f>
        <v>0</v>
      </c>
      <c r="I1317" s="94"/>
      <c r="J1317" s="31">
        <f>РЕАЛИЗАЦИЯ[[#This Row],[СОНИ]]*РЕАЛИЗАЦИЯ[[#This Row],[ТАННАРХ]]</f>
        <v>0</v>
      </c>
      <c r="K1317" s="31">
        <f>РЕАЛИЗАЦИЯ[[#This Row],[ЖАМИ]]-РЕАЛИЗАЦИЯ[[#This Row],[ЖАМИ2]]</f>
        <v>0</v>
      </c>
      <c r="L1317" s="31"/>
    </row>
    <row r="1318" spans="3:12" ht="15" customHeight="1" x14ac:dyDescent="0.3">
      <c r="C1318" s="107"/>
      <c r="D1318" s="107"/>
      <c r="G1318" s="50">
        <f>РЕАЛИЗАЦИЯ[[#This Row],[СОНИ]]*РЕАЛИЗАЦИЯ[[#This Row],[НАРХИ]]</f>
        <v>0</v>
      </c>
      <c r="I1318" s="94"/>
      <c r="J1318" s="31">
        <f>РЕАЛИЗАЦИЯ[[#This Row],[СОНИ]]*РЕАЛИЗАЦИЯ[[#This Row],[ТАННАРХ]]</f>
        <v>0</v>
      </c>
      <c r="K1318" s="31">
        <f>РЕАЛИЗАЦИЯ[[#This Row],[ЖАМИ]]-РЕАЛИЗАЦИЯ[[#This Row],[ЖАМИ2]]</f>
        <v>0</v>
      </c>
      <c r="L1318" s="31"/>
    </row>
    <row r="1319" spans="3:12" ht="15" customHeight="1" x14ac:dyDescent="0.3">
      <c r="C1319" s="107"/>
      <c r="D1319" s="107"/>
      <c r="G1319" s="50">
        <f>РЕАЛИЗАЦИЯ[[#This Row],[СОНИ]]*РЕАЛИЗАЦИЯ[[#This Row],[НАРХИ]]</f>
        <v>0</v>
      </c>
      <c r="H1319" s="200"/>
      <c r="I1319" s="94"/>
      <c r="J1319" s="31">
        <f>РЕАЛИЗАЦИЯ[[#This Row],[СОНИ]]*РЕАЛИЗАЦИЯ[[#This Row],[ТАННАРХ]]</f>
        <v>0</v>
      </c>
      <c r="K1319" s="31">
        <f>РЕАЛИЗАЦИЯ[[#This Row],[ЖАМИ]]-РЕАЛИЗАЦИЯ[[#This Row],[ЖАМИ2]]</f>
        <v>0</v>
      </c>
      <c r="L1319" s="31"/>
    </row>
    <row r="1320" spans="3:12" ht="15" customHeight="1" x14ac:dyDescent="0.3">
      <c r="C1320" s="195"/>
      <c r="D1320" s="195"/>
      <c r="G1320" s="50">
        <f>РЕАЛИЗАЦИЯ[[#This Row],[СОНИ]]*РЕАЛИЗАЦИЯ[[#This Row],[НАРХИ]]</f>
        <v>0</v>
      </c>
      <c r="I1320" s="166"/>
      <c r="J1320" s="31">
        <f>РЕАЛИЗАЦИЯ[[#This Row],[СОНИ]]*РЕАЛИЗАЦИЯ[[#This Row],[ТАННАРХ]]</f>
        <v>0</v>
      </c>
      <c r="K1320" s="31">
        <f>РЕАЛИЗАЦИЯ[[#This Row],[ЖАМИ]]-РЕАЛИЗАЦИЯ[[#This Row],[ЖАМИ2]]</f>
        <v>0</v>
      </c>
      <c r="L1320" s="31"/>
    </row>
    <row r="1321" spans="3:12" ht="15" customHeight="1" x14ac:dyDescent="0.3">
      <c r="C1321" s="107"/>
      <c r="D1321" s="107"/>
      <c r="G1321" s="50">
        <f>РЕАЛИЗАЦИЯ[[#This Row],[СОНИ]]*РЕАЛИЗАЦИЯ[[#This Row],[НАРХИ]]</f>
        <v>0</v>
      </c>
      <c r="I1321" s="94"/>
      <c r="J1321" s="31">
        <f>РЕАЛИЗАЦИЯ[[#This Row],[СОНИ]]*РЕАЛИЗАЦИЯ[[#This Row],[ТАННАРХ]]</f>
        <v>0</v>
      </c>
      <c r="K1321" s="31">
        <f>РЕАЛИЗАЦИЯ[[#This Row],[ЖАМИ]]-РЕАЛИЗАЦИЯ[[#This Row],[ЖАМИ2]]</f>
        <v>0</v>
      </c>
      <c r="L1321" s="31"/>
    </row>
    <row r="1322" spans="3:12" ht="15" customHeight="1" x14ac:dyDescent="0.3">
      <c r="C1322" s="107"/>
      <c r="D1322" s="107"/>
      <c r="G1322" s="50">
        <f>РЕАЛИЗАЦИЯ[[#This Row],[СОНИ]]*РЕАЛИЗАЦИЯ[[#This Row],[НАРХИ]]</f>
        <v>0</v>
      </c>
      <c r="I1322" s="94"/>
      <c r="J1322" s="31">
        <f>РЕАЛИЗАЦИЯ[[#This Row],[СОНИ]]*РЕАЛИЗАЦИЯ[[#This Row],[ТАННАРХ]]</f>
        <v>0</v>
      </c>
      <c r="K1322" s="31">
        <f>РЕАЛИЗАЦИЯ[[#This Row],[ЖАМИ]]-РЕАЛИЗАЦИЯ[[#This Row],[ЖАМИ2]]</f>
        <v>0</v>
      </c>
      <c r="L1322" s="31"/>
    </row>
    <row r="1323" spans="3:12" ht="15" customHeight="1" x14ac:dyDescent="0.3">
      <c r="C1323" s="107"/>
      <c r="D1323" s="107"/>
      <c r="G1323" s="50">
        <f>РЕАЛИЗАЦИЯ[[#This Row],[СОНИ]]*РЕАЛИЗАЦИЯ[[#This Row],[НАРХИ]]</f>
        <v>0</v>
      </c>
      <c r="I1323" s="94"/>
      <c r="J1323" s="31">
        <f>РЕАЛИЗАЦИЯ[[#This Row],[СОНИ]]*РЕАЛИЗАЦИЯ[[#This Row],[ТАННАРХ]]</f>
        <v>0</v>
      </c>
      <c r="K1323" s="31">
        <f>РЕАЛИЗАЦИЯ[[#This Row],[ЖАМИ]]-РЕАЛИЗАЦИЯ[[#This Row],[ЖАМИ2]]</f>
        <v>0</v>
      </c>
      <c r="L1323" s="31"/>
    </row>
    <row r="1324" spans="3:12" ht="15" customHeight="1" x14ac:dyDescent="0.3">
      <c r="C1324" s="107"/>
      <c r="D1324" s="107"/>
      <c r="G1324" s="50">
        <f>РЕАЛИЗАЦИЯ[[#This Row],[СОНИ]]*РЕАЛИЗАЦИЯ[[#This Row],[НАРХИ]]</f>
        <v>0</v>
      </c>
      <c r="I1324" s="94"/>
      <c r="J1324" s="31">
        <f>РЕАЛИЗАЦИЯ[[#This Row],[СОНИ]]*РЕАЛИЗАЦИЯ[[#This Row],[ТАННАРХ]]</f>
        <v>0</v>
      </c>
      <c r="K1324" s="31">
        <f>РЕАЛИЗАЦИЯ[[#This Row],[ЖАМИ]]-РЕАЛИЗАЦИЯ[[#This Row],[ЖАМИ2]]</f>
        <v>0</v>
      </c>
      <c r="L1324" s="31"/>
    </row>
    <row r="1325" spans="3:12" ht="15" customHeight="1" x14ac:dyDescent="0.3">
      <c r="C1325" s="157"/>
      <c r="D1325" s="157"/>
      <c r="G1325" s="50">
        <f>РЕАЛИЗАЦИЯ[[#This Row],[СОНИ]]*РЕАЛИЗАЦИЯ[[#This Row],[НАРХИ]]</f>
        <v>0</v>
      </c>
      <c r="I1325" s="132"/>
      <c r="J1325" s="31">
        <f>РЕАЛИЗАЦИЯ[[#This Row],[СОНИ]]*РЕАЛИЗАЦИЯ[[#This Row],[ТАННАРХ]]</f>
        <v>0</v>
      </c>
      <c r="K1325" s="31">
        <f>РЕАЛИЗАЦИЯ[[#This Row],[ЖАМИ]]-РЕАЛИЗАЦИЯ[[#This Row],[ЖАМИ2]]</f>
        <v>0</v>
      </c>
      <c r="L1325" s="31"/>
    </row>
    <row r="1326" spans="3:12" ht="15" customHeight="1" x14ac:dyDescent="0.3">
      <c r="C1326" s="107"/>
      <c r="D1326" s="107"/>
      <c r="G1326" s="50">
        <f>РЕАЛИЗАЦИЯ[[#This Row],[СОНИ]]*РЕАЛИЗАЦИЯ[[#This Row],[НАРХИ]]</f>
        <v>0</v>
      </c>
      <c r="I1326" s="94"/>
      <c r="J1326" s="31">
        <f>РЕАЛИЗАЦИЯ[[#This Row],[СОНИ]]*РЕАЛИЗАЦИЯ[[#This Row],[ТАННАРХ]]</f>
        <v>0</v>
      </c>
      <c r="K1326" s="31">
        <f>РЕАЛИЗАЦИЯ[[#This Row],[ЖАМИ]]-РЕАЛИЗАЦИЯ[[#This Row],[ЖАМИ2]]</f>
        <v>0</v>
      </c>
      <c r="L1326" s="31"/>
    </row>
    <row r="1327" spans="3:12" ht="15" customHeight="1" x14ac:dyDescent="0.3">
      <c r="C1327" s="107"/>
      <c r="D1327" s="107"/>
      <c r="G1327" s="50">
        <f>РЕАЛИЗАЦИЯ[[#This Row],[СОНИ]]*РЕАЛИЗАЦИЯ[[#This Row],[НАРХИ]]</f>
        <v>0</v>
      </c>
      <c r="I1327" s="94"/>
      <c r="J1327" s="31">
        <f>РЕАЛИЗАЦИЯ[[#This Row],[СОНИ]]*РЕАЛИЗАЦИЯ[[#This Row],[ТАННАРХ]]</f>
        <v>0</v>
      </c>
      <c r="K1327" s="31">
        <f>РЕАЛИЗАЦИЯ[[#This Row],[ЖАМИ]]-РЕАЛИЗАЦИЯ[[#This Row],[ЖАМИ2]]</f>
        <v>0</v>
      </c>
      <c r="L1327" s="31"/>
    </row>
    <row r="1328" spans="3:12" ht="15" customHeight="1" x14ac:dyDescent="0.3">
      <c r="C1328" s="107"/>
      <c r="D1328" s="107"/>
      <c r="G1328" s="50">
        <f>РЕАЛИЗАЦИЯ[[#This Row],[СОНИ]]*РЕАЛИЗАЦИЯ[[#This Row],[НАРХИ]]</f>
        <v>0</v>
      </c>
      <c r="I1328" s="94"/>
      <c r="J1328" s="31">
        <f>РЕАЛИЗАЦИЯ[[#This Row],[СОНИ]]*РЕАЛИЗАЦИЯ[[#This Row],[ТАННАРХ]]</f>
        <v>0</v>
      </c>
      <c r="K1328" s="31">
        <f>РЕАЛИЗАЦИЯ[[#This Row],[ЖАМИ]]-РЕАЛИЗАЦИЯ[[#This Row],[ЖАМИ2]]</f>
        <v>0</v>
      </c>
      <c r="L1328" s="31"/>
    </row>
    <row r="1329" spans="3:12" ht="15" customHeight="1" x14ac:dyDescent="0.3">
      <c r="C1329" s="107"/>
      <c r="D1329" s="107"/>
      <c r="G1329" s="50">
        <f>РЕАЛИЗАЦИЯ[[#This Row],[СОНИ]]*РЕАЛИЗАЦИЯ[[#This Row],[НАРХИ]]</f>
        <v>0</v>
      </c>
      <c r="I1329" s="94"/>
      <c r="J1329" s="31">
        <f>РЕАЛИЗАЦИЯ[[#This Row],[СОНИ]]*РЕАЛИЗАЦИЯ[[#This Row],[ТАННАРХ]]</f>
        <v>0</v>
      </c>
      <c r="K1329" s="31">
        <f>РЕАЛИЗАЦИЯ[[#This Row],[ЖАМИ]]-РЕАЛИЗАЦИЯ[[#This Row],[ЖАМИ2]]</f>
        <v>0</v>
      </c>
      <c r="L1329" s="31"/>
    </row>
    <row r="1330" spans="3:12" x14ac:dyDescent="0.3">
      <c r="C1330" s="107"/>
      <c r="D1330" s="107"/>
      <c r="G1330" s="50">
        <f>РЕАЛИЗАЦИЯ[[#This Row],[СОНИ]]*РЕАЛИЗАЦИЯ[[#This Row],[НАРХИ]]</f>
        <v>0</v>
      </c>
      <c r="I1330" s="94"/>
      <c r="J1330" s="31">
        <f>РЕАЛИЗАЦИЯ[[#This Row],[СОНИ]]*РЕАЛИЗАЦИЯ[[#This Row],[ТАННАРХ]]</f>
        <v>0</v>
      </c>
      <c r="K1330" s="31">
        <f>РЕАЛИЗАЦИЯ[[#This Row],[ЖАМИ]]-РЕАЛИЗАЦИЯ[[#This Row],[ЖАМИ2]]</f>
        <v>0</v>
      </c>
      <c r="L1330" s="31"/>
    </row>
    <row r="1331" spans="3:12" ht="15" customHeight="1" x14ac:dyDescent="0.3">
      <c r="C1331" s="107"/>
      <c r="D1331" s="107"/>
      <c r="G1331" s="50">
        <f>РЕАЛИЗАЦИЯ[[#This Row],[СОНИ]]*РЕАЛИЗАЦИЯ[[#This Row],[НАРХИ]]</f>
        <v>0</v>
      </c>
      <c r="I1331" s="94"/>
      <c r="J1331" s="31">
        <f>РЕАЛИЗАЦИЯ[[#This Row],[СОНИ]]*РЕАЛИЗАЦИЯ[[#This Row],[ТАННАРХ]]</f>
        <v>0</v>
      </c>
      <c r="K1331" s="31">
        <f>РЕАЛИЗАЦИЯ[[#This Row],[ЖАМИ]]-РЕАЛИЗАЦИЯ[[#This Row],[ЖАМИ2]]</f>
        <v>0</v>
      </c>
      <c r="L1331" s="31"/>
    </row>
    <row r="1332" spans="3:12" ht="15" customHeight="1" x14ac:dyDescent="0.3">
      <c r="C1332" s="107"/>
      <c r="D1332" s="107"/>
      <c r="G1332" s="50">
        <f>РЕАЛИЗАЦИЯ[[#This Row],[СОНИ]]*РЕАЛИЗАЦИЯ[[#This Row],[НАРХИ]]</f>
        <v>0</v>
      </c>
      <c r="I1332" s="94"/>
      <c r="J1332" s="31">
        <f>РЕАЛИЗАЦИЯ[[#This Row],[СОНИ]]*РЕАЛИЗАЦИЯ[[#This Row],[ТАННАРХ]]</f>
        <v>0</v>
      </c>
      <c r="K1332" s="31">
        <f>РЕАЛИЗАЦИЯ[[#This Row],[ЖАМИ]]-РЕАЛИЗАЦИЯ[[#This Row],[ЖАМИ2]]</f>
        <v>0</v>
      </c>
      <c r="L1332" s="31"/>
    </row>
    <row r="1333" spans="3:12" ht="15" customHeight="1" x14ac:dyDescent="0.3">
      <c r="C1333" s="107"/>
      <c r="D1333" s="107"/>
      <c r="G1333" s="50">
        <f>РЕАЛИЗАЦИЯ[[#This Row],[СОНИ]]*РЕАЛИЗАЦИЯ[[#This Row],[НАРХИ]]</f>
        <v>0</v>
      </c>
      <c r="I1333" s="94"/>
      <c r="J1333" s="31">
        <f>РЕАЛИЗАЦИЯ[[#This Row],[СОНИ]]*РЕАЛИЗАЦИЯ[[#This Row],[ТАННАРХ]]</f>
        <v>0</v>
      </c>
      <c r="K1333" s="31">
        <f>РЕАЛИЗАЦИЯ[[#This Row],[ЖАМИ]]-РЕАЛИЗАЦИЯ[[#This Row],[ЖАМИ2]]</f>
        <v>0</v>
      </c>
      <c r="L1333" s="31"/>
    </row>
    <row r="1334" spans="3:12" ht="15" customHeight="1" x14ac:dyDescent="0.3">
      <c r="C1334" s="107"/>
      <c r="D1334" s="107"/>
      <c r="G1334" s="50">
        <f>РЕАЛИЗАЦИЯ[[#This Row],[СОНИ]]*РЕАЛИЗАЦИЯ[[#This Row],[НАРХИ]]</f>
        <v>0</v>
      </c>
      <c r="I1334" s="94"/>
      <c r="J1334" s="31">
        <f>РЕАЛИЗАЦИЯ[[#This Row],[СОНИ]]*РЕАЛИЗАЦИЯ[[#This Row],[ТАННАРХ]]</f>
        <v>0</v>
      </c>
      <c r="K1334" s="31">
        <f>РЕАЛИЗАЦИЯ[[#This Row],[ЖАМИ]]-РЕАЛИЗАЦИЯ[[#This Row],[ЖАМИ2]]</f>
        <v>0</v>
      </c>
      <c r="L1334" s="31"/>
    </row>
    <row r="1335" spans="3:12" ht="15" customHeight="1" x14ac:dyDescent="0.3">
      <c r="C1335" s="107"/>
      <c r="D1335" s="107"/>
      <c r="G1335" s="50">
        <f>РЕАЛИЗАЦИЯ[[#This Row],[СОНИ]]*РЕАЛИЗАЦИЯ[[#This Row],[НАРХИ]]</f>
        <v>0</v>
      </c>
      <c r="I1335" s="94"/>
      <c r="J1335" s="31">
        <f>РЕАЛИЗАЦИЯ[[#This Row],[СОНИ]]*РЕАЛИЗАЦИЯ[[#This Row],[ТАННАРХ]]</f>
        <v>0</v>
      </c>
      <c r="K1335" s="31">
        <f>РЕАЛИЗАЦИЯ[[#This Row],[ЖАМИ]]-РЕАЛИЗАЦИЯ[[#This Row],[ЖАМИ2]]</f>
        <v>0</v>
      </c>
      <c r="L1335" s="31"/>
    </row>
    <row r="1336" spans="3:12" ht="15" customHeight="1" x14ac:dyDescent="0.3">
      <c r="C1336" s="107"/>
      <c r="D1336" s="107"/>
      <c r="G1336" s="50">
        <f>РЕАЛИЗАЦИЯ[[#This Row],[СОНИ]]*РЕАЛИЗАЦИЯ[[#This Row],[НАРХИ]]</f>
        <v>0</v>
      </c>
      <c r="I1336" s="94"/>
      <c r="J1336" s="31">
        <f>РЕАЛИЗАЦИЯ[[#This Row],[СОНИ]]*РЕАЛИЗАЦИЯ[[#This Row],[ТАННАРХ]]</f>
        <v>0</v>
      </c>
      <c r="K1336" s="31">
        <f>РЕАЛИЗАЦИЯ[[#This Row],[ЖАМИ]]-РЕАЛИЗАЦИЯ[[#This Row],[ЖАМИ2]]</f>
        <v>0</v>
      </c>
      <c r="L1336" s="31"/>
    </row>
    <row r="1337" spans="3:12" ht="15" customHeight="1" x14ac:dyDescent="0.3">
      <c r="C1337" s="107"/>
      <c r="D1337" s="107"/>
      <c r="G1337" s="50">
        <f>РЕАЛИЗАЦИЯ[[#This Row],[СОНИ]]*РЕАЛИЗАЦИЯ[[#This Row],[НАРХИ]]</f>
        <v>0</v>
      </c>
      <c r="I1337" s="94"/>
      <c r="J1337" s="31">
        <f>РЕАЛИЗАЦИЯ[[#This Row],[СОНИ]]*РЕАЛИЗАЦИЯ[[#This Row],[ТАННАРХ]]</f>
        <v>0</v>
      </c>
      <c r="K1337" s="31">
        <f>РЕАЛИЗАЦИЯ[[#This Row],[ЖАМИ]]-РЕАЛИЗАЦИЯ[[#This Row],[ЖАМИ2]]</f>
        <v>0</v>
      </c>
      <c r="L1337" s="31"/>
    </row>
    <row r="1338" spans="3:12" ht="15" customHeight="1" x14ac:dyDescent="0.3">
      <c r="C1338" s="107"/>
      <c r="D1338" s="107"/>
      <c r="G1338" s="50">
        <f>РЕАЛИЗАЦИЯ[[#This Row],[СОНИ]]*РЕАЛИЗАЦИЯ[[#This Row],[НАРХИ]]</f>
        <v>0</v>
      </c>
      <c r="I1338" s="94"/>
      <c r="J1338" s="31">
        <f>РЕАЛИЗАЦИЯ[[#This Row],[СОНИ]]*РЕАЛИЗАЦИЯ[[#This Row],[ТАННАРХ]]</f>
        <v>0</v>
      </c>
      <c r="K1338" s="31">
        <f>РЕАЛИЗАЦИЯ[[#This Row],[ЖАМИ]]-РЕАЛИЗАЦИЯ[[#This Row],[ЖАМИ2]]</f>
        <v>0</v>
      </c>
      <c r="L1338" s="31"/>
    </row>
    <row r="1339" spans="3:12" ht="15" customHeight="1" x14ac:dyDescent="0.3">
      <c r="C1339" s="113"/>
      <c r="D1339" s="113"/>
      <c r="G1339" s="50">
        <f>РЕАЛИЗАЦИЯ[[#This Row],[СОНИ]]*РЕАЛИЗАЦИЯ[[#This Row],[НАРХИ]]</f>
        <v>0</v>
      </c>
      <c r="I1339" s="94"/>
      <c r="J1339" s="31">
        <f>РЕАЛИЗАЦИЯ[[#This Row],[СОНИ]]*РЕАЛИЗАЦИЯ[[#This Row],[ТАННАРХ]]</f>
        <v>0</v>
      </c>
      <c r="K1339" s="31">
        <f>РЕАЛИЗАЦИЯ[[#This Row],[ЖАМИ]]-РЕАЛИЗАЦИЯ[[#This Row],[ЖАМИ2]]</f>
        <v>0</v>
      </c>
      <c r="L1339" s="31"/>
    </row>
    <row r="1340" spans="3:12" ht="15" customHeight="1" x14ac:dyDescent="0.3">
      <c r="C1340" s="113"/>
      <c r="D1340" s="113"/>
      <c r="G1340" s="50">
        <f>РЕАЛИЗАЦИЯ[[#This Row],[СОНИ]]*РЕАЛИЗАЦИЯ[[#This Row],[НАРХИ]]</f>
        <v>0</v>
      </c>
      <c r="I1340" s="94"/>
      <c r="J1340" s="31">
        <f>РЕАЛИЗАЦИЯ[[#This Row],[СОНИ]]*РЕАЛИЗАЦИЯ[[#This Row],[ТАННАРХ]]</f>
        <v>0</v>
      </c>
      <c r="K1340" s="31">
        <f>РЕАЛИЗАЦИЯ[[#This Row],[ЖАМИ]]-РЕАЛИЗАЦИЯ[[#This Row],[ЖАМИ2]]</f>
        <v>0</v>
      </c>
      <c r="L1340" s="31"/>
    </row>
    <row r="1341" spans="3:12" ht="15" customHeight="1" x14ac:dyDescent="0.3">
      <c r="C1341" s="107"/>
      <c r="D1341" s="107"/>
      <c r="G1341" s="50">
        <f>РЕАЛИЗАЦИЯ[[#This Row],[СОНИ]]*РЕАЛИЗАЦИЯ[[#This Row],[НАРХИ]]</f>
        <v>0</v>
      </c>
      <c r="I1341" s="94"/>
      <c r="J1341" s="31">
        <f>РЕАЛИЗАЦИЯ[[#This Row],[СОНИ]]*РЕАЛИЗАЦИЯ[[#This Row],[ТАННАРХ]]</f>
        <v>0</v>
      </c>
      <c r="K1341" s="31">
        <f>РЕАЛИЗАЦИЯ[[#This Row],[ЖАМИ]]-РЕАЛИЗАЦИЯ[[#This Row],[ЖАМИ2]]</f>
        <v>0</v>
      </c>
      <c r="L1341" s="31"/>
    </row>
    <row r="1342" spans="3:12" ht="15" customHeight="1" x14ac:dyDescent="0.3">
      <c r="C1342" s="107"/>
      <c r="D1342" s="107"/>
      <c r="G1342" s="50">
        <f>РЕАЛИЗАЦИЯ[[#This Row],[СОНИ]]*РЕАЛИЗАЦИЯ[[#This Row],[НАРХИ]]</f>
        <v>0</v>
      </c>
      <c r="I1342" s="94"/>
      <c r="J1342" s="31">
        <f>РЕАЛИЗАЦИЯ[[#This Row],[СОНИ]]*РЕАЛИЗАЦИЯ[[#This Row],[ТАННАРХ]]</f>
        <v>0</v>
      </c>
      <c r="K1342" s="31">
        <f>РЕАЛИЗАЦИЯ[[#This Row],[ЖАМИ]]-РЕАЛИЗАЦИЯ[[#This Row],[ЖАМИ2]]</f>
        <v>0</v>
      </c>
      <c r="L1342" s="31"/>
    </row>
    <row r="1343" spans="3:12" ht="15" customHeight="1" x14ac:dyDescent="0.3">
      <c r="C1343" s="107"/>
      <c r="D1343" s="107"/>
      <c r="G1343" s="50">
        <f>РЕАЛИЗАЦИЯ[[#This Row],[СОНИ]]*РЕАЛИЗАЦИЯ[[#This Row],[НАРХИ]]</f>
        <v>0</v>
      </c>
      <c r="I1343" s="94"/>
      <c r="J1343" s="31">
        <f>РЕАЛИЗАЦИЯ[[#This Row],[СОНИ]]*РЕАЛИЗАЦИЯ[[#This Row],[ТАННАРХ]]</f>
        <v>0</v>
      </c>
      <c r="K1343" s="31">
        <f>РЕАЛИЗАЦИЯ[[#This Row],[ЖАМИ]]-РЕАЛИЗАЦИЯ[[#This Row],[ЖАМИ2]]</f>
        <v>0</v>
      </c>
      <c r="L1343" s="31"/>
    </row>
    <row r="1344" spans="3:12" ht="15" customHeight="1" x14ac:dyDescent="0.3">
      <c r="C1344" s="107"/>
      <c r="D1344" s="107"/>
      <c r="G1344" s="50">
        <f>РЕАЛИЗАЦИЯ[[#This Row],[СОНИ]]*РЕАЛИЗАЦИЯ[[#This Row],[НАРХИ]]</f>
        <v>0</v>
      </c>
      <c r="I1344" s="94"/>
      <c r="J1344" s="31">
        <f>РЕАЛИЗАЦИЯ[[#This Row],[СОНИ]]*РЕАЛИЗАЦИЯ[[#This Row],[ТАННАРХ]]</f>
        <v>0</v>
      </c>
      <c r="K1344" s="31">
        <f>РЕАЛИЗАЦИЯ[[#This Row],[ЖАМИ]]-РЕАЛИЗАЦИЯ[[#This Row],[ЖАМИ2]]</f>
        <v>0</v>
      </c>
      <c r="L1344" s="31"/>
    </row>
    <row r="1345" spans="3:12" ht="15" customHeight="1" x14ac:dyDescent="0.3">
      <c r="C1345" s="107"/>
      <c r="D1345" s="107"/>
      <c r="G1345" s="50">
        <f>РЕАЛИЗАЦИЯ[[#This Row],[СОНИ]]*РЕАЛИЗАЦИЯ[[#This Row],[НАРХИ]]</f>
        <v>0</v>
      </c>
      <c r="I1345" s="94"/>
      <c r="J1345" s="31">
        <f>РЕАЛИЗАЦИЯ[[#This Row],[СОНИ]]*РЕАЛИЗАЦИЯ[[#This Row],[ТАННАРХ]]</f>
        <v>0</v>
      </c>
      <c r="K1345" s="31">
        <f>РЕАЛИЗАЦИЯ[[#This Row],[ЖАМИ]]-РЕАЛИЗАЦИЯ[[#This Row],[ЖАМИ2]]</f>
        <v>0</v>
      </c>
      <c r="L1345" s="31"/>
    </row>
    <row r="1346" spans="3:12" x14ac:dyDescent="0.3">
      <c r="C1346" s="107"/>
      <c r="D1346" s="107"/>
      <c r="G1346" s="50">
        <f>РЕАЛИЗАЦИЯ[[#This Row],[СОНИ]]*РЕАЛИЗАЦИЯ[[#This Row],[НАРХИ]]</f>
        <v>0</v>
      </c>
      <c r="I1346" s="94"/>
      <c r="J1346" s="31">
        <f>РЕАЛИЗАЦИЯ[[#This Row],[СОНИ]]*РЕАЛИЗАЦИЯ[[#This Row],[ТАННАРХ]]</f>
        <v>0</v>
      </c>
      <c r="K1346" s="31">
        <f>РЕАЛИЗАЦИЯ[[#This Row],[ЖАМИ]]-РЕАЛИЗАЦИЯ[[#This Row],[ЖАМИ2]]</f>
        <v>0</v>
      </c>
      <c r="L1346" s="31"/>
    </row>
    <row r="1347" spans="3:12" ht="15" customHeight="1" x14ac:dyDescent="0.3">
      <c r="C1347" s="108"/>
      <c r="D1347" s="108"/>
      <c r="G1347" s="50">
        <f>РЕАЛИЗАЦИЯ[[#This Row],[СОНИ]]*РЕАЛИЗАЦИЯ[[#This Row],[НАРХИ]]</f>
        <v>0</v>
      </c>
      <c r="I1347" s="94"/>
      <c r="J1347" s="31">
        <f>РЕАЛИЗАЦИЯ[[#This Row],[СОНИ]]*РЕАЛИЗАЦИЯ[[#This Row],[ТАННАРХ]]</f>
        <v>0</v>
      </c>
      <c r="K1347" s="31">
        <f>РЕАЛИЗАЦИЯ[[#This Row],[ЖАМИ]]-РЕАЛИЗАЦИЯ[[#This Row],[ЖАМИ2]]</f>
        <v>0</v>
      </c>
      <c r="L1347" s="31"/>
    </row>
    <row r="1348" spans="3:12" ht="15" customHeight="1" x14ac:dyDescent="0.3">
      <c r="C1348" s="108"/>
      <c r="D1348" s="108"/>
      <c r="G1348" s="50">
        <f>РЕАЛИЗАЦИЯ[[#This Row],[СОНИ]]*РЕАЛИЗАЦИЯ[[#This Row],[НАРХИ]]</f>
        <v>0</v>
      </c>
      <c r="I1348" s="94"/>
      <c r="J1348" s="31">
        <f>РЕАЛИЗАЦИЯ[[#This Row],[СОНИ]]*РЕАЛИЗАЦИЯ[[#This Row],[ТАННАРХ]]</f>
        <v>0</v>
      </c>
      <c r="K1348" s="31">
        <f>РЕАЛИЗАЦИЯ[[#This Row],[ЖАМИ]]-РЕАЛИЗАЦИЯ[[#This Row],[ЖАМИ2]]</f>
        <v>0</v>
      </c>
      <c r="L1348" s="31"/>
    </row>
    <row r="1349" spans="3:12" ht="15" customHeight="1" x14ac:dyDescent="0.3">
      <c r="C1349" s="108"/>
      <c r="D1349" s="108"/>
      <c r="G1349" s="50">
        <f>РЕАЛИЗАЦИЯ[[#This Row],[СОНИ]]*РЕАЛИЗАЦИЯ[[#This Row],[НАРХИ]]</f>
        <v>0</v>
      </c>
      <c r="I1349" s="94"/>
      <c r="J1349" s="31">
        <f>РЕАЛИЗАЦИЯ[[#This Row],[СОНИ]]*РЕАЛИЗАЦИЯ[[#This Row],[ТАННАРХ]]</f>
        <v>0</v>
      </c>
      <c r="K1349" s="31">
        <f>РЕАЛИЗАЦИЯ[[#This Row],[ЖАМИ]]-РЕАЛИЗАЦИЯ[[#This Row],[ЖАМИ2]]</f>
        <v>0</v>
      </c>
      <c r="L1349" s="31"/>
    </row>
    <row r="1350" spans="3:12" ht="15" customHeight="1" x14ac:dyDescent="0.3">
      <c r="C1350" s="108"/>
      <c r="D1350" s="108"/>
      <c r="G1350" s="50">
        <f>РЕАЛИЗАЦИЯ[[#This Row],[СОНИ]]*РЕАЛИЗАЦИЯ[[#This Row],[НАРХИ]]</f>
        <v>0</v>
      </c>
      <c r="I1350" s="94"/>
      <c r="J1350" s="31">
        <f>РЕАЛИЗАЦИЯ[[#This Row],[СОНИ]]*РЕАЛИЗАЦИЯ[[#This Row],[ТАННАРХ]]</f>
        <v>0</v>
      </c>
      <c r="K1350" s="31">
        <f>РЕАЛИЗАЦИЯ[[#This Row],[ЖАМИ]]-РЕАЛИЗАЦИЯ[[#This Row],[ЖАМИ2]]</f>
        <v>0</v>
      </c>
      <c r="L1350" s="31"/>
    </row>
    <row r="1351" spans="3:12" ht="15" customHeight="1" x14ac:dyDescent="0.3">
      <c r="C1351" s="108"/>
      <c r="D1351" s="108"/>
      <c r="G1351" s="50">
        <f>РЕАЛИЗАЦИЯ[[#This Row],[СОНИ]]*РЕАЛИЗАЦИЯ[[#This Row],[НАРХИ]]</f>
        <v>0</v>
      </c>
      <c r="I1351" s="94"/>
      <c r="J1351" s="31">
        <f>РЕАЛИЗАЦИЯ[[#This Row],[СОНИ]]*РЕАЛИЗАЦИЯ[[#This Row],[ТАННАРХ]]</f>
        <v>0</v>
      </c>
      <c r="K1351" s="31">
        <f>РЕАЛИЗАЦИЯ[[#This Row],[ЖАМИ]]-РЕАЛИЗАЦИЯ[[#This Row],[ЖАМИ2]]</f>
        <v>0</v>
      </c>
      <c r="L1351" s="31"/>
    </row>
    <row r="1352" spans="3:12" ht="15" customHeight="1" x14ac:dyDescent="0.3">
      <c r="C1352" s="108"/>
      <c r="D1352" s="108"/>
      <c r="G1352" s="50">
        <f>РЕАЛИЗАЦИЯ[[#This Row],[СОНИ]]*РЕАЛИЗАЦИЯ[[#This Row],[НАРХИ]]</f>
        <v>0</v>
      </c>
      <c r="I1352" s="94"/>
      <c r="J1352" s="31">
        <f>РЕАЛИЗАЦИЯ[[#This Row],[СОНИ]]*РЕАЛИЗАЦИЯ[[#This Row],[ТАННАРХ]]</f>
        <v>0</v>
      </c>
      <c r="K1352" s="31">
        <f>РЕАЛИЗАЦИЯ[[#This Row],[ЖАМИ]]-РЕАЛИЗАЦИЯ[[#This Row],[ЖАМИ2]]</f>
        <v>0</v>
      </c>
      <c r="L1352" s="31"/>
    </row>
    <row r="1353" spans="3:12" ht="15" customHeight="1" x14ac:dyDescent="0.3">
      <c r="C1353" s="108"/>
      <c r="D1353" s="108"/>
      <c r="G1353" s="50">
        <f>РЕАЛИЗАЦИЯ[[#This Row],[СОНИ]]*РЕАЛИЗАЦИЯ[[#This Row],[НАРХИ]]</f>
        <v>0</v>
      </c>
      <c r="I1353" s="94"/>
      <c r="J1353" s="31">
        <f>РЕАЛИЗАЦИЯ[[#This Row],[СОНИ]]*РЕАЛИЗАЦИЯ[[#This Row],[ТАННАРХ]]</f>
        <v>0</v>
      </c>
      <c r="K1353" s="31">
        <f>РЕАЛИЗАЦИЯ[[#This Row],[ЖАМИ]]-РЕАЛИЗАЦИЯ[[#This Row],[ЖАМИ2]]</f>
        <v>0</v>
      </c>
      <c r="L1353" s="31"/>
    </row>
    <row r="1354" spans="3:12" ht="15" customHeight="1" x14ac:dyDescent="0.3">
      <c r="C1354" s="108"/>
      <c r="D1354" s="108"/>
      <c r="G1354" s="50">
        <f>РЕАЛИЗАЦИЯ[[#This Row],[СОНИ]]*РЕАЛИЗАЦИЯ[[#This Row],[НАРХИ]]</f>
        <v>0</v>
      </c>
      <c r="I1354" s="94"/>
      <c r="J1354" s="31">
        <f>РЕАЛИЗАЦИЯ[[#This Row],[СОНИ]]*РЕАЛИЗАЦИЯ[[#This Row],[ТАННАРХ]]</f>
        <v>0</v>
      </c>
      <c r="K1354" s="31">
        <f>РЕАЛИЗАЦИЯ[[#This Row],[ЖАМИ]]-РЕАЛИЗАЦИЯ[[#This Row],[ЖАМИ2]]</f>
        <v>0</v>
      </c>
      <c r="L1354" s="31"/>
    </row>
    <row r="1355" spans="3:12" ht="15" customHeight="1" x14ac:dyDescent="0.3">
      <c r="C1355" s="108"/>
      <c r="D1355" s="108"/>
      <c r="G1355" s="50">
        <f>РЕАЛИЗАЦИЯ[[#This Row],[СОНИ]]*РЕАЛИЗАЦИЯ[[#This Row],[НАРХИ]]</f>
        <v>0</v>
      </c>
      <c r="I1355" s="94"/>
      <c r="J1355" s="31">
        <f>РЕАЛИЗАЦИЯ[[#This Row],[СОНИ]]*РЕАЛИЗАЦИЯ[[#This Row],[ТАННАРХ]]</f>
        <v>0</v>
      </c>
      <c r="K1355" s="31">
        <f>РЕАЛИЗАЦИЯ[[#This Row],[ЖАМИ]]-РЕАЛИЗАЦИЯ[[#This Row],[ЖАМИ2]]</f>
        <v>0</v>
      </c>
      <c r="L1355" s="31"/>
    </row>
    <row r="1356" spans="3:12" ht="15" customHeight="1" x14ac:dyDescent="0.3">
      <c r="C1356" s="108"/>
      <c r="D1356" s="108"/>
      <c r="G1356" s="50">
        <f>РЕАЛИЗАЦИЯ[[#This Row],[СОНИ]]*РЕАЛИЗАЦИЯ[[#This Row],[НАРХИ]]</f>
        <v>0</v>
      </c>
      <c r="I1356" s="94"/>
      <c r="J1356" s="31">
        <f>РЕАЛИЗАЦИЯ[[#This Row],[СОНИ]]*РЕАЛИЗАЦИЯ[[#This Row],[ТАННАРХ]]</f>
        <v>0</v>
      </c>
      <c r="K1356" s="31">
        <f>РЕАЛИЗАЦИЯ[[#This Row],[ЖАМИ]]-РЕАЛИЗАЦИЯ[[#This Row],[ЖАМИ2]]</f>
        <v>0</v>
      </c>
      <c r="L1356" s="31"/>
    </row>
    <row r="1357" spans="3:12" ht="15" customHeight="1" x14ac:dyDescent="0.3">
      <c r="C1357" s="108"/>
      <c r="D1357" s="108"/>
      <c r="G1357" s="50">
        <f>РЕАЛИЗАЦИЯ[[#This Row],[СОНИ]]*РЕАЛИЗАЦИЯ[[#This Row],[НАРХИ]]</f>
        <v>0</v>
      </c>
      <c r="I1357" s="94"/>
      <c r="J1357" s="31">
        <f>РЕАЛИЗАЦИЯ[[#This Row],[СОНИ]]*РЕАЛИЗАЦИЯ[[#This Row],[ТАННАРХ]]</f>
        <v>0</v>
      </c>
      <c r="K1357" s="31">
        <f>РЕАЛИЗАЦИЯ[[#This Row],[ЖАМИ]]-РЕАЛИЗАЦИЯ[[#This Row],[ЖАМИ2]]</f>
        <v>0</v>
      </c>
      <c r="L1357" s="31"/>
    </row>
    <row r="1358" spans="3:12" ht="15" customHeight="1" x14ac:dyDescent="0.3">
      <c r="C1358" s="108"/>
      <c r="D1358" s="108"/>
      <c r="G1358" s="50">
        <f>РЕАЛИЗАЦИЯ[[#This Row],[СОНИ]]*РЕАЛИЗАЦИЯ[[#This Row],[НАРХИ]]</f>
        <v>0</v>
      </c>
      <c r="I1358" s="94"/>
      <c r="J1358" s="31">
        <f>РЕАЛИЗАЦИЯ[[#This Row],[СОНИ]]*РЕАЛИЗАЦИЯ[[#This Row],[ТАННАРХ]]</f>
        <v>0</v>
      </c>
      <c r="K1358" s="31">
        <f>РЕАЛИЗАЦИЯ[[#This Row],[ЖАМИ]]-РЕАЛИЗАЦИЯ[[#This Row],[ЖАМИ2]]</f>
        <v>0</v>
      </c>
      <c r="L1358" s="31"/>
    </row>
    <row r="1359" spans="3:12" ht="15" customHeight="1" x14ac:dyDescent="0.3">
      <c r="C1359" s="108"/>
      <c r="D1359" s="108"/>
      <c r="G1359" s="50">
        <f>РЕАЛИЗАЦИЯ[[#This Row],[СОНИ]]*РЕАЛИЗАЦИЯ[[#This Row],[НАРХИ]]</f>
        <v>0</v>
      </c>
      <c r="I1359" s="94"/>
      <c r="J1359" s="31">
        <f>РЕАЛИЗАЦИЯ[[#This Row],[СОНИ]]*РЕАЛИЗАЦИЯ[[#This Row],[ТАННАРХ]]</f>
        <v>0</v>
      </c>
      <c r="K1359" s="31">
        <f>РЕАЛИЗАЦИЯ[[#This Row],[ЖАМИ]]-РЕАЛИЗАЦИЯ[[#This Row],[ЖАМИ2]]</f>
        <v>0</v>
      </c>
      <c r="L1359" s="31"/>
    </row>
    <row r="1360" spans="3:12" ht="15" customHeight="1" x14ac:dyDescent="0.3">
      <c r="C1360" s="108"/>
      <c r="D1360" s="108"/>
      <c r="G1360" s="50">
        <f>РЕАЛИЗАЦИЯ[[#This Row],[СОНИ]]*РЕАЛИЗАЦИЯ[[#This Row],[НАРХИ]]</f>
        <v>0</v>
      </c>
      <c r="I1360" s="94"/>
      <c r="J1360" s="31">
        <f>РЕАЛИЗАЦИЯ[[#This Row],[СОНИ]]*РЕАЛИЗАЦИЯ[[#This Row],[ТАННАРХ]]</f>
        <v>0</v>
      </c>
      <c r="K1360" s="31">
        <f>РЕАЛИЗАЦИЯ[[#This Row],[ЖАМИ]]-РЕАЛИЗАЦИЯ[[#This Row],[ЖАМИ2]]</f>
        <v>0</v>
      </c>
      <c r="L1360" s="31"/>
    </row>
    <row r="1361" spans="3:12" ht="15" customHeight="1" x14ac:dyDescent="0.3">
      <c r="C1361" s="108"/>
      <c r="D1361" s="108"/>
      <c r="G1361" s="50">
        <f>РЕАЛИЗАЦИЯ[[#This Row],[СОНИ]]*РЕАЛИЗАЦИЯ[[#This Row],[НАРХИ]]</f>
        <v>0</v>
      </c>
      <c r="I1361" s="94"/>
      <c r="J1361" s="31">
        <f>РЕАЛИЗАЦИЯ[[#This Row],[СОНИ]]*РЕАЛИЗАЦИЯ[[#This Row],[ТАННАРХ]]</f>
        <v>0</v>
      </c>
      <c r="K1361" s="31">
        <f>РЕАЛИЗАЦИЯ[[#This Row],[ЖАМИ]]-РЕАЛИЗАЦИЯ[[#This Row],[ЖАМИ2]]</f>
        <v>0</v>
      </c>
      <c r="L1361" s="31"/>
    </row>
    <row r="1362" spans="3:12" ht="15" customHeight="1" x14ac:dyDescent="0.3">
      <c r="C1362" s="108"/>
      <c r="D1362" s="108"/>
      <c r="G1362" s="50">
        <f>РЕАЛИЗАЦИЯ[[#This Row],[СОНИ]]*РЕАЛИЗАЦИЯ[[#This Row],[НАРХИ]]</f>
        <v>0</v>
      </c>
      <c r="I1362" s="94"/>
      <c r="J1362" s="31">
        <f>РЕАЛИЗАЦИЯ[[#This Row],[СОНИ]]*РЕАЛИЗАЦИЯ[[#This Row],[ТАННАРХ]]</f>
        <v>0</v>
      </c>
      <c r="K1362" s="31">
        <f>РЕАЛИЗАЦИЯ[[#This Row],[ЖАМИ]]-РЕАЛИЗАЦИЯ[[#This Row],[ЖАМИ2]]</f>
        <v>0</v>
      </c>
      <c r="L1362" s="31"/>
    </row>
    <row r="1363" spans="3:12" ht="15" customHeight="1" x14ac:dyDescent="0.3">
      <c r="C1363" s="108"/>
      <c r="D1363" s="108"/>
      <c r="G1363" s="50">
        <f>РЕАЛИЗАЦИЯ[[#This Row],[СОНИ]]*РЕАЛИЗАЦИЯ[[#This Row],[НАРХИ]]</f>
        <v>0</v>
      </c>
      <c r="I1363" s="94"/>
      <c r="J1363" s="31">
        <f>РЕАЛИЗАЦИЯ[[#This Row],[СОНИ]]*РЕАЛИЗАЦИЯ[[#This Row],[ТАННАРХ]]</f>
        <v>0</v>
      </c>
      <c r="K1363" s="31">
        <f>РЕАЛИЗАЦИЯ[[#This Row],[ЖАМИ]]-РЕАЛИЗАЦИЯ[[#This Row],[ЖАМИ2]]</f>
        <v>0</v>
      </c>
      <c r="L1363" s="31"/>
    </row>
    <row r="1364" spans="3:12" ht="15" customHeight="1" x14ac:dyDescent="0.3">
      <c r="C1364" s="108"/>
      <c r="D1364" s="108"/>
      <c r="G1364" s="50">
        <f>РЕАЛИЗАЦИЯ[[#This Row],[СОНИ]]*РЕАЛИЗАЦИЯ[[#This Row],[НАРХИ]]</f>
        <v>0</v>
      </c>
      <c r="I1364" s="94"/>
      <c r="J1364" s="31">
        <f>РЕАЛИЗАЦИЯ[[#This Row],[СОНИ]]*РЕАЛИЗАЦИЯ[[#This Row],[ТАННАРХ]]</f>
        <v>0</v>
      </c>
      <c r="K1364" s="31">
        <f>РЕАЛИЗАЦИЯ[[#This Row],[ЖАМИ]]-РЕАЛИЗАЦИЯ[[#This Row],[ЖАМИ2]]</f>
        <v>0</v>
      </c>
      <c r="L1364" s="31"/>
    </row>
    <row r="1365" spans="3:12" ht="15" customHeight="1" x14ac:dyDescent="0.3">
      <c r="C1365" s="108"/>
      <c r="D1365" s="108"/>
      <c r="G1365" s="50">
        <f>РЕАЛИЗАЦИЯ[[#This Row],[СОНИ]]*РЕАЛИЗАЦИЯ[[#This Row],[НАРХИ]]</f>
        <v>0</v>
      </c>
      <c r="I1365" s="94"/>
      <c r="J1365" s="31">
        <f>РЕАЛИЗАЦИЯ[[#This Row],[СОНИ]]*РЕАЛИЗАЦИЯ[[#This Row],[ТАННАРХ]]</f>
        <v>0</v>
      </c>
      <c r="K1365" s="31">
        <f>РЕАЛИЗАЦИЯ[[#This Row],[ЖАМИ]]-РЕАЛИЗАЦИЯ[[#This Row],[ЖАМИ2]]</f>
        <v>0</v>
      </c>
      <c r="L1365" s="31"/>
    </row>
    <row r="1366" spans="3:12" ht="15" customHeight="1" x14ac:dyDescent="0.3">
      <c r="C1366" s="108"/>
      <c r="D1366" s="108"/>
      <c r="G1366" s="50">
        <f>РЕАЛИЗАЦИЯ[[#This Row],[СОНИ]]*РЕАЛИЗАЦИЯ[[#This Row],[НАРХИ]]</f>
        <v>0</v>
      </c>
      <c r="I1366" s="94"/>
      <c r="J1366" s="31">
        <f>РЕАЛИЗАЦИЯ[[#This Row],[СОНИ]]*РЕАЛИЗАЦИЯ[[#This Row],[ТАННАРХ]]</f>
        <v>0</v>
      </c>
      <c r="K1366" s="31">
        <f>РЕАЛИЗАЦИЯ[[#This Row],[ЖАМИ]]-РЕАЛИЗАЦИЯ[[#This Row],[ЖАМИ2]]</f>
        <v>0</v>
      </c>
      <c r="L1366" s="31"/>
    </row>
    <row r="1367" spans="3:12" ht="15" customHeight="1" x14ac:dyDescent="0.3">
      <c r="C1367" s="108"/>
      <c r="D1367" s="108"/>
      <c r="G1367" s="50">
        <f>РЕАЛИЗАЦИЯ[[#This Row],[СОНИ]]*РЕАЛИЗАЦИЯ[[#This Row],[НАРХИ]]</f>
        <v>0</v>
      </c>
      <c r="I1367" s="94"/>
      <c r="J1367" s="31">
        <f>РЕАЛИЗАЦИЯ[[#This Row],[СОНИ]]*РЕАЛИЗАЦИЯ[[#This Row],[ТАННАРХ]]</f>
        <v>0</v>
      </c>
      <c r="K1367" s="31">
        <f>РЕАЛИЗАЦИЯ[[#This Row],[ЖАМИ]]-РЕАЛИЗАЦИЯ[[#This Row],[ЖАМИ2]]</f>
        <v>0</v>
      </c>
      <c r="L1367" s="31"/>
    </row>
    <row r="1368" spans="3:12" ht="15" customHeight="1" x14ac:dyDescent="0.3">
      <c r="C1368" s="108"/>
      <c r="D1368" s="108"/>
      <c r="G1368" s="50">
        <f>РЕАЛИЗАЦИЯ[[#This Row],[СОНИ]]*РЕАЛИЗАЦИЯ[[#This Row],[НАРХИ]]</f>
        <v>0</v>
      </c>
      <c r="I1368" s="94"/>
      <c r="J1368" s="31">
        <f>РЕАЛИЗАЦИЯ[[#This Row],[СОНИ]]*РЕАЛИЗАЦИЯ[[#This Row],[ТАННАРХ]]</f>
        <v>0</v>
      </c>
      <c r="K1368" s="31">
        <f>РЕАЛИЗАЦИЯ[[#This Row],[ЖАМИ]]-РЕАЛИЗАЦИЯ[[#This Row],[ЖАМИ2]]</f>
        <v>0</v>
      </c>
      <c r="L1368" s="31"/>
    </row>
    <row r="1369" spans="3:12" ht="15" customHeight="1" x14ac:dyDescent="0.3">
      <c r="C1369" s="108"/>
      <c r="D1369" s="108"/>
      <c r="G1369" s="50">
        <f>РЕАЛИЗАЦИЯ[[#This Row],[СОНИ]]*РЕАЛИЗАЦИЯ[[#This Row],[НАРХИ]]</f>
        <v>0</v>
      </c>
      <c r="I1369" s="94"/>
      <c r="J1369" s="31">
        <f>РЕАЛИЗАЦИЯ[[#This Row],[СОНИ]]*РЕАЛИЗАЦИЯ[[#This Row],[ТАННАРХ]]</f>
        <v>0</v>
      </c>
      <c r="K1369" s="31">
        <f>РЕАЛИЗАЦИЯ[[#This Row],[ЖАМИ]]-РЕАЛИЗАЦИЯ[[#This Row],[ЖАМИ2]]</f>
        <v>0</v>
      </c>
      <c r="L1369" s="31"/>
    </row>
    <row r="1370" spans="3:12" ht="15" customHeight="1" x14ac:dyDescent="0.3">
      <c r="C1370" s="108"/>
      <c r="D1370" s="108"/>
      <c r="G1370" s="50">
        <f>РЕАЛИЗАЦИЯ[[#This Row],[СОНИ]]*РЕАЛИЗАЦИЯ[[#This Row],[НАРХИ]]</f>
        <v>0</v>
      </c>
      <c r="I1370" s="94"/>
      <c r="J1370" s="31">
        <f>РЕАЛИЗАЦИЯ[[#This Row],[СОНИ]]*РЕАЛИЗАЦИЯ[[#This Row],[ТАННАРХ]]</f>
        <v>0</v>
      </c>
      <c r="K1370" s="31">
        <f>РЕАЛИЗАЦИЯ[[#This Row],[ЖАМИ]]-РЕАЛИЗАЦИЯ[[#This Row],[ЖАМИ2]]</f>
        <v>0</v>
      </c>
      <c r="L1370" s="31"/>
    </row>
    <row r="1371" spans="3:12" ht="15" customHeight="1" x14ac:dyDescent="0.3">
      <c r="C1371" s="108"/>
      <c r="D1371" s="108"/>
      <c r="G1371" s="50">
        <f>РЕАЛИЗАЦИЯ[[#This Row],[СОНИ]]*РЕАЛИЗАЦИЯ[[#This Row],[НАРХИ]]</f>
        <v>0</v>
      </c>
      <c r="I1371" s="94"/>
      <c r="J1371" s="31">
        <f>РЕАЛИЗАЦИЯ[[#This Row],[СОНИ]]*РЕАЛИЗАЦИЯ[[#This Row],[ТАННАРХ]]</f>
        <v>0</v>
      </c>
      <c r="K1371" s="31">
        <f>РЕАЛИЗАЦИЯ[[#This Row],[ЖАМИ]]-РЕАЛИЗАЦИЯ[[#This Row],[ЖАМИ2]]</f>
        <v>0</v>
      </c>
      <c r="L1371" s="31"/>
    </row>
    <row r="1372" spans="3:12" ht="15" customHeight="1" x14ac:dyDescent="0.3">
      <c r="C1372" s="108"/>
      <c r="D1372" s="108"/>
      <c r="G1372" s="50">
        <f>РЕАЛИЗАЦИЯ[[#This Row],[СОНИ]]*РЕАЛИЗАЦИЯ[[#This Row],[НАРХИ]]</f>
        <v>0</v>
      </c>
      <c r="I1372" s="94"/>
      <c r="J1372" s="31">
        <f>РЕАЛИЗАЦИЯ[[#This Row],[СОНИ]]*РЕАЛИЗАЦИЯ[[#This Row],[ТАННАРХ]]</f>
        <v>0</v>
      </c>
      <c r="K1372" s="31">
        <f>РЕАЛИЗАЦИЯ[[#This Row],[ЖАМИ]]-РЕАЛИЗАЦИЯ[[#This Row],[ЖАМИ2]]</f>
        <v>0</v>
      </c>
      <c r="L1372" s="31"/>
    </row>
    <row r="1373" spans="3:12" ht="15" customHeight="1" x14ac:dyDescent="0.3">
      <c r="C1373" s="108"/>
      <c r="D1373" s="108"/>
      <c r="G1373" s="50">
        <f>РЕАЛИЗАЦИЯ[[#This Row],[СОНИ]]*РЕАЛИЗАЦИЯ[[#This Row],[НАРХИ]]</f>
        <v>0</v>
      </c>
      <c r="I1373" s="94"/>
      <c r="J1373" s="31">
        <f>РЕАЛИЗАЦИЯ[[#This Row],[СОНИ]]*РЕАЛИЗАЦИЯ[[#This Row],[ТАННАРХ]]</f>
        <v>0</v>
      </c>
      <c r="K1373" s="31">
        <f>РЕАЛИЗАЦИЯ[[#This Row],[ЖАМИ]]-РЕАЛИЗАЦИЯ[[#This Row],[ЖАМИ2]]</f>
        <v>0</v>
      </c>
      <c r="L1373" s="31"/>
    </row>
    <row r="1374" spans="3:12" ht="15" customHeight="1" x14ac:dyDescent="0.3">
      <c r="C1374" s="108"/>
      <c r="D1374" s="108"/>
      <c r="G1374" s="50">
        <f>РЕАЛИЗАЦИЯ[[#This Row],[СОНИ]]*РЕАЛИЗАЦИЯ[[#This Row],[НАРХИ]]</f>
        <v>0</v>
      </c>
      <c r="I1374" s="94"/>
      <c r="J1374" s="31">
        <f>РЕАЛИЗАЦИЯ[[#This Row],[СОНИ]]*РЕАЛИЗАЦИЯ[[#This Row],[ТАННАРХ]]</f>
        <v>0</v>
      </c>
      <c r="K1374" s="31">
        <f>РЕАЛИЗАЦИЯ[[#This Row],[ЖАМИ]]-РЕАЛИЗАЦИЯ[[#This Row],[ЖАМИ2]]</f>
        <v>0</v>
      </c>
      <c r="L1374" s="31"/>
    </row>
    <row r="1375" spans="3:12" ht="15" customHeight="1" x14ac:dyDescent="0.3">
      <c r="C1375" s="108"/>
      <c r="D1375" s="108"/>
      <c r="G1375" s="50">
        <f>РЕАЛИЗАЦИЯ[[#This Row],[СОНИ]]*РЕАЛИЗАЦИЯ[[#This Row],[НАРХИ]]</f>
        <v>0</v>
      </c>
      <c r="I1375" s="94"/>
      <c r="J1375" s="31">
        <f>РЕАЛИЗАЦИЯ[[#This Row],[СОНИ]]*РЕАЛИЗАЦИЯ[[#This Row],[ТАННАРХ]]</f>
        <v>0</v>
      </c>
      <c r="K1375" s="31">
        <f>РЕАЛИЗАЦИЯ[[#This Row],[ЖАМИ]]-РЕАЛИЗАЦИЯ[[#This Row],[ЖАМИ2]]</f>
        <v>0</v>
      </c>
      <c r="L1375" s="31"/>
    </row>
    <row r="1376" spans="3:12" ht="15" customHeight="1" x14ac:dyDescent="0.3">
      <c r="C1376" s="108"/>
      <c r="D1376" s="108"/>
      <c r="G1376" s="50">
        <f>РЕАЛИЗАЦИЯ[[#This Row],[СОНИ]]*РЕАЛИЗАЦИЯ[[#This Row],[НАРХИ]]</f>
        <v>0</v>
      </c>
      <c r="I1376" s="94"/>
      <c r="J1376" s="31">
        <f>РЕАЛИЗАЦИЯ[[#This Row],[СОНИ]]*РЕАЛИЗАЦИЯ[[#This Row],[ТАННАРХ]]</f>
        <v>0</v>
      </c>
      <c r="K1376" s="31">
        <f>РЕАЛИЗАЦИЯ[[#This Row],[ЖАМИ]]-РЕАЛИЗАЦИЯ[[#This Row],[ЖАМИ2]]</f>
        <v>0</v>
      </c>
      <c r="L1376" s="31"/>
    </row>
    <row r="1377" spans="3:12" ht="15" customHeight="1" x14ac:dyDescent="0.3">
      <c r="C1377" s="108"/>
      <c r="D1377" s="108"/>
      <c r="G1377" s="50">
        <f>РЕАЛИЗАЦИЯ[[#This Row],[СОНИ]]*РЕАЛИЗАЦИЯ[[#This Row],[НАРХИ]]</f>
        <v>0</v>
      </c>
      <c r="I1377" s="94"/>
      <c r="J1377" s="31">
        <f>РЕАЛИЗАЦИЯ[[#This Row],[СОНИ]]*РЕАЛИЗАЦИЯ[[#This Row],[ТАННАРХ]]</f>
        <v>0</v>
      </c>
      <c r="K1377" s="31">
        <f>РЕАЛИЗАЦИЯ[[#This Row],[ЖАМИ]]-РЕАЛИЗАЦИЯ[[#This Row],[ЖАМИ2]]</f>
        <v>0</v>
      </c>
      <c r="L1377" s="31"/>
    </row>
    <row r="1378" spans="3:12" ht="15" customHeight="1" x14ac:dyDescent="0.3">
      <c r="C1378" s="108"/>
      <c r="D1378" s="108"/>
      <c r="G1378" s="50">
        <f>РЕАЛИЗАЦИЯ[[#This Row],[СОНИ]]*РЕАЛИЗАЦИЯ[[#This Row],[НАРХИ]]</f>
        <v>0</v>
      </c>
      <c r="I1378" s="94"/>
      <c r="J1378" s="31">
        <f>РЕАЛИЗАЦИЯ[[#This Row],[СОНИ]]*РЕАЛИЗАЦИЯ[[#This Row],[ТАННАРХ]]</f>
        <v>0</v>
      </c>
      <c r="K1378" s="31">
        <f>РЕАЛИЗАЦИЯ[[#This Row],[ЖАМИ]]-РЕАЛИЗАЦИЯ[[#This Row],[ЖАМИ2]]</f>
        <v>0</v>
      </c>
      <c r="L1378" s="31"/>
    </row>
    <row r="1379" spans="3:12" ht="15" customHeight="1" x14ac:dyDescent="0.3">
      <c r="C1379" s="108"/>
      <c r="D1379" s="108"/>
      <c r="G1379" s="50">
        <f>РЕАЛИЗАЦИЯ[[#This Row],[СОНИ]]*РЕАЛИЗАЦИЯ[[#This Row],[НАРХИ]]</f>
        <v>0</v>
      </c>
      <c r="I1379" s="94"/>
      <c r="J1379" s="31">
        <f>РЕАЛИЗАЦИЯ[[#This Row],[СОНИ]]*РЕАЛИЗАЦИЯ[[#This Row],[ТАННАРХ]]</f>
        <v>0</v>
      </c>
      <c r="K1379" s="31">
        <f>РЕАЛИЗАЦИЯ[[#This Row],[ЖАМИ]]-РЕАЛИЗАЦИЯ[[#This Row],[ЖАМИ2]]</f>
        <v>0</v>
      </c>
      <c r="L1379" s="31"/>
    </row>
    <row r="1380" spans="3:12" ht="15" customHeight="1" x14ac:dyDescent="0.3">
      <c r="C1380" s="108"/>
      <c r="D1380" s="108"/>
      <c r="G1380" s="50">
        <f>РЕАЛИЗАЦИЯ[[#This Row],[СОНИ]]*РЕАЛИЗАЦИЯ[[#This Row],[НАРХИ]]</f>
        <v>0</v>
      </c>
      <c r="I1380" s="94"/>
      <c r="J1380" s="31">
        <f>РЕАЛИЗАЦИЯ[[#This Row],[СОНИ]]*РЕАЛИЗАЦИЯ[[#This Row],[ТАННАРХ]]</f>
        <v>0</v>
      </c>
      <c r="K1380" s="31">
        <f>РЕАЛИЗАЦИЯ[[#This Row],[ЖАМИ]]-РЕАЛИЗАЦИЯ[[#This Row],[ЖАМИ2]]</f>
        <v>0</v>
      </c>
      <c r="L1380" s="31"/>
    </row>
    <row r="1381" spans="3:12" ht="15" customHeight="1" x14ac:dyDescent="0.3">
      <c r="C1381" s="108"/>
      <c r="D1381" s="108"/>
      <c r="G1381" s="50">
        <f>РЕАЛИЗАЦИЯ[[#This Row],[СОНИ]]*РЕАЛИЗАЦИЯ[[#This Row],[НАРХИ]]</f>
        <v>0</v>
      </c>
      <c r="I1381" s="94"/>
      <c r="J1381" s="31">
        <f>РЕАЛИЗАЦИЯ[[#This Row],[СОНИ]]*РЕАЛИЗАЦИЯ[[#This Row],[ТАННАРХ]]</f>
        <v>0</v>
      </c>
      <c r="K1381" s="31">
        <f>РЕАЛИЗАЦИЯ[[#This Row],[ЖАМИ]]-РЕАЛИЗАЦИЯ[[#This Row],[ЖАМИ2]]</f>
        <v>0</v>
      </c>
      <c r="L1381" s="31"/>
    </row>
    <row r="1382" spans="3:12" ht="15" customHeight="1" x14ac:dyDescent="0.3">
      <c r="C1382" s="108"/>
      <c r="D1382" s="108"/>
      <c r="G1382" s="50">
        <f>РЕАЛИЗАЦИЯ[[#This Row],[СОНИ]]*РЕАЛИЗАЦИЯ[[#This Row],[НАРХИ]]</f>
        <v>0</v>
      </c>
      <c r="I1382" s="94"/>
      <c r="J1382" s="31">
        <f>РЕАЛИЗАЦИЯ[[#This Row],[СОНИ]]*РЕАЛИЗАЦИЯ[[#This Row],[ТАННАРХ]]</f>
        <v>0</v>
      </c>
      <c r="K1382" s="31">
        <f>РЕАЛИЗАЦИЯ[[#This Row],[ЖАМИ]]-РЕАЛИЗАЦИЯ[[#This Row],[ЖАМИ2]]</f>
        <v>0</v>
      </c>
      <c r="L1382" s="31"/>
    </row>
    <row r="1383" spans="3:12" ht="15" customHeight="1" x14ac:dyDescent="0.3">
      <c r="C1383" s="108"/>
      <c r="D1383" s="108"/>
      <c r="G1383" s="50">
        <f>РЕАЛИЗАЦИЯ[[#This Row],[СОНИ]]*РЕАЛИЗАЦИЯ[[#This Row],[НАРХИ]]</f>
        <v>0</v>
      </c>
      <c r="I1383" s="94"/>
      <c r="J1383" s="31">
        <f>РЕАЛИЗАЦИЯ[[#This Row],[СОНИ]]*РЕАЛИЗАЦИЯ[[#This Row],[ТАННАРХ]]</f>
        <v>0</v>
      </c>
      <c r="K1383" s="31">
        <f>РЕАЛИЗАЦИЯ[[#This Row],[ЖАМИ]]-РЕАЛИЗАЦИЯ[[#This Row],[ЖАМИ2]]</f>
        <v>0</v>
      </c>
      <c r="L1383" s="31"/>
    </row>
    <row r="1384" spans="3:12" ht="15" customHeight="1" x14ac:dyDescent="0.3">
      <c r="C1384" s="108"/>
      <c r="D1384" s="108"/>
      <c r="G1384" s="50">
        <f>РЕАЛИЗАЦИЯ[[#This Row],[СОНИ]]*РЕАЛИЗАЦИЯ[[#This Row],[НАРХИ]]</f>
        <v>0</v>
      </c>
      <c r="I1384" s="94"/>
      <c r="J1384" s="31">
        <f>РЕАЛИЗАЦИЯ[[#This Row],[СОНИ]]*РЕАЛИЗАЦИЯ[[#This Row],[ТАННАРХ]]</f>
        <v>0</v>
      </c>
      <c r="K1384" s="31">
        <f>РЕАЛИЗАЦИЯ[[#This Row],[ЖАМИ]]-РЕАЛИЗАЦИЯ[[#This Row],[ЖАМИ2]]</f>
        <v>0</v>
      </c>
      <c r="L1384" s="31"/>
    </row>
    <row r="1385" spans="3:12" ht="15" customHeight="1" x14ac:dyDescent="0.3">
      <c r="C1385" s="108"/>
      <c r="D1385" s="108"/>
      <c r="G1385" s="50">
        <f>РЕАЛИЗАЦИЯ[[#This Row],[СОНИ]]*РЕАЛИЗАЦИЯ[[#This Row],[НАРХИ]]</f>
        <v>0</v>
      </c>
      <c r="I1385" s="94"/>
      <c r="J1385" s="31">
        <f>РЕАЛИЗАЦИЯ[[#This Row],[СОНИ]]*РЕАЛИЗАЦИЯ[[#This Row],[ТАННАРХ]]</f>
        <v>0</v>
      </c>
      <c r="K1385" s="31">
        <f>РЕАЛИЗАЦИЯ[[#This Row],[ЖАМИ]]-РЕАЛИЗАЦИЯ[[#This Row],[ЖАМИ2]]</f>
        <v>0</v>
      </c>
      <c r="L1385" s="31"/>
    </row>
    <row r="1386" spans="3:12" ht="15" customHeight="1" x14ac:dyDescent="0.3">
      <c r="C1386" s="108"/>
      <c r="D1386" s="108"/>
      <c r="G1386" s="50">
        <f>РЕАЛИЗАЦИЯ[[#This Row],[СОНИ]]*РЕАЛИЗАЦИЯ[[#This Row],[НАРХИ]]</f>
        <v>0</v>
      </c>
      <c r="I1386" s="94"/>
      <c r="J1386" s="31">
        <f>РЕАЛИЗАЦИЯ[[#This Row],[СОНИ]]*РЕАЛИЗАЦИЯ[[#This Row],[ТАННАРХ]]</f>
        <v>0</v>
      </c>
      <c r="K1386" s="31">
        <f>РЕАЛИЗАЦИЯ[[#This Row],[ЖАМИ]]-РЕАЛИЗАЦИЯ[[#This Row],[ЖАМИ2]]</f>
        <v>0</v>
      </c>
      <c r="L1386" s="31"/>
    </row>
    <row r="1387" spans="3:12" ht="15" customHeight="1" x14ac:dyDescent="0.3">
      <c r="C1387" s="108"/>
      <c r="D1387" s="108"/>
      <c r="G1387" s="50">
        <f>РЕАЛИЗАЦИЯ[[#This Row],[СОНИ]]*РЕАЛИЗАЦИЯ[[#This Row],[НАРХИ]]</f>
        <v>0</v>
      </c>
      <c r="I1387" s="94"/>
      <c r="J1387" s="31">
        <f>РЕАЛИЗАЦИЯ[[#This Row],[СОНИ]]*РЕАЛИЗАЦИЯ[[#This Row],[ТАННАРХ]]</f>
        <v>0</v>
      </c>
      <c r="K1387" s="31">
        <f>РЕАЛИЗАЦИЯ[[#This Row],[ЖАМИ]]-РЕАЛИЗАЦИЯ[[#This Row],[ЖАМИ2]]</f>
        <v>0</v>
      </c>
      <c r="L1387" s="31"/>
    </row>
    <row r="1388" spans="3:12" ht="15" customHeight="1" x14ac:dyDescent="0.3">
      <c r="C1388" s="108"/>
      <c r="D1388" s="108"/>
      <c r="G1388" s="50">
        <f>РЕАЛИЗАЦИЯ[[#This Row],[СОНИ]]*РЕАЛИЗАЦИЯ[[#This Row],[НАРХИ]]</f>
        <v>0</v>
      </c>
      <c r="I1388" s="94"/>
      <c r="J1388" s="31">
        <f>РЕАЛИЗАЦИЯ[[#This Row],[СОНИ]]*РЕАЛИЗАЦИЯ[[#This Row],[ТАННАРХ]]</f>
        <v>0</v>
      </c>
      <c r="K1388" s="31">
        <f>РЕАЛИЗАЦИЯ[[#This Row],[ЖАМИ]]-РЕАЛИЗАЦИЯ[[#This Row],[ЖАМИ2]]</f>
        <v>0</v>
      </c>
      <c r="L1388" s="31"/>
    </row>
    <row r="1389" spans="3:12" ht="15" customHeight="1" x14ac:dyDescent="0.3">
      <c r="C1389" s="108"/>
      <c r="D1389" s="108"/>
      <c r="G1389" s="50">
        <f>РЕАЛИЗАЦИЯ[[#This Row],[СОНИ]]*РЕАЛИЗАЦИЯ[[#This Row],[НАРХИ]]</f>
        <v>0</v>
      </c>
      <c r="I1389" s="94"/>
      <c r="J1389" s="31">
        <f>РЕАЛИЗАЦИЯ[[#This Row],[СОНИ]]*РЕАЛИЗАЦИЯ[[#This Row],[ТАННАРХ]]</f>
        <v>0</v>
      </c>
      <c r="K1389" s="31">
        <f>РЕАЛИЗАЦИЯ[[#This Row],[ЖАМИ]]-РЕАЛИЗАЦИЯ[[#This Row],[ЖАМИ2]]</f>
        <v>0</v>
      </c>
      <c r="L1389" s="31"/>
    </row>
    <row r="1390" spans="3:12" ht="15" customHeight="1" x14ac:dyDescent="0.3">
      <c r="C1390" s="108"/>
      <c r="D1390" s="108"/>
      <c r="G1390" s="50">
        <f>РЕАЛИЗАЦИЯ[[#This Row],[СОНИ]]*РЕАЛИЗАЦИЯ[[#This Row],[НАРХИ]]</f>
        <v>0</v>
      </c>
      <c r="I1390" s="94"/>
      <c r="J1390" s="31">
        <f>РЕАЛИЗАЦИЯ[[#This Row],[СОНИ]]*РЕАЛИЗАЦИЯ[[#This Row],[ТАННАРХ]]</f>
        <v>0</v>
      </c>
      <c r="K1390" s="31">
        <f>РЕАЛИЗАЦИЯ[[#This Row],[ЖАМИ]]-РЕАЛИЗАЦИЯ[[#This Row],[ЖАМИ2]]</f>
        <v>0</v>
      </c>
      <c r="L1390" s="31"/>
    </row>
    <row r="1391" spans="3:12" ht="15" customHeight="1" x14ac:dyDescent="0.3">
      <c r="C1391" s="108"/>
      <c r="D1391" s="108"/>
      <c r="G1391" s="50">
        <f>РЕАЛИЗАЦИЯ[[#This Row],[СОНИ]]*РЕАЛИЗАЦИЯ[[#This Row],[НАРХИ]]</f>
        <v>0</v>
      </c>
      <c r="I1391" s="94"/>
      <c r="J1391" s="31">
        <f>РЕАЛИЗАЦИЯ[[#This Row],[СОНИ]]*РЕАЛИЗАЦИЯ[[#This Row],[ТАННАРХ]]</f>
        <v>0</v>
      </c>
      <c r="K1391" s="31">
        <f>РЕАЛИЗАЦИЯ[[#This Row],[ЖАМИ]]-РЕАЛИЗАЦИЯ[[#This Row],[ЖАМИ2]]</f>
        <v>0</v>
      </c>
      <c r="L1391" s="31"/>
    </row>
    <row r="1392" spans="3:12" ht="15" customHeight="1" x14ac:dyDescent="0.3">
      <c r="C1392" s="108"/>
      <c r="D1392" s="108"/>
      <c r="G1392" s="50">
        <f>РЕАЛИЗАЦИЯ[[#This Row],[СОНИ]]*РЕАЛИЗАЦИЯ[[#This Row],[НАРХИ]]</f>
        <v>0</v>
      </c>
      <c r="I1392" s="94"/>
      <c r="J1392" s="31">
        <f>РЕАЛИЗАЦИЯ[[#This Row],[СОНИ]]*РЕАЛИЗАЦИЯ[[#This Row],[ТАННАРХ]]</f>
        <v>0</v>
      </c>
      <c r="K1392" s="31">
        <f>РЕАЛИЗАЦИЯ[[#This Row],[ЖАМИ]]-РЕАЛИЗАЦИЯ[[#This Row],[ЖАМИ2]]</f>
        <v>0</v>
      </c>
      <c r="L1392" s="31"/>
    </row>
    <row r="1393" spans="3:12" ht="15" customHeight="1" x14ac:dyDescent="0.3">
      <c r="C1393" s="158"/>
      <c r="D1393" s="158"/>
      <c r="G1393" s="50">
        <f>РЕАЛИЗАЦИЯ[[#This Row],[СОНИ]]*РЕАЛИЗАЦИЯ[[#This Row],[НАРХИ]]</f>
        <v>0</v>
      </c>
      <c r="I1393" s="132"/>
      <c r="J1393" s="31">
        <f>РЕАЛИЗАЦИЯ[[#This Row],[СОНИ]]*РЕАЛИЗАЦИЯ[[#This Row],[ТАННАРХ]]</f>
        <v>0</v>
      </c>
      <c r="K1393" s="31">
        <f>РЕАЛИЗАЦИЯ[[#This Row],[ЖАМИ]]-РЕАЛИЗАЦИЯ[[#This Row],[ЖАМИ2]]</f>
        <v>0</v>
      </c>
      <c r="L1393" s="31"/>
    </row>
    <row r="1394" spans="3:12" ht="15" customHeight="1" x14ac:dyDescent="0.3">
      <c r="C1394" s="108"/>
      <c r="D1394" s="108"/>
      <c r="G1394" s="50">
        <f>РЕАЛИЗАЦИЯ[[#This Row],[СОНИ]]*РЕАЛИЗАЦИЯ[[#This Row],[НАРХИ]]</f>
        <v>0</v>
      </c>
      <c r="I1394" s="94"/>
      <c r="J1394" s="31">
        <f>РЕАЛИЗАЦИЯ[[#This Row],[СОНИ]]*РЕАЛИЗАЦИЯ[[#This Row],[ТАННАРХ]]</f>
        <v>0</v>
      </c>
      <c r="K1394" s="31">
        <f>РЕАЛИЗАЦИЯ[[#This Row],[ЖАМИ]]-РЕАЛИЗАЦИЯ[[#This Row],[ЖАМИ2]]</f>
        <v>0</v>
      </c>
      <c r="L1394" s="31"/>
    </row>
    <row r="1395" spans="3:12" ht="15" customHeight="1" x14ac:dyDescent="0.3">
      <c r="C1395" s="108"/>
      <c r="D1395" s="108"/>
      <c r="G1395" s="50">
        <f>РЕАЛИЗАЦИЯ[[#This Row],[СОНИ]]*РЕАЛИЗАЦИЯ[[#This Row],[НАРХИ]]</f>
        <v>0</v>
      </c>
      <c r="I1395" s="94"/>
      <c r="J1395" s="31">
        <f>РЕАЛИЗАЦИЯ[[#This Row],[СОНИ]]*РЕАЛИЗАЦИЯ[[#This Row],[ТАННАРХ]]</f>
        <v>0</v>
      </c>
      <c r="K1395" s="31">
        <f>РЕАЛИЗАЦИЯ[[#This Row],[ЖАМИ]]-РЕАЛИЗАЦИЯ[[#This Row],[ЖАМИ2]]</f>
        <v>0</v>
      </c>
      <c r="L1395" s="31"/>
    </row>
    <row r="1396" spans="3:12" ht="15" customHeight="1" x14ac:dyDescent="0.3">
      <c r="C1396" s="112"/>
      <c r="D1396" s="112"/>
      <c r="G1396" s="50">
        <f>РЕАЛИЗАЦИЯ[[#This Row],[СОНИ]]*РЕАЛИЗАЦИЯ[[#This Row],[НАРХИ]]</f>
        <v>0</v>
      </c>
      <c r="I1396" s="94"/>
      <c r="J1396" s="31">
        <f>РЕАЛИЗАЦИЯ[[#This Row],[СОНИ]]*РЕАЛИЗАЦИЯ[[#This Row],[ТАННАРХ]]</f>
        <v>0</v>
      </c>
      <c r="K1396" s="31">
        <f>РЕАЛИЗАЦИЯ[[#This Row],[ЖАМИ]]-РЕАЛИЗАЦИЯ[[#This Row],[ЖАМИ2]]</f>
        <v>0</v>
      </c>
      <c r="L1396" s="31"/>
    </row>
    <row r="1397" spans="3:12" ht="15" customHeight="1" x14ac:dyDescent="0.3">
      <c r="C1397" s="108"/>
      <c r="D1397" s="108"/>
      <c r="G1397" s="50">
        <f>РЕАЛИЗАЦИЯ[[#This Row],[СОНИ]]*РЕАЛИЗАЦИЯ[[#This Row],[НАРХИ]]</f>
        <v>0</v>
      </c>
      <c r="I1397" s="94"/>
      <c r="J1397" s="31">
        <f>РЕАЛИЗАЦИЯ[[#This Row],[СОНИ]]*РЕАЛИЗАЦИЯ[[#This Row],[ТАННАРХ]]</f>
        <v>0</v>
      </c>
      <c r="K1397" s="31">
        <f>РЕАЛИЗАЦИЯ[[#This Row],[ЖАМИ]]-РЕАЛИЗАЦИЯ[[#This Row],[ЖАМИ2]]</f>
        <v>0</v>
      </c>
      <c r="L1397" s="31"/>
    </row>
    <row r="1398" spans="3:12" ht="15" customHeight="1" x14ac:dyDescent="0.3">
      <c r="C1398" s="108"/>
      <c r="D1398" s="108"/>
      <c r="G1398" s="50">
        <f>РЕАЛИЗАЦИЯ[[#This Row],[СОНИ]]*РЕАЛИЗАЦИЯ[[#This Row],[НАРХИ]]</f>
        <v>0</v>
      </c>
      <c r="I1398" s="94"/>
      <c r="J1398" s="31">
        <f>РЕАЛИЗАЦИЯ[[#This Row],[СОНИ]]*РЕАЛИЗАЦИЯ[[#This Row],[ТАННАРХ]]</f>
        <v>0</v>
      </c>
      <c r="K1398" s="31">
        <f>РЕАЛИЗАЦИЯ[[#This Row],[ЖАМИ]]-РЕАЛИЗАЦИЯ[[#This Row],[ЖАМИ2]]</f>
        <v>0</v>
      </c>
      <c r="L1398" s="31"/>
    </row>
    <row r="1399" spans="3:12" ht="15" customHeight="1" x14ac:dyDescent="0.3">
      <c r="C1399" s="108"/>
      <c r="D1399" s="108"/>
      <c r="G1399" s="50">
        <f>РЕАЛИЗАЦИЯ[[#This Row],[СОНИ]]*РЕАЛИЗАЦИЯ[[#This Row],[НАРХИ]]</f>
        <v>0</v>
      </c>
      <c r="I1399" s="94"/>
      <c r="J1399" s="31">
        <f>РЕАЛИЗАЦИЯ[[#This Row],[СОНИ]]*РЕАЛИЗАЦИЯ[[#This Row],[ТАННАРХ]]</f>
        <v>0</v>
      </c>
      <c r="K1399" s="31">
        <f>РЕАЛИЗАЦИЯ[[#This Row],[ЖАМИ]]-РЕАЛИЗАЦИЯ[[#This Row],[ЖАМИ2]]</f>
        <v>0</v>
      </c>
      <c r="L1399" s="31"/>
    </row>
    <row r="1400" spans="3:12" ht="15" customHeight="1" x14ac:dyDescent="0.3">
      <c r="C1400" s="108"/>
      <c r="D1400" s="108"/>
      <c r="G1400" s="50">
        <f>РЕАЛИЗАЦИЯ[[#This Row],[СОНИ]]*РЕАЛИЗАЦИЯ[[#This Row],[НАРХИ]]</f>
        <v>0</v>
      </c>
      <c r="I1400" s="94"/>
      <c r="J1400" s="31">
        <f>РЕАЛИЗАЦИЯ[[#This Row],[СОНИ]]*РЕАЛИЗАЦИЯ[[#This Row],[ТАННАРХ]]</f>
        <v>0</v>
      </c>
      <c r="K1400" s="31">
        <f>РЕАЛИЗАЦИЯ[[#This Row],[ЖАМИ]]-РЕАЛИЗАЦИЯ[[#This Row],[ЖАМИ2]]</f>
        <v>0</v>
      </c>
      <c r="L1400" s="31"/>
    </row>
    <row r="1401" spans="3:12" ht="15" customHeight="1" x14ac:dyDescent="0.3">
      <c r="C1401" s="108"/>
      <c r="D1401" s="108"/>
      <c r="G1401" s="50">
        <f>РЕАЛИЗАЦИЯ[[#This Row],[СОНИ]]*РЕАЛИЗАЦИЯ[[#This Row],[НАРХИ]]</f>
        <v>0</v>
      </c>
      <c r="I1401" s="94"/>
      <c r="J1401" s="31">
        <f>РЕАЛИЗАЦИЯ[[#This Row],[СОНИ]]*РЕАЛИЗАЦИЯ[[#This Row],[ТАННАРХ]]</f>
        <v>0</v>
      </c>
      <c r="K1401" s="31">
        <f>РЕАЛИЗАЦИЯ[[#This Row],[ЖАМИ]]-РЕАЛИЗАЦИЯ[[#This Row],[ЖАМИ2]]</f>
        <v>0</v>
      </c>
      <c r="L1401" s="31"/>
    </row>
    <row r="1402" spans="3:12" ht="15" customHeight="1" x14ac:dyDescent="0.3">
      <c r="C1402" s="178"/>
      <c r="D1402" s="178"/>
      <c r="G1402" s="50">
        <f>РЕАЛИЗАЦИЯ[[#This Row],[СОНИ]]*РЕАЛИЗАЦИЯ[[#This Row],[НАРХИ]]</f>
        <v>0</v>
      </c>
      <c r="I1402" s="166"/>
      <c r="J1402" s="31">
        <f>РЕАЛИЗАЦИЯ[[#This Row],[СОНИ]]*РЕАЛИЗАЦИЯ[[#This Row],[ТАННАРХ]]</f>
        <v>0</v>
      </c>
      <c r="K1402" s="31">
        <f>РЕАЛИЗАЦИЯ[[#This Row],[ЖАМИ]]-РЕАЛИЗАЦИЯ[[#This Row],[ЖАМИ2]]</f>
        <v>0</v>
      </c>
      <c r="L1402" s="31"/>
    </row>
    <row r="1403" spans="3:12" ht="15" customHeight="1" x14ac:dyDescent="0.3">
      <c r="C1403" s="108"/>
      <c r="D1403" s="108"/>
      <c r="G1403" s="50">
        <f>РЕАЛИЗАЦИЯ[[#This Row],[СОНИ]]*РЕАЛИЗАЦИЯ[[#This Row],[НАРХИ]]</f>
        <v>0</v>
      </c>
      <c r="I1403" s="94"/>
      <c r="J1403" s="31">
        <f>РЕАЛИЗАЦИЯ[[#This Row],[СОНИ]]*РЕАЛИЗАЦИЯ[[#This Row],[ТАННАРХ]]</f>
        <v>0</v>
      </c>
      <c r="K1403" s="31">
        <f>РЕАЛИЗАЦИЯ[[#This Row],[ЖАМИ]]-РЕАЛИЗАЦИЯ[[#This Row],[ЖАМИ2]]</f>
        <v>0</v>
      </c>
      <c r="L1403" s="31"/>
    </row>
    <row r="1404" spans="3:12" ht="15" customHeight="1" x14ac:dyDescent="0.3">
      <c r="C1404" s="108"/>
      <c r="D1404" s="108"/>
      <c r="G1404" s="50">
        <f>РЕАЛИЗАЦИЯ[[#This Row],[СОНИ]]*РЕАЛИЗАЦИЯ[[#This Row],[НАРХИ]]</f>
        <v>0</v>
      </c>
      <c r="I1404" s="94"/>
      <c r="J1404" s="31">
        <f>РЕАЛИЗАЦИЯ[[#This Row],[СОНИ]]*РЕАЛИЗАЦИЯ[[#This Row],[ТАННАРХ]]</f>
        <v>0</v>
      </c>
      <c r="K1404" s="31">
        <f>РЕАЛИЗАЦИЯ[[#This Row],[ЖАМИ]]-РЕАЛИЗАЦИЯ[[#This Row],[ЖАМИ2]]</f>
        <v>0</v>
      </c>
      <c r="L1404" s="31"/>
    </row>
    <row r="1405" spans="3:12" ht="15" customHeight="1" x14ac:dyDescent="0.3">
      <c r="C1405" s="108"/>
      <c r="D1405" s="108"/>
      <c r="G1405" s="50">
        <f>РЕАЛИЗАЦИЯ[[#This Row],[СОНИ]]*РЕАЛИЗАЦИЯ[[#This Row],[НАРХИ]]</f>
        <v>0</v>
      </c>
      <c r="I1405" s="94"/>
      <c r="J1405" s="31">
        <f>РЕАЛИЗАЦИЯ[[#This Row],[СОНИ]]*РЕАЛИЗАЦИЯ[[#This Row],[ТАННАРХ]]</f>
        <v>0</v>
      </c>
      <c r="K1405" s="31">
        <f>РЕАЛИЗАЦИЯ[[#This Row],[ЖАМИ]]-РЕАЛИЗАЦИЯ[[#This Row],[ЖАМИ2]]</f>
        <v>0</v>
      </c>
      <c r="L1405" s="31"/>
    </row>
    <row r="1406" spans="3:12" ht="15" customHeight="1" x14ac:dyDescent="0.3">
      <c r="C1406" s="108"/>
      <c r="D1406" s="108"/>
      <c r="G1406" s="50">
        <f>РЕАЛИЗАЦИЯ[[#This Row],[СОНИ]]*РЕАЛИЗАЦИЯ[[#This Row],[НАРХИ]]</f>
        <v>0</v>
      </c>
      <c r="I1406" s="94"/>
      <c r="J1406" s="31">
        <f>РЕАЛИЗАЦИЯ[[#This Row],[СОНИ]]*РЕАЛИЗАЦИЯ[[#This Row],[ТАННАРХ]]</f>
        <v>0</v>
      </c>
      <c r="K1406" s="31">
        <f>РЕАЛИЗАЦИЯ[[#This Row],[ЖАМИ]]-РЕАЛИЗАЦИЯ[[#This Row],[ЖАМИ2]]</f>
        <v>0</v>
      </c>
      <c r="L1406" s="31"/>
    </row>
    <row r="1407" spans="3:12" ht="15" customHeight="1" x14ac:dyDescent="0.3">
      <c r="C1407" s="109"/>
      <c r="D1407" s="109"/>
      <c r="G1407" s="50">
        <f>РЕАЛИЗАЦИЯ[[#This Row],[СОНИ]]*РЕАЛИЗАЦИЯ[[#This Row],[НАРХИ]]</f>
        <v>0</v>
      </c>
      <c r="I1407" s="94"/>
      <c r="J1407" s="31">
        <f>РЕАЛИЗАЦИЯ[[#This Row],[СОНИ]]*РЕАЛИЗАЦИЯ[[#This Row],[ТАННАРХ]]</f>
        <v>0</v>
      </c>
      <c r="K1407" s="31">
        <f>РЕАЛИЗАЦИЯ[[#This Row],[ЖАМИ]]-РЕАЛИЗАЦИЯ[[#This Row],[ЖАМИ2]]</f>
        <v>0</v>
      </c>
      <c r="L1407" s="31"/>
    </row>
    <row r="1408" spans="3:12" ht="15" customHeight="1" x14ac:dyDescent="0.3">
      <c r="C1408" s="109"/>
      <c r="D1408" s="109"/>
      <c r="G1408" s="50">
        <f>РЕАЛИЗАЦИЯ[[#This Row],[СОНИ]]*РЕАЛИЗАЦИЯ[[#This Row],[НАРХИ]]</f>
        <v>0</v>
      </c>
      <c r="I1408" s="94"/>
      <c r="J1408" s="31">
        <f>РЕАЛИЗАЦИЯ[[#This Row],[СОНИ]]*РЕАЛИЗАЦИЯ[[#This Row],[ТАННАРХ]]</f>
        <v>0</v>
      </c>
      <c r="K1408" s="31">
        <f>РЕАЛИЗАЦИЯ[[#This Row],[ЖАМИ]]-РЕАЛИЗАЦИЯ[[#This Row],[ЖАМИ2]]</f>
        <v>0</v>
      </c>
      <c r="L1408" s="31"/>
    </row>
    <row r="1409" spans="3:12" ht="15" customHeight="1" x14ac:dyDescent="0.3">
      <c r="C1409" s="109"/>
      <c r="D1409" s="109"/>
      <c r="G1409" s="50">
        <f>РЕАЛИЗАЦИЯ[[#This Row],[СОНИ]]*РЕАЛИЗАЦИЯ[[#This Row],[НАРХИ]]</f>
        <v>0</v>
      </c>
      <c r="I1409" s="94"/>
      <c r="J1409" s="31">
        <f>РЕАЛИЗАЦИЯ[[#This Row],[СОНИ]]*РЕАЛИЗАЦИЯ[[#This Row],[ТАННАРХ]]</f>
        <v>0</v>
      </c>
      <c r="K1409" s="31">
        <f>РЕАЛИЗАЦИЯ[[#This Row],[ЖАМИ]]-РЕАЛИЗАЦИЯ[[#This Row],[ЖАМИ2]]</f>
        <v>0</v>
      </c>
      <c r="L1409" s="31"/>
    </row>
    <row r="1410" spans="3:12" ht="15" customHeight="1" x14ac:dyDescent="0.3">
      <c r="C1410" s="109"/>
      <c r="D1410" s="109"/>
      <c r="G1410" s="50">
        <f>РЕАЛИЗАЦИЯ[[#This Row],[СОНИ]]*РЕАЛИЗАЦИЯ[[#This Row],[НАРХИ]]</f>
        <v>0</v>
      </c>
      <c r="I1410" s="94"/>
      <c r="J1410" s="31">
        <f>РЕАЛИЗАЦИЯ[[#This Row],[СОНИ]]*РЕАЛИЗАЦИЯ[[#This Row],[ТАННАРХ]]</f>
        <v>0</v>
      </c>
      <c r="K1410" s="31">
        <f>РЕАЛИЗАЦИЯ[[#This Row],[ЖАМИ]]-РЕАЛИЗАЦИЯ[[#This Row],[ЖАМИ2]]</f>
        <v>0</v>
      </c>
      <c r="L1410" s="31"/>
    </row>
    <row r="1411" spans="3:12" ht="15" customHeight="1" x14ac:dyDescent="0.3">
      <c r="C1411" s="109"/>
      <c r="D1411" s="109"/>
      <c r="G1411" s="50">
        <f>РЕАЛИЗАЦИЯ[[#This Row],[СОНИ]]*РЕАЛИЗАЦИЯ[[#This Row],[НАРХИ]]</f>
        <v>0</v>
      </c>
      <c r="I1411" s="94"/>
      <c r="J1411" s="31">
        <f>РЕАЛИЗАЦИЯ[[#This Row],[СОНИ]]*РЕАЛИЗАЦИЯ[[#This Row],[ТАННАРХ]]</f>
        <v>0</v>
      </c>
      <c r="K1411" s="31">
        <f>РЕАЛИЗАЦИЯ[[#This Row],[ЖАМИ]]-РЕАЛИЗАЦИЯ[[#This Row],[ЖАМИ2]]</f>
        <v>0</v>
      </c>
      <c r="L1411" s="31"/>
    </row>
    <row r="1412" spans="3:12" ht="15" customHeight="1" x14ac:dyDescent="0.3">
      <c r="C1412" s="109"/>
      <c r="D1412" s="109"/>
      <c r="G1412" s="50">
        <f>РЕАЛИЗАЦИЯ[[#This Row],[СОНИ]]*РЕАЛИЗАЦИЯ[[#This Row],[НАРХИ]]</f>
        <v>0</v>
      </c>
      <c r="I1412" s="94"/>
      <c r="J1412" s="31">
        <f>РЕАЛИЗАЦИЯ[[#This Row],[СОНИ]]*РЕАЛИЗАЦИЯ[[#This Row],[ТАННАРХ]]</f>
        <v>0</v>
      </c>
      <c r="K1412" s="31">
        <f>РЕАЛИЗАЦИЯ[[#This Row],[ЖАМИ]]-РЕАЛИЗАЦИЯ[[#This Row],[ЖАМИ2]]</f>
        <v>0</v>
      </c>
      <c r="L1412" s="31"/>
    </row>
    <row r="1413" spans="3:12" ht="15" customHeight="1" x14ac:dyDescent="0.3">
      <c r="C1413" s="109"/>
      <c r="D1413" s="109"/>
      <c r="G1413" s="50">
        <f>РЕАЛИЗАЦИЯ[[#This Row],[СОНИ]]*РЕАЛИЗАЦИЯ[[#This Row],[НАРХИ]]</f>
        <v>0</v>
      </c>
      <c r="I1413" s="94"/>
      <c r="J1413" s="31">
        <f>РЕАЛИЗАЦИЯ[[#This Row],[СОНИ]]*РЕАЛИЗАЦИЯ[[#This Row],[ТАННАРХ]]</f>
        <v>0</v>
      </c>
      <c r="K1413" s="31">
        <f>РЕАЛИЗАЦИЯ[[#This Row],[ЖАМИ]]-РЕАЛИЗАЦИЯ[[#This Row],[ЖАМИ2]]</f>
        <v>0</v>
      </c>
      <c r="L1413" s="31"/>
    </row>
    <row r="1414" spans="3:12" ht="15" customHeight="1" x14ac:dyDescent="0.3">
      <c r="C1414" s="109"/>
      <c r="D1414" s="109"/>
      <c r="G1414" s="50">
        <f>РЕАЛИЗАЦИЯ[[#This Row],[СОНИ]]*РЕАЛИЗАЦИЯ[[#This Row],[НАРХИ]]</f>
        <v>0</v>
      </c>
      <c r="I1414" s="94"/>
      <c r="J1414" s="31">
        <f>РЕАЛИЗАЦИЯ[[#This Row],[СОНИ]]*РЕАЛИЗАЦИЯ[[#This Row],[ТАННАРХ]]</f>
        <v>0</v>
      </c>
      <c r="K1414" s="31">
        <f>РЕАЛИЗАЦИЯ[[#This Row],[ЖАМИ]]-РЕАЛИЗАЦИЯ[[#This Row],[ЖАМИ2]]</f>
        <v>0</v>
      </c>
      <c r="L1414" s="31"/>
    </row>
    <row r="1415" spans="3:12" ht="15" customHeight="1" x14ac:dyDescent="0.3">
      <c r="C1415" s="109"/>
      <c r="D1415" s="109"/>
      <c r="G1415" s="50">
        <f>РЕАЛИЗАЦИЯ[[#This Row],[СОНИ]]*РЕАЛИЗАЦИЯ[[#This Row],[НАРХИ]]</f>
        <v>0</v>
      </c>
      <c r="I1415" s="94"/>
      <c r="J1415" s="31">
        <f>РЕАЛИЗАЦИЯ[[#This Row],[СОНИ]]*РЕАЛИЗАЦИЯ[[#This Row],[ТАННАРХ]]</f>
        <v>0</v>
      </c>
      <c r="K1415" s="31">
        <f>РЕАЛИЗАЦИЯ[[#This Row],[ЖАМИ]]-РЕАЛИЗАЦИЯ[[#This Row],[ЖАМИ2]]</f>
        <v>0</v>
      </c>
      <c r="L1415" s="31"/>
    </row>
    <row r="1416" spans="3:12" ht="15" customHeight="1" x14ac:dyDescent="0.3">
      <c r="C1416" s="109"/>
      <c r="D1416" s="109"/>
      <c r="G1416" s="50">
        <f>РЕАЛИЗАЦИЯ[[#This Row],[СОНИ]]*РЕАЛИЗАЦИЯ[[#This Row],[НАРХИ]]</f>
        <v>0</v>
      </c>
      <c r="I1416" s="94"/>
      <c r="J1416" s="31">
        <f>РЕАЛИЗАЦИЯ[[#This Row],[СОНИ]]*РЕАЛИЗАЦИЯ[[#This Row],[ТАННАРХ]]</f>
        <v>0</v>
      </c>
      <c r="K1416" s="31">
        <f>РЕАЛИЗАЦИЯ[[#This Row],[ЖАМИ]]-РЕАЛИЗАЦИЯ[[#This Row],[ЖАМИ2]]</f>
        <v>0</v>
      </c>
      <c r="L1416" s="31"/>
    </row>
    <row r="1417" spans="3:12" ht="15" customHeight="1" x14ac:dyDescent="0.3">
      <c r="C1417" s="109"/>
      <c r="D1417" s="109"/>
      <c r="G1417" s="50">
        <f>РЕАЛИЗАЦИЯ[[#This Row],[СОНИ]]*РЕАЛИЗАЦИЯ[[#This Row],[НАРХИ]]</f>
        <v>0</v>
      </c>
      <c r="I1417" s="94"/>
      <c r="J1417" s="31">
        <f>РЕАЛИЗАЦИЯ[[#This Row],[СОНИ]]*РЕАЛИЗАЦИЯ[[#This Row],[ТАННАРХ]]</f>
        <v>0</v>
      </c>
      <c r="K1417" s="31">
        <f>РЕАЛИЗАЦИЯ[[#This Row],[ЖАМИ]]-РЕАЛИЗАЦИЯ[[#This Row],[ЖАМИ2]]</f>
        <v>0</v>
      </c>
      <c r="L1417" s="31"/>
    </row>
    <row r="1418" spans="3:12" ht="15" customHeight="1" x14ac:dyDescent="0.3">
      <c r="C1418" s="109"/>
      <c r="D1418" s="109"/>
      <c r="G1418" s="50">
        <f>РЕАЛИЗАЦИЯ[[#This Row],[СОНИ]]*РЕАЛИЗАЦИЯ[[#This Row],[НАРХИ]]</f>
        <v>0</v>
      </c>
      <c r="I1418" s="94"/>
      <c r="J1418" s="31">
        <f>РЕАЛИЗАЦИЯ[[#This Row],[СОНИ]]*РЕАЛИЗАЦИЯ[[#This Row],[ТАННАРХ]]</f>
        <v>0</v>
      </c>
      <c r="K1418" s="31">
        <f>РЕАЛИЗАЦИЯ[[#This Row],[ЖАМИ]]-РЕАЛИЗАЦИЯ[[#This Row],[ЖАМИ2]]</f>
        <v>0</v>
      </c>
      <c r="L1418" s="31"/>
    </row>
    <row r="1419" spans="3:12" ht="15" customHeight="1" x14ac:dyDescent="0.3">
      <c r="C1419" s="109"/>
      <c r="D1419" s="109"/>
      <c r="G1419" s="50">
        <f>РЕАЛИЗАЦИЯ[[#This Row],[СОНИ]]*РЕАЛИЗАЦИЯ[[#This Row],[НАРХИ]]</f>
        <v>0</v>
      </c>
      <c r="I1419" s="94"/>
      <c r="J1419" s="31">
        <f>РЕАЛИЗАЦИЯ[[#This Row],[СОНИ]]*РЕАЛИЗАЦИЯ[[#This Row],[ТАННАРХ]]</f>
        <v>0</v>
      </c>
      <c r="K1419" s="31">
        <f>РЕАЛИЗАЦИЯ[[#This Row],[ЖАМИ]]-РЕАЛИЗАЦИЯ[[#This Row],[ЖАМИ2]]</f>
        <v>0</v>
      </c>
      <c r="L1419" s="31"/>
    </row>
    <row r="1420" spans="3:12" ht="15" customHeight="1" x14ac:dyDescent="0.3">
      <c r="C1420" s="109"/>
      <c r="D1420" s="109"/>
      <c r="G1420" s="50">
        <f>РЕАЛИЗАЦИЯ[[#This Row],[СОНИ]]*РЕАЛИЗАЦИЯ[[#This Row],[НАРХИ]]</f>
        <v>0</v>
      </c>
      <c r="I1420" s="94"/>
      <c r="J1420" s="31">
        <f>РЕАЛИЗАЦИЯ[[#This Row],[СОНИ]]*РЕАЛИЗАЦИЯ[[#This Row],[ТАННАРХ]]</f>
        <v>0</v>
      </c>
      <c r="K1420" s="31">
        <f>РЕАЛИЗАЦИЯ[[#This Row],[ЖАМИ]]-РЕАЛИЗАЦИЯ[[#This Row],[ЖАМИ2]]</f>
        <v>0</v>
      </c>
      <c r="L1420" s="31"/>
    </row>
    <row r="1421" spans="3:12" ht="15" customHeight="1" x14ac:dyDescent="0.3">
      <c r="C1421" s="109"/>
      <c r="D1421" s="109"/>
      <c r="G1421" s="50">
        <f>РЕАЛИЗАЦИЯ[[#This Row],[СОНИ]]*РЕАЛИЗАЦИЯ[[#This Row],[НАРХИ]]</f>
        <v>0</v>
      </c>
      <c r="I1421" s="94"/>
      <c r="J1421" s="31">
        <f>РЕАЛИЗАЦИЯ[[#This Row],[СОНИ]]*РЕАЛИЗАЦИЯ[[#This Row],[ТАННАРХ]]</f>
        <v>0</v>
      </c>
      <c r="K1421" s="31">
        <f>РЕАЛИЗАЦИЯ[[#This Row],[ЖАМИ]]-РЕАЛИЗАЦИЯ[[#This Row],[ЖАМИ2]]</f>
        <v>0</v>
      </c>
      <c r="L1421" s="31"/>
    </row>
    <row r="1422" spans="3:12" ht="15" customHeight="1" x14ac:dyDescent="0.3">
      <c r="C1422" s="109"/>
      <c r="D1422" s="109"/>
      <c r="G1422" s="50">
        <f>РЕАЛИЗАЦИЯ[[#This Row],[СОНИ]]*РЕАЛИЗАЦИЯ[[#This Row],[НАРХИ]]</f>
        <v>0</v>
      </c>
      <c r="I1422" s="94"/>
      <c r="J1422" s="31">
        <f>РЕАЛИЗАЦИЯ[[#This Row],[СОНИ]]*РЕАЛИЗАЦИЯ[[#This Row],[ТАННАРХ]]</f>
        <v>0</v>
      </c>
      <c r="K1422" s="31">
        <f>РЕАЛИЗАЦИЯ[[#This Row],[ЖАМИ]]-РЕАЛИЗАЦИЯ[[#This Row],[ЖАМИ2]]</f>
        <v>0</v>
      </c>
      <c r="L1422" s="31"/>
    </row>
    <row r="1423" spans="3:12" ht="15" customHeight="1" x14ac:dyDescent="0.3">
      <c r="C1423" s="109"/>
      <c r="D1423" s="109"/>
      <c r="G1423" s="50">
        <f>РЕАЛИЗАЦИЯ[[#This Row],[СОНИ]]*РЕАЛИЗАЦИЯ[[#This Row],[НАРХИ]]</f>
        <v>0</v>
      </c>
      <c r="I1423" s="94"/>
      <c r="J1423" s="31">
        <f>РЕАЛИЗАЦИЯ[[#This Row],[СОНИ]]*РЕАЛИЗАЦИЯ[[#This Row],[ТАННАРХ]]</f>
        <v>0</v>
      </c>
      <c r="K1423" s="31">
        <f>РЕАЛИЗАЦИЯ[[#This Row],[ЖАМИ]]-РЕАЛИЗАЦИЯ[[#This Row],[ЖАМИ2]]</f>
        <v>0</v>
      </c>
      <c r="L1423" s="31"/>
    </row>
    <row r="1424" spans="3:12" ht="15" customHeight="1" x14ac:dyDescent="0.3">
      <c r="C1424" s="109"/>
      <c r="D1424" s="109"/>
      <c r="G1424" s="50">
        <f>РЕАЛИЗАЦИЯ[[#This Row],[СОНИ]]*РЕАЛИЗАЦИЯ[[#This Row],[НАРХИ]]</f>
        <v>0</v>
      </c>
      <c r="I1424" s="94"/>
      <c r="J1424" s="31">
        <f>РЕАЛИЗАЦИЯ[[#This Row],[СОНИ]]*РЕАЛИЗАЦИЯ[[#This Row],[ТАННАРХ]]</f>
        <v>0</v>
      </c>
      <c r="K1424" s="31">
        <f>РЕАЛИЗАЦИЯ[[#This Row],[ЖАМИ]]-РЕАЛИЗАЦИЯ[[#This Row],[ЖАМИ2]]</f>
        <v>0</v>
      </c>
      <c r="L1424" s="31"/>
    </row>
    <row r="1425" spans="3:12" ht="15" customHeight="1" x14ac:dyDescent="0.3">
      <c r="C1425" s="109"/>
      <c r="D1425" s="109"/>
      <c r="G1425" s="50">
        <f>РЕАЛИЗАЦИЯ[[#This Row],[СОНИ]]*РЕАЛИЗАЦИЯ[[#This Row],[НАРХИ]]</f>
        <v>0</v>
      </c>
      <c r="I1425" s="94"/>
      <c r="J1425" s="31">
        <f>РЕАЛИЗАЦИЯ[[#This Row],[СОНИ]]*РЕАЛИЗАЦИЯ[[#This Row],[ТАННАРХ]]</f>
        <v>0</v>
      </c>
      <c r="K1425" s="31">
        <f>РЕАЛИЗАЦИЯ[[#This Row],[ЖАМИ]]-РЕАЛИЗАЦИЯ[[#This Row],[ЖАМИ2]]</f>
        <v>0</v>
      </c>
      <c r="L1425" s="31"/>
    </row>
    <row r="1426" spans="3:12" ht="15" customHeight="1" x14ac:dyDescent="0.3">
      <c r="C1426" s="109"/>
      <c r="D1426" s="109"/>
      <c r="G1426" s="50">
        <f>РЕАЛИЗАЦИЯ[[#This Row],[СОНИ]]*РЕАЛИЗАЦИЯ[[#This Row],[НАРХИ]]</f>
        <v>0</v>
      </c>
      <c r="I1426" s="94"/>
      <c r="J1426" s="31">
        <f>РЕАЛИЗАЦИЯ[[#This Row],[СОНИ]]*РЕАЛИЗАЦИЯ[[#This Row],[ТАННАРХ]]</f>
        <v>0</v>
      </c>
      <c r="K1426" s="31">
        <f>РЕАЛИЗАЦИЯ[[#This Row],[ЖАМИ]]-РЕАЛИЗАЦИЯ[[#This Row],[ЖАМИ2]]</f>
        <v>0</v>
      </c>
      <c r="L1426" s="31"/>
    </row>
    <row r="1427" spans="3:12" ht="15" customHeight="1" x14ac:dyDescent="0.3">
      <c r="C1427" s="109"/>
      <c r="D1427" s="109"/>
      <c r="G1427" s="50">
        <f>РЕАЛИЗАЦИЯ[[#This Row],[СОНИ]]*РЕАЛИЗАЦИЯ[[#This Row],[НАРХИ]]</f>
        <v>0</v>
      </c>
      <c r="I1427" s="94"/>
      <c r="J1427" s="31">
        <f>РЕАЛИЗАЦИЯ[[#This Row],[СОНИ]]*РЕАЛИЗАЦИЯ[[#This Row],[ТАННАРХ]]</f>
        <v>0</v>
      </c>
      <c r="K1427" s="31">
        <f>РЕАЛИЗАЦИЯ[[#This Row],[ЖАМИ]]-РЕАЛИЗАЦИЯ[[#This Row],[ЖАМИ2]]</f>
        <v>0</v>
      </c>
      <c r="L1427" s="31"/>
    </row>
    <row r="1428" spans="3:12" ht="15" customHeight="1" x14ac:dyDescent="0.3">
      <c r="C1428" s="109"/>
      <c r="D1428" s="109"/>
      <c r="G1428" s="50">
        <f>РЕАЛИЗАЦИЯ[[#This Row],[СОНИ]]*РЕАЛИЗАЦИЯ[[#This Row],[НАРХИ]]</f>
        <v>0</v>
      </c>
      <c r="I1428" s="94"/>
      <c r="J1428" s="31">
        <f>РЕАЛИЗАЦИЯ[[#This Row],[СОНИ]]*РЕАЛИЗАЦИЯ[[#This Row],[ТАННАРХ]]</f>
        <v>0</v>
      </c>
      <c r="K1428" s="31">
        <f>РЕАЛИЗАЦИЯ[[#This Row],[ЖАМИ]]-РЕАЛИЗАЦИЯ[[#This Row],[ЖАМИ2]]</f>
        <v>0</v>
      </c>
      <c r="L1428" s="31"/>
    </row>
    <row r="1429" spans="3:12" ht="15" customHeight="1" x14ac:dyDescent="0.3">
      <c r="C1429" s="109"/>
      <c r="D1429" s="109"/>
      <c r="G1429" s="50">
        <f>РЕАЛИЗАЦИЯ[[#This Row],[СОНИ]]*РЕАЛИЗАЦИЯ[[#This Row],[НАРХИ]]</f>
        <v>0</v>
      </c>
      <c r="I1429" s="94"/>
      <c r="J1429" s="31">
        <f>РЕАЛИЗАЦИЯ[[#This Row],[СОНИ]]*РЕАЛИЗАЦИЯ[[#This Row],[ТАННАРХ]]</f>
        <v>0</v>
      </c>
      <c r="K1429" s="31">
        <f>РЕАЛИЗАЦИЯ[[#This Row],[ЖАМИ]]-РЕАЛИЗАЦИЯ[[#This Row],[ЖАМИ2]]</f>
        <v>0</v>
      </c>
      <c r="L1429" s="31"/>
    </row>
    <row r="1430" spans="3:12" x14ac:dyDescent="0.3">
      <c r="C1430" s="110"/>
      <c r="D1430" s="110"/>
      <c r="G1430" s="50">
        <f>РЕАЛИЗАЦИЯ[[#This Row],[СОНИ]]*РЕАЛИЗАЦИЯ[[#This Row],[НАРХИ]]</f>
        <v>0</v>
      </c>
      <c r="I1430" s="94"/>
      <c r="J1430" s="31">
        <f>РЕАЛИЗАЦИЯ[[#This Row],[СОНИ]]*РЕАЛИЗАЦИЯ[[#This Row],[ТАННАРХ]]</f>
        <v>0</v>
      </c>
      <c r="K1430" s="31">
        <f>РЕАЛИЗАЦИЯ[[#This Row],[ЖАМИ]]-РЕАЛИЗАЦИЯ[[#This Row],[ЖАМИ2]]</f>
        <v>0</v>
      </c>
      <c r="L1430" s="31"/>
    </row>
    <row r="1431" spans="3:12" ht="15" customHeight="1" x14ac:dyDescent="0.3">
      <c r="C1431" s="110"/>
      <c r="D1431" s="110"/>
      <c r="G1431" s="50">
        <f>РЕАЛИЗАЦИЯ[[#This Row],[СОНИ]]*РЕАЛИЗАЦИЯ[[#This Row],[НАРХИ]]</f>
        <v>0</v>
      </c>
      <c r="I1431" s="94"/>
      <c r="J1431" s="31">
        <f>РЕАЛИЗАЦИЯ[[#This Row],[СОНИ]]*РЕАЛИЗАЦИЯ[[#This Row],[ТАННАРХ]]</f>
        <v>0</v>
      </c>
      <c r="K1431" s="31">
        <f>РЕАЛИЗАЦИЯ[[#This Row],[ЖАМИ]]-РЕАЛИЗАЦИЯ[[#This Row],[ЖАМИ2]]</f>
        <v>0</v>
      </c>
      <c r="L1431" s="31"/>
    </row>
    <row r="1432" spans="3:12" ht="15" customHeight="1" x14ac:dyDescent="0.3">
      <c r="C1432" s="110"/>
      <c r="D1432" s="110"/>
      <c r="G1432" s="50">
        <f>РЕАЛИЗАЦИЯ[[#This Row],[СОНИ]]*РЕАЛИЗАЦИЯ[[#This Row],[НАРХИ]]</f>
        <v>0</v>
      </c>
      <c r="I1432" s="94"/>
      <c r="J1432" s="31">
        <f>РЕАЛИЗАЦИЯ[[#This Row],[СОНИ]]*РЕАЛИЗАЦИЯ[[#This Row],[ТАННАРХ]]</f>
        <v>0</v>
      </c>
      <c r="K1432" s="31">
        <f>РЕАЛИЗАЦИЯ[[#This Row],[ЖАМИ]]-РЕАЛИЗАЦИЯ[[#This Row],[ЖАМИ2]]</f>
        <v>0</v>
      </c>
      <c r="L1432" s="31"/>
    </row>
    <row r="1433" spans="3:12" ht="15" customHeight="1" x14ac:dyDescent="0.3">
      <c r="C1433" s="110"/>
      <c r="D1433" s="110"/>
      <c r="G1433" s="50">
        <f>РЕАЛИЗАЦИЯ[[#This Row],[СОНИ]]*РЕАЛИЗАЦИЯ[[#This Row],[НАРХИ]]</f>
        <v>0</v>
      </c>
      <c r="I1433" s="94"/>
      <c r="J1433" s="31">
        <f>РЕАЛИЗАЦИЯ[[#This Row],[СОНИ]]*РЕАЛИЗАЦИЯ[[#This Row],[ТАННАРХ]]</f>
        <v>0</v>
      </c>
      <c r="K1433" s="31">
        <f>РЕАЛИЗАЦИЯ[[#This Row],[ЖАМИ]]-РЕАЛИЗАЦИЯ[[#This Row],[ЖАМИ2]]</f>
        <v>0</v>
      </c>
      <c r="L1433" s="31"/>
    </row>
    <row r="1434" spans="3:12" ht="15" customHeight="1" x14ac:dyDescent="0.3">
      <c r="C1434" s="176"/>
      <c r="D1434" s="176"/>
      <c r="G1434" s="50">
        <f>РЕАЛИЗАЦИЯ[[#This Row],[СОНИ]]*РЕАЛИЗАЦИЯ[[#This Row],[НАРХИ]]</f>
        <v>0</v>
      </c>
      <c r="I1434" s="44"/>
      <c r="J1434" s="31">
        <f>РЕАЛИЗАЦИЯ[[#This Row],[СОНИ]]*РЕАЛИЗАЦИЯ[[#This Row],[ТАННАРХ]]</f>
        <v>0</v>
      </c>
      <c r="K1434" s="31">
        <f>РЕАЛИЗАЦИЯ[[#This Row],[ЖАМИ]]-РЕАЛИЗАЦИЯ[[#This Row],[ЖАМИ2]]</f>
        <v>0</v>
      </c>
      <c r="L1434" s="31"/>
    </row>
    <row r="1435" spans="3:12" ht="15" customHeight="1" x14ac:dyDescent="0.3">
      <c r="C1435" s="110"/>
      <c r="D1435" s="110"/>
      <c r="G1435" s="50">
        <f>РЕАЛИЗАЦИЯ[[#This Row],[СОНИ]]*РЕАЛИЗАЦИЯ[[#This Row],[НАРХИ]]</f>
        <v>0</v>
      </c>
      <c r="I1435" s="94"/>
      <c r="J1435" s="31">
        <f>РЕАЛИЗАЦИЯ[[#This Row],[СОНИ]]*РЕАЛИЗАЦИЯ[[#This Row],[ТАННАРХ]]</f>
        <v>0</v>
      </c>
      <c r="K1435" s="31">
        <f>РЕАЛИЗАЦИЯ[[#This Row],[ЖАМИ]]-РЕАЛИЗАЦИЯ[[#This Row],[ЖАМИ2]]</f>
        <v>0</v>
      </c>
      <c r="L1435" s="31"/>
    </row>
    <row r="1436" spans="3:12" ht="15" customHeight="1" x14ac:dyDescent="0.3">
      <c r="C1436" s="110"/>
      <c r="D1436" s="110"/>
      <c r="G1436" s="50">
        <f>РЕАЛИЗАЦИЯ[[#This Row],[СОНИ]]*РЕАЛИЗАЦИЯ[[#This Row],[НАРХИ]]</f>
        <v>0</v>
      </c>
      <c r="I1436" s="94"/>
      <c r="J1436" s="31">
        <f>РЕАЛИЗАЦИЯ[[#This Row],[СОНИ]]*РЕАЛИЗАЦИЯ[[#This Row],[ТАННАРХ]]</f>
        <v>0</v>
      </c>
      <c r="K1436" s="31">
        <f>РЕАЛИЗАЦИЯ[[#This Row],[ЖАМИ]]-РЕАЛИЗАЦИЯ[[#This Row],[ЖАМИ2]]</f>
        <v>0</v>
      </c>
      <c r="L1436" s="31"/>
    </row>
    <row r="1437" spans="3:12" ht="15" customHeight="1" x14ac:dyDescent="0.3">
      <c r="C1437" s="110"/>
      <c r="D1437" s="110"/>
      <c r="G1437" s="50">
        <f>РЕАЛИЗАЦИЯ[[#This Row],[СОНИ]]*РЕАЛИЗАЦИЯ[[#This Row],[НАРХИ]]</f>
        <v>0</v>
      </c>
      <c r="I1437" s="94"/>
      <c r="J1437" s="31">
        <f>РЕАЛИЗАЦИЯ[[#This Row],[СОНИ]]*РЕАЛИЗАЦИЯ[[#This Row],[ТАННАРХ]]</f>
        <v>0</v>
      </c>
      <c r="K1437" s="31">
        <f>РЕАЛИЗАЦИЯ[[#This Row],[ЖАМИ]]-РЕАЛИЗАЦИЯ[[#This Row],[ЖАМИ2]]</f>
        <v>0</v>
      </c>
      <c r="L1437" s="31"/>
    </row>
    <row r="1438" spans="3:12" ht="15" customHeight="1" x14ac:dyDescent="0.3">
      <c r="C1438" s="110"/>
      <c r="D1438" s="110"/>
      <c r="G1438" s="50">
        <f>РЕАЛИЗАЦИЯ[[#This Row],[СОНИ]]*РЕАЛИЗАЦИЯ[[#This Row],[НАРХИ]]</f>
        <v>0</v>
      </c>
      <c r="I1438" s="94"/>
      <c r="J1438" s="31">
        <f>РЕАЛИЗАЦИЯ[[#This Row],[СОНИ]]*РЕАЛИЗАЦИЯ[[#This Row],[ТАННАРХ]]</f>
        <v>0</v>
      </c>
      <c r="K1438" s="31">
        <f>РЕАЛИЗАЦИЯ[[#This Row],[ЖАМИ]]-РЕАЛИЗАЦИЯ[[#This Row],[ЖАМИ2]]</f>
        <v>0</v>
      </c>
      <c r="L1438" s="31"/>
    </row>
    <row r="1439" spans="3:12" ht="15" customHeight="1" x14ac:dyDescent="0.3">
      <c r="C1439" s="110"/>
      <c r="D1439" s="110"/>
      <c r="G1439" s="50">
        <f>РЕАЛИЗАЦИЯ[[#This Row],[СОНИ]]*РЕАЛИЗАЦИЯ[[#This Row],[НАРХИ]]</f>
        <v>0</v>
      </c>
      <c r="I1439" s="94"/>
      <c r="J1439" s="31">
        <f>РЕАЛИЗАЦИЯ[[#This Row],[СОНИ]]*РЕАЛИЗАЦИЯ[[#This Row],[ТАННАРХ]]</f>
        <v>0</v>
      </c>
      <c r="K1439" s="31">
        <f>РЕАЛИЗАЦИЯ[[#This Row],[ЖАМИ]]-РЕАЛИЗАЦИЯ[[#This Row],[ЖАМИ2]]</f>
        <v>0</v>
      </c>
      <c r="L1439" s="31"/>
    </row>
    <row r="1440" spans="3:12" ht="15" customHeight="1" x14ac:dyDescent="0.3">
      <c r="C1440" s="110"/>
      <c r="D1440" s="110"/>
      <c r="G1440" s="50">
        <f>РЕАЛИЗАЦИЯ[[#This Row],[СОНИ]]*РЕАЛИЗАЦИЯ[[#This Row],[НАРХИ]]</f>
        <v>0</v>
      </c>
      <c r="I1440" s="94"/>
      <c r="J1440" s="31">
        <f>РЕАЛИЗАЦИЯ[[#This Row],[СОНИ]]*РЕАЛИЗАЦИЯ[[#This Row],[ТАННАРХ]]</f>
        <v>0</v>
      </c>
      <c r="K1440" s="31">
        <f>РЕАЛИЗАЦИЯ[[#This Row],[ЖАМИ]]-РЕАЛИЗАЦИЯ[[#This Row],[ЖАМИ2]]</f>
        <v>0</v>
      </c>
      <c r="L1440" s="31"/>
    </row>
    <row r="1441" spans="3:12" ht="15" customHeight="1" x14ac:dyDescent="0.3">
      <c r="C1441" s="110"/>
      <c r="D1441" s="110"/>
      <c r="G1441" s="50">
        <f>РЕАЛИЗАЦИЯ[[#This Row],[СОНИ]]*РЕАЛИЗАЦИЯ[[#This Row],[НАРХИ]]</f>
        <v>0</v>
      </c>
      <c r="I1441" s="94"/>
      <c r="J1441" s="31">
        <f>РЕАЛИЗАЦИЯ[[#This Row],[СОНИ]]*РЕАЛИЗАЦИЯ[[#This Row],[ТАННАРХ]]</f>
        <v>0</v>
      </c>
      <c r="K1441" s="31">
        <f>РЕАЛИЗАЦИЯ[[#This Row],[ЖАМИ]]-РЕАЛИЗАЦИЯ[[#This Row],[ЖАМИ2]]</f>
        <v>0</v>
      </c>
      <c r="L1441" s="31"/>
    </row>
    <row r="1442" spans="3:12" ht="15" customHeight="1" x14ac:dyDescent="0.3">
      <c r="C1442" s="110"/>
      <c r="D1442" s="110"/>
      <c r="G1442" s="50">
        <f>РЕАЛИЗАЦИЯ[[#This Row],[СОНИ]]*РЕАЛИЗАЦИЯ[[#This Row],[НАРХИ]]</f>
        <v>0</v>
      </c>
      <c r="I1442" s="94"/>
      <c r="J1442" s="31">
        <f>РЕАЛИЗАЦИЯ[[#This Row],[СОНИ]]*РЕАЛИЗАЦИЯ[[#This Row],[ТАННАРХ]]</f>
        <v>0</v>
      </c>
      <c r="K1442" s="31">
        <f>РЕАЛИЗАЦИЯ[[#This Row],[ЖАМИ]]-РЕАЛИЗАЦИЯ[[#This Row],[ЖАМИ2]]</f>
        <v>0</v>
      </c>
      <c r="L1442" s="31"/>
    </row>
    <row r="1443" spans="3:12" ht="15" customHeight="1" x14ac:dyDescent="0.3">
      <c r="C1443" s="110"/>
      <c r="D1443" s="110"/>
      <c r="G1443" s="50">
        <f>РЕАЛИЗАЦИЯ[[#This Row],[СОНИ]]*РЕАЛИЗАЦИЯ[[#This Row],[НАРХИ]]</f>
        <v>0</v>
      </c>
      <c r="I1443" s="94"/>
      <c r="J1443" s="31">
        <f>РЕАЛИЗАЦИЯ[[#This Row],[СОНИ]]*РЕАЛИЗАЦИЯ[[#This Row],[ТАННАРХ]]</f>
        <v>0</v>
      </c>
      <c r="K1443" s="31">
        <f>РЕАЛИЗАЦИЯ[[#This Row],[ЖАМИ]]-РЕАЛИЗАЦИЯ[[#This Row],[ЖАМИ2]]</f>
        <v>0</v>
      </c>
      <c r="L1443" s="31"/>
    </row>
    <row r="1444" spans="3:12" ht="15" customHeight="1" x14ac:dyDescent="0.3">
      <c r="C1444" s="110"/>
      <c r="D1444" s="110"/>
      <c r="G1444" s="50">
        <f>РЕАЛИЗАЦИЯ[[#This Row],[СОНИ]]*РЕАЛИЗАЦИЯ[[#This Row],[НАРХИ]]</f>
        <v>0</v>
      </c>
      <c r="I1444" s="94"/>
      <c r="J1444" s="31">
        <f>РЕАЛИЗАЦИЯ[[#This Row],[СОНИ]]*РЕАЛИЗАЦИЯ[[#This Row],[ТАННАРХ]]</f>
        <v>0</v>
      </c>
      <c r="K1444" s="31">
        <f>РЕАЛИЗАЦИЯ[[#This Row],[ЖАМИ]]-РЕАЛИЗАЦИЯ[[#This Row],[ЖАМИ2]]</f>
        <v>0</v>
      </c>
      <c r="L1444" s="31"/>
    </row>
    <row r="1445" spans="3:12" ht="15" customHeight="1" x14ac:dyDescent="0.3">
      <c r="C1445" s="110"/>
      <c r="D1445" s="110"/>
      <c r="G1445" s="50">
        <f>РЕАЛИЗАЦИЯ[[#This Row],[СОНИ]]*РЕАЛИЗАЦИЯ[[#This Row],[НАРХИ]]</f>
        <v>0</v>
      </c>
      <c r="I1445" s="94"/>
      <c r="J1445" s="31">
        <f>РЕАЛИЗАЦИЯ[[#This Row],[СОНИ]]*РЕАЛИЗАЦИЯ[[#This Row],[ТАННАРХ]]</f>
        <v>0</v>
      </c>
      <c r="K1445" s="31">
        <f>РЕАЛИЗАЦИЯ[[#This Row],[ЖАМИ]]-РЕАЛИЗАЦИЯ[[#This Row],[ЖАМИ2]]</f>
        <v>0</v>
      </c>
      <c r="L1445" s="31"/>
    </row>
    <row r="1446" spans="3:12" ht="15" customHeight="1" x14ac:dyDescent="0.3">
      <c r="C1446" s="110"/>
      <c r="D1446" s="110"/>
      <c r="G1446" s="50">
        <f>РЕАЛИЗАЦИЯ[[#This Row],[СОНИ]]*РЕАЛИЗАЦИЯ[[#This Row],[НАРХИ]]</f>
        <v>0</v>
      </c>
      <c r="I1446" s="94"/>
      <c r="J1446" s="31">
        <f>РЕАЛИЗАЦИЯ[[#This Row],[СОНИ]]*РЕАЛИЗАЦИЯ[[#This Row],[ТАННАРХ]]</f>
        <v>0</v>
      </c>
      <c r="K1446" s="31">
        <f>РЕАЛИЗАЦИЯ[[#This Row],[ЖАМИ]]-РЕАЛИЗАЦИЯ[[#This Row],[ЖАМИ2]]</f>
        <v>0</v>
      </c>
      <c r="L1446" s="31"/>
    </row>
    <row r="1447" spans="3:12" ht="15" customHeight="1" x14ac:dyDescent="0.3">
      <c r="C1447" s="110"/>
      <c r="D1447" s="110"/>
      <c r="G1447" s="50">
        <f>РЕАЛИЗАЦИЯ[[#This Row],[СОНИ]]*РЕАЛИЗАЦИЯ[[#This Row],[НАРХИ]]</f>
        <v>0</v>
      </c>
      <c r="I1447" s="94"/>
      <c r="J1447" s="31">
        <f>РЕАЛИЗАЦИЯ[[#This Row],[СОНИ]]*РЕАЛИЗАЦИЯ[[#This Row],[ТАННАРХ]]</f>
        <v>0</v>
      </c>
      <c r="K1447" s="31">
        <f>РЕАЛИЗАЦИЯ[[#This Row],[ЖАМИ]]-РЕАЛИЗАЦИЯ[[#This Row],[ЖАМИ2]]</f>
        <v>0</v>
      </c>
      <c r="L1447" s="31"/>
    </row>
    <row r="1448" spans="3:12" ht="15" customHeight="1" x14ac:dyDescent="0.3">
      <c r="C1448" s="110"/>
      <c r="D1448" s="110"/>
      <c r="G1448" s="50">
        <f>РЕАЛИЗАЦИЯ[[#This Row],[СОНИ]]*РЕАЛИЗАЦИЯ[[#This Row],[НАРХИ]]</f>
        <v>0</v>
      </c>
      <c r="I1448" s="94"/>
      <c r="J1448" s="31">
        <f>РЕАЛИЗАЦИЯ[[#This Row],[СОНИ]]*РЕАЛИЗАЦИЯ[[#This Row],[ТАННАРХ]]</f>
        <v>0</v>
      </c>
      <c r="K1448" s="31">
        <f>РЕАЛИЗАЦИЯ[[#This Row],[ЖАМИ]]-РЕАЛИЗАЦИЯ[[#This Row],[ЖАМИ2]]</f>
        <v>0</v>
      </c>
      <c r="L1448" s="31"/>
    </row>
    <row r="1449" spans="3:12" ht="15" customHeight="1" x14ac:dyDescent="0.3">
      <c r="C1449" s="163"/>
      <c r="D1449" s="163"/>
      <c r="G1449" s="50">
        <f>РЕАЛИЗАЦИЯ[[#This Row],[СОНИ]]*РЕАЛИЗАЦИЯ[[#This Row],[НАРХИ]]</f>
        <v>0</v>
      </c>
      <c r="I1449" s="166"/>
      <c r="J1449" s="31">
        <f>РЕАЛИЗАЦИЯ[[#This Row],[СОНИ]]*РЕАЛИЗАЦИЯ[[#This Row],[ТАННАРХ]]</f>
        <v>0</v>
      </c>
      <c r="K1449" s="31">
        <f>РЕАЛИЗАЦИЯ[[#This Row],[ЖАМИ]]-РЕАЛИЗАЦИЯ[[#This Row],[ЖАМИ2]]</f>
        <v>0</v>
      </c>
      <c r="L1449" s="31"/>
    </row>
    <row r="1450" spans="3:12" ht="15" customHeight="1" x14ac:dyDescent="0.3">
      <c r="C1450" s="163"/>
      <c r="D1450" s="163"/>
      <c r="G1450" s="50">
        <f>РЕАЛИЗАЦИЯ[[#This Row],[СОНИ]]*РЕАЛИЗАЦИЯ[[#This Row],[НАРХИ]]</f>
        <v>0</v>
      </c>
      <c r="I1450" s="166"/>
      <c r="J1450" s="31">
        <f>РЕАЛИЗАЦИЯ[[#This Row],[СОНИ]]*РЕАЛИЗАЦИЯ[[#This Row],[ТАННАРХ]]</f>
        <v>0</v>
      </c>
      <c r="K1450" s="31">
        <f>РЕАЛИЗАЦИЯ[[#This Row],[ЖАМИ]]-РЕАЛИЗАЦИЯ[[#This Row],[ЖАМИ2]]</f>
        <v>0</v>
      </c>
      <c r="L1450" s="31"/>
    </row>
    <row r="1451" spans="3:12" ht="15" customHeight="1" x14ac:dyDescent="0.3">
      <c r="C1451" s="110"/>
      <c r="D1451" s="110"/>
      <c r="G1451" s="50">
        <f>РЕАЛИЗАЦИЯ[[#This Row],[СОНИ]]*РЕАЛИЗАЦИЯ[[#This Row],[НАРХИ]]</f>
        <v>0</v>
      </c>
      <c r="I1451" s="94"/>
      <c r="J1451" s="31">
        <f>РЕАЛИЗАЦИЯ[[#This Row],[СОНИ]]*РЕАЛИЗАЦИЯ[[#This Row],[ТАННАРХ]]</f>
        <v>0</v>
      </c>
      <c r="K1451" s="31">
        <f>РЕАЛИЗАЦИЯ[[#This Row],[ЖАМИ]]-РЕАЛИЗАЦИЯ[[#This Row],[ЖАМИ2]]</f>
        <v>0</v>
      </c>
      <c r="L1451" s="31"/>
    </row>
    <row r="1452" spans="3:12" ht="15" customHeight="1" x14ac:dyDescent="0.3">
      <c r="C1452" s="110"/>
      <c r="D1452" s="110"/>
      <c r="G1452" s="50">
        <f>РЕАЛИЗАЦИЯ[[#This Row],[СОНИ]]*РЕАЛИЗАЦИЯ[[#This Row],[НАРХИ]]</f>
        <v>0</v>
      </c>
      <c r="I1452" s="94"/>
      <c r="J1452" s="31">
        <f>РЕАЛИЗАЦИЯ[[#This Row],[СОНИ]]*РЕАЛИЗАЦИЯ[[#This Row],[ТАННАРХ]]</f>
        <v>0</v>
      </c>
      <c r="K1452" s="31">
        <f>РЕАЛИЗАЦИЯ[[#This Row],[ЖАМИ]]-РЕАЛИЗАЦИЯ[[#This Row],[ЖАМИ2]]</f>
        <v>0</v>
      </c>
      <c r="L1452" s="31"/>
    </row>
    <row r="1453" spans="3:12" ht="15" customHeight="1" x14ac:dyDescent="0.3">
      <c r="C1453" s="110"/>
      <c r="D1453" s="110"/>
      <c r="G1453" s="50">
        <f>РЕАЛИЗАЦИЯ[[#This Row],[СОНИ]]*РЕАЛИЗАЦИЯ[[#This Row],[НАРХИ]]</f>
        <v>0</v>
      </c>
      <c r="I1453" s="94"/>
      <c r="J1453" s="31">
        <f>РЕАЛИЗАЦИЯ[[#This Row],[СОНИ]]*РЕАЛИЗАЦИЯ[[#This Row],[ТАННАРХ]]</f>
        <v>0</v>
      </c>
      <c r="K1453" s="31">
        <f>РЕАЛИЗАЦИЯ[[#This Row],[ЖАМИ]]-РЕАЛИЗАЦИЯ[[#This Row],[ЖАМИ2]]</f>
        <v>0</v>
      </c>
      <c r="L1453" s="31"/>
    </row>
    <row r="1454" spans="3:12" ht="15" customHeight="1" x14ac:dyDescent="0.3">
      <c r="C1454" s="111"/>
      <c r="D1454" s="111"/>
      <c r="G1454" s="50">
        <f>РЕАЛИЗАЦИЯ[[#This Row],[СОНИ]]*РЕАЛИЗАЦИЯ[[#This Row],[НАРХИ]]</f>
        <v>0</v>
      </c>
      <c r="I1454" s="94"/>
      <c r="J1454" s="31">
        <f>РЕАЛИЗАЦИЯ[[#This Row],[СОНИ]]*РЕАЛИЗАЦИЯ[[#This Row],[ТАННАРХ]]</f>
        <v>0</v>
      </c>
      <c r="K1454" s="31">
        <f>РЕАЛИЗАЦИЯ[[#This Row],[ЖАМИ]]-РЕАЛИЗАЦИЯ[[#This Row],[ЖАМИ2]]</f>
        <v>0</v>
      </c>
      <c r="L1454" s="31"/>
    </row>
    <row r="1455" spans="3:12" x14ac:dyDescent="0.3">
      <c r="C1455" s="111"/>
      <c r="D1455" s="111"/>
      <c r="G1455" s="50">
        <f>РЕАЛИЗАЦИЯ[[#This Row],[СОНИ]]*РЕАЛИЗАЦИЯ[[#This Row],[НАРХИ]]</f>
        <v>0</v>
      </c>
      <c r="I1455" s="166"/>
      <c r="J1455" s="31">
        <f>РЕАЛИЗАЦИЯ[[#This Row],[СОНИ]]*РЕАЛИЗАЦИЯ[[#This Row],[ТАННАРХ]]</f>
        <v>0</v>
      </c>
      <c r="K1455" s="31">
        <f>РЕАЛИЗАЦИЯ[[#This Row],[ЖАМИ]]-РЕАЛИЗАЦИЯ[[#This Row],[ЖАМИ2]]</f>
        <v>0</v>
      </c>
      <c r="L1455" s="31"/>
    </row>
    <row r="1456" spans="3:12" ht="15" customHeight="1" x14ac:dyDescent="0.3">
      <c r="C1456" s="111"/>
      <c r="D1456" s="111"/>
      <c r="G1456" s="50">
        <f>РЕАЛИЗАЦИЯ[[#This Row],[СОНИ]]*РЕАЛИЗАЦИЯ[[#This Row],[НАРХИ]]</f>
        <v>0</v>
      </c>
      <c r="I1456" s="94"/>
      <c r="J1456" s="31">
        <f>РЕАЛИЗАЦИЯ[[#This Row],[СОНИ]]*РЕАЛИЗАЦИЯ[[#This Row],[ТАННАРХ]]</f>
        <v>0</v>
      </c>
      <c r="K1456" s="31">
        <f>РЕАЛИЗАЦИЯ[[#This Row],[ЖАМИ]]-РЕАЛИЗАЦИЯ[[#This Row],[ЖАМИ2]]</f>
        <v>0</v>
      </c>
      <c r="L1456" s="31"/>
    </row>
    <row r="1457" spans="3:12" ht="15" customHeight="1" x14ac:dyDescent="0.3">
      <c r="C1457" s="111"/>
      <c r="D1457" s="111"/>
      <c r="G1457" s="50">
        <f>РЕАЛИЗАЦИЯ[[#This Row],[СОНИ]]*РЕАЛИЗАЦИЯ[[#This Row],[НАРХИ]]</f>
        <v>0</v>
      </c>
      <c r="I1457" s="94"/>
      <c r="J1457" s="31">
        <f>РЕАЛИЗАЦИЯ[[#This Row],[СОНИ]]*РЕАЛИЗАЦИЯ[[#This Row],[ТАННАРХ]]</f>
        <v>0</v>
      </c>
      <c r="K1457" s="31">
        <f>РЕАЛИЗАЦИЯ[[#This Row],[ЖАМИ]]-РЕАЛИЗАЦИЯ[[#This Row],[ЖАМИ2]]</f>
        <v>0</v>
      </c>
      <c r="L1457" s="31"/>
    </row>
    <row r="1458" spans="3:12" ht="15" customHeight="1" x14ac:dyDescent="0.3">
      <c r="C1458" s="111"/>
      <c r="D1458" s="111"/>
      <c r="G1458" s="50">
        <f>РЕАЛИЗАЦИЯ[[#This Row],[СОНИ]]*РЕАЛИЗАЦИЯ[[#This Row],[НАРХИ]]</f>
        <v>0</v>
      </c>
      <c r="I1458" s="94"/>
      <c r="J1458" s="31">
        <f>РЕАЛИЗАЦИЯ[[#This Row],[СОНИ]]*РЕАЛИЗАЦИЯ[[#This Row],[ТАННАРХ]]</f>
        <v>0</v>
      </c>
      <c r="K1458" s="31">
        <f>РЕАЛИЗАЦИЯ[[#This Row],[ЖАМИ]]-РЕАЛИЗАЦИЯ[[#This Row],[ЖАМИ2]]</f>
        <v>0</v>
      </c>
      <c r="L1458" s="31"/>
    </row>
    <row r="1459" spans="3:12" ht="15" customHeight="1" x14ac:dyDescent="0.3">
      <c r="C1459" s="111"/>
      <c r="D1459" s="111"/>
      <c r="G1459" s="50">
        <f>РЕАЛИЗАЦИЯ[[#This Row],[СОНИ]]*РЕАЛИЗАЦИЯ[[#This Row],[НАРХИ]]</f>
        <v>0</v>
      </c>
      <c r="I1459" s="94"/>
      <c r="J1459" s="31">
        <f>РЕАЛИЗАЦИЯ[[#This Row],[СОНИ]]*РЕАЛИЗАЦИЯ[[#This Row],[ТАННАРХ]]</f>
        <v>0</v>
      </c>
      <c r="K1459" s="31">
        <f>РЕАЛИЗАЦИЯ[[#This Row],[ЖАМИ]]-РЕАЛИЗАЦИЯ[[#This Row],[ЖАМИ2]]</f>
        <v>0</v>
      </c>
      <c r="L1459" s="31"/>
    </row>
    <row r="1460" spans="3:12" ht="15" customHeight="1" x14ac:dyDescent="0.3">
      <c r="C1460" s="111"/>
      <c r="D1460" s="111"/>
      <c r="G1460" s="50">
        <f>РЕАЛИЗАЦИЯ[[#This Row],[СОНИ]]*РЕАЛИЗАЦИЯ[[#This Row],[НАРХИ]]</f>
        <v>0</v>
      </c>
      <c r="I1460" s="94"/>
      <c r="J1460" s="31">
        <f>РЕАЛИЗАЦИЯ[[#This Row],[СОНИ]]*РЕАЛИЗАЦИЯ[[#This Row],[ТАННАРХ]]</f>
        <v>0</v>
      </c>
      <c r="K1460" s="31">
        <f>РЕАЛИЗАЦИЯ[[#This Row],[ЖАМИ]]-РЕАЛИЗАЦИЯ[[#This Row],[ЖАМИ2]]</f>
        <v>0</v>
      </c>
      <c r="L1460" s="31"/>
    </row>
    <row r="1461" spans="3:12" ht="15" customHeight="1" x14ac:dyDescent="0.3">
      <c r="C1461" s="111"/>
      <c r="D1461" s="111"/>
      <c r="G1461" s="50">
        <f>РЕАЛИЗАЦИЯ[[#This Row],[СОНИ]]*РЕАЛИЗАЦИЯ[[#This Row],[НАРХИ]]</f>
        <v>0</v>
      </c>
      <c r="I1461" s="94"/>
      <c r="J1461" s="31">
        <f>РЕАЛИЗАЦИЯ[[#This Row],[СОНИ]]*РЕАЛИЗАЦИЯ[[#This Row],[ТАННАРХ]]</f>
        <v>0</v>
      </c>
      <c r="K1461" s="31">
        <f>РЕАЛИЗАЦИЯ[[#This Row],[ЖАМИ]]-РЕАЛИЗАЦИЯ[[#This Row],[ЖАМИ2]]</f>
        <v>0</v>
      </c>
      <c r="L1461" s="31"/>
    </row>
    <row r="1462" spans="3:12" ht="15" customHeight="1" x14ac:dyDescent="0.3">
      <c r="C1462" s="111"/>
      <c r="D1462" s="111"/>
      <c r="G1462" s="50">
        <f>РЕАЛИЗАЦИЯ[[#This Row],[СОНИ]]*РЕАЛИЗАЦИЯ[[#This Row],[НАРХИ]]</f>
        <v>0</v>
      </c>
      <c r="I1462" s="94"/>
      <c r="J1462" s="31">
        <f>РЕАЛИЗАЦИЯ[[#This Row],[СОНИ]]*РЕАЛИЗАЦИЯ[[#This Row],[ТАННАРХ]]</f>
        <v>0</v>
      </c>
      <c r="K1462" s="31">
        <f>РЕАЛИЗАЦИЯ[[#This Row],[ЖАМИ]]-РЕАЛИЗАЦИЯ[[#This Row],[ЖАМИ2]]</f>
        <v>0</v>
      </c>
      <c r="L1462" s="31"/>
    </row>
    <row r="1463" spans="3:12" ht="15" customHeight="1" x14ac:dyDescent="0.3">
      <c r="C1463" s="111"/>
      <c r="D1463" s="111"/>
      <c r="G1463" s="50">
        <f>РЕАЛИЗАЦИЯ[[#This Row],[СОНИ]]*РЕАЛИЗАЦИЯ[[#This Row],[НАРХИ]]</f>
        <v>0</v>
      </c>
      <c r="I1463" s="94"/>
      <c r="J1463" s="31">
        <f>РЕАЛИЗАЦИЯ[[#This Row],[СОНИ]]*РЕАЛИЗАЦИЯ[[#This Row],[ТАННАРХ]]</f>
        <v>0</v>
      </c>
      <c r="K1463" s="31">
        <f>РЕАЛИЗАЦИЯ[[#This Row],[ЖАМИ]]-РЕАЛИЗАЦИЯ[[#This Row],[ЖАМИ2]]</f>
        <v>0</v>
      </c>
      <c r="L1463" s="31"/>
    </row>
    <row r="1464" spans="3:12" ht="15" customHeight="1" x14ac:dyDescent="0.3">
      <c r="C1464" s="111"/>
      <c r="D1464" s="111"/>
      <c r="G1464" s="50">
        <f>РЕАЛИЗАЦИЯ[[#This Row],[СОНИ]]*РЕАЛИЗАЦИЯ[[#This Row],[НАРХИ]]</f>
        <v>0</v>
      </c>
      <c r="I1464" s="94"/>
      <c r="J1464" s="31">
        <f>РЕАЛИЗАЦИЯ[[#This Row],[СОНИ]]*РЕАЛИЗАЦИЯ[[#This Row],[ТАННАРХ]]</f>
        <v>0</v>
      </c>
      <c r="K1464" s="31">
        <f>РЕАЛИЗАЦИЯ[[#This Row],[ЖАМИ]]-РЕАЛИЗАЦИЯ[[#This Row],[ЖАМИ2]]</f>
        <v>0</v>
      </c>
      <c r="L1464" s="31"/>
    </row>
    <row r="1465" spans="3:12" ht="15" customHeight="1" x14ac:dyDescent="0.3">
      <c r="C1465" s="111"/>
      <c r="D1465" s="111"/>
      <c r="G1465" s="50">
        <f>РЕАЛИЗАЦИЯ[[#This Row],[СОНИ]]*РЕАЛИЗАЦИЯ[[#This Row],[НАРХИ]]</f>
        <v>0</v>
      </c>
      <c r="I1465" s="94"/>
      <c r="J1465" s="31">
        <f>РЕАЛИЗАЦИЯ[[#This Row],[СОНИ]]*РЕАЛИЗАЦИЯ[[#This Row],[ТАННАРХ]]</f>
        <v>0</v>
      </c>
      <c r="K1465" s="31">
        <f>РЕАЛИЗАЦИЯ[[#This Row],[ЖАМИ]]-РЕАЛИЗАЦИЯ[[#This Row],[ЖАМИ2]]</f>
        <v>0</v>
      </c>
      <c r="L1465" s="31"/>
    </row>
    <row r="1466" spans="3:12" ht="15" customHeight="1" x14ac:dyDescent="0.3">
      <c r="C1466" s="111"/>
      <c r="D1466" s="111"/>
      <c r="G1466" s="50">
        <f>РЕАЛИЗАЦИЯ[[#This Row],[СОНИ]]*РЕАЛИЗАЦИЯ[[#This Row],[НАРХИ]]</f>
        <v>0</v>
      </c>
      <c r="I1466" s="94"/>
      <c r="J1466" s="31">
        <f>РЕАЛИЗАЦИЯ[[#This Row],[СОНИ]]*РЕАЛИЗАЦИЯ[[#This Row],[ТАННАРХ]]</f>
        <v>0</v>
      </c>
      <c r="K1466" s="31">
        <f>РЕАЛИЗАЦИЯ[[#This Row],[ЖАМИ]]-РЕАЛИЗАЦИЯ[[#This Row],[ЖАМИ2]]</f>
        <v>0</v>
      </c>
      <c r="L1466" s="31"/>
    </row>
    <row r="1467" spans="3:12" ht="15" customHeight="1" x14ac:dyDescent="0.3">
      <c r="C1467" s="111"/>
      <c r="D1467" s="111"/>
      <c r="G1467" s="50">
        <f>РЕАЛИЗАЦИЯ[[#This Row],[СОНИ]]*РЕАЛИЗАЦИЯ[[#This Row],[НАРХИ]]</f>
        <v>0</v>
      </c>
      <c r="I1467" s="94"/>
      <c r="J1467" s="31">
        <f>РЕАЛИЗАЦИЯ[[#This Row],[СОНИ]]*РЕАЛИЗАЦИЯ[[#This Row],[ТАННАРХ]]</f>
        <v>0</v>
      </c>
      <c r="K1467" s="31">
        <f>РЕАЛИЗАЦИЯ[[#This Row],[ЖАМИ]]-РЕАЛИЗАЦИЯ[[#This Row],[ЖАМИ2]]</f>
        <v>0</v>
      </c>
      <c r="L1467" s="31"/>
    </row>
    <row r="1468" spans="3:12" ht="15" customHeight="1" x14ac:dyDescent="0.3">
      <c r="C1468" s="111"/>
      <c r="D1468" s="111"/>
      <c r="G1468" s="50">
        <f>РЕАЛИЗАЦИЯ[[#This Row],[СОНИ]]*РЕАЛИЗАЦИЯ[[#This Row],[НАРХИ]]</f>
        <v>0</v>
      </c>
      <c r="I1468" s="94"/>
      <c r="J1468" s="31">
        <f>РЕАЛИЗАЦИЯ[[#This Row],[СОНИ]]*РЕАЛИЗАЦИЯ[[#This Row],[ТАННАРХ]]</f>
        <v>0</v>
      </c>
      <c r="K1468" s="31">
        <f>РЕАЛИЗАЦИЯ[[#This Row],[ЖАМИ]]-РЕАЛИЗАЦИЯ[[#This Row],[ЖАМИ2]]</f>
        <v>0</v>
      </c>
      <c r="L1468" s="31"/>
    </row>
    <row r="1469" spans="3:12" ht="15" customHeight="1" x14ac:dyDescent="0.3">
      <c r="C1469" s="111"/>
      <c r="D1469" s="111"/>
      <c r="G1469" s="50">
        <f>РЕАЛИЗАЦИЯ[[#This Row],[СОНИ]]*РЕАЛИЗАЦИЯ[[#This Row],[НАРХИ]]</f>
        <v>0</v>
      </c>
      <c r="I1469" s="94"/>
      <c r="J1469" s="31">
        <f>РЕАЛИЗАЦИЯ[[#This Row],[СОНИ]]*РЕАЛИЗАЦИЯ[[#This Row],[ТАННАРХ]]</f>
        <v>0</v>
      </c>
      <c r="K1469" s="31">
        <f>РЕАЛИЗАЦИЯ[[#This Row],[ЖАМИ]]-РЕАЛИЗАЦИЯ[[#This Row],[ЖАМИ2]]</f>
        <v>0</v>
      </c>
      <c r="L1469" s="31"/>
    </row>
    <row r="1470" spans="3:12" ht="15" customHeight="1" x14ac:dyDescent="0.3">
      <c r="C1470" s="111"/>
      <c r="D1470" s="111"/>
      <c r="G1470" s="50">
        <f>РЕАЛИЗАЦИЯ[[#This Row],[СОНИ]]*РЕАЛИЗАЦИЯ[[#This Row],[НАРХИ]]</f>
        <v>0</v>
      </c>
      <c r="I1470" s="94"/>
      <c r="J1470" s="31">
        <f>РЕАЛИЗАЦИЯ[[#This Row],[СОНИ]]*РЕАЛИЗАЦИЯ[[#This Row],[ТАННАРХ]]</f>
        <v>0</v>
      </c>
      <c r="K1470" s="31">
        <f>РЕАЛИЗАЦИЯ[[#This Row],[ЖАМИ]]-РЕАЛИЗАЦИЯ[[#This Row],[ЖАМИ2]]</f>
        <v>0</v>
      </c>
      <c r="L1470" s="31"/>
    </row>
    <row r="1471" spans="3:12" ht="15" customHeight="1" x14ac:dyDescent="0.3">
      <c r="C1471" s="111"/>
      <c r="D1471" s="111"/>
      <c r="G1471" s="50">
        <f>РЕАЛИЗАЦИЯ[[#This Row],[СОНИ]]*РЕАЛИЗАЦИЯ[[#This Row],[НАРХИ]]</f>
        <v>0</v>
      </c>
      <c r="I1471" s="94"/>
      <c r="J1471" s="31">
        <f>РЕАЛИЗАЦИЯ[[#This Row],[СОНИ]]*РЕАЛИЗАЦИЯ[[#This Row],[ТАННАРХ]]</f>
        <v>0</v>
      </c>
      <c r="K1471" s="31">
        <f>РЕАЛИЗАЦИЯ[[#This Row],[ЖАМИ]]-РЕАЛИЗАЦИЯ[[#This Row],[ЖАМИ2]]</f>
        <v>0</v>
      </c>
      <c r="L1471" s="31"/>
    </row>
    <row r="1472" spans="3:12" ht="15" customHeight="1" x14ac:dyDescent="0.3">
      <c r="C1472" s="111"/>
      <c r="D1472" s="111"/>
      <c r="G1472" s="50">
        <f>РЕАЛИЗАЦИЯ[[#This Row],[СОНИ]]*РЕАЛИЗАЦИЯ[[#This Row],[НАРХИ]]</f>
        <v>0</v>
      </c>
      <c r="I1472" s="166"/>
      <c r="J1472" s="31">
        <f>РЕАЛИЗАЦИЯ[[#This Row],[СОНИ]]*РЕАЛИЗАЦИЯ[[#This Row],[ТАННАРХ]]</f>
        <v>0</v>
      </c>
      <c r="K1472" s="31">
        <f>РЕАЛИЗАЦИЯ[[#This Row],[ЖАМИ]]-РЕАЛИЗАЦИЯ[[#This Row],[ЖАМИ2]]</f>
        <v>0</v>
      </c>
      <c r="L1472" s="31"/>
    </row>
    <row r="1473" spans="3:12" ht="15" customHeight="1" x14ac:dyDescent="0.3">
      <c r="C1473" s="111"/>
      <c r="D1473" s="111"/>
      <c r="G1473" s="50">
        <f>РЕАЛИЗАЦИЯ[[#This Row],[СОНИ]]*РЕАЛИЗАЦИЯ[[#This Row],[НАРХИ]]</f>
        <v>0</v>
      </c>
      <c r="I1473" s="94"/>
      <c r="J1473" s="31">
        <f>РЕАЛИЗАЦИЯ[[#This Row],[СОНИ]]*РЕАЛИЗАЦИЯ[[#This Row],[ТАННАРХ]]</f>
        <v>0</v>
      </c>
      <c r="K1473" s="31">
        <f>РЕАЛИЗАЦИЯ[[#This Row],[ЖАМИ]]-РЕАЛИЗАЦИЯ[[#This Row],[ЖАМИ2]]</f>
        <v>0</v>
      </c>
      <c r="L1473" s="31"/>
    </row>
    <row r="1474" spans="3:12" ht="15" customHeight="1" x14ac:dyDescent="0.3">
      <c r="C1474" s="111"/>
      <c r="D1474" s="111"/>
      <c r="G1474" s="50">
        <f>РЕАЛИЗАЦИЯ[[#This Row],[СОНИ]]*РЕАЛИЗАЦИЯ[[#This Row],[НАРХИ]]</f>
        <v>0</v>
      </c>
      <c r="I1474" s="94"/>
      <c r="J1474" s="31">
        <f>РЕАЛИЗАЦИЯ[[#This Row],[СОНИ]]*РЕАЛИЗАЦИЯ[[#This Row],[ТАННАРХ]]</f>
        <v>0</v>
      </c>
      <c r="K1474" s="31">
        <f>РЕАЛИЗАЦИЯ[[#This Row],[ЖАМИ]]-РЕАЛИЗАЦИЯ[[#This Row],[ЖАМИ2]]</f>
        <v>0</v>
      </c>
      <c r="L1474" s="31"/>
    </row>
    <row r="1475" spans="3:12" ht="15" customHeight="1" x14ac:dyDescent="0.3">
      <c r="C1475" s="111"/>
      <c r="D1475" s="111"/>
      <c r="G1475" s="50">
        <f>РЕАЛИЗАЦИЯ[[#This Row],[СОНИ]]*РЕАЛИЗАЦИЯ[[#This Row],[НАРХИ]]</f>
        <v>0</v>
      </c>
      <c r="I1475" s="94"/>
      <c r="J1475" s="31">
        <f>РЕАЛИЗАЦИЯ[[#This Row],[СОНИ]]*РЕАЛИЗАЦИЯ[[#This Row],[ТАННАРХ]]</f>
        <v>0</v>
      </c>
      <c r="K1475" s="31">
        <f>РЕАЛИЗАЦИЯ[[#This Row],[ЖАМИ]]-РЕАЛИЗАЦИЯ[[#This Row],[ЖАМИ2]]</f>
        <v>0</v>
      </c>
      <c r="L1475" s="31"/>
    </row>
    <row r="1476" spans="3:12" ht="15" customHeight="1" x14ac:dyDescent="0.3">
      <c r="C1476" s="111"/>
      <c r="D1476" s="111"/>
      <c r="G1476" s="50">
        <f>РЕАЛИЗАЦИЯ[[#This Row],[СОНИ]]*РЕАЛИЗАЦИЯ[[#This Row],[НАРХИ]]</f>
        <v>0</v>
      </c>
      <c r="I1476" s="94"/>
      <c r="J1476" s="31">
        <f>РЕАЛИЗАЦИЯ[[#This Row],[СОНИ]]*РЕАЛИЗАЦИЯ[[#This Row],[ТАННАРХ]]</f>
        <v>0</v>
      </c>
      <c r="K1476" s="31">
        <f>РЕАЛИЗАЦИЯ[[#This Row],[ЖАМИ]]-РЕАЛИЗАЦИЯ[[#This Row],[ЖАМИ2]]</f>
        <v>0</v>
      </c>
      <c r="L1476" s="31"/>
    </row>
    <row r="1477" spans="3:12" ht="15" customHeight="1" x14ac:dyDescent="0.3">
      <c r="C1477" s="111"/>
      <c r="D1477" s="111"/>
      <c r="G1477" s="50">
        <f>РЕАЛИЗАЦИЯ[[#This Row],[СОНИ]]*РЕАЛИЗАЦИЯ[[#This Row],[НАРХИ]]</f>
        <v>0</v>
      </c>
      <c r="I1477" s="94"/>
      <c r="J1477" s="31">
        <f>РЕАЛИЗАЦИЯ[[#This Row],[СОНИ]]*РЕАЛИЗАЦИЯ[[#This Row],[ТАННАРХ]]</f>
        <v>0</v>
      </c>
      <c r="K1477" s="31">
        <f>РЕАЛИЗАЦИЯ[[#This Row],[ЖАМИ]]-РЕАЛИЗАЦИЯ[[#This Row],[ЖАМИ2]]</f>
        <v>0</v>
      </c>
      <c r="L1477" s="31"/>
    </row>
    <row r="1478" spans="3:12" ht="15" customHeight="1" x14ac:dyDescent="0.3">
      <c r="C1478" s="111"/>
      <c r="D1478" s="111"/>
      <c r="G1478" s="50">
        <f>РЕАЛИЗАЦИЯ[[#This Row],[СОНИ]]*РЕАЛИЗАЦИЯ[[#This Row],[НАРХИ]]</f>
        <v>0</v>
      </c>
      <c r="I1478" s="94"/>
      <c r="J1478" s="31">
        <f>РЕАЛИЗАЦИЯ[[#This Row],[СОНИ]]*РЕАЛИЗАЦИЯ[[#This Row],[ТАННАРХ]]</f>
        <v>0</v>
      </c>
      <c r="K1478" s="31">
        <f>РЕАЛИЗАЦИЯ[[#This Row],[ЖАМИ]]-РЕАЛИЗАЦИЯ[[#This Row],[ЖАМИ2]]</f>
        <v>0</v>
      </c>
      <c r="L1478" s="31"/>
    </row>
    <row r="1479" spans="3:12" ht="15" customHeight="1" x14ac:dyDescent="0.3">
      <c r="C1479" s="111"/>
      <c r="D1479" s="111"/>
      <c r="G1479" s="50">
        <f>РЕАЛИЗАЦИЯ[[#This Row],[СОНИ]]*РЕАЛИЗАЦИЯ[[#This Row],[НАРХИ]]</f>
        <v>0</v>
      </c>
      <c r="I1479" s="94"/>
      <c r="J1479" s="31">
        <f>РЕАЛИЗАЦИЯ[[#This Row],[СОНИ]]*РЕАЛИЗАЦИЯ[[#This Row],[ТАННАРХ]]</f>
        <v>0</v>
      </c>
      <c r="K1479" s="31">
        <f>РЕАЛИЗАЦИЯ[[#This Row],[ЖАМИ]]-РЕАЛИЗАЦИЯ[[#This Row],[ЖАМИ2]]</f>
        <v>0</v>
      </c>
      <c r="L1479" s="31"/>
    </row>
    <row r="1480" spans="3:12" ht="15" customHeight="1" x14ac:dyDescent="0.3">
      <c r="C1480" s="111"/>
      <c r="D1480" s="111"/>
      <c r="G1480" s="50">
        <f>РЕАЛИЗАЦИЯ[[#This Row],[СОНИ]]*РЕАЛИЗАЦИЯ[[#This Row],[НАРХИ]]</f>
        <v>0</v>
      </c>
      <c r="I1480" s="94"/>
      <c r="J1480" s="31">
        <f>РЕАЛИЗАЦИЯ[[#This Row],[СОНИ]]*РЕАЛИЗАЦИЯ[[#This Row],[ТАННАРХ]]</f>
        <v>0</v>
      </c>
      <c r="K1480" s="31">
        <f>РЕАЛИЗАЦИЯ[[#This Row],[ЖАМИ]]-РЕАЛИЗАЦИЯ[[#This Row],[ЖАМИ2]]</f>
        <v>0</v>
      </c>
      <c r="L1480" s="31"/>
    </row>
    <row r="1481" spans="3:12" ht="15" customHeight="1" x14ac:dyDescent="0.3">
      <c r="C1481" s="111"/>
      <c r="D1481" s="111"/>
      <c r="G1481" s="50">
        <f>РЕАЛИЗАЦИЯ[[#This Row],[СОНИ]]*РЕАЛИЗАЦИЯ[[#This Row],[НАРХИ]]</f>
        <v>0</v>
      </c>
      <c r="I1481" s="94"/>
      <c r="J1481" s="31">
        <f>РЕАЛИЗАЦИЯ[[#This Row],[СОНИ]]*РЕАЛИЗАЦИЯ[[#This Row],[ТАННАРХ]]</f>
        <v>0</v>
      </c>
      <c r="K1481" s="31">
        <f>РЕАЛИЗАЦИЯ[[#This Row],[ЖАМИ]]-РЕАЛИЗАЦИЯ[[#This Row],[ЖАМИ2]]</f>
        <v>0</v>
      </c>
      <c r="L1481" s="31"/>
    </row>
    <row r="1482" spans="3:12" ht="15" customHeight="1" x14ac:dyDescent="0.3">
      <c r="C1482" s="111"/>
      <c r="D1482" s="111"/>
      <c r="G1482" s="50">
        <f>РЕАЛИЗАЦИЯ[[#This Row],[СОНИ]]*РЕАЛИЗАЦИЯ[[#This Row],[НАРХИ]]</f>
        <v>0</v>
      </c>
      <c r="I1482" s="94"/>
      <c r="J1482" s="31">
        <f>РЕАЛИЗАЦИЯ[[#This Row],[СОНИ]]*РЕАЛИЗАЦИЯ[[#This Row],[ТАННАРХ]]</f>
        <v>0</v>
      </c>
      <c r="K1482" s="31">
        <f>РЕАЛИЗАЦИЯ[[#This Row],[ЖАМИ]]-РЕАЛИЗАЦИЯ[[#This Row],[ЖАМИ2]]</f>
        <v>0</v>
      </c>
      <c r="L1482" s="31"/>
    </row>
    <row r="1483" spans="3:12" ht="15" customHeight="1" x14ac:dyDescent="0.3">
      <c r="C1483" s="111"/>
      <c r="D1483" s="111"/>
      <c r="G1483" s="50">
        <f>РЕАЛИЗАЦИЯ[[#This Row],[СОНИ]]*РЕАЛИЗАЦИЯ[[#This Row],[НАРХИ]]</f>
        <v>0</v>
      </c>
      <c r="I1483" s="94"/>
      <c r="J1483" s="31">
        <f>РЕАЛИЗАЦИЯ[[#This Row],[СОНИ]]*РЕАЛИЗАЦИЯ[[#This Row],[ТАННАРХ]]</f>
        <v>0</v>
      </c>
      <c r="K1483" s="31">
        <f>РЕАЛИЗАЦИЯ[[#This Row],[ЖАМИ]]-РЕАЛИЗАЦИЯ[[#This Row],[ЖАМИ2]]</f>
        <v>0</v>
      </c>
      <c r="L1483" s="31"/>
    </row>
    <row r="1484" spans="3:12" ht="15" customHeight="1" x14ac:dyDescent="0.3">
      <c r="C1484" s="111"/>
      <c r="D1484" s="111"/>
      <c r="G1484" s="50">
        <f>РЕАЛИЗАЦИЯ[[#This Row],[СОНИ]]*РЕАЛИЗАЦИЯ[[#This Row],[НАРХИ]]</f>
        <v>0</v>
      </c>
      <c r="I1484" s="94"/>
      <c r="J1484" s="31">
        <f>РЕАЛИЗАЦИЯ[[#This Row],[СОНИ]]*РЕАЛИЗАЦИЯ[[#This Row],[ТАННАРХ]]</f>
        <v>0</v>
      </c>
      <c r="K1484" s="31">
        <f>РЕАЛИЗАЦИЯ[[#This Row],[ЖАМИ]]-РЕАЛИЗАЦИЯ[[#This Row],[ЖАМИ2]]</f>
        <v>0</v>
      </c>
      <c r="L1484" s="31"/>
    </row>
    <row r="1485" spans="3:12" ht="15" customHeight="1" x14ac:dyDescent="0.3">
      <c r="C1485" s="111"/>
      <c r="D1485" s="111"/>
      <c r="G1485" s="50">
        <f>РЕАЛИЗАЦИЯ[[#This Row],[СОНИ]]*РЕАЛИЗАЦИЯ[[#This Row],[НАРХИ]]</f>
        <v>0</v>
      </c>
      <c r="I1485" s="94"/>
      <c r="J1485" s="31">
        <f>РЕАЛИЗАЦИЯ[[#This Row],[СОНИ]]*РЕАЛИЗАЦИЯ[[#This Row],[ТАННАРХ]]</f>
        <v>0</v>
      </c>
      <c r="K1485" s="31">
        <f>РЕАЛИЗАЦИЯ[[#This Row],[ЖАМИ]]-РЕАЛИЗАЦИЯ[[#This Row],[ЖАМИ2]]</f>
        <v>0</v>
      </c>
      <c r="L1485" s="31"/>
    </row>
    <row r="1486" spans="3:12" ht="15" customHeight="1" x14ac:dyDescent="0.3">
      <c r="C1486" s="111"/>
      <c r="D1486" s="111"/>
      <c r="G1486" s="50">
        <f>РЕАЛИЗАЦИЯ[[#This Row],[СОНИ]]*РЕАЛИЗАЦИЯ[[#This Row],[НАРХИ]]</f>
        <v>0</v>
      </c>
      <c r="I1486" s="94"/>
      <c r="J1486" s="31">
        <f>РЕАЛИЗАЦИЯ[[#This Row],[СОНИ]]*РЕАЛИЗАЦИЯ[[#This Row],[ТАННАРХ]]</f>
        <v>0</v>
      </c>
      <c r="K1486" s="31">
        <f>РЕАЛИЗАЦИЯ[[#This Row],[ЖАМИ]]-РЕАЛИЗАЦИЯ[[#This Row],[ЖАМИ2]]</f>
        <v>0</v>
      </c>
      <c r="L1486" s="31"/>
    </row>
    <row r="1487" spans="3:12" ht="15" customHeight="1" x14ac:dyDescent="0.3">
      <c r="C1487" s="111"/>
      <c r="D1487" s="111"/>
      <c r="G1487" s="50">
        <f>РЕАЛИЗАЦИЯ[[#This Row],[СОНИ]]*РЕАЛИЗАЦИЯ[[#This Row],[НАРХИ]]</f>
        <v>0</v>
      </c>
      <c r="I1487" s="94"/>
      <c r="J1487" s="31">
        <f>РЕАЛИЗАЦИЯ[[#This Row],[СОНИ]]*РЕАЛИЗАЦИЯ[[#This Row],[ТАННАРХ]]</f>
        <v>0</v>
      </c>
      <c r="K1487" s="31">
        <f>РЕАЛИЗАЦИЯ[[#This Row],[ЖАМИ]]-РЕАЛИЗАЦИЯ[[#This Row],[ЖАМИ2]]</f>
        <v>0</v>
      </c>
      <c r="L1487" s="31"/>
    </row>
    <row r="1488" spans="3:12" ht="15" customHeight="1" x14ac:dyDescent="0.3">
      <c r="C1488" s="111"/>
      <c r="D1488" s="111"/>
      <c r="G1488" s="50">
        <f>РЕАЛИЗАЦИЯ[[#This Row],[СОНИ]]*РЕАЛИЗАЦИЯ[[#This Row],[НАРХИ]]</f>
        <v>0</v>
      </c>
      <c r="I1488" s="94"/>
      <c r="J1488" s="31">
        <f>РЕАЛИЗАЦИЯ[[#This Row],[СОНИ]]*РЕАЛИЗАЦИЯ[[#This Row],[ТАННАРХ]]</f>
        <v>0</v>
      </c>
      <c r="K1488" s="31">
        <f>РЕАЛИЗАЦИЯ[[#This Row],[ЖАМИ]]-РЕАЛИЗАЦИЯ[[#This Row],[ЖАМИ2]]</f>
        <v>0</v>
      </c>
      <c r="L1488" s="31"/>
    </row>
    <row r="1489" spans="3:12" ht="15" customHeight="1" x14ac:dyDescent="0.3">
      <c r="C1489" s="111"/>
      <c r="D1489" s="111"/>
      <c r="G1489" s="50">
        <f>РЕАЛИЗАЦИЯ[[#This Row],[СОНИ]]*РЕАЛИЗАЦИЯ[[#This Row],[НАРХИ]]</f>
        <v>0</v>
      </c>
      <c r="I1489" s="94"/>
      <c r="J1489" s="31">
        <f>РЕАЛИЗАЦИЯ[[#This Row],[СОНИ]]*РЕАЛИЗАЦИЯ[[#This Row],[ТАННАРХ]]</f>
        <v>0</v>
      </c>
      <c r="K1489" s="31">
        <f>РЕАЛИЗАЦИЯ[[#This Row],[ЖАМИ]]-РЕАЛИЗАЦИЯ[[#This Row],[ЖАМИ2]]</f>
        <v>0</v>
      </c>
      <c r="L1489" s="31"/>
    </row>
    <row r="1490" spans="3:12" ht="15" customHeight="1" x14ac:dyDescent="0.3">
      <c r="C1490" s="111"/>
      <c r="D1490" s="111"/>
      <c r="G1490" s="50">
        <f>РЕАЛИЗАЦИЯ[[#This Row],[СОНИ]]*РЕАЛИЗАЦИЯ[[#This Row],[НАРХИ]]</f>
        <v>0</v>
      </c>
      <c r="I1490" s="94"/>
      <c r="J1490" s="31">
        <f>РЕАЛИЗАЦИЯ[[#This Row],[СОНИ]]*РЕАЛИЗАЦИЯ[[#This Row],[ТАННАРХ]]</f>
        <v>0</v>
      </c>
      <c r="K1490" s="31">
        <f>РЕАЛИЗАЦИЯ[[#This Row],[ЖАМИ]]-РЕАЛИЗАЦИЯ[[#This Row],[ЖАМИ2]]</f>
        <v>0</v>
      </c>
      <c r="L1490" s="31"/>
    </row>
    <row r="1491" spans="3:12" ht="15" customHeight="1" x14ac:dyDescent="0.3">
      <c r="C1491" s="111"/>
      <c r="D1491" s="111"/>
      <c r="G1491" s="50">
        <f>РЕАЛИЗАЦИЯ[[#This Row],[СОНИ]]*РЕАЛИЗАЦИЯ[[#This Row],[НАРХИ]]</f>
        <v>0</v>
      </c>
      <c r="I1491" s="94"/>
      <c r="J1491" s="31">
        <f>РЕАЛИЗАЦИЯ[[#This Row],[СОНИ]]*РЕАЛИЗАЦИЯ[[#This Row],[ТАННАРХ]]</f>
        <v>0</v>
      </c>
      <c r="K1491" s="31">
        <f>РЕАЛИЗАЦИЯ[[#This Row],[ЖАМИ]]-РЕАЛИЗАЦИЯ[[#This Row],[ЖАМИ2]]</f>
        <v>0</v>
      </c>
      <c r="L1491" s="31"/>
    </row>
    <row r="1492" spans="3:12" ht="15" customHeight="1" x14ac:dyDescent="0.3">
      <c r="C1492" s="111"/>
      <c r="D1492" s="111"/>
      <c r="G1492" s="50">
        <f>РЕАЛИЗАЦИЯ[[#This Row],[СОНИ]]*РЕАЛИЗАЦИЯ[[#This Row],[НАРХИ]]</f>
        <v>0</v>
      </c>
      <c r="I1492" s="94"/>
      <c r="J1492" s="31">
        <f>РЕАЛИЗАЦИЯ[[#This Row],[СОНИ]]*РЕАЛИЗАЦИЯ[[#This Row],[ТАННАРХ]]</f>
        <v>0</v>
      </c>
      <c r="K1492" s="31">
        <f>РЕАЛИЗАЦИЯ[[#This Row],[ЖАМИ]]-РЕАЛИЗАЦИЯ[[#This Row],[ЖАМИ2]]</f>
        <v>0</v>
      </c>
      <c r="L1492" s="31"/>
    </row>
    <row r="1493" spans="3:12" ht="15" customHeight="1" x14ac:dyDescent="0.3">
      <c r="C1493" s="111"/>
      <c r="D1493" s="111"/>
      <c r="G1493" s="50">
        <f>РЕАЛИЗАЦИЯ[[#This Row],[СОНИ]]*РЕАЛИЗАЦИЯ[[#This Row],[НАРХИ]]</f>
        <v>0</v>
      </c>
      <c r="I1493" s="94"/>
      <c r="J1493" s="31">
        <f>РЕАЛИЗАЦИЯ[[#This Row],[СОНИ]]*РЕАЛИЗАЦИЯ[[#This Row],[ТАННАРХ]]</f>
        <v>0</v>
      </c>
      <c r="K1493" s="31">
        <f>РЕАЛИЗАЦИЯ[[#This Row],[ЖАМИ]]-РЕАЛИЗАЦИЯ[[#This Row],[ЖАМИ2]]</f>
        <v>0</v>
      </c>
      <c r="L1493" s="31"/>
    </row>
    <row r="1494" spans="3:12" ht="15" customHeight="1" x14ac:dyDescent="0.3">
      <c r="C1494" s="111"/>
      <c r="D1494" s="111"/>
      <c r="G1494" s="50">
        <f>РЕАЛИЗАЦИЯ[[#This Row],[СОНИ]]*РЕАЛИЗАЦИЯ[[#This Row],[НАРХИ]]</f>
        <v>0</v>
      </c>
      <c r="I1494" s="94"/>
      <c r="J1494" s="31">
        <f>РЕАЛИЗАЦИЯ[[#This Row],[СОНИ]]*РЕАЛИЗАЦИЯ[[#This Row],[ТАННАРХ]]</f>
        <v>0</v>
      </c>
      <c r="K1494" s="31">
        <f>РЕАЛИЗАЦИЯ[[#This Row],[ЖАМИ]]-РЕАЛИЗАЦИЯ[[#This Row],[ЖАМИ2]]</f>
        <v>0</v>
      </c>
      <c r="L1494" s="31"/>
    </row>
    <row r="1495" spans="3:12" ht="15" customHeight="1" x14ac:dyDescent="0.3">
      <c r="C1495" s="111"/>
      <c r="D1495" s="111"/>
      <c r="G1495" s="50">
        <f>РЕАЛИЗАЦИЯ[[#This Row],[СОНИ]]*РЕАЛИЗАЦИЯ[[#This Row],[НАРХИ]]</f>
        <v>0</v>
      </c>
      <c r="I1495" s="94"/>
      <c r="J1495" s="31">
        <f>РЕАЛИЗАЦИЯ[[#This Row],[СОНИ]]*РЕАЛИЗАЦИЯ[[#This Row],[ТАННАРХ]]</f>
        <v>0</v>
      </c>
      <c r="K1495" s="31">
        <f>РЕАЛИЗАЦИЯ[[#This Row],[ЖАМИ]]-РЕАЛИЗАЦИЯ[[#This Row],[ЖАМИ2]]</f>
        <v>0</v>
      </c>
      <c r="L1495" s="31"/>
    </row>
    <row r="1496" spans="3:12" ht="15" customHeight="1" x14ac:dyDescent="0.3">
      <c r="C1496" s="111"/>
      <c r="D1496" s="111"/>
      <c r="G1496" s="50">
        <f>РЕАЛИЗАЦИЯ[[#This Row],[СОНИ]]*РЕАЛИЗАЦИЯ[[#This Row],[НАРХИ]]</f>
        <v>0</v>
      </c>
      <c r="I1496" s="94"/>
      <c r="J1496" s="31">
        <f>РЕАЛИЗАЦИЯ[[#This Row],[СОНИ]]*РЕАЛИЗАЦИЯ[[#This Row],[ТАННАРХ]]</f>
        <v>0</v>
      </c>
      <c r="K1496" s="31">
        <f>РЕАЛИЗАЦИЯ[[#This Row],[ЖАМИ]]-РЕАЛИЗАЦИЯ[[#This Row],[ЖАМИ2]]</f>
        <v>0</v>
      </c>
      <c r="L1496" s="31"/>
    </row>
    <row r="1497" spans="3:12" ht="15" customHeight="1" x14ac:dyDescent="0.3">
      <c r="C1497" s="111"/>
      <c r="D1497" s="111"/>
      <c r="G1497" s="50">
        <f>РЕАЛИЗАЦИЯ[[#This Row],[СОНИ]]*РЕАЛИЗАЦИЯ[[#This Row],[НАРХИ]]</f>
        <v>0</v>
      </c>
      <c r="I1497" s="94"/>
      <c r="J1497" s="31">
        <f>РЕАЛИЗАЦИЯ[[#This Row],[СОНИ]]*РЕАЛИЗАЦИЯ[[#This Row],[ТАННАРХ]]</f>
        <v>0</v>
      </c>
      <c r="K1497" s="31">
        <f>РЕАЛИЗАЦИЯ[[#This Row],[ЖАМИ]]-РЕАЛИЗАЦИЯ[[#This Row],[ЖАМИ2]]</f>
        <v>0</v>
      </c>
      <c r="L1497" s="31"/>
    </row>
    <row r="1498" spans="3:12" ht="15" customHeight="1" x14ac:dyDescent="0.3">
      <c r="C1498" s="111"/>
      <c r="D1498" s="111"/>
      <c r="G1498" s="50">
        <f>РЕАЛИЗАЦИЯ[[#This Row],[СОНИ]]*РЕАЛИЗАЦИЯ[[#This Row],[НАРХИ]]</f>
        <v>0</v>
      </c>
      <c r="I1498" s="94"/>
      <c r="J1498" s="31">
        <f>РЕАЛИЗАЦИЯ[[#This Row],[СОНИ]]*РЕАЛИЗАЦИЯ[[#This Row],[ТАННАРХ]]</f>
        <v>0</v>
      </c>
      <c r="K1498" s="31">
        <f>РЕАЛИЗАЦИЯ[[#This Row],[ЖАМИ]]-РЕАЛИЗАЦИЯ[[#This Row],[ЖАМИ2]]</f>
        <v>0</v>
      </c>
      <c r="L1498" s="31"/>
    </row>
    <row r="1499" spans="3:12" ht="15" customHeight="1" x14ac:dyDescent="0.3">
      <c r="C1499" s="111"/>
      <c r="D1499" s="111"/>
      <c r="G1499" s="50">
        <f>РЕАЛИЗАЦИЯ[[#This Row],[СОНИ]]*РЕАЛИЗАЦИЯ[[#This Row],[НАРХИ]]</f>
        <v>0</v>
      </c>
      <c r="I1499" s="94"/>
      <c r="J1499" s="31">
        <f>РЕАЛИЗАЦИЯ[[#This Row],[СОНИ]]*РЕАЛИЗАЦИЯ[[#This Row],[ТАННАРХ]]</f>
        <v>0</v>
      </c>
      <c r="K1499" s="31">
        <f>РЕАЛИЗАЦИЯ[[#This Row],[ЖАМИ]]-РЕАЛИЗАЦИЯ[[#This Row],[ЖАМИ2]]</f>
        <v>0</v>
      </c>
      <c r="L1499" s="31"/>
    </row>
    <row r="1500" spans="3:12" ht="15" customHeight="1" x14ac:dyDescent="0.3">
      <c r="C1500" s="111"/>
      <c r="D1500" s="111"/>
      <c r="G1500" s="50">
        <f>РЕАЛИЗАЦИЯ[[#This Row],[СОНИ]]*РЕАЛИЗАЦИЯ[[#This Row],[НАРХИ]]</f>
        <v>0</v>
      </c>
      <c r="I1500" s="94"/>
      <c r="J1500" s="31">
        <f>РЕАЛИЗАЦИЯ[[#This Row],[СОНИ]]*РЕАЛИЗАЦИЯ[[#This Row],[ТАННАРХ]]</f>
        <v>0</v>
      </c>
      <c r="K1500" s="31">
        <f>РЕАЛИЗАЦИЯ[[#This Row],[ЖАМИ]]-РЕАЛИЗАЦИЯ[[#This Row],[ЖАМИ2]]</f>
        <v>0</v>
      </c>
      <c r="L1500" s="31"/>
    </row>
    <row r="1501" spans="3:12" ht="15" customHeight="1" x14ac:dyDescent="0.3">
      <c r="C1501" s="111"/>
      <c r="D1501" s="111"/>
      <c r="G1501" s="50">
        <f>РЕАЛИЗАЦИЯ[[#This Row],[СОНИ]]*РЕАЛИЗАЦИЯ[[#This Row],[НАРХИ]]</f>
        <v>0</v>
      </c>
      <c r="I1501" s="94"/>
      <c r="J1501" s="31">
        <f>РЕАЛИЗАЦИЯ[[#This Row],[СОНИ]]*РЕАЛИЗАЦИЯ[[#This Row],[ТАННАРХ]]</f>
        <v>0</v>
      </c>
      <c r="K1501" s="31">
        <f>РЕАЛИЗАЦИЯ[[#This Row],[ЖАМИ]]-РЕАЛИЗАЦИЯ[[#This Row],[ЖАМИ2]]</f>
        <v>0</v>
      </c>
      <c r="L1501" s="31"/>
    </row>
    <row r="1502" spans="3:12" ht="15" customHeight="1" x14ac:dyDescent="0.3">
      <c r="C1502" s="111"/>
      <c r="D1502" s="111"/>
      <c r="G1502" s="50">
        <f>РЕАЛИЗАЦИЯ[[#This Row],[СОНИ]]*РЕАЛИЗАЦИЯ[[#This Row],[НАРХИ]]</f>
        <v>0</v>
      </c>
      <c r="I1502" s="94"/>
      <c r="J1502" s="31">
        <f>РЕАЛИЗАЦИЯ[[#This Row],[СОНИ]]*РЕАЛИЗАЦИЯ[[#This Row],[ТАННАРХ]]</f>
        <v>0</v>
      </c>
      <c r="K1502" s="31">
        <f>РЕАЛИЗАЦИЯ[[#This Row],[ЖАМИ]]-РЕАЛИЗАЦИЯ[[#This Row],[ЖАМИ2]]</f>
        <v>0</v>
      </c>
      <c r="L1502" s="31"/>
    </row>
    <row r="1503" spans="3:12" ht="15" customHeight="1" x14ac:dyDescent="0.3">
      <c r="C1503" s="111"/>
      <c r="D1503" s="111"/>
      <c r="G1503" s="50">
        <f>РЕАЛИЗАЦИЯ[[#This Row],[СОНИ]]*РЕАЛИЗАЦИЯ[[#This Row],[НАРХИ]]</f>
        <v>0</v>
      </c>
      <c r="I1503" s="94"/>
      <c r="J1503" s="31">
        <f>РЕАЛИЗАЦИЯ[[#This Row],[СОНИ]]*РЕАЛИЗАЦИЯ[[#This Row],[ТАННАРХ]]</f>
        <v>0</v>
      </c>
      <c r="K1503" s="31">
        <f>РЕАЛИЗАЦИЯ[[#This Row],[ЖАМИ]]-РЕАЛИЗАЦИЯ[[#This Row],[ЖАМИ2]]</f>
        <v>0</v>
      </c>
      <c r="L1503" s="31"/>
    </row>
    <row r="1504" spans="3:12" ht="15" customHeight="1" x14ac:dyDescent="0.3">
      <c r="C1504" s="111"/>
      <c r="D1504" s="111"/>
      <c r="G1504" s="50">
        <f>РЕАЛИЗАЦИЯ[[#This Row],[СОНИ]]*РЕАЛИЗАЦИЯ[[#This Row],[НАРХИ]]</f>
        <v>0</v>
      </c>
      <c r="I1504" s="94"/>
      <c r="J1504" s="31">
        <f>РЕАЛИЗАЦИЯ[[#This Row],[СОНИ]]*РЕАЛИЗАЦИЯ[[#This Row],[ТАННАРХ]]</f>
        <v>0</v>
      </c>
      <c r="K1504" s="31">
        <f>РЕАЛИЗАЦИЯ[[#This Row],[ЖАМИ]]-РЕАЛИЗАЦИЯ[[#This Row],[ЖАМИ2]]</f>
        <v>0</v>
      </c>
      <c r="L1504" s="31"/>
    </row>
    <row r="1505" spans="2:12" ht="15" customHeight="1" x14ac:dyDescent="0.3">
      <c r="C1505" s="111"/>
      <c r="D1505" s="111"/>
      <c r="G1505" s="50">
        <f>РЕАЛИЗАЦИЯ[[#This Row],[СОНИ]]*РЕАЛИЗАЦИЯ[[#This Row],[НАРХИ]]</f>
        <v>0</v>
      </c>
      <c r="I1505" s="94"/>
      <c r="J1505" s="31">
        <f>РЕАЛИЗАЦИЯ[[#This Row],[СОНИ]]*РЕАЛИЗАЦИЯ[[#This Row],[ТАННАРХ]]</f>
        <v>0</v>
      </c>
      <c r="K1505" s="31">
        <f>РЕАЛИЗАЦИЯ[[#This Row],[ЖАМИ]]-РЕАЛИЗАЦИЯ[[#This Row],[ЖАМИ2]]</f>
        <v>0</v>
      </c>
      <c r="L1505" s="31"/>
    </row>
    <row r="1506" spans="2:12" ht="15" customHeight="1" x14ac:dyDescent="0.3">
      <c r="C1506" s="124"/>
      <c r="D1506" s="124"/>
      <c r="G1506" s="50">
        <f>РЕАЛИЗАЦИЯ[[#This Row],[СОНИ]]*РЕАЛИЗАЦИЯ[[#This Row],[НАРХИ]]</f>
        <v>0</v>
      </c>
      <c r="I1506" s="44"/>
      <c r="J1506" s="31">
        <f>РЕАЛИЗАЦИЯ[[#This Row],[СОНИ]]*РЕАЛИЗАЦИЯ[[#This Row],[ТАННАРХ]]</f>
        <v>0</v>
      </c>
      <c r="K1506" s="31">
        <f>РЕАЛИЗАЦИЯ[[#This Row],[ЖАМИ]]-РЕАЛИЗАЦИЯ[[#This Row],[ЖАМИ2]]</f>
        <v>0</v>
      </c>
      <c r="L1506" s="31"/>
    </row>
    <row r="1507" spans="2:12" ht="15" customHeight="1" x14ac:dyDescent="0.3">
      <c r="C1507" s="138"/>
      <c r="D1507" s="138"/>
      <c r="G1507" s="50">
        <f>РЕАЛИЗАЦИЯ[[#This Row],[СОНИ]]*РЕАЛИЗАЦИЯ[[#This Row],[НАРХИ]]</f>
        <v>0</v>
      </c>
      <c r="I1507" s="132"/>
      <c r="J1507" s="31">
        <f>РЕАЛИЗАЦИЯ[[#This Row],[СОНИ]]*РЕАЛИЗАЦИЯ[[#This Row],[ТАННАРХ]]</f>
        <v>0</v>
      </c>
      <c r="K1507" s="31">
        <f>РЕАЛИЗАЦИЯ[[#This Row],[ЖАМИ]]-РЕАЛИЗАЦИЯ[[#This Row],[ЖАМИ2]]</f>
        <v>0</v>
      </c>
      <c r="L1507" s="31"/>
    </row>
    <row r="1508" spans="2:12" ht="15" customHeight="1" x14ac:dyDescent="0.3">
      <c r="C1508" s="138"/>
      <c r="D1508" s="138"/>
      <c r="G1508" s="50">
        <f>РЕАЛИЗАЦИЯ[[#This Row],[СОНИ]]*РЕАЛИЗАЦИЯ[[#This Row],[НАРХИ]]</f>
        <v>0</v>
      </c>
      <c r="I1508" s="132"/>
      <c r="J1508" s="31">
        <f>РЕАЛИЗАЦИЯ[[#This Row],[СОНИ]]*РЕАЛИЗАЦИЯ[[#This Row],[ТАННАРХ]]</f>
        <v>0</v>
      </c>
      <c r="K1508" s="31">
        <f>РЕАЛИЗАЦИЯ[[#This Row],[ЖАМИ]]-РЕАЛИЗАЦИЯ[[#This Row],[ЖАМИ2]]</f>
        <v>0</v>
      </c>
      <c r="L1508" s="31"/>
    </row>
    <row r="1509" spans="2:12" ht="15" customHeight="1" x14ac:dyDescent="0.3">
      <c r="B1509" s="104"/>
      <c r="C1509" s="160"/>
      <c r="D1509" s="160"/>
      <c r="G1509" s="50">
        <f>РЕАЛИЗАЦИЯ[[#This Row],[СОНИ]]*РЕАЛИЗАЦИЯ[[#This Row],[НАРХИ]]</f>
        <v>0</v>
      </c>
      <c r="I1509" s="44"/>
      <c r="J1509" s="31">
        <f>РЕАЛИЗАЦИЯ[[#This Row],[СОНИ]]*РЕАЛИЗАЦИЯ[[#This Row],[ТАННАРХ]]</f>
        <v>0</v>
      </c>
      <c r="K1509" s="31">
        <f>РЕАЛИЗАЦИЯ[[#This Row],[ЖАМИ]]-РЕАЛИЗАЦИЯ[[#This Row],[ЖАМИ2]]</f>
        <v>0</v>
      </c>
      <c r="L1509" s="31"/>
    </row>
    <row r="1510" spans="2:12" ht="15" customHeight="1" x14ac:dyDescent="0.3">
      <c r="B1510" s="105"/>
      <c r="C1510" s="160"/>
      <c r="D1510" s="160"/>
      <c r="G1510" s="50">
        <f>РЕАЛИЗАЦИЯ[[#This Row],[СОНИ]]*РЕАЛИЗАЦИЯ[[#This Row],[НАРХИ]]</f>
        <v>0</v>
      </c>
      <c r="I1510" s="44"/>
      <c r="J1510" s="31">
        <f>РЕАЛИЗАЦИЯ[[#This Row],[СОНИ]]*РЕАЛИЗАЦИЯ[[#This Row],[ТАННАРХ]]</f>
        <v>0</v>
      </c>
      <c r="K1510" s="31">
        <f>РЕАЛИЗАЦИЯ[[#This Row],[ЖАМИ]]-РЕАЛИЗАЦИЯ[[#This Row],[ЖАМИ2]]</f>
        <v>0</v>
      </c>
      <c r="L1510" s="31"/>
    </row>
    <row r="1511" spans="2:12" ht="15" customHeight="1" x14ac:dyDescent="0.3">
      <c r="B1511" s="104"/>
      <c r="C1511" s="160"/>
      <c r="D1511" s="160"/>
      <c r="G1511" s="50">
        <f>РЕАЛИЗАЦИЯ[[#This Row],[СОНИ]]*РЕАЛИЗАЦИЯ[[#This Row],[НАРХИ]]</f>
        <v>0</v>
      </c>
      <c r="I1511" s="44"/>
      <c r="J1511" s="31">
        <f>РЕАЛИЗАЦИЯ[[#This Row],[СОНИ]]*РЕАЛИЗАЦИЯ[[#This Row],[ТАННАРХ]]</f>
        <v>0</v>
      </c>
      <c r="K1511" s="31">
        <f>РЕАЛИЗАЦИЯ[[#This Row],[ЖАМИ]]-РЕАЛИЗАЦИЯ[[#This Row],[ЖАМИ2]]</f>
        <v>0</v>
      </c>
      <c r="L1511" s="31"/>
    </row>
    <row r="1512" spans="2:12" ht="15" customHeight="1" x14ac:dyDescent="0.3">
      <c r="B1512" s="104"/>
      <c r="C1512" s="160"/>
      <c r="D1512" s="160"/>
      <c r="G1512" s="50">
        <f>РЕАЛИЗАЦИЯ[[#This Row],[СОНИ]]*РЕАЛИЗАЦИЯ[[#This Row],[НАРХИ]]</f>
        <v>0</v>
      </c>
      <c r="I1512" s="44"/>
      <c r="J1512" s="31">
        <f>РЕАЛИЗАЦИЯ[[#This Row],[СОНИ]]*РЕАЛИЗАЦИЯ[[#This Row],[ТАННАРХ]]</f>
        <v>0</v>
      </c>
      <c r="K1512" s="31">
        <f>РЕАЛИЗАЦИЯ[[#This Row],[ЖАМИ]]-РЕАЛИЗАЦИЯ[[#This Row],[ЖАМИ2]]</f>
        <v>0</v>
      </c>
      <c r="L1512" s="31"/>
    </row>
    <row r="1513" spans="2:12" ht="15" customHeight="1" x14ac:dyDescent="0.3">
      <c r="B1513" s="104"/>
      <c r="C1513" s="160"/>
      <c r="D1513" s="160"/>
      <c r="G1513" s="50">
        <f>РЕАЛИЗАЦИЯ[[#This Row],[СОНИ]]*РЕАЛИЗАЦИЯ[[#This Row],[НАРХИ]]</f>
        <v>0</v>
      </c>
      <c r="I1513" s="44"/>
      <c r="J1513" s="31">
        <f>РЕАЛИЗАЦИЯ[[#This Row],[СОНИ]]*РЕАЛИЗАЦИЯ[[#This Row],[ТАННАРХ]]</f>
        <v>0</v>
      </c>
      <c r="K1513" s="31">
        <f>РЕАЛИЗАЦИЯ[[#This Row],[ЖАМИ]]-РЕАЛИЗАЦИЯ[[#This Row],[ЖАМИ2]]</f>
        <v>0</v>
      </c>
      <c r="L1513" s="31"/>
    </row>
    <row r="1514" spans="2:12" ht="15" customHeight="1" x14ac:dyDescent="0.3">
      <c r="B1514" s="104"/>
      <c r="C1514" s="160"/>
      <c r="D1514" s="160"/>
      <c r="G1514" s="50">
        <f>РЕАЛИЗАЦИЯ[[#This Row],[СОНИ]]*РЕАЛИЗАЦИЯ[[#This Row],[НАРХИ]]</f>
        <v>0</v>
      </c>
      <c r="I1514" s="44"/>
      <c r="J1514" s="31">
        <f>РЕАЛИЗАЦИЯ[[#This Row],[СОНИ]]*РЕАЛИЗАЦИЯ[[#This Row],[ТАННАРХ]]</f>
        <v>0</v>
      </c>
      <c r="K1514" s="31">
        <f>РЕАЛИЗАЦИЯ[[#This Row],[ЖАМИ]]-РЕАЛИЗАЦИЯ[[#This Row],[ЖАМИ2]]</f>
        <v>0</v>
      </c>
      <c r="L1514" s="31"/>
    </row>
    <row r="1515" spans="2:12" ht="15" customHeight="1" x14ac:dyDescent="0.3">
      <c r="B1515" s="104"/>
      <c r="C1515" s="160"/>
      <c r="D1515" s="160"/>
      <c r="G1515" s="50">
        <f>РЕАЛИЗАЦИЯ[[#This Row],[СОНИ]]*РЕАЛИЗАЦИЯ[[#This Row],[НАРХИ]]</f>
        <v>0</v>
      </c>
      <c r="I1515" s="44"/>
      <c r="J1515" s="31">
        <f>РЕАЛИЗАЦИЯ[[#This Row],[СОНИ]]*РЕАЛИЗАЦИЯ[[#This Row],[ТАННАРХ]]</f>
        <v>0</v>
      </c>
      <c r="K1515" s="31">
        <f>РЕАЛИЗАЦИЯ[[#This Row],[ЖАМИ]]-РЕАЛИЗАЦИЯ[[#This Row],[ЖАМИ2]]</f>
        <v>0</v>
      </c>
      <c r="L1515" s="31"/>
    </row>
    <row r="1516" spans="2:12" ht="15" customHeight="1" x14ac:dyDescent="0.3">
      <c r="C1516" s="160"/>
      <c r="D1516" s="160"/>
      <c r="G1516" s="50">
        <f>РЕАЛИЗАЦИЯ[[#This Row],[СОНИ]]*РЕАЛИЗАЦИЯ[[#This Row],[НАРХИ]]</f>
        <v>0</v>
      </c>
      <c r="I1516" s="44"/>
      <c r="J1516" s="31">
        <f>РЕАЛИЗАЦИЯ[[#This Row],[СОНИ]]*РЕАЛИЗАЦИЯ[[#This Row],[ТАННАРХ]]</f>
        <v>0</v>
      </c>
      <c r="K1516" s="31">
        <f>РЕАЛИЗАЦИЯ[[#This Row],[ЖАМИ]]-РЕАЛИЗАЦИЯ[[#This Row],[ЖАМИ2]]</f>
        <v>0</v>
      </c>
      <c r="L1516" s="31"/>
    </row>
    <row r="1517" spans="2:12" ht="15" customHeight="1" x14ac:dyDescent="0.3">
      <c r="C1517" s="160"/>
      <c r="D1517" s="160"/>
      <c r="G1517" s="50">
        <f>РЕАЛИЗАЦИЯ[[#This Row],[СОНИ]]*РЕАЛИЗАЦИЯ[[#This Row],[НАРХИ]]</f>
        <v>0</v>
      </c>
      <c r="I1517" s="44"/>
      <c r="J1517" s="31">
        <f>РЕАЛИЗАЦИЯ[[#This Row],[СОНИ]]*РЕАЛИЗАЦИЯ[[#This Row],[ТАННАРХ]]</f>
        <v>0</v>
      </c>
      <c r="K1517" s="31">
        <f>РЕАЛИЗАЦИЯ[[#This Row],[ЖАМИ]]-РЕАЛИЗАЦИЯ[[#This Row],[ЖАМИ2]]</f>
        <v>0</v>
      </c>
      <c r="L1517" s="31"/>
    </row>
    <row r="1518" spans="2:12" ht="15" customHeight="1" x14ac:dyDescent="0.3">
      <c r="C1518" s="160"/>
      <c r="D1518" s="160"/>
      <c r="G1518" s="50">
        <f>РЕАЛИЗАЦИЯ[[#This Row],[СОНИ]]*РЕАЛИЗАЦИЯ[[#This Row],[НАРХИ]]</f>
        <v>0</v>
      </c>
      <c r="I1518" s="44"/>
      <c r="J1518" s="31">
        <f>РЕАЛИЗАЦИЯ[[#This Row],[СОНИ]]*РЕАЛИЗАЦИЯ[[#This Row],[ТАННАРХ]]</f>
        <v>0</v>
      </c>
      <c r="K1518" s="31">
        <f>РЕАЛИЗАЦИЯ[[#This Row],[ЖАМИ]]-РЕАЛИЗАЦИЯ[[#This Row],[ЖАМИ2]]</f>
        <v>0</v>
      </c>
      <c r="L1518" s="31"/>
    </row>
    <row r="1519" spans="2:12" ht="15" customHeight="1" x14ac:dyDescent="0.3">
      <c r="C1519" s="160"/>
      <c r="D1519" s="160"/>
      <c r="G1519" s="50">
        <f>РЕАЛИЗАЦИЯ[[#This Row],[СОНИ]]*РЕАЛИЗАЦИЯ[[#This Row],[НАРХИ]]</f>
        <v>0</v>
      </c>
      <c r="I1519" s="44"/>
      <c r="J1519" s="31">
        <f>РЕАЛИЗАЦИЯ[[#This Row],[СОНИ]]*РЕАЛИЗАЦИЯ[[#This Row],[ТАННАРХ]]</f>
        <v>0</v>
      </c>
      <c r="K1519" s="31">
        <f>РЕАЛИЗАЦИЯ[[#This Row],[ЖАМИ]]-РЕАЛИЗАЦИЯ[[#This Row],[ЖАМИ2]]</f>
        <v>0</v>
      </c>
      <c r="L1519" s="31"/>
    </row>
    <row r="1520" spans="2:12" ht="15" customHeight="1" x14ac:dyDescent="0.3">
      <c r="C1520" s="160"/>
      <c r="D1520" s="160"/>
      <c r="G1520" s="50">
        <f>РЕАЛИЗАЦИЯ[[#This Row],[СОНИ]]*РЕАЛИЗАЦИЯ[[#This Row],[НАРХИ]]</f>
        <v>0</v>
      </c>
      <c r="I1520" s="44"/>
      <c r="J1520" s="31">
        <f>РЕАЛИЗАЦИЯ[[#This Row],[СОНИ]]*РЕАЛИЗАЦИЯ[[#This Row],[ТАННАРХ]]</f>
        <v>0</v>
      </c>
      <c r="K1520" s="31">
        <f>РЕАЛИЗАЦИЯ[[#This Row],[ЖАМИ]]-РЕАЛИЗАЦИЯ[[#This Row],[ЖАМИ2]]</f>
        <v>0</v>
      </c>
      <c r="L1520" s="31"/>
    </row>
    <row r="1521" spans="3:12" ht="15" customHeight="1" x14ac:dyDescent="0.3">
      <c r="C1521" s="160"/>
      <c r="D1521" s="160"/>
      <c r="G1521" s="50">
        <f>РЕАЛИЗАЦИЯ[[#This Row],[СОНИ]]*РЕАЛИЗАЦИЯ[[#This Row],[НАРХИ]]</f>
        <v>0</v>
      </c>
      <c r="I1521" s="44"/>
      <c r="J1521" s="31">
        <f>РЕАЛИЗАЦИЯ[[#This Row],[СОНИ]]*РЕАЛИЗАЦИЯ[[#This Row],[ТАННАРХ]]</f>
        <v>0</v>
      </c>
      <c r="K1521" s="31">
        <f>РЕАЛИЗАЦИЯ[[#This Row],[ЖАМИ]]-РЕАЛИЗАЦИЯ[[#This Row],[ЖАМИ2]]</f>
        <v>0</v>
      </c>
      <c r="L1521" s="31"/>
    </row>
    <row r="1522" spans="3:12" ht="15" customHeight="1" x14ac:dyDescent="0.3">
      <c r="C1522" s="160"/>
      <c r="D1522" s="160"/>
      <c r="G1522" s="50">
        <f>РЕАЛИЗАЦИЯ[[#This Row],[СОНИ]]*РЕАЛИЗАЦИЯ[[#This Row],[НАРХИ]]</f>
        <v>0</v>
      </c>
      <c r="I1522" s="44"/>
      <c r="J1522" s="31">
        <f>РЕАЛИЗАЦИЯ[[#This Row],[СОНИ]]*РЕАЛИЗАЦИЯ[[#This Row],[ТАННАРХ]]</f>
        <v>0</v>
      </c>
      <c r="K1522" s="31">
        <f>РЕАЛИЗАЦИЯ[[#This Row],[ЖАМИ]]-РЕАЛИЗАЦИЯ[[#This Row],[ЖАМИ2]]</f>
        <v>0</v>
      </c>
      <c r="L1522" s="31"/>
    </row>
    <row r="1523" spans="3:12" ht="15" customHeight="1" x14ac:dyDescent="0.3">
      <c r="C1523" s="160"/>
      <c r="D1523" s="160"/>
      <c r="G1523" s="50">
        <f>РЕАЛИЗАЦИЯ[[#This Row],[СОНИ]]*РЕАЛИЗАЦИЯ[[#This Row],[НАРХИ]]</f>
        <v>0</v>
      </c>
      <c r="I1523" s="44"/>
      <c r="J1523" s="31">
        <f>РЕАЛИЗАЦИЯ[[#This Row],[СОНИ]]*РЕАЛИЗАЦИЯ[[#This Row],[ТАННАРХ]]</f>
        <v>0</v>
      </c>
      <c r="K1523" s="31">
        <f>РЕАЛИЗАЦИЯ[[#This Row],[ЖАМИ]]-РЕАЛИЗАЦИЯ[[#This Row],[ЖАМИ2]]</f>
        <v>0</v>
      </c>
      <c r="L1523" s="31"/>
    </row>
    <row r="1524" spans="3:12" ht="15" customHeight="1" x14ac:dyDescent="0.3">
      <c r="C1524" s="160"/>
      <c r="D1524" s="160"/>
      <c r="G1524" s="50">
        <f>РЕАЛИЗАЦИЯ[[#This Row],[СОНИ]]*РЕАЛИЗАЦИЯ[[#This Row],[НАРХИ]]</f>
        <v>0</v>
      </c>
      <c r="I1524" s="44"/>
      <c r="J1524" s="31">
        <f>РЕАЛИЗАЦИЯ[[#This Row],[СОНИ]]*РЕАЛИЗАЦИЯ[[#This Row],[ТАННАРХ]]</f>
        <v>0</v>
      </c>
      <c r="K1524" s="31">
        <f>РЕАЛИЗАЦИЯ[[#This Row],[ЖАМИ]]-РЕАЛИЗАЦИЯ[[#This Row],[ЖАМИ2]]</f>
        <v>0</v>
      </c>
      <c r="L1524" s="31"/>
    </row>
    <row r="1525" spans="3:12" ht="15" customHeight="1" x14ac:dyDescent="0.3">
      <c r="C1525" s="160"/>
      <c r="D1525" s="160"/>
      <c r="G1525" s="50">
        <f>РЕАЛИЗАЦИЯ[[#This Row],[СОНИ]]*РЕАЛИЗАЦИЯ[[#This Row],[НАРХИ]]</f>
        <v>0</v>
      </c>
      <c r="I1525" s="44"/>
      <c r="J1525" s="31">
        <f>РЕАЛИЗАЦИЯ[[#This Row],[СОНИ]]*РЕАЛИЗАЦИЯ[[#This Row],[ТАННАРХ]]</f>
        <v>0</v>
      </c>
      <c r="K1525" s="31">
        <f>РЕАЛИЗАЦИЯ[[#This Row],[ЖАМИ]]-РЕАЛИЗАЦИЯ[[#This Row],[ЖАМИ2]]</f>
        <v>0</v>
      </c>
      <c r="L1525" s="31"/>
    </row>
    <row r="1526" spans="3:12" ht="15" customHeight="1" x14ac:dyDescent="0.3">
      <c r="C1526" s="160"/>
      <c r="D1526" s="160"/>
      <c r="G1526" s="50">
        <f>РЕАЛИЗАЦИЯ[[#This Row],[СОНИ]]*РЕАЛИЗАЦИЯ[[#This Row],[НАРХИ]]</f>
        <v>0</v>
      </c>
      <c r="I1526" s="44"/>
      <c r="J1526" s="31">
        <f>РЕАЛИЗАЦИЯ[[#This Row],[СОНИ]]*РЕАЛИЗАЦИЯ[[#This Row],[ТАННАРХ]]</f>
        <v>0</v>
      </c>
      <c r="K1526" s="31">
        <f>РЕАЛИЗАЦИЯ[[#This Row],[ЖАМИ]]-РЕАЛИЗАЦИЯ[[#This Row],[ЖАМИ2]]</f>
        <v>0</v>
      </c>
      <c r="L1526" s="31"/>
    </row>
    <row r="1527" spans="3:12" ht="15" customHeight="1" x14ac:dyDescent="0.3">
      <c r="C1527" s="160"/>
      <c r="D1527" s="160"/>
      <c r="G1527" s="50">
        <f>РЕАЛИЗАЦИЯ[[#This Row],[СОНИ]]*РЕАЛИЗАЦИЯ[[#This Row],[НАРХИ]]</f>
        <v>0</v>
      </c>
      <c r="I1527" s="44"/>
      <c r="J1527" s="31">
        <f>РЕАЛИЗАЦИЯ[[#This Row],[СОНИ]]*РЕАЛИЗАЦИЯ[[#This Row],[ТАННАРХ]]</f>
        <v>0</v>
      </c>
      <c r="K1527" s="31">
        <f>РЕАЛИЗАЦИЯ[[#This Row],[ЖАМИ]]-РЕАЛИЗАЦИЯ[[#This Row],[ЖАМИ2]]</f>
        <v>0</v>
      </c>
      <c r="L1527" s="31"/>
    </row>
    <row r="1528" spans="3:12" ht="15" customHeight="1" x14ac:dyDescent="0.3">
      <c r="C1528" s="160"/>
      <c r="D1528" s="160"/>
      <c r="G1528" s="50">
        <f>РЕАЛИЗАЦИЯ[[#This Row],[СОНИ]]*РЕАЛИЗАЦИЯ[[#This Row],[НАРХИ]]</f>
        <v>0</v>
      </c>
      <c r="I1528" s="44"/>
      <c r="J1528" s="31">
        <f>РЕАЛИЗАЦИЯ[[#This Row],[СОНИ]]*РЕАЛИЗАЦИЯ[[#This Row],[ТАННАРХ]]</f>
        <v>0</v>
      </c>
      <c r="K1528" s="31">
        <f>РЕАЛИЗАЦИЯ[[#This Row],[ЖАМИ]]-РЕАЛИЗАЦИЯ[[#This Row],[ЖАМИ2]]</f>
        <v>0</v>
      </c>
      <c r="L1528" s="31"/>
    </row>
    <row r="1529" spans="3:12" ht="15" customHeight="1" x14ac:dyDescent="0.3">
      <c r="C1529" s="160"/>
      <c r="D1529" s="160"/>
      <c r="G1529" s="50">
        <f>РЕАЛИЗАЦИЯ[[#This Row],[СОНИ]]*РЕАЛИЗАЦИЯ[[#This Row],[НАРХИ]]</f>
        <v>0</v>
      </c>
      <c r="I1529" s="44"/>
      <c r="J1529" s="31">
        <f>РЕАЛИЗАЦИЯ[[#This Row],[СОНИ]]*РЕАЛИЗАЦИЯ[[#This Row],[ТАННАРХ]]</f>
        <v>0</v>
      </c>
      <c r="K1529" s="31">
        <f>РЕАЛИЗАЦИЯ[[#This Row],[ЖАМИ]]-РЕАЛИЗАЦИЯ[[#This Row],[ЖАМИ2]]</f>
        <v>0</v>
      </c>
      <c r="L1529" s="31"/>
    </row>
    <row r="1530" spans="3:12" ht="15" customHeight="1" x14ac:dyDescent="0.3">
      <c r="C1530" s="160"/>
      <c r="D1530" s="160"/>
      <c r="G1530" s="50">
        <f>РЕАЛИЗАЦИЯ[[#This Row],[СОНИ]]*РЕАЛИЗАЦИЯ[[#This Row],[НАРХИ]]</f>
        <v>0</v>
      </c>
      <c r="I1530" s="44"/>
      <c r="J1530" s="31">
        <f>РЕАЛИЗАЦИЯ[[#This Row],[СОНИ]]*РЕАЛИЗАЦИЯ[[#This Row],[ТАННАРХ]]</f>
        <v>0</v>
      </c>
      <c r="K1530" s="31">
        <f>РЕАЛИЗАЦИЯ[[#This Row],[ЖАМИ]]-РЕАЛИЗАЦИЯ[[#This Row],[ЖАМИ2]]</f>
        <v>0</v>
      </c>
      <c r="L1530" s="31"/>
    </row>
    <row r="1531" spans="3:12" ht="15" customHeight="1" x14ac:dyDescent="0.3">
      <c r="C1531" s="160"/>
      <c r="D1531" s="160"/>
      <c r="G1531" s="50">
        <f>РЕАЛИЗАЦИЯ[[#This Row],[СОНИ]]*РЕАЛИЗАЦИЯ[[#This Row],[НАРХИ]]</f>
        <v>0</v>
      </c>
      <c r="I1531" s="44"/>
      <c r="J1531" s="31">
        <f>РЕАЛИЗАЦИЯ[[#This Row],[СОНИ]]*РЕАЛИЗАЦИЯ[[#This Row],[ТАННАРХ]]</f>
        <v>0</v>
      </c>
      <c r="K1531" s="31">
        <f>РЕАЛИЗАЦИЯ[[#This Row],[ЖАМИ]]-РЕАЛИЗАЦИЯ[[#This Row],[ЖАМИ2]]</f>
        <v>0</v>
      </c>
      <c r="L1531" s="31"/>
    </row>
    <row r="1532" spans="3:12" ht="16.5" customHeight="1" x14ac:dyDescent="0.3">
      <c r="C1532" s="160"/>
      <c r="D1532" s="160"/>
      <c r="G1532" s="50">
        <f>РЕАЛИЗАЦИЯ[[#This Row],[СОНИ]]*РЕАЛИЗАЦИЯ[[#This Row],[НАРХИ]]</f>
        <v>0</v>
      </c>
      <c r="I1532" s="44"/>
      <c r="J1532" s="31">
        <f>РЕАЛИЗАЦИЯ[[#This Row],[СОНИ]]*РЕАЛИЗАЦИЯ[[#This Row],[ТАННАРХ]]</f>
        <v>0</v>
      </c>
      <c r="K1532" s="31">
        <f>РЕАЛИЗАЦИЯ[[#This Row],[ЖАМИ]]-РЕАЛИЗАЦИЯ[[#This Row],[ЖАМИ2]]</f>
        <v>0</v>
      </c>
      <c r="L1532" s="31"/>
    </row>
    <row r="1533" spans="3:12" ht="15" customHeight="1" x14ac:dyDescent="0.3">
      <c r="C1533" s="160"/>
      <c r="D1533" s="160"/>
      <c r="G1533" s="50">
        <f>РЕАЛИЗАЦИЯ[[#This Row],[СОНИ]]*РЕАЛИЗАЦИЯ[[#This Row],[НАРХИ]]</f>
        <v>0</v>
      </c>
      <c r="I1533" s="44"/>
      <c r="J1533" s="31">
        <f>РЕАЛИЗАЦИЯ[[#This Row],[СОНИ]]*РЕАЛИЗАЦИЯ[[#This Row],[ТАННАРХ]]</f>
        <v>0</v>
      </c>
      <c r="K1533" s="31">
        <f>РЕАЛИЗАЦИЯ[[#This Row],[ЖАМИ]]-РЕАЛИЗАЦИЯ[[#This Row],[ЖАМИ2]]</f>
        <v>0</v>
      </c>
      <c r="L1533" s="31"/>
    </row>
    <row r="1534" spans="3:12" ht="15" customHeight="1" x14ac:dyDescent="0.3">
      <c r="C1534" s="160"/>
      <c r="D1534" s="160"/>
      <c r="G1534" s="50">
        <f>РЕАЛИЗАЦИЯ[[#This Row],[СОНИ]]*РЕАЛИЗАЦИЯ[[#This Row],[НАРХИ]]</f>
        <v>0</v>
      </c>
      <c r="I1534" s="44"/>
      <c r="J1534" s="31">
        <f>РЕАЛИЗАЦИЯ[[#This Row],[СОНИ]]*РЕАЛИЗАЦИЯ[[#This Row],[ТАННАРХ]]</f>
        <v>0</v>
      </c>
      <c r="K1534" s="31">
        <f>РЕАЛИЗАЦИЯ[[#This Row],[ЖАМИ]]-РЕАЛИЗАЦИЯ[[#This Row],[ЖАМИ2]]</f>
        <v>0</v>
      </c>
      <c r="L1534" s="31"/>
    </row>
    <row r="1535" spans="3:12" ht="15" customHeight="1" x14ac:dyDescent="0.3">
      <c r="C1535" s="160"/>
      <c r="D1535" s="160"/>
      <c r="G1535" s="50">
        <f>РЕАЛИЗАЦИЯ[[#This Row],[СОНИ]]*РЕАЛИЗАЦИЯ[[#This Row],[НАРХИ]]</f>
        <v>0</v>
      </c>
      <c r="I1535" s="44"/>
      <c r="J1535" s="31">
        <f>РЕАЛИЗАЦИЯ[[#This Row],[СОНИ]]*РЕАЛИЗАЦИЯ[[#This Row],[ТАННАРХ]]</f>
        <v>0</v>
      </c>
      <c r="K1535" s="31">
        <f>РЕАЛИЗАЦИЯ[[#This Row],[ЖАМИ]]-РЕАЛИЗАЦИЯ[[#This Row],[ЖАМИ2]]</f>
        <v>0</v>
      </c>
      <c r="L1535" s="31"/>
    </row>
    <row r="1536" spans="3:12" ht="15" customHeight="1" x14ac:dyDescent="0.3">
      <c r="C1536" s="160"/>
      <c r="D1536" s="160"/>
      <c r="G1536" s="50">
        <f>РЕАЛИЗАЦИЯ[[#This Row],[СОНИ]]*РЕАЛИЗАЦИЯ[[#This Row],[НАРХИ]]</f>
        <v>0</v>
      </c>
      <c r="I1536" s="44"/>
      <c r="J1536" s="31">
        <f>РЕАЛИЗАЦИЯ[[#This Row],[СОНИ]]*РЕАЛИЗАЦИЯ[[#This Row],[ТАННАРХ]]</f>
        <v>0</v>
      </c>
      <c r="K1536" s="31">
        <f>РЕАЛИЗАЦИЯ[[#This Row],[ЖАМИ]]-РЕАЛИЗАЦИЯ[[#This Row],[ЖАМИ2]]</f>
        <v>0</v>
      </c>
      <c r="L1536" s="31"/>
    </row>
    <row r="1537" spans="3:12" ht="15" customHeight="1" x14ac:dyDescent="0.3">
      <c r="C1537" s="160"/>
      <c r="D1537" s="160"/>
      <c r="G1537" s="50">
        <f>РЕАЛИЗАЦИЯ[[#This Row],[СОНИ]]*РЕАЛИЗАЦИЯ[[#This Row],[НАРХИ]]</f>
        <v>0</v>
      </c>
      <c r="I1537" s="44"/>
      <c r="J1537" s="31">
        <f>РЕАЛИЗАЦИЯ[[#This Row],[СОНИ]]*РЕАЛИЗАЦИЯ[[#This Row],[ТАННАРХ]]</f>
        <v>0</v>
      </c>
      <c r="K1537" s="31">
        <f>РЕАЛИЗАЦИЯ[[#This Row],[ЖАМИ]]-РЕАЛИЗАЦИЯ[[#This Row],[ЖАМИ2]]</f>
        <v>0</v>
      </c>
      <c r="L1537" s="31"/>
    </row>
    <row r="1538" spans="3:12" ht="15" customHeight="1" x14ac:dyDescent="0.3">
      <c r="C1538" s="168"/>
      <c r="D1538" s="168"/>
      <c r="G1538" s="50">
        <f>РЕАЛИЗАЦИЯ[[#This Row],[СОНИ]]*РЕАЛИЗАЦИЯ[[#This Row],[НАРХИ]]</f>
        <v>0</v>
      </c>
      <c r="I1538" s="44"/>
      <c r="J1538" s="31">
        <f>РЕАЛИЗАЦИЯ[[#This Row],[СОНИ]]*РЕАЛИЗАЦИЯ[[#This Row],[ТАННАРХ]]</f>
        <v>0</v>
      </c>
      <c r="K1538" s="31">
        <f>РЕАЛИЗАЦИЯ[[#This Row],[ЖАМИ]]-РЕАЛИЗАЦИЯ[[#This Row],[ЖАМИ2]]</f>
        <v>0</v>
      </c>
      <c r="L1538" s="31"/>
    </row>
    <row r="1539" spans="3:12" ht="15" customHeight="1" x14ac:dyDescent="0.3">
      <c r="C1539" s="168"/>
      <c r="D1539" s="168"/>
      <c r="G1539" s="50">
        <f>РЕАЛИЗАЦИЯ[[#This Row],[СОНИ]]*РЕАЛИЗАЦИЯ[[#This Row],[НАРХИ]]</f>
        <v>0</v>
      </c>
      <c r="I1539" s="44"/>
      <c r="J1539" s="31">
        <f>РЕАЛИЗАЦИЯ[[#This Row],[СОНИ]]*РЕАЛИЗАЦИЯ[[#This Row],[ТАННАРХ]]</f>
        <v>0</v>
      </c>
      <c r="K1539" s="31">
        <f>РЕАЛИЗАЦИЯ[[#This Row],[ЖАМИ]]-РЕАЛИЗАЦИЯ[[#This Row],[ЖАМИ2]]</f>
        <v>0</v>
      </c>
      <c r="L1539" s="31"/>
    </row>
    <row r="1540" spans="3:12" ht="15" customHeight="1" x14ac:dyDescent="0.3">
      <c r="C1540" s="168"/>
      <c r="D1540" s="168"/>
      <c r="G1540" s="50">
        <f>РЕАЛИЗАЦИЯ[[#This Row],[СОНИ]]*РЕАЛИЗАЦИЯ[[#This Row],[НАРХИ]]</f>
        <v>0</v>
      </c>
      <c r="I1540" s="44"/>
      <c r="J1540" s="31">
        <f>РЕАЛИЗАЦИЯ[[#This Row],[СОНИ]]*РЕАЛИЗАЦИЯ[[#This Row],[ТАННАРХ]]</f>
        <v>0</v>
      </c>
      <c r="K1540" s="31">
        <f>РЕАЛИЗАЦИЯ[[#This Row],[ЖАМИ]]-РЕАЛИЗАЦИЯ[[#This Row],[ЖАМИ2]]</f>
        <v>0</v>
      </c>
      <c r="L1540" s="31"/>
    </row>
    <row r="1541" spans="3:12" ht="15" customHeight="1" x14ac:dyDescent="0.3">
      <c r="C1541" s="168"/>
      <c r="D1541" s="168"/>
      <c r="G1541" s="50">
        <f>РЕАЛИЗАЦИЯ[[#This Row],[СОНИ]]*РЕАЛИЗАЦИЯ[[#This Row],[НАРХИ]]</f>
        <v>0</v>
      </c>
      <c r="I1541" s="44"/>
      <c r="J1541" s="31">
        <f>РЕАЛИЗАЦИЯ[[#This Row],[СОНИ]]*РЕАЛИЗАЦИЯ[[#This Row],[ТАННАРХ]]</f>
        <v>0</v>
      </c>
      <c r="K1541" s="31">
        <f>РЕАЛИЗАЦИЯ[[#This Row],[ЖАМИ]]-РЕАЛИЗАЦИЯ[[#This Row],[ЖАМИ2]]</f>
        <v>0</v>
      </c>
      <c r="L1541" s="31"/>
    </row>
    <row r="1542" spans="3:12" ht="15" customHeight="1" x14ac:dyDescent="0.3">
      <c r="C1542" s="168"/>
      <c r="D1542" s="168"/>
      <c r="G1542" s="50">
        <f>РЕАЛИЗАЦИЯ[[#This Row],[СОНИ]]*РЕАЛИЗАЦИЯ[[#This Row],[НАРХИ]]</f>
        <v>0</v>
      </c>
      <c r="I1542" s="44"/>
      <c r="J1542" s="31">
        <f>РЕАЛИЗАЦИЯ[[#This Row],[СОНИ]]*РЕАЛИЗАЦИЯ[[#This Row],[ТАННАРХ]]</f>
        <v>0</v>
      </c>
      <c r="K1542" s="31">
        <f>РЕАЛИЗАЦИЯ[[#This Row],[ЖАМИ]]-РЕАЛИЗАЦИЯ[[#This Row],[ЖАМИ2]]</f>
        <v>0</v>
      </c>
      <c r="L1542" s="31"/>
    </row>
    <row r="1543" spans="3:12" ht="15" customHeight="1" x14ac:dyDescent="0.3">
      <c r="C1543" s="168"/>
      <c r="D1543" s="168"/>
      <c r="G1543" s="50">
        <f>РЕАЛИЗАЦИЯ[[#This Row],[СОНИ]]*РЕАЛИЗАЦИЯ[[#This Row],[НАРХИ]]</f>
        <v>0</v>
      </c>
      <c r="I1543" s="44"/>
      <c r="J1543" s="31">
        <f>РЕАЛИЗАЦИЯ[[#This Row],[СОНИ]]*РЕАЛИЗАЦИЯ[[#This Row],[ТАННАРХ]]</f>
        <v>0</v>
      </c>
      <c r="K1543" s="31">
        <f>РЕАЛИЗАЦИЯ[[#This Row],[ЖАМИ]]-РЕАЛИЗАЦИЯ[[#This Row],[ЖАМИ2]]</f>
        <v>0</v>
      </c>
      <c r="L1543" s="31"/>
    </row>
    <row r="1544" spans="3:12" ht="15" customHeight="1" x14ac:dyDescent="0.3">
      <c r="C1544" s="168"/>
      <c r="D1544" s="168"/>
      <c r="G1544" s="50">
        <f>РЕАЛИЗАЦИЯ[[#This Row],[СОНИ]]*РЕАЛИЗАЦИЯ[[#This Row],[НАРХИ]]</f>
        <v>0</v>
      </c>
      <c r="I1544" s="44"/>
      <c r="J1544" s="31">
        <f>РЕАЛИЗАЦИЯ[[#This Row],[СОНИ]]*РЕАЛИЗАЦИЯ[[#This Row],[ТАННАРХ]]</f>
        <v>0</v>
      </c>
      <c r="K1544" s="31">
        <f>РЕАЛИЗАЦИЯ[[#This Row],[ЖАМИ]]-РЕАЛИЗАЦИЯ[[#This Row],[ЖАМИ2]]</f>
        <v>0</v>
      </c>
      <c r="L1544" s="31"/>
    </row>
    <row r="1545" spans="3:12" ht="15" customHeight="1" x14ac:dyDescent="0.3">
      <c r="C1545" s="168"/>
      <c r="D1545" s="168"/>
      <c r="G1545" s="50">
        <f>РЕАЛИЗАЦИЯ[[#This Row],[СОНИ]]*РЕАЛИЗАЦИЯ[[#This Row],[НАРХИ]]</f>
        <v>0</v>
      </c>
      <c r="I1545" s="44"/>
      <c r="J1545" s="31">
        <f>РЕАЛИЗАЦИЯ[[#This Row],[СОНИ]]*РЕАЛИЗАЦИЯ[[#This Row],[ТАННАРХ]]</f>
        <v>0</v>
      </c>
      <c r="K1545" s="31">
        <f>РЕАЛИЗАЦИЯ[[#This Row],[ЖАМИ]]-РЕАЛИЗАЦИЯ[[#This Row],[ЖАМИ2]]</f>
        <v>0</v>
      </c>
      <c r="L1545" s="31"/>
    </row>
    <row r="1546" spans="3:12" ht="15" customHeight="1" x14ac:dyDescent="0.3">
      <c r="C1546" s="168"/>
      <c r="D1546" s="168"/>
      <c r="G1546" s="50">
        <f>РЕАЛИЗАЦИЯ[[#This Row],[СОНИ]]*РЕАЛИЗАЦИЯ[[#This Row],[НАРХИ]]</f>
        <v>0</v>
      </c>
      <c r="I1546" s="44"/>
      <c r="J1546" s="31">
        <f>РЕАЛИЗАЦИЯ[[#This Row],[СОНИ]]*РЕАЛИЗАЦИЯ[[#This Row],[ТАННАРХ]]</f>
        <v>0</v>
      </c>
      <c r="K1546" s="31">
        <f>РЕАЛИЗАЦИЯ[[#This Row],[ЖАМИ]]-РЕАЛИЗАЦИЯ[[#This Row],[ЖАМИ2]]</f>
        <v>0</v>
      </c>
      <c r="L1546" s="31"/>
    </row>
    <row r="1547" spans="3:12" ht="15" customHeight="1" x14ac:dyDescent="0.3">
      <c r="C1547" s="168"/>
      <c r="D1547" s="168"/>
      <c r="G1547" s="50">
        <f>РЕАЛИЗАЦИЯ[[#This Row],[СОНИ]]*РЕАЛИЗАЦИЯ[[#This Row],[НАРХИ]]</f>
        <v>0</v>
      </c>
      <c r="I1547" s="44"/>
      <c r="J1547" s="31">
        <f>РЕАЛИЗАЦИЯ[[#This Row],[СОНИ]]*РЕАЛИЗАЦИЯ[[#This Row],[ТАННАРХ]]</f>
        <v>0</v>
      </c>
      <c r="K1547" s="31">
        <f>РЕАЛИЗАЦИЯ[[#This Row],[ЖАМИ]]-РЕАЛИЗАЦИЯ[[#This Row],[ЖАМИ2]]</f>
        <v>0</v>
      </c>
      <c r="L1547" s="31"/>
    </row>
    <row r="1548" spans="3:12" ht="15" customHeight="1" x14ac:dyDescent="0.3">
      <c r="C1548" s="184"/>
      <c r="D1548" s="184"/>
      <c r="G1548" s="50">
        <f>РЕАЛИЗАЦИЯ[[#This Row],[СОНИ]]*РЕАЛИЗАЦИЯ[[#This Row],[НАРХИ]]</f>
        <v>0</v>
      </c>
      <c r="I1548" s="166"/>
      <c r="J1548" s="31">
        <f>РЕАЛИЗАЦИЯ[[#This Row],[СОНИ]]*РЕАЛИЗАЦИЯ[[#This Row],[ТАННАРХ]]</f>
        <v>0</v>
      </c>
      <c r="K1548" s="31">
        <f>РЕАЛИЗАЦИЯ[[#This Row],[ЖАМИ]]-РЕАЛИЗАЦИЯ[[#This Row],[ЖАМИ2]]</f>
        <v>0</v>
      </c>
      <c r="L1548" s="31"/>
    </row>
    <row r="1549" spans="3:12" ht="15" customHeight="1" x14ac:dyDescent="0.3">
      <c r="C1549" s="168"/>
      <c r="D1549" s="168"/>
      <c r="G1549" s="50">
        <f>РЕАЛИЗАЦИЯ[[#This Row],[СОНИ]]*РЕАЛИЗАЦИЯ[[#This Row],[НАРХИ]]</f>
        <v>0</v>
      </c>
      <c r="I1549" s="44"/>
      <c r="J1549" s="31">
        <f>РЕАЛИЗАЦИЯ[[#This Row],[СОНИ]]*РЕАЛИЗАЦИЯ[[#This Row],[ТАННАРХ]]</f>
        <v>0</v>
      </c>
      <c r="K1549" s="31">
        <f>РЕАЛИЗАЦИЯ[[#This Row],[ЖАМИ]]-РЕАЛИЗАЦИЯ[[#This Row],[ЖАМИ2]]</f>
        <v>0</v>
      </c>
      <c r="L1549" s="31"/>
    </row>
    <row r="1550" spans="3:12" ht="15" customHeight="1" x14ac:dyDescent="0.3">
      <c r="C1550" s="168"/>
      <c r="D1550" s="168"/>
      <c r="G1550" s="50">
        <f>РЕАЛИЗАЦИЯ[[#This Row],[СОНИ]]*РЕАЛИЗАЦИЯ[[#This Row],[НАРХИ]]</f>
        <v>0</v>
      </c>
      <c r="I1550" s="44"/>
      <c r="J1550" s="31">
        <f>РЕАЛИЗАЦИЯ[[#This Row],[СОНИ]]*РЕАЛИЗАЦИЯ[[#This Row],[ТАННАРХ]]</f>
        <v>0</v>
      </c>
      <c r="K1550" s="31">
        <f>РЕАЛИЗАЦИЯ[[#This Row],[ЖАМИ]]-РЕАЛИЗАЦИЯ[[#This Row],[ЖАМИ2]]</f>
        <v>0</v>
      </c>
      <c r="L1550" s="31"/>
    </row>
    <row r="1551" spans="3:12" ht="15" customHeight="1" x14ac:dyDescent="0.3">
      <c r="C1551" s="168"/>
      <c r="D1551" s="168"/>
      <c r="G1551" s="50">
        <f>РЕАЛИЗАЦИЯ[[#This Row],[СОНИ]]*РЕАЛИЗАЦИЯ[[#This Row],[НАРХИ]]</f>
        <v>0</v>
      </c>
      <c r="I1551" s="44"/>
      <c r="J1551" s="31">
        <f>РЕАЛИЗАЦИЯ[[#This Row],[СОНИ]]*РЕАЛИЗАЦИЯ[[#This Row],[ТАННАРХ]]</f>
        <v>0</v>
      </c>
      <c r="K1551" s="31">
        <f>РЕАЛИЗАЦИЯ[[#This Row],[ЖАМИ]]-РЕАЛИЗАЦИЯ[[#This Row],[ЖАМИ2]]</f>
        <v>0</v>
      </c>
      <c r="L1551" s="31"/>
    </row>
    <row r="1552" spans="3:12" ht="15" customHeight="1" x14ac:dyDescent="0.3">
      <c r="C1552" s="168"/>
      <c r="D1552" s="168"/>
      <c r="G1552" s="50">
        <f>РЕАЛИЗАЦИЯ[[#This Row],[СОНИ]]*РЕАЛИЗАЦИЯ[[#This Row],[НАРХИ]]</f>
        <v>0</v>
      </c>
      <c r="I1552" s="44"/>
      <c r="J1552" s="31">
        <f>РЕАЛИЗАЦИЯ[[#This Row],[СОНИ]]*РЕАЛИЗАЦИЯ[[#This Row],[ТАННАРХ]]</f>
        <v>0</v>
      </c>
      <c r="K1552" s="31">
        <f>РЕАЛИЗАЦИЯ[[#This Row],[ЖАМИ]]-РЕАЛИЗАЦИЯ[[#This Row],[ЖАМИ2]]</f>
        <v>0</v>
      </c>
      <c r="L1552" s="31"/>
    </row>
    <row r="1553" spans="3:12" ht="15" customHeight="1" x14ac:dyDescent="0.3">
      <c r="C1553" s="168"/>
      <c r="D1553" s="168"/>
      <c r="G1553" s="50">
        <f>РЕАЛИЗАЦИЯ[[#This Row],[СОНИ]]*РЕАЛИЗАЦИЯ[[#This Row],[НАРХИ]]</f>
        <v>0</v>
      </c>
      <c r="I1553" s="44"/>
      <c r="J1553" s="31">
        <f>РЕАЛИЗАЦИЯ[[#This Row],[СОНИ]]*РЕАЛИЗАЦИЯ[[#This Row],[ТАННАРХ]]</f>
        <v>0</v>
      </c>
      <c r="K1553" s="31">
        <f>РЕАЛИЗАЦИЯ[[#This Row],[ЖАМИ]]-РЕАЛИЗАЦИЯ[[#This Row],[ЖАМИ2]]</f>
        <v>0</v>
      </c>
      <c r="L1553" s="31"/>
    </row>
    <row r="1554" spans="3:12" ht="15" customHeight="1" x14ac:dyDescent="0.3">
      <c r="C1554" s="168"/>
      <c r="D1554" s="168"/>
      <c r="G1554" s="50">
        <f>РЕАЛИЗАЦИЯ[[#This Row],[СОНИ]]*РЕАЛИЗАЦИЯ[[#This Row],[НАРХИ]]</f>
        <v>0</v>
      </c>
      <c r="I1554" s="44"/>
      <c r="J1554" s="31">
        <f>РЕАЛИЗАЦИЯ[[#This Row],[СОНИ]]*РЕАЛИЗАЦИЯ[[#This Row],[ТАННАРХ]]</f>
        <v>0</v>
      </c>
      <c r="K1554" s="31">
        <f>РЕАЛИЗАЦИЯ[[#This Row],[ЖАМИ]]-РЕАЛИЗАЦИЯ[[#This Row],[ЖАМИ2]]</f>
        <v>0</v>
      </c>
      <c r="L1554" s="31"/>
    </row>
    <row r="1555" spans="3:12" ht="15" customHeight="1" x14ac:dyDescent="0.3">
      <c r="C1555" s="199"/>
      <c r="D1555" s="199"/>
      <c r="G1555" s="50">
        <f>РЕАЛИЗАЦИЯ[[#This Row],[СОНИ]]*РЕАЛИЗАЦИЯ[[#This Row],[НАРХИ]]</f>
        <v>0</v>
      </c>
      <c r="I1555" s="166"/>
      <c r="J1555" s="31">
        <f>РЕАЛИЗАЦИЯ[[#This Row],[СОНИ]]*РЕАЛИЗАЦИЯ[[#This Row],[ТАННАРХ]]</f>
        <v>0</v>
      </c>
      <c r="K1555" s="31">
        <f>РЕАЛИЗАЦИЯ[[#This Row],[ЖАМИ]]-РЕАЛИЗАЦИЯ[[#This Row],[ЖАМИ2]]</f>
        <v>0</v>
      </c>
      <c r="L1555" s="31"/>
    </row>
    <row r="1556" spans="3:12" ht="15" customHeight="1" x14ac:dyDescent="0.3">
      <c r="C1556" s="169"/>
      <c r="D1556" s="169"/>
      <c r="G1556" s="50">
        <f>РЕАЛИЗАЦИЯ[[#This Row],[СОНИ]]*РЕАЛИЗАЦИЯ[[#This Row],[НАРХИ]]</f>
        <v>0</v>
      </c>
      <c r="I1556" s="166"/>
      <c r="J1556" s="31">
        <f>РЕАЛИЗАЦИЯ[[#This Row],[СОНИ]]*РЕАЛИЗАЦИЯ[[#This Row],[ТАННАРХ]]</f>
        <v>0</v>
      </c>
      <c r="K1556" s="31">
        <f>РЕАЛИЗАЦИЯ[[#This Row],[ЖАМИ]]-РЕАЛИЗАЦИЯ[[#This Row],[ЖАМИ2]]</f>
        <v>0</v>
      </c>
      <c r="L1556" s="31"/>
    </row>
    <row r="1557" spans="3:12" ht="15" customHeight="1" x14ac:dyDescent="0.3">
      <c r="C1557" s="169"/>
      <c r="D1557" s="169"/>
      <c r="G1557" s="50">
        <f>РЕАЛИЗАЦИЯ[[#This Row],[СОНИ]]*РЕАЛИЗАЦИЯ[[#This Row],[НАРХИ]]</f>
        <v>0</v>
      </c>
      <c r="I1557" s="166"/>
      <c r="J1557" s="170">
        <f>РЕАЛИЗАЦИЯ[[#This Row],[СОНИ]]*РЕАЛИЗАЦИЯ[[#This Row],[ТАННАРХ]]</f>
        <v>0</v>
      </c>
      <c r="K1557" s="31">
        <f>РЕАЛИЗАЦИЯ[[#This Row],[ЖАМИ]]-РЕАЛИЗАЦИЯ[[#This Row],[ЖАМИ2]]</f>
        <v>0</v>
      </c>
      <c r="L1557" s="31"/>
    </row>
    <row r="1558" spans="3:12" ht="15" customHeight="1" x14ac:dyDescent="0.3">
      <c r="C1558" s="173"/>
      <c r="D1558" s="173"/>
      <c r="G1558" s="50">
        <f>РЕАЛИЗАЦИЯ[[#This Row],[СОНИ]]*РЕАЛИЗАЦИЯ[[#This Row],[НАРХИ]]</f>
        <v>0</v>
      </c>
      <c r="I1558" s="166"/>
      <c r="J1558" s="174">
        <f>РЕАЛИЗАЦИЯ[[#This Row],[СОНИ]]*РЕАЛИЗАЦИЯ[[#This Row],[ТАННАРХ]]</f>
        <v>0</v>
      </c>
      <c r="K1558" s="31">
        <f>РЕАЛИЗАЦИЯ[[#This Row],[ЖАМИ]]-РЕАЛИЗАЦИЯ[[#This Row],[ЖАМИ2]]</f>
        <v>0</v>
      </c>
      <c r="L1558" s="31"/>
    </row>
    <row r="1559" spans="3:12" ht="15" customHeight="1" x14ac:dyDescent="0.3">
      <c r="C1559" s="169"/>
      <c r="D1559" s="169"/>
      <c r="G1559" s="50">
        <f>РЕАЛИЗАЦИЯ[[#This Row],[СОНИ]]*РЕАЛИЗАЦИЯ[[#This Row],[НАРХИ]]</f>
        <v>0</v>
      </c>
      <c r="I1559" s="166"/>
      <c r="J1559" s="31">
        <f>РЕАЛИЗАЦИЯ[[#This Row],[СОНИ]]*РЕАЛИЗАЦИЯ[[#This Row],[ТАННАРХ]]</f>
        <v>0</v>
      </c>
      <c r="K1559" s="31">
        <f>РЕАЛИЗАЦИЯ[[#This Row],[ЖАМИ]]-РЕАЛИЗАЦИЯ[[#This Row],[ЖАМИ2]]</f>
        <v>0</v>
      </c>
      <c r="L1559" s="31"/>
    </row>
    <row r="1560" spans="3:12" ht="15" customHeight="1" x14ac:dyDescent="0.3">
      <c r="C1560" s="169"/>
      <c r="D1560" s="169"/>
      <c r="G1560" s="50">
        <f>РЕАЛИЗАЦИЯ[[#This Row],[СОНИ]]*РЕАЛИЗАЦИЯ[[#This Row],[НАРХИ]]</f>
        <v>0</v>
      </c>
      <c r="I1560" s="166"/>
      <c r="J1560" s="31">
        <f>РЕАЛИЗАЦИЯ[[#This Row],[СОНИ]]*РЕАЛИЗАЦИЯ[[#This Row],[ТАННАРХ]]</f>
        <v>0</v>
      </c>
      <c r="K1560" s="31">
        <f>РЕАЛИЗАЦИЯ[[#This Row],[ЖАМИ]]-РЕАЛИЗАЦИЯ[[#This Row],[ЖАМИ2]]</f>
        <v>0</v>
      </c>
      <c r="L1560" s="31"/>
    </row>
    <row r="1561" spans="3:12" ht="15" customHeight="1" x14ac:dyDescent="0.3">
      <c r="C1561" s="169"/>
      <c r="D1561" s="169"/>
      <c r="G1561" s="50">
        <f>РЕАЛИЗАЦИЯ[[#This Row],[СОНИ]]*РЕАЛИЗАЦИЯ[[#This Row],[НАРХИ]]</f>
        <v>0</v>
      </c>
      <c r="I1561" s="166"/>
      <c r="J1561" s="31">
        <f>РЕАЛИЗАЦИЯ[[#This Row],[СОНИ]]*РЕАЛИЗАЦИЯ[[#This Row],[ТАННАРХ]]</f>
        <v>0</v>
      </c>
      <c r="K1561" s="31">
        <f>РЕАЛИЗАЦИЯ[[#This Row],[ЖАМИ]]-РЕАЛИЗАЦИЯ[[#This Row],[ЖАМИ2]]</f>
        <v>0</v>
      </c>
      <c r="L1561" s="31"/>
    </row>
    <row r="1562" spans="3:12" ht="15" customHeight="1" x14ac:dyDescent="0.3">
      <c r="C1562" s="169"/>
      <c r="D1562" s="169"/>
      <c r="G1562" s="50">
        <f>РЕАЛИЗАЦИЯ[[#This Row],[СОНИ]]*РЕАЛИЗАЦИЯ[[#This Row],[НАРХИ]]</f>
        <v>0</v>
      </c>
      <c r="I1562" s="166"/>
      <c r="J1562" s="31">
        <f>РЕАЛИЗАЦИЯ[[#This Row],[СОНИ]]*РЕАЛИЗАЦИЯ[[#This Row],[ТАННАРХ]]</f>
        <v>0</v>
      </c>
      <c r="K1562" s="31">
        <f>РЕАЛИЗАЦИЯ[[#This Row],[ЖАМИ]]-РЕАЛИЗАЦИЯ[[#This Row],[ЖАМИ2]]</f>
        <v>0</v>
      </c>
      <c r="L1562" s="31"/>
    </row>
    <row r="1563" spans="3:12" ht="15" customHeight="1" x14ac:dyDescent="0.3">
      <c r="C1563" s="169"/>
      <c r="D1563" s="169"/>
      <c r="G1563" s="50">
        <f>РЕАЛИЗАЦИЯ[[#This Row],[СОНИ]]*РЕАЛИЗАЦИЯ[[#This Row],[НАРХИ]]</f>
        <v>0</v>
      </c>
      <c r="I1563" s="166"/>
      <c r="J1563" s="31">
        <f>РЕАЛИЗАЦИЯ[[#This Row],[СОНИ]]*РЕАЛИЗАЦИЯ[[#This Row],[ТАННАРХ]]</f>
        <v>0</v>
      </c>
      <c r="K1563" s="31">
        <f>РЕАЛИЗАЦИЯ[[#This Row],[ЖАМИ]]-РЕАЛИЗАЦИЯ[[#This Row],[ЖАМИ2]]</f>
        <v>0</v>
      </c>
      <c r="L1563" s="31"/>
    </row>
    <row r="1564" spans="3:12" ht="15" customHeight="1" x14ac:dyDescent="0.3">
      <c r="C1564" s="169"/>
      <c r="D1564" s="169"/>
      <c r="G1564" s="50">
        <f>РЕАЛИЗАЦИЯ[[#This Row],[СОНИ]]*РЕАЛИЗАЦИЯ[[#This Row],[НАРХИ]]</f>
        <v>0</v>
      </c>
      <c r="I1564" s="166"/>
      <c r="J1564" s="31">
        <f>РЕАЛИЗАЦИЯ[[#This Row],[СОНИ]]*РЕАЛИЗАЦИЯ[[#This Row],[ТАННАРХ]]</f>
        <v>0</v>
      </c>
      <c r="K1564" s="31">
        <f>РЕАЛИЗАЦИЯ[[#This Row],[ЖАМИ]]-РЕАЛИЗАЦИЯ[[#This Row],[ЖАМИ2]]</f>
        <v>0</v>
      </c>
      <c r="L1564" s="31"/>
    </row>
    <row r="1565" spans="3:12" ht="15" customHeight="1" x14ac:dyDescent="0.3">
      <c r="C1565" s="169"/>
      <c r="D1565" s="169"/>
      <c r="G1565" s="50">
        <f>РЕАЛИЗАЦИЯ[[#This Row],[СОНИ]]*РЕАЛИЗАЦИЯ[[#This Row],[НАРХИ]]</f>
        <v>0</v>
      </c>
      <c r="I1565" s="166"/>
      <c r="J1565" s="31">
        <f>РЕАЛИЗАЦИЯ[[#This Row],[СОНИ]]*РЕАЛИЗАЦИЯ[[#This Row],[ТАННАРХ]]</f>
        <v>0</v>
      </c>
      <c r="K1565" s="31">
        <f>РЕАЛИЗАЦИЯ[[#This Row],[ЖАМИ]]-РЕАЛИЗАЦИЯ[[#This Row],[ЖАМИ2]]</f>
        <v>0</v>
      </c>
      <c r="L1565" s="31"/>
    </row>
    <row r="1566" spans="3:12" ht="15" customHeight="1" x14ac:dyDescent="0.3">
      <c r="C1566" s="169"/>
      <c r="D1566" s="169"/>
      <c r="G1566" s="50">
        <f>РЕАЛИЗАЦИЯ[[#This Row],[СОНИ]]*РЕАЛИЗАЦИЯ[[#This Row],[НАРХИ]]</f>
        <v>0</v>
      </c>
      <c r="I1566" s="166"/>
      <c r="J1566" s="31">
        <f>РЕАЛИЗАЦИЯ[[#This Row],[СОНИ]]*РЕАЛИЗАЦИЯ[[#This Row],[ТАННАРХ]]</f>
        <v>0</v>
      </c>
      <c r="K1566" s="31">
        <f>РЕАЛИЗАЦИЯ[[#This Row],[ЖАМИ]]-РЕАЛИЗАЦИЯ[[#This Row],[ЖАМИ2]]</f>
        <v>0</v>
      </c>
      <c r="L1566" s="31"/>
    </row>
    <row r="1567" spans="3:12" ht="15" customHeight="1" x14ac:dyDescent="0.3">
      <c r="C1567" s="169"/>
      <c r="D1567" s="169"/>
      <c r="G1567" s="50">
        <f>РЕАЛИЗАЦИЯ[[#This Row],[СОНИ]]*РЕАЛИЗАЦИЯ[[#This Row],[НАРХИ]]</f>
        <v>0</v>
      </c>
      <c r="I1567" s="166"/>
      <c r="J1567" s="31">
        <f>РЕАЛИЗАЦИЯ[[#This Row],[СОНИ]]*РЕАЛИЗАЦИЯ[[#This Row],[ТАННАРХ]]</f>
        <v>0</v>
      </c>
      <c r="K1567" s="31">
        <f>РЕАЛИЗАЦИЯ[[#This Row],[ЖАМИ]]-РЕАЛИЗАЦИЯ[[#This Row],[ЖАМИ2]]</f>
        <v>0</v>
      </c>
      <c r="L1567" s="31"/>
    </row>
    <row r="1568" spans="3:12" ht="15" customHeight="1" x14ac:dyDescent="0.3">
      <c r="C1568" s="169"/>
      <c r="D1568" s="169"/>
      <c r="G1568" s="50">
        <f>РЕАЛИЗАЦИЯ[[#This Row],[СОНИ]]*РЕАЛИЗАЦИЯ[[#This Row],[НАРХИ]]</f>
        <v>0</v>
      </c>
      <c r="I1568" s="166"/>
      <c r="J1568" s="31">
        <f>РЕАЛИЗАЦИЯ[[#This Row],[СОНИ]]*РЕАЛИЗАЦИЯ[[#This Row],[ТАННАРХ]]</f>
        <v>0</v>
      </c>
      <c r="K1568" s="31">
        <f>РЕАЛИЗАЦИЯ[[#This Row],[ЖАМИ]]-РЕАЛИЗАЦИЯ[[#This Row],[ЖАМИ2]]</f>
        <v>0</v>
      </c>
      <c r="L1568" s="31"/>
    </row>
    <row r="1569" spans="3:12" ht="15" customHeight="1" x14ac:dyDescent="0.3">
      <c r="C1569" s="169"/>
      <c r="D1569" s="169"/>
      <c r="G1569" s="50">
        <f>РЕАЛИЗАЦИЯ[[#This Row],[СОНИ]]*РЕАЛИЗАЦИЯ[[#This Row],[НАРХИ]]</f>
        <v>0</v>
      </c>
      <c r="I1569" s="166"/>
      <c r="J1569" s="31">
        <f>РЕАЛИЗАЦИЯ[[#This Row],[СОНИ]]*РЕАЛИЗАЦИЯ[[#This Row],[ТАННАРХ]]</f>
        <v>0</v>
      </c>
      <c r="K1569" s="31">
        <f>РЕАЛИЗАЦИЯ[[#This Row],[ЖАМИ]]-РЕАЛИЗАЦИЯ[[#This Row],[ЖАМИ2]]</f>
        <v>0</v>
      </c>
      <c r="L1569" s="31"/>
    </row>
    <row r="1570" spans="3:12" ht="15" customHeight="1" x14ac:dyDescent="0.3">
      <c r="C1570" s="169"/>
      <c r="D1570" s="169"/>
      <c r="G1570" s="50">
        <f>РЕАЛИЗАЦИЯ[[#This Row],[СОНИ]]*РЕАЛИЗАЦИЯ[[#This Row],[НАРХИ]]</f>
        <v>0</v>
      </c>
      <c r="I1570" s="166"/>
      <c r="J1570" s="31">
        <f>РЕАЛИЗАЦИЯ[[#This Row],[СОНИ]]*РЕАЛИЗАЦИЯ[[#This Row],[ТАННАРХ]]</f>
        <v>0</v>
      </c>
      <c r="K1570" s="31">
        <f>РЕАЛИЗАЦИЯ[[#This Row],[ЖАМИ]]-РЕАЛИЗАЦИЯ[[#This Row],[ЖАМИ2]]</f>
        <v>0</v>
      </c>
      <c r="L1570" s="31"/>
    </row>
    <row r="1571" spans="3:12" ht="15" customHeight="1" x14ac:dyDescent="0.3">
      <c r="C1571" s="169"/>
      <c r="D1571" s="169"/>
      <c r="G1571" s="50">
        <f>РЕАЛИЗАЦИЯ[[#This Row],[СОНИ]]*РЕАЛИЗАЦИЯ[[#This Row],[НАРХИ]]</f>
        <v>0</v>
      </c>
      <c r="I1571" s="166"/>
      <c r="J1571" s="31">
        <f>РЕАЛИЗАЦИЯ[[#This Row],[СОНИ]]*РЕАЛИЗАЦИЯ[[#This Row],[ТАННАРХ]]</f>
        <v>0</v>
      </c>
      <c r="K1571" s="31">
        <f>РЕАЛИЗАЦИЯ[[#This Row],[ЖАМИ]]-РЕАЛИЗАЦИЯ[[#This Row],[ЖАМИ2]]</f>
        <v>0</v>
      </c>
      <c r="L1571" s="31"/>
    </row>
    <row r="1572" spans="3:12" ht="15" customHeight="1" x14ac:dyDescent="0.3">
      <c r="C1572" s="169"/>
      <c r="D1572" s="169"/>
      <c r="G1572" s="50">
        <f>РЕАЛИЗАЦИЯ[[#This Row],[СОНИ]]*РЕАЛИЗАЦИЯ[[#This Row],[НАРХИ]]</f>
        <v>0</v>
      </c>
      <c r="I1572" s="166"/>
      <c r="J1572" s="31">
        <f>РЕАЛИЗАЦИЯ[[#This Row],[СОНИ]]*РЕАЛИЗАЦИЯ[[#This Row],[ТАННАРХ]]</f>
        <v>0</v>
      </c>
      <c r="K1572" s="31">
        <f>РЕАЛИЗАЦИЯ[[#This Row],[ЖАМИ]]-РЕАЛИЗАЦИЯ[[#This Row],[ЖАМИ2]]</f>
        <v>0</v>
      </c>
      <c r="L1572" s="31"/>
    </row>
    <row r="1573" spans="3:12" ht="15" customHeight="1" x14ac:dyDescent="0.3">
      <c r="C1573" s="169"/>
      <c r="D1573" s="169"/>
      <c r="G1573" s="50">
        <f>РЕАЛИЗАЦИЯ[[#This Row],[СОНИ]]*РЕАЛИЗАЦИЯ[[#This Row],[НАРХИ]]</f>
        <v>0</v>
      </c>
      <c r="I1573" s="166"/>
      <c r="J1573" s="31">
        <f>РЕАЛИЗАЦИЯ[[#This Row],[СОНИ]]*РЕАЛИЗАЦИЯ[[#This Row],[ТАННАРХ]]</f>
        <v>0</v>
      </c>
      <c r="K1573" s="31">
        <f>РЕАЛИЗАЦИЯ[[#This Row],[ЖАМИ]]-РЕАЛИЗАЦИЯ[[#This Row],[ЖАМИ2]]</f>
        <v>0</v>
      </c>
      <c r="L1573" s="31"/>
    </row>
    <row r="1574" spans="3:12" ht="15" customHeight="1" x14ac:dyDescent="0.3">
      <c r="C1574" s="169"/>
      <c r="D1574" s="169"/>
      <c r="G1574" s="50">
        <f>РЕАЛИЗАЦИЯ[[#This Row],[СОНИ]]*РЕАЛИЗАЦИЯ[[#This Row],[НАРХИ]]</f>
        <v>0</v>
      </c>
      <c r="I1574" s="166"/>
      <c r="J1574" s="31">
        <f>РЕАЛИЗАЦИЯ[[#This Row],[СОНИ]]*РЕАЛИЗАЦИЯ[[#This Row],[ТАННАРХ]]</f>
        <v>0</v>
      </c>
      <c r="K1574" s="31">
        <f>РЕАЛИЗАЦИЯ[[#This Row],[ЖАМИ]]-РЕАЛИЗАЦИЯ[[#This Row],[ЖАМИ2]]</f>
        <v>0</v>
      </c>
      <c r="L1574" s="31"/>
    </row>
    <row r="1575" spans="3:12" ht="15" customHeight="1" x14ac:dyDescent="0.3">
      <c r="C1575" s="169"/>
      <c r="D1575" s="169"/>
      <c r="G1575" s="50">
        <f>РЕАЛИЗАЦИЯ[[#This Row],[СОНИ]]*РЕАЛИЗАЦИЯ[[#This Row],[НАРХИ]]</f>
        <v>0</v>
      </c>
      <c r="I1575" s="166"/>
      <c r="J1575" s="31">
        <f>РЕАЛИЗАЦИЯ[[#This Row],[СОНИ]]*РЕАЛИЗАЦИЯ[[#This Row],[ТАННАРХ]]</f>
        <v>0</v>
      </c>
      <c r="K1575" s="31">
        <f>РЕАЛИЗАЦИЯ[[#This Row],[ЖАМИ]]-РЕАЛИЗАЦИЯ[[#This Row],[ЖАМИ2]]</f>
        <v>0</v>
      </c>
      <c r="L1575" s="31"/>
    </row>
    <row r="1576" spans="3:12" ht="15" customHeight="1" x14ac:dyDescent="0.3">
      <c r="C1576" s="169"/>
      <c r="D1576" s="169"/>
      <c r="G1576" s="50">
        <f>РЕАЛИЗАЦИЯ[[#This Row],[СОНИ]]*РЕАЛИЗАЦИЯ[[#This Row],[НАРХИ]]</f>
        <v>0</v>
      </c>
      <c r="I1576" s="166"/>
      <c r="J1576" s="31">
        <f>РЕАЛИЗАЦИЯ[[#This Row],[СОНИ]]*РЕАЛИЗАЦИЯ[[#This Row],[ТАННАРХ]]</f>
        <v>0</v>
      </c>
      <c r="K1576" s="31">
        <f>РЕАЛИЗАЦИЯ[[#This Row],[ЖАМИ]]-РЕАЛИЗАЦИЯ[[#This Row],[ЖАМИ2]]</f>
        <v>0</v>
      </c>
      <c r="L1576" s="31"/>
    </row>
    <row r="1577" spans="3:12" ht="15" customHeight="1" x14ac:dyDescent="0.3">
      <c r="C1577" s="169"/>
      <c r="D1577" s="169"/>
      <c r="G1577" s="50">
        <f>РЕАЛИЗАЦИЯ[[#This Row],[СОНИ]]*РЕАЛИЗАЦИЯ[[#This Row],[НАРХИ]]</f>
        <v>0</v>
      </c>
      <c r="I1577" s="166"/>
      <c r="J1577" s="31">
        <f>РЕАЛИЗАЦИЯ[[#This Row],[СОНИ]]*РЕАЛИЗАЦИЯ[[#This Row],[ТАННАРХ]]</f>
        <v>0</v>
      </c>
      <c r="K1577" s="31">
        <f>РЕАЛИЗАЦИЯ[[#This Row],[ЖАМИ]]-РЕАЛИЗАЦИЯ[[#This Row],[ЖАМИ2]]</f>
        <v>0</v>
      </c>
      <c r="L1577" s="31"/>
    </row>
    <row r="1578" spans="3:12" ht="15" customHeight="1" x14ac:dyDescent="0.3">
      <c r="C1578" s="169"/>
      <c r="D1578" s="169"/>
      <c r="G1578" s="50">
        <f>РЕАЛИЗАЦИЯ[[#This Row],[СОНИ]]*РЕАЛИЗАЦИЯ[[#This Row],[НАРХИ]]</f>
        <v>0</v>
      </c>
      <c r="I1578" s="166"/>
      <c r="J1578" s="31">
        <f>РЕАЛИЗАЦИЯ[[#This Row],[СОНИ]]*РЕАЛИЗАЦИЯ[[#This Row],[ТАННАРХ]]</f>
        <v>0</v>
      </c>
      <c r="K1578" s="31">
        <f>РЕАЛИЗАЦИЯ[[#This Row],[ЖАМИ]]-РЕАЛИЗАЦИЯ[[#This Row],[ЖАМИ2]]</f>
        <v>0</v>
      </c>
      <c r="L1578" s="31"/>
    </row>
    <row r="1579" spans="3:12" ht="15" customHeight="1" x14ac:dyDescent="0.3">
      <c r="C1579" s="169"/>
      <c r="D1579" s="169"/>
      <c r="G1579" s="50">
        <f>РЕАЛИЗАЦИЯ[[#This Row],[СОНИ]]*РЕАЛИЗАЦИЯ[[#This Row],[НАРХИ]]</f>
        <v>0</v>
      </c>
      <c r="I1579" s="166"/>
      <c r="J1579" s="31">
        <f>РЕАЛИЗАЦИЯ[[#This Row],[СОНИ]]*РЕАЛИЗАЦИЯ[[#This Row],[ТАННАРХ]]</f>
        <v>0</v>
      </c>
      <c r="K1579" s="31">
        <f>РЕАЛИЗАЦИЯ[[#This Row],[ЖАМИ]]-РЕАЛИЗАЦИЯ[[#This Row],[ЖАМИ2]]</f>
        <v>0</v>
      </c>
      <c r="L1579" s="31"/>
    </row>
    <row r="1580" spans="3:12" ht="15" customHeight="1" x14ac:dyDescent="0.3">
      <c r="C1580" s="169"/>
      <c r="D1580" s="169"/>
      <c r="G1580" s="50">
        <f>РЕАЛИЗАЦИЯ[[#This Row],[СОНИ]]*РЕАЛИЗАЦИЯ[[#This Row],[НАРХИ]]</f>
        <v>0</v>
      </c>
      <c r="I1580" s="166"/>
      <c r="J1580" s="31">
        <f>РЕАЛИЗАЦИЯ[[#This Row],[СОНИ]]*РЕАЛИЗАЦИЯ[[#This Row],[ТАННАРХ]]</f>
        <v>0</v>
      </c>
      <c r="K1580" s="31">
        <f>РЕАЛИЗАЦИЯ[[#This Row],[ЖАМИ]]-РЕАЛИЗАЦИЯ[[#This Row],[ЖАМИ2]]</f>
        <v>0</v>
      </c>
      <c r="L1580" s="31"/>
    </row>
    <row r="1581" spans="3:12" ht="15" customHeight="1" x14ac:dyDescent="0.3">
      <c r="C1581" s="169"/>
      <c r="D1581" s="171"/>
      <c r="G1581" s="50">
        <f>РЕАЛИЗАЦИЯ[[#This Row],[СОНИ]]*РЕАЛИЗАЦИЯ[[#This Row],[НАРХИ]]</f>
        <v>0</v>
      </c>
      <c r="I1581" s="166"/>
      <c r="J1581" s="31">
        <f>РЕАЛИЗАЦИЯ[[#This Row],[СОНИ]]*РЕАЛИЗАЦИЯ[[#This Row],[ТАННАРХ]]</f>
        <v>0</v>
      </c>
      <c r="K1581" s="31">
        <f>РЕАЛИЗАЦИЯ[[#This Row],[ЖАМИ]]-РЕАЛИЗАЦИЯ[[#This Row],[ЖАМИ2]]</f>
        <v>0</v>
      </c>
      <c r="L1581" s="31"/>
    </row>
    <row r="1582" spans="3:12" ht="15" customHeight="1" x14ac:dyDescent="0.3">
      <c r="C1582" s="169"/>
      <c r="D1582" s="169"/>
      <c r="G1582" s="50">
        <f>РЕАЛИЗАЦИЯ[[#This Row],[СОНИ]]*РЕАЛИЗАЦИЯ[[#This Row],[НАРХИ]]</f>
        <v>0</v>
      </c>
      <c r="I1582" s="166"/>
      <c r="J1582" s="31">
        <f>РЕАЛИЗАЦИЯ[[#This Row],[СОНИ]]*РЕАЛИЗАЦИЯ[[#This Row],[ТАННАРХ]]</f>
        <v>0</v>
      </c>
      <c r="K1582" s="31">
        <f>РЕАЛИЗАЦИЯ[[#This Row],[ЖАМИ]]-РЕАЛИЗАЦИЯ[[#This Row],[ЖАМИ2]]</f>
        <v>0</v>
      </c>
      <c r="L1582" s="31"/>
    </row>
    <row r="1583" spans="3:12" ht="15" customHeight="1" x14ac:dyDescent="0.3">
      <c r="C1583" s="169"/>
      <c r="D1583" s="169"/>
      <c r="G1583" s="50">
        <f>РЕАЛИЗАЦИЯ[[#This Row],[СОНИ]]*РЕАЛИЗАЦИЯ[[#This Row],[НАРХИ]]</f>
        <v>0</v>
      </c>
      <c r="I1583" s="166"/>
      <c r="J1583" s="31">
        <f>РЕАЛИЗАЦИЯ[[#This Row],[СОНИ]]*РЕАЛИЗАЦИЯ[[#This Row],[ТАННАРХ]]</f>
        <v>0</v>
      </c>
      <c r="K1583" s="31">
        <f>РЕАЛИЗАЦИЯ[[#This Row],[ЖАМИ]]-РЕАЛИЗАЦИЯ[[#This Row],[ЖАМИ2]]</f>
        <v>0</v>
      </c>
      <c r="L1583" s="31"/>
    </row>
    <row r="1584" spans="3:12" ht="15" customHeight="1" x14ac:dyDescent="0.3">
      <c r="C1584" s="169"/>
      <c r="D1584" s="169"/>
      <c r="G1584" s="50">
        <f>РЕАЛИЗАЦИЯ[[#This Row],[СОНИ]]*РЕАЛИЗАЦИЯ[[#This Row],[НАРХИ]]</f>
        <v>0</v>
      </c>
      <c r="I1584" s="166"/>
      <c r="J1584" s="31">
        <f>РЕАЛИЗАЦИЯ[[#This Row],[СОНИ]]*РЕАЛИЗАЦИЯ[[#This Row],[ТАННАРХ]]</f>
        <v>0</v>
      </c>
      <c r="K1584" s="31">
        <f>РЕАЛИЗАЦИЯ[[#This Row],[ЖАМИ]]-РЕАЛИЗАЦИЯ[[#This Row],[ЖАМИ2]]</f>
        <v>0</v>
      </c>
      <c r="L1584" s="31"/>
    </row>
    <row r="1585" spans="3:12" ht="15" customHeight="1" x14ac:dyDescent="0.3">
      <c r="C1585" s="169"/>
      <c r="D1585" s="169"/>
      <c r="G1585" s="50">
        <f>РЕАЛИЗАЦИЯ[[#This Row],[СОНИ]]*РЕАЛИЗАЦИЯ[[#This Row],[НАРХИ]]</f>
        <v>0</v>
      </c>
      <c r="I1585" s="166"/>
      <c r="J1585" s="31">
        <f>РЕАЛИЗАЦИЯ[[#This Row],[СОНИ]]*РЕАЛИЗАЦИЯ[[#This Row],[ТАННАРХ]]</f>
        <v>0</v>
      </c>
      <c r="K1585" s="31">
        <f>РЕАЛИЗАЦИЯ[[#This Row],[ЖАМИ]]-РЕАЛИЗАЦИЯ[[#This Row],[ЖАМИ2]]</f>
        <v>0</v>
      </c>
      <c r="L1585" s="31"/>
    </row>
    <row r="1586" spans="3:12" ht="15" customHeight="1" x14ac:dyDescent="0.3">
      <c r="C1586" s="169"/>
      <c r="D1586" s="169"/>
      <c r="G1586" s="50">
        <f>РЕАЛИЗАЦИЯ[[#This Row],[СОНИ]]*РЕАЛИЗАЦИЯ[[#This Row],[НАРХИ]]</f>
        <v>0</v>
      </c>
      <c r="I1586" s="166"/>
      <c r="J1586" s="31">
        <f>РЕАЛИЗАЦИЯ[[#This Row],[СОНИ]]*РЕАЛИЗАЦИЯ[[#This Row],[ТАННАРХ]]</f>
        <v>0</v>
      </c>
      <c r="K1586" s="31">
        <f>РЕАЛИЗАЦИЯ[[#This Row],[ЖАМИ]]-РЕАЛИЗАЦИЯ[[#This Row],[ЖАМИ2]]</f>
        <v>0</v>
      </c>
      <c r="L1586" s="31"/>
    </row>
    <row r="1587" spans="3:12" ht="15" customHeight="1" x14ac:dyDescent="0.3">
      <c r="C1587" s="172"/>
      <c r="D1587" s="172"/>
      <c r="G1587" s="50">
        <f>РЕАЛИЗАЦИЯ[[#This Row],[СОНИ]]*РЕАЛИЗАЦИЯ[[#This Row],[НАРХИ]]</f>
        <v>0</v>
      </c>
      <c r="I1587" s="166"/>
      <c r="J1587" s="31">
        <f>РЕАЛИЗАЦИЯ[[#This Row],[СОНИ]]*РЕАЛИЗАЦИЯ[[#This Row],[ТАННАРХ]]</f>
        <v>0</v>
      </c>
      <c r="K1587" s="31">
        <f>РЕАЛИЗАЦИЯ[[#This Row],[ЖАМИ]]-РЕАЛИЗАЦИЯ[[#This Row],[ЖАМИ2]]</f>
        <v>0</v>
      </c>
      <c r="L1587" s="31"/>
    </row>
    <row r="1588" spans="3:12" ht="15" customHeight="1" x14ac:dyDescent="0.3">
      <c r="C1588" s="172"/>
      <c r="D1588" s="172"/>
      <c r="G1588" s="50">
        <f>РЕАЛИЗАЦИЯ[[#This Row],[СОНИ]]*РЕАЛИЗАЦИЯ[[#This Row],[НАРХИ]]</f>
        <v>0</v>
      </c>
      <c r="I1588" s="166"/>
      <c r="J1588" s="31">
        <f>РЕАЛИЗАЦИЯ[[#This Row],[СОНИ]]*РЕАЛИЗАЦИЯ[[#This Row],[ТАННАРХ]]</f>
        <v>0</v>
      </c>
      <c r="K1588" s="31">
        <f>РЕАЛИЗАЦИЯ[[#This Row],[ЖАМИ]]-РЕАЛИЗАЦИЯ[[#This Row],[ЖАМИ2]]</f>
        <v>0</v>
      </c>
      <c r="L1588" s="31"/>
    </row>
    <row r="1589" spans="3:12" ht="15" customHeight="1" x14ac:dyDescent="0.3">
      <c r="C1589" s="172"/>
      <c r="D1589" s="172"/>
      <c r="G1589" s="50">
        <f>РЕАЛИЗАЦИЯ[[#This Row],[СОНИ]]*РЕАЛИЗАЦИЯ[[#This Row],[НАРХИ]]</f>
        <v>0</v>
      </c>
      <c r="I1589" s="166"/>
      <c r="J1589" s="31">
        <f>РЕАЛИЗАЦИЯ[[#This Row],[СОНИ]]*РЕАЛИЗАЦИЯ[[#This Row],[ТАННАРХ]]</f>
        <v>0</v>
      </c>
      <c r="K1589" s="31">
        <f>РЕАЛИЗАЦИЯ[[#This Row],[ЖАМИ]]-РЕАЛИЗАЦИЯ[[#This Row],[ЖАМИ2]]</f>
        <v>0</v>
      </c>
      <c r="L1589" s="31"/>
    </row>
    <row r="1590" spans="3:12" ht="15" customHeight="1" x14ac:dyDescent="0.3">
      <c r="C1590" s="172"/>
      <c r="D1590" s="172"/>
      <c r="G1590" s="50">
        <f>РЕАЛИЗАЦИЯ[[#This Row],[СОНИ]]*РЕАЛИЗАЦИЯ[[#This Row],[НАРХИ]]</f>
        <v>0</v>
      </c>
      <c r="I1590" s="166"/>
      <c r="J1590" s="31">
        <f>РЕАЛИЗАЦИЯ[[#This Row],[СОНИ]]*РЕАЛИЗАЦИЯ[[#This Row],[ТАННАРХ]]</f>
        <v>0</v>
      </c>
      <c r="K1590" s="31">
        <f>РЕАЛИЗАЦИЯ[[#This Row],[ЖАМИ]]-РЕАЛИЗАЦИЯ[[#This Row],[ЖАМИ2]]</f>
        <v>0</v>
      </c>
      <c r="L1590" s="31"/>
    </row>
    <row r="1591" spans="3:12" ht="15" customHeight="1" x14ac:dyDescent="0.3">
      <c r="C1591" s="172"/>
      <c r="D1591" s="172"/>
      <c r="G1591" s="50">
        <f>РЕАЛИЗАЦИЯ[[#This Row],[СОНИ]]*РЕАЛИЗАЦИЯ[[#This Row],[НАРХИ]]</f>
        <v>0</v>
      </c>
      <c r="I1591" s="166"/>
      <c r="J1591" s="31">
        <f>РЕАЛИЗАЦИЯ[[#This Row],[СОНИ]]*РЕАЛИЗАЦИЯ[[#This Row],[ТАННАРХ]]</f>
        <v>0</v>
      </c>
      <c r="K1591" s="31">
        <f>РЕАЛИЗАЦИЯ[[#This Row],[ЖАМИ]]-РЕАЛИЗАЦИЯ[[#This Row],[ЖАМИ2]]</f>
        <v>0</v>
      </c>
      <c r="L1591" s="31"/>
    </row>
    <row r="1592" spans="3:12" ht="15" customHeight="1" x14ac:dyDescent="0.3">
      <c r="C1592" s="172"/>
      <c r="D1592" s="172"/>
      <c r="G1592" s="50">
        <f>РЕАЛИЗАЦИЯ[[#This Row],[СОНИ]]*РЕАЛИЗАЦИЯ[[#This Row],[НАРХИ]]</f>
        <v>0</v>
      </c>
      <c r="I1592" s="166"/>
      <c r="J1592" s="31">
        <f>РЕАЛИЗАЦИЯ[[#This Row],[СОНИ]]*РЕАЛИЗАЦИЯ[[#This Row],[ТАННАРХ]]</f>
        <v>0</v>
      </c>
      <c r="K1592" s="31">
        <f>РЕАЛИЗАЦИЯ[[#This Row],[ЖАМИ]]-РЕАЛИЗАЦИЯ[[#This Row],[ЖАМИ2]]</f>
        <v>0</v>
      </c>
      <c r="L1592" s="31"/>
    </row>
    <row r="1593" spans="3:12" ht="15" customHeight="1" x14ac:dyDescent="0.3">
      <c r="C1593" s="172"/>
      <c r="D1593" s="172"/>
      <c r="G1593" s="50">
        <f>РЕАЛИЗАЦИЯ[[#This Row],[СОНИ]]*РЕАЛИЗАЦИЯ[[#This Row],[НАРХИ]]</f>
        <v>0</v>
      </c>
      <c r="I1593" s="166"/>
      <c r="J1593" s="31">
        <f>РЕАЛИЗАЦИЯ[[#This Row],[СОНИ]]*РЕАЛИЗАЦИЯ[[#This Row],[ТАННАРХ]]</f>
        <v>0</v>
      </c>
      <c r="K1593" s="31">
        <f>РЕАЛИЗАЦИЯ[[#This Row],[ЖАМИ]]-РЕАЛИЗАЦИЯ[[#This Row],[ЖАМИ2]]</f>
        <v>0</v>
      </c>
      <c r="L1593" s="31"/>
    </row>
    <row r="1594" spans="3:12" ht="15" customHeight="1" x14ac:dyDescent="0.3">
      <c r="C1594" s="172"/>
      <c r="D1594" s="172"/>
      <c r="G1594" s="50">
        <f>РЕАЛИЗАЦИЯ[[#This Row],[СОНИ]]*РЕАЛИЗАЦИЯ[[#This Row],[НАРХИ]]</f>
        <v>0</v>
      </c>
      <c r="I1594" s="166"/>
      <c r="J1594" s="31">
        <f>РЕАЛИЗАЦИЯ[[#This Row],[СОНИ]]*РЕАЛИЗАЦИЯ[[#This Row],[ТАННАРХ]]</f>
        <v>0</v>
      </c>
      <c r="K1594" s="31">
        <f>РЕАЛИЗАЦИЯ[[#This Row],[ЖАМИ]]-РЕАЛИЗАЦИЯ[[#This Row],[ЖАМИ2]]</f>
        <v>0</v>
      </c>
      <c r="L1594" s="31"/>
    </row>
    <row r="1595" spans="3:12" ht="15" customHeight="1" x14ac:dyDescent="0.3">
      <c r="C1595" s="172"/>
      <c r="D1595" s="172"/>
      <c r="G1595" s="50">
        <f>РЕАЛИЗАЦИЯ[[#This Row],[СОНИ]]*РЕАЛИЗАЦИЯ[[#This Row],[НАРХИ]]</f>
        <v>0</v>
      </c>
      <c r="I1595" s="166"/>
      <c r="J1595" s="31">
        <f>РЕАЛИЗАЦИЯ[[#This Row],[СОНИ]]*РЕАЛИЗАЦИЯ[[#This Row],[ТАННАРХ]]</f>
        <v>0</v>
      </c>
      <c r="K1595" s="31">
        <f>РЕАЛИЗАЦИЯ[[#This Row],[ЖАМИ]]-РЕАЛИЗАЦИЯ[[#This Row],[ЖАМИ2]]</f>
        <v>0</v>
      </c>
      <c r="L1595" s="31"/>
    </row>
    <row r="1596" spans="3:12" ht="15" customHeight="1" x14ac:dyDescent="0.3">
      <c r="C1596" s="172"/>
      <c r="D1596" s="172"/>
      <c r="G1596" s="50">
        <f>РЕАЛИЗАЦИЯ[[#This Row],[СОНИ]]*РЕАЛИЗАЦИЯ[[#This Row],[НАРХИ]]</f>
        <v>0</v>
      </c>
      <c r="I1596" s="166"/>
      <c r="J1596" s="31">
        <f>РЕАЛИЗАЦИЯ[[#This Row],[СОНИ]]*РЕАЛИЗАЦИЯ[[#This Row],[ТАННАРХ]]</f>
        <v>0</v>
      </c>
      <c r="K1596" s="31">
        <f>РЕАЛИЗАЦИЯ[[#This Row],[ЖАМИ]]-РЕАЛИЗАЦИЯ[[#This Row],[ЖАМИ2]]</f>
        <v>0</v>
      </c>
      <c r="L1596" s="31"/>
    </row>
    <row r="1597" spans="3:12" ht="15" customHeight="1" x14ac:dyDescent="0.3">
      <c r="C1597" s="172"/>
      <c r="D1597" s="172"/>
      <c r="G1597" s="50">
        <f>РЕАЛИЗАЦИЯ[[#This Row],[СОНИ]]*РЕАЛИЗАЦИЯ[[#This Row],[НАРХИ]]</f>
        <v>0</v>
      </c>
      <c r="I1597" s="166"/>
      <c r="J1597" s="31">
        <f>РЕАЛИЗАЦИЯ[[#This Row],[СОНИ]]*РЕАЛИЗАЦИЯ[[#This Row],[ТАННАРХ]]</f>
        <v>0</v>
      </c>
      <c r="K1597" s="31">
        <f>РЕАЛИЗАЦИЯ[[#This Row],[ЖАМИ]]-РЕАЛИЗАЦИЯ[[#This Row],[ЖАМИ2]]</f>
        <v>0</v>
      </c>
      <c r="L1597" s="31"/>
    </row>
    <row r="1598" spans="3:12" ht="15" customHeight="1" x14ac:dyDescent="0.3">
      <c r="C1598" s="172"/>
      <c r="D1598" s="172"/>
      <c r="G1598" s="50">
        <f>РЕАЛИЗАЦИЯ[[#This Row],[СОНИ]]*РЕАЛИЗАЦИЯ[[#This Row],[НАРХИ]]</f>
        <v>0</v>
      </c>
      <c r="I1598" s="166"/>
      <c r="J1598" s="31">
        <f>РЕАЛИЗАЦИЯ[[#This Row],[СОНИ]]*РЕАЛИЗАЦИЯ[[#This Row],[ТАННАРХ]]</f>
        <v>0</v>
      </c>
      <c r="K1598" s="31">
        <f>РЕАЛИЗАЦИЯ[[#This Row],[ЖАМИ]]-РЕАЛИЗАЦИЯ[[#This Row],[ЖАМИ2]]</f>
        <v>0</v>
      </c>
      <c r="L1598" s="31"/>
    </row>
    <row r="1599" spans="3:12" ht="15" customHeight="1" x14ac:dyDescent="0.3">
      <c r="C1599" s="180"/>
      <c r="D1599" s="180"/>
      <c r="G1599" s="50">
        <f>РЕАЛИЗАЦИЯ[[#This Row],[СОНИ]]*РЕАЛИЗАЦИЯ[[#This Row],[НАРХИ]]</f>
        <v>0</v>
      </c>
      <c r="I1599" s="166"/>
      <c r="J1599" s="31">
        <f>РЕАЛИЗАЦИЯ[[#This Row],[СОНИ]]*РЕАЛИЗАЦИЯ[[#This Row],[ТАННАРХ]]</f>
        <v>0</v>
      </c>
      <c r="K1599" s="31">
        <f>РЕАЛИЗАЦИЯ[[#This Row],[ЖАМИ]]-РЕАЛИЗАЦИЯ[[#This Row],[ЖАМИ2]]</f>
        <v>0</v>
      </c>
      <c r="L1599" s="31"/>
    </row>
    <row r="1600" spans="3:12" ht="15" customHeight="1" x14ac:dyDescent="0.3">
      <c r="C1600" s="172"/>
      <c r="D1600" s="172"/>
      <c r="G1600" s="50">
        <f>РЕАЛИЗАЦИЯ[[#This Row],[СОНИ]]*РЕАЛИЗАЦИЯ[[#This Row],[НАРХИ]]</f>
        <v>0</v>
      </c>
      <c r="I1600" s="166"/>
      <c r="J1600" s="31">
        <f>РЕАЛИЗАЦИЯ[[#This Row],[СОНИ]]*РЕАЛИЗАЦИЯ[[#This Row],[ТАННАРХ]]</f>
        <v>0</v>
      </c>
      <c r="K1600" s="31">
        <f>РЕАЛИЗАЦИЯ[[#This Row],[ЖАМИ]]-РЕАЛИЗАЦИЯ[[#This Row],[ЖАМИ2]]</f>
        <v>0</v>
      </c>
      <c r="L1600" s="31"/>
    </row>
    <row r="1601" spans="3:12" ht="15" customHeight="1" x14ac:dyDescent="0.3">
      <c r="C1601" s="172"/>
      <c r="D1601" s="172"/>
      <c r="G1601" s="50">
        <f>РЕАЛИЗАЦИЯ[[#This Row],[СОНИ]]*РЕАЛИЗАЦИЯ[[#This Row],[НАРХИ]]</f>
        <v>0</v>
      </c>
      <c r="I1601" s="166"/>
      <c r="J1601" s="31">
        <f>РЕАЛИЗАЦИЯ[[#This Row],[СОНИ]]*РЕАЛИЗАЦИЯ[[#This Row],[ТАННАРХ]]</f>
        <v>0</v>
      </c>
      <c r="K1601" s="31">
        <f>РЕАЛИЗАЦИЯ[[#This Row],[ЖАМИ]]-РЕАЛИЗАЦИЯ[[#This Row],[ЖАМИ2]]</f>
        <v>0</v>
      </c>
      <c r="L1601" s="31"/>
    </row>
    <row r="1602" spans="3:12" ht="15" customHeight="1" x14ac:dyDescent="0.3">
      <c r="C1602" s="172"/>
      <c r="D1602" s="172"/>
      <c r="G1602" s="50">
        <f>РЕАЛИЗАЦИЯ[[#This Row],[СОНИ]]*РЕАЛИЗАЦИЯ[[#This Row],[НАРХИ]]</f>
        <v>0</v>
      </c>
      <c r="I1602" s="166"/>
      <c r="J1602" s="31">
        <f>РЕАЛИЗАЦИЯ[[#This Row],[СОНИ]]*РЕАЛИЗАЦИЯ[[#This Row],[ТАННАРХ]]</f>
        <v>0</v>
      </c>
      <c r="K1602" s="31">
        <f>РЕАЛИЗАЦИЯ[[#This Row],[ЖАМИ]]-РЕАЛИЗАЦИЯ[[#This Row],[ЖАМИ2]]</f>
        <v>0</v>
      </c>
      <c r="L1602" s="31"/>
    </row>
    <row r="1603" spans="3:12" ht="15" customHeight="1" x14ac:dyDescent="0.3">
      <c r="C1603" s="172"/>
      <c r="D1603" s="172"/>
      <c r="G1603" s="50">
        <f>РЕАЛИЗАЦИЯ[[#This Row],[СОНИ]]*РЕАЛИЗАЦИЯ[[#This Row],[НАРХИ]]</f>
        <v>0</v>
      </c>
      <c r="I1603" s="166"/>
      <c r="J1603" s="31">
        <f>РЕАЛИЗАЦИЯ[[#This Row],[СОНИ]]*РЕАЛИЗАЦИЯ[[#This Row],[ТАННАРХ]]</f>
        <v>0</v>
      </c>
      <c r="K1603" s="31">
        <f>РЕАЛИЗАЦИЯ[[#This Row],[ЖАМИ]]-РЕАЛИЗАЦИЯ[[#This Row],[ЖАМИ2]]</f>
        <v>0</v>
      </c>
      <c r="L1603" s="31"/>
    </row>
    <row r="1604" spans="3:12" ht="15" customHeight="1" x14ac:dyDescent="0.3">
      <c r="C1604" s="172"/>
      <c r="D1604" s="172"/>
      <c r="G1604" s="50">
        <f>РЕАЛИЗАЦИЯ[[#This Row],[СОНИ]]*РЕАЛИЗАЦИЯ[[#This Row],[НАРХИ]]</f>
        <v>0</v>
      </c>
      <c r="I1604" s="166"/>
      <c r="J1604" s="31">
        <f>РЕАЛИЗАЦИЯ[[#This Row],[СОНИ]]*РЕАЛИЗАЦИЯ[[#This Row],[ТАННАРХ]]</f>
        <v>0</v>
      </c>
      <c r="K1604" s="31">
        <f>РЕАЛИЗАЦИЯ[[#This Row],[ЖАМИ]]-РЕАЛИЗАЦИЯ[[#This Row],[ЖАМИ2]]</f>
        <v>0</v>
      </c>
      <c r="L1604" s="31"/>
    </row>
    <row r="1605" spans="3:12" ht="15" customHeight="1" x14ac:dyDescent="0.3">
      <c r="C1605" s="172"/>
      <c r="D1605" s="172"/>
      <c r="G1605" s="50">
        <f>РЕАЛИЗАЦИЯ[[#This Row],[СОНИ]]*РЕАЛИЗАЦИЯ[[#This Row],[НАРХИ]]</f>
        <v>0</v>
      </c>
      <c r="I1605" s="166"/>
      <c r="J1605" s="31">
        <f>РЕАЛИЗАЦИЯ[[#This Row],[СОНИ]]*РЕАЛИЗАЦИЯ[[#This Row],[ТАННАРХ]]</f>
        <v>0</v>
      </c>
      <c r="K1605" s="31">
        <f>РЕАЛИЗАЦИЯ[[#This Row],[ЖАМИ]]-РЕАЛИЗАЦИЯ[[#This Row],[ЖАМИ2]]</f>
        <v>0</v>
      </c>
      <c r="L1605" s="31"/>
    </row>
    <row r="1606" spans="3:12" ht="15" customHeight="1" x14ac:dyDescent="0.3">
      <c r="C1606" s="172"/>
      <c r="D1606" s="172"/>
      <c r="G1606" s="50">
        <f>РЕАЛИЗАЦИЯ[[#This Row],[СОНИ]]*РЕАЛИЗАЦИЯ[[#This Row],[НАРХИ]]</f>
        <v>0</v>
      </c>
      <c r="I1606" s="166"/>
      <c r="J1606" s="31">
        <f>РЕАЛИЗАЦИЯ[[#This Row],[СОНИ]]*РЕАЛИЗАЦИЯ[[#This Row],[ТАННАРХ]]</f>
        <v>0</v>
      </c>
      <c r="K1606" s="31">
        <f>РЕАЛИЗАЦИЯ[[#This Row],[ЖАМИ]]-РЕАЛИЗАЦИЯ[[#This Row],[ЖАМИ2]]</f>
        <v>0</v>
      </c>
      <c r="L1606" s="31"/>
    </row>
    <row r="1607" spans="3:12" ht="15" customHeight="1" x14ac:dyDescent="0.3">
      <c r="C1607" s="172"/>
      <c r="D1607" s="172"/>
      <c r="G1607" s="50">
        <f>РЕАЛИЗАЦИЯ[[#This Row],[СОНИ]]*РЕАЛИЗАЦИЯ[[#This Row],[НАРХИ]]</f>
        <v>0</v>
      </c>
      <c r="I1607" s="166"/>
      <c r="J1607" s="31">
        <f>РЕАЛИЗАЦИЯ[[#This Row],[СОНИ]]*РЕАЛИЗАЦИЯ[[#This Row],[ТАННАРХ]]</f>
        <v>0</v>
      </c>
      <c r="K1607" s="31">
        <f>РЕАЛИЗАЦИЯ[[#This Row],[ЖАМИ]]-РЕАЛИЗАЦИЯ[[#This Row],[ЖАМИ2]]</f>
        <v>0</v>
      </c>
      <c r="L1607" s="31"/>
    </row>
    <row r="1608" spans="3:12" ht="15" customHeight="1" x14ac:dyDescent="0.3">
      <c r="C1608" s="172"/>
      <c r="D1608" s="172"/>
      <c r="G1608" s="50">
        <f>РЕАЛИЗАЦИЯ[[#This Row],[СОНИ]]*РЕАЛИЗАЦИЯ[[#This Row],[НАРХИ]]</f>
        <v>0</v>
      </c>
      <c r="I1608" s="166"/>
      <c r="J1608" s="31">
        <f>РЕАЛИЗАЦИЯ[[#This Row],[СОНИ]]*РЕАЛИЗАЦИЯ[[#This Row],[ТАННАРХ]]</f>
        <v>0</v>
      </c>
      <c r="K1608" s="31">
        <f>РЕАЛИЗАЦИЯ[[#This Row],[ЖАМИ]]-РЕАЛИЗАЦИЯ[[#This Row],[ЖАМИ2]]</f>
        <v>0</v>
      </c>
      <c r="L1608" s="31"/>
    </row>
    <row r="1609" spans="3:12" ht="15" customHeight="1" x14ac:dyDescent="0.3">
      <c r="C1609" s="175"/>
      <c r="D1609" s="175"/>
      <c r="G1609" s="50">
        <f>РЕАЛИЗАЦИЯ[[#This Row],[СОНИ]]*РЕАЛИЗАЦИЯ[[#This Row],[НАРХИ]]</f>
        <v>0</v>
      </c>
      <c r="I1609" s="166"/>
      <c r="J1609" s="31">
        <f>РЕАЛИЗАЦИЯ[[#This Row],[СОНИ]]*РЕАЛИЗАЦИЯ[[#This Row],[ТАННАРХ]]</f>
        <v>0</v>
      </c>
      <c r="K1609" s="31">
        <f>РЕАЛИЗАЦИЯ[[#This Row],[ЖАМИ]]-РЕАЛИЗАЦИЯ[[#This Row],[ЖАМИ2]]</f>
        <v>0</v>
      </c>
      <c r="L1609" s="31"/>
    </row>
    <row r="1610" spans="3:12" ht="15" customHeight="1" x14ac:dyDescent="0.3">
      <c r="C1610" s="175"/>
      <c r="D1610" s="175"/>
      <c r="G1610" s="50">
        <f>РЕАЛИЗАЦИЯ[[#This Row],[СОНИ]]*РЕАЛИЗАЦИЯ[[#This Row],[НАРХИ]]</f>
        <v>0</v>
      </c>
      <c r="I1610" s="166"/>
      <c r="J1610" s="31">
        <f>РЕАЛИЗАЦИЯ[[#This Row],[СОНИ]]*РЕАЛИЗАЦИЯ[[#This Row],[ТАННАРХ]]</f>
        <v>0</v>
      </c>
      <c r="K1610" s="31">
        <f>РЕАЛИЗАЦИЯ[[#This Row],[ЖАМИ]]-РЕАЛИЗАЦИЯ[[#This Row],[ЖАМИ2]]</f>
        <v>0</v>
      </c>
      <c r="L1610" s="31"/>
    </row>
    <row r="1611" spans="3:12" ht="15" customHeight="1" x14ac:dyDescent="0.3">
      <c r="C1611" s="175"/>
      <c r="D1611" s="175"/>
      <c r="G1611" s="50">
        <f>РЕАЛИЗАЦИЯ[[#This Row],[СОНИ]]*РЕАЛИЗАЦИЯ[[#This Row],[НАРХИ]]</f>
        <v>0</v>
      </c>
      <c r="I1611" s="166"/>
      <c r="J1611" s="31">
        <f>РЕАЛИЗАЦИЯ[[#This Row],[СОНИ]]*РЕАЛИЗАЦИЯ[[#This Row],[ТАННАРХ]]</f>
        <v>0</v>
      </c>
      <c r="K1611" s="31">
        <f>РЕАЛИЗАЦИЯ[[#This Row],[ЖАМИ]]-РЕАЛИЗАЦИЯ[[#This Row],[ЖАМИ2]]</f>
        <v>0</v>
      </c>
      <c r="L1611" s="31"/>
    </row>
    <row r="1612" spans="3:12" ht="15" customHeight="1" x14ac:dyDescent="0.3">
      <c r="C1612" s="175"/>
      <c r="D1612" s="175"/>
      <c r="G1612" s="50">
        <f>РЕАЛИЗАЦИЯ[[#This Row],[СОНИ]]*РЕАЛИЗАЦИЯ[[#This Row],[НАРХИ]]</f>
        <v>0</v>
      </c>
      <c r="I1612" s="166"/>
      <c r="J1612" s="31">
        <f>РЕАЛИЗАЦИЯ[[#This Row],[СОНИ]]*РЕАЛИЗАЦИЯ[[#This Row],[ТАННАРХ]]</f>
        <v>0</v>
      </c>
      <c r="K1612" s="31">
        <f>РЕАЛИЗАЦИЯ[[#This Row],[ЖАМИ]]-РЕАЛИЗАЦИЯ[[#This Row],[ЖАМИ2]]</f>
        <v>0</v>
      </c>
      <c r="L1612" s="31"/>
    </row>
    <row r="1613" spans="3:12" ht="15" customHeight="1" x14ac:dyDescent="0.3">
      <c r="C1613" s="175"/>
      <c r="D1613" s="175"/>
      <c r="G1613" s="50">
        <f>РЕАЛИЗАЦИЯ[[#This Row],[СОНИ]]*РЕАЛИЗАЦИЯ[[#This Row],[НАРХИ]]</f>
        <v>0</v>
      </c>
      <c r="I1613" s="166"/>
      <c r="J1613" s="31">
        <f>РЕАЛИЗАЦИЯ[[#This Row],[СОНИ]]*РЕАЛИЗАЦИЯ[[#This Row],[ТАННАРХ]]</f>
        <v>0</v>
      </c>
      <c r="K1613" s="31">
        <f>РЕАЛИЗАЦИЯ[[#This Row],[ЖАМИ]]-РЕАЛИЗАЦИЯ[[#This Row],[ЖАМИ2]]</f>
        <v>0</v>
      </c>
      <c r="L1613" s="31"/>
    </row>
    <row r="1614" spans="3:12" ht="15" customHeight="1" x14ac:dyDescent="0.3">
      <c r="C1614" s="175"/>
      <c r="D1614" s="175"/>
      <c r="G1614" s="50">
        <f>РЕАЛИЗАЦИЯ[[#This Row],[СОНИ]]*РЕАЛИЗАЦИЯ[[#This Row],[НАРХИ]]</f>
        <v>0</v>
      </c>
      <c r="I1614" s="166"/>
      <c r="J1614" s="31">
        <f>РЕАЛИЗАЦИЯ[[#This Row],[СОНИ]]*РЕАЛИЗАЦИЯ[[#This Row],[ТАННАРХ]]</f>
        <v>0</v>
      </c>
      <c r="K1614" s="31">
        <f>РЕАЛИЗАЦИЯ[[#This Row],[ЖАМИ]]-РЕАЛИЗАЦИЯ[[#This Row],[ЖАМИ2]]</f>
        <v>0</v>
      </c>
      <c r="L1614" s="31"/>
    </row>
    <row r="1615" spans="3:12" ht="15" customHeight="1" x14ac:dyDescent="0.3">
      <c r="C1615" s="175"/>
      <c r="D1615" s="175"/>
      <c r="G1615" s="50">
        <f>РЕАЛИЗАЦИЯ[[#This Row],[СОНИ]]*РЕАЛИЗАЦИЯ[[#This Row],[НАРХИ]]</f>
        <v>0</v>
      </c>
      <c r="I1615" s="166"/>
      <c r="J1615" s="31">
        <f>РЕАЛИЗАЦИЯ[[#This Row],[СОНИ]]*РЕАЛИЗАЦИЯ[[#This Row],[ТАННАРХ]]</f>
        <v>0</v>
      </c>
      <c r="K1615" s="31">
        <f>РЕАЛИЗАЦИЯ[[#This Row],[ЖАМИ]]-РЕАЛИЗАЦИЯ[[#This Row],[ЖАМИ2]]</f>
        <v>0</v>
      </c>
      <c r="L1615" s="31"/>
    </row>
    <row r="1616" spans="3:12" ht="15" customHeight="1" x14ac:dyDescent="0.3">
      <c r="C1616" s="175"/>
      <c r="D1616" s="175"/>
      <c r="G1616" s="50">
        <f>РЕАЛИЗАЦИЯ[[#This Row],[СОНИ]]*РЕАЛИЗАЦИЯ[[#This Row],[НАРХИ]]</f>
        <v>0</v>
      </c>
      <c r="I1616" s="166"/>
      <c r="J1616" s="31">
        <f>РЕАЛИЗАЦИЯ[[#This Row],[СОНИ]]*РЕАЛИЗАЦИЯ[[#This Row],[ТАННАРХ]]</f>
        <v>0</v>
      </c>
      <c r="K1616" s="31">
        <f>РЕАЛИЗАЦИЯ[[#This Row],[ЖАМИ]]-РЕАЛИЗАЦИЯ[[#This Row],[ЖАМИ2]]</f>
        <v>0</v>
      </c>
      <c r="L1616" s="31"/>
    </row>
    <row r="1617" spans="3:12" ht="15" customHeight="1" x14ac:dyDescent="0.3">
      <c r="C1617" s="175"/>
      <c r="D1617" s="175"/>
      <c r="G1617" s="50">
        <f>РЕАЛИЗАЦИЯ[[#This Row],[СОНИ]]*РЕАЛИЗАЦИЯ[[#This Row],[НАРХИ]]</f>
        <v>0</v>
      </c>
      <c r="I1617" s="166"/>
      <c r="J1617" s="31">
        <f>РЕАЛИЗАЦИЯ[[#This Row],[СОНИ]]*РЕАЛИЗАЦИЯ[[#This Row],[ТАННАРХ]]</f>
        <v>0</v>
      </c>
      <c r="K1617" s="31">
        <f>РЕАЛИЗАЦИЯ[[#This Row],[ЖАМИ]]-РЕАЛИЗАЦИЯ[[#This Row],[ЖАМИ2]]</f>
        <v>0</v>
      </c>
      <c r="L1617" s="31"/>
    </row>
    <row r="1618" spans="3:12" ht="15" customHeight="1" x14ac:dyDescent="0.3">
      <c r="C1618" s="175"/>
      <c r="D1618" s="175"/>
      <c r="G1618" s="50">
        <f>РЕАЛИЗАЦИЯ[[#This Row],[СОНИ]]*РЕАЛИЗАЦИЯ[[#This Row],[НАРХИ]]</f>
        <v>0</v>
      </c>
      <c r="I1618" s="166"/>
      <c r="J1618" s="31">
        <f>РЕАЛИЗАЦИЯ[[#This Row],[СОНИ]]*РЕАЛИЗАЦИЯ[[#This Row],[ТАННАРХ]]</f>
        <v>0</v>
      </c>
      <c r="K1618" s="31">
        <f>РЕАЛИЗАЦИЯ[[#This Row],[ЖАМИ]]-РЕАЛИЗАЦИЯ[[#This Row],[ЖАМИ2]]</f>
        <v>0</v>
      </c>
      <c r="L1618" s="31"/>
    </row>
    <row r="1619" spans="3:12" ht="15" customHeight="1" x14ac:dyDescent="0.3">
      <c r="C1619" s="175"/>
      <c r="D1619" s="175"/>
      <c r="G1619" s="50">
        <f>РЕАЛИЗАЦИЯ[[#This Row],[СОНИ]]*РЕАЛИЗАЦИЯ[[#This Row],[НАРХИ]]</f>
        <v>0</v>
      </c>
      <c r="I1619" s="166"/>
      <c r="J1619" s="31">
        <f>РЕАЛИЗАЦИЯ[[#This Row],[СОНИ]]*РЕАЛИЗАЦИЯ[[#This Row],[ТАННАРХ]]</f>
        <v>0</v>
      </c>
      <c r="K1619" s="31">
        <f>РЕАЛИЗАЦИЯ[[#This Row],[ЖАМИ]]-РЕАЛИЗАЦИЯ[[#This Row],[ЖАМИ2]]</f>
        <v>0</v>
      </c>
      <c r="L1619" s="31"/>
    </row>
    <row r="1620" spans="3:12" ht="15" customHeight="1" x14ac:dyDescent="0.3">
      <c r="C1620" s="175"/>
      <c r="D1620" s="175"/>
      <c r="G1620" s="50">
        <f>РЕАЛИЗАЦИЯ[[#This Row],[СОНИ]]*РЕАЛИЗАЦИЯ[[#This Row],[НАРХИ]]</f>
        <v>0</v>
      </c>
      <c r="I1620" s="166"/>
      <c r="J1620" s="31">
        <f>РЕАЛИЗАЦИЯ[[#This Row],[СОНИ]]*РЕАЛИЗАЦИЯ[[#This Row],[ТАННАРХ]]</f>
        <v>0</v>
      </c>
      <c r="K1620" s="31">
        <f>РЕАЛИЗАЦИЯ[[#This Row],[ЖАМИ]]-РЕАЛИЗАЦИЯ[[#This Row],[ЖАМИ2]]</f>
        <v>0</v>
      </c>
      <c r="L1620" s="31"/>
    </row>
    <row r="1621" spans="3:12" ht="15" customHeight="1" x14ac:dyDescent="0.3">
      <c r="C1621" s="175"/>
      <c r="D1621" s="175"/>
      <c r="G1621" s="50">
        <f>РЕАЛИЗАЦИЯ[[#This Row],[СОНИ]]*РЕАЛИЗАЦИЯ[[#This Row],[НАРХИ]]</f>
        <v>0</v>
      </c>
      <c r="I1621" s="166"/>
      <c r="J1621" s="31">
        <f>РЕАЛИЗАЦИЯ[[#This Row],[СОНИ]]*РЕАЛИЗАЦИЯ[[#This Row],[ТАННАРХ]]</f>
        <v>0</v>
      </c>
      <c r="K1621" s="31">
        <f>РЕАЛИЗАЦИЯ[[#This Row],[ЖАМИ]]-РЕАЛИЗАЦИЯ[[#This Row],[ЖАМИ2]]</f>
        <v>0</v>
      </c>
      <c r="L1621" s="31"/>
    </row>
    <row r="1622" spans="3:12" ht="15" customHeight="1" x14ac:dyDescent="0.3">
      <c r="C1622" s="175"/>
      <c r="D1622" s="175"/>
      <c r="G1622" s="50">
        <f>РЕАЛИЗАЦИЯ[[#This Row],[СОНИ]]*РЕАЛИЗАЦИЯ[[#This Row],[НАРХИ]]</f>
        <v>0</v>
      </c>
      <c r="I1622" s="166"/>
      <c r="J1622" s="31">
        <f>РЕАЛИЗАЦИЯ[[#This Row],[СОНИ]]*РЕАЛИЗАЦИЯ[[#This Row],[ТАННАРХ]]</f>
        <v>0</v>
      </c>
      <c r="K1622" s="31">
        <f>РЕАЛИЗАЦИЯ[[#This Row],[ЖАМИ]]-РЕАЛИЗАЦИЯ[[#This Row],[ЖАМИ2]]</f>
        <v>0</v>
      </c>
      <c r="L1622" s="31"/>
    </row>
    <row r="1623" spans="3:12" ht="15" customHeight="1" x14ac:dyDescent="0.3">
      <c r="C1623" s="175"/>
      <c r="D1623" s="175"/>
      <c r="G1623" s="50">
        <f>РЕАЛИЗАЦИЯ[[#This Row],[СОНИ]]*РЕАЛИЗАЦИЯ[[#This Row],[НАРХИ]]</f>
        <v>0</v>
      </c>
      <c r="I1623" s="166"/>
      <c r="J1623" s="31">
        <f>РЕАЛИЗАЦИЯ[[#This Row],[СОНИ]]*РЕАЛИЗАЦИЯ[[#This Row],[ТАННАРХ]]</f>
        <v>0</v>
      </c>
      <c r="K1623" s="31">
        <f>РЕАЛИЗАЦИЯ[[#This Row],[ЖАМИ]]-РЕАЛИЗАЦИЯ[[#This Row],[ЖАМИ2]]</f>
        <v>0</v>
      </c>
      <c r="L1623" s="31"/>
    </row>
    <row r="1624" spans="3:12" ht="15" customHeight="1" x14ac:dyDescent="0.3">
      <c r="C1624" s="175"/>
      <c r="D1624" s="175"/>
      <c r="G1624" s="50">
        <f>РЕАЛИЗАЦИЯ[[#This Row],[СОНИ]]*РЕАЛИЗАЦИЯ[[#This Row],[НАРХИ]]</f>
        <v>0</v>
      </c>
      <c r="I1624" s="166"/>
      <c r="J1624" s="31">
        <f>РЕАЛИЗАЦИЯ[[#This Row],[СОНИ]]*РЕАЛИЗАЦИЯ[[#This Row],[ТАННАРХ]]</f>
        <v>0</v>
      </c>
      <c r="K1624" s="31">
        <f>РЕАЛИЗАЦИЯ[[#This Row],[ЖАМИ]]-РЕАЛИЗАЦИЯ[[#This Row],[ЖАМИ2]]</f>
        <v>0</v>
      </c>
      <c r="L1624" s="31"/>
    </row>
    <row r="1625" spans="3:12" ht="15" customHeight="1" x14ac:dyDescent="0.3">
      <c r="C1625" s="175"/>
      <c r="D1625" s="175"/>
      <c r="G1625" s="50">
        <f>РЕАЛИЗАЦИЯ[[#This Row],[СОНИ]]*РЕАЛИЗАЦИЯ[[#This Row],[НАРХИ]]</f>
        <v>0</v>
      </c>
      <c r="I1625" s="166"/>
      <c r="J1625" s="31">
        <f>РЕАЛИЗАЦИЯ[[#This Row],[СОНИ]]*РЕАЛИЗАЦИЯ[[#This Row],[ТАННАРХ]]</f>
        <v>0</v>
      </c>
      <c r="K1625" s="31">
        <f>РЕАЛИЗАЦИЯ[[#This Row],[ЖАМИ]]-РЕАЛИЗАЦИЯ[[#This Row],[ЖАМИ2]]</f>
        <v>0</v>
      </c>
      <c r="L1625" s="31"/>
    </row>
    <row r="1626" spans="3:12" ht="15" customHeight="1" x14ac:dyDescent="0.3">
      <c r="C1626" s="175"/>
      <c r="D1626" s="175"/>
      <c r="G1626" s="50">
        <f>РЕАЛИЗАЦИЯ[[#This Row],[СОНИ]]*РЕАЛИЗАЦИЯ[[#This Row],[НАРХИ]]</f>
        <v>0</v>
      </c>
      <c r="I1626" s="166"/>
      <c r="J1626" s="31">
        <f>РЕАЛИЗАЦИЯ[[#This Row],[СОНИ]]*РЕАЛИЗАЦИЯ[[#This Row],[ТАННАРХ]]</f>
        <v>0</v>
      </c>
      <c r="K1626" s="31">
        <f>РЕАЛИЗАЦИЯ[[#This Row],[ЖАМИ]]-РЕАЛИЗАЦИЯ[[#This Row],[ЖАМИ2]]</f>
        <v>0</v>
      </c>
      <c r="L1626" s="31"/>
    </row>
    <row r="1627" spans="3:12" ht="15" customHeight="1" x14ac:dyDescent="0.3">
      <c r="C1627" s="175"/>
      <c r="D1627" s="175"/>
      <c r="G1627" s="50">
        <f>РЕАЛИЗАЦИЯ[[#This Row],[СОНИ]]*РЕАЛИЗАЦИЯ[[#This Row],[НАРХИ]]</f>
        <v>0</v>
      </c>
      <c r="I1627" s="166"/>
      <c r="J1627" s="31">
        <f>РЕАЛИЗАЦИЯ[[#This Row],[СОНИ]]*РЕАЛИЗАЦИЯ[[#This Row],[ТАННАРХ]]</f>
        <v>0</v>
      </c>
      <c r="K1627" s="31">
        <f>РЕАЛИЗАЦИЯ[[#This Row],[ЖАМИ]]-РЕАЛИЗАЦИЯ[[#This Row],[ЖАМИ2]]</f>
        <v>0</v>
      </c>
      <c r="L1627" s="31"/>
    </row>
    <row r="1628" spans="3:12" ht="15" customHeight="1" x14ac:dyDescent="0.3">
      <c r="C1628" s="175"/>
      <c r="D1628" s="175"/>
      <c r="G1628" s="50">
        <f>РЕАЛИЗАЦИЯ[[#This Row],[СОНИ]]*РЕАЛИЗАЦИЯ[[#This Row],[НАРХИ]]</f>
        <v>0</v>
      </c>
      <c r="I1628" s="166"/>
      <c r="J1628" s="31">
        <f>РЕАЛИЗАЦИЯ[[#This Row],[СОНИ]]*РЕАЛИЗАЦИЯ[[#This Row],[ТАННАРХ]]</f>
        <v>0</v>
      </c>
      <c r="K1628" s="31">
        <f>РЕАЛИЗАЦИЯ[[#This Row],[ЖАМИ]]-РЕАЛИЗАЦИЯ[[#This Row],[ЖАМИ2]]</f>
        <v>0</v>
      </c>
      <c r="L1628" s="31"/>
    </row>
    <row r="1629" spans="3:12" ht="15" customHeight="1" x14ac:dyDescent="0.3">
      <c r="C1629" s="175"/>
      <c r="D1629" s="175"/>
      <c r="G1629" s="50">
        <f>РЕАЛИЗАЦИЯ[[#This Row],[СОНИ]]*РЕАЛИЗАЦИЯ[[#This Row],[НАРХИ]]</f>
        <v>0</v>
      </c>
      <c r="I1629" s="166"/>
      <c r="J1629" s="31">
        <f>РЕАЛИЗАЦИЯ[[#This Row],[СОНИ]]*РЕАЛИЗАЦИЯ[[#This Row],[ТАННАРХ]]</f>
        <v>0</v>
      </c>
      <c r="K1629" s="31">
        <f>РЕАЛИЗАЦИЯ[[#This Row],[ЖАМИ]]-РЕАЛИЗАЦИЯ[[#This Row],[ЖАМИ2]]</f>
        <v>0</v>
      </c>
      <c r="L1629" s="31"/>
    </row>
    <row r="1630" spans="3:12" ht="15" customHeight="1" x14ac:dyDescent="0.3">
      <c r="C1630" s="175"/>
      <c r="D1630" s="175"/>
      <c r="G1630" s="50">
        <f>РЕАЛИЗАЦИЯ[[#This Row],[СОНИ]]*РЕАЛИЗАЦИЯ[[#This Row],[НАРХИ]]</f>
        <v>0</v>
      </c>
      <c r="I1630" s="166"/>
      <c r="J1630" s="31">
        <f>РЕАЛИЗАЦИЯ[[#This Row],[СОНИ]]*РЕАЛИЗАЦИЯ[[#This Row],[ТАННАРХ]]</f>
        <v>0</v>
      </c>
      <c r="K1630" s="31">
        <f>РЕАЛИЗАЦИЯ[[#This Row],[ЖАМИ]]-РЕАЛИЗАЦИЯ[[#This Row],[ЖАМИ2]]</f>
        <v>0</v>
      </c>
      <c r="L1630" s="31"/>
    </row>
    <row r="1631" spans="3:12" ht="15" customHeight="1" x14ac:dyDescent="0.3">
      <c r="C1631" s="175"/>
      <c r="D1631" s="175"/>
      <c r="G1631" s="50">
        <f>РЕАЛИЗАЦИЯ[[#This Row],[СОНИ]]*РЕАЛИЗАЦИЯ[[#This Row],[НАРХИ]]</f>
        <v>0</v>
      </c>
      <c r="I1631" s="166"/>
      <c r="J1631" s="31">
        <f>РЕАЛИЗАЦИЯ[[#This Row],[СОНИ]]*РЕАЛИЗАЦИЯ[[#This Row],[ТАННАРХ]]</f>
        <v>0</v>
      </c>
      <c r="K1631" s="31">
        <f>РЕАЛИЗАЦИЯ[[#This Row],[ЖАМИ]]-РЕАЛИЗАЦИЯ[[#This Row],[ЖАМИ2]]</f>
        <v>0</v>
      </c>
      <c r="L1631" s="31"/>
    </row>
    <row r="1632" spans="3:12" ht="15" customHeight="1" x14ac:dyDescent="0.3">
      <c r="C1632" s="175"/>
      <c r="D1632" s="175"/>
      <c r="G1632" s="50">
        <f>РЕАЛИЗАЦИЯ[[#This Row],[СОНИ]]*РЕАЛИЗАЦИЯ[[#This Row],[НАРХИ]]</f>
        <v>0</v>
      </c>
      <c r="I1632" s="166"/>
      <c r="J1632" s="31">
        <f>РЕАЛИЗАЦИЯ[[#This Row],[СОНИ]]*РЕАЛИЗАЦИЯ[[#This Row],[ТАННАРХ]]</f>
        <v>0</v>
      </c>
      <c r="K1632" s="31">
        <f>РЕАЛИЗАЦИЯ[[#This Row],[ЖАМИ]]-РЕАЛИЗАЦИЯ[[#This Row],[ЖАМИ2]]</f>
        <v>0</v>
      </c>
      <c r="L1632" s="31"/>
    </row>
    <row r="1633" spans="3:12" ht="15" customHeight="1" x14ac:dyDescent="0.3">
      <c r="C1633" s="175"/>
      <c r="D1633" s="175"/>
      <c r="G1633" s="50">
        <f>РЕАЛИЗАЦИЯ[[#This Row],[СОНИ]]*РЕАЛИЗАЦИЯ[[#This Row],[НАРХИ]]</f>
        <v>0</v>
      </c>
      <c r="I1633" s="166"/>
      <c r="J1633" s="31">
        <f>РЕАЛИЗАЦИЯ[[#This Row],[СОНИ]]*РЕАЛИЗАЦИЯ[[#This Row],[ТАННАРХ]]</f>
        <v>0</v>
      </c>
      <c r="K1633" s="31">
        <f>РЕАЛИЗАЦИЯ[[#This Row],[ЖАМИ]]-РЕАЛИЗАЦИЯ[[#This Row],[ЖАМИ2]]</f>
        <v>0</v>
      </c>
      <c r="L1633" s="31"/>
    </row>
    <row r="1634" spans="3:12" ht="15" customHeight="1" x14ac:dyDescent="0.3">
      <c r="C1634" s="175"/>
      <c r="D1634" s="175"/>
      <c r="G1634" s="50">
        <f>РЕАЛИЗАЦИЯ[[#This Row],[СОНИ]]*РЕАЛИЗАЦИЯ[[#This Row],[НАРХИ]]</f>
        <v>0</v>
      </c>
      <c r="I1634" s="166"/>
      <c r="J1634" s="31">
        <f>РЕАЛИЗАЦИЯ[[#This Row],[СОНИ]]*РЕАЛИЗАЦИЯ[[#This Row],[ТАННАРХ]]</f>
        <v>0</v>
      </c>
      <c r="K1634" s="31">
        <f>РЕАЛИЗАЦИЯ[[#This Row],[ЖАМИ]]-РЕАЛИЗАЦИЯ[[#This Row],[ЖАМИ2]]</f>
        <v>0</v>
      </c>
      <c r="L1634" s="31"/>
    </row>
    <row r="1635" spans="3:12" ht="15" customHeight="1" x14ac:dyDescent="0.3">
      <c r="C1635" s="175"/>
      <c r="D1635" s="175"/>
      <c r="G1635" s="50">
        <f>РЕАЛИЗАЦИЯ[[#This Row],[СОНИ]]*РЕАЛИЗАЦИЯ[[#This Row],[НАРХИ]]</f>
        <v>0</v>
      </c>
      <c r="I1635" s="166"/>
      <c r="J1635" s="31">
        <f>РЕАЛИЗАЦИЯ[[#This Row],[СОНИ]]*РЕАЛИЗАЦИЯ[[#This Row],[ТАННАРХ]]</f>
        <v>0</v>
      </c>
      <c r="K1635" s="31">
        <f>РЕАЛИЗАЦИЯ[[#This Row],[ЖАМИ]]-РЕАЛИЗАЦИЯ[[#This Row],[ЖАМИ2]]</f>
        <v>0</v>
      </c>
      <c r="L1635" s="31"/>
    </row>
    <row r="1636" spans="3:12" ht="15" customHeight="1" x14ac:dyDescent="0.3">
      <c r="C1636" s="175"/>
      <c r="D1636" s="175"/>
      <c r="G1636" s="50">
        <f>РЕАЛИЗАЦИЯ[[#This Row],[СОНИ]]*РЕАЛИЗАЦИЯ[[#This Row],[НАРХИ]]</f>
        <v>0</v>
      </c>
      <c r="I1636" s="166"/>
      <c r="J1636" s="31">
        <f>РЕАЛИЗАЦИЯ[[#This Row],[СОНИ]]*РЕАЛИЗАЦИЯ[[#This Row],[ТАННАРХ]]</f>
        <v>0</v>
      </c>
      <c r="K1636" s="31">
        <f>РЕАЛИЗАЦИЯ[[#This Row],[ЖАМИ]]-РЕАЛИЗАЦИЯ[[#This Row],[ЖАМИ2]]</f>
        <v>0</v>
      </c>
      <c r="L1636" s="31"/>
    </row>
    <row r="1637" spans="3:12" ht="15" customHeight="1" x14ac:dyDescent="0.3">
      <c r="C1637" s="175"/>
      <c r="D1637" s="175"/>
      <c r="G1637" s="50">
        <f>РЕАЛИЗАЦИЯ[[#This Row],[СОНИ]]*РЕАЛИЗАЦИЯ[[#This Row],[НАРХИ]]</f>
        <v>0</v>
      </c>
      <c r="I1637" s="166"/>
      <c r="J1637" s="31">
        <f>РЕАЛИЗАЦИЯ[[#This Row],[СОНИ]]*РЕАЛИЗАЦИЯ[[#This Row],[ТАННАРХ]]</f>
        <v>0</v>
      </c>
      <c r="K1637" s="31">
        <f>РЕАЛИЗАЦИЯ[[#This Row],[ЖАМИ]]-РЕАЛИЗАЦИЯ[[#This Row],[ЖАМИ2]]</f>
        <v>0</v>
      </c>
      <c r="L1637" s="31"/>
    </row>
    <row r="1638" spans="3:12" ht="15" customHeight="1" x14ac:dyDescent="0.3">
      <c r="C1638" s="175"/>
      <c r="D1638" s="175"/>
      <c r="G1638" s="50">
        <f>РЕАЛИЗАЦИЯ[[#This Row],[СОНИ]]*РЕАЛИЗАЦИЯ[[#This Row],[НАРХИ]]</f>
        <v>0</v>
      </c>
      <c r="I1638" s="166"/>
      <c r="J1638" s="31">
        <f>РЕАЛИЗАЦИЯ[[#This Row],[СОНИ]]*РЕАЛИЗАЦИЯ[[#This Row],[ТАННАРХ]]</f>
        <v>0</v>
      </c>
      <c r="K1638" s="31">
        <f>РЕАЛИЗАЦИЯ[[#This Row],[ЖАМИ]]-РЕАЛИЗАЦИЯ[[#This Row],[ЖАМИ2]]</f>
        <v>0</v>
      </c>
      <c r="L1638" s="31"/>
    </row>
    <row r="1639" spans="3:12" ht="15" customHeight="1" x14ac:dyDescent="0.3">
      <c r="C1639" s="175"/>
      <c r="D1639" s="175"/>
      <c r="G1639" s="50">
        <f>РЕАЛИЗАЦИЯ[[#This Row],[СОНИ]]*РЕАЛИЗАЦИЯ[[#This Row],[НАРХИ]]</f>
        <v>0</v>
      </c>
      <c r="I1639" s="166"/>
      <c r="J1639" s="31">
        <f>РЕАЛИЗАЦИЯ[[#This Row],[СОНИ]]*РЕАЛИЗАЦИЯ[[#This Row],[ТАННАРХ]]</f>
        <v>0</v>
      </c>
      <c r="K1639" s="31">
        <f>РЕАЛИЗАЦИЯ[[#This Row],[ЖАМИ]]-РЕАЛИЗАЦИЯ[[#This Row],[ЖАМИ2]]</f>
        <v>0</v>
      </c>
      <c r="L1639" s="31"/>
    </row>
    <row r="1640" spans="3:12" ht="15" customHeight="1" x14ac:dyDescent="0.3">
      <c r="C1640" s="175"/>
      <c r="D1640" s="175"/>
      <c r="G1640" s="50">
        <f>РЕАЛИЗАЦИЯ[[#This Row],[СОНИ]]*РЕАЛИЗАЦИЯ[[#This Row],[НАРХИ]]</f>
        <v>0</v>
      </c>
      <c r="I1640" s="166"/>
      <c r="J1640" s="31">
        <f>РЕАЛИЗАЦИЯ[[#This Row],[СОНИ]]*РЕАЛИЗАЦИЯ[[#This Row],[ТАННАРХ]]</f>
        <v>0</v>
      </c>
      <c r="K1640" s="31">
        <f>РЕАЛИЗАЦИЯ[[#This Row],[ЖАМИ]]-РЕАЛИЗАЦИЯ[[#This Row],[ЖАМИ2]]</f>
        <v>0</v>
      </c>
      <c r="L1640" s="31"/>
    </row>
    <row r="1641" spans="3:12" ht="15" customHeight="1" x14ac:dyDescent="0.3">
      <c r="C1641" s="175"/>
      <c r="D1641" s="175"/>
      <c r="G1641" s="50">
        <f>РЕАЛИЗАЦИЯ[[#This Row],[СОНИ]]*РЕАЛИЗАЦИЯ[[#This Row],[НАРХИ]]</f>
        <v>0</v>
      </c>
      <c r="I1641" s="166"/>
      <c r="J1641" s="31">
        <f>РЕАЛИЗАЦИЯ[[#This Row],[СОНИ]]*РЕАЛИЗАЦИЯ[[#This Row],[ТАННАРХ]]</f>
        <v>0</v>
      </c>
      <c r="K1641" s="31">
        <f>РЕАЛИЗАЦИЯ[[#This Row],[ЖАМИ]]-РЕАЛИЗАЦИЯ[[#This Row],[ЖАМИ2]]</f>
        <v>0</v>
      </c>
      <c r="L1641" s="31"/>
    </row>
    <row r="1642" spans="3:12" ht="15" customHeight="1" x14ac:dyDescent="0.3">
      <c r="C1642" s="175"/>
      <c r="D1642" s="175"/>
      <c r="G1642" s="50">
        <f>РЕАЛИЗАЦИЯ[[#This Row],[СОНИ]]*РЕАЛИЗАЦИЯ[[#This Row],[НАРХИ]]</f>
        <v>0</v>
      </c>
      <c r="I1642" s="166"/>
      <c r="J1642" s="31">
        <f>РЕАЛИЗАЦИЯ[[#This Row],[СОНИ]]*РЕАЛИЗАЦИЯ[[#This Row],[ТАННАРХ]]</f>
        <v>0</v>
      </c>
      <c r="K1642" s="31">
        <f>РЕАЛИЗАЦИЯ[[#This Row],[ЖАМИ]]-РЕАЛИЗАЦИЯ[[#This Row],[ЖАМИ2]]</f>
        <v>0</v>
      </c>
      <c r="L1642" s="31"/>
    </row>
    <row r="1643" spans="3:12" ht="15" customHeight="1" x14ac:dyDescent="0.3">
      <c r="C1643" s="175"/>
      <c r="D1643" s="175"/>
      <c r="G1643" s="50">
        <f>РЕАЛИЗАЦИЯ[[#This Row],[СОНИ]]*РЕАЛИЗАЦИЯ[[#This Row],[НАРХИ]]</f>
        <v>0</v>
      </c>
      <c r="I1643" s="166"/>
      <c r="J1643" s="31">
        <f>РЕАЛИЗАЦИЯ[[#This Row],[СОНИ]]*РЕАЛИЗАЦИЯ[[#This Row],[ТАННАРХ]]</f>
        <v>0</v>
      </c>
      <c r="K1643" s="31">
        <f>РЕАЛИЗАЦИЯ[[#This Row],[ЖАМИ]]-РЕАЛИЗАЦИЯ[[#This Row],[ЖАМИ2]]</f>
        <v>0</v>
      </c>
      <c r="L1643" s="31"/>
    </row>
    <row r="1644" spans="3:12" ht="15" customHeight="1" x14ac:dyDescent="0.3">
      <c r="C1644" s="175"/>
      <c r="D1644" s="175"/>
      <c r="G1644" s="50">
        <f>РЕАЛИЗАЦИЯ[[#This Row],[СОНИ]]*РЕАЛИЗАЦИЯ[[#This Row],[НАРХИ]]</f>
        <v>0</v>
      </c>
      <c r="I1644" s="166"/>
      <c r="J1644" s="31">
        <f>РЕАЛИЗАЦИЯ[[#This Row],[СОНИ]]*РЕАЛИЗАЦИЯ[[#This Row],[ТАННАРХ]]</f>
        <v>0</v>
      </c>
      <c r="K1644" s="31">
        <f>РЕАЛИЗАЦИЯ[[#This Row],[ЖАМИ]]-РЕАЛИЗАЦИЯ[[#This Row],[ЖАМИ2]]</f>
        <v>0</v>
      </c>
      <c r="L1644" s="31"/>
    </row>
    <row r="1645" spans="3:12" ht="15" customHeight="1" x14ac:dyDescent="0.3">
      <c r="C1645" s="175"/>
      <c r="D1645" s="175"/>
      <c r="G1645" s="50">
        <f>РЕАЛИЗАЦИЯ[[#This Row],[СОНИ]]*РЕАЛИЗАЦИЯ[[#This Row],[НАРХИ]]</f>
        <v>0</v>
      </c>
      <c r="I1645" s="166"/>
      <c r="J1645" s="31">
        <f>РЕАЛИЗАЦИЯ[[#This Row],[СОНИ]]*РЕАЛИЗАЦИЯ[[#This Row],[ТАННАРХ]]</f>
        <v>0</v>
      </c>
      <c r="K1645" s="31">
        <f>РЕАЛИЗАЦИЯ[[#This Row],[ЖАМИ]]-РЕАЛИЗАЦИЯ[[#This Row],[ЖАМИ2]]</f>
        <v>0</v>
      </c>
      <c r="L1645" s="31"/>
    </row>
    <row r="1646" spans="3:12" ht="15" customHeight="1" x14ac:dyDescent="0.3">
      <c r="C1646" s="175"/>
      <c r="D1646" s="175"/>
      <c r="G1646" s="50">
        <f>РЕАЛИЗАЦИЯ[[#This Row],[СОНИ]]*РЕАЛИЗАЦИЯ[[#This Row],[НАРХИ]]</f>
        <v>0</v>
      </c>
      <c r="I1646" s="166"/>
      <c r="J1646" s="31">
        <f>РЕАЛИЗАЦИЯ[[#This Row],[СОНИ]]*РЕАЛИЗАЦИЯ[[#This Row],[ТАННАРХ]]</f>
        <v>0</v>
      </c>
      <c r="K1646" s="31">
        <f>РЕАЛИЗАЦИЯ[[#This Row],[ЖАМИ]]-РЕАЛИЗАЦИЯ[[#This Row],[ЖАМИ2]]</f>
        <v>0</v>
      </c>
      <c r="L1646" s="31"/>
    </row>
    <row r="1647" spans="3:12" ht="15" customHeight="1" x14ac:dyDescent="0.3">
      <c r="C1647" s="175"/>
      <c r="D1647" s="175"/>
      <c r="G1647" s="50">
        <f>РЕАЛИЗАЦИЯ[[#This Row],[СОНИ]]*РЕАЛИЗАЦИЯ[[#This Row],[НАРХИ]]</f>
        <v>0</v>
      </c>
      <c r="I1647" s="166"/>
      <c r="J1647" s="31">
        <f>РЕАЛИЗАЦИЯ[[#This Row],[СОНИ]]*РЕАЛИЗАЦИЯ[[#This Row],[ТАННАРХ]]</f>
        <v>0</v>
      </c>
      <c r="K1647" s="31">
        <f>РЕАЛИЗАЦИЯ[[#This Row],[ЖАМИ]]-РЕАЛИЗАЦИЯ[[#This Row],[ЖАМИ2]]</f>
        <v>0</v>
      </c>
      <c r="L1647" s="31"/>
    </row>
    <row r="1648" spans="3:12" ht="15" customHeight="1" x14ac:dyDescent="0.3">
      <c r="C1648" s="175"/>
      <c r="D1648" s="175"/>
      <c r="G1648" s="50">
        <f>РЕАЛИЗАЦИЯ[[#This Row],[СОНИ]]*РЕАЛИЗАЦИЯ[[#This Row],[НАРХИ]]</f>
        <v>0</v>
      </c>
      <c r="I1648" s="166"/>
      <c r="J1648" s="31">
        <f>РЕАЛИЗАЦИЯ[[#This Row],[СОНИ]]*РЕАЛИЗАЦИЯ[[#This Row],[ТАННАРХ]]</f>
        <v>0</v>
      </c>
      <c r="K1648" s="31">
        <f>РЕАЛИЗАЦИЯ[[#This Row],[ЖАМИ]]-РЕАЛИЗАЦИЯ[[#This Row],[ЖАМИ2]]</f>
        <v>0</v>
      </c>
      <c r="L1648" s="31"/>
    </row>
    <row r="1649" spans="3:12" ht="15" customHeight="1" x14ac:dyDescent="0.3">
      <c r="C1649" s="175"/>
      <c r="D1649" s="175"/>
      <c r="G1649" s="50">
        <f>РЕАЛИЗАЦИЯ[[#This Row],[СОНИ]]*РЕАЛИЗАЦИЯ[[#This Row],[НАРХИ]]</f>
        <v>0</v>
      </c>
      <c r="I1649" s="166"/>
      <c r="J1649" s="31">
        <f>РЕАЛИЗАЦИЯ[[#This Row],[СОНИ]]*РЕАЛИЗАЦИЯ[[#This Row],[ТАННАРХ]]</f>
        <v>0</v>
      </c>
      <c r="K1649" s="31">
        <f>РЕАЛИЗАЦИЯ[[#This Row],[ЖАМИ]]-РЕАЛИЗАЦИЯ[[#This Row],[ЖАМИ2]]</f>
        <v>0</v>
      </c>
      <c r="L1649" s="31"/>
    </row>
    <row r="1650" spans="3:12" ht="15" customHeight="1" x14ac:dyDescent="0.3">
      <c r="C1650" s="175"/>
      <c r="D1650" s="175"/>
      <c r="G1650" s="50">
        <f>РЕАЛИЗАЦИЯ[[#This Row],[СОНИ]]*РЕАЛИЗАЦИЯ[[#This Row],[НАРХИ]]</f>
        <v>0</v>
      </c>
      <c r="I1650" s="166"/>
      <c r="J1650" s="31">
        <f>РЕАЛИЗАЦИЯ[[#This Row],[СОНИ]]*РЕАЛИЗАЦИЯ[[#This Row],[ТАННАРХ]]</f>
        <v>0</v>
      </c>
      <c r="K1650" s="31">
        <f>РЕАЛИЗАЦИЯ[[#This Row],[ЖАМИ]]-РЕАЛИЗАЦИЯ[[#This Row],[ЖАМИ2]]</f>
        <v>0</v>
      </c>
      <c r="L1650" s="31"/>
    </row>
    <row r="1651" spans="3:12" ht="15" customHeight="1" x14ac:dyDescent="0.3">
      <c r="C1651" s="175"/>
      <c r="D1651" s="175"/>
      <c r="G1651" s="50">
        <f>РЕАЛИЗАЦИЯ[[#This Row],[СОНИ]]*РЕАЛИЗАЦИЯ[[#This Row],[НАРХИ]]</f>
        <v>0</v>
      </c>
      <c r="I1651" s="166"/>
      <c r="J1651" s="31">
        <f>РЕАЛИЗАЦИЯ[[#This Row],[СОНИ]]*РЕАЛИЗАЦИЯ[[#This Row],[ТАННАРХ]]</f>
        <v>0</v>
      </c>
      <c r="K1651" s="31">
        <f>РЕАЛИЗАЦИЯ[[#This Row],[ЖАМИ]]-РЕАЛИЗАЦИЯ[[#This Row],[ЖАМИ2]]</f>
        <v>0</v>
      </c>
      <c r="L1651" s="31"/>
    </row>
    <row r="1652" spans="3:12" ht="15" customHeight="1" x14ac:dyDescent="0.3">
      <c r="C1652" s="175"/>
      <c r="D1652" s="175"/>
      <c r="G1652" s="50">
        <f>РЕАЛИЗАЦИЯ[[#This Row],[СОНИ]]*РЕАЛИЗАЦИЯ[[#This Row],[НАРХИ]]</f>
        <v>0</v>
      </c>
      <c r="I1652" s="166"/>
      <c r="J1652" s="31">
        <f>РЕАЛИЗАЦИЯ[[#This Row],[СОНИ]]*РЕАЛИЗАЦИЯ[[#This Row],[ТАННАРХ]]</f>
        <v>0</v>
      </c>
      <c r="K1652" s="31">
        <f>РЕАЛИЗАЦИЯ[[#This Row],[ЖАМИ]]-РЕАЛИЗАЦИЯ[[#This Row],[ЖАМИ2]]</f>
        <v>0</v>
      </c>
      <c r="L1652" s="31"/>
    </row>
    <row r="1653" spans="3:12" ht="15" customHeight="1" x14ac:dyDescent="0.3">
      <c r="C1653" s="175"/>
      <c r="D1653" s="175"/>
      <c r="G1653" s="50">
        <f>РЕАЛИЗАЦИЯ[[#This Row],[СОНИ]]*РЕАЛИЗАЦИЯ[[#This Row],[НАРХИ]]</f>
        <v>0</v>
      </c>
      <c r="I1653" s="166"/>
      <c r="J1653" s="31">
        <f>РЕАЛИЗАЦИЯ[[#This Row],[СОНИ]]*РЕАЛИЗАЦИЯ[[#This Row],[ТАННАРХ]]</f>
        <v>0</v>
      </c>
      <c r="K1653" s="31">
        <f>РЕАЛИЗАЦИЯ[[#This Row],[ЖАМИ]]-РЕАЛИЗАЦИЯ[[#This Row],[ЖАМИ2]]</f>
        <v>0</v>
      </c>
      <c r="L1653" s="31"/>
    </row>
    <row r="1654" spans="3:12" ht="15" customHeight="1" x14ac:dyDescent="0.3">
      <c r="C1654" s="175"/>
      <c r="D1654" s="175"/>
      <c r="G1654" s="50">
        <f>РЕАЛИЗАЦИЯ[[#This Row],[СОНИ]]*РЕАЛИЗАЦИЯ[[#This Row],[НАРХИ]]</f>
        <v>0</v>
      </c>
      <c r="I1654" s="166"/>
      <c r="J1654" s="31">
        <f>РЕАЛИЗАЦИЯ[[#This Row],[СОНИ]]*РЕАЛИЗАЦИЯ[[#This Row],[ТАННАРХ]]</f>
        <v>0</v>
      </c>
      <c r="K1654" s="31">
        <f>РЕАЛИЗАЦИЯ[[#This Row],[ЖАМИ]]-РЕАЛИЗАЦИЯ[[#This Row],[ЖАМИ2]]</f>
        <v>0</v>
      </c>
      <c r="L1654" s="31"/>
    </row>
    <row r="1655" spans="3:12" ht="15" customHeight="1" x14ac:dyDescent="0.3">
      <c r="C1655" s="175"/>
      <c r="D1655" s="175"/>
      <c r="G1655" s="50">
        <f>РЕАЛИЗАЦИЯ[[#This Row],[СОНИ]]*РЕАЛИЗАЦИЯ[[#This Row],[НАРХИ]]</f>
        <v>0</v>
      </c>
      <c r="I1655" s="166"/>
      <c r="J1655" s="31">
        <f>РЕАЛИЗАЦИЯ[[#This Row],[СОНИ]]*РЕАЛИЗАЦИЯ[[#This Row],[ТАННАРХ]]</f>
        <v>0</v>
      </c>
      <c r="K1655" s="31">
        <f>РЕАЛИЗАЦИЯ[[#This Row],[ЖАМИ]]-РЕАЛИЗАЦИЯ[[#This Row],[ЖАМИ2]]</f>
        <v>0</v>
      </c>
      <c r="L1655" s="31"/>
    </row>
    <row r="1656" spans="3:12" ht="15" customHeight="1" x14ac:dyDescent="0.3">
      <c r="C1656" s="175"/>
      <c r="D1656" s="175"/>
      <c r="G1656" s="50">
        <f>РЕАЛИЗАЦИЯ[[#This Row],[СОНИ]]*РЕАЛИЗАЦИЯ[[#This Row],[НАРХИ]]</f>
        <v>0</v>
      </c>
      <c r="I1656" s="166"/>
      <c r="J1656" s="31">
        <f>РЕАЛИЗАЦИЯ[[#This Row],[СОНИ]]*РЕАЛИЗАЦИЯ[[#This Row],[ТАННАРХ]]</f>
        <v>0</v>
      </c>
      <c r="K1656" s="31">
        <f>РЕАЛИЗАЦИЯ[[#This Row],[ЖАМИ]]-РЕАЛИЗАЦИЯ[[#This Row],[ЖАМИ2]]</f>
        <v>0</v>
      </c>
      <c r="L1656" s="31"/>
    </row>
    <row r="1657" spans="3:12" ht="15" customHeight="1" x14ac:dyDescent="0.3">
      <c r="C1657" s="175"/>
      <c r="D1657" s="175"/>
      <c r="G1657" s="50">
        <f>РЕАЛИЗАЦИЯ[[#This Row],[СОНИ]]*РЕАЛИЗАЦИЯ[[#This Row],[НАРХИ]]</f>
        <v>0</v>
      </c>
      <c r="I1657" s="166"/>
      <c r="J1657" s="31">
        <f>РЕАЛИЗАЦИЯ[[#This Row],[СОНИ]]*РЕАЛИЗАЦИЯ[[#This Row],[ТАННАРХ]]</f>
        <v>0</v>
      </c>
      <c r="K1657" s="31">
        <f>РЕАЛИЗАЦИЯ[[#This Row],[ЖАМИ]]-РЕАЛИЗАЦИЯ[[#This Row],[ЖАМИ2]]</f>
        <v>0</v>
      </c>
      <c r="L1657" s="31"/>
    </row>
    <row r="1658" spans="3:12" ht="15" customHeight="1" x14ac:dyDescent="0.3">
      <c r="C1658" s="176"/>
      <c r="D1658" s="176"/>
      <c r="G1658" s="50">
        <f>РЕАЛИЗАЦИЯ[[#This Row],[СОНИ]]*РЕАЛИЗАЦИЯ[[#This Row],[НАРХИ]]</f>
        <v>0</v>
      </c>
      <c r="I1658" s="166"/>
      <c r="J1658" s="31">
        <f>РЕАЛИЗАЦИЯ[[#This Row],[СОНИ]]*РЕАЛИЗАЦИЯ[[#This Row],[ТАННАРХ]]</f>
        <v>0</v>
      </c>
      <c r="K1658" s="31">
        <f>РЕАЛИЗАЦИЯ[[#This Row],[ЖАМИ]]-РЕАЛИЗАЦИЯ[[#This Row],[ЖАМИ2]]</f>
        <v>0</v>
      </c>
      <c r="L1658" s="31"/>
    </row>
    <row r="1659" spans="3:12" ht="15" customHeight="1" x14ac:dyDescent="0.3">
      <c r="C1659" s="176"/>
      <c r="D1659" s="176"/>
      <c r="G1659" s="50">
        <f>РЕАЛИЗАЦИЯ[[#This Row],[СОНИ]]*РЕАЛИЗАЦИЯ[[#This Row],[НАРХИ]]</f>
        <v>0</v>
      </c>
      <c r="I1659" s="166"/>
      <c r="J1659" s="31">
        <f>РЕАЛИЗАЦИЯ[[#This Row],[СОНИ]]*РЕАЛИЗАЦИЯ[[#This Row],[ТАННАРХ]]</f>
        <v>0</v>
      </c>
      <c r="K1659" s="31">
        <f>РЕАЛИЗАЦИЯ[[#This Row],[ЖАМИ]]-РЕАЛИЗАЦИЯ[[#This Row],[ЖАМИ2]]</f>
        <v>0</v>
      </c>
      <c r="L1659" s="31"/>
    </row>
    <row r="1660" spans="3:12" ht="15" customHeight="1" x14ac:dyDescent="0.3">
      <c r="C1660" s="176"/>
      <c r="D1660" s="176"/>
      <c r="G1660" s="50">
        <f>РЕАЛИЗАЦИЯ[[#This Row],[СОНИ]]*РЕАЛИЗАЦИЯ[[#This Row],[НАРХИ]]</f>
        <v>0</v>
      </c>
      <c r="I1660" s="166"/>
      <c r="J1660" s="31">
        <f>РЕАЛИЗАЦИЯ[[#This Row],[СОНИ]]*РЕАЛИЗАЦИЯ[[#This Row],[ТАННАРХ]]</f>
        <v>0</v>
      </c>
      <c r="K1660" s="31">
        <f>РЕАЛИЗАЦИЯ[[#This Row],[ЖАМИ]]-РЕАЛИЗАЦИЯ[[#This Row],[ЖАМИ2]]</f>
        <v>0</v>
      </c>
      <c r="L1660" s="31"/>
    </row>
    <row r="1661" spans="3:12" ht="15" customHeight="1" x14ac:dyDescent="0.3">
      <c r="C1661" s="176"/>
      <c r="D1661" s="176"/>
      <c r="G1661" s="50">
        <f>РЕАЛИЗАЦИЯ[[#This Row],[СОНИ]]*РЕАЛИЗАЦИЯ[[#This Row],[НАРХИ]]</f>
        <v>0</v>
      </c>
      <c r="I1661" s="166"/>
      <c r="J1661" s="31">
        <f>РЕАЛИЗАЦИЯ[[#This Row],[СОНИ]]*РЕАЛИЗАЦИЯ[[#This Row],[ТАННАРХ]]</f>
        <v>0</v>
      </c>
      <c r="K1661" s="31">
        <f>РЕАЛИЗАЦИЯ[[#This Row],[ЖАМИ]]-РЕАЛИЗАЦИЯ[[#This Row],[ЖАМИ2]]</f>
        <v>0</v>
      </c>
      <c r="L1661" s="31"/>
    </row>
    <row r="1662" spans="3:12" ht="15" customHeight="1" x14ac:dyDescent="0.3">
      <c r="C1662" s="176"/>
      <c r="D1662" s="176"/>
      <c r="G1662" s="50">
        <f>РЕАЛИЗАЦИЯ[[#This Row],[СОНИ]]*РЕАЛИЗАЦИЯ[[#This Row],[НАРХИ]]</f>
        <v>0</v>
      </c>
      <c r="I1662" s="166"/>
      <c r="J1662" s="31">
        <f>РЕАЛИЗАЦИЯ[[#This Row],[СОНИ]]*РЕАЛИЗАЦИЯ[[#This Row],[ТАННАРХ]]</f>
        <v>0</v>
      </c>
      <c r="K1662" s="31">
        <f>РЕАЛИЗАЦИЯ[[#This Row],[ЖАМИ]]-РЕАЛИЗАЦИЯ[[#This Row],[ЖАМИ2]]</f>
        <v>0</v>
      </c>
      <c r="L1662" s="31"/>
    </row>
    <row r="1663" spans="3:12" ht="15" customHeight="1" x14ac:dyDescent="0.3">
      <c r="C1663" s="176"/>
      <c r="D1663" s="176"/>
      <c r="G1663" s="50">
        <f>РЕАЛИЗАЦИЯ[[#This Row],[СОНИ]]*РЕАЛИЗАЦИЯ[[#This Row],[НАРХИ]]</f>
        <v>0</v>
      </c>
      <c r="I1663" s="166"/>
      <c r="J1663" s="31">
        <f>РЕАЛИЗАЦИЯ[[#This Row],[СОНИ]]*РЕАЛИЗАЦИЯ[[#This Row],[ТАННАРХ]]</f>
        <v>0</v>
      </c>
      <c r="K1663" s="31">
        <f>РЕАЛИЗАЦИЯ[[#This Row],[ЖАМИ]]-РЕАЛИЗАЦИЯ[[#This Row],[ЖАМИ2]]</f>
        <v>0</v>
      </c>
      <c r="L1663" s="31"/>
    </row>
    <row r="1664" spans="3:12" ht="15" customHeight="1" x14ac:dyDescent="0.3">
      <c r="C1664" s="176"/>
      <c r="D1664" s="176"/>
      <c r="G1664" s="50">
        <f>РЕАЛИЗАЦИЯ[[#This Row],[СОНИ]]*РЕАЛИЗАЦИЯ[[#This Row],[НАРХИ]]</f>
        <v>0</v>
      </c>
      <c r="I1664" s="166"/>
      <c r="J1664" s="31">
        <f>РЕАЛИЗАЦИЯ[[#This Row],[СОНИ]]*РЕАЛИЗАЦИЯ[[#This Row],[ТАННАРХ]]</f>
        <v>0</v>
      </c>
      <c r="K1664" s="31">
        <f>РЕАЛИЗАЦИЯ[[#This Row],[ЖАМИ]]-РЕАЛИЗАЦИЯ[[#This Row],[ЖАМИ2]]</f>
        <v>0</v>
      </c>
      <c r="L1664" s="31"/>
    </row>
    <row r="1665" spans="1:12" ht="15" customHeight="1" x14ac:dyDescent="0.3">
      <c r="C1665" s="176"/>
      <c r="D1665" s="176"/>
      <c r="G1665" s="50">
        <f>РЕАЛИЗАЦИЯ[[#This Row],[СОНИ]]*РЕАЛИЗАЦИЯ[[#This Row],[НАРХИ]]</f>
        <v>0</v>
      </c>
      <c r="I1665" s="166"/>
      <c r="J1665" s="31">
        <f>РЕАЛИЗАЦИЯ[[#This Row],[СОНИ]]*РЕАЛИЗАЦИЯ[[#This Row],[ТАННАРХ]]</f>
        <v>0</v>
      </c>
      <c r="K1665" s="31">
        <f>РЕАЛИЗАЦИЯ[[#This Row],[ЖАМИ]]-РЕАЛИЗАЦИЯ[[#This Row],[ЖАМИ2]]</f>
        <v>0</v>
      </c>
      <c r="L1665" s="31"/>
    </row>
    <row r="1666" spans="1:12" ht="15" customHeight="1" x14ac:dyDescent="0.3">
      <c r="C1666" s="176"/>
      <c r="D1666" s="176"/>
      <c r="G1666" s="50">
        <f>РЕАЛИЗАЦИЯ[[#This Row],[СОНИ]]*РЕАЛИЗАЦИЯ[[#This Row],[НАРХИ]]</f>
        <v>0</v>
      </c>
      <c r="I1666" s="166"/>
      <c r="J1666" s="31">
        <f>РЕАЛИЗАЦИЯ[[#This Row],[СОНИ]]*РЕАЛИЗАЦИЯ[[#This Row],[ТАННАРХ]]</f>
        <v>0</v>
      </c>
      <c r="K1666" s="31">
        <f>РЕАЛИЗАЦИЯ[[#This Row],[ЖАМИ]]-РЕАЛИЗАЦИЯ[[#This Row],[ЖАМИ2]]</f>
        <v>0</v>
      </c>
      <c r="L1666" s="31"/>
    </row>
    <row r="1667" spans="1:12" ht="15" customHeight="1" x14ac:dyDescent="0.3">
      <c r="C1667" s="176"/>
      <c r="D1667" s="176"/>
      <c r="G1667" s="50">
        <f>РЕАЛИЗАЦИЯ[[#This Row],[СОНИ]]*РЕАЛИЗАЦИЯ[[#This Row],[НАРХИ]]</f>
        <v>0</v>
      </c>
      <c r="I1667" s="166"/>
      <c r="J1667" s="31">
        <f>РЕАЛИЗАЦИЯ[[#This Row],[СОНИ]]*РЕАЛИЗАЦИЯ[[#This Row],[ТАННАРХ]]</f>
        <v>0</v>
      </c>
      <c r="K1667" s="31">
        <f>РЕАЛИЗАЦИЯ[[#This Row],[ЖАМИ]]-РЕАЛИЗАЦИЯ[[#This Row],[ЖАМИ2]]</f>
        <v>0</v>
      </c>
      <c r="L1667" s="31"/>
    </row>
    <row r="1668" spans="1:12" ht="15" customHeight="1" x14ac:dyDescent="0.3">
      <c r="C1668" s="176"/>
      <c r="D1668" s="176"/>
      <c r="G1668" s="50">
        <f>РЕАЛИЗАЦИЯ[[#This Row],[СОНИ]]*РЕАЛИЗАЦИЯ[[#This Row],[НАРХИ]]</f>
        <v>0</v>
      </c>
      <c r="I1668" s="44"/>
      <c r="J1668" s="31">
        <f>РЕАЛИЗАЦИЯ[[#This Row],[СОНИ]]*РЕАЛИЗАЦИЯ[[#This Row],[ТАННАРХ]]</f>
        <v>0</v>
      </c>
      <c r="K1668" s="31">
        <f>РЕАЛИЗАЦИЯ[[#This Row],[ЖАМИ]]-РЕАЛИЗАЦИЯ[[#This Row],[ЖАМИ2]]</f>
        <v>0</v>
      </c>
      <c r="L1668" s="31"/>
    </row>
    <row r="1669" spans="1:12" s="176" customFormat="1" ht="15" customHeight="1" x14ac:dyDescent="0.3">
      <c r="A1669" s="3"/>
      <c r="B1669" s="4"/>
      <c r="C1669" s="175"/>
      <c r="D1669" s="175"/>
      <c r="E1669" s="31"/>
      <c r="F1669" s="31"/>
      <c r="G1669" s="50">
        <f>РЕАЛИЗАЦИЯ[[#This Row],[СОНИ]]*РЕАЛИЗАЦИЯ[[#This Row],[НАРХИ]]</f>
        <v>0</v>
      </c>
      <c r="H1669" s="31"/>
      <c r="I1669" s="166"/>
      <c r="J1669" s="31">
        <f>РЕАЛИЗАЦИЯ[[#This Row],[СОНИ]]*РЕАЛИЗАЦИЯ[[#This Row],[ТАННАРХ]]</f>
        <v>0</v>
      </c>
      <c r="K1669" s="31">
        <f>РЕАЛИЗАЦИЯ[[#This Row],[ЖАМИ]]-РЕАЛИЗАЦИЯ[[#This Row],[ЖАМИ2]]</f>
        <v>0</v>
      </c>
      <c r="L1669" s="31"/>
    </row>
    <row r="1670" spans="1:12" s="176" customFormat="1" ht="15" customHeight="1" x14ac:dyDescent="0.3">
      <c r="A1670" s="3"/>
      <c r="B1670" s="4"/>
      <c r="C1670" s="175"/>
      <c r="D1670" s="175"/>
      <c r="E1670" s="31"/>
      <c r="F1670" s="31"/>
      <c r="G1670" s="50">
        <f>РЕАЛИЗАЦИЯ[[#This Row],[СОНИ]]*РЕАЛИЗАЦИЯ[[#This Row],[НАРХИ]]</f>
        <v>0</v>
      </c>
      <c r="H1670" s="31"/>
      <c r="I1670" s="166"/>
      <c r="J1670" s="31">
        <f>РЕАЛИЗАЦИЯ[[#This Row],[СОНИ]]*РЕАЛИЗАЦИЯ[[#This Row],[ТАННАРХ]]</f>
        <v>0</v>
      </c>
      <c r="K1670" s="31">
        <f>РЕАЛИЗАЦИЯ[[#This Row],[ЖАМИ]]-РЕАЛИЗАЦИЯ[[#This Row],[ЖАМИ2]]</f>
        <v>0</v>
      </c>
      <c r="L1670" s="31"/>
    </row>
    <row r="1671" spans="1:12" s="176" customFormat="1" ht="15" customHeight="1" x14ac:dyDescent="0.3">
      <c r="A1671" s="3"/>
      <c r="B1671" s="4"/>
      <c r="C1671" s="175"/>
      <c r="D1671" s="175"/>
      <c r="E1671" s="31"/>
      <c r="F1671" s="31"/>
      <c r="G1671" s="50">
        <f>РЕАЛИЗАЦИЯ[[#This Row],[СОНИ]]*РЕАЛИЗАЦИЯ[[#This Row],[НАРХИ]]</f>
        <v>0</v>
      </c>
      <c r="H1671" s="31"/>
      <c r="I1671" s="166"/>
      <c r="J1671" s="31">
        <f>РЕАЛИЗАЦИЯ[[#This Row],[СОНИ]]*РЕАЛИЗАЦИЯ[[#This Row],[ТАННАРХ]]</f>
        <v>0</v>
      </c>
      <c r="K1671" s="31">
        <f>РЕАЛИЗАЦИЯ[[#This Row],[ЖАМИ]]-РЕАЛИЗАЦИЯ[[#This Row],[ЖАМИ2]]</f>
        <v>0</v>
      </c>
      <c r="L1671" s="31"/>
    </row>
    <row r="1672" spans="1:12" s="176" customFormat="1" ht="15" customHeight="1" x14ac:dyDescent="0.3">
      <c r="A1672" s="3"/>
      <c r="B1672" s="4"/>
      <c r="E1672" s="31"/>
      <c r="F1672" s="31"/>
      <c r="G1672" s="50">
        <f>РЕАЛИЗАЦИЯ[[#This Row],[СОНИ]]*РЕАЛИЗАЦИЯ[[#This Row],[НАРХИ]]</f>
        <v>0</v>
      </c>
      <c r="H1672" s="31"/>
      <c r="I1672" s="166"/>
      <c r="J1672" s="31">
        <f>РЕАЛИЗАЦИЯ[[#This Row],[СОНИ]]*РЕАЛИЗАЦИЯ[[#This Row],[ТАННАРХ]]</f>
        <v>0</v>
      </c>
      <c r="K1672" s="31">
        <f>РЕАЛИЗАЦИЯ[[#This Row],[ЖАМИ]]-РЕАЛИЗАЦИЯ[[#This Row],[ЖАМИ2]]</f>
        <v>0</v>
      </c>
      <c r="L1672" s="31"/>
    </row>
    <row r="1673" spans="1:12" s="176" customFormat="1" ht="15" customHeight="1" x14ac:dyDescent="0.3">
      <c r="A1673" s="3"/>
      <c r="B1673" s="4"/>
      <c r="C1673" s="175"/>
      <c r="D1673" s="175"/>
      <c r="E1673" s="31"/>
      <c r="F1673" s="31"/>
      <c r="G1673" s="50">
        <f>РЕАЛИЗАЦИЯ[[#This Row],[СОНИ]]*РЕАЛИЗАЦИЯ[[#This Row],[НАРХИ]]</f>
        <v>0</v>
      </c>
      <c r="H1673" s="31"/>
      <c r="I1673" s="166"/>
      <c r="J1673" s="31">
        <f>РЕАЛИЗАЦИЯ[[#This Row],[СОНИ]]*РЕАЛИЗАЦИЯ[[#This Row],[ТАННАРХ]]</f>
        <v>0</v>
      </c>
      <c r="K1673" s="31">
        <f>РЕАЛИЗАЦИЯ[[#This Row],[ЖАМИ]]-РЕАЛИЗАЦИЯ[[#This Row],[ЖАМИ2]]</f>
        <v>0</v>
      </c>
      <c r="L1673" s="31"/>
    </row>
    <row r="1674" spans="1:12" s="176" customFormat="1" ht="15" customHeight="1" x14ac:dyDescent="0.3">
      <c r="A1674" s="3"/>
      <c r="B1674" s="4"/>
      <c r="C1674" s="175"/>
      <c r="D1674" s="175"/>
      <c r="E1674" s="31"/>
      <c r="F1674" s="31"/>
      <c r="G1674" s="50">
        <f>РЕАЛИЗАЦИЯ[[#This Row],[СОНИ]]*РЕАЛИЗАЦИЯ[[#This Row],[НАРХИ]]</f>
        <v>0</v>
      </c>
      <c r="H1674" s="31"/>
      <c r="I1674" s="166"/>
      <c r="J1674" s="31">
        <f>РЕАЛИЗАЦИЯ[[#This Row],[СОНИ]]*РЕАЛИЗАЦИЯ[[#This Row],[ТАННАРХ]]</f>
        <v>0</v>
      </c>
      <c r="K1674" s="31">
        <f>РЕАЛИЗАЦИЯ[[#This Row],[ЖАМИ]]-РЕАЛИЗАЦИЯ[[#This Row],[ЖАМИ2]]</f>
        <v>0</v>
      </c>
      <c r="L1674" s="31"/>
    </row>
    <row r="1675" spans="1:12" s="176" customFormat="1" ht="15" customHeight="1" x14ac:dyDescent="0.3">
      <c r="A1675" s="3"/>
      <c r="B1675" s="4"/>
      <c r="C1675" s="175"/>
      <c r="D1675" s="175"/>
      <c r="E1675" s="31"/>
      <c r="F1675" s="31"/>
      <c r="G1675" s="50">
        <f>РЕАЛИЗАЦИЯ[[#This Row],[СОНИ]]*РЕАЛИЗАЦИЯ[[#This Row],[НАРХИ]]</f>
        <v>0</v>
      </c>
      <c r="H1675" s="31"/>
      <c r="I1675" s="166"/>
      <c r="J1675" s="31">
        <f>РЕАЛИЗАЦИЯ[[#This Row],[СОНИ]]*РЕАЛИЗАЦИЯ[[#This Row],[ТАННАРХ]]</f>
        <v>0</v>
      </c>
      <c r="K1675" s="31">
        <f>РЕАЛИЗАЦИЯ[[#This Row],[ЖАМИ]]-РЕАЛИЗАЦИЯ[[#This Row],[ЖАМИ2]]</f>
        <v>0</v>
      </c>
      <c r="L1675" s="31"/>
    </row>
    <row r="1676" spans="1:12" s="176" customFormat="1" ht="15" customHeight="1" x14ac:dyDescent="0.3">
      <c r="A1676" s="3"/>
      <c r="B1676" s="4"/>
      <c r="C1676" s="175"/>
      <c r="D1676" s="175"/>
      <c r="E1676" s="31"/>
      <c r="F1676" s="31"/>
      <c r="G1676" s="50">
        <f>РЕАЛИЗАЦИЯ[[#This Row],[СОНИ]]*РЕАЛИЗАЦИЯ[[#This Row],[НАРХИ]]</f>
        <v>0</v>
      </c>
      <c r="H1676" s="31"/>
      <c r="I1676" s="166"/>
      <c r="J1676" s="31">
        <f>РЕАЛИЗАЦИЯ[[#This Row],[СОНИ]]*РЕАЛИЗАЦИЯ[[#This Row],[ТАННАРХ]]</f>
        <v>0</v>
      </c>
      <c r="K1676" s="31">
        <f>РЕАЛИЗАЦИЯ[[#This Row],[ЖАМИ]]-РЕАЛИЗАЦИЯ[[#This Row],[ЖАМИ2]]</f>
        <v>0</v>
      </c>
      <c r="L1676" s="31"/>
    </row>
    <row r="1677" spans="1:12" s="176" customFormat="1" x14ac:dyDescent="0.3">
      <c r="A1677" s="3"/>
      <c r="B1677" s="4"/>
      <c r="E1677" s="31"/>
      <c r="F1677" s="31"/>
      <c r="G1677" s="50">
        <f>РЕАЛИЗАЦИЯ[[#This Row],[СОНИ]]*РЕАЛИЗАЦИЯ[[#This Row],[НАРХИ]]</f>
        <v>0</v>
      </c>
      <c r="H1677" s="31"/>
      <c r="I1677" s="166"/>
      <c r="J1677" s="31">
        <f>РЕАЛИЗАЦИЯ[[#This Row],[СОНИ]]*РЕАЛИЗАЦИЯ[[#This Row],[ТАННАРХ]]</f>
        <v>0</v>
      </c>
      <c r="K1677" s="31">
        <f>РЕАЛИЗАЦИЯ[[#This Row],[ЖАМИ]]-РЕАЛИЗАЦИЯ[[#This Row],[ЖАМИ2]]</f>
        <v>0</v>
      </c>
      <c r="L1677" s="31"/>
    </row>
    <row r="1678" spans="1:12" ht="15" customHeight="1" x14ac:dyDescent="0.3">
      <c r="C1678" s="175"/>
      <c r="D1678" s="175"/>
      <c r="G1678" s="50">
        <f>РЕАЛИЗАЦИЯ[[#This Row],[СОНИ]]*РЕАЛИЗАЦИЯ[[#This Row],[НАРХИ]]</f>
        <v>0</v>
      </c>
      <c r="I1678" s="166"/>
      <c r="J1678" s="31">
        <f>РЕАЛИЗАЦИЯ[[#This Row],[СОНИ]]*РЕАЛИЗАЦИЯ[[#This Row],[ТАННАРХ]]</f>
        <v>0</v>
      </c>
      <c r="K1678" s="31">
        <f>РЕАЛИЗАЦИЯ[[#This Row],[ЖАМИ]]-РЕАЛИЗАЦИЯ[[#This Row],[ЖАМИ2]]</f>
        <v>0</v>
      </c>
      <c r="L1678" s="31"/>
    </row>
    <row r="1679" spans="1:12" ht="15" customHeight="1" x14ac:dyDescent="0.3">
      <c r="C1679" s="175"/>
      <c r="D1679" s="175"/>
      <c r="G1679" s="50">
        <f>РЕАЛИЗАЦИЯ[[#This Row],[СОНИ]]*РЕАЛИЗАЦИЯ[[#This Row],[НАРХИ]]</f>
        <v>0</v>
      </c>
      <c r="I1679" s="166"/>
      <c r="J1679" s="31">
        <f>РЕАЛИЗАЦИЯ[[#This Row],[СОНИ]]*РЕАЛИЗАЦИЯ[[#This Row],[ТАННАРХ]]</f>
        <v>0</v>
      </c>
      <c r="K1679" s="31">
        <f>РЕАЛИЗАЦИЯ[[#This Row],[ЖАМИ]]-РЕАЛИЗАЦИЯ[[#This Row],[ЖАМИ2]]</f>
        <v>0</v>
      </c>
      <c r="L1679" s="31"/>
    </row>
    <row r="1680" spans="1:12" ht="15" customHeight="1" x14ac:dyDescent="0.3">
      <c r="C1680" s="175"/>
      <c r="D1680" s="175"/>
      <c r="G1680" s="50">
        <f>РЕАЛИЗАЦИЯ[[#This Row],[СОНИ]]*РЕАЛИЗАЦИЯ[[#This Row],[НАРХИ]]</f>
        <v>0</v>
      </c>
      <c r="H1680" s="273"/>
      <c r="I1680" s="166"/>
      <c r="J1680" s="31">
        <f>РЕАЛИЗАЦИЯ[[#This Row],[СОНИ]]*РЕАЛИЗАЦИЯ[[#This Row],[ТАННАРХ]]</f>
        <v>0</v>
      </c>
      <c r="K1680" s="31">
        <f>РЕАЛИЗАЦИЯ[[#This Row],[ЖАМИ]]-РЕАЛИЗАЦИЯ[[#This Row],[ЖАМИ2]]</f>
        <v>0</v>
      </c>
      <c r="L1680" s="31"/>
    </row>
    <row r="1681" spans="3:12" ht="15" customHeight="1" x14ac:dyDescent="0.3">
      <c r="C1681" s="175"/>
      <c r="D1681" s="175"/>
      <c r="G1681" s="50">
        <f>РЕАЛИЗАЦИЯ[[#This Row],[СОНИ]]*РЕАЛИЗАЦИЯ[[#This Row],[НАРХИ]]</f>
        <v>0</v>
      </c>
      <c r="I1681" s="166"/>
      <c r="J1681" s="31">
        <f>РЕАЛИЗАЦИЯ[[#This Row],[СОНИ]]*РЕАЛИЗАЦИЯ[[#This Row],[ТАННАРХ]]</f>
        <v>0</v>
      </c>
      <c r="K1681" s="31">
        <f>РЕАЛИЗАЦИЯ[[#This Row],[ЖАМИ]]-РЕАЛИЗАЦИЯ[[#This Row],[ЖАМИ2]]</f>
        <v>0</v>
      </c>
      <c r="L1681" s="31"/>
    </row>
    <row r="1682" spans="3:12" ht="15" customHeight="1" x14ac:dyDescent="0.3">
      <c r="C1682" s="175"/>
      <c r="D1682" s="175"/>
      <c r="G1682" s="50">
        <f>РЕАЛИЗАЦИЯ[[#This Row],[СОНИ]]*РЕАЛИЗАЦИЯ[[#This Row],[НАРХИ]]</f>
        <v>0</v>
      </c>
      <c r="I1682" s="166"/>
      <c r="J1682" s="31">
        <f>РЕАЛИЗАЦИЯ[[#This Row],[СОНИ]]*РЕАЛИЗАЦИЯ[[#This Row],[ТАННАРХ]]</f>
        <v>0</v>
      </c>
      <c r="K1682" s="31">
        <f>РЕАЛИЗАЦИЯ[[#This Row],[ЖАМИ]]-РЕАЛИЗАЦИЯ[[#This Row],[ЖАМИ2]]</f>
        <v>0</v>
      </c>
      <c r="L1682" s="31"/>
    </row>
    <row r="1683" spans="3:12" ht="15" customHeight="1" x14ac:dyDescent="0.3">
      <c r="C1683" s="175"/>
      <c r="D1683" s="175"/>
      <c r="G1683" s="50">
        <f>РЕАЛИЗАЦИЯ[[#This Row],[СОНИ]]*РЕАЛИЗАЦИЯ[[#This Row],[НАРХИ]]</f>
        <v>0</v>
      </c>
      <c r="I1683" s="166"/>
      <c r="J1683" s="31">
        <f>РЕАЛИЗАЦИЯ[[#This Row],[СОНИ]]*РЕАЛИЗАЦИЯ[[#This Row],[ТАННАРХ]]</f>
        <v>0</v>
      </c>
      <c r="K1683" s="31">
        <f>РЕАЛИЗАЦИЯ[[#This Row],[ЖАМИ]]-РЕАЛИЗАЦИЯ[[#This Row],[ЖАМИ2]]</f>
        <v>0</v>
      </c>
      <c r="L1683" s="31"/>
    </row>
    <row r="1684" spans="3:12" ht="15" customHeight="1" x14ac:dyDescent="0.3">
      <c r="C1684" s="175"/>
      <c r="D1684" s="175"/>
      <c r="G1684" s="50">
        <f>РЕАЛИЗАЦИЯ[[#This Row],[СОНИ]]*РЕАЛИЗАЦИЯ[[#This Row],[НАРХИ]]</f>
        <v>0</v>
      </c>
      <c r="I1684" s="166"/>
      <c r="J1684" s="31">
        <f>РЕАЛИЗАЦИЯ[[#This Row],[СОНИ]]*РЕАЛИЗАЦИЯ[[#This Row],[ТАННАРХ]]</f>
        <v>0</v>
      </c>
      <c r="K1684" s="31">
        <f>РЕАЛИЗАЦИЯ[[#This Row],[ЖАМИ]]-РЕАЛИЗАЦИЯ[[#This Row],[ЖАМИ2]]</f>
        <v>0</v>
      </c>
      <c r="L1684" s="31"/>
    </row>
    <row r="1685" spans="3:12" ht="15" customHeight="1" x14ac:dyDescent="0.3">
      <c r="C1685" s="175"/>
      <c r="D1685" s="175"/>
      <c r="G1685" s="50">
        <f>РЕАЛИЗАЦИЯ[[#This Row],[СОНИ]]*РЕАЛИЗАЦИЯ[[#This Row],[НАРХИ]]</f>
        <v>0</v>
      </c>
      <c r="I1685" s="166"/>
      <c r="J1685" s="31">
        <f>РЕАЛИЗАЦИЯ[[#This Row],[СОНИ]]*РЕАЛИЗАЦИЯ[[#This Row],[ТАННАРХ]]</f>
        <v>0</v>
      </c>
      <c r="K1685" s="31">
        <f>РЕАЛИЗАЦИЯ[[#This Row],[ЖАМИ]]-РЕАЛИЗАЦИЯ[[#This Row],[ЖАМИ2]]</f>
        <v>0</v>
      </c>
      <c r="L1685" s="31"/>
    </row>
    <row r="1686" spans="3:12" ht="15" customHeight="1" x14ac:dyDescent="0.3">
      <c r="C1686" s="175"/>
      <c r="D1686" s="175"/>
      <c r="G1686" s="50">
        <f>РЕАЛИЗАЦИЯ[[#This Row],[СОНИ]]*РЕАЛИЗАЦИЯ[[#This Row],[НАРХИ]]</f>
        <v>0</v>
      </c>
      <c r="I1686" s="166"/>
      <c r="J1686" s="31">
        <f>РЕАЛИЗАЦИЯ[[#This Row],[СОНИ]]*РЕАЛИЗАЦИЯ[[#This Row],[ТАННАРХ]]</f>
        <v>0</v>
      </c>
      <c r="K1686" s="31">
        <f>РЕАЛИЗАЦИЯ[[#This Row],[ЖАМИ]]-РЕАЛИЗАЦИЯ[[#This Row],[ЖАМИ2]]</f>
        <v>0</v>
      </c>
      <c r="L1686" s="31"/>
    </row>
    <row r="1687" spans="3:12" ht="15" customHeight="1" x14ac:dyDescent="0.3">
      <c r="C1687" s="175"/>
      <c r="D1687" s="175"/>
      <c r="G1687" s="50">
        <f>РЕАЛИЗАЦИЯ[[#This Row],[СОНИ]]*РЕАЛИЗАЦИЯ[[#This Row],[НАРХИ]]</f>
        <v>0</v>
      </c>
      <c r="I1687" s="166"/>
      <c r="J1687" s="31">
        <f>РЕАЛИЗАЦИЯ[[#This Row],[СОНИ]]*РЕАЛИЗАЦИЯ[[#This Row],[ТАННАРХ]]</f>
        <v>0</v>
      </c>
      <c r="K1687" s="31">
        <f>РЕАЛИЗАЦИЯ[[#This Row],[ЖАМИ]]-РЕАЛИЗАЦИЯ[[#This Row],[ЖАМИ2]]</f>
        <v>0</v>
      </c>
      <c r="L1687" s="31"/>
    </row>
    <row r="1688" spans="3:12" ht="15" customHeight="1" x14ac:dyDescent="0.3">
      <c r="C1688" s="175"/>
      <c r="D1688" s="175"/>
      <c r="G1688" s="50">
        <f>РЕАЛИЗАЦИЯ[[#This Row],[СОНИ]]*РЕАЛИЗАЦИЯ[[#This Row],[НАРХИ]]</f>
        <v>0</v>
      </c>
      <c r="I1688" s="166"/>
      <c r="J1688" s="31">
        <f>РЕАЛИЗАЦИЯ[[#This Row],[СОНИ]]*РЕАЛИЗАЦИЯ[[#This Row],[ТАННАРХ]]</f>
        <v>0</v>
      </c>
      <c r="K1688" s="31">
        <f>РЕАЛИЗАЦИЯ[[#This Row],[ЖАМИ]]-РЕАЛИЗАЦИЯ[[#This Row],[ЖАМИ2]]</f>
        <v>0</v>
      </c>
      <c r="L1688" s="31"/>
    </row>
    <row r="1689" spans="3:12" ht="15" customHeight="1" x14ac:dyDescent="0.3">
      <c r="C1689" s="175"/>
      <c r="D1689" s="175"/>
      <c r="G1689" s="50">
        <f>РЕАЛИЗАЦИЯ[[#This Row],[СОНИ]]*РЕАЛИЗАЦИЯ[[#This Row],[НАРХИ]]</f>
        <v>0</v>
      </c>
      <c r="I1689" s="166"/>
      <c r="J1689" s="31">
        <f>РЕАЛИЗАЦИЯ[[#This Row],[СОНИ]]*РЕАЛИЗАЦИЯ[[#This Row],[ТАННАРХ]]</f>
        <v>0</v>
      </c>
      <c r="K1689" s="31">
        <f>РЕАЛИЗАЦИЯ[[#This Row],[ЖАМИ]]-РЕАЛИЗАЦИЯ[[#This Row],[ЖАМИ2]]</f>
        <v>0</v>
      </c>
      <c r="L1689" s="31"/>
    </row>
    <row r="1690" spans="3:12" ht="15" customHeight="1" x14ac:dyDescent="0.3">
      <c r="C1690" s="175"/>
      <c r="D1690" s="175"/>
      <c r="G1690" s="50">
        <f>РЕАЛИЗАЦИЯ[[#This Row],[СОНИ]]*РЕАЛИЗАЦИЯ[[#This Row],[НАРХИ]]</f>
        <v>0</v>
      </c>
      <c r="I1690" s="166"/>
      <c r="J1690" s="31">
        <f>РЕАЛИЗАЦИЯ[[#This Row],[СОНИ]]*РЕАЛИЗАЦИЯ[[#This Row],[ТАННАРХ]]</f>
        <v>0</v>
      </c>
      <c r="K1690" s="31">
        <f>РЕАЛИЗАЦИЯ[[#This Row],[ЖАМИ]]-РЕАЛИЗАЦИЯ[[#This Row],[ЖАМИ2]]</f>
        <v>0</v>
      </c>
      <c r="L1690" s="31"/>
    </row>
    <row r="1691" spans="3:12" ht="15" customHeight="1" x14ac:dyDescent="0.3">
      <c r="C1691" s="175"/>
      <c r="D1691" s="175"/>
      <c r="G1691" s="50">
        <f>РЕАЛИЗАЦИЯ[[#This Row],[СОНИ]]*РЕАЛИЗАЦИЯ[[#This Row],[НАРХИ]]</f>
        <v>0</v>
      </c>
      <c r="I1691" s="166"/>
      <c r="J1691" s="31">
        <f>РЕАЛИЗАЦИЯ[[#This Row],[СОНИ]]*РЕАЛИЗАЦИЯ[[#This Row],[ТАННАРХ]]</f>
        <v>0</v>
      </c>
      <c r="K1691" s="31">
        <f>РЕАЛИЗАЦИЯ[[#This Row],[ЖАМИ]]-РЕАЛИЗАЦИЯ[[#This Row],[ЖАМИ2]]</f>
        <v>0</v>
      </c>
      <c r="L1691" s="31"/>
    </row>
    <row r="1692" spans="3:12" ht="15" customHeight="1" x14ac:dyDescent="0.3">
      <c r="C1692" s="175"/>
      <c r="D1692" s="175"/>
      <c r="G1692" s="50">
        <f>РЕАЛИЗАЦИЯ[[#This Row],[СОНИ]]*РЕАЛИЗАЦИЯ[[#This Row],[НАРХИ]]</f>
        <v>0</v>
      </c>
      <c r="I1692" s="166"/>
      <c r="J1692" s="31">
        <f>РЕАЛИЗАЦИЯ[[#This Row],[СОНИ]]*РЕАЛИЗАЦИЯ[[#This Row],[ТАННАРХ]]</f>
        <v>0</v>
      </c>
      <c r="K1692" s="31">
        <f>РЕАЛИЗАЦИЯ[[#This Row],[ЖАМИ]]-РЕАЛИЗАЦИЯ[[#This Row],[ЖАМИ2]]</f>
        <v>0</v>
      </c>
      <c r="L1692" s="31"/>
    </row>
    <row r="1693" spans="3:12" ht="15" customHeight="1" x14ac:dyDescent="0.3">
      <c r="C1693" s="175"/>
      <c r="D1693" s="175"/>
      <c r="G1693" s="50">
        <f>РЕАЛИЗАЦИЯ[[#This Row],[СОНИ]]*РЕАЛИЗАЦИЯ[[#This Row],[НАРХИ]]</f>
        <v>0</v>
      </c>
      <c r="I1693" s="166"/>
      <c r="J1693" s="31">
        <f>РЕАЛИЗАЦИЯ[[#This Row],[СОНИ]]*РЕАЛИЗАЦИЯ[[#This Row],[ТАННАРХ]]</f>
        <v>0</v>
      </c>
      <c r="K1693" s="31">
        <f>РЕАЛИЗАЦИЯ[[#This Row],[ЖАМИ]]-РЕАЛИЗАЦИЯ[[#This Row],[ЖАМИ2]]</f>
        <v>0</v>
      </c>
      <c r="L1693" s="31"/>
    </row>
    <row r="1694" spans="3:12" ht="15" customHeight="1" x14ac:dyDescent="0.3">
      <c r="C1694" s="175"/>
      <c r="D1694" s="175"/>
      <c r="G1694" s="50">
        <f>РЕАЛИЗАЦИЯ[[#This Row],[СОНИ]]*РЕАЛИЗАЦИЯ[[#This Row],[НАРХИ]]</f>
        <v>0</v>
      </c>
      <c r="I1694" s="166"/>
      <c r="J1694" s="31">
        <f>РЕАЛИЗАЦИЯ[[#This Row],[СОНИ]]*РЕАЛИЗАЦИЯ[[#This Row],[ТАННАРХ]]</f>
        <v>0</v>
      </c>
      <c r="K1694" s="31">
        <f>РЕАЛИЗАЦИЯ[[#This Row],[ЖАМИ]]-РЕАЛИЗАЦИЯ[[#This Row],[ЖАМИ2]]</f>
        <v>0</v>
      </c>
      <c r="L1694" s="31"/>
    </row>
    <row r="1695" spans="3:12" x14ac:dyDescent="0.3">
      <c r="C1695" s="175"/>
      <c r="D1695" s="175"/>
      <c r="G1695" s="50">
        <f>РЕАЛИЗАЦИЯ[[#This Row],[СОНИ]]*РЕАЛИЗАЦИЯ[[#This Row],[НАРХИ]]</f>
        <v>0</v>
      </c>
      <c r="I1695" s="166"/>
      <c r="J1695" s="31">
        <f>РЕАЛИЗАЦИЯ[[#This Row],[СОНИ]]*РЕАЛИЗАЦИЯ[[#This Row],[ТАННАРХ]]</f>
        <v>0</v>
      </c>
      <c r="K1695" s="31">
        <f>РЕАЛИЗАЦИЯ[[#This Row],[ЖАМИ]]-РЕАЛИЗАЦИЯ[[#This Row],[ЖАМИ2]]</f>
        <v>0</v>
      </c>
      <c r="L1695" s="31"/>
    </row>
    <row r="1696" spans="3:12" ht="15" customHeight="1" x14ac:dyDescent="0.3">
      <c r="C1696" s="175"/>
      <c r="D1696" s="175"/>
      <c r="G1696" s="50">
        <f>РЕАЛИЗАЦИЯ[[#This Row],[СОНИ]]*РЕАЛИЗАЦИЯ[[#This Row],[НАРХИ]]</f>
        <v>0</v>
      </c>
      <c r="I1696" s="166"/>
      <c r="J1696" s="31">
        <f>РЕАЛИЗАЦИЯ[[#This Row],[СОНИ]]*РЕАЛИЗАЦИЯ[[#This Row],[ТАННАРХ]]</f>
        <v>0</v>
      </c>
      <c r="K1696" s="31">
        <f>РЕАЛИЗАЦИЯ[[#This Row],[ЖАМИ]]-РЕАЛИЗАЦИЯ[[#This Row],[ЖАМИ2]]</f>
        <v>0</v>
      </c>
      <c r="L1696" s="31"/>
    </row>
    <row r="1697" spans="3:12" ht="15" customHeight="1" x14ac:dyDescent="0.3">
      <c r="C1697" s="175"/>
      <c r="D1697" s="175"/>
      <c r="G1697" s="50">
        <f>РЕАЛИЗАЦИЯ[[#This Row],[СОНИ]]*РЕАЛИЗАЦИЯ[[#This Row],[НАРХИ]]</f>
        <v>0</v>
      </c>
      <c r="I1697" s="166"/>
      <c r="J1697" s="31">
        <f>РЕАЛИЗАЦИЯ[[#This Row],[СОНИ]]*РЕАЛИЗАЦИЯ[[#This Row],[ТАННАРХ]]</f>
        <v>0</v>
      </c>
      <c r="K1697" s="31">
        <f>РЕАЛИЗАЦИЯ[[#This Row],[ЖАМИ]]-РЕАЛИЗАЦИЯ[[#This Row],[ЖАМИ2]]</f>
        <v>0</v>
      </c>
      <c r="L1697" s="31"/>
    </row>
    <row r="1698" spans="3:12" ht="15" customHeight="1" x14ac:dyDescent="0.3">
      <c r="C1698" s="176"/>
      <c r="D1698" s="176"/>
      <c r="G1698" s="50">
        <f>РЕАЛИЗАЦИЯ[[#This Row],[СОНИ]]*РЕАЛИЗАЦИЯ[[#This Row],[НАРХИ]]</f>
        <v>0</v>
      </c>
      <c r="I1698" s="166"/>
      <c r="J1698" s="31">
        <f>РЕАЛИЗАЦИЯ[[#This Row],[СОНИ]]*РЕАЛИЗАЦИЯ[[#This Row],[ТАННАРХ]]</f>
        <v>0</v>
      </c>
      <c r="K1698" s="31">
        <f>РЕАЛИЗАЦИЯ[[#This Row],[ЖАМИ]]-РЕАЛИЗАЦИЯ[[#This Row],[ЖАМИ2]]</f>
        <v>0</v>
      </c>
      <c r="L1698" s="31"/>
    </row>
    <row r="1699" spans="3:12" ht="15" customHeight="1" x14ac:dyDescent="0.3">
      <c r="C1699" s="176"/>
      <c r="D1699" s="176"/>
      <c r="G1699" s="50">
        <f>РЕАЛИЗАЦИЯ[[#This Row],[СОНИ]]*РЕАЛИЗАЦИЯ[[#This Row],[НАРХИ]]</f>
        <v>0</v>
      </c>
      <c r="I1699" s="166"/>
      <c r="J1699" s="31">
        <f>РЕАЛИЗАЦИЯ[[#This Row],[СОНИ]]*РЕАЛИЗАЦИЯ[[#This Row],[ТАННАРХ]]</f>
        <v>0</v>
      </c>
      <c r="K1699" s="31">
        <f>РЕАЛИЗАЦИЯ[[#This Row],[ЖАМИ]]-РЕАЛИЗАЦИЯ[[#This Row],[ЖАМИ2]]</f>
        <v>0</v>
      </c>
      <c r="L1699" s="31"/>
    </row>
    <row r="1700" spans="3:12" ht="15" customHeight="1" x14ac:dyDescent="0.3">
      <c r="C1700" s="177"/>
      <c r="D1700" s="177"/>
      <c r="G1700" s="50">
        <f>РЕАЛИЗАЦИЯ[[#This Row],[СОНИ]]*РЕАЛИЗАЦИЯ[[#This Row],[НАРХИ]]</f>
        <v>0</v>
      </c>
      <c r="I1700" s="166"/>
      <c r="J1700" s="31">
        <f>РЕАЛИЗАЦИЯ[[#This Row],[СОНИ]]*РЕАЛИЗАЦИЯ[[#This Row],[ТАННАРХ]]</f>
        <v>0</v>
      </c>
      <c r="K1700" s="31">
        <f>РЕАЛИЗАЦИЯ[[#This Row],[ЖАМИ]]-РЕАЛИЗАЦИЯ[[#This Row],[ЖАМИ2]]</f>
        <v>0</v>
      </c>
      <c r="L1700" s="31"/>
    </row>
    <row r="1701" spans="3:12" ht="15" customHeight="1" x14ac:dyDescent="0.3">
      <c r="C1701" s="177"/>
      <c r="D1701" s="177"/>
      <c r="G1701" s="50">
        <f>РЕАЛИЗАЦИЯ[[#This Row],[СОНИ]]*РЕАЛИЗАЦИЯ[[#This Row],[НАРХИ]]</f>
        <v>0</v>
      </c>
      <c r="I1701" s="166"/>
      <c r="J1701" s="31">
        <f>РЕАЛИЗАЦИЯ[[#This Row],[СОНИ]]*РЕАЛИЗАЦИЯ[[#This Row],[ТАННАРХ]]</f>
        <v>0</v>
      </c>
      <c r="K1701" s="31">
        <f>РЕАЛИЗАЦИЯ[[#This Row],[ЖАМИ]]-РЕАЛИЗАЦИЯ[[#This Row],[ЖАМИ2]]</f>
        <v>0</v>
      </c>
      <c r="L1701" s="31"/>
    </row>
    <row r="1702" spans="3:12" ht="15" customHeight="1" x14ac:dyDescent="0.3">
      <c r="C1702" s="176"/>
      <c r="D1702" s="176"/>
      <c r="G1702" s="50">
        <f>РЕАЛИЗАЦИЯ[[#This Row],[СОНИ]]*РЕАЛИЗАЦИЯ[[#This Row],[НАРХИ]]</f>
        <v>0</v>
      </c>
      <c r="I1702" s="166"/>
      <c r="J1702" s="31">
        <f>РЕАЛИЗАЦИЯ[[#This Row],[СОНИ]]*РЕАЛИЗАЦИЯ[[#This Row],[ТАННАРХ]]</f>
        <v>0</v>
      </c>
      <c r="K1702" s="31">
        <f>РЕАЛИЗАЦИЯ[[#This Row],[ЖАМИ]]-РЕАЛИЗАЦИЯ[[#This Row],[ЖАМИ2]]</f>
        <v>0</v>
      </c>
      <c r="L1702" s="31"/>
    </row>
    <row r="1703" spans="3:12" ht="15" customHeight="1" x14ac:dyDescent="0.3">
      <c r="C1703" s="176"/>
      <c r="D1703" s="176"/>
      <c r="G1703" s="50">
        <f>РЕАЛИЗАЦИЯ[[#This Row],[СОНИ]]*РЕАЛИЗАЦИЯ[[#This Row],[НАРХИ]]</f>
        <v>0</v>
      </c>
      <c r="I1703" s="166"/>
      <c r="J1703" s="31">
        <f>РЕАЛИЗАЦИЯ[[#This Row],[СОНИ]]*РЕАЛИЗАЦИЯ[[#This Row],[ТАННАРХ]]</f>
        <v>0</v>
      </c>
      <c r="K1703" s="31">
        <f>РЕАЛИЗАЦИЯ[[#This Row],[ЖАМИ]]-РЕАЛИЗАЦИЯ[[#This Row],[ЖАМИ2]]</f>
        <v>0</v>
      </c>
      <c r="L1703" s="31"/>
    </row>
    <row r="1704" spans="3:12" ht="15" customHeight="1" x14ac:dyDescent="0.3">
      <c r="C1704" s="176"/>
      <c r="D1704" s="176"/>
      <c r="G1704" s="50">
        <f>РЕАЛИЗАЦИЯ[[#This Row],[СОНИ]]*РЕАЛИЗАЦИЯ[[#This Row],[НАРХИ]]</f>
        <v>0</v>
      </c>
      <c r="I1704" s="166"/>
      <c r="J1704" s="31">
        <f>РЕАЛИЗАЦИЯ[[#This Row],[СОНИ]]*РЕАЛИЗАЦИЯ[[#This Row],[ТАННАРХ]]</f>
        <v>0</v>
      </c>
      <c r="K1704" s="31">
        <f>РЕАЛИЗАЦИЯ[[#This Row],[ЖАМИ]]-РЕАЛИЗАЦИЯ[[#This Row],[ЖАМИ2]]</f>
        <v>0</v>
      </c>
      <c r="L1704" s="31"/>
    </row>
    <row r="1705" spans="3:12" ht="15" customHeight="1" x14ac:dyDescent="0.3">
      <c r="C1705" s="176"/>
      <c r="D1705" s="176"/>
      <c r="G1705" s="50">
        <f>РЕАЛИЗАЦИЯ[[#This Row],[СОНИ]]*РЕАЛИЗАЦИЯ[[#This Row],[НАРХИ]]</f>
        <v>0</v>
      </c>
      <c r="I1705" s="166"/>
      <c r="J1705" s="31">
        <f>РЕАЛИЗАЦИЯ[[#This Row],[СОНИ]]*РЕАЛИЗАЦИЯ[[#This Row],[ТАННАРХ]]</f>
        <v>0</v>
      </c>
      <c r="K1705" s="31">
        <f>РЕАЛИЗАЦИЯ[[#This Row],[ЖАМИ]]-РЕАЛИЗАЦИЯ[[#This Row],[ЖАМИ2]]</f>
        <v>0</v>
      </c>
      <c r="L1705" s="31"/>
    </row>
    <row r="1706" spans="3:12" ht="15" customHeight="1" x14ac:dyDescent="0.3">
      <c r="C1706" s="176"/>
      <c r="D1706" s="176"/>
      <c r="G1706" s="50">
        <f>РЕАЛИЗАЦИЯ[[#This Row],[СОНИ]]*РЕАЛИЗАЦИЯ[[#This Row],[НАРХИ]]</f>
        <v>0</v>
      </c>
      <c r="I1706" s="166"/>
      <c r="J1706" s="31">
        <f>РЕАЛИЗАЦИЯ[[#This Row],[СОНИ]]*РЕАЛИЗАЦИЯ[[#This Row],[ТАННАРХ]]</f>
        <v>0</v>
      </c>
      <c r="K1706" s="31">
        <f>РЕАЛИЗАЦИЯ[[#This Row],[ЖАМИ]]-РЕАЛИЗАЦИЯ[[#This Row],[ЖАМИ2]]</f>
        <v>0</v>
      </c>
      <c r="L1706" s="31"/>
    </row>
    <row r="1707" spans="3:12" ht="15" customHeight="1" x14ac:dyDescent="0.3">
      <c r="C1707" s="176"/>
      <c r="D1707" s="176"/>
      <c r="G1707" s="50">
        <f>РЕАЛИЗАЦИЯ[[#This Row],[СОНИ]]*РЕАЛИЗАЦИЯ[[#This Row],[НАРХИ]]</f>
        <v>0</v>
      </c>
      <c r="I1707" s="166"/>
      <c r="J1707" s="31">
        <f>РЕАЛИЗАЦИЯ[[#This Row],[СОНИ]]*РЕАЛИЗАЦИЯ[[#This Row],[ТАННАРХ]]</f>
        <v>0</v>
      </c>
      <c r="K1707" s="31">
        <f>РЕАЛИЗАЦИЯ[[#This Row],[ЖАМИ]]-РЕАЛИЗАЦИЯ[[#This Row],[ЖАМИ2]]</f>
        <v>0</v>
      </c>
      <c r="L1707" s="31"/>
    </row>
    <row r="1708" spans="3:12" ht="15" customHeight="1" x14ac:dyDescent="0.3">
      <c r="C1708" s="176"/>
      <c r="D1708" s="176"/>
      <c r="G1708" s="50">
        <f>РЕАЛИЗАЦИЯ[[#This Row],[СОНИ]]*РЕАЛИЗАЦИЯ[[#This Row],[НАРХИ]]</f>
        <v>0</v>
      </c>
      <c r="I1708" s="166"/>
      <c r="J1708" s="31">
        <f>РЕАЛИЗАЦИЯ[[#This Row],[СОНИ]]*РЕАЛИЗАЦИЯ[[#This Row],[ТАННАРХ]]</f>
        <v>0</v>
      </c>
      <c r="K1708" s="31">
        <f>РЕАЛИЗАЦИЯ[[#This Row],[ЖАМИ]]-РЕАЛИЗАЦИЯ[[#This Row],[ЖАМИ2]]</f>
        <v>0</v>
      </c>
      <c r="L1708" s="31"/>
    </row>
    <row r="1709" spans="3:12" ht="15" customHeight="1" x14ac:dyDescent="0.3">
      <c r="C1709" s="176"/>
      <c r="D1709" s="176"/>
      <c r="G1709" s="50">
        <f>РЕАЛИЗАЦИЯ[[#This Row],[СОНИ]]*РЕАЛИЗАЦИЯ[[#This Row],[НАРХИ]]</f>
        <v>0</v>
      </c>
      <c r="I1709" s="166"/>
      <c r="J1709" s="31">
        <f>РЕАЛИЗАЦИЯ[[#This Row],[СОНИ]]*РЕАЛИЗАЦИЯ[[#This Row],[ТАННАРХ]]</f>
        <v>0</v>
      </c>
      <c r="K1709" s="31">
        <f>РЕАЛИЗАЦИЯ[[#This Row],[ЖАМИ]]-РЕАЛИЗАЦИЯ[[#This Row],[ЖАМИ2]]</f>
        <v>0</v>
      </c>
      <c r="L1709" s="31"/>
    </row>
    <row r="1710" spans="3:12" ht="15" customHeight="1" x14ac:dyDescent="0.3">
      <c r="C1710" s="176"/>
      <c r="D1710" s="176"/>
      <c r="G1710" s="50">
        <f>РЕАЛИЗАЦИЯ[[#This Row],[СОНИ]]*РЕАЛИЗАЦИЯ[[#This Row],[НАРХИ]]</f>
        <v>0</v>
      </c>
      <c r="I1710" s="166"/>
      <c r="J1710" s="31">
        <f>РЕАЛИЗАЦИЯ[[#This Row],[СОНИ]]*РЕАЛИЗАЦИЯ[[#This Row],[ТАННАРХ]]</f>
        <v>0</v>
      </c>
      <c r="K1710" s="31">
        <f>РЕАЛИЗАЦИЯ[[#This Row],[ЖАМИ]]-РЕАЛИЗАЦИЯ[[#This Row],[ЖАМИ2]]</f>
        <v>0</v>
      </c>
      <c r="L1710" s="31"/>
    </row>
    <row r="1711" spans="3:12" ht="15" customHeight="1" x14ac:dyDescent="0.3">
      <c r="C1711" s="176"/>
      <c r="D1711" s="176"/>
      <c r="G1711" s="50">
        <f>РЕАЛИЗАЦИЯ[[#This Row],[СОНИ]]*РЕАЛИЗАЦИЯ[[#This Row],[НАРХИ]]</f>
        <v>0</v>
      </c>
      <c r="I1711" s="166"/>
      <c r="J1711" s="31">
        <f>РЕАЛИЗАЦИЯ[[#This Row],[СОНИ]]*РЕАЛИЗАЦИЯ[[#This Row],[ТАННАРХ]]</f>
        <v>0</v>
      </c>
      <c r="K1711" s="31">
        <f>РЕАЛИЗАЦИЯ[[#This Row],[ЖАМИ]]-РЕАЛИЗАЦИЯ[[#This Row],[ЖАМИ2]]</f>
        <v>0</v>
      </c>
      <c r="L1711" s="31"/>
    </row>
    <row r="1712" spans="3:12" ht="15" customHeight="1" x14ac:dyDescent="0.3">
      <c r="C1712" s="181"/>
      <c r="D1712" s="181"/>
      <c r="G1712" s="50">
        <f>РЕАЛИЗАЦИЯ[[#This Row],[СОНИ]]*РЕАЛИЗАЦИЯ[[#This Row],[НАРХИ]]</f>
        <v>0</v>
      </c>
      <c r="I1712" s="44"/>
      <c r="J1712" s="31">
        <f>РЕАЛИЗАЦИЯ[[#This Row],[СОНИ]]*РЕАЛИЗАЦИЯ[[#This Row],[ТАННАРХ]]</f>
        <v>0</v>
      </c>
      <c r="K1712" s="31">
        <f>РЕАЛИЗАЦИЯ[[#This Row],[ЖАМИ]]-РЕАЛИЗАЦИЯ[[#This Row],[ЖАМИ2]]</f>
        <v>0</v>
      </c>
      <c r="L1712" s="31"/>
    </row>
    <row r="1713" spans="3:12" ht="15" customHeight="1" x14ac:dyDescent="0.3">
      <c r="C1713" s="181"/>
      <c r="D1713" s="181"/>
      <c r="G1713" s="50">
        <f>РЕАЛИЗАЦИЯ[[#This Row],[СОНИ]]*РЕАЛИЗАЦИЯ[[#This Row],[НАРХИ]]</f>
        <v>0</v>
      </c>
      <c r="I1713" s="44"/>
      <c r="J1713" s="31">
        <f>РЕАЛИЗАЦИЯ[[#This Row],[СОНИ]]*РЕАЛИЗАЦИЯ[[#This Row],[ТАННАРХ]]</f>
        <v>0</v>
      </c>
      <c r="K1713" s="31">
        <f>РЕАЛИЗАЦИЯ[[#This Row],[ЖАМИ]]-РЕАЛИЗАЦИЯ[[#This Row],[ЖАМИ2]]</f>
        <v>0</v>
      </c>
      <c r="L1713" s="31"/>
    </row>
    <row r="1714" spans="3:12" ht="15" customHeight="1" x14ac:dyDescent="0.3">
      <c r="C1714" s="176"/>
      <c r="D1714" s="176"/>
      <c r="G1714" s="50">
        <f>РЕАЛИЗАЦИЯ[[#This Row],[СОНИ]]*РЕАЛИЗАЦИЯ[[#This Row],[НАРХИ]]</f>
        <v>0</v>
      </c>
      <c r="I1714" s="166"/>
      <c r="J1714" s="31">
        <f>РЕАЛИЗАЦИЯ[[#This Row],[СОНИ]]*РЕАЛИЗАЦИЯ[[#This Row],[ТАННАРХ]]</f>
        <v>0</v>
      </c>
      <c r="K1714" s="31">
        <f>РЕАЛИЗАЦИЯ[[#This Row],[ЖАМИ]]-РЕАЛИЗАЦИЯ[[#This Row],[ЖАМИ2]]</f>
        <v>0</v>
      </c>
      <c r="L1714" s="31"/>
    </row>
    <row r="1715" spans="3:12" ht="15" customHeight="1" x14ac:dyDescent="0.3">
      <c r="C1715" s="178"/>
      <c r="D1715" s="178"/>
      <c r="G1715" s="50">
        <f>РЕАЛИЗАЦИЯ[[#This Row],[СОНИ]]*РЕАЛИЗАЦИЯ[[#This Row],[НАРХИ]]</f>
        <v>0</v>
      </c>
      <c r="I1715" s="166"/>
      <c r="J1715" s="31">
        <f>РЕАЛИЗАЦИЯ[[#This Row],[СОНИ]]*РЕАЛИЗАЦИЯ[[#This Row],[ТАННАРХ]]</f>
        <v>0</v>
      </c>
      <c r="K1715" s="31">
        <f>РЕАЛИЗАЦИЯ[[#This Row],[ЖАМИ]]-РЕАЛИЗАЦИЯ[[#This Row],[ЖАМИ2]]</f>
        <v>0</v>
      </c>
      <c r="L1715" s="31"/>
    </row>
    <row r="1716" spans="3:12" ht="15" customHeight="1" x14ac:dyDescent="0.3">
      <c r="C1716" s="176"/>
      <c r="D1716" s="176"/>
      <c r="G1716" s="50">
        <f>РЕАЛИЗАЦИЯ[[#This Row],[СОНИ]]*РЕАЛИЗАЦИЯ[[#This Row],[НАРХИ]]</f>
        <v>0</v>
      </c>
      <c r="I1716" s="166"/>
      <c r="J1716" s="31">
        <f>РЕАЛИЗАЦИЯ[[#This Row],[СОНИ]]*РЕАЛИЗАЦИЯ[[#This Row],[ТАННАРХ]]</f>
        <v>0</v>
      </c>
      <c r="K1716" s="31">
        <f>РЕАЛИЗАЦИЯ[[#This Row],[ЖАМИ]]-РЕАЛИЗАЦИЯ[[#This Row],[ЖАМИ2]]</f>
        <v>0</v>
      </c>
      <c r="L1716" s="31"/>
    </row>
    <row r="1717" spans="3:12" ht="15" customHeight="1" x14ac:dyDescent="0.3">
      <c r="C1717" s="176"/>
      <c r="D1717" s="176"/>
      <c r="G1717" s="50">
        <f>РЕАЛИЗАЦИЯ[[#This Row],[СОНИ]]*РЕАЛИЗАЦИЯ[[#This Row],[НАРХИ]]</f>
        <v>0</v>
      </c>
      <c r="I1717" s="166"/>
      <c r="J1717" s="31">
        <f>РЕАЛИЗАЦИЯ[[#This Row],[СОНИ]]*РЕАЛИЗАЦИЯ[[#This Row],[ТАННАРХ]]</f>
        <v>0</v>
      </c>
      <c r="K1717" s="31">
        <f>РЕАЛИЗАЦИЯ[[#This Row],[ЖАМИ]]-РЕАЛИЗАЦИЯ[[#This Row],[ЖАМИ2]]</f>
        <v>0</v>
      </c>
      <c r="L1717" s="31"/>
    </row>
    <row r="1718" spans="3:12" ht="15" customHeight="1" x14ac:dyDescent="0.3">
      <c r="C1718" s="176"/>
      <c r="D1718" s="176"/>
      <c r="G1718" s="50">
        <f>РЕАЛИЗАЦИЯ[[#This Row],[СОНИ]]*РЕАЛИЗАЦИЯ[[#This Row],[НАРХИ]]</f>
        <v>0</v>
      </c>
      <c r="I1718" s="166"/>
      <c r="J1718" s="31">
        <f>РЕАЛИЗАЦИЯ[[#This Row],[СОНИ]]*РЕАЛИЗАЦИЯ[[#This Row],[ТАННАРХ]]</f>
        <v>0</v>
      </c>
      <c r="K1718" s="31">
        <f>РЕАЛИЗАЦИЯ[[#This Row],[ЖАМИ]]-РЕАЛИЗАЦИЯ[[#This Row],[ЖАМИ2]]</f>
        <v>0</v>
      </c>
      <c r="L1718" s="31"/>
    </row>
    <row r="1719" spans="3:12" ht="15" customHeight="1" x14ac:dyDescent="0.3">
      <c r="C1719" s="176"/>
      <c r="D1719" s="176"/>
      <c r="G1719" s="50">
        <f>РЕАЛИЗАЦИЯ[[#This Row],[СОНИ]]*РЕАЛИЗАЦИЯ[[#This Row],[НАРХИ]]</f>
        <v>0</v>
      </c>
      <c r="I1719" s="166"/>
      <c r="J1719" s="31">
        <f>РЕАЛИЗАЦИЯ[[#This Row],[СОНИ]]*РЕАЛИЗАЦИЯ[[#This Row],[ТАННАРХ]]</f>
        <v>0</v>
      </c>
      <c r="K1719" s="31">
        <f>РЕАЛИЗАЦИЯ[[#This Row],[ЖАМИ]]-РЕАЛИЗАЦИЯ[[#This Row],[ЖАМИ2]]</f>
        <v>0</v>
      </c>
      <c r="L1719" s="31"/>
    </row>
    <row r="1720" spans="3:12" ht="15" customHeight="1" x14ac:dyDescent="0.3">
      <c r="C1720" s="176"/>
      <c r="D1720" s="176"/>
      <c r="G1720" s="50">
        <f>РЕАЛИЗАЦИЯ[[#This Row],[СОНИ]]*РЕАЛИЗАЦИЯ[[#This Row],[НАРХИ]]</f>
        <v>0</v>
      </c>
      <c r="I1720" s="166"/>
      <c r="J1720" s="31">
        <f>РЕАЛИЗАЦИЯ[[#This Row],[СОНИ]]*РЕАЛИЗАЦИЯ[[#This Row],[ТАННАРХ]]</f>
        <v>0</v>
      </c>
      <c r="K1720" s="31">
        <f>РЕАЛИЗАЦИЯ[[#This Row],[ЖАМИ]]-РЕАЛИЗАЦИЯ[[#This Row],[ЖАМИ2]]</f>
        <v>0</v>
      </c>
      <c r="L1720" s="31"/>
    </row>
    <row r="1721" spans="3:12" ht="15" customHeight="1" x14ac:dyDescent="0.3">
      <c r="C1721" s="176"/>
      <c r="D1721" s="176"/>
      <c r="G1721" s="50">
        <f>РЕАЛИЗАЦИЯ[[#This Row],[СОНИ]]*РЕАЛИЗАЦИЯ[[#This Row],[НАРХИ]]</f>
        <v>0</v>
      </c>
      <c r="H1721" s="273"/>
      <c r="I1721" s="166"/>
      <c r="J1721" s="31">
        <f>РЕАЛИЗАЦИЯ[[#This Row],[СОНИ]]*РЕАЛИЗАЦИЯ[[#This Row],[ТАННАРХ]]</f>
        <v>0</v>
      </c>
      <c r="K1721" s="31">
        <f>РЕАЛИЗАЦИЯ[[#This Row],[ЖАМИ]]-РЕАЛИЗАЦИЯ[[#This Row],[ЖАМИ2]]</f>
        <v>0</v>
      </c>
      <c r="L1721" s="31"/>
    </row>
    <row r="1722" spans="3:12" ht="15" customHeight="1" x14ac:dyDescent="0.3">
      <c r="C1722" s="176"/>
      <c r="D1722" s="176"/>
      <c r="G1722" s="50">
        <f>РЕАЛИЗАЦИЯ[[#This Row],[СОНИ]]*РЕАЛИЗАЦИЯ[[#This Row],[НАРХИ]]</f>
        <v>0</v>
      </c>
      <c r="I1722" s="166"/>
      <c r="J1722" s="31">
        <f>РЕАЛИЗАЦИЯ[[#This Row],[СОНИ]]*РЕАЛИЗАЦИЯ[[#This Row],[ТАННАРХ]]</f>
        <v>0</v>
      </c>
      <c r="K1722" s="31">
        <f>РЕАЛИЗАЦИЯ[[#This Row],[ЖАМИ]]-РЕАЛИЗАЦИЯ[[#This Row],[ЖАМИ2]]</f>
        <v>0</v>
      </c>
      <c r="L1722" s="31"/>
    </row>
    <row r="1723" spans="3:12" ht="15" customHeight="1" x14ac:dyDescent="0.3">
      <c r="C1723" s="176"/>
      <c r="D1723" s="176"/>
      <c r="G1723" s="50">
        <f>РЕАЛИЗАЦИЯ[[#This Row],[СОНИ]]*РЕАЛИЗАЦИЯ[[#This Row],[НАРХИ]]</f>
        <v>0</v>
      </c>
      <c r="I1723" s="166"/>
      <c r="J1723" s="31">
        <f>РЕАЛИЗАЦИЯ[[#This Row],[СОНИ]]*РЕАЛИЗАЦИЯ[[#This Row],[ТАННАРХ]]</f>
        <v>0</v>
      </c>
      <c r="K1723" s="31">
        <f>РЕАЛИЗАЦИЯ[[#This Row],[ЖАМИ]]-РЕАЛИЗАЦИЯ[[#This Row],[ЖАМИ2]]</f>
        <v>0</v>
      </c>
      <c r="L1723" s="31"/>
    </row>
    <row r="1724" spans="3:12" ht="15" customHeight="1" x14ac:dyDescent="0.3">
      <c r="C1724" s="176"/>
      <c r="D1724" s="176"/>
      <c r="G1724" s="50">
        <f>РЕАЛИЗАЦИЯ[[#This Row],[СОНИ]]*РЕАЛИЗАЦИЯ[[#This Row],[НАРХИ]]</f>
        <v>0</v>
      </c>
      <c r="I1724" s="166"/>
      <c r="J1724" s="31">
        <f>РЕАЛИЗАЦИЯ[[#This Row],[СОНИ]]*РЕАЛИЗАЦИЯ[[#This Row],[ТАННАРХ]]</f>
        <v>0</v>
      </c>
      <c r="K1724" s="31">
        <f>РЕАЛИЗАЦИЯ[[#This Row],[ЖАМИ]]-РЕАЛИЗАЦИЯ[[#This Row],[ЖАМИ2]]</f>
        <v>0</v>
      </c>
      <c r="L1724" s="31"/>
    </row>
    <row r="1725" spans="3:12" ht="15" customHeight="1" x14ac:dyDescent="0.3">
      <c r="C1725" s="176"/>
      <c r="D1725" s="176"/>
      <c r="G1725" s="50">
        <f>РЕАЛИЗАЦИЯ[[#This Row],[СОНИ]]*РЕАЛИЗАЦИЯ[[#This Row],[НАРХИ]]</f>
        <v>0</v>
      </c>
      <c r="I1725" s="166"/>
      <c r="J1725" s="31">
        <f>РЕАЛИЗАЦИЯ[[#This Row],[СОНИ]]*РЕАЛИЗАЦИЯ[[#This Row],[ТАННАРХ]]</f>
        <v>0</v>
      </c>
      <c r="K1725" s="31">
        <f>РЕАЛИЗАЦИЯ[[#This Row],[ЖАМИ]]-РЕАЛИЗАЦИЯ[[#This Row],[ЖАМИ2]]</f>
        <v>0</v>
      </c>
      <c r="L1725" s="31"/>
    </row>
    <row r="1726" spans="3:12" ht="15" customHeight="1" x14ac:dyDescent="0.3">
      <c r="C1726" s="176"/>
      <c r="D1726" s="176"/>
      <c r="G1726" s="50">
        <f>РЕАЛИЗАЦИЯ[[#This Row],[СОНИ]]*РЕАЛИЗАЦИЯ[[#This Row],[НАРХИ]]</f>
        <v>0</v>
      </c>
      <c r="I1726" s="166"/>
      <c r="J1726" s="31">
        <f>РЕАЛИЗАЦИЯ[[#This Row],[СОНИ]]*РЕАЛИЗАЦИЯ[[#This Row],[ТАННАРХ]]</f>
        <v>0</v>
      </c>
      <c r="K1726" s="31">
        <f>РЕАЛИЗАЦИЯ[[#This Row],[ЖАМИ]]-РЕАЛИЗАЦИЯ[[#This Row],[ЖАМИ2]]</f>
        <v>0</v>
      </c>
      <c r="L1726" s="31"/>
    </row>
    <row r="1727" spans="3:12" ht="15" customHeight="1" x14ac:dyDescent="0.3">
      <c r="C1727" s="176"/>
      <c r="D1727" s="176"/>
      <c r="G1727" s="50">
        <f>РЕАЛИЗАЦИЯ[[#This Row],[СОНИ]]*РЕАЛИЗАЦИЯ[[#This Row],[НАРХИ]]</f>
        <v>0</v>
      </c>
      <c r="I1727" s="166"/>
      <c r="J1727" s="31">
        <f>РЕАЛИЗАЦИЯ[[#This Row],[СОНИ]]*РЕАЛИЗАЦИЯ[[#This Row],[ТАННАРХ]]</f>
        <v>0</v>
      </c>
      <c r="K1727" s="31">
        <f>РЕАЛИЗАЦИЯ[[#This Row],[ЖАМИ]]-РЕАЛИЗАЦИЯ[[#This Row],[ЖАМИ2]]</f>
        <v>0</v>
      </c>
      <c r="L1727" s="31"/>
    </row>
    <row r="1728" spans="3:12" ht="15" customHeight="1" x14ac:dyDescent="0.3">
      <c r="C1728" s="176"/>
      <c r="D1728" s="176"/>
      <c r="G1728" s="50">
        <f>РЕАЛИЗАЦИЯ[[#This Row],[СОНИ]]*РЕАЛИЗАЦИЯ[[#This Row],[НАРХИ]]</f>
        <v>0</v>
      </c>
      <c r="I1728" s="166"/>
      <c r="J1728" s="31">
        <f>РЕАЛИЗАЦИЯ[[#This Row],[СОНИ]]*РЕАЛИЗАЦИЯ[[#This Row],[ТАННАРХ]]</f>
        <v>0</v>
      </c>
      <c r="K1728" s="31">
        <f>РЕАЛИЗАЦИЯ[[#This Row],[ЖАМИ]]-РЕАЛИЗАЦИЯ[[#This Row],[ЖАМИ2]]</f>
        <v>0</v>
      </c>
      <c r="L1728" s="31"/>
    </row>
    <row r="1729" spans="3:12" ht="15" customHeight="1" x14ac:dyDescent="0.3">
      <c r="C1729" s="176"/>
      <c r="D1729" s="176"/>
      <c r="G1729" s="50">
        <f>РЕАЛИЗАЦИЯ[[#This Row],[СОНИ]]*РЕАЛИЗАЦИЯ[[#This Row],[НАРХИ]]</f>
        <v>0</v>
      </c>
      <c r="I1729" s="166"/>
      <c r="J1729" s="31">
        <f>РЕАЛИЗАЦИЯ[[#This Row],[СОНИ]]*РЕАЛИЗАЦИЯ[[#This Row],[ТАННАРХ]]</f>
        <v>0</v>
      </c>
      <c r="K1729" s="31">
        <f>РЕАЛИЗАЦИЯ[[#This Row],[ЖАМИ]]-РЕАЛИЗАЦИЯ[[#This Row],[ЖАМИ2]]</f>
        <v>0</v>
      </c>
      <c r="L1729" s="31"/>
    </row>
    <row r="1730" spans="3:12" ht="15" customHeight="1" x14ac:dyDescent="0.3">
      <c r="C1730" s="176"/>
      <c r="D1730" s="176"/>
      <c r="G1730" s="50">
        <f>РЕАЛИЗАЦИЯ[[#This Row],[СОНИ]]*РЕАЛИЗАЦИЯ[[#This Row],[НАРХИ]]</f>
        <v>0</v>
      </c>
      <c r="I1730" s="166"/>
      <c r="J1730" s="31">
        <f>РЕАЛИЗАЦИЯ[[#This Row],[СОНИ]]*РЕАЛИЗАЦИЯ[[#This Row],[ТАННАРХ]]</f>
        <v>0</v>
      </c>
      <c r="K1730" s="31">
        <f>РЕАЛИЗАЦИЯ[[#This Row],[ЖАМИ]]-РЕАЛИЗАЦИЯ[[#This Row],[ЖАМИ2]]</f>
        <v>0</v>
      </c>
      <c r="L1730" s="31"/>
    </row>
    <row r="1731" spans="3:12" ht="15" customHeight="1" x14ac:dyDescent="0.3">
      <c r="C1731" s="178"/>
      <c r="D1731" s="178"/>
      <c r="G1731" s="50">
        <f>РЕАЛИЗАЦИЯ[[#This Row],[СОНИ]]*РЕАЛИЗАЦИЯ[[#This Row],[НАРХИ]]</f>
        <v>0</v>
      </c>
      <c r="I1731" s="166"/>
      <c r="J1731" s="31">
        <f>РЕАЛИЗАЦИЯ[[#This Row],[СОНИ]]*РЕАЛИЗАЦИЯ[[#This Row],[ТАННАРХ]]</f>
        <v>0</v>
      </c>
      <c r="K1731" s="31">
        <f>РЕАЛИЗАЦИЯ[[#This Row],[ЖАМИ]]-РЕАЛИЗАЦИЯ[[#This Row],[ЖАМИ2]]</f>
        <v>0</v>
      </c>
      <c r="L1731" s="31"/>
    </row>
    <row r="1732" spans="3:12" ht="15" customHeight="1" x14ac:dyDescent="0.3">
      <c r="C1732" s="178"/>
      <c r="D1732" s="178"/>
      <c r="G1732" s="50">
        <f>РЕАЛИЗАЦИЯ[[#This Row],[СОНИ]]*РЕАЛИЗАЦИЯ[[#This Row],[НАРХИ]]</f>
        <v>0</v>
      </c>
      <c r="I1732" s="166"/>
      <c r="J1732" s="31">
        <f>РЕАЛИЗАЦИЯ[[#This Row],[СОНИ]]*РЕАЛИЗАЦИЯ[[#This Row],[ТАННАРХ]]</f>
        <v>0</v>
      </c>
      <c r="K1732" s="31">
        <f>РЕАЛИЗАЦИЯ[[#This Row],[ЖАМИ]]-РЕАЛИЗАЦИЯ[[#This Row],[ЖАМИ2]]</f>
        <v>0</v>
      </c>
      <c r="L1732" s="31"/>
    </row>
    <row r="1733" spans="3:12" ht="15" customHeight="1" x14ac:dyDescent="0.3">
      <c r="C1733" s="178"/>
      <c r="D1733" s="178"/>
      <c r="G1733" s="50">
        <f>РЕАЛИЗАЦИЯ[[#This Row],[СОНИ]]*РЕАЛИЗАЦИЯ[[#This Row],[НАРХИ]]</f>
        <v>0</v>
      </c>
      <c r="I1733" s="166"/>
      <c r="J1733" s="31">
        <f>РЕАЛИЗАЦИЯ[[#This Row],[СОНИ]]*РЕАЛИЗАЦИЯ[[#This Row],[ТАННАРХ]]</f>
        <v>0</v>
      </c>
      <c r="K1733" s="31">
        <f>РЕАЛИЗАЦИЯ[[#This Row],[ЖАМИ]]-РЕАЛИЗАЦИЯ[[#This Row],[ЖАМИ2]]</f>
        <v>0</v>
      </c>
      <c r="L1733" s="31"/>
    </row>
    <row r="1734" spans="3:12" ht="15" customHeight="1" x14ac:dyDescent="0.3">
      <c r="C1734" s="178"/>
      <c r="D1734" s="178"/>
      <c r="G1734" s="50">
        <f>РЕАЛИЗАЦИЯ[[#This Row],[СОНИ]]*РЕАЛИЗАЦИЯ[[#This Row],[НАРХИ]]</f>
        <v>0</v>
      </c>
      <c r="I1734" s="166"/>
      <c r="J1734" s="31">
        <f>РЕАЛИЗАЦИЯ[[#This Row],[СОНИ]]*РЕАЛИЗАЦИЯ[[#This Row],[ТАННАРХ]]</f>
        <v>0</v>
      </c>
      <c r="K1734" s="31">
        <f>РЕАЛИЗАЦИЯ[[#This Row],[ЖАМИ]]-РЕАЛИЗАЦИЯ[[#This Row],[ЖАМИ2]]</f>
        <v>0</v>
      </c>
      <c r="L1734" s="31"/>
    </row>
    <row r="1735" spans="3:12" ht="15" customHeight="1" x14ac:dyDescent="0.3">
      <c r="C1735" s="178"/>
      <c r="D1735" s="178"/>
      <c r="G1735" s="50">
        <f>РЕАЛИЗАЦИЯ[[#This Row],[СОНИ]]*РЕАЛИЗАЦИЯ[[#This Row],[НАРХИ]]</f>
        <v>0</v>
      </c>
      <c r="I1735" s="166"/>
      <c r="J1735" s="31">
        <f>РЕАЛИЗАЦИЯ[[#This Row],[СОНИ]]*РЕАЛИЗАЦИЯ[[#This Row],[ТАННАРХ]]</f>
        <v>0</v>
      </c>
      <c r="K1735" s="31">
        <f>РЕАЛИЗАЦИЯ[[#This Row],[ЖАМИ]]-РЕАЛИЗАЦИЯ[[#This Row],[ЖАМИ2]]</f>
        <v>0</v>
      </c>
      <c r="L1735" s="31"/>
    </row>
    <row r="1736" spans="3:12" ht="15" customHeight="1" x14ac:dyDescent="0.3">
      <c r="C1736" s="178"/>
      <c r="D1736" s="178"/>
      <c r="G1736" s="50">
        <f>РЕАЛИЗАЦИЯ[[#This Row],[СОНИ]]*РЕАЛИЗАЦИЯ[[#This Row],[НАРХИ]]</f>
        <v>0</v>
      </c>
      <c r="H1736" s="273"/>
      <c r="I1736" s="166"/>
      <c r="J1736" s="31">
        <f>РЕАЛИЗАЦИЯ[[#This Row],[СОНИ]]*РЕАЛИЗАЦИЯ[[#This Row],[ТАННАРХ]]</f>
        <v>0</v>
      </c>
      <c r="K1736" s="31">
        <f>РЕАЛИЗАЦИЯ[[#This Row],[ЖАМИ]]-РЕАЛИЗАЦИЯ[[#This Row],[ЖАМИ2]]</f>
        <v>0</v>
      </c>
      <c r="L1736" s="31"/>
    </row>
    <row r="1737" spans="3:12" ht="15" customHeight="1" x14ac:dyDescent="0.3">
      <c r="C1737" s="178"/>
      <c r="D1737" s="178"/>
      <c r="G1737" s="50">
        <f>РЕАЛИЗАЦИЯ[[#This Row],[СОНИ]]*РЕАЛИЗАЦИЯ[[#This Row],[НАРХИ]]</f>
        <v>0</v>
      </c>
      <c r="I1737" s="166"/>
      <c r="J1737" s="31">
        <f>РЕАЛИЗАЦИЯ[[#This Row],[СОНИ]]*РЕАЛИЗАЦИЯ[[#This Row],[ТАННАРХ]]</f>
        <v>0</v>
      </c>
      <c r="K1737" s="31">
        <f>РЕАЛИЗАЦИЯ[[#This Row],[ЖАМИ]]-РЕАЛИЗАЦИЯ[[#This Row],[ЖАМИ2]]</f>
        <v>0</v>
      </c>
      <c r="L1737" s="31"/>
    </row>
    <row r="1738" spans="3:12" ht="15" customHeight="1" x14ac:dyDescent="0.3">
      <c r="C1738" s="178"/>
      <c r="D1738" s="178"/>
      <c r="G1738" s="50">
        <f>РЕАЛИЗАЦИЯ[[#This Row],[СОНИ]]*РЕАЛИЗАЦИЯ[[#This Row],[НАРХИ]]</f>
        <v>0</v>
      </c>
      <c r="I1738" s="166"/>
      <c r="J1738" s="31">
        <f>РЕАЛИЗАЦИЯ[[#This Row],[СОНИ]]*РЕАЛИЗАЦИЯ[[#This Row],[ТАННАРХ]]</f>
        <v>0</v>
      </c>
      <c r="K1738" s="31">
        <f>РЕАЛИЗАЦИЯ[[#This Row],[ЖАМИ]]-РЕАЛИЗАЦИЯ[[#This Row],[ЖАМИ2]]</f>
        <v>0</v>
      </c>
      <c r="L1738" s="31"/>
    </row>
    <row r="1739" spans="3:12" ht="15" customHeight="1" x14ac:dyDescent="0.3">
      <c r="C1739" s="178"/>
      <c r="D1739" s="178"/>
      <c r="G1739" s="50">
        <f>РЕАЛИЗАЦИЯ[[#This Row],[СОНИ]]*РЕАЛИЗАЦИЯ[[#This Row],[НАРХИ]]</f>
        <v>0</v>
      </c>
      <c r="I1739" s="166"/>
      <c r="J1739" s="31">
        <f>РЕАЛИЗАЦИЯ[[#This Row],[СОНИ]]*РЕАЛИЗАЦИЯ[[#This Row],[ТАННАРХ]]</f>
        <v>0</v>
      </c>
      <c r="K1739" s="31">
        <f>РЕАЛИЗАЦИЯ[[#This Row],[ЖАМИ]]-РЕАЛИЗАЦИЯ[[#This Row],[ЖАМИ2]]</f>
        <v>0</v>
      </c>
      <c r="L1739" s="31"/>
    </row>
    <row r="1740" spans="3:12" ht="15" customHeight="1" x14ac:dyDescent="0.3">
      <c r="C1740" s="178"/>
      <c r="D1740" s="178"/>
      <c r="G1740" s="50">
        <f>РЕАЛИЗАЦИЯ[[#This Row],[СОНИ]]*РЕАЛИЗАЦИЯ[[#This Row],[НАРХИ]]</f>
        <v>0</v>
      </c>
      <c r="I1740" s="166"/>
      <c r="J1740" s="31">
        <f>РЕАЛИЗАЦИЯ[[#This Row],[СОНИ]]*РЕАЛИЗАЦИЯ[[#This Row],[ТАННАРХ]]</f>
        <v>0</v>
      </c>
      <c r="K1740" s="31">
        <f>РЕАЛИЗАЦИЯ[[#This Row],[ЖАМИ]]-РЕАЛИЗАЦИЯ[[#This Row],[ЖАМИ2]]</f>
        <v>0</v>
      </c>
      <c r="L1740" s="31"/>
    </row>
    <row r="1741" spans="3:12" ht="15" customHeight="1" x14ac:dyDescent="0.3">
      <c r="C1741" s="178"/>
      <c r="D1741" s="178"/>
      <c r="G1741" s="50">
        <f>РЕАЛИЗАЦИЯ[[#This Row],[СОНИ]]*РЕАЛИЗАЦИЯ[[#This Row],[НАРХИ]]</f>
        <v>0</v>
      </c>
      <c r="I1741" s="166"/>
      <c r="J1741" s="31">
        <f>РЕАЛИЗАЦИЯ[[#This Row],[СОНИ]]*РЕАЛИЗАЦИЯ[[#This Row],[ТАННАРХ]]</f>
        <v>0</v>
      </c>
      <c r="K1741" s="31">
        <f>РЕАЛИЗАЦИЯ[[#This Row],[ЖАМИ]]-РЕАЛИЗАЦИЯ[[#This Row],[ЖАМИ2]]</f>
        <v>0</v>
      </c>
      <c r="L1741" s="31"/>
    </row>
    <row r="1742" spans="3:12" ht="15" customHeight="1" x14ac:dyDescent="0.3">
      <c r="C1742" s="178"/>
      <c r="D1742" s="178"/>
      <c r="G1742" s="50">
        <f>РЕАЛИЗАЦИЯ[[#This Row],[СОНИ]]*РЕАЛИЗАЦИЯ[[#This Row],[НАРХИ]]</f>
        <v>0</v>
      </c>
      <c r="I1742" s="166"/>
      <c r="J1742" s="31">
        <f>РЕАЛИЗАЦИЯ[[#This Row],[СОНИ]]*РЕАЛИЗАЦИЯ[[#This Row],[ТАННАРХ]]</f>
        <v>0</v>
      </c>
      <c r="K1742" s="31">
        <f>РЕАЛИЗАЦИЯ[[#This Row],[ЖАМИ]]-РЕАЛИЗАЦИЯ[[#This Row],[ЖАМИ2]]</f>
        <v>0</v>
      </c>
      <c r="L1742" s="31"/>
    </row>
    <row r="1743" spans="3:12" ht="15" customHeight="1" x14ac:dyDescent="0.3">
      <c r="C1743" s="178"/>
      <c r="D1743" s="178"/>
      <c r="G1743" s="50">
        <f>РЕАЛИЗАЦИЯ[[#This Row],[СОНИ]]*РЕАЛИЗАЦИЯ[[#This Row],[НАРХИ]]</f>
        <v>0</v>
      </c>
      <c r="I1743" s="166"/>
      <c r="J1743" s="31">
        <f>РЕАЛИЗАЦИЯ[[#This Row],[СОНИ]]*РЕАЛИЗАЦИЯ[[#This Row],[ТАННАРХ]]</f>
        <v>0</v>
      </c>
      <c r="K1743" s="31">
        <f>РЕАЛИЗАЦИЯ[[#This Row],[ЖАМИ]]-РЕАЛИЗАЦИЯ[[#This Row],[ЖАМИ2]]</f>
        <v>0</v>
      </c>
      <c r="L1743" s="31"/>
    </row>
    <row r="1744" spans="3:12" ht="15" customHeight="1" x14ac:dyDescent="0.3">
      <c r="C1744" s="178"/>
      <c r="D1744" s="178"/>
      <c r="G1744" s="50">
        <f>РЕАЛИЗАЦИЯ[[#This Row],[СОНИ]]*РЕАЛИЗАЦИЯ[[#This Row],[НАРХИ]]</f>
        <v>0</v>
      </c>
      <c r="I1744" s="166"/>
      <c r="J1744" s="31">
        <f>РЕАЛИЗАЦИЯ[[#This Row],[СОНИ]]*РЕАЛИЗАЦИЯ[[#This Row],[ТАННАРХ]]</f>
        <v>0</v>
      </c>
      <c r="K1744" s="31">
        <f>РЕАЛИЗАЦИЯ[[#This Row],[ЖАМИ]]-РЕАЛИЗАЦИЯ[[#This Row],[ЖАМИ2]]</f>
        <v>0</v>
      </c>
      <c r="L1744" s="31"/>
    </row>
    <row r="1745" spans="3:12" ht="15" customHeight="1" x14ac:dyDescent="0.3">
      <c r="C1745" s="178"/>
      <c r="D1745" s="178"/>
      <c r="G1745" s="50">
        <f>РЕАЛИЗАЦИЯ[[#This Row],[СОНИ]]*РЕАЛИЗАЦИЯ[[#This Row],[НАРХИ]]</f>
        <v>0</v>
      </c>
      <c r="I1745" s="166"/>
      <c r="J1745" s="31">
        <f>РЕАЛИЗАЦИЯ[[#This Row],[СОНИ]]*РЕАЛИЗАЦИЯ[[#This Row],[ТАННАРХ]]</f>
        <v>0</v>
      </c>
      <c r="K1745" s="31">
        <f>РЕАЛИЗАЦИЯ[[#This Row],[ЖАМИ]]-РЕАЛИЗАЦИЯ[[#This Row],[ЖАМИ2]]</f>
        <v>0</v>
      </c>
      <c r="L1745" s="31"/>
    </row>
    <row r="1746" spans="3:12" ht="15" customHeight="1" x14ac:dyDescent="0.3">
      <c r="C1746" s="178"/>
      <c r="D1746" s="178"/>
      <c r="G1746" s="50">
        <f>РЕАЛИЗАЦИЯ[[#This Row],[СОНИ]]*РЕАЛИЗАЦИЯ[[#This Row],[НАРХИ]]</f>
        <v>0</v>
      </c>
      <c r="I1746" s="166"/>
      <c r="J1746" s="31">
        <f>РЕАЛИЗАЦИЯ[[#This Row],[СОНИ]]*РЕАЛИЗАЦИЯ[[#This Row],[ТАННАРХ]]</f>
        <v>0</v>
      </c>
      <c r="K1746" s="31">
        <f>РЕАЛИЗАЦИЯ[[#This Row],[ЖАМИ]]-РЕАЛИЗАЦИЯ[[#This Row],[ЖАМИ2]]</f>
        <v>0</v>
      </c>
      <c r="L1746" s="31"/>
    </row>
    <row r="1747" spans="3:12" ht="15" customHeight="1" x14ac:dyDescent="0.3">
      <c r="C1747" s="178"/>
      <c r="D1747" s="178"/>
      <c r="G1747" s="50">
        <f>РЕАЛИЗАЦИЯ[[#This Row],[СОНИ]]*РЕАЛИЗАЦИЯ[[#This Row],[НАРХИ]]</f>
        <v>0</v>
      </c>
      <c r="I1747" s="166"/>
      <c r="J1747" s="31">
        <f>РЕАЛИЗАЦИЯ[[#This Row],[СОНИ]]*РЕАЛИЗАЦИЯ[[#This Row],[ТАННАРХ]]</f>
        <v>0</v>
      </c>
      <c r="K1747" s="31">
        <f>РЕАЛИЗАЦИЯ[[#This Row],[ЖАМИ]]-РЕАЛИЗАЦИЯ[[#This Row],[ЖАМИ2]]</f>
        <v>0</v>
      </c>
      <c r="L1747" s="31"/>
    </row>
    <row r="1748" spans="3:12" ht="15" customHeight="1" x14ac:dyDescent="0.3">
      <c r="C1748" s="178"/>
      <c r="D1748" s="178"/>
      <c r="G1748" s="50">
        <f>РЕАЛИЗАЦИЯ[[#This Row],[СОНИ]]*РЕАЛИЗАЦИЯ[[#This Row],[НАРХИ]]</f>
        <v>0</v>
      </c>
      <c r="I1748" s="166"/>
      <c r="J1748" s="31">
        <f>РЕАЛИЗАЦИЯ[[#This Row],[СОНИ]]*РЕАЛИЗАЦИЯ[[#This Row],[ТАННАРХ]]</f>
        <v>0</v>
      </c>
      <c r="K1748" s="31">
        <f>РЕАЛИЗАЦИЯ[[#This Row],[ЖАМИ]]-РЕАЛИЗАЦИЯ[[#This Row],[ЖАМИ2]]</f>
        <v>0</v>
      </c>
      <c r="L1748" s="31"/>
    </row>
    <row r="1749" spans="3:12" ht="15" customHeight="1" x14ac:dyDescent="0.3">
      <c r="C1749" s="178"/>
      <c r="D1749" s="178"/>
      <c r="G1749" s="50">
        <f>РЕАЛИЗАЦИЯ[[#This Row],[СОНИ]]*РЕАЛИЗАЦИЯ[[#This Row],[НАРХИ]]</f>
        <v>0</v>
      </c>
      <c r="I1749" s="166"/>
      <c r="J1749" s="31">
        <f>РЕАЛИЗАЦИЯ[[#This Row],[СОНИ]]*РЕАЛИЗАЦИЯ[[#This Row],[ТАННАРХ]]</f>
        <v>0</v>
      </c>
      <c r="K1749" s="31">
        <f>РЕАЛИЗАЦИЯ[[#This Row],[ЖАМИ]]-РЕАЛИЗАЦИЯ[[#This Row],[ЖАМИ2]]</f>
        <v>0</v>
      </c>
      <c r="L1749" s="31"/>
    </row>
    <row r="1750" spans="3:12" ht="15" customHeight="1" x14ac:dyDescent="0.3">
      <c r="C1750" s="208"/>
      <c r="D1750" s="208"/>
      <c r="G1750" s="50">
        <f>РЕАЛИЗАЦИЯ[[#This Row],[СОНИ]]*РЕАЛИЗАЦИЯ[[#This Row],[НАРХИ]]</f>
        <v>0</v>
      </c>
      <c r="I1750" s="166"/>
      <c r="J1750" s="31">
        <f>РЕАЛИЗАЦИЯ[[#This Row],[СОНИ]]*РЕАЛИЗАЦИЯ[[#This Row],[ТАННАРХ]]</f>
        <v>0</v>
      </c>
      <c r="K1750" s="31">
        <f>РЕАЛИЗАЦИЯ[[#This Row],[ЖАМИ]]-РЕАЛИЗАЦИЯ[[#This Row],[ЖАМИ2]]</f>
        <v>0</v>
      </c>
      <c r="L1750" s="31"/>
    </row>
    <row r="1751" spans="3:12" ht="15" customHeight="1" x14ac:dyDescent="0.3">
      <c r="C1751" s="178"/>
      <c r="D1751" s="178"/>
      <c r="G1751" s="50">
        <f>РЕАЛИЗАЦИЯ[[#This Row],[СОНИ]]*РЕАЛИЗАЦИЯ[[#This Row],[НАРХИ]]</f>
        <v>0</v>
      </c>
      <c r="I1751" s="166"/>
      <c r="J1751" s="31">
        <f>РЕАЛИЗАЦИЯ[[#This Row],[СОНИ]]*РЕАЛИЗАЦИЯ[[#This Row],[ТАННАРХ]]</f>
        <v>0</v>
      </c>
      <c r="K1751" s="31">
        <f>РЕАЛИЗАЦИЯ[[#This Row],[ЖАМИ]]-РЕАЛИЗАЦИЯ[[#This Row],[ЖАМИ2]]</f>
        <v>0</v>
      </c>
      <c r="L1751" s="31"/>
    </row>
    <row r="1752" spans="3:12" ht="15" customHeight="1" x14ac:dyDescent="0.3">
      <c r="C1752" s="178"/>
      <c r="D1752" s="178"/>
      <c r="G1752" s="50">
        <f>РЕАЛИЗАЦИЯ[[#This Row],[СОНИ]]*РЕАЛИЗАЦИЯ[[#This Row],[НАРХИ]]</f>
        <v>0</v>
      </c>
      <c r="I1752" s="166"/>
      <c r="J1752" s="31">
        <f>РЕАЛИЗАЦИЯ[[#This Row],[СОНИ]]*РЕАЛИЗАЦИЯ[[#This Row],[ТАННАРХ]]</f>
        <v>0</v>
      </c>
      <c r="K1752" s="31">
        <f>РЕАЛИЗАЦИЯ[[#This Row],[ЖАМИ]]-РЕАЛИЗАЦИЯ[[#This Row],[ЖАМИ2]]</f>
        <v>0</v>
      </c>
      <c r="L1752" s="31"/>
    </row>
    <row r="1753" spans="3:12" ht="15" customHeight="1" x14ac:dyDescent="0.3">
      <c r="C1753" s="178"/>
      <c r="D1753" s="178"/>
      <c r="G1753" s="50">
        <f>РЕАЛИЗАЦИЯ[[#This Row],[СОНИ]]*РЕАЛИЗАЦИЯ[[#This Row],[НАРХИ]]</f>
        <v>0</v>
      </c>
      <c r="I1753" s="166"/>
      <c r="J1753" s="31">
        <f>РЕАЛИЗАЦИЯ[[#This Row],[СОНИ]]*РЕАЛИЗАЦИЯ[[#This Row],[ТАННАРХ]]</f>
        <v>0</v>
      </c>
      <c r="K1753" s="31">
        <f>РЕАЛИЗАЦИЯ[[#This Row],[ЖАМИ]]-РЕАЛИЗАЦИЯ[[#This Row],[ЖАМИ2]]</f>
        <v>0</v>
      </c>
      <c r="L1753" s="31"/>
    </row>
    <row r="1754" spans="3:12" ht="15" customHeight="1" x14ac:dyDescent="0.3">
      <c r="C1754" s="178"/>
      <c r="D1754" s="178"/>
      <c r="G1754" s="50">
        <f>РЕАЛИЗАЦИЯ[[#This Row],[СОНИ]]*РЕАЛИЗАЦИЯ[[#This Row],[НАРХИ]]</f>
        <v>0</v>
      </c>
      <c r="I1754" s="166"/>
      <c r="J1754" s="31">
        <f>РЕАЛИЗАЦИЯ[[#This Row],[СОНИ]]*РЕАЛИЗАЦИЯ[[#This Row],[ТАННАРХ]]</f>
        <v>0</v>
      </c>
      <c r="K1754" s="31">
        <f>РЕАЛИЗАЦИЯ[[#This Row],[ЖАМИ]]-РЕАЛИЗАЦИЯ[[#This Row],[ЖАМИ2]]</f>
        <v>0</v>
      </c>
      <c r="L1754" s="31"/>
    </row>
    <row r="1755" spans="3:12" ht="15" customHeight="1" x14ac:dyDescent="0.3">
      <c r="C1755" s="178"/>
      <c r="D1755" s="178"/>
      <c r="G1755" s="50">
        <f>РЕАЛИЗАЦИЯ[[#This Row],[СОНИ]]*РЕАЛИЗАЦИЯ[[#This Row],[НАРХИ]]</f>
        <v>0</v>
      </c>
      <c r="I1755" s="166"/>
      <c r="J1755" s="31">
        <f>РЕАЛИЗАЦИЯ[[#This Row],[СОНИ]]*РЕАЛИЗАЦИЯ[[#This Row],[ТАННАРХ]]</f>
        <v>0</v>
      </c>
      <c r="K1755" s="31">
        <f>РЕАЛИЗАЦИЯ[[#This Row],[ЖАМИ]]-РЕАЛИЗАЦИЯ[[#This Row],[ЖАМИ2]]</f>
        <v>0</v>
      </c>
      <c r="L1755" s="31"/>
    </row>
    <row r="1756" spans="3:12" ht="15" customHeight="1" x14ac:dyDescent="0.3">
      <c r="C1756" s="179"/>
      <c r="D1756" s="179"/>
      <c r="G1756" s="50">
        <f>РЕАЛИЗАЦИЯ[[#This Row],[СОНИ]]*РЕАЛИЗАЦИЯ[[#This Row],[НАРХИ]]</f>
        <v>0</v>
      </c>
      <c r="I1756" s="44"/>
      <c r="J1756" s="31">
        <f>РЕАЛИЗАЦИЯ[[#This Row],[СОНИ]]*РЕАЛИЗАЦИЯ[[#This Row],[ТАННАРХ]]</f>
        <v>0</v>
      </c>
      <c r="K1756" s="31">
        <f>РЕАЛИЗАЦИЯ[[#This Row],[ЖАМИ]]-РЕАЛИЗАЦИЯ[[#This Row],[ЖАМИ2]]</f>
        <v>0</v>
      </c>
      <c r="L1756" s="31"/>
    </row>
    <row r="1757" spans="3:12" ht="15" customHeight="1" x14ac:dyDescent="0.3">
      <c r="C1757" s="178"/>
      <c r="D1757" s="178"/>
      <c r="G1757" s="50">
        <f>РЕАЛИЗАЦИЯ[[#This Row],[СОНИ]]*РЕАЛИЗАЦИЯ[[#This Row],[НАРХИ]]</f>
        <v>0</v>
      </c>
      <c r="I1757" s="166"/>
      <c r="J1757" s="31">
        <f>РЕАЛИЗАЦИЯ[[#This Row],[СОНИ]]*РЕАЛИЗАЦИЯ[[#This Row],[ТАННАРХ]]</f>
        <v>0</v>
      </c>
      <c r="K1757" s="31">
        <f>РЕАЛИЗАЦИЯ[[#This Row],[ЖАМИ]]-РЕАЛИЗАЦИЯ[[#This Row],[ЖАМИ2]]</f>
        <v>0</v>
      </c>
      <c r="L1757" s="31"/>
    </row>
    <row r="1758" spans="3:12" ht="15" customHeight="1" x14ac:dyDescent="0.3">
      <c r="C1758" s="178"/>
      <c r="D1758" s="178"/>
      <c r="G1758" s="50">
        <f>РЕАЛИЗАЦИЯ[[#This Row],[СОНИ]]*РЕАЛИЗАЦИЯ[[#This Row],[НАРХИ]]</f>
        <v>0</v>
      </c>
      <c r="I1758" s="166"/>
      <c r="J1758" s="31">
        <f>РЕАЛИЗАЦИЯ[[#This Row],[СОНИ]]*РЕАЛИЗАЦИЯ[[#This Row],[ТАННАРХ]]</f>
        <v>0</v>
      </c>
      <c r="K1758" s="31">
        <f>РЕАЛИЗАЦИЯ[[#This Row],[ЖАМИ]]-РЕАЛИЗАЦИЯ[[#This Row],[ЖАМИ2]]</f>
        <v>0</v>
      </c>
      <c r="L1758" s="31"/>
    </row>
    <row r="1759" spans="3:12" ht="15" customHeight="1" x14ac:dyDescent="0.3">
      <c r="C1759" s="178"/>
      <c r="D1759" s="178"/>
      <c r="G1759" s="50">
        <f>РЕАЛИЗАЦИЯ[[#This Row],[СОНИ]]*РЕАЛИЗАЦИЯ[[#This Row],[НАРХИ]]</f>
        <v>0</v>
      </c>
      <c r="I1759" s="166"/>
      <c r="J1759" s="31">
        <f>РЕАЛИЗАЦИЯ[[#This Row],[СОНИ]]*РЕАЛИЗАЦИЯ[[#This Row],[ТАННАРХ]]</f>
        <v>0</v>
      </c>
      <c r="K1759" s="31">
        <f>РЕАЛИЗАЦИЯ[[#This Row],[ЖАМИ]]-РЕАЛИЗАЦИЯ[[#This Row],[ЖАМИ2]]</f>
        <v>0</v>
      </c>
      <c r="L1759" s="31"/>
    </row>
    <row r="1760" spans="3:12" ht="15" customHeight="1" x14ac:dyDescent="0.3">
      <c r="C1760" s="178"/>
      <c r="D1760" s="178"/>
      <c r="G1760" s="50">
        <f>РЕАЛИЗАЦИЯ[[#This Row],[СОНИ]]*РЕАЛИЗАЦИЯ[[#This Row],[НАРХИ]]</f>
        <v>0</v>
      </c>
      <c r="I1760" s="166"/>
      <c r="J1760" s="31">
        <f>РЕАЛИЗАЦИЯ[[#This Row],[СОНИ]]*РЕАЛИЗАЦИЯ[[#This Row],[ТАННАРХ]]</f>
        <v>0</v>
      </c>
      <c r="K1760" s="31">
        <f>РЕАЛИЗАЦИЯ[[#This Row],[ЖАМИ]]-РЕАЛИЗАЦИЯ[[#This Row],[ЖАМИ2]]</f>
        <v>0</v>
      </c>
      <c r="L1760" s="31"/>
    </row>
    <row r="1761" spans="3:12" ht="15" customHeight="1" x14ac:dyDescent="0.3">
      <c r="C1761" s="178"/>
      <c r="D1761" s="178"/>
      <c r="G1761" s="50">
        <f>РЕАЛИЗАЦИЯ[[#This Row],[СОНИ]]*РЕАЛИЗАЦИЯ[[#This Row],[НАРХИ]]</f>
        <v>0</v>
      </c>
      <c r="I1761" s="166"/>
      <c r="J1761" s="31">
        <f>РЕАЛИЗАЦИЯ[[#This Row],[СОНИ]]*РЕАЛИЗАЦИЯ[[#This Row],[ТАННАРХ]]</f>
        <v>0</v>
      </c>
      <c r="K1761" s="31">
        <f>РЕАЛИЗАЦИЯ[[#This Row],[ЖАМИ]]-РЕАЛИЗАЦИЯ[[#This Row],[ЖАМИ2]]</f>
        <v>0</v>
      </c>
      <c r="L1761" s="31"/>
    </row>
    <row r="1762" spans="3:12" ht="15" customHeight="1" x14ac:dyDescent="0.3">
      <c r="C1762" s="178"/>
      <c r="D1762" s="178"/>
      <c r="G1762" s="50">
        <f>РЕАЛИЗАЦИЯ[[#This Row],[СОНИ]]*РЕАЛИЗАЦИЯ[[#This Row],[НАРХИ]]</f>
        <v>0</v>
      </c>
      <c r="I1762" s="166"/>
      <c r="J1762" s="31">
        <f>РЕАЛИЗАЦИЯ[[#This Row],[СОНИ]]*РЕАЛИЗАЦИЯ[[#This Row],[ТАННАРХ]]</f>
        <v>0</v>
      </c>
      <c r="K1762" s="31">
        <f>РЕАЛИЗАЦИЯ[[#This Row],[ЖАМИ]]-РЕАЛИЗАЦИЯ[[#This Row],[ЖАМИ2]]</f>
        <v>0</v>
      </c>
      <c r="L1762" s="31"/>
    </row>
    <row r="1763" spans="3:12" ht="15" customHeight="1" x14ac:dyDescent="0.3">
      <c r="C1763" s="178"/>
      <c r="D1763" s="178"/>
      <c r="G1763" s="50">
        <f>РЕАЛИЗАЦИЯ[[#This Row],[СОНИ]]*РЕАЛИЗАЦИЯ[[#This Row],[НАРХИ]]</f>
        <v>0</v>
      </c>
      <c r="I1763" s="166"/>
      <c r="J1763" s="31">
        <f>РЕАЛИЗАЦИЯ[[#This Row],[СОНИ]]*РЕАЛИЗАЦИЯ[[#This Row],[ТАННАРХ]]</f>
        <v>0</v>
      </c>
      <c r="K1763" s="31">
        <f>РЕАЛИЗАЦИЯ[[#This Row],[ЖАМИ]]-РЕАЛИЗАЦИЯ[[#This Row],[ЖАМИ2]]</f>
        <v>0</v>
      </c>
      <c r="L1763" s="31"/>
    </row>
    <row r="1764" spans="3:12" ht="15" customHeight="1" x14ac:dyDescent="0.3">
      <c r="C1764" s="178"/>
      <c r="D1764" s="178"/>
      <c r="G1764" s="50">
        <f>РЕАЛИЗАЦИЯ[[#This Row],[СОНИ]]*РЕАЛИЗАЦИЯ[[#This Row],[НАРХИ]]</f>
        <v>0</v>
      </c>
      <c r="I1764" s="166"/>
      <c r="J1764" s="31">
        <f>РЕАЛИЗАЦИЯ[[#This Row],[СОНИ]]*РЕАЛИЗАЦИЯ[[#This Row],[ТАННАРХ]]</f>
        <v>0</v>
      </c>
      <c r="K1764" s="31">
        <f>РЕАЛИЗАЦИЯ[[#This Row],[ЖАМИ]]-РЕАЛИЗАЦИЯ[[#This Row],[ЖАМИ2]]</f>
        <v>0</v>
      </c>
      <c r="L1764" s="31"/>
    </row>
    <row r="1765" spans="3:12" ht="15" customHeight="1" x14ac:dyDescent="0.3">
      <c r="C1765" s="178"/>
      <c r="D1765" s="178"/>
      <c r="G1765" s="50">
        <f>РЕАЛИЗАЦИЯ[[#This Row],[СОНИ]]*РЕАЛИЗАЦИЯ[[#This Row],[НАРХИ]]</f>
        <v>0</v>
      </c>
      <c r="I1765" s="166"/>
      <c r="J1765" s="31">
        <f>РЕАЛИЗАЦИЯ[[#This Row],[СОНИ]]*РЕАЛИЗАЦИЯ[[#This Row],[ТАННАРХ]]</f>
        <v>0</v>
      </c>
      <c r="K1765" s="31">
        <f>РЕАЛИЗАЦИЯ[[#This Row],[ЖАМИ]]-РЕАЛИЗАЦИЯ[[#This Row],[ЖАМИ2]]</f>
        <v>0</v>
      </c>
      <c r="L1765" s="31"/>
    </row>
    <row r="1766" spans="3:12" ht="15" customHeight="1" x14ac:dyDescent="0.3">
      <c r="C1766" s="178"/>
      <c r="D1766" s="178"/>
      <c r="G1766" s="50">
        <f>РЕАЛИЗАЦИЯ[[#This Row],[СОНИ]]*РЕАЛИЗАЦИЯ[[#This Row],[НАРХИ]]</f>
        <v>0</v>
      </c>
      <c r="I1766" s="166"/>
      <c r="J1766" s="31">
        <f>РЕАЛИЗАЦИЯ[[#This Row],[СОНИ]]*РЕАЛИЗАЦИЯ[[#This Row],[ТАННАРХ]]</f>
        <v>0</v>
      </c>
      <c r="K1766" s="31">
        <f>РЕАЛИЗАЦИЯ[[#This Row],[ЖАМИ]]-РЕАЛИЗАЦИЯ[[#This Row],[ЖАМИ2]]</f>
        <v>0</v>
      </c>
      <c r="L1766" s="31"/>
    </row>
    <row r="1767" spans="3:12" ht="15" customHeight="1" x14ac:dyDescent="0.3">
      <c r="C1767" s="178"/>
      <c r="D1767" s="178"/>
      <c r="G1767" s="50">
        <f>РЕАЛИЗАЦИЯ[[#This Row],[СОНИ]]*РЕАЛИЗАЦИЯ[[#This Row],[НАРХИ]]</f>
        <v>0</v>
      </c>
      <c r="I1767" s="166"/>
      <c r="J1767" s="31">
        <f>РЕАЛИЗАЦИЯ[[#This Row],[СОНИ]]*РЕАЛИЗАЦИЯ[[#This Row],[ТАННАРХ]]</f>
        <v>0</v>
      </c>
      <c r="K1767" s="31">
        <f>РЕАЛИЗАЦИЯ[[#This Row],[ЖАМИ]]-РЕАЛИЗАЦИЯ[[#This Row],[ЖАМИ2]]</f>
        <v>0</v>
      </c>
      <c r="L1767" s="31"/>
    </row>
    <row r="1768" spans="3:12" ht="15" customHeight="1" x14ac:dyDescent="0.3">
      <c r="C1768" s="178"/>
      <c r="D1768" s="178"/>
      <c r="G1768" s="50">
        <f>РЕАЛИЗАЦИЯ[[#This Row],[СОНИ]]*РЕАЛИЗАЦИЯ[[#This Row],[НАРХИ]]</f>
        <v>0</v>
      </c>
      <c r="I1768" s="166"/>
      <c r="J1768" s="31">
        <f>РЕАЛИЗАЦИЯ[[#This Row],[СОНИ]]*РЕАЛИЗАЦИЯ[[#This Row],[ТАННАРХ]]</f>
        <v>0</v>
      </c>
      <c r="K1768" s="31">
        <f>РЕАЛИЗАЦИЯ[[#This Row],[ЖАМИ]]-РЕАЛИЗАЦИЯ[[#This Row],[ЖАМИ2]]</f>
        <v>0</v>
      </c>
      <c r="L1768" s="31"/>
    </row>
    <row r="1769" spans="3:12" ht="15" customHeight="1" x14ac:dyDescent="0.3">
      <c r="C1769" s="178"/>
      <c r="D1769" s="178"/>
      <c r="G1769" s="50">
        <f>РЕАЛИЗАЦИЯ[[#This Row],[СОНИ]]*РЕАЛИЗАЦИЯ[[#This Row],[НАРХИ]]</f>
        <v>0</v>
      </c>
      <c r="I1769" s="166"/>
      <c r="J1769" s="31">
        <f>РЕАЛИЗАЦИЯ[[#This Row],[СОНИ]]*РЕАЛИЗАЦИЯ[[#This Row],[ТАННАРХ]]</f>
        <v>0</v>
      </c>
      <c r="K1769" s="31">
        <f>РЕАЛИЗАЦИЯ[[#This Row],[ЖАМИ]]-РЕАЛИЗАЦИЯ[[#This Row],[ЖАМИ2]]</f>
        <v>0</v>
      </c>
      <c r="L1769" s="31"/>
    </row>
    <row r="1770" spans="3:12" ht="15" customHeight="1" x14ac:dyDescent="0.3">
      <c r="C1770" s="178"/>
      <c r="D1770" s="178"/>
      <c r="G1770" s="50">
        <f>РЕАЛИЗАЦИЯ[[#This Row],[СОНИ]]*РЕАЛИЗАЦИЯ[[#This Row],[НАРХИ]]</f>
        <v>0</v>
      </c>
      <c r="I1770" s="166"/>
      <c r="J1770" s="31">
        <f>РЕАЛИЗАЦИЯ[[#This Row],[СОНИ]]*РЕАЛИЗАЦИЯ[[#This Row],[ТАННАРХ]]</f>
        <v>0</v>
      </c>
      <c r="K1770" s="31">
        <f>РЕАЛИЗАЦИЯ[[#This Row],[ЖАМИ]]-РЕАЛИЗАЦИЯ[[#This Row],[ЖАМИ2]]</f>
        <v>0</v>
      </c>
      <c r="L1770" s="31"/>
    </row>
    <row r="1771" spans="3:12" ht="15" customHeight="1" x14ac:dyDescent="0.3">
      <c r="C1771" s="178"/>
      <c r="D1771" s="178"/>
      <c r="G1771" s="50">
        <f>РЕАЛИЗАЦИЯ[[#This Row],[СОНИ]]*РЕАЛИЗАЦИЯ[[#This Row],[НАРХИ]]</f>
        <v>0</v>
      </c>
      <c r="I1771" s="166"/>
      <c r="J1771" s="31">
        <f>РЕАЛИЗАЦИЯ[[#This Row],[СОНИ]]*РЕАЛИЗАЦИЯ[[#This Row],[ТАННАРХ]]</f>
        <v>0</v>
      </c>
      <c r="K1771" s="31">
        <f>РЕАЛИЗАЦИЯ[[#This Row],[ЖАМИ]]-РЕАЛИЗАЦИЯ[[#This Row],[ЖАМИ2]]</f>
        <v>0</v>
      </c>
      <c r="L1771" s="31"/>
    </row>
    <row r="1772" spans="3:12" ht="15" customHeight="1" x14ac:dyDescent="0.3">
      <c r="C1772" s="178"/>
      <c r="D1772" s="178"/>
      <c r="G1772" s="50">
        <f>РЕАЛИЗАЦИЯ[[#This Row],[СОНИ]]*РЕАЛИЗАЦИЯ[[#This Row],[НАРХИ]]</f>
        <v>0</v>
      </c>
      <c r="I1772" s="166"/>
      <c r="J1772" s="31">
        <f>РЕАЛИЗАЦИЯ[[#This Row],[СОНИ]]*РЕАЛИЗАЦИЯ[[#This Row],[ТАННАРХ]]</f>
        <v>0</v>
      </c>
      <c r="K1772" s="31">
        <f>РЕАЛИЗАЦИЯ[[#This Row],[ЖАМИ]]-РЕАЛИЗАЦИЯ[[#This Row],[ЖАМИ2]]</f>
        <v>0</v>
      </c>
      <c r="L1772" s="31"/>
    </row>
    <row r="1773" spans="3:12" ht="15" customHeight="1" x14ac:dyDescent="0.3">
      <c r="C1773" s="178"/>
      <c r="D1773" s="178"/>
      <c r="G1773" s="50">
        <f>РЕАЛИЗАЦИЯ[[#This Row],[СОНИ]]*РЕАЛИЗАЦИЯ[[#This Row],[НАРХИ]]</f>
        <v>0</v>
      </c>
      <c r="I1773" s="166"/>
      <c r="J1773" s="31">
        <f>РЕАЛИЗАЦИЯ[[#This Row],[СОНИ]]*РЕАЛИЗАЦИЯ[[#This Row],[ТАННАРХ]]</f>
        <v>0</v>
      </c>
      <c r="K1773" s="31">
        <f>РЕАЛИЗАЦИЯ[[#This Row],[ЖАМИ]]-РЕАЛИЗАЦИЯ[[#This Row],[ЖАМИ2]]</f>
        <v>0</v>
      </c>
      <c r="L1773" s="31"/>
    </row>
    <row r="1774" spans="3:12" ht="15" customHeight="1" x14ac:dyDescent="0.3">
      <c r="C1774" s="178"/>
      <c r="D1774" s="178"/>
      <c r="G1774" s="50">
        <f>РЕАЛИЗАЦИЯ[[#This Row],[СОНИ]]*РЕАЛИЗАЦИЯ[[#This Row],[НАРХИ]]</f>
        <v>0</v>
      </c>
      <c r="I1774" s="166"/>
      <c r="J1774" s="31">
        <f>РЕАЛИЗАЦИЯ[[#This Row],[СОНИ]]*РЕАЛИЗАЦИЯ[[#This Row],[ТАННАРХ]]</f>
        <v>0</v>
      </c>
      <c r="K1774" s="31">
        <f>РЕАЛИЗАЦИЯ[[#This Row],[ЖАМИ]]-РЕАЛИЗАЦИЯ[[#This Row],[ЖАМИ2]]</f>
        <v>0</v>
      </c>
      <c r="L1774" s="31"/>
    </row>
    <row r="1775" spans="3:12" ht="15" customHeight="1" x14ac:dyDescent="0.3">
      <c r="C1775" s="178"/>
      <c r="D1775" s="178"/>
      <c r="G1775" s="50">
        <f>РЕАЛИЗАЦИЯ[[#This Row],[СОНИ]]*РЕАЛИЗАЦИЯ[[#This Row],[НАРХИ]]</f>
        <v>0</v>
      </c>
      <c r="I1775" s="166"/>
      <c r="J1775" s="31">
        <f>РЕАЛИЗАЦИЯ[[#This Row],[СОНИ]]*РЕАЛИЗАЦИЯ[[#This Row],[ТАННАРХ]]</f>
        <v>0</v>
      </c>
      <c r="K1775" s="31">
        <f>РЕАЛИЗАЦИЯ[[#This Row],[ЖАМИ]]-РЕАЛИЗАЦИЯ[[#This Row],[ЖАМИ2]]</f>
        <v>0</v>
      </c>
      <c r="L1775" s="31"/>
    </row>
    <row r="1776" spans="3:12" ht="15" customHeight="1" x14ac:dyDescent="0.3">
      <c r="C1776" s="180"/>
      <c r="D1776" s="180"/>
      <c r="G1776" s="50">
        <f>РЕАЛИЗАЦИЯ[[#This Row],[СОНИ]]*РЕАЛИЗАЦИЯ[[#This Row],[НАРХИ]]</f>
        <v>0</v>
      </c>
      <c r="I1776" s="166"/>
      <c r="J1776" s="31">
        <f>РЕАЛИЗАЦИЯ[[#This Row],[СОНИ]]*РЕАЛИЗАЦИЯ[[#This Row],[ТАННАРХ]]</f>
        <v>0</v>
      </c>
      <c r="K1776" s="31">
        <f>РЕАЛИЗАЦИЯ[[#This Row],[ЖАМИ]]-РЕАЛИЗАЦИЯ[[#This Row],[ЖАМИ2]]</f>
        <v>0</v>
      </c>
      <c r="L1776" s="31"/>
    </row>
    <row r="1777" spans="3:12" ht="15" customHeight="1" x14ac:dyDescent="0.3">
      <c r="C1777" s="180"/>
      <c r="D1777" s="180"/>
      <c r="G1777" s="50">
        <f>РЕАЛИЗАЦИЯ[[#This Row],[СОНИ]]*РЕАЛИЗАЦИЯ[[#This Row],[НАРХИ]]</f>
        <v>0</v>
      </c>
      <c r="I1777" s="166"/>
      <c r="J1777" s="31">
        <f>РЕАЛИЗАЦИЯ[[#This Row],[СОНИ]]*РЕАЛИЗАЦИЯ[[#This Row],[ТАННАРХ]]</f>
        <v>0</v>
      </c>
      <c r="K1777" s="31">
        <f>РЕАЛИЗАЦИЯ[[#This Row],[ЖАМИ]]-РЕАЛИЗАЦИЯ[[#This Row],[ЖАМИ2]]</f>
        <v>0</v>
      </c>
      <c r="L1777" s="31"/>
    </row>
    <row r="1778" spans="3:12" ht="15" customHeight="1" x14ac:dyDescent="0.3">
      <c r="C1778" s="180"/>
      <c r="D1778" s="180"/>
      <c r="G1778" s="50">
        <f>РЕАЛИЗАЦИЯ[[#This Row],[СОНИ]]*РЕАЛИЗАЦИЯ[[#This Row],[НАРХИ]]</f>
        <v>0</v>
      </c>
      <c r="I1778" s="166"/>
      <c r="J1778" s="31">
        <f>РЕАЛИЗАЦИЯ[[#This Row],[СОНИ]]*РЕАЛИЗАЦИЯ[[#This Row],[ТАННАРХ]]</f>
        <v>0</v>
      </c>
      <c r="K1778" s="31">
        <f>РЕАЛИЗАЦИЯ[[#This Row],[ЖАМИ]]-РЕАЛИЗАЦИЯ[[#This Row],[ЖАМИ2]]</f>
        <v>0</v>
      </c>
      <c r="L1778" s="31"/>
    </row>
    <row r="1779" spans="3:12" ht="15" customHeight="1" x14ac:dyDescent="0.3">
      <c r="C1779" s="180"/>
      <c r="D1779" s="180"/>
      <c r="G1779" s="50">
        <f>РЕАЛИЗАЦИЯ[[#This Row],[СОНИ]]*РЕАЛИЗАЦИЯ[[#This Row],[НАРХИ]]</f>
        <v>0</v>
      </c>
      <c r="I1779" s="166"/>
      <c r="J1779" s="31">
        <f>РЕАЛИЗАЦИЯ[[#This Row],[СОНИ]]*РЕАЛИЗАЦИЯ[[#This Row],[ТАННАРХ]]</f>
        <v>0</v>
      </c>
      <c r="K1779" s="31">
        <f>РЕАЛИЗАЦИЯ[[#This Row],[ЖАМИ]]-РЕАЛИЗАЦИЯ[[#This Row],[ЖАМИ2]]</f>
        <v>0</v>
      </c>
      <c r="L1779" s="31"/>
    </row>
    <row r="1780" spans="3:12" ht="15" customHeight="1" x14ac:dyDescent="0.3">
      <c r="C1780" s="180"/>
      <c r="D1780" s="180"/>
      <c r="G1780" s="50">
        <f>РЕАЛИЗАЦИЯ[[#This Row],[СОНИ]]*РЕАЛИЗАЦИЯ[[#This Row],[НАРХИ]]</f>
        <v>0</v>
      </c>
      <c r="I1780" s="166"/>
      <c r="J1780" s="31">
        <f>РЕАЛИЗАЦИЯ[[#This Row],[СОНИ]]*РЕАЛИЗАЦИЯ[[#This Row],[ТАННАРХ]]</f>
        <v>0</v>
      </c>
      <c r="K1780" s="31">
        <f>РЕАЛИЗАЦИЯ[[#This Row],[ЖАМИ]]-РЕАЛИЗАЦИЯ[[#This Row],[ЖАМИ2]]</f>
        <v>0</v>
      </c>
      <c r="L1780" s="31"/>
    </row>
    <row r="1781" spans="3:12" ht="15" customHeight="1" x14ac:dyDescent="0.3">
      <c r="C1781" s="180"/>
      <c r="D1781" s="180"/>
      <c r="G1781" s="50">
        <f>РЕАЛИЗАЦИЯ[[#This Row],[СОНИ]]*РЕАЛИЗАЦИЯ[[#This Row],[НАРХИ]]</f>
        <v>0</v>
      </c>
      <c r="I1781" s="166"/>
      <c r="J1781" s="31">
        <f>РЕАЛИЗАЦИЯ[[#This Row],[СОНИ]]*РЕАЛИЗАЦИЯ[[#This Row],[ТАННАРХ]]</f>
        <v>0</v>
      </c>
      <c r="K1781" s="31">
        <f>РЕАЛИЗАЦИЯ[[#This Row],[ЖАМИ]]-РЕАЛИЗАЦИЯ[[#This Row],[ЖАМИ2]]</f>
        <v>0</v>
      </c>
      <c r="L1781" s="31"/>
    </row>
    <row r="1782" spans="3:12" ht="15" customHeight="1" x14ac:dyDescent="0.3">
      <c r="C1782" s="180"/>
      <c r="D1782" s="180"/>
      <c r="G1782" s="50">
        <f>РЕАЛИЗАЦИЯ[[#This Row],[СОНИ]]*РЕАЛИЗАЦИЯ[[#This Row],[НАРХИ]]</f>
        <v>0</v>
      </c>
      <c r="I1782" s="166"/>
      <c r="J1782" s="31">
        <f>РЕАЛИЗАЦИЯ[[#This Row],[СОНИ]]*РЕАЛИЗАЦИЯ[[#This Row],[ТАННАРХ]]</f>
        <v>0</v>
      </c>
      <c r="K1782" s="31">
        <f>РЕАЛИЗАЦИЯ[[#This Row],[ЖАМИ]]-РЕАЛИЗАЦИЯ[[#This Row],[ЖАМИ2]]</f>
        <v>0</v>
      </c>
      <c r="L1782" s="31"/>
    </row>
    <row r="1783" spans="3:12" ht="15" customHeight="1" x14ac:dyDescent="0.3">
      <c r="C1783" s="180"/>
      <c r="D1783" s="180"/>
      <c r="G1783" s="50">
        <f>РЕАЛИЗАЦИЯ[[#This Row],[СОНИ]]*РЕАЛИЗАЦИЯ[[#This Row],[НАРХИ]]</f>
        <v>0</v>
      </c>
      <c r="I1783" s="166"/>
      <c r="J1783" s="31">
        <f>РЕАЛИЗАЦИЯ[[#This Row],[СОНИ]]*РЕАЛИЗАЦИЯ[[#This Row],[ТАННАРХ]]</f>
        <v>0</v>
      </c>
      <c r="K1783" s="31">
        <f>РЕАЛИЗАЦИЯ[[#This Row],[ЖАМИ]]-РЕАЛИЗАЦИЯ[[#This Row],[ЖАМИ2]]</f>
        <v>0</v>
      </c>
      <c r="L1783" s="31"/>
    </row>
    <row r="1784" spans="3:12" ht="15" customHeight="1" x14ac:dyDescent="0.3">
      <c r="C1784" s="180"/>
      <c r="D1784" s="180"/>
      <c r="G1784" s="50">
        <f>РЕАЛИЗАЦИЯ[[#This Row],[СОНИ]]*РЕАЛИЗАЦИЯ[[#This Row],[НАРХИ]]</f>
        <v>0</v>
      </c>
      <c r="I1784" s="166"/>
      <c r="J1784" s="31">
        <f>РЕАЛИЗАЦИЯ[[#This Row],[СОНИ]]*РЕАЛИЗАЦИЯ[[#This Row],[ТАННАРХ]]</f>
        <v>0</v>
      </c>
      <c r="K1784" s="31">
        <f>РЕАЛИЗАЦИЯ[[#This Row],[ЖАМИ]]-РЕАЛИЗАЦИЯ[[#This Row],[ЖАМИ2]]</f>
        <v>0</v>
      </c>
      <c r="L1784" s="31"/>
    </row>
    <row r="1785" spans="3:12" ht="15" customHeight="1" x14ac:dyDescent="0.3">
      <c r="C1785" s="180"/>
      <c r="D1785" s="180"/>
      <c r="G1785" s="50">
        <f>РЕАЛИЗАЦИЯ[[#This Row],[СОНИ]]*РЕАЛИЗАЦИЯ[[#This Row],[НАРХИ]]</f>
        <v>0</v>
      </c>
      <c r="I1785" s="166"/>
      <c r="J1785" s="31">
        <f>РЕАЛИЗАЦИЯ[[#This Row],[СОНИ]]*РЕАЛИЗАЦИЯ[[#This Row],[ТАННАРХ]]</f>
        <v>0</v>
      </c>
      <c r="K1785" s="31">
        <f>РЕАЛИЗАЦИЯ[[#This Row],[ЖАМИ]]-РЕАЛИЗАЦИЯ[[#This Row],[ЖАМИ2]]</f>
        <v>0</v>
      </c>
      <c r="L1785" s="31"/>
    </row>
    <row r="1786" spans="3:12" ht="15" customHeight="1" x14ac:dyDescent="0.3">
      <c r="C1786" s="180"/>
      <c r="D1786" s="180"/>
      <c r="G1786" s="50">
        <f>РЕАЛИЗАЦИЯ[[#This Row],[СОНИ]]*РЕАЛИЗАЦИЯ[[#This Row],[НАРХИ]]</f>
        <v>0</v>
      </c>
      <c r="I1786" s="166"/>
      <c r="J1786" s="31">
        <f>РЕАЛИЗАЦИЯ[[#This Row],[СОНИ]]*РЕАЛИЗАЦИЯ[[#This Row],[ТАННАРХ]]</f>
        <v>0</v>
      </c>
      <c r="K1786" s="31">
        <f>РЕАЛИЗАЦИЯ[[#This Row],[ЖАМИ]]-РЕАЛИЗАЦИЯ[[#This Row],[ЖАМИ2]]</f>
        <v>0</v>
      </c>
      <c r="L1786" s="31"/>
    </row>
    <row r="1787" spans="3:12" ht="15" customHeight="1" x14ac:dyDescent="0.3">
      <c r="C1787" s="180"/>
      <c r="D1787" s="180"/>
      <c r="G1787" s="50">
        <f>РЕАЛИЗАЦИЯ[[#This Row],[СОНИ]]*РЕАЛИЗАЦИЯ[[#This Row],[НАРХИ]]</f>
        <v>0</v>
      </c>
      <c r="I1787" s="166"/>
      <c r="J1787" s="31">
        <f>РЕАЛИЗАЦИЯ[[#This Row],[СОНИ]]*РЕАЛИЗАЦИЯ[[#This Row],[ТАННАРХ]]</f>
        <v>0</v>
      </c>
      <c r="K1787" s="31">
        <f>РЕАЛИЗАЦИЯ[[#This Row],[ЖАМИ]]-РЕАЛИЗАЦИЯ[[#This Row],[ЖАМИ2]]</f>
        <v>0</v>
      </c>
      <c r="L1787" s="31"/>
    </row>
    <row r="1788" spans="3:12" ht="15" customHeight="1" x14ac:dyDescent="0.3">
      <c r="C1788" s="180"/>
      <c r="D1788" s="180"/>
      <c r="G1788" s="50">
        <f>РЕАЛИЗАЦИЯ[[#This Row],[СОНИ]]*РЕАЛИЗАЦИЯ[[#This Row],[НАРХИ]]</f>
        <v>0</v>
      </c>
      <c r="I1788" s="166"/>
      <c r="J1788" s="31">
        <f>РЕАЛИЗАЦИЯ[[#This Row],[СОНИ]]*РЕАЛИЗАЦИЯ[[#This Row],[ТАННАРХ]]</f>
        <v>0</v>
      </c>
      <c r="K1788" s="31">
        <f>РЕАЛИЗАЦИЯ[[#This Row],[ЖАМИ]]-РЕАЛИЗАЦИЯ[[#This Row],[ЖАМИ2]]</f>
        <v>0</v>
      </c>
      <c r="L1788" s="31"/>
    </row>
    <row r="1789" spans="3:12" ht="15" customHeight="1" x14ac:dyDescent="0.3">
      <c r="C1789" s="180"/>
      <c r="D1789" s="180"/>
      <c r="G1789" s="50">
        <f>РЕАЛИЗАЦИЯ[[#This Row],[СОНИ]]*РЕАЛИЗАЦИЯ[[#This Row],[НАРХИ]]</f>
        <v>0</v>
      </c>
      <c r="I1789" s="166"/>
      <c r="J1789" s="31">
        <f>РЕАЛИЗАЦИЯ[[#This Row],[СОНИ]]*РЕАЛИЗАЦИЯ[[#This Row],[ТАННАРХ]]</f>
        <v>0</v>
      </c>
      <c r="K1789" s="31">
        <f>РЕАЛИЗАЦИЯ[[#This Row],[ЖАМИ]]-РЕАЛИЗАЦИЯ[[#This Row],[ЖАМИ2]]</f>
        <v>0</v>
      </c>
      <c r="L1789" s="31"/>
    </row>
    <row r="1790" spans="3:12" ht="15" customHeight="1" x14ac:dyDescent="0.3">
      <c r="C1790" s="180"/>
      <c r="D1790" s="180"/>
      <c r="G1790" s="50">
        <f>РЕАЛИЗАЦИЯ[[#This Row],[СОНИ]]*РЕАЛИЗАЦИЯ[[#This Row],[НАРХИ]]</f>
        <v>0</v>
      </c>
      <c r="I1790" s="166"/>
      <c r="J1790" s="31">
        <f>РЕАЛИЗАЦИЯ[[#This Row],[СОНИ]]*РЕАЛИЗАЦИЯ[[#This Row],[ТАННАРХ]]</f>
        <v>0</v>
      </c>
      <c r="K1790" s="31">
        <f>РЕАЛИЗАЦИЯ[[#This Row],[ЖАМИ]]-РЕАЛИЗАЦИЯ[[#This Row],[ЖАМИ2]]</f>
        <v>0</v>
      </c>
      <c r="L1790" s="31"/>
    </row>
    <row r="1791" spans="3:12" ht="15" customHeight="1" x14ac:dyDescent="0.3">
      <c r="C1791" s="180"/>
      <c r="D1791" s="180"/>
      <c r="G1791" s="50">
        <f>РЕАЛИЗАЦИЯ[[#This Row],[СОНИ]]*РЕАЛИЗАЦИЯ[[#This Row],[НАРХИ]]</f>
        <v>0</v>
      </c>
      <c r="I1791" s="166"/>
      <c r="J1791" s="31">
        <f>РЕАЛИЗАЦИЯ[[#This Row],[СОНИ]]*РЕАЛИЗАЦИЯ[[#This Row],[ТАННАРХ]]</f>
        <v>0</v>
      </c>
      <c r="K1791" s="31">
        <f>РЕАЛИЗАЦИЯ[[#This Row],[ЖАМИ]]-РЕАЛИЗАЦИЯ[[#This Row],[ЖАМИ2]]</f>
        <v>0</v>
      </c>
      <c r="L1791" s="31"/>
    </row>
    <row r="1792" spans="3:12" ht="15" customHeight="1" x14ac:dyDescent="0.3">
      <c r="C1792" s="180"/>
      <c r="D1792" s="180"/>
      <c r="G1792" s="50">
        <f>РЕАЛИЗАЦИЯ[[#This Row],[СОНИ]]*РЕАЛИЗАЦИЯ[[#This Row],[НАРХИ]]</f>
        <v>0</v>
      </c>
      <c r="I1792" s="166"/>
      <c r="J1792" s="31">
        <f>РЕАЛИЗАЦИЯ[[#This Row],[СОНИ]]*РЕАЛИЗАЦИЯ[[#This Row],[ТАННАРХ]]</f>
        <v>0</v>
      </c>
      <c r="K1792" s="31">
        <f>РЕАЛИЗАЦИЯ[[#This Row],[ЖАМИ]]-РЕАЛИЗАЦИЯ[[#This Row],[ЖАМИ2]]</f>
        <v>0</v>
      </c>
      <c r="L1792" s="31"/>
    </row>
    <row r="1793" spans="3:12" ht="15" customHeight="1" x14ac:dyDescent="0.3">
      <c r="C1793" s="180"/>
      <c r="D1793" s="180"/>
      <c r="G1793" s="50">
        <f>РЕАЛИЗАЦИЯ[[#This Row],[СОНИ]]*РЕАЛИЗАЦИЯ[[#This Row],[НАРХИ]]</f>
        <v>0</v>
      </c>
      <c r="I1793" s="166"/>
      <c r="J1793" s="31">
        <f>РЕАЛИЗАЦИЯ[[#This Row],[СОНИ]]*РЕАЛИЗАЦИЯ[[#This Row],[ТАННАРХ]]</f>
        <v>0</v>
      </c>
      <c r="K1793" s="31">
        <f>РЕАЛИЗАЦИЯ[[#This Row],[ЖАМИ]]-РЕАЛИЗАЦИЯ[[#This Row],[ЖАМИ2]]</f>
        <v>0</v>
      </c>
      <c r="L1793" s="31"/>
    </row>
    <row r="1794" spans="3:12" ht="15" customHeight="1" x14ac:dyDescent="0.3">
      <c r="C1794" s="180"/>
      <c r="D1794" s="180"/>
      <c r="G1794" s="50">
        <f>РЕАЛИЗАЦИЯ[[#This Row],[СОНИ]]*РЕАЛИЗАЦИЯ[[#This Row],[НАРХИ]]</f>
        <v>0</v>
      </c>
      <c r="I1794" s="166"/>
      <c r="J1794" s="31">
        <f>РЕАЛИЗАЦИЯ[[#This Row],[СОНИ]]*РЕАЛИЗАЦИЯ[[#This Row],[ТАННАРХ]]</f>
        <v>0</v>
      </c>
      <c r="K1794" s="31">
        <f>РЕАЛИЗАЦИЯ[[#This Row],[ЖАМИ]]-РЕАЛИЗАЦИЯ[[#This Row],[ЖАМИ2]]</f>
        <v>0</v>
      </c>
      <c r="L1794" s="31"/>
    </row>
    <row r="1795" spans="3:12" ht="15" customHeight="1" x14ac:dyDescent="0.3">
      <c r="C1795" s="180"/>
      <c r="D1795" s="180"/>
      <c r="G1795" s="50">
        <f>РЕАЛИЗАЦИЯ[[#This Row],[СОНИ]]*РЕАЛИЗАЦИЯ[[#This Row],[НАРХИ]]</f>
        <v>0</v>
      </c>
      <c r="I1795" s="166"/>
      <c r="J1795" s="31">
        <f>РЕАЛИЗАЦИЯ[[#This Row],[СОНИ]]*РЕАЛИЗАЦИЯ[[#This Row],[ТАННАРХ]]</f>
        <v>0</v>
      </c>
      <c r="K1795" s="31">
        <f>РЕАЛИЗАЦИЯ[[#This Row],[ЖАМИ]]-РЕАЛИЗАЦИЯ[[#This Row],[ЖАМИ2]]</f>
        <v>0</v>
      </c>
      <c r="L1795" s="31"/>
    </row>
    <row r="1796" spans="3:12" ht="15" customHeight="1" x14ac:dyDescent="0.3">
      <c r="C1796" s="180"/>
      <c r="D1796" s="180"/>
      <c r="G1796" s="50">
        <f>РЕАЛИЗАЦИЯ[[#This Row],[СОНИ]]*РЕАЛИЗАЦИЯ[[#This Row],[НАРХИ]]</f>
        <v>0</v>
      </c>
      <c r="I1796" s="166"/>
      <c r="J1796" s="31">
        <f>РЕАЛИЗАЦИЯ[[#This Row],[СОНИ]]*РЕАЛИЗАЦИЯ[[#This Row],[ТАННАРХ]]</f>
        <v>0</v>
      </c>
      <c r="K1796" s="31">
        <f>РЕАЛИЗАЦИЯ[[#This Row],[ЖАМИ]]-РЕАЛИЗАЦИЯ[[#This Row],[ЖАМИ2]]</f>
        <v>0</v>
      </c>
      <c r="L1796" s="31"/>
    </row>
    <row r="1797" spans="3:12" ht="15" customHeight="1" x14ac:dyDescent="0.3">
      <c r="C1797" s="180"/>
      <c r="D1797" s="180"/>
      <c r="G1797" s="50">
        <f>РЕАЛИЗАЦИЯ[[#This Row],[СОНИ]]*РЕАЛИЗАЦИЯ[[#This Row],[НАРХИ]]</f>
        <v>0</v>
      </c>
      <c r="I1797" s="166"/>
      <c r="J1797" s="31">
        <f>РЕАЛИЗАЦИЯ[[#This Row],[СОНИ]]*РЕАЛИЗАЦИЯ[[#This Row],[ТАННАРХ]]</f>
        <v>0</v>
      </c>
      <c r="K1797" s="31">
        <f>РЕАЛИЗАЦИЯ[[#This Row],[ЖАМИ]]-РЕАЛИЗАЦИЯ[[#This Row],[ЖАМИ2]]</f>
        <v>0</v>
      </c>
      <c r="L1797" s="31"/>
    </row>
    <row r="1798" spans="3:12" ht="15" customHeight="1" x14ac:dyDescent="0.3">
      <c r="C1798" s="181"/>
      <c r="D1798" s="181"/>
      <c r="G1798" s="50">
        <f>РЕАЛИЗАЦИЯ[[#This Row],[СОНИ]]*РЕАЛИЗАЦИЯ[[#This Row],[НАРХИ]]</f>
        <v>0</v>
      </c>
      <c r="I1798" s="166"/>
      <c r="J1798" s="31">
        <f>РЕАЛИЗАЦИЯ[[#This Row],[СОНИ]]*РЕАЛИЗАЦИЯ[[#This Row],[ТАННАРХ]]</f>
        <v>0</v>
      </c>
      <c r="K1798" s="31">
        <f>РЕАЛИЗАЦИЯ[[#This Row],[ЖАМИ]]-РЕАЛИЗАЦИЯ[[#This Row],[ЖАМИ2]]</f>
        <v>0</v>
      </c>
      <c r="L1798" s="31"/>
    </row>
    <row r="1799" spans="3:12" ht="15" customHeight="1" x14ac:dyDescent="0.3">
      <c r="C1799" s="181"/>
      <c r="D1799" s="181"/>
      <c r="G1799" s="50">
        <f>РЕАЛИЗАЦИЯ[[#This Row],[СОНИ]]*РЕАЛИЗАЦИЯ[[#This Row],[НАРХИ]]</f>
        <v>0</v>
      </c>
      <c r="I1799" s="166"/>
      <c r="J1799" s="31">
        <f>РЕАЛИЗАЦИЯ[[#This Row],[СОНИ]]*РЕАЛИЗАЦИЯ[[#This Row],[ТАННАРХ]]</f>
        <v>0</v>
      </c>
      <c r="K1799" s="31">
        <f>РЕАЛИЗАЦИЯ[[#This Row],[ЖАМИ]]-РЕАЛИЗАЦИЯ[[#This Row],[ЖАМИ2]]</f>
        <v>0</v>
      </c>
      <c r="L1799" s="31"/>
    </row>
    <row r="1800" spans="3:12" x14ac:dyDescent="0.3">
      <c r="C1800" s="181"/>
      <c r="D1800" s="181"/>
      <c r="G1800" s="50">
        <f>РЕАЛИЗАЦИЯ[[#This Row],[СОНИ]]*РЕАЛИЗАЦИЯ[[#This Row],[НАРХИ]]</f>
        <v>0</v>
      </c>
      <c r="I1800" s="166"/>
      <c r="J1800" s="31">
        <f>РЕАЛИЗАЦИЯ[[#This Row],[СОНИ]]*РЕАЛИЗАЦИЯ[[#This Row],[ТАННАРХ]]</f>
        <v>0</v>
      </c>
      <c r="K1800" s="31">
        <f>РЕАЛИЗАЦИЯ[[#This Row],[ЖАМИ]]-РЕАЛИЗАЦИЯ[[#This Row],[ЖАМИ2]]</f>
        <v>0</v>
      </c>
      <c r="L1800" s="31"/>
    </row>
    <row r="1801" spans="3:12" ht="15" customHeight="1" x14ac:dyDescent="0.3">
      <c r="C1801" s="181"/>
      <c r="D1801" s="181"/>
      <c r="G1801" s="50">
        <f>РЕАЛИЗАЦИЯ[[#This Row],[СОНИ]]*РЕАЛИЗАЦИЯ[[#This Row],[НАРХИ]]</f>
        <v>0</v>
      </c>
      <c r="I1801" s="166"/>
      <c r="J1801" s="31">
        <f>РЕАЛИЗАЦИЯ[[#This Row],[СОНИ]]*РЕАЛИЗАЦИЯ[[#This Row],[ТАННАРХ]]</f>
        <v>0</v>
      </c>
      <c r="K1801" s="31">
        <f>РЕАЛИЗАЦИЯ[[#This Row],[ЖАМИ]]-РЕАЛИЗАЦИЯ[[#This Row],[ЖАМИ2]]</f>
        <v>0</v>
      </c>
      <c r="L1801" s="31"/>
    </row>
    <row r="1802" spans="3:12" ht="15" customHeight="1" x14ac:dyDescent="0.3">
      <c r="C1802" s="181"/>
      <c r="D1802" s="181"/>
      <c r="G1802" s="50">
        <f>РЕАЛИЗАЦИЯ[[#This Row],[СОНИ]]*РЕАЛИЗАЦИЯ[[#This Row],[НАРХИ]]</f>
        <v>0</v>
      </c>
      <c r="I1802" s="166"/>
      <c r="J1802" s="31">
        <f>РЕАЛИЗАЦИЯ[[#This Row],[СОНИ]]*РЕАЛИЗАЦИЯ[[#This Row],[ТАННАРХ]]</f>
        <v>0</v>
      </c>
      <c r="K1802" s="31">
        <f>РЕАЛИЗАЦИЯ[[#This Row],[ЖАМИ]]-РЕАЛИЗАЦИЯ[[#This Row],[ЖАМИ2]]</f>
        <v>0</v>
      </c>
      <c r="L1802" s="31"/>
    </row>
    <row r="1803" spans="3:12" ht="15" customHeight="1" x14ac:dyDescent="0.3">
      <c r="C1803" s="181"/>
      <c r="D1803" s="181"/>
      <c r="G1803" s="50">
        <f>РЕАЛИЗАЦИЯ[[#This Row],[СОНИ]]*РЕАЛИЗАЦИЯ[[#This Row],[НАРХИ]]</f>
        <v>0</v>
      </c>
      <c r="I1803" s="166"/>
      <c r="J1803" s="31">
        <f>РЕАЛИЗАЦИЯ[[#This Row],[СОНИ]]*РЕАЛИЗАЦИЯ[[#This Row],[ТАННАРХ]]</f>
        <v>0</v>
      </c>
      <c r="K1803" s="31">
        <f>РЕАЛИЗАЦИЯ[[#This Row],[ЖАМИ]]-РЕАЛИЗАЦИЯ[[#This Row],[ЖАМИ2]]</f>
        <v>0</v>
      </c>
      <c r="L1803" s="31"/>
    </row>
    <row r="1804" spans="3:12" ht="15" customHeight="1" x14ac:dyDescent="0.3">
      <c r="C1804" s="181"/>
      <c r="D1804" s="181"/>
      <c r="G1804" s="50">
        <f>РЕАЛИЗАЦИЯ[[#This Row],[СОНИ]]*РЕАЛИЗАЦИЯ[[#This Row],[НАРХИ]]</f>
        <v>0</v>
      </c>
      <c r="I1804" s="166"/>
      <c r="J1804" s="31">
        <f>РЕАЛИЗАЦИЯ[[#This Row],[СОНИ]]*РЕАЛИЗАЦИЯ[[#This Row],[ТАННАРХ]]</f>
        <v>0</v>
      </c>
      <c r="K1804" s="31">
        <f>РЕАЛИЗАЦИЯ[[#This Row],[ЖАМИ]]-РЕАЛИЗАЦИЯ[[#This Row],[ЖАМИ2]]</f>
        <v>0</v>
      </c>
      <c r="L1804" s="31"/>
    </row>
    <row r="1805" spans="3:12" ht="15" customHeight="1" x14ac:dyDescent="0.3">
      <c r="C1805" s="181"/>
      <c r="D1805" s="181"/>
      <c r="G1805" s="50">
        <f>РЕАЛИЗАЦИЯ[[#This Row],[СОНИ]]*РЕАЛИЗАЦИЯ[[#This Row],[НАРХИ]]</f>
        <v>0</v>
      </c>
      <c r="I1805" s="166"/>
      <c r="J1805" s="31">
        <f>РЕАЛИЗАЦИЯ[[#This Row],[СОНИ]]*РЕАЛИЗАЦИЯ[[#This Row],[ТАННАРХ]]</f>
        <v>0</v>
      </c>
      <c r="K1805" s="31">
        <f>РЕАЛИЗАЦИЯ[[#This Row],[ЖАМИ]]-РЕАЛИЗАЦИЯ[[#This Row],[ЖАМИ2]]</f>
        <v>0</v>
      </c>
      <c r="L1805" s="31"/>
    </row>
    <row r="1806" spans="3:12" ht="15" customHeight="1" x14ac:dyDescent="0.3">
      <c r="C1806" s="181"/>
      <c r="D1806" s="181"/>
      <c r="G1806" s="50">
        <f>РЕАЛИЗАЦИЯ[[#This Row],[СОНИ]]*РЕАЛИЗАЦИЯ[[#This Row],[НАРХИ]]</f>
        <v>0</v>
      </c>
      <c r="I1806" s="166"/>
      <c r="J1806" s="31">
        <f>РЕАЛИЗАЦИЯ[[#This Row],[СОНИ]]*РЕАЛИЗАЦИЯ[[#This Row],[ТАННАРХ]]</f>
        <v>0</v>
      </c>
      <c r="K1806" s="31">
        <f>РЕАЛИЗАЦИЯ[[#This Row],[ЖАМИ]]-РЕАЛИЗАЦИЯ[[#This Row],[ЖАМИ2]]</f>
        <v>0</v>
      </c>
      <c r="L1806" s="31"/>
    </row>
    <row r="1807" spans="3:12" ht="15" customHeight="1" x14ac:dyDescent="0.3">
      <c r="C1807" s="181"/>
      <c r="D1807" s="181"/>
      <c r="G1807" s="50">
        <f>РЕАЛИЗАЦИЯ[[#This Row],[СОНИ]]*РЕАЛИЗАЦИЯ[[#This Row],[НАРХИ]]</f>
        <v>0</v>
      </c>
      <c r="I1807" s="166"/>
      <c r="J1807" s="31">
        <f>РЕАЛИЗАЦИЯ[[#This Row],[СОНИ]]*РЕАЛИЗАЦИЯ[[#This Row],[ТАННАРХ]]</f>
        <v>0</v>
      </c>
      <c r="K1807" s="31">
        <f>РЕАЛИЗАЦИЯ[[#This Row],[ЖАМИ]]-РЕАЛИЗАЦИЯ[[#This Row],[ЖАМИ2]]</f>
        <v>0</v>
      </c>
      <c r="L1807" s="31"/>
    </row>
    <row r="1808" spans="3:12" ht="15" customHeight="1" x14ac:dyDescent="0.3">
      <c r="C1808" s="181"/>
      <c r="D1808" s="181"/>
      <c r="G1808" s="50">
        <f>РЕАЛИЗАЦИЯ[[#This Row],[СОНИ]]*РЕАЛИЗАЦИЯ[[#This Row],[НАРХИ]]</f>
        <v>0</v>
      </c>
      <c r="I1808" s="166"/>
      <c r="J1808" s="31">
        <f>РЕАЛИЗАЦИЯ[[#This Row],[СОНИ]]*РЕАЛИЗАЦИЯ[[#This Row],[ТАННАРХ]]</f>
        <v>0</v>
      </c>
      <c r="K1808" s="31">
        <f>РЕАЛИЗАЦИЯ[[#This Row],[ЖАМИ]]-РЕАЛИЗАЦИЯ[[#This Row],[ЖАМИ2]]</f>
        <v>0</v>
      </c>
      <c r="L1808" s="31"/>
    </row>
    <row r="1809" spans="3:12" ht="15" customHeight="1" x14ac:dyDescent="0.3">
      <c r="C1809" s="181"/>
      <c r="D1809" s="181"/>
      <c r="G1809" s="50">
        <f>РЕАЛИЗАЦИЯ[[#This Row],[СОНИ]]*РЕАЛИЗАЦИЯ[[#This Row],[НАРХИ]]</f>
        <v>0</v>
      </c>
      <c r="I1809" s="166"/>
      <c r="J1809" s="31">
        <f>РЕАЛИЗАЦИЯ[[#This Row],[СОНИ]]*РЕАЛИЗАЦИЯ[[#This Row],[ТАННАРХ]]</f>
        <v>0</v>
      </c>
      <c r="K1809" s="31">
        <f>РЕАЛИЗАЦИЯ[[#This Row],[ЖАМИ]]-РЕАЛИЗАЦИЯ[[#This Row],[ЖАМИ2]]</f>
        <v>0</v>
      </c>
      <c r="L1809" s="31"/>
    </row>
    <row r="1810" spans="3:12" ht="15" customHeight="1" x14ac:dyDescent="0.3">
      <c r="C1810" s="181"/>
      <c r="D1810" s="181"/>
      <c r="G1810" s="50">
        <f>РЕАЛИЗАЦИЯ[[#This Row],[СОНИ]]*РЕАЛИЗАЦИЯ[[#This Row],[НАРХИ]]</f>
        <v>0</v>
      </c>
      <c r="I1810" s="166"/>
      <c r="J1810" s="31">
        <f>РЕАЛИЗАЦИЯ[[#This Row],[СОНИ]]*РЕАЛИЗАЦИЯ[[#This Row],[ТАННАРХ]]</f>
        <v>0</v>
      </c>
      <c r="K1810" s="31">
        <f>РЕАЛИЗАЦИЯ[[#This Row],[ЖАМИ]]-РЕАЛИЗАЦИЯ[[#This Row],[ЖАМИ2]]</f>
        <v>0</v>
      </c>
      <c r="L1810" s="31"/>
    </row>
    <row r="1811" spans="3:12" ht="15" customHeight="1" x14ac:dyDescent="0.3">
      <c r="C1811" s="181"/>
      <c r="D1811" s="181"/>
      <c r="G1811" s="50">
        <f>РЕАЛИЗАЦИЯ[[#This Row],[СОНИ]]*РЕАЛИЗАЦИЯ[[#This Row],[НАРХИ]]</f>
        <v>0</v>
      </c>
      <c r="I1811" s="166"/>
      <c r="J1811" s="31">
        <f>РЕАЛИЗАЦИЯ[[#This Row],[СОНИ]]*РЕАЛИЗАЦИЯ[[#This Row],[ТАННАРХ]]</f>
        <v>0</v>
      </c>
      <c r="K1811" s="31">
        <f>РЕАЛИЗАЦИЯ[[#This Row],[ЖАМИ]]-РЕАЛИЗАЦИЯ[[#This Row],[ЖАМИ2]]</f>
        <v>0</v>
      </c>
      <c r="L1811" s="31"/>
    </row>
    <row r="1812" spans="3:12" ht="15" customHeight="1" x14ac:dyDescent="0.3">
      <c r="C1812" s="181"/>
      <c r="D1812" s="181"/>
      <c r="G1812" s="50">
        <f>РЕАЛИЗАЦИЯ[[#This Row],[СОНИ]]*РЕАЛИЗАЦИЯ[[#This Row],[НАРХИ]]</f>
        <v>0</v>
      </c>
      <c r="I1812" s="166"/>
      <c r="J1812" s="31">
        <f>РЕАЛИЗАЦИЯ[[#This Row],[СОНИ]]*РЕАЛИЗАЦИЯ[[#This Row],[ТАННАРХ]]</f>
        <v>0</v>
      </c>
      <c r="K1812" s="31">
        <f>РЕАЛИЗАЦИЯ[[#This Row],[ЖАМИ]]-РЕАЛИЗАЦИЯ[[#This Row],[ЖАМИ2]]</f>
        <v>0</v>
      </c>
      <c r="L1812" s="31"/>
    </row>
    <row r="1813" spans="3:12" ht="15" customHeight="1" x14ac:dyDescent="0.3">
      <c r="C1813" s="184"/>
      <c r="D1813" s="184"/>
      <c r="G1813" s="50">
        <f>РЕАЛИЗАЦИЯ[[#This Row],[СОНИ]]*РЕАЛИЗАЦИЯ[[#This Row],[НАРХИ]]</f>
        <v>0</v>
      </c>
      <c r="I1813" s="166"/>
      <c r="J1813" s="31">
        <f>РЕАЛИЗАЦИЯ[[#This Row],[СОНИ]]*РЕАЛИЗАЦИЯ[[#This Row],[ТАННАРХ]]</f>
        <v>0</v>
      </c>
      <c r="K1813" s="31">
        <f>РЕАЛИЗАЦИЯ[[#This Row],[ЖАМИ]]-РЕАЛИЗАЦИЯ[[#This Row],[ЖАМИ2]]</f>
        <v>0</v>
      </c>
      <c r="L1813" s="31"/>
    </row>
    <row r="1814" spans="3:12" ht="15" customHeight="1" x14ac:dyDescent="0.3">
      <c r="C1814" s="184"/>
      <c r="D1814" s="184"/>
      <c r="G1814" s="50">
        <f>РЕАЛИЗАЦИЯ[[#This Row],[СОНИ]]*РЕАЛИЗАЦИЯ[[#This Row],[НАРХИ]]</f>
        <v>0</v>
      </c>
      <c r="I1814" s="166"/>
      <c r="J1814" s="31">
        <f>РЕАЛИЗАЦИЯ[[#This Row],[СОНИ]]*РЕАЛИЗАЦИЯ[[#This Row],[ТАННАРХ]]</f>
        <v>0</v>
      </c>
      <c r="K1814" s="31">
        <f>РЕАЛИЗАЦИЯ[[#This Row],[ЖАМИ]]-РЕАЛИЗАЦИЯ[[#This Row],[ЖАМИ2]]</f>
        <v>0</v>
      </c>
      <c r="L1814" s="31"/>
    </row>
    <row r="1815" spans="3:12" ht="15" customHeight="1" x14ac:dyDescent="0.3">
      <c r="C1815" s="184"/>
      <c r="D1815" s="184"/>
      <c r="G1815" s="50">
        <f>РЕАЛИЗАЦИЯ[[#This Row],[СОНИ]]*РЕАЛИЗАЦИЯ[[#This Row],[НАРХИ]]</f>
        <v>0</v>
      </c>
      <c r="I1815" s="166"/>
      <c r="J1815" s="31">
        <f>РЕАЛИЗАЦИЯ[[#This Row],[СОНИ]]*РЕАЛИЗАЦИЯ[[#This Row],[ТАННАРХ]]</f>
        <v>0</v>
      </c>
      <c r="K1815" s="31">
        <f>РЕАЛИЗАЦИЯ[[#This Row],[ЖАМИ]]-РЕАЛИЗАЦИЯ[[#This Row],[ЖАМИ2]]</f>
        <v>0</v>
      </c>
      <c r="L1815" s="31"/>
    </row>
    <row r="1816" spans="3:12" ht="15" customHeight="1" x14ac:dyDescent="0.3">
      <c r="C1816" s="184"/>
      <c r="D1816" s="184"/>
      <c r="G1816" s="50">
        <f>РЕАЛИЗАЦИЯ[[#This Row],[СОНИ]]*РЕАЛИЗАЦИЯ[[#This Row],[НАРХИ]]</f>
        <v>0</v>
      </c>
      <c r="I1816" s="166"/>
      <c r="J1816" s="31">
        <f>РЕАЛИЗАЦИЯ[[#This Row],[СОНИ]]*РЕАЛИЗАЦИЯ[[#This Row],[ТАННАРХ]]</f>
        <v>0</v>
      </c>
      <c r="K1816" s="31">
        <f>РЕАЛИЗАЦИЯ[[#This Row],[ЖАМИ]]-РЕАЛИЗАЦИЯ[[#This Row],[ЖАМИ2]]</f>
        <v>0</v>
      </c>
      <c r="L1816" s="31"/>
    </row>
    <row r="1817" spans="3:12" ht="15" customHeight="1" x14ac:dyDescent="0.3">
      <c r="C1817" s="184"/>
      <c r="D1817" s="184"/>
      <c r="G1817" s="50">
        <f>РЕАЛИЗАЦИЯ[[#This Row],[СОНИ]]*РЕАЛИЗАЦИЯ[[#This Row],[НАРХИ]]</f>
        <v>0</v>
      </c>
      <c r="I1817" s="166"/>
      <c r="J1817" s="31">
        <f>РЕАЛИЗАЦИЯ[[#This Row],[СОНИ]]*РЕАЛИЗАЦИЯ[[#This Row],[ТАННАРХ]]</f>
        <v>0</v>
      </c>
      <c r="K1817" s="31">
        <f>РЕАЛИЗАЦИЯ[[#This Row],[ЖАМИ]]-РЕАЛИЗАЦИЯ[[#This Row],[ЖАМИ2]]</f>
        <v>0</v>
      </c>
      <c r="L1817" s="31"/>
    </row>
    <row r="1818" spans="3:12" ht="15" customHeight="1" x14ac:dyDescent="0.3">
      <c r="C1818" s="184"/>
      <c r="D1818" s="184"/>
      <c r="G1818" s="50">
        <f>РЕАЛИЗАЦИЯ[[#This Row],[СОНИ]]*РЕАЛИЗАЦИЯ[[#This Row],[НАРХИ]]</f>
        <v>0</v>
      </c>
      <c r="I1818" s="166"/>
      <c r="J1818" s="31">
        <f>РЕАЛИЗАЦИЯ[[#This Row],[СОНИ]]*РЕАЛИЗАЦИЯ[[#This Row],[ТАННАРХ]]</f>
        <v>0</v>
      </c>
      <c r="K1818" s="31">
        <f>РЕАЛИЗАЦИЯ[[#This Row],[ЖАМИ]]-РЕАЛИЗАЦИЯ[[#This Row],[ЖАМИ2]]</f>
        <v>0</v>
      </c>
      <c r="L1818" s="31"/>
    </row>
    <row r="1819" spans="3:12" ht="15" customHeight="1" x14ac:dyDescent="0.3">
      <c r="C1819" s="184"/>
      <c r="D1819" s="184"/>
      <c r="G1819" s="50">
        <f>РЕАЛИЗАЦИЯ[[#This Row],[СОНИ]]*РЕАЛИЗАЦИЯ[[#This Row],[НАРХИ]]</f>
        <v>0</v>
      </c>
      <c r="I1819" s="166"/>
      <c r="J1819" s="31">
        <f>РЕАЛИЗАЦИЯ[[#This Row],[СОНИ]]*РЕАЛИЗАЦИЯ[[#This Row],[ТАННАРХ]]</f>
        <v>0</v>
      </c>
      <c r="K1819" s="31">
        <f>РЕАЛИЗАЦИЯ[[#This Row],[ЖАМИ]]-РЕАЛИЗАЦИЯ[[#This Row],[ЖАМИ2]]</f>
        <v>0</v>
      </c>
      <c r="L1819" s="31"/>
    </row>
    <row r="1820" spans="3:12" ht="15" customHeight="1" x14ac:dyDescent="0.3">
      <c r="C1820" s="184"/>
      <c r="D1820" s="184"/>
      <c r="G1820" s="50">
        <f>РЕАЛИЗАЦИЯ[[#This Row],[СОНИ]]*РЕАЛИЗАЦИЯ[[#This Row],[НАРХИ]]</f>
        <v>0</v>
      </c>
      <c r="I1820" s="166"/>
      <c r="J1820" s="31">
        <f>РЕАЛИЗАЦИЯ[[#This Row],[СОНИ]]*РЕАЛИЗАЦИЯ[[#This Row],[ТАННАРХ]]</f>
        <v>0</v>
      </c>
      <c r="K1820" s="31">
        <f>РЕАЛИЗАЦИЯ[[#This Row],[ЖАМИ]]-РЕАЛИЗАЦИЯ[[#This Row],[ЖАМИ2]]</f>
        <v>0</v>
      </c>
      <c r="L1820" s="31"/>
    </row>
    <row r="1821" spans="3:12" ht="15" customHeight="1" x14ac:dyDescent="0.3">
      <c r="C1821" s="184"/>
      <c r="D1821" s="184"/>
      <c r="G1821" s="50">
        <f>РЕАЛИЗАЦИЯ[[#This Row],[СОНИ]]*РЕАЛИЗАЦИЯ[[#This Row],[НАРХИ]]</f>
        <v>0</v>
      </c>
      <c r="I1821" s="166"/>
      <c r="J1821" s="31">
        <f>РЕАЛИЗАЦИЯ[[#This Row],[СОНИ]]*РЕАЛИЗАЦИЯ[[#This Row],[ТАННАРХ]]</f>
        <v>0</v>
      </c>
      <c r="K1821" s="31">
        <f>РЕАЛИЗАЦИЯ[[#This Row],[ЖАМИ]]-РЕАЛИЗАЦИЯ[[#This Row],[ЖАМИ2]]</f>
        <v>0</v>
      </c>
      <c r="L1821" s="31"/>
    </row>
    <row r="1822" spans="3:12" ht="15" customHeight="1" x14ac:dyDescent="0.3">
      <c r="C1822" s="184"/>
      <c r="D1822" s="184"/>
      <c r="G1822" s="50">
        <f>РЕАЛИЗАЦИЯ[[#This Row],[СОНИ]]*РЕАЛИЗАЦИЯ[[#This Row],[НАРХИ]]</f>
        <v>0</v>
      </c>
      <c r="I1822" s="166"/>
      <c r="J1822" s="31">
        <f>РЕАЛИЗАЦИЯ[[#This Row],[СОНИ]]*РЕАЛИЗАЦИЯ[[#This Row],[ТАННАРХ]]</f>
        <v>0</v>
      </c>
      <c r="K1822" s="31">
        <f>РЕАЛИЗАЦИЯ[[#This Row],[ЖАМИ]]-РЕАЛИЗАЦИЯ[[#This Row],[ЖАМИ2]]</f>
        <v>0</v>
      </c>
      <c r="L1822" s="31"/>
    </row>
    <row r="1823" spans="3:12" ht="15" customHeight="1" x14ac:dyDescent="0.3">
      <c r="C1823" s="184"/>
      <c r="D1823" s="184"/>
      <c r="G1823" s="50">
        <f>РЕАЛИЗАЦИЯ[[#This Row],[СОНИ]]*РЕАЛИЗАЦИЯ[[#This Row],[НАРХИ]]</f>
        <v>0</v>
      </c>
      <c r="I1823" s="166"/>
      <c r="J1823" s="31">
        <f>РЕАЛИЗАЦИЯ[[#This Row],[СОНИ]]*РЕАЛИЗАЦИЯ[[#This Row],[ТАННАРХ]]</f>
        <v>0</v>
      </c>
      <c r="K1823" s="31">
        <f>РЕАЛИЗАЦИЯ[[#This Row],[ЖАМИ]]-РЕАЛИЗАЦИЯ[[#This Row],[ЖАМИ2]]</f>
        <v>0</v>
      </c>
      <c r="L1823" s="31"/>
    </row>
    <row r="1824" spans="3:12" ht="15" customHeight="1" x14ac:dyDescent="0.3">
      <c r="C1824" s="187"/>
      <c r="D1824" s="187"/>
      <c r="G1824" s="50">
        <f>РЕАЛИЗАЦИЯ[[#This Row],[СОНИ]]*РЕАЛИЗАЦИЯ[[#This Row],[НАРХИ]]</f>
        <v>0</v>
      </c>
      <c r="I1824" s="166"/>
      <c r="J1824" s="31">
        <f>РЕАЛИЗАЦИЯ[[#This Row],[СОНИ]]*РЕАЛИЗАЦИЯ[[#This Row],[ТАННАРХ]]</f>
        <v>0</v>
      </c>
      <c r="K1824" s="31">
        <f>РЕАЛИЗАЦИЯ[[#This Row],[ЖАМИ]]-РЕАЛИЗАЦИЯ[[#This Row],[ЖАМИ2]]</f>
        <v>0</v>
      </c>
      <c r="L1824" s="31"/>
    </row>
    <row r="1825" spans="3:12" ht="15" customHeight="1" x14ac:dyDescent="0.3">
      <c r="C1825" s="184"/>
      <c r="D1825" s="184"/>
      <c r="G1825" s="50">
        <f>РЕАЛИЗАЦИЯ[[#This Row],[СОНИ]]*РЕАЛИЗАЦИЯ[[#This Row],[НАРХИ]]</f>
        <v>0</v>
      </c>
      <c r="I1825" s="166"/>
      <c r="J1825" s="31">
        <f>РЕАЛИЗАЦИЯ[[#This Row],[СОНИ]]*РЕАЛИЗАЦИЯ[[#This Row],[ТАННАРХ]]</f>
        <v>0</v>
      </c>
      <c r="K1825" s="31">
        <f>РЕАЛИЗАЦИЯ[[#This Row],[ЖАМИ]]-РЕАЛИЗАЦИЯ[[#This Row],[ЖАМИ2]]</f>
        <v>0</v>
      </c>
      <c r="L1825" s="31"/>
    </row>
    <row r="1826" spans="3:12" ht="15" customHeight="1" x14ac:dyDescent="0.3">
      <c r="C1826" s="184"/>
      <c r="D1826" s="184"/>
      <c r="G1826" s="50">
        <f>РЕАЛИЗАЦИЯ[[#This Row],[СОНИ]]*РЕАЛИЗАЦИЯ[[#This Row],[НАРХИ]]</f>
        <v>0</v>
      </c>
      <c r="I1826" s="166"/>
      <c r="J1826" s="31">
        <f>РЕАЛИЗАЦИЯ[[#This Row],[СОНИ]]*РЕАЛИЗАЦИЯ[[#This Row],[ТАННАРХ]]</f>
        <v>0</v>
      </c>
      <c r="K1826" s="31">
        <f>РЕАЛИЗАЦИЯ[[#This Row],[ЖАМИ]]-РЕАЛИЗАЦИЯ[[#This Row],[ЖАМИ2]]</f>
        <v>0</v>
      </c>
      <c r="L1826" s="31"/>
    </row>
    <row r="1827" spans="3:12" ht="15" customHeight="1" x14ac:dyDescent="0.3">
      <c r="C1827" s="184"/>
      <c r="D1827" s="184"/>
      <c r="G1827" s="50">
        <f>РЕАЛИЗАЦИЯ[[#This Row],[СОНИ]]*РЕАЛИЗАЦИЯ[[#This Row],[НАРХИ]]</f>
        <v>0</v>
      </c>
      <c r="I1827" s="166"/>
      <c r="J1827" s="31">
        <f>РЕАЛИЗАЦИЯ[[#This Row],[СОНИ]]*РЕАЛИЗАЦИЯ[[#This Row],[ТАННАРХ]]</f>
        <v>0</v>
      </c>
      <c r="K1827" s="31">
        <f>РЕАЛИЗАЦИЯ[[#This Row],[ЖАМИ]]-РЕАЛИЗАЦИЯ[[#This Row],[ЖАМИ2]]</f>
        <v>0</v>
      </c>
      <c r="L1827" s="31"/>
    </row>
    <row r="1828" spans="3:12" ht="15" customHeight="1" x14ac:dyDescent="0.3">
      <c r="C1828" s="184"/>
      <c r="D1828" s="184"/>
      <c r="G1828" s="50">
        <f>РЕАЛИЗАЦИЯ[[#This Row],[СОНИ]]*РЕАЛИЗАЦИЯ[[#This Row],[НАРХИ]]</f>
        <v>0</v>
      </c>
      <c r="I1828" s="166"/>
      <c r="J1828" s="31">
        <f>РЕАЛИЗАЦИЯ[[#This Row],[СОНИ]]*РЕАЛИЗАЦИЯ[[#This Row],[ТАННАРХ]]</f>
        <v>0</v>
      </c>
      <c r="K1828" s="31">
        <f>РЕАЛИЗАЦИЯ[[#This Row],[ЖАМИ]]-РЕАЛИЗАЦИЯ[[#This Row],[ЖАМИ2]]</f>
        <v>0</v>
      </c>
      <c r="L1828" s="31"/>
    </row>
    <row r="1829" spans="3:12" ht="15" customHeight="1" x14ac:dyDescent="0.3">
      <c r="C1829" s="184"/>
      <c r="D1829" s="184"/>
      <c r="G1829" s="50">
        <f>РЕАЛИЗАЦИЯ[[#This Row],[СОНИ]]*РЕАЛИЗАЦИЯ[[#This Row],[НАРХИ]]</f>
        <v>0</v>
      </c>
      <c r="I1829" s="166"/>
      <c r="J1829" s="31">
        <f>РЕАЛИЗАЦИЯ[[#This Row],[СОНИ]]*РЕАЛИЗАЦИЯ[[#This Row],[ТАННАРХ]]</f>
        <v>0</v>
      </c>
      <c r="K1829" s="31">
        <f>РЕАЛИЗАЦИЯ[[#This Row],[ЖАМИ]]-РЕАЛИЗАЦИЯ[[#This Row],[ЖАМИ2]]</f>
        <v>0</v>
      </c>
      <c r="L1829" s="31"/>
    </row>
    <row r="1830" spans="3:12" ht="15" customHeight="1" x14ac:dyDescent="0.3">
      <c r="C1830" s="184"/>
      <c r="D1830" s="184"/>
      <c r="G1830" s="50">
        <f>РЕАЛИЗАЦИЯ[[#This Row],[СОНИ]]*РЕАЛИЗАЦИЯ[[#This Row],[НАРХИ]]</f>
        <v>0</v>
      </c>
      <c r="I1830" s="166"/>
      <c r="J1830" s="31">
        <f>РЕАЛИЗАЦИЯ[[#This Row],[СОНИ]]*РЕАЛИЗАЦИЯ[[#This Row],[ТАННАРХ]]</f>
        <v>0</v>
      </c>
      <c r="K1830" s="31">
        <f>РЕАЛИЗАЦИЯ[[#This Row],[ЖАМИ]]-РЕАЛИЗАЦИЯ[[#This Row],[ЖАМИ2]]</f>
        <v>0</v>
      </c>
      <c r="L1830" s="31"/>
    </row>
    <row r="1831" spans="3:12" ht="15" customHeight="1" x14ac:dyDescent="0.3">
      <c r="C1831" s="186"/>
      <c r="D1831" s="186"/>
      <c r="G1831" s="50">
        <f>РЕАЛИЗАЦИЯ[[#This Row],[СОНИ]]*РЕАЛИЗАЦИЯ[[#This Row],[НАРХИ]]</f>
        <v>0</v>
      </c>
      <c r="I1831" s="166"/>
      <c r="J1831" s="31">
        <f>РЕАЛИЗАЦИЯ[[#This Row],[СОНИ]]*РЕАЛИЗАЦИЯ[[#This Row],[ТАННАРХ]]</f>
        <v>0</v>
      </c>
      <c r="K1831" s="31">
        <f>РЕАЛИЗАЦИЯ[[#This Row],[ЖАМИ]]-РЕАЛИЗАЦИЯ[[#This Row],[ЖАМИ2]]</f>
        <v>0</v>
      </c>
      <c r="L1831" s="31"/>
    </row>
    <row r="1832" spans="3:12" ht="15" customHeight="1" x14ac:dyDescent="0.3">
      <c r="C1832" s="186"/>
      <c r="D1832" s="186"/>
      <c r="G1832" s="50">
        <f>РЕАЛИЗАЦИЯ[[#This Row],[СОНИ]]*РЕАЛИЗАЦИЯ[[#This Row],[НАРХИ]]</f>
        <v>0</v>
      </c>
      <c r="I1832" s="166"/>
      <c r="J1832" s="31">
        <f>РЕАЛИЗАЦИЯ[[#This Row],[СОНИ]]*РЕАЛИЗАЦИЯ[[#This Row],[ТАННАРХ]]</f>
        <v>0</v>
      </c>
      <c r="K1832" s="31">
        <f>РЕАЛИЗАЦИЯ[[#This Row],[ЖАМИ]]-РЕАЛИЗАЦИЯ[[#This Row],[ЖАМИ2]]</f>
        <v>0</v>
      </c>
      <c r="L1832" s="31"/>
    </row>
    <row r="1833" spans="3:12" ht="15" customHeight="1" x14ac:dyDescent="0.3">
      <c r="C1833" s="186"/>
      <c r="D1833" s="186"/>
      <c r="G1833" s="50">
        <f>РЕАЛИЗАЦИЯ[[#This Row],[СОНИ]]*РЕАЛИЗАЦИЯ[[#This Row],[НАРХИ]]</f>
        <v>0</v>
      </c>
      <c r="I1833" s="166"/>
      <c r="J1833" s="31">
        <f>РЕАЛИЗАЦИЯ[[#This Row],[СОНИ]]*РЕАЛИЗАЦИЯ[[#This Row],[ТАННАРХ]]</f>
        <v>0</v>
      </c>
      <c r="K1833" s="31">
        <f>РЕАЛИЗАЦИЯ[[#This Row],[ЖАМИ]]-РЕАЛИЗАЦИЯ[[#This Row],[ЖАМИ2]]</f>
        <v>0</v>
      </c>
      <c r="L1833" s="31"/>
    </row>
    <row r="1834" spans="3:12" ht="15" customHeight="1" x14ac:dyDescent="0.3">
      <c r="C1834" s="186"/>
      <c r="D1834" s="186"/>
      <c r="G1834" s="50">
        <f>РЕАЛИЗАЦИЯ[[#This Row],[СОНИ]]*РЕАЛИЗАЦИЯ[[#This Row],[НАРХИ]]</f>
        <v>0</v>
      </c>
      <c r="I1834" s="166"/>
      <c r="J1834" s="31">
        <f>РЕАЛИЗАЦИЯ[[#This Row],[СОНИ]]*РЕАЛИЗАЦИЯ[[#This Row],[ТАННАРХ]]</f>
        <v>0</v>
      </c>
      <c r="K1834" s="31">
        <f>РЕАЛИЗАЦИЯ[[#This Row],[ЖАМИ]]-РЕАЛИЗАЦИЯ[[#This Row],[ЖАМИ2]]</f>
        <v>0</v>
      </c>
      <c r="L1834" s="31"/>
    </row>
    <row r="1835" spans="3:12" ht="15" customHeight="1" x14ac:dyDescent="0.3">
      <c r="C1835" s="186"/>
      <c r="D1835" s="186"/>
      <c r="G1835" s="50">
        <f>РЕАЛИЗАЦИЯ[[#This Row],[СОНИ]]*РЕАЛИЗАЦИЯ[[#This Row],[НАРХИ]]</f>
        <v>0</v>
      </c>
      <c r="I1835" s="166"/>
      <c r="J1835" s="31">
        <f>РЕАЛИЗАЦИЯ[[#This Row],[СОНИ]]*РЕАЛИЗАЦИЯ[[#This Row],[ТАННАРХ]]</f>
        <v>0</v>
      </c>
      <c r="K1835" s="31">
        <f>РЕАЛИЗАЦИЯ[[#This Row],[ЖАМИ]]-РЕАЛИЗАЦИЯ[[#This Row],[ЖАМИ2]]</f>
        <v>0</v>
      </c>
      <c r="L1835" s="31"/>
    </row>
    <row r="1836" spans="3:12" ht="15" customHeight="1" x14ac:dyDescent="0.3">
      <c r="C1836" s="186"/>
      <c r="D1836" s="186"/>
      <c r="G1836" s="50">
        <f>РЕАЛИЗАЦИЯ[[#This Row],[СОНИ]]*РЕАЛИЗАЦИЯ[[#This Row],[НАРХИ]]</f>
        <v>0</v>
      </c>
      <c r="I1836" s="166"/>
      <c r="J1836" s="31">
        <f>РЕАЛИЗАЦИЯ[[#This Row],[СОНИ]]*РЕАЛИЗАЦИЯ[[#This Row],[ТАННАРХ]]</f>
        <v>0</v>
      </c>
      <c r="K1836" s="31">
        <f>РЕАЛИЗАЦИЯ[[#This Row],[ЖАМИ]]-РЕАЛИЗАЦИЯ[[#This Row],[ЖАМИ2]]</f>
        <v>0</v>
      </c>
      <c r="L1836" s="31"/>
    </row>
    <row r="1837" spans="3:12" ht="15" customHeight="1" x14ac:dyDescent="0.3">
      <c r="C1837" s="186"/>
      <c r="D1837" s="186"/>
      <c r="G1837" s="50">
        <f>РЕАЛИЗАЦИЯ[[#This Row],[СОНИ]]*РЕАЛИЗАЦИЯ[[#This Row],[НАРХИ]]</f>
        <v>0</v>
      </c>
      <c r="I1837" s="166"/>
      <c r="J1837" s="31">
        <f>РЕАЛИЗАЦИЯ[[#This Row],[СОНИ]]*РЕАЛИЗАЦИЯ[[#This Row],[ТАННАРХ]]</f>
        <v>0</v>
      </c>
      <c r="K1837" s="31">
        <f>РЕАЛИЗАЦИЯ[[#This Row],[ЖАМИ]]-РЕАЛИЗАЦИЯ[[#This Row],[ЖАМИ2]]</f>
        <v>0</v>
      </c>
      <c r="L1837" s="31"/>
    </row>
    <row r="1838" spans="3:12" ht="15" customHeight="1" x14ac:dyDescent="0.3">
      <c r="C1838" s="186"/>
      <c r="D1838" s="186"/>
      <c r="G1838" s="50">
        <f>РЕАЛИЗАЦИЯ[[#This Row],[СОНИ]]*РЕАЛИЗАЦИЯ[[#This Row],[НАРХИ]]</f>
        <v>0</v>
      </c>
      <c r="H1838" s="273"/>
      <c r="I1838" s="166"/>
      <c r="J1838" s="31">
        <f>РЕАЛИЗАЦИЯ[[#This Row],[СОНИ]]*РЕАЛИЗАЦИЯ[[#This Row],[ТАННАРХ]]</f>
        <v>0</v>
      </c>
      <c r="K1838" s="31">
        <f>РЕАЛИЗАЦИЯ[[#This Row],[ЖАМИ]]-РЕАЛИЗАЦИЯ[[#This Row],[ЖАМИ2]]</f>
        <v>0</v>
      </c>
      <c r="L1838" s="31"/>
    </row>
    <row r="1839" spans="3:12" ht="15" customHeight="1" x14ac:dyDescent="0.3">
      <c r="C1839" s="186"/>
      <c r="D1839" s="186"/>
      <c r="G1839" s="50">
        <f>РЕАЛИЗАЦИЯ[[#This Row],[СОНИ]]*РЕАЛИЗАЦИЯ[[#This Row],[НАРХИ]]</f>
        <v>0</v>
      </c>
      <c r="I1839" s="166"/>
      <c r="J1839" s="31">
        <f>РЕАЛИЗАЦИЯ[[#This Row],[СОНИ]]*РЕАЛИЗАЦИЯ[[#This Row],[ТАННАРХ]]</f>
        <v>0</v>
      </c>
      <c r="K1839" s="31">
        <f>РЕАЛИЗАЦИЯ[[#This Row],[ЖАМИ]]-РЕАЛИЗАЦИЯ[[#This Row],[ЖАМИ2]]</f>
        <v>0</v>
      </c>
      <c r="L1839" s="31"/>
    </row>
    <row r="1840" spans="3:12" ht="15" customHeight="1" x14ac:dyDescent="0.3">
      <c r="C1840" s="186"/>
      <c r="D1840" s="186"/>
      <c r="G1840" s="50">
        <f>РЕАЛИЗАЦИЯ[[#This Row],[СОНИ]]*РЕАЛИЗАЦИЯ[[#This Row],[НАРХИ]]</f>
        <v>0</v>
      </c>
      <c r="I1840" s="166"/>
      <c r="J1840" s="31">
        <f>РЕАЛИЗАЦИЯ[[#This Row],[СОНИ]]*РЕАЛИЗАЦИЯ[[#This Row],[ТАННАРХ]]</f>
        <v>0</v>
      </c>
      <c r="K1840" s="31">
        <f>РЕАЛИЗАЦИЯ[[#This Row],[ЖАМИ]]-РЕАЛИЗАЦИЯ[[#This Row],[ЖАМИ2]]</f>
        <v>0</v>
      </c>
      <c r="L1840" s="31"/>
    </row>
    <row r="1841" spans="3:12" ht="15" customHeight="1" x14ac:dyDescent="0.3">
      <c r="C1841" s="186"/>
      <c r="D1841" s="186"/>
      <c r="G1841" s="50">
        <f>РЕАЛИЗАЦИЯ[[#This Row],[СОНИ]]*РЕАЛИЗАЦИЯ[[#This Row],[НАРХИ]]</f>
        <v>0</v>
      </c>
      <c r="I1841" s="166"/>
      <c r="J1841" s="31">
        <f>РЕАЛИЗАЦИЯ[[#This Row],[СОНИ]]*РЕАЛИЗАЦИЯ[[#This Row],[ТАННАРХ]]</f>
        <v>0</v>
      </c>
      <c r="K1841" s="31">
        <f>РЕАЛИЗАЦИЯ[[#This Row],[ЖАМИ]]-РЕАЛИЗАЦИЯ[[#This Row],[ЖАМИ2]]</f>
        <v>0</v>
      </c>
      <c r="L1841" s="31"/>
    </row>
    <row r="1842" spans="3:12" ht="15" customHeight="1" x14ac:dyDescent="0.3">
      <c r="C1842" s="186"/>
      <c r="D1842" s="186"/>
      <c r="G1842" s="50">
        <f>РЕАЛИЗАЦИЯ[[#This Row],[СОНИ]]*РЕАЛИЗАЦИЯ[[#This Row],[НАРХИ]]</f>
        <v>0</v>
      </c>
      <c r="I1842" s="166"/>
      <c r="J1842" s="31">
        <f>РЕАЛИЗАЦИЯ[[#This Row],[СОНИ]]*РЕАЛИЗАЦИЯ[[#This Row],[ТАННАРХ]]</f>
        <v>0</v>
      </c>
      <c r="K1842" s="31">
        <f>РЕАЛИЗАЦИЯ[[#This Row],[ЖАМИ]]-РЕАЛИЗАЦИЯ[[#This Row],[ЖАМИ2]]</f>
        <v>0</v>
      </c>
      <c r="L1842" s="31"/>
    </row>
    <row r="1843" spans="3:12" ht="15" customHeight="1" x14ac:dyDescent="0.3">
      <c r="C1843" s="186"/>
      <c r="D1843" s="186"/>
      <c r="G1843" s="50">
        <f>РЕАЛИЗАЦИЯ[[#This Row],[СОНИ]]*РЕАЛИЗАЦИЯ[[#This Row],[НАРХИ]]</f>
        <v>0</v>
      </c>
      <c r="I1843" s="166"/>
      <c r="J1843" s="31">
        <f>РЕАЛИЗАЦИЯ[[#This Row],[СОНИ]]*РЕАЛИЗАЦИЯ[[#This Row],[ТАННАРХ]]</f>
        <v>0</v>
      </c>
      <c r="K1843" s="31">
        <f>РЕАЛИЗАЦИЯ[[#This Row],[ЖАМИ]]-РЕАЛИЗАЦИЯ[[#This Row],[ЖАМИ2]]</f>
        <v>0</v>
      </c>
      <c r="L1843" s="31"/>
    </row>
    <row r="1844" spans="3:12" ht="15" customHeight="1" x14ac:dyDescent="0.3">
      <c r="C1844" s="186"/>
      <c r="D1844" s="186"/>
      <c r="G1844" s="50">
        <f>РЕАЛИЗАЦИЯ[[#This Row],[СОНИ]]*РЕАЛИЗАЦИЯ[[#This Row],[НАРХИ]]</f>
        <v>0</v>
      </c>
      <c r="I1844" s="166"/>
      <c r="J1844" s="31">
        <f>РЕАЛИЗАЦИЯ[[#This Row],[СОНИ]]*РЕАЛИЗАЦИЯ[[#This Row],[ТАННАРХ]]</f>
        <v>0</v>
      </c>
      <c r="K1844" s="31">
        <f>РЕАЛИЗАЦИЯ[[#This Row],[ЖАМИ]]-РЕАЛИЗАЦИЯ[[#This Row],[ЖАМИ2]]</f>
        <v>0</v>
      </c>
      <c r="L1844" s="31"/>
    </row>
    <row r="1845" spans="3:12" ht="15" customHeight="1" x14ac:dyDescent="0.3">
      <c r="C1845" s="186"/>
      <c r="D1845" s="186"/>
      <c r="G1845" s="50">
        <f>РЕАЛИЗАЦИЯ[[#This Row],[СОНИ]]*РЕАЛИЗАЦИЯ[[#This Row],[НАРХИ]]</f>
        <v>0</v>
      </c>
      <c r="I1845" s="166"/>
      <c r="J1845" s="31">
        <f>РЕАЛИЗАЦИЯ[[#This Row],[СОНИ]]*РЕАЛИЗАЦИЯ[[#This Row],[ТАННАРХ]]</f>
        <v>0</v>
      </c>
      <c r="K1845" s="31">
        <f>РЕАЛИЗАЦИЯ[[#This Row],[ЖАМИ]]-РЕАЛИЗАЦИЯ[[#This Row],[ЖАМИ2]]</f>
        <v>0</v>
      </c>
      <c r="L1845" s="31"/>
    </row>
    <row r="1846" spans="3:12" ht="15" customHeight="1" x14ac:dyDescent="0.3">
      <c r="C1846" s="186"/>
      <c r="D1846" s="186"/>
      <c r="G1846" s="50">
        <f>РЕАЛИЗАЦИЯ[[#This Row],[СОНИ]]*РЕАЛИЗАЦИЯ[[#This Row],[НАРХИ]]</f>
        <v>0</v>
      </c>
      <c r="I1846" s="166"/>
      <c r="J1846" s="31">
        <f>РЕАЛИЗАЦИЯ[[#This Row],[СОНИ]]*РЕАЛИЗАЦИЯ[[#This Row],[ТАННАРХ]]</f>
        <v>0</v>
      </c>
      <c r="K1846" s="31">
        <f>РЕАЛИЗАЦИЯ[[#This Row],[ЖАМИ]]-РЕАЛИЗАЦИЯ[[#This Row],[ЖАМИ2]]</f>
        <v>0</v>
      </c>
      <c r="L1846" s="31"/>
    </row>
    <row r="1847" spans="3:12" ht="15" customHeight="1" x14ac:dyDescent="0.3">
      <c r="C1847" s="186"/>
      <c r="D1847" s="186"/>
      <c r="G1847" s="50">
        <f>РЕАЛИЗАЦИЯ[[#This Row],[СОНИ]]*РЕАЛИЗАЦИЯ[[#This Row],[НАРХИ]]</f>
        <v>0</v>
      </c>
      <c r="I1847" s="166"/>
      <c r="J1847" s="31">
        <f>РЕАЛИЗАЦИЯ[[#This Row],[СОНИ]]*РЕАЛИЗАЦИЯ[[#This Row],[ТАННАРХ]]</f>
        <v>0</v>
      </c>
      <c r="K1847" s="31">
        <f>РЕАЛИЗАЦИЯ[[#This Row],[ЖАМИ]]-РЕАЛИЗАЦИЯ[[#This Row],[ЖАМИ2]]</f>
        <v>0</v>
      </c>
      <c r="L1847" s="31"/>
    </row>
    <row r="1848" spans="3:12" ht="15" customHeight="1" x14ac:dyDescent="0.3">
      <c r="C1848" s="186"/>
      <c r="D1848" s="186"/>
      <c r="G1848" s="50">
        <f>РЕАЛИЗАЦИЯ[[#This Row],[СОНИ]]*РЕАЛИЗАЦИЯ[[#This Row],[НАРХИ]]</f>
        <v>0</v>
      </c>
      <c r="I1848" s="166"/>
      <c r="J1848" s="31">
        <f>РЕАЛИЗАЦИЯ[[#This Row],[СОНИ]]*РЕАЛИЗАЦИЯ[[#This Row],[ТАННАРХ]]</f>
        <v>0</v>
      </c>
      <c r="K1848" s="31">
        <f>РЕАЛИЗАЦИЯ[[#This Row],[ЖАМИ]]-РЕАЛИЗАЦИЯ[[#This Row],[ЖАМИ2]]</f>
        <v>0</v>
      </c>
      <c r="L1848" s="31"/>
    </row>
    <row r="1849" spans="3:12" ht="15" customHeight="1" x14ac:dyDescent="0.3">
      <c r="C1849" s="189"/>
      <c r="D1849" s="189"/>
      <c r="G1849" s="50">
        <f>РЕАЛИЗАЦИЯ[[#This Row],[СОНИ]]*РЕАЛИЗАЦИЯ[[#This Row],[НАРХИ]]</f>
        <v>0</v>
      </c>
      <c r="I1849" s="166"/>
      <c r="J1849" s="31">
        <f>РЕАЛИЗАЦИЯ[[#This Row],[СОНИ]]*РЕАЛИЗАЦИЯ[[#This Row],[ТАННАРХ]]</f>
        <v>0</v>
      </c>
      <c r="K1849" s="31">
        <f>РЕАЛИЗАЦИЯ[[#This Row],[ЖАМИ]]-РЕАЛИЗАЦИЯ[[#This Row],[ЖАМИ2]]</f>
        <v>0</v>
      </c>
      <c r="L1849" s="31"/>
    </row>
    <row r="1850" spans="3:12" ht="15" customHeight="1" x14ac:dyDescent="0.3">
      <c r="C1850" s="186"/>
      <c r="D1850" s="186"/>
      <c r="G1850" s="50">
        <f>РЕАЛИЗАЦИЯ[[#This Row],[СОНИ]]*РЕАЛИЗАЦИЯ[[#This Row],[НАРХИ]]</f>
        <v>0</v>
      </c>
      <c r="I1850" s="166"/>
      <c r="J1850" s="31">
        <f>РЕАЛИЗАЦИЯ[[#This Row],[СОНИ]]*РЕАЛИЗАЦИЯ[[#This Row],[ТАННАРХ]]</f>
        <v>0</v>
      </c>
      <c r="K1850" s="31">
        <f>РЕАЛИЗАЦИЯ[[#This Row],[ЖАМИ]]-РЕАЛИЗАЦИЯ[[#This Row],[ЖАМИ2]]</f>
        <v>0</v>
      </c>
      <c r="L1850" s="31"/>
    </row>
    <row r="1851" spans="3:12" ht="15" customHeight="1" x14ac:dyDescent="0.3">
      <c r="C1851" s="186"/>
      <c r="D1851" s="186"/>
      <c r="G1851" s="50">
        <f>РЕАЛИЗАЦИЯ[[#This Row],[СОНИ]]*РЕАЛИЗАЦИЯ[[#This Row],[НАРХИ]]</f>
        <v>0</v>
      </c>
      <c r="I1851" s="166"/>
      <c r="J1851" s="31">
        <f>РЕАЛИЗАЦИЯ[[#This Row],[СОНИ]]*РЕАЛИЗАЦИЯ[[#This Row],[ТАННАРХ]]</f>
        <v>0</v>
      </c>
      <c r="K1851" s="31">
        <f>РЕАЛИЗАЦИЯ[[#This Row],[ЖАМИ]]-РЕАЛИЗАЦИЯ[[#This Row],[ЖАМИ2]]</f>
        <v>0</v>
      </c>
      <c r="L1851" s="31"/>
    </row>
    <row r="1852" spans="3:12" ht="15" customHeight="1" x14ac:dyDescent="0.3">
      <c r="C1852" s="186"/>
      <c r="D1852" s="186"/>
      <c r="G1852" s="50">
        <f>РЕАЛИЗАЦИЯ[[#This Row],[СОНИ]]*РЕАЛИЗАЦИЯ[[#This Row],[НАРХИ]]</f>
        <v>0</v>
      </c>
      <c r="I1852" s="166"/>
      <c r="J1852" s="31">
        <f>РЕАЛИЗАЦИЯ[[#This Row],[СОНИ]]*РЕАЛИЗАЦИЯ[[#This Row],[ТАННАРХ]]</f>
        <v>0</v>
      </c>
      <c r="K1852" s="31">
        <f>РЕАЛИЗАЦИЯ[[#This Row],[ЖАМИ]]-РЕАЛИЗАЦИЯ[[#This Row],[ЖАМИ2]]</f>
        <v>0</v>
      </c>
      <c r="L1852" s="31"/>
    </row>
    <row r="1853" spans="3:12" ht="15" customHeight="1" x14ac:dyDescent="0.3">
      <c r="C1853" s="186"/>
      <c r="D1853" s="186"/>
      <c r="G1853" s="50">
        <f>РЕАЛИЗАЦИЯ[[#This Row],[СОНИ]]*РЕАЛИЗАЦИЯ[[#This Row],[НАРХИ]]</f>
        <v>0</v>
      </c>
      <c r="I1853" s="166"/>
      <c r="J1853" s="31">
        <f>РЕАЛИЗАЦИЯ[[#This Row],[СОНИ]]*РЕАЛИЗАЦИЯ[[#This Row],[ТАННАРХ]]</f>
        <v>0</v>
      </c>
      <c r="K1853" s="31">
        <f>РЕАЛИЗАЦИЯ[[#This Row],[ЖАМИ]]-РЕАЛИЗАЦИЯ[[#This Row],[ЖАМИ2]]</f>
        <v>0</v>
      </c>
      <c r="L1853" s="31"/>
    </row>
    <row r="1854" spans="3:12" ht="15" customHeight="1" x14ac:dyDescent="0.3">
      <c r="C1854" s="186"/>
      <c r="D1854" s="186"/>
      <c r="G1854" s="50">
        <f>РЕАЛИЗАЦИЯ[[#This Row],[СОНИ]]*РЕАЛИЗАЦИЯ[[#This Row],[НАРХИ]]</f>
        <v>0</v>
      </c>
      <c r="I1854" s="166"/>
      <c r="J1854" s="31">
        <f>РЕАЛИЗАЦИЯ[[#This Row],[СОНИ]]*РЕАЛИЗАЦИЯ[[#This Row],[ТАННАРХ]]</f>
        <v>0</v>
      </c>
      <c r="K1854" s="31">
        <f>РЕАЛИЗАЦИЯ[[#This Row],[ЖАМИ]]-РЕАЛИЗАЦИЯ[[#This Row],[ЖАМИ2]]</f>
        <v>0</v>
      </c>
      <c r="L1854" s="31"/>
    </row>
    <row r="1855" spans="3:12" ht="15" customHeight="1" x14ac:dyDescent="0.3">
      <c r="C1855" s="186"/>
      <c r="D1855" s="186"/>
      <c r="G1855" s="50">
        <f>РЕАЛИЗАЦИЯ[[#This Row],[СОНИ]]*РЕАЛИЗАЦИЯ[[#This Row],[НАРХИ]]</f>
        <v>0</v>
      </c>
      <c r="I1855" s="166"/>
      <c r="J1855" s="31">
        <f>РЕАЛИЗАЦИЯ[[#This Row],[СОНИ]]*РЕАЛИЗАЦИЯ[[#This Row],[ТАННАРХ]]</f>
        <v>0</v>
      </c>
      <c r="K1855" s="31">
        <f>РЕАЛИЗАЦИЯ[[#This Row],[ЖАМИ]]-РЕАЛИЗАЦИЯ[[#This Row],[ЖАМИ2]]</f>
        <v>0</v>
      </c>
      <c r="L1855" s="31"/>
    </row>
    <row r="1856" spans="3:12" ht="15" customHeight="1" x14ac:dyDescent="0.3">
      <c r="C1856" s="186"/>
      <c r="D1856" s="186"/>
      <c r="G1856" s="50">
        <f>РЕАЛИЗАЦИЯ[[#This Row],[СОНИ]]*РЕАЛИЗАЦИЯ[[#This Row],[НАРХИ]]</f>
        <v>0</v>
      </c>
      <c r="I1856" s="166"/>
      <c r="J1856" s="31">
        <f>РЕАЛИЗАЦИЯ[[#This Row],[СОНИ]]*РЕАЛИЗАЦИЯ[[#This Row],[ТАННАРХ]]</f>
        <v>0</v>
      </c>
      <c r="K1856" s="31">
        <f>РЕАЛИЗАЦИЯ[[#This Row],[ЖАМИ]]-РЕАЛИЗАЦИЯ[[#This Row],[ЖАМИ2]]</f>
        <v>0</v>
      </c>
      <c r="L1856" s="31"/>
    </row>
    <row r="1857" spans="3:12" ht="15" customHeight="1" x14ac:dyDescent="0.3">
      <c r="C1857" s="186"/>
      <c r="D1857" s="186"/>
      <c r="G1857" s="50">
        <f>РЕАЛИЗАЦИЯ[[#This Row],[СОНИ]]*РЕАЛИЗАЦИЯ[[#This Row],[НАРХИ]]</f>
        <v>0</v>
      </c>
      <c r="I1857" s="166"/>
      <c r="J1857" s="31">
        <f>РЕАЛИЗАЦИЯ[[#This Row],[СОНИ]]*РЕАЛИЗАЦИЯ[[#This Row],[ТАННАРХ]]</f>
        <v>0</v>
      </c>
      <c r="K1857" s="31">
        <f>РЕАЛИЗАЦИЯ[[#This Row],[ЖАМИ]]-РЕАЛИЗАЦИЯ[[#This Row],[ЖАМИ2]]</f>
        <v>0</v>
      </c>
      <c r="L1857" s="31"/>
    </row>
    <row r="1858" spans="3:12" ht="15" customHeight="1" x14ac:dyDescent="0.3">
      <c r="C1858" s="186"/>
      <c r="D1858" s="186"/>
      <c r="G1858" s="50">
        <f>РЕАЛИЗАЦИЯ[[#This Row],[СОНИ]]*РЕАЛИЗАЦИЯ[[#This Row],[НАРХИ]]</f>
        <v>0</v>
      </c>
      <c r="H1858" s="273"/>
      <c r="I1858" s="166"/>
      <c r="J1858" s="31">
        <f>РЕАЛИЗАЦИЯ[[#This Row],[СОНИ]]*РЕАЛИЗАЦИЯ[[#This Row],[ТАННАРХ]]</f>
        <v>0</v>
      </c>
      <c r="K1858" s="31">
        <f>РЕАЛИЗАЦИЯ[[#This Row],[ЖАМИ]]-РЕАЛИЗАЦИЯ[[#This Row],[ЖАМИ2]]</f>
        <v>0</v>
      </c>
      <c r="L1858" s="31"/>
    </row>
    <row r="1859" spans="3:12" ht="15" customHeight="1" x14ac:dyDescent="0.3">
      <c r="C1859" s="188"/>
      <c r="D1859" s="188"/>
      <c r="G1859" s="50">
        <f>РЕАЛИЗАЦИЯ[[#This Row],[СОНИ]]*РЕАЛИЗАЦИЯ[[#This Row],[НАРХИ]]</f>
        <v>0</v>
      </c>
      <c r="I1859" s="166"/>
      <c r="J1859" s="31">
        <f>РЕАЛИЗАЦИЯ[[#This Row],[СОНИ]]*РЕАЛИЗАЦИЯ[[#This Row],[ТАННАРХ]]</f>
        <v>0</v>
      </c>
      <c r="K1859" s="31">
        <f>РЕАЛИЗАЦИЯ[[#This Row],[ЖАМИ]]-РЕАЛИЗАЦИЯ[[#This Row],[ЖАМИ2]]</f>
        <v>0</v>
      </c>
      <c r="L1859" s="31"/>
    </row>
    <row r="1860" spans="3:12" ht="15" customHeight="1" x14ac:dyDescent="0.3">
      <c r="C1860" s="188"/>
      <c r="D1860" s="188"/>
      <c r="G1860" s="50">
        <f>РЕАЛИЗАЦИЯ[[#This Row],[СОНИ]]*РЕАЛИЗАЦИЯ[[#This Row],[НАРХИ]]</f>
        <v>0</v>
      </c>
      <c r="I1860" s="166"/>
      <c r="J1860" s="31">
        <f>РЕАЛИЗАЦИЯ[[#This Row],[СОНИ]]*РЕАЛИЗАЦИЯ[[#This Row],[ТАННАРХ]]</f>
        <v>0</v>
      </c>
      <c r="K1860" s="31">
        <f>РЕАЛИЗАЦИЯ[[#This Row],[ЖАМИ]]-РЕАЛИЗАЦИЯ[[#This Row],[ЖАМИ2]]</f>
        <v>0</v>
      </c>
      <c r="L1860" s="31"/>
    </row>
    <row r="1861" spans="3:12" ht="15" customHeight="1" x14ac:dyDescent="0.3">
      <c r="C1861" s="188"/>
      <c r="D1861" s="188"/>
      <c r="G1861" s="50">
        <f>РЕАЛИЗАЦИЯ[[#This Row],[СОНИ]]*РЕАЛИЗАЦИЯ[[#This Row],[НАРХИ]]</f>
        <v>0</v>
      </c>
      <c r="I1861" s="166"/>
      <c r="J1861" s="31">
        <f>РЕАЛИЗАЦИЯ[[#This Row],[СОНИ]]*РЕАЛИЗАЦИЯ[[#This Row],[ТАННАРХ]]</f>
        <v>0</v>
      </c>
      <c r="K1861" s="31">
        <f>РЕАЛИЗАЦИЯ[[#This Row],[ЖАМИ]]-РЕАЛИЗАЦИЯ[[#This Row],[ЖАМИ2]]</f>
        <v>0</v>
      </c>
      <c r="L1861" s="31"/>
    </row>
    <row r="1862" spans="3:12" ht="15" customHeight="1" x14ac:dyDescent="0.3">
      <c r="C1862" s="188"/>
      <c r="D1862" s="188"/>
      <c r="G1862" s="50">
        <f>РЕАЛИЗАЦИЯ[[#This Row],[СОНИ]]*РЕАЛИЗАЦИЯ[[#This Row],[НАРХИ]]</f>
        <v>0</v>
      </c>
      <c r="I1862" s="166"/>
      <c r="J1862" s="31">
        <f>РЕАЛИЗАЦИЯ[[#This Row],[СОНИ]]*РЕАЛИЗАЦИЯ[[#This Row],[ТАННАРХ]]</f>
        <v>0</v>
      </c>
      <c r="K1862" s="31">
        <f>РЕАЛИЗАЦИЯ[[#This Row],[ЖАМИ]]-РЕАЛИЗАЦИЯ[[#This Row],[ЖАМИ2]]</f>
        <v>0</v>
      </c>
      <c r="L1862" s="31"/>
    </row>
    <row r="1863" spans="3:12" ht="15" customHeight="1" x14ac:dyDescent="0.3">
      <c r="C1863" s="188"/>
      <c r="D1863" s="188"/>
      <c r="G1863" s="50">
        <f>РЕАЛИЗАЦИЯ[[#This Row],[СОНИ]]*РЕАЛИЗАЦИЯ[[#This Row],[НАРХИ]]</f>
        <v>0</v>
      </c>
      <c r="I1863" s="166"/>
      <c r="J1863" s="31">
        <f>РЕАЛИЗАЦИЯ[[#This Row],[СОНИ]]*РЕАЛИЗАЦИЯ[[#This Row],[ТАННАРХ]]</f>
        <v>0</v>
      </c>
      <c r="K1863" s="31">
        <f>РЕАЛИЗАЦИЯ[[#This Row],[ЖАМИ]]-РЕАЛИЗАЦИЯ[[#This Row],[ЖАМИ2]]</f>
        <v>0</v>
      </c>
      <c r="L1863" s="31"/>
    </row>
    <row r="1864" spans="3:12" ht="15" customHeight="1" x14ac:dyDescent="0.3">
      <c r="C1864" s="188"/>
      <c r="D1864" s="188"/>
      <c r="G1864" s="50">
        <f>РЕАЛИЗАЦИЯ[[#This Row],[СОНИ]]*РЕАЛИЗАЦИЯ[[#This Row],[НАРХИ]]</f>
        <v>0</v>
      </c>
      <c r="I1864" s="166"/>
      <c r="J1864" s="31">
        <f>РЕАЛИЗАЦИЯ[[#This Row],[СОНИ]]*РЕАЛИЗАЦИЯ[[#This Row],[ТАННАРХ]]</f>
        <v>0</v>
      </c>
      <c r="K1864" s="31">
        <f>РЕАЛИЗАЦИЯ[[#This Row],[ЖАМИ]]-РЕАЛИЗАЦИЯ[[#This Row],[ЖАМИ2]]</f>
        <v>0</v>
      </c>
      <c r="L1864" s="31"/>
    </row>
    <row r="1865" spans="3:12" ht="15" customHeight="1" x14ac:dyDescent="0.3">
      <c r="C1865" s="188"/>
      <c r="D1865" s="188"/>
      <c r="G1865" s="50">
        <f>РЕАЛИЗАЦИЯ[[#This Row],[СОНИ]]*РЕАЛИЗАЦИЯ[[#This Row],[НАРХИ]]</f>
        <v>0</v>
      </c>
      <c r="I1865" s="166"/>
      <c r="J1865" s="31">
        <f>РЕАЛИЗАЦИЯ[[#This Row],[СОНИ]]*РЕАЛИЗАЦИЯ[[#This Row],[ТАННАРХ]]</f>
        <v>0</v>
      </c>
      <c r="K1865" s="31">
        <f>РЕАЛИЗАЦИЯ[[#This Row],[ЖАМИ]]-РЕАЛИЗАЦИЯ[[#This Row],[ЖАМИ2]]</f>
        <v>0</v>
      </c>
      <c r="L1865" s="31"/>
    </row>
    <row r="1866" spans="3:12" ht="15" customHeight="1" x14ac:dyDescent="0.3">
      <c r="C1866" s="188"/>
      <c r="D1866" s="188"/>
      <c r="G1866" s="50">
        <f>РЕАЛИЗАЦИЯ[[#This Row],[СОНИ]]*РЕАЛИЗАЦИЯ[[#This Row],[НАРХИ]]</f>
        <v>0</v>
      </c>
      <c r="I1866" s="166"/>
      <c r="J1866" s="31">
        <f>РЕАЛИЗАЦИЯ[[#This Row],[СОНИ]]*РЕАЛИЗАЦИЯ[[#This Row],[ТАННАРХ]]</f>
        <v>0</v>
      </c>
      <c r="K1866" s="31">
        <f>РЕАЛИЗАЦИЯ[[#This Row],[ЖАМИ]]-РЕАЛИЗАЦИЯ[[#This Row],[ЖАМИ2]]</f>
        <v>0</v>
      </c>
      <c r="L1866" s="31"/>
    </row>
    <row r="1867" spans="3:12" ht="15" customHeight="1" x14ac:dyDescent="0.3">
      <c r="C1867" s="188"/>
      <c r="D1867" s="188"/>
      <c r="G1867" s="50">
        <f>РЕАЛИЗАЦИЯ[[#This Row],[СОНИ]]*РЕАЛИЗАЦИЯ[[#This Row],[НАРХИ]]</f>
        <v>0</v>
      </c>
      <c r="I1867" s="166"/>
      <c r="J1867" s="31">
        <f>РЕАЛИЗАЦИЯ[[#This Row],[СОНИ]]*РЕАЛИЗАЦИЯ[[#This Row],[ТАННАРХ]]</f>
        <v>0</v>
      </c>
      <c r="K1867" s="31">
        <f>РЕАЛИЗАЦИЯ[[#This Row],[ЖАМИ]]-РЕАЛИЗАЦИЯ[[#This Row],[ЖАМИ2]]</f>
        <v>0</v>
      </c>
      <c r="L1867" s="31"/>
    </row>
    <row r="1868" spans="3:12" ht="15" customHeight="1" x14ac:dyDescent="0.3">
      <c r="C1868" s="188"/>
      <c r="D1868" s="188"/>
      <c r="G1868" s="50">
        <f>РЕАЛИЗАЦИЯ[[#This Row],[СОНИ]]*РЕАЛИЗАЦИЯ[[#This Row],[НАРХИ]]</f>
        <v>0</v>
      </c>
      <c r="I1868" s="166"/>
      <c r="J1868" s="31">
        <f>РЕАЛИЗАЦИЯ[[#This Row],[СОНИ]]*РЕАЛИЗАЦИЯ[[#This Row],[ТАННАРХ]]</f>
        <v>0</v>
      </c>
      <c r="K1868" s="31">
        <f>РЕАЛИЗАЦИЯ[[#This Row],[ЖАМИ]]-РЕАЛИЗАЦИЯ[[#This Row],[ЖАМИ2]]</f>
        <v>0</v>
      </c>
      <c r="L1868" s="31"/>
    </row>
    <row r="1869" spans="3:12" ht="15" customHeight="1" x14ac:dyDescent="0.3">
      <c r="C1869" s="188"/>
      <c r="D1869" s="188"/>
      <c r="G1869" s="50">
        <f>РЕАЛИЗАЦИЯ[[#This Row],[СОНИ]]*РЕАЛИЗАЦИЯ[[#This Row],[НАРХИ]]</f>
        <v>0</v>
      </c>
      <c r="I1869" s="166"/>
      <c r="J1869" s="31">
        <f>РЕАЛИЗАЦИЯ[[#This Row],[СОНИ]]*РЕАЛИЗАЦИЯ[[#This Row],[ТАННАРХ]]</f>
        <v>0</v>
      </c>
      <c r="K1869" s="31">
        <f>РЕАЛИЗАЦИЯ[[#This Row],[ЖАМИ]]-РЕАЛИЗАЦИЯ[[#This Row],[ЖАМИ2]]</f>
        <v>0</v>
      </c>
      <c r="L1869" s="31"/>
    </row>
    <row r="1870" spans="3:12" x14ac:dyDescent="0.3">
      <c r="C1870" s="188"/>
      <c r="D1870" s="188"/>
      <c r="G1870" s="50">
        <f>РЕАЛИЗАЦИЯ[[#This Row],[СОНИ]]*РЕАЛИЗАЦИЯ[[#This Row],[НАРХИ]]</f>
        <v>0</v>
      </c>
      <c r="I1870" s="166"/>
      <c r="J1870" s="31">
        <f>РЕАЛИЗАЦИЯ[[#This Row],[СОНИ]]*РЕАЛИЗАЦИЯ[[#This Row],[ТАННАРХ]]</f>
        <v>0</v>
      </c>
      <c r="K1870" s="31">
        <f>РЕАЛИЗАЦИЯ[[#This Row],[ЖАМИ]]-РЕАЛИЗАЦИЯ[[#This Row],[ЖАМИ2]]</f>
        <v>0</v>
      </c>
      <c r="L1870" s="31"/>
    </row>
    <row r="1871" spans="3:12" x14ac:dyDescent="0.3">
      <c r="C1871" s="188"/>
      <c r="D1871" s="188"/>
      <c r="G1871" s="50">
        <f>РЕАЛИЗАЦИЯ[[#This Row],[СОНИ]]*РЕАЛИЗАЦИЯ[[#This Row],[НАРХИ]]</f>
        <v>0</v>
      </c>
      <c r="I1871" s="166"/>
      <c r="J1871" s="31">
        <f>РЕАЛИЗАЦИЯ[[#This Row],[СОНИ]]*РЕАЛИЗАЦИЯ[[#This Row],[ТАННАРХ]]</f>
        <v>0</v>
      </c>
      <c r="K1871" s="31">
        <f>РЕАЛИЗАЦИЯ[[#This Row],[ЖАМИ]]-РЕАЛИЗАЦИЯ[[#This Row],[ЖАМИ2]]</f>
        <v>0</v>
      </c>
      <c r="L1871" s="31"/>
    </row>
    <row r="1872" spans="3:12" x14ac:dyDescent="0.3">
      <c r="C1872" s="188"/>
      <c r="D1872" s="188"/>
      <c r="G1872" s="50">
        <f>РЕАЛИЗАЦИЯ[[#This Row],[СОНИ]]*РЕАЛИЗАЦИЯ[[#This Row],[НАРХИ]]</f>
        <v>0</v>
      </c>
      <c r="I1872" s="166"/>
      <c r="J1872" s="31">
        <f>РЕАЛИЗАЦИЯ[[#This Row],[СОНИ]]*РЕАЛИЗАЦИЯ[[#This Row],[ТАННАРХ]]</f>
        <v>0</v>
      </c>
      <c r="K1872" s="31">
        <f>РЕАЛИЗАЦИЯ[[#This Row],[ЖАМИ]]-РЕАЛИЗАЦИЯ[[#This Row],[ЖАМИ2]]</f>
        <v>0</v>
      </c>
      <c r="L1872" s="31"/>
    </row>
    <row r="1873" spans="3:12" x14ac:dyDescent="0.3">
      <c r="C1873" s="188"/>
      <c r="D1873" s="188"/>
      <c r="G1873" s="50">
        <f>РЕАЛИЗАЦИЯ[[#This Row],[СОНИ]]*РЕАЛИЗАЦИЯ[[#This Row],[НАРХИ]]</f>
        <v>0</v>
      </c>
      <c r="I1873" s="166"/>
      <c r="J1873" s="31">
        <f>РЕАЛИЗАЦИЯ[[#This Row],[СОНИ]]*РЕАЛИЗАЦИЯ[[#This Row],[ТАННАРХ]]</f>
        <v>0</v>
      </c>
      <c r="K1873" s="31">
        <f>РЕАЛИЗАЦИЯ[[#This Row],[ЖАМИ]]-РЕАЛИЗАЦИЯ[[#This Row],[ЖАМИ2]]</f>
        <v>0</v>
      </c>
      <c r="L1873" s="31"/>
    </row>
    <row r="1874" spans="3:12" x14ac:dyDescent="0.3">
      <c r="C1874" s="188"/>
      <c r="D1874" s="188"/>
      <c r="G1874" s="50">
        <f>РЕАЛИЗАЦИЯ[[#This Row],[СОНИ]]*РЕАЛИЗАЦИЯ[[#This Row],[НАРХИ]]</f>
        <v>0</v>
      </c>
      <c r="I1874" s="166"/>
      <c r="J1874" s="31">
        <f>РЕАЛИЗАЦИЯ[[#This Row],[СОНИ]]*РЕАЛИЗАЦИЯ[[#This Row],[ТАННАРХ]]</f>
        <v>0</v>
      </c>
      <c r="K1874" s="31">
        <f>РЕАЛИЗАЦИЯ[[#This Row],[ЖАМИ]]-РЕАЛИЗАЦИЯ[[#This Row],[ЖАМИ2]]</f>
        <v>0</v>
      </c>
      <c r="L1874" s="31"/>
    </row>
    <row r="1875" spans="3:12" x14ac:dyDescent="0.3">
      <c r="C1875" s="189"/>
      <c r="D1875" s="189"/>
      <c r="G1875" s="50">
        <f>РЕАЛИЗАЦИЯ[[#This Row],[СОНИ]]*РЕАЛИЗАЦИЯ[[#This Row],[НАРХИ]]</f>
        <v>0</v>
      </c>
      <c r="I1875" s="166"/>
      <c r="J1875" s="31">
        <f>РЕАЛИЗАЦИЯ[[#This Row],[СОНИ]]*РЕАЛИЗАЦИЯ[[#This Row],[ТАННАРХ]]</f>
        <v>0</v>
      </c>
      <c r="K1875" s="31">
        <f>РЕАЛИЗАЦИЯ[[#This Row],[ЖАМИ]]-РЕАЛИЗАЦИЯ[[#This Row],[ЖАМИ2]]</f>
        <v>0</v>
      </c>
      <c r="L1875" s="31"/>
    </row>
    <row r="1876" spans="3:12" x14ac:dyDescent="0.3">
      <c r="C1876" s="189"/>
      <c r="D1876" s="189"/>
      <c r="G1876" s="50">
        <f>РЕАЛИЗАЦИЯ[[#This Row],[СОНИ]]*РЕАЛИЗАЦИЯ[[#This Row],[НАРХИ]]</f>
        <v>0</v>
      </c>
      <c r="I1876" s="166"/>
      <c r="J1876" s="31">
        <f>РЕАЛИЗАЦИЯ[[#This Row],[СОНИ]]*РЕАЛИЗАЦИЯ[[#This Row],[ТАННАРХ]]</f>
        <v>0</v>
      </c>
      <c r="K1876" s="31">
        <f>РЕАЛИЗАЦИЯ[[#This Row],[ЖАМИ]]-РЕАЛИЗАЦИЯ[[#This Row],[ЖАМИ2]]</f>
        <v>0</v>
      </c>
      <c r="L1876" s="31"/>
    </row>
    <row r="1877" spans="3:12" x14ac:dyDescent="0.3">
      <c r="C1877" s="189"/>
      <c r="D1877" s="189"/>
      <c r="G1877" s="50">
        <f>РЕАЛИЗАЦИЯ[[#This Row],[СОНИ]]*РЕАЛИЗАЦИЯ[[#This Row],[НАРХИ]]</f>
        <v>0</v>
      </c>
      <c r="I1877" s="166"/>
      <c r="J1877" s="31">
        <f>РЕАЛИЗАЦИЯ[[#This Row],[СОНИ]]*РЕАЛИЗАЦИЯ[[#This Row],[ТАННАРХ]]</f>
        <v>0</v>
      </c>
      <c r="K1877" s="31">
        <f>РЕАЛИЗАЦИЯ[[#This Row],[ЖАМИ]]-РЕАЛИЗАЦИЯ[[#This Row],[ЖАМИ2]]</f>
        <v>0</v>
      </c>
      <c r="L1877" s="31"/>
    </row>
    <row r="1878" spans="3:12" x14ac:dyDescent="0.3">
      <c r="C1878" s="189"/>
      <c r="D1878" s="189"/>
      <c r="G1878" s="50">
        <f>РЕАЛИЗАЦИЯ[[#This Row],[СОНИ]]*РЕАЛИЗАЦИЯ[[#This Row],[НАРХИ]]</f>
        <v>0</v>
      </c>
      <c r="I1878" s="166"/>
      <c r="J1878" s="31">
        <f>РЕАЛИЗАЦИЯ[[#This Row],[СОНИ]]*РЕАЛИЗАЦИЯ[[#This Row],[ТАННАРХ]]</f>
        <v>0</v>
      </c>
      <c r="K1878" s="31">
        <f>РЕАЛИЗАЦИЯ[[#This Row],[ЖАМИ]]-РЕАЛИЗАЦИЯ[[#This Row],[ЖАМИ2]]</f>
        <v>0</v>
      </c>
      <c r="L1878" s="31"/>
    </row>
    <row r="1879" spans="3:12" x14ac:dyDescent="0.3">
      <c r="C1879" s="189"/>
      <c r="D1879" s="189"/>
      <c r="G1879" s="50">
        <f>РЕАЛИЗАЦИЯ[[#This Row],[СОНИ]]*РЕАЛИЗАЦИЯ[[#This Row],[НАРХИ]]</f>
        <v>0</v>
      </c>
      <c r="I1879" s="166"/>
      <c r="J1879" s="31">
        <f>РЕАЛИЗАЦИЯ[[#This Row],[СОНИ]]*РЕАЛИЗАЦИЯ[[#This Row],[ТАННАРХ]]</f>
        <v>0</v>
      </c>
      <c r="K1879" s="31">
        <f>РЕАЛИЗАЦИЯ[[#This Row],[ЖАМИ]]-РЕАЛИЗАЦИЯ[[#This Row],[ЖАМИ2]]</f>
        <v>0</v>
      </c>
      <c r="L1879" s="31"/>
    </row>
    <row r="1880" spans="3:12" x14ac:dyDescent="0.3">
      <c r="C1880" s="189"/>
      <c r="D1880" s="189"/>
      <c r="G1880" s="50">
        <f>РЕАЛИЗАЦИЯ[[#This Row],[СОНИ]]*РЕАЛИЗАЦИЯ[[#This Row],[НАРХИ]]</f>
        <v>0</v>
      </c>
      <c r="I1880" s="166"/>
      <c r="J1880" s="31">
        <f>РЕАЛИЗАЦИЯ[[#This Row],[СОНИ]]*РЕАЛИЗАЦИЯ[[#This Row],[ТАННАРХ]]</f>
        <v>0</v>
      </c>
      <c r="K1880" s="31">
        <f>РЕАЛИЗАЦИЯ[[#This Row],[ЖАМИ]]-РЕАЛИЗАЦИЯ[[#This Row],[ЖАМИ2]]</f>
        <v>0</v>
      </c>
      <c r="L1880" s="31"/>
    </row>
    <row r="1881" spans="3:12" x14ac:dyDescent="0.3">
      <c r="C1881" s="189"/>
      <c r="D1881" s="189"/>
      <c r="G1881" s="50">
        <f>РЕАЛИЗАЦИЯ[[#This Row],[СОНИ]]*РЕАЛИЗАЦИЯ[[#This Row],[НАРХИ]]</f>
        <v>0</v>
      </c>
      <c r="I1881" s="166"/>
      <c r="J1881" s="31">
        <f>РЕАЛИЗАЦИЯ[[#This Row],[СОНИ]]*РЕАЛИЗАЦИЯ[[#This Row],[ТАННАРХ]]</f>
        <v>0</v>
      </c>
      <c r="K1881" s="31">
        <f>РЕАЛИЗАЦИЯ[[#This Row],[ЖАМИ]]-РЕАЛИЗАЦИЯ[[#This Row],[ЖАМИ2]]</f>
        <v>0</v>
      </c>
      <c r="L1881" s="31"/>
    </row>
    <row r="1882" spans="3:12" x14ac:dyDescent="0.3">
      <c r="C1882" s="189"/>
      <c r="D1882" s="189"/>
      <c r="G1882" s="50">
        <f>РЕАЛИЗАЦИЯ[[#This Row],[СОНИ]]*РЕАЛИЗАЦИЯ[[#This Row],[НАРХИ]]</f>
        <v>0</v>
      </c>
      <c r="I1882" s="166"/>
      <c r="J1882" s="31">
        <f>РЕАЛИЗАЦИЯ[[#This Row],[СОНИ]]*РЕАЛИЗАЦИЯ[[#This Row],[ТАННАРХ]]</f>
        <v>0</v>
      </c>
      <c r="K1882" s="31">
        <f>РЕАЛИЗАЦИЯ[[#This Row],[ЖАМИ]]-РЕАЛИЗАЦИЯ[[#This Row],[ЖАМИ2]]</f>
        <v>0</v>
      </c>
      <c r="L1882" s="31"/>
    </row>
    <row r="1883" spans="3:12" x14ac:dyDescent="0.3">
      <c r="C1883" s="189"/>
      <c r="D1883" s="189"/>
      <c r="G1883" s="50">
        <f>РЕАЛИЗАЦИЯ[[#This Row],[СОНИ]]*РЕАЛИЗАЦИЯ[[#This Row],[НАРХИ]]</f>
        <v>0</v>
      </c>
      <c r="I1883" s="166"/>
      <c r="J1883" s="31">
        <f>РЕАЛИЗАЦИЯ[[#This Row],[СОНИ]]*РЕАЛИЗАЦИЯ[[#This Row],[ТАННАРХ]]</f>
        <v>0</v>
      </c>
      <c r="K1883" s="31">
        <f>РЕАЛИЗАЦИЯ[[#This Row],[ЖАМИ]]-РЕАЛИЗАЦИЯ[[#This Row],[ЖАМИ2]]</f>
        <v>0</v>
      </c>
      <c r="L1883" s="31"/>
    </row>
    <row r="1884" spans="3:12" x14ac:dyDescent="0.3">
      <c r="C1884" s="189"/>
      <c r="D1884" s="189"/>
      <c r="G1884" s="50">
        <f>РЕАЛИЗАЦИЯ[[#This Row],[СОНИ]]*РЕАЛИЗАЦИЯ[[#This Row],[НАРХИ]]</f>
        <v>0</v>
      </c>
      <c r="I1884" s="166"/>
      <c r="J1884" s="31">
        <f>РЕАЛИЗАЦИЯ[[#This Row],[СОНИ]]*РЕАЛИЗАЦИЯ[[#This Row],[ТАННАРХ]]</f>
        <v>0</v>
      </c>
      <c r="K1884" s="31">
        <f>РЕАЛИЗАЦИЯ[[#This Row],[ЖАМИ]]-РЕАЛИЗАЦИЯ[[#This Row],[ЖАМИ2]]</f>
        <v>0</v>
      </c>
      <c r="L1884" s="31"/>
    </row>
    <row r="1885" spans="3:12" x14ac:dyDescent="0.3">
      <c r="C1885" s="189"/>
      <c r="D1885" s="189"/>
      <c r="G1885" s="50">
        <f>РЕАЛИЗАЦИЯ[[#This Row],[СОНИ]]*РЕАЛИЗАЦИЯ[[#This Row],[НАРХИ]]</f>
        <v>0</v>
      </c>
      <c r="I1885" s="166"/>
      <c r="J1885" s="31">
        <f>РЕАЛИЗАЦИЯ[[#This Row],[СОНИ]]*РЕАЛИЗАЦИЯ[[#This Row],[ТАННАРХ]]</f>
        <v>0</v>
      </c>
      <c r="K1885" s="31">
        <f>РЕАЛИЗАЦИЯ[[#This Row],[ЖАМИ]]-РЕАЛИЗАЦИЯ[[#This Row],[ЖАМИ2]]</f>
        <v>0</v>
      </c>
      <c r="L1885" s="31"/>
    </row>
    <row r="1886" spans="3:12" x14ac:dyDescent="0.3">
      <c r="C1886" s="189"/>
      <c r="D1886" s="189"/>
      <c r="G1886" s="50">
        <f>РЕАЛИЗАЦИЯ[[#This Row],[СОНИ]]*РЕАЛИЗАЦИЯ[[#This Row],[НАРХИ]]</f>
        <v>0</v>
      </c>
      <c r="I1886" s="166"/>
      <c r="J1886" s="31">
        <f>РЕАЛИЗАЦИЯ[[#This Row],[СОНИ]]*РЕАЛИЗАЦИЯ[[#This Row],[ТАННАРХ]]</f>
        <v>0</v>
      </c>
      <c r="K1886" s="31">
        <f>РЕАЛИЗАЦИЯ[[#This Row],[ЖАМИ]]-РЕАЛИЗАЦИЯ[[#This Row],[ЖАМИ2]]</f>
        <v>0</v>
      </c>
      <c r="L1886" s="31"/>
    </row>
    <row r="1887" spans="3:12" x14ac:dyDescent="0.3">
      <c r="C1887" s="189"/>
      <c r="D1887" s="189"/>
      <c r="G1887" s="50">
        <f>РЕАЛИЗАЦИЯ[[#This Row],[СОНИ]]*РЕАЛИЗАЦИЯ[[#This Row],[НАРХИ]]</f>
        <v>0</v>
      </c>
      <c r="I1887" s="166"/>
      <c r="J1887" s="31">
        <f>РЕАЛИЗАЦИЯ[[#This Row],[СОНИ]]*РЕАЛИЗАЦИЯ[[#This Row],[ТАННАРХ]]</f>
        <v>0</v>
      </c>
      <c r="K1887" s="31">
        <f>РЕАЛИЗАЦИЯ[[#This Row],[ЖАМИ]]-РЕАЛИЗАЦИЯ[[#This Row],[ЖАМИ2]]</f>
        <v>0</v>
      </c>
      <c r="L1887" s="31"/>
    </row>
    <row r="1888" spans="3:12" x14ac:dyDescent="0.3">
      <c r="C1888" s="189"/>
      <c r="D1888" s="189"/>
      <c r="G1888" s="50">
        <f>РЕАЛИЗАЦИЯ[[#This Row],[СОНИ]]*РЕАЛИЗАЦИЯ[[#This Row],[НАРХИ]]</f>
        <v>0</v>
      </c>
      <c r="I1888" s="166"/>
      <c r="J1888" s="31">
        <f>РЕАЛИЗАЦИЯ[[#This Row],[СОНИ]]*РЕАЛИЗАЦИЯ[[#This Row],[ТАННАРХ]]</f>
        <v>0</v>
      </c>
      <c r="K1888" s="31">
        <f>РЕАЛИЗАЦИЯ[[#This Row],[ЖАМИ]]-РЕАЛИЗАЦИЯ[[#This Row],[ЖАМИ2]]</f>
        <v>0</v>
      </c>
      <c r="L1888" s="31"/>
    </row>
    <row r="1889" spans="3:12" x14ac:dyDescent="0.3">
      <c r="C1889" s="189"/>
      <c r="D1889" s="189"/>
      <c r="G1889" s="50">
        <f>РЕАЛИЗАЦИЯ[[#This Row],[СОНИ]]*РЕАЛИЗАЦИЯ[[#This Row],[НАРХИ]]</f>
        <v>0</v>
      </c>
      <c r="I1889" s="166"/>
      <c r="J1889" s="31">
        <f>РЕАЛИЗАЦИЯ[[#This Row],[СОНИ]]*РЕАЛИЗАЦИЯ[[#This Row],[ТАННАРХ]]</f>
        <v>0</v>
      </c>
      <c r="K1889" s="31">
        <f>РЕАЛИЗАЦИЯ[[#This Row],[ЖАМИ]]-РЕАЛИЗАЦИЯ[[#This Row],[ЖАМИ2]]</f>
        <v>0</v>
      </c>
      <c r="L1889" s="31"/>
    </row>
    <row r="1890" spans="3:12" x14ac:dyDescent="0.3">
      <c r="C1890" s="189"/>
      <c r="D1890" s="189"/>
      <c r="G1890" s="50">
        <f>РЕАЛИЗАЦИЯ[[#This Row],[СОНИ]]*РЕАЛИЗАЦИЯ[[#This Row],[НАРХИ]]</f>
        <v>0</v>
      </c>
      <c r="I1890" s="166"/>
      <c r="J1890" s="31">
        <f>РЕАЛИЗАЦИЯ[[#This Row],[СОНИ]]*РЕАЛИЗАЦИЯ[[#This Row],[ТАННАРХ]]</f>
        <v>0</v>
      </c>
      <c r="K1890" s="31">
        <f>РЕАЛИЗАЦИЯ[[#This Row],[ЖАМИ]]-РЕАЛИЗАЦИЯ[[#This Row],[ЖАМИ2]]</f>
        <v>0</v>
      </c>
      <c r="L1890" s="31"/>
    </row>
    <row r="1891" spans="3:12" x14ac:dyDescent="0.3">
      <c r="C1891" s="189"/>
      <c r="D1891" s="189"/>
      <c r="G1891" s="50">
        <f>РЕАЛИЗАЦИЯ[[#This Row],[СОНИ]]*РЕАЛИЗАЦИЯ[[#This Row],[НАРХИ]]</f>
        <v>0</v>
      </c>
      <c r="I1891" s="166"/>
      <c r="J1891" s="31">
        <f>РЕАЛИЗАЦИЯ[[#This Row],[СОНИ]]*РЕАЛИЗАЦИЯ[[#This Row],[ТАННАРХ]]</f>
        <v>0</v>
      </c>
      <c r="K1891" s="31">
        <f>РЕАЛИЗАЦИЯ[[#This Row],[ЖАМИ]]-РЕАЛИЗАЦИЯ[[#This Row],[ЖАМИ2]]</f>
        <v>0</v>
      </c>
      <c r="L1891" s="31"/>
    </row>
    <row r="1892" spans="3:12" x14ac:dyDescent="0.3">
      <c r="C1892" s="189"/>
      <c r="D1892" s="189"/>
      <c r="G1892" s="50">
        <f>РЕАЛИЗАЦИЯ[[#This Row],[СОНИ]]*РЕАЛИЗАЦИЯ[[#This Row],[НАРХИ]]</f>
        <v>0</v>
      </c>
      <c r="I1892" s="166"/>
      <c r="J1892" s="31">
        <f>РЕАЛИЗАЦИЯ[[#This Row],[СОНИ]]*РЕАЛИЗАЦИЯ[[#This Row],[ТАННАРХ]]</f>
        <v>0</v>
      </c>
      <c r="K1892" s="31">
        <f>РЕАЛИЗАЦИЯ[[#This Row],[ЖАМИ]]-РЕАЛИЗАЦИЯ[[#This Row],[ЖАМИ2]]</f>
        <v>0</v>
      </c>
      <c r="L1892" s="31"/>
    </row>
    <row r="1893" spans="3:12" x14ac:dyDescent="0.3">
      <c r="C1893" s="189"/>
      <c r="D1893" s="189"/>
      <c r="G1893" s="50">
        <f>РЕАЛИЗАЦИЯ[[#This Row],[СОНИ]]*РЕАЛИЗАЦИЯ[[#This Row],[НАРХИ]]</f>
        <v>0</v>
      </c>
      <c r="I1893" s="166"/>
      <c r="J1893" s="31">
        <f>РЕАЛИЗАЦИЯ[[#This Row],[СОНИ]]*РЕАЛИЗАЦИЯ[[#This Row],[ТАННАРХ]]</f>
        <v>0</v>
      </c>
      <c r="K1893" s="31">
        <f>РЕАЛИЗАЦИЯ[[#This Row],[ЖАМИ]]-РЕАЛИЗАЦИЯ[[#This Row],[ЖАМИ2]]</f>
        <v>0</v>
      </c>
      <c r="L1893" s="31"/>
    </row>
    <row r="1894" spans="3:12" x14ac:dyDescent="0.3">
      <c r="C1894" s="189"/>
      <c r="D1894" s="189"/>
      <c r="G1894" s="50">
        <f>РЕАЛИЗАЦИЯ[[#This Row],[СОНИ]]*РЕАЛИЗАЦИЯ[[#This Row],[НАРХИ]]</f>
        <v>0</v>
      </c>
      <c r="I1894" s="166"/>
      <c r="J1894" s="31">
        <f>РЕАЛИЗАЦИЯ[[#This Row],[СОНИ]]*РЕАЛИЗАЦИЯ[[#This Row],[ТАННАРХ]]</f>
        <v>0</v>
      </c>
      <c r="K1894" s="31">
        <f>РЕАЛИЗАЦИЯ[[#This Row],[ЖАМИ]]-РЕАЛИЗАЦИЯ[[#This Row],[ЖАМИ2]]</f>
        <v>0</v>
      </c>
      <c r="L1894" s="31"/>
    </row>
    <row r="1895" spans="3:12" x14ac:dyDescent="0.3">
      <c r="C1895" s="190"/>
      <c r="D1895" s="190"/>
      <c r="G1895" s="50">
        <f>РЕАЛИЗАЦИЯ[[#This Row],[СОНИ]]*РЕАЛИЗАЦИЯ[[#This Row],[НАРХИ]]</f>
        <v>0</v>
      </c>
      <c r="I1895" s="166"/>
      <c r="J1895" s="31">
        <f>РЕАЛИЗАЦИЯ[[#This Row],[СОНИ]]*РЕАЛИЗАЦИЯ[[#This Row],[ТАННАРХ]]</f>
        <v>0</v>
      </c>
      <c r="K1895" s="31">
        <f>РЕАЛИЗАЦИЯ[[#This Row],[ЖАМИ]]-РЕАЛИЗАЦИЯ[[#This Row],[ЖАМИ2]]</f>
        <v>0</v>
      </c>
      <c r="L1895" s="31"/>
    </row>
    <row r="1896" spans="3:12" x14ac:dyDescent="0.3">
      <c r="C1896" s="190"/>
      <c r="D1896" s="190"/>
      <c r="G1896" s="50">
        <f>РЕАЛИЗАЦИЯ[[#This Row],[СОНИ]]*РЕАЛИЗАЦИЯ[[#This Row],[НАРХИ]]</f>
        <v>0</v>
      </c>
      <c r="I1896" s="166"/>
      <c r="J1896" s="31">
        <f>РЕАЛИЗАЦИЯ[[#This Row],[СОНИ]]*РЕАЛИЗАЦИЯ[[#This Row],[ТАННАРХ]]</f>
        <v>0</v>
      </c>
      <c r="K1896" s="31">
        <f>РЕАЛИЗАЦИЯ[[#This Row],[ЖАМИ]]-РЕАЛИЗАЦИЯ[[#This Row],[ЖАМИ2]]</f>
        <v>0</v>
      </c>
      <c r="L1896" s="31"/>
    </row>
    <row r="1897" spans="3:12" x14ac:dyDescent="0.3">
      <c r="C1897" s="190"/>
      <c r="D1897" s="190"/>
      <c r="G1897" s="50">
        <f>РЕАЛИЗАЦИЯ[[#This Row],[СОНИ]]*РЕАЛИЗАЦИЯ[[#This Row],[НАРХИ]]</f>
        <v>0</v>
      </c>
      <c r="I1897" s="166"/>
      <c r="J1897" s="31">
        <f>РЕАЛИЗАЦИЯ[[#This Row],[СОНИ]]*РЕАЛИЗАЦИЯ[[#This Row],[ТАННАРХ]]</f>
        <v>0</v>
      </c>
      <c r="K1897" s="31">
        <f>РЕАЛИЗАЦИЯ[[#This Row],[ЖАМИ]]-РЕАЛИЗАЦИЯ[[#This Row],[ЖАМИ2]]</f>
        <v>0</v>
      </c>
      <c r="L1897" s="31"/>
    </row>
    <row r="1898" spans="3:12" x14ac:dyDescent="0.3">
      <c r="C1898" s="190"/>
      <c r="D1898" s="190"/>
      <c r="G1898" s="50">
        <f>РЕАЛИЗАЦИЯ[[#This Row],[СОНИ]]*РЕАЛИЗАЦИЯ[[#This Row],[НАРХИ]]</f>
        <v>0</v>
      </c>
      <c r="I1898" s="166"/>
      <c r="J1898" s="31">
        <f>РЕАЛИЗАЦИЯ[[#This Row],[СОНИ]]*РЕАЛИЗАЦИЯ[[#This Row],[ТАННАРХ]]</f>
        <v>0</v>
      </c>
      <c r="K1898" s="31">
        <f>РЕАЛИЗАЦИЯ[[#This Row],[ЖАМИ]]-РЕАЛИЗАЦИЯ[[#This Row],[ЖАМИ2]]</f>
        <v>0</v>
      </c>
      <c r="L1898" s="31"/>
    </row>
    <row r="1899" spans="3:12" x14ac:dyDescent="0.3">
      <c r="C1899" s="190"/>
      <c r="D1899" s="190"/>
      <c r="G1899" s="50">
        <f>РЕАЛИЗАЦИЯ[[#This Row],[СОНИ]]*РЕАЛИЗАЦИЯ[[#This Row],[НАРХИ]]</f>
        <v>0</v>
      </c>
      <c r="I1899" s="166"/>
      <c r="J1899" s="31">
        <f>РЕАЛИЗАЦИЯ[[#This Row],[СОНИ]]*РЕАЛИЗАЦИЯ[[#This Row],[ТАННАРХ]]</f>
        <v>0</v>
      </c>
      <c r="K1899" s="31">
        <f>РЕАЛИЗАЦИЯ[[#This Row],[ЖАМИ]]-РЕАЛИЗАЦИЯ[[#This Row],[ЖАМИ2]]</f>
        <v>0</v>
      </c>
      <c r="L1899" s="31"/>
    </row>
    <row r="1900" spans="3:12" x14ac:dyDescent="0.3">
      <c r="C1900" s="190"/>
      <c r="D1900" s="190"/>
      <c r="G1900" s="50">
        <f>РЕАЛИЗАЦИЯ[[#This Row],[СОНИ]]*РЕАЛИЗАЦИЯ[[#This Row],[НАРХИ]]</f>
        <v>0</v>
      </c>
      <c r="I1900" s="166"/>
      <c r="J1900" s="31">
        <f>РЕАЛИЗАЦИЯ[[#This Row],[СОНИ]]*РЕАЛИЗАЦИЯ[[#This Row],[ТАННАРХ]]</f>
        <v>0</v>
      </c>
      <c r="K1900" s="31">
        <f>РЕАЛИЗАЦИЯ[[#This Row],[ЖАМИ]]-РЕАЛИЗАЦИЯ[[#This Row],[ЖАМИ2]]</f>
        <v>0</v>
      </c>
      <c r="L1900" s="31"/>
    </row>
    <row r="1901" spans="3:12" x14ac:dyDescent="0.3">
      <c r="C1901" s="190"/>
      <c r="D1901" s="190"/>
      <c r="G1901" s="50">
        <f>РЕАЛИЗАЦИЯ[[#This Row],[СОНИ]]*РЕАЛИЗАЦИЯ[[#This Row],[НАРХИ]]</f>
        <v>0</v>
      </c>
      <c r="I1901" s="166"/>
      <c r="J1901" s="31">
        <f>РЕАЛИЗАЦИЯ[[#This Row],[СОНИ]]*РЕАЛИЗАЦИЯ[[#This Row],[ТАННАРХ]]</f>
        <v>0</v>
      </c>
      <c r="K1901" s="31">
        <f>РЕАЛИЗАЦИЯ[[#This Row],[ЖАМИ]]-РЕАЛИЗАЦИЯ[[#This Row],[ЖАМИ2]]</f>
        <v>0</v>
      </c>
      <c r="L1901" s="31"/>
    </row>
    <row r="1902" spans="3:12" x14ac:dyDescent="0.3">
      <c r="C1902" s="190"/>
      <c r="D1902" s="190"/>
      <c r="G1902" s="50">
        <f>РЕАЛИЗАЦИЯ[[#This Row],[СОНИ]]*РЕАЛИЗАЦИЯ[[#This Row],[НАРХИ]]</f>
        <v>0</v>
      </c>
      <c r="I1902" s="166"/>
      <c r="J1902" s="31">
        <f>РЕАЛИЗАЦИЯ[[#This Row],[СОНИ]]*РЕАЛИЗАЦИЯ[[#This Row],[ТАННАРХ]]</f>
        <v>0</v>
      </c>
      <c r="K1902" s="31">
        <f>РЕАЛИЗАЦИЯ[[#This Row],[ЖАМИ]]-РЕАЛИЗАЦИЯ[[#This Row],[ЖАМИ2]]</f>
        <v>0</v>
      </c>
      <c r="L1902" s="31"/>
    </row>
    <row r="1903" spans="3:12" x14ac:dyDescent="0.3">
      <c r="C1903" s="190"/>
      <c r="D1903" s="190"/>
      <c r="G1903" s="50">
        <f>РЕАЛИЗАЦИЯ[[#This Row],[СОНИ]]*РЕАЛИЗАЦИЯ[[#This Row],[НАРХИ]]</f>
        <v>0</v>
      </c>
      <c r="I1903" s="166"/>
      <c r="J1903" s="31">
        <f>РЕАЛИЗАЦИЯ[[#This Row],[СОНИ]]*РЕАЛИЗАЦИЯ[[#This Row],[ТАННАРХ]]</f>
        <v>0</v>
      </c>
      <c r="K1903" s="31">
        <f>РЕАЛИЗАЦИЯ[[#This Row],[ЖАМИ]]-РЕАЛИЗАЦИЯ[[#This Row],[ЖАМИ2]]</f>
        <v>0</v>
      </c>
      <c r="L1903" s="31"/>
    </row>
    <row r="1904" spans="3:12" x14ac:dyDescent="0.3">
      <c r="C1904" s="190"/>
      <c r="D1904" s="190"/>
      <c r="G1904" s="50">
        <f>РЕАЛИЗАЦИЯ[[#This Row],[СОНИ]]*РЕАЛИЗАЦИЯ[[#This Row],[НАРХИ]]</f>
        <v>0</v>
      </c>
      <c r="I1904" s="166"/>
      <c r="J1904" s="31">
        <f>РЕАЛИЗАЦИЯ[[#This Row],[СОНИ]]*РЕАЛИЗАЦИЯ[[#This Row],[ТАННАРХ]]</f>
        <v>0</v>
      </c>
      <c r="K1904" s="31">
        <f>РЕАЛИЗАЦИЯ[[#This Row],[ЖАМИ]]-РЕАЛИЗАЦИЯ[[#This Row],[ЖАМИ2]]</f>
        <v>0</v>
      </c>
      <c r="L1904" s="31"/>
    </row>
    <row r="1905" spans="3:12" x14ac:dyDescent="0.3">
      <c r="C1905" s="192"/>
      <c r="D1905" s="192"/>
      <c r="G1905" s="50">
        <f>РЕАЛИЗАЦИЯ[[#This Row],[СОНИ]]*РЕАЛИЗАЦИЯ[[#This Row],[НАРХИ]]</f>
        <v>0</v>
      </c>
      <c r="I1905" s="166"/>
      <c r="J1905" s="31">
        <f>РЕАЛИЗАЦИЯ[[#This Row],[СОНИ]]*РЕАЛИЗАЦИЯ[[#This Row],[ТАННАРХ]]</f>
        <v>0</v>
      </c>
      <c r="K1905" s="31">
        <f>РЕАЛИЗАЦИЯ[[#This Row],[ЖАМИ]]-РЕАЛИЗАЦИЯ[[#This Row],[ЖАМИ2]]</f>
        <v>0</v>
      </c>
      <c r="L1905" s="31"/>
    </row>
    <row r="1906" spans="3:12" x14ac:dyDescent="0.3">
      <c r="C1906" s="190"/>
      <c r="D1906" s="190"/>
      <c r="G1906" s="50">
        <f>РЕАЛИЗАЦИЯ[[#This Row],[СОНИ]]*РЕАЛИЗАЦИЯ[[#This Row],[НАРХИ]]</f>
        <v>0</v>
      </c>
      <c r="I1906" s="166"/>
      <c r="J1906" s="31">
        <f>РЕАЛИЗАЦИЯ[[#This Row],[СОНИ]]*РЕАЛИЗАЦИЯ[[#This Row],[ТАННАРХ]]</f>
        <v>0</v>
      </c>
      <c r="K1906" s="31">
        <f>РЕАЛИЗАЦИЯ[[#This Row],[ЖАМИ]]-РЕАЛИЗАЦИЯ[[#This Row],[ЖАМИ2]]</f>
        <v>0</v>
      </c>
      <c r="L1906" s="31"/>
    </row>
    <row r="1907" spans="3:12" x14ac:dyDescent="0.3">
      <c r="C1907" s="190"/>
      <c r="D1907" s="190"/>
      <c r="G1907" s="50">
        <f>РЕАЛИЗАЦИЯ[[#This Row],[СОНИ]]*РЕАЛИЗАЦИЯ[[#This Row],[НАРХИ]]</f>
        <v>0</v>
      </c>
      <c r="I1907" s="166"/>
      <c r="J1907" s="31">
        <f>РЕАЛИЗАЦИЯ[[#This Row],[СОНИ]]*РЕАЛИЗАЦИЯ[[#This Row],[ТАННАРХ]]</f>
        <v>0</v>
      </c>
      <c r="K1907" s="31">
        <f>РЕАЛИЗАЦИЯ[[#This Row],[ЖАМИ]]-РЕАЛИЗАЦИЯ[[#This Row],[ЖАМИ2]]</f>
        <v>0</v>
      </c>
      <c r="L1907" s="31"/>
    </row>
    <row r="1908" spans="3:12" x14ac:dyDescent="0.3">
      <c r="C1908" s="190"/>
      <c r="D1908" s="190"/>
      <c r="G1908" s="50">
        <f>РЕАЛИЗАЦИЯ[[#This Row],[СОНИ]]*РЕАЛИЗАЦИЯ[[#This Row],[НАРХИ]]</f>
        <v>0</v>
      </c>
      <c r="I1908" s="166"/>
      <c r="J1908" s="31">
        <f>РЕАЛИЗАЦИЯ[[#This Row],[СОНИ]]*РЕАЛИЗАЦИЯ[[#This Row],[ТАННАРХ]]</f>
        <v>0</v>
      </c>
      <c r="K1908" s="31">
        <f>РЕАЛИЗАЦИЯ[[#This Row],[ЖАМИ]]-РЕАЛИЗАЦИЯ[[#This Row],[ЖАМИ2]]</f>
        <v>0</v>
      </c>
      <c r="L1908" s="31"/>
    </row>
    <row r="1909" spans="3:12" x14ac:dyDescent="0.3">
      <c r="C1909" s="190"/>
      <c r="D1909" s="190"/>
      <c r="G1909" s="50">
        <f>РЕАЛИЗАЦИЯ[[#This Row],[СОНИ]]*РЕАЛИЗАЦИЯ[[#This Row],[НАРХИ]]</f>
        <v>0</v>
      </c>
      <c r="I1909" s="166"/>
      <c r="J1909" s="31">
        <f>РЕАЛИЗАЦИЯ[[#This Row],[СОНИ]]*РЕАЛИЗАЦИЯ[[#This Row],[ТАННАРХ]]</f>
        <v>0</v>
      </c>
      <c r="K1909" s="31">
        <f>РЕАЛИЗАЦИЯ[[#This Row],[ЖАМИ]]-РЕАЛИЗАЦИЯ[[#This Row],[ЖАМИ2]]</f>
        <v>0</v>
      </c>
      <c r="L1909" s="31"/>
    </row>
    <row r="1910" spans="3:12" x14ac:dyDescent="0.3">
      <c r="C1910" s="190"/>
      <c r="D1910" s="190"/>
      <c r="G1910" s="50">
        <f>РЕАЛИЗАЦИЯ[[#This Row],[СОНИ]]*РЕАЛИЗАЦИЯ[[#This Row],[НАРХИ]]</f>
        <v>0</v>
      </c>
      <c r="I1910" s="166"/>
      <c r="J1910" s="31">
        <f>РЕАЛИЗАЦИЯ[[#This Row],[СОНИ]]*РЕАЛИЗАЦИЯ[[#This Row],[ТАННАРХ]]</f>
        <v>0</v>
      </c>
      <c r="K1910" s="31">
        <f>РЕАЛИЗАЦИЯ[[#This Row],[ЖАМИ]]-РЕАЛИЗАЦИЯ[[#This Row],[ЖАМИ2]]</f>
        <v>0</v>
      </c>
      <c r="L1910" s="31"/>
    </row>
    <row r="1911" spans="3:12" x14ac:dyDescent="0.3">
      <c r="C1911" s="190"/>
      <c r="D1911" s="190"/>
      <c r="G1911" s="50">
        <f>РЕАЛИЗАЦИЯ[[#This Row],[СОНИ]]*РЕАЛИЗАЦИЯ[[#This Row],[НАРХИ]]</f>
        <v>0</v>
      </c>
      <c r="I1911" s="166"/>
      <c r="J1911" s="31">
        <f>РЕАЛИЗАЦИЯ[[#This Row],[СОНИ]]*РЕАЛИЗАЦИЯ[[#This Row],[ТАННАРХ]]</f>
        <v>0</v>
      </c>
      <c r="K1911" s="31">
        <f>РЕАЛИЗАЦИЯ[[#This Row],[ЖАМИ]]-РЕАЛИЗАЦИЯ[[#This Row],[ЖАМИ2]]</f>
        <v>0</v>
      </c>
      <c r="L1911" s="31"/>
    </row>
    <row r="1912" spans="3:12" x14ac:dyDescent="0.3">
      <c r="C1912" s="190"/>
      <c r="D1912" s="190"/>
      <c r="G1912" s="50">
        <f>РЕАЛИЗАЦИЯ[[#This Row],[СОНИ]]*РЕАЛИЗАЦИЯ[[#This Row],[НАРХИ]]</f>
        <v>0</v>
      </c>
      <c r="I1912" s="166"/>
      <c r="J1912" s="31">
        <f>РЕАЛИЗАЦИЯ[[#This Row],[СОНИ]]*РЕАЛИЗАЦИЯ[[#This Row],[ТАННАРХ]]</f>
        <v>0</v>
      </c>
      <c r="K1912" s="31">
        <f>РЕАЛИЗАЦИЯ[[#This Row],[ЖАМИ]]-РЕАЛИЗАЦИЯ[[#This Row],[ЖАМИ2]]</f>
        <v>0</v>
      </c>
      <c r="L1912" s="31"/>
    </row>
    <row r="1913" spans="3:12" x14ac:dyDescent="0.3">
      <c r="C1913" s="190"/>
      <c r="D1913" s="190"/>
      <c r="G1913" s="50">
        <f>РЕАЛИЗАЦИЯ[[#This Row],[СОНИ]]*РЕАЛИЗАЦИЯ[[#This Row],[НАРХИ]]</f>
        <v>0</v>
      </c>
      <c r="I1913" s="166"/>
      <c r="J1913" s="31">
        <f>РЕАЛИЗАЦИЯ[[#This Row],[СОНИ]]*РЕАЛИЗАЦИЯ[[#This Row],[ТАННАРХ]]</f>
        <v>0</v>
      </c>
      <c r="K1913" s="31">
        <f>РЕАЛИЗАЦИЯ[[#This Row],[ЖАМИ]]-РЕАЛИЗАЦИЯ[[#This Row],[ЖАМИ2]]</f>
        <v>0</v>
      </c>
      <c r="L1913" s="31"/>
    </row>
    <row r="1914" spans="3:12" x14ac:dyDescent="0.3">
      <c r="C1914" s="190"/>
      <c r="D1914" s="190"/>
      <c r="G1914" s="50">
        <f>РЕАЛИЗАЦИЯ[[#This Row],[СОНИ]]*РЕАЛИЗАЦИЯ[[#This Row],[НАРХИ]]</f>
        <v>0</v>
      </c>
      <c r="I1914" s="166"/>
      <c r="J1914" s="31">
        <f>РЕАЛИЗАЦИЯ[[#This Row],[СОНИ]]*РЕАЛИЗАЦИЯ[[#This Row],[ТАННАРХ]]</f>
        <v>0</v>
      </c>
      <c r="K1914" s="31">
        <f>РЕАЛИЗАЦИЯ[[#This Row],[ЖАМИ]]-РЕАЛИЗАЦИЯ[[#This Row],[ЖАМИ2]]</f>
        <v>0</v>
      </c>
      <c r="L1914" s="31"/>
    </row>
    <row r="1915" spans="3:12" x14ac:dyDescent="0.3">
      <c r="C1915" s="190"/>
      <c r="D1915" s="190"/>
      <c r="G1915" s="50">
        <f>РЕАЛИЗАЦИЯ[[#This Row],[СОНИ]]*РЕАЛИЗАЦИЯ[[#This Row],[НАРХИ]]</f>
        <v>0</v>
      </c>
      <c r="I1915" s="166"/>
      <c r="J1915" s="31">
        <f>РЕАЛИЗАЦИЯ[[#This Row],[СОНИ]]*РЕАЛИЗАЦИЯ[[#This Row],[ТАННАРХ]]</f>
        <v>0</v>
      </c>
      <c r="K1915" s="31">
        <f>РЕАЛИЗАЦИЯ[[#This Row],[ЖАМИ]]-РЕАЛИЗАЦИЯ[[#This Row],[ЖАМИ2]]</f>
        <v>0</v>
      </c>
      <c r="L1915" s="31"/>
    </row>
    <row r="1916" spans="3:12" x14ac:dyDescent="0.3">
      <c r="C1916" s="190"/>
      <c r="D1916" s="190"/>
      <c r="G1916" s="50">
        <f>РЕАЛИЗАЦИЯ[[#This Row],[СОНИ]]*РЕАЛИЗАЦИЯ[[#This Row],[НАРХИ]]</f>
        <v>0</v>
      </c>
      <c r="I1916" s="166"/>
      <c r="J1916" s="31">
        <f>РЕАЛИЗАЦИЯ[[#This Row],[СОНИ]]*РЕАЛИЗАЦИЯ[[#This Row],[ТАННАРХ]]</f>
        <v>0</v>
      </c>
      <c r="K1916" s="31">
        <f>РЕАЛИЗАЦИЯ[[#This Row],[ЖАМИ]]-РЕАЛИЗАЦИЯ[[#This Row],[ЖАМИ2]]</f>
        <v>0</v>
      </c>
      <c r="L1916" s="31"/>
    </row>
    <row r="1917" spans="3:12" x14ac:dyDescent="0.3">
      <c r="C1917" s="190"/>
      <c r="D1917" s="190"/>
      <c r="G1917" s="50">
        <f>РЕАЛИЗАЦИЯ[[#This Row],[СОНИ]]*РЕАЛИЗАЦИЯ[[#This Row],[НАРХИ]]</f>
        <v>0</v>
      </c>
      <c r="I1917" s="166"/>
      <c r="J1917" s="31">
        <f>РЕАЛИЗАЦИЯ[[#This Row],[СОНИ]]*РЕАЛИЗАЦИЯ[[#This Row],[ТАННАРХ]]</f>
        <v>0</v>
      </c>
      <c r="K1917" s="31">
        <f>РЕАЛИЗАЦИЯ[[#This Row],[ЖАМИ]]-РЕАЛИЗАЦИЯ[[#This Row],[ЖАМИ2]]</f>
        <v>0</v>
      </c>
      <c r="L1917" s="31"/>
    </row>
    <row r="1918" spans="3:12" x14ac:dyDescent="0.3">
      <c r="C1918" s="191"/>
      <c r="D1918" s="191"/>
      <c r="G1918" s="50">
        <f>РЕАЛИЗАЦИЯ[[#This Row],[СОНИ]]*РЕАЛИЗАЦИЯ[[#This Row],[НАРХИ]]</f>
        <v>0</v>
      </c>
      <c r="I1918" s="166"/>
      <c r="J1918" s="31">
        <f>РЕАЛИЗАЦИЯ[[#This Row],[СОНИ]]*РЕАЛИЗАЦИЯ[[#This Row],[ТАННАРХ]]</f>
        <v>0</v>
      </c>
      <c r="K1918" s="31">
        <f>РЕАЛИЗАЦИЯ[[#This Row],[ЖАМИ]]-РЕАЛИЗАЦИЯ[[#This Row],[ЖАМИ2]]</f>
        <v>0</v>
      </c>
      <c r="L1918" s="31"/>
    </row>
    <row r="1919" spans="3:12" x14ac:dyDescent="0.3">
      <c r="C1919" s="191"/>
      <c r="D1919" s="191"/>
      <c r="G1919" s="50">
        <f>РЕАЛИЗАЦИЯ[[#This Row],[СОНИ]]*РЕАЛИЗАЦИЯ[[#This Row],[НАРХИ]]</f>
        <v>0</v>
      </c>
      <c r="I1919" s="166"/>
      <c r="J1919" s="31">
        <f>РЕАЛИЗАЦИЯ[[#This Row],[СОНИ]]*РЕАЛИЗАЦИЯ[[#This Row],[ТАННАРХ]]</f>
        <v>0</v>
      </c>
      <c r="K1919" s="31">
        <f>РЕАЛИЗАЦИЯ[[#This Row],[ЖАМИ]]-РЕАЛИЗАЦИЯ[[#This Row],[ЖАМИ2]]</f>
        <v>0</v>
      </c>
      <c r="L1919" s="31"/>
    </row>
    <row r="1920" spans="3:12" x14ac:dyDescent="0.3">
      <c r="C1920" s="191"/>
      <c r="D1920" s="191"/>
      <c r="G1920" s="50">
        <f>РЕАЛИЗАЦИЯ[[#This Row],[СОНИ]]*РЕАЛИЗАЦИЯ[[#This Row],[НАРХИ]]</f>
        <v>0</v>
      </c>
      <c r="I1920" s="166"/>
      <c r="J1920" s="31">
        <f>РЕАЛИЗАЦИЯ[[#This Row],[СОНИ]]*РЕАЛИЗАЦИЯ[[#This Row],[ТАННАРХ]]</f>
        <v>0</v>
      </c>
      <c r="K1920" s="31">
        <f>РЕАЛИЗАЦИЯ[[#This Row],[ЖАМИ]]-РЕАЛИЗАЦИЯ[[#This Row],[ЖАМИ2]]</f>
        <v>0</v>
      </c>
      <c r="L1920" s="31"/>
    </row>
    <row r="1921" spans="3:12" x14ac:dyDescent="0.3">
      <c r="C1921" s="191"/>
      <c r="D1921" s="191"/>
      <c r="G1921" s="50">
        <f>РЕАЛИЗАЦИЯ[[#This Row],[СОНИ]]*РЕАЛИЗАЦИЯ[[#This Row],[НАРХИ]]</f>
        <v>0</v>
      </c>
      <c r="I1921" s="166"/>
      <c r="J1921" s="31">
        <f>РЕАЛИЗАЦИЯ[[#This Row],[СОНИ]]*РЕАЛИЗАЦИЯ[[#This Row],[ТАННАРХ]]</f>
        <v>0</v>
      </c>
      <c r="K1921" s="31">
        <f>РЕАЛИЗАЦИЯ[[#This Row],[ЖАМИ]]-РЕАЛИЗАЦИЯ[[#This Row],[ЖАМИ2]]</f>
        <v>0</v>
      </c>
      <c r="L1921" s="31"/>
    </row>
    <row r="1922" spans="3:12" x14ac:dyDescent="0.3">
      <c r="C1922" s="191"/>
      <c r="D1922" s="191"/>
      <c r="G1922" s="50">
        <f>РЕАЛИЗАЦИЯ[[#This Row],[СОНИ]]*РЕАЛИЗАЦИЯ[[#This Row],[НАРХИ]]</f>
        <v>0</v>
      </c>
      <c r="I1922" s="166"/>
      <c r="J1922" s="31">
        <f>РЕАЛИЗАЦИЯ[[#This Row],[СОНИ]]*РЕАЛИЗАЦИЯ[[#This Row],[ТАННАРХ]]</f>
        <v>0</v>
      </c>
      <c r="K1922" s="31">
        <f>РЕАЛИЗАЦИЯ[[#This Row],[ЖАМИ]]-РЕАЛИЗАЦИЯ[[#This Row],[ЖАМИ2]]</f>
        <v>0</v>
      </c>
      <c r="L1922" s="31"/>
    </row>
    <row r="1923" spans="3:12" x14ac:dyDescent="0.3">
      <c r="C1923" s="191"/>
      <c r="D1923" s="191"/>
      <c r="G1923" s="50">
        <f>РЕАЛИЗАЦИЯ[[#This Row],[СОНИ]]*РЕАЛИЗАЦИЯ[[#This Row],[НАРХИ]]</f>
        <v>0</v>
      </c>
      <c r="I1923" s="166"/>
      <c r="J1923" s="31">
        <f>РЕАЛИЗАЦИЯ[[#This Row],[СОНИ]]*РЕАЛИЗАЦИЯ[[#This Row],[ТАННАРХ]]</f>
        <v>0</v>
      </c>
      <c r="K1923" s="31">
        <f>РЕАЛИЗАЦИЯ[[#This Row],[ЖАМИ]]-РЕАЛИЗАЦИЯ[[#This Row],[ЖАМИ2]]</f>
        <v>0</v>
      </c>
      <c r="L1923" s="31"/>
    </row>
    <row r="1924" spans="3:12" x14ac:dyDescent="0.3">
      <c r="C1924" s="191"/>
      <c r="D1924" s="191"/>
      <c r="G1924" s="50">
        <f>РЕАЛИЗАЦИЯ[[#This Row],[СОНИ]]*РЕАЛИЗАЦИЯ[[#This Row],[НАРХИ]]</f>
        <v>0</v>
      </c>
      <c r="I1924" s="166"/>
      <c r="J1924" s="31">
        <f>РЕАЛИЗАЦИЯ[[#This Row],[СОНИ]]*РЕАЛИЗАЦИЯ[[#This Row],[ТАННАРХ]]</f>
        <v>0</v>
      </c>
      <c r="K1924" s="31">
        <f>РЕАЛИЗАЦИЯ[[#This Row],[ЖАМИ]]-РЕАЛИЗАЦИЯ[[#This Row],[ЖАМИ2]]</f>
        <v>0</v>
      </c>
      <c r="L1924" s="31"/>
    </row>
    <row r="1925" spans="3:12" x14ac:dyDescent="0.3">
      <c r="C1925" s="191"/>
      <c r="D1925" s="191"/>
      <c r="G1925" s="50">
        <f>РЕАЛИЗАЦИЯ[[#This Row],[СОНИ]]*РЕАЛИЗАЦИЯ[[#This Row],[НАРХИ]]</f>
        <v>0</v>
      </c>
      <c r="I1925" s="166"/>
      <c r="J1925" s="31">
        <f>РЕАЛИЗАЦИЯ[[#This Row],[СОНИ]]*РЕАЛИЗАЦИЯ[[#This Row],[ТАННАРХ]]</f>
        <v>0</v>
      </c>
      <c r="K1925" s="31">
        <f>РЕАЛИЗАЦИЯ[[#This Row],[ЖАМИ]]-РЕАЛИЗАЦИЯ[[#This Row],[ЖАМИ2]]</f>
        <v>0</v>
      </c>
      <c r="L1925" s="31"/>
    </row>
    <row r="1926" spans="3:12" x14ac:dyDescent="0.3">
      <c r="C1926" s="191"/>
      <c r="D1926" s="191"/>
      <c r="G1926" s="50">
        <f>РЕАЛИЗАЦИЯ[[#This Row],[СОНИ]]*РЕАЛИЗАЦИЯ[[#This Row],[НАРХИ]]</f>
        <v>0</v>
      </c>
      <c r="I1926" s="166"/>
      <c r="J1926" s="31">
        <f>РЕАЛИЗАЦИЯ[[#This Row],[СОНИ]]*РЕАЛИЗАЦИЯ[[#This Row],[ТАННАРХ]]</f>
        <v>0</v>
      </c>
      <c r="K1926" s="31">
        <f>РЕАЛИЗАЦИЯ[[#This Row],[ЖАМИ]]-РЕАЛИЗАЦИЯ[[#This Row],[ЖАМИ2]]</f>
        <v>0</v>
      </c>
      <c r="L1926" s="31"/>
    </row>
    <row r="1927" spans="3:12" x14ac:dyDescent="0.3">
      <c r="C1927" s="191"/>
      <c r="D1927" s="191"/>
      <c r="G1927" s="50">
        <f>РЕАЛИЗАЦИЯ[[#This Row],[СОНИ]]*РЕАЛИЗАЦИЯ[[#This Row],[НАРХИ]]</f>
        <v>0</v>
      </c>
      <c r="I1927" s="166"/>
      <c r="J1927" s="31">
        <f>РЕАЛИЗАЦИЯ[[#This Row],[СОНИ]]*РЕАЛИЗАЦИЯ[[#This Row],[ТАННАРХ]]</f>
        <v>0</v>
      </c>
      <c r="K1927" s="31">
        <f>РЕАЛИЗАЦИЯ[[#This Row],[ЖАМИ]]-РЕАЛИЗАЦИЯ[[#This Row],[ЖАМИ2]]</f>
        <v>0</v>
      </c>
      <c r="L1927" s="31"/>
    </row>
    <row r="1928" spans="3:12" x14ac:dyDescent="0.3">
      <c r="C1928" s="191"/>
      <c r="D1928" s="191"/>
      <c r="G1928" s="50">
        <f>РЕАЛИЗАЦИЯ[[#This Row],[СОНИ]]*РЕАЛИЗАЦИЯ[[#This Row],[НАРХИ]]</f>
        <v>0</v>
      </c>
      <c r="I1928" s="166"/>
      <c r="J1928" s="31">
        <f>РЕАЛИЗАЦИЯ[[#This Row],[СОНИ]]*РЕАЛИЗАЦИЯ[[#This Row],[ТАННАРХ]]</f>
        <v>0</v>
      </c>
      <c r="K1928" s="31">
        <f>РЕАЛИЗАЦИЯ[[#This Row],[ЖАМИ]]-РЕАЛИЗАЦИЯ[[#This Row],[ЖАМИ2]]</f>
        <v>0</v>
      </c>
      <c r="L1928" s="31"/>
    </row>
    <row r="1929" spans="3:12" x14ac:dyDescent="0.3">
      <c r="C1929" s="192"/>
      <c r="D1929" s="192"/>
      <c r="G1929" s="50">
        <f>РЕАЛИЗАЦИЯ[[#This Row],[СОНИ]]*РЕАЛИЗАЦИЯ[[#This Row],[НАРХИ]]</f>
        <v>0</v>
      </c>
      <c r="I1929" s="166"/>
      <c r="J1929" s="31">
        <f>РЕАЛИЗАЦИЯ[[#This Row],[СОНИ]]*РЕАЛИЗАЦИЯ[[#This Row],[ТАННАРХ]]</f>
        <v>0</v>
      </c>
      <c r="K1929" s="31">
        <f>РЕАЛИЗАЦИЯ[[#This Row],[ЖАМИ]]-РЕАЛИЗАЦИЯ[[#This Row],[ЖАМИ2]]</f>
        <v>0</v>
      </c>
      <c r="L1929" s="31"/>
    </row>
    <row r="1930" spans="3:12" x14ac:dyDescent="0.3">
      <c r="C1930" s="192"/>
      <c r="D1930" s="192"/>
      <c r="G1930" s="50">
        <f>РЕАЛИЗАЦИЯ[[#This Row],[СОНИ]]*РЕАЛИЗАЦИЯ[[#This Row],[НАРХИ]]</f>
        <v>0</v>
      </c>
      <c r="I1930" s="166"/>
      <c r="J1930" s="31">
        <f>РЕАЛИЗАЦИЯ[[#This Row],[СОНИ]]*РЕАЛИЗАЦИЯ[[#This Row],[ТАННАРХ]]</f>
        <v>0</v>
      </c>
      <c r="K1930" s="31">
        <f>РЕАЛИЗАЦИЯ[[#This Row],[ЖАМИ]]-РЕАЛИЗАЦИЯ[[#This Row],[ЖАМИ2]]</f>
        <v>0</v>
      </c>
      <c r="L1930" s="31"/>
    </row>
    <row r="1931" spans="3:12" x14ac:dyDescent="0.3">
      <c r="C1931" s="192"/>
      <c r="D1931" s="192"/>
      <c r="G1931" s="50">
        <f>РЕАЛИЗАЦИЯ[[#This Row],[СОНИ]]*РЕАЛИЗАЦИЯ[[#This Row],[НАРХИ]]</f>
        <v>0</v>
      </c>
      <c r="I1931" s="166"/>
      <c r="J1931" s="31">
        <f>РЕАЛИЗАЦИЯ[[#This Row],[СОНИ]]*РЕАЛИЗАЦИЯ[[#This Row],[ТАННАРХ]]</f>
        <v>0</v>
      </c>
      <c r="K1931" s="31">
        <f>РЕАЛИЗАЦИЯ[[#This Row],[ЖАМИ]]-РЕАЛИЗАЦИЯ[[#This Row],[ЖАМИ2]]</f>
        <v>0</v>
      </c>
      <c r="L1931" s="31"/>
    </row>
    <row r="1932" spans="3:12" x14ac:dyDescent="0.3">
      <c r="C1932" s="192"/>
      <c r="D1932" s="192"/>
      <c r="G1932" s="50">
        <f>РЕАЛИЗАЦИЯ[[#This Row],[СОНИ]]*РЕАЛИЗАЦИЯ[[#This Row],[НАРХИ]]</f>
        <v>0</v>
      </c>
      <c r="I1932" s="166"/>
      <c r="J1932" s="31">
        <f>РЕАЛИЗАЦИЯ[[#This Row],[СОНИ]]*РЕАЛИЗАЦИЯ[[#This Row],[ТАННАРХ]]</f>
        <v>0</v>
      </c>
      <c r="K1932" s="31">
        <f>РЕАЛИЗАЦИЯ[[#This Row],[ЖАМИ]]-РЕАЛИЗАЦИЯ[[#This Row],[ЖАМИ2]]</f>
        <v>0</v>
      </c>
      <c r="L1932" s="31"/>
    </row>
    <row r="1933" spans="3:12" x14ac:dyDescent="0.3">
      <c r="C1933" s="192"/>
      <c r="D1933" s="192"/>
      <c r="G1933" s="50">
        <f>РЕАЛИЗАЦИЯ[[#This Row],[СОНИ]]*РЕАЛИЗАЦИЯ[[#This Row],[НАРХИ]]</f>
        <v>0</v>
      </c>
      <c r="I1933" s="166"/>
      <c r="J1933" s="31">
        <f>РЕАЛИЗАЦИЯ[[#This Row],[СОНИ]]*РЕАЛИЗАЦИЯ[[#This Row],[ТАННАРХ]]</f>
        <v>0</v>
      </c>
      <c r="K1933" s="31">
        <f>РЕАЛИЗАЦИЯ[[#This Row],[ЖАМИ]]-РЕАЛИЗАЦИЯ[[#This Row],[ЖАМИ2]]</f>
        <v>0</v>
      </c>
      <c r="L1933" s="31"/>
    </row>
    <row r="1934" spans="3:12" x14ac:dyDescent="0.3">
      <c r="C1934" s="192"/>
      <c r="D1934" s="192"/>
      <c r="G1934" s="50">
        <f>РЕАЛИЗАЦИЯ[[#This Row],[СОНИ]]*РЕАЛИЗАЦИЯ[[#This Row],[НАРХИ]]</f>
        <v>0</v>
      </c>
      <c r="I1934" s="166"/>
      <c r="J1934" s="31">
        <f>РЕАЛИЗАЦИЯ[[#This Row],[СОНИ]]*РЕАЛИЗАЦИЯ[[#This Row],[ТАННАРХ]]</f>
        <v>0</v>
      </c>
      <c r="K1934" s="31">
        <f>РЕАЛИЗАЦИЯ[[#This Row],[ЖАМИ]]-РЕАЛИЗАЦИЯ[[#This Row],[ЖАМИ2]]</f>
        <v>0</v>
      </c>
      <c r="L1934" s="31"/>
    </row>
    <row r="1935" spans="3:12" x14ac:dyDescent="0.3">
      <c r="C1935" s="192"/>
      <c r="D1935" s="192"/>
      <c r="G1935" s="50">
        <f>РЕАЛИЗАЦИЯ[[#This Row],[СОНИ]]*РЕАЛИЗАЦИЯ[[#This Row],[НАРХИ]]</f>
        <v>0</v>
      </c>
      <c r="I1935" s="166"/>
      <c r="J1935" s="31">
        <f>РЕАЛИЗАЦИЯ[[#This Row],[СОНИ]]*РЕАЛИЗАЦИЯ[[#This Row],[ТАННАРХ]]</f>
        <v>0</v>
      </c>
      <c r="K1935" s="31">
        <f>РЕАЛИЗАЦИЯ[[#This Row],[ЖАМИ]]-РЕАЛИЗАЦИЯ[[#This Row],[ЖАМИ2]]</f>
        <v>0</v>
      </c>
      <c r="L1935" s="31"/>
    </row>
    <row r="1936" spans="3:12" x14ac:dyDescent="0.3">
      <c r="C1936" s="192"/>
      <c r="D1936" s="192"/>
      <c r="G1936" s="50">
        <f>РЕАЛИЗАЦИЯ[[#This Row],[СОНИ]]*РЕАЛИЗАЦИЯ[[#This Row],[НАРХИ]]</f>
        <v>0</v>
      </c>
      <c r="I1936" s="166"/>
      <c r="J1936" s="31">
        <f>РЕАЛИЗАЦИЯ[[#This Row],[СОНИ]]*РЕАЛИЗАЦИЯ[[#This Row],[ТАННАРХ]]</f>
        <v>0</v>
      </c>
      <c r="K1936" s="31">
        <f>РЕАЛИЗАЦИЯ[[#This Row],[ЖАМИ]]-РЕАЛИЗАЦИЯ[[#This Row],[ЖАМИ2]]</f>
        <v>0</v>
      </c>
      <c r="L1936" s="31"/>
    </row>
    <row r="1937" spans="3:12" x14ac:dyDescent="0.3">
      <c r="C1937" s="192"/>
      <c r="D1937" s="192"/>
      <c r="G1937" s="50">
        <f>РЕАЛИЗАЦИЯ[[#This Row],[СОНИ]]*РЕАЛИЗАЦИЯ[[#This Row],[НАРХИ]]</f>
        <v>0</v>
      </c>
      <c r="I1937" s="166"/>
      <c r="J1937" s="31">
        <f>РЕАЛИЗАЦИЯ[[#This Row],[СОНИ]]*РЕАЛИЗАЦИЯ[[#This Row],[ТАННАРХ]]</f>
        <v>0</v>
      </c>
      <c r="K1937" s="31">
        <f>РЕАЛИЗАЦИЯ[[#This Row],[ЖАМИ]]-РЕАЛИЗАЦИЯ[[#This Row],[ЖАМИ2]]</f>
        <v>0</v>
      </c>
      <c r="L1937" s="31"/>
    </row>
    <row r="1938" spans="3:12" x14ac:dyDescent="0.3">
      <c r="C1938" s="192"/>
      <c r="D1938" s="192"/>
      <c r="G1938" s="50">
        <f>РЕАЛИЗАЦИЯ[[#This Row],[СОНИ]]*РЕАЛИЗАЦИЯ[[#This Row],[НАРХИ]]</f>
        <v>0</v>
      </c>
      <c r="I1938" s="166"/>
      <c r="J1938" s="31">
        <f>РЕАЛИЗАЦИЯ[[#This Row],[СОНИ]]*РЕАЛИЗАЦИЯ[[#This Row],[ТАННАРХ]]</f>
        <v>0</v>
      </c>
      <c r="K1938" s="31">
        <f>РЕАЛИЗАЦИЯ[[#This Row],[ЖАМИ]]-РЕАЛИЗАЦИЯ[[#This Row],[ЖАМИ2]]</f>
        <v>0</v>
      </c>
      <c r="L1938" s="31"/>
    </row>
    <row r="1939" spans="3:12" x14ac:dyDescent="0.3">
      <c r="C1939" s="192"/>
      <c r="D1939" s="192"/>
      <c r="G1939" s="50">
        <f>РЕАЛИЗАЦИЯ[[#This Row],[СОНИ]]*РЕАЛИЗАЦИЯ[[#This Row],[НАРХИ]]</f>
        <v>0</v>
      </c>
      <c r="I1939" s="166"/>
      <c r="J1939" s="31">
        <f>РЕАЛИЗАЦИЯ[[#This Row],[СОНИ]]*РЕАЛИЗАЦИЯ[[#This Row],[ТАННАРХ]]</f>
        <v>0</v>
      </c>
      <c r="K1939" s="31">
        <f>РЕАЛИЗАЦИЯ[[#This Row],[ЖАМИ]]-РЕАЛИЗАЦИЯ[[#This Row],[ЖАМИ2]]</f>
        <v>0</v>
      </c>
      <c r="L1939" s="31"/>
    </row>
    <row r="1940" spans="3:12" x14ac:dyDescent="0.3">
      <c r="C1940" s="192"/>
      <c r="D1940" s="192"/>
      <c r="G1940" s="50">
        <f>РЕАЛИЗАЦИЯ[[#This Row],[СОНИ]]*РЕАЛИЗАЦИЯ[[#This Row],[НАРХИ]]</f>
        <v>0</v>
      </c>
      <c r="I1940" s="166"/>
      <c r="J1940" s="31">
        <f>РЕАЛИЗАЦИЯ[[#This Row],[СОНИ]]*РЕАЛИЗАЦИЯ[[#This Row],[ТАННАРХ]]</f>
        <v>0</v>
      </c>
      <c r="K1940" s="31">
        <f>РЕАЛИЗАЦИЯ[[#This Row],[ЖАМИ]]-РЕАЛИЗАЦИЯ[[#This Row],[ЖАМИ2]]</f>
        <v>0</v>
      </c>
      <c r="L1940" s="31"/>
    </row>
    <row r="1941" spans="3:12" x14ac:dyDescent="0.3">
      <c r="C1941" s="192"/>
      <c r="D1941" s="192"/>
      <c r="G1941" s="50">
        <f>РЕАЛИЗАЦИЯ[[#This Row],[СОНИ]]*РЕАЛИЗАЦИЯ[[#This Row],[НАРХИ]]</f>
        <v>0</v>
      </c>
      <c r="I1941" s="166"/>
      <c r="J1941" s="31">
        <f>РЕАЛИЗАЦИЯ[[#This Row],[СОНИ]]*РЕАЛИЗАЦИЯ[[#This Row],[ТАННАРХ]]</f>
        <v>0</v>
      </c>
      <c r="K1941" s="31">
        <f>РЕАЛИЗАЦИЯ[[#This Row],[ЖАМИ]]-РЕАЛИЗАЦИЯ[[#This Row],[ЖАМИ2]]</f>
        <v>0</v>
      </c>
      <c r="L1941" s="31"/>
    </row>
    <row r="1942" spans="3:12" x14ac:dyDescent="0.3">
      <c r="C1942" s="192"/>
      <c r="D1942" s="192"/>
      <c r="G1942" s="50">
        <f>РЕАЛИЗАЦИЯ[[#This Row],[СОНИ]]*РЕАЛИЗАЦИЯ[[#This Row],[НАРХИ]]</f>
        <v>0</v>
      </c>
      <c r="I1942" s="166"/>
      <c r="J1942" s="31">
        <f>РЕАЛИЗАЦИЯ[[#This Row],[СОНИ]]*РЕАЛИЗАЦИЯ[[#This Row],[ТАННАРХ]]</f>
        <v>0</v>
      </c>
      <c r="K1942" s="31">
        <f>РЕАЛИЗАЦИЯ[[#This Row],[ЖАМИ]]-РЕАЛИЗАЦИЯ[[#This Row],[ЖАМИ2]]</f>
        <v>0</v>
      </c>
      <c r="L1942" s="31"/>
    </row>
    <row r="1943" spans="3:12" x14ac:dyDescent="0.3">
      <c r="C1943" s="192"/>
      <c r="D1943" s="192"/>
      <c r="G1943" s="50">
        <f>РЕАЛИЗАЦИЯ[[#This Row],[СОНИ]]*РЕАЛИЗАЦИЯ[[#This Row],[НАРХИ]]</f>
        <v>0</v>
      </c>
      <c r="I1943" s="166"/>
      <c r="J1943" s="31">
        <f>РЕАЛИЗАЦИЯ[[#This Row],[СОНИ]]*РЕАЛИЗАЦИЯ[[#This Row],[ТАННАРХ]]</f>
        <v>0</v>
      </c>
      <c r="K1943" s="31">
        <f>РЕАЛИЗАЦИЯ[[#This Row],[ЖАМИ]]-РЕАЛИЗАЦИЯ[[#This Row],[ЖАМИ2]]</f>
        <v>0</v>
      </c>
      <c r="L1943" s="31"/>
    </row>
    <row r="1944" spans="3:12" x14ac:dyDescent="0.3">
      <c r="C1944" s="192"/>
      <c r="D1944" s="192"/>
      <c r="G1944" s="50">
        <f>РЕАЛИЗАЦИЯ[[#This Row],[СОНИ]]*РЕАЛИЗАЦИЯ[[#This Row],[НАРХИ]]</f>
        <v>0</v>
      </c>
      <c r="I1944" s="166"/>
      <c r="J1944" s="31">
        <f>РЕАЛИЗАЦИЯ[[#This Row],[СОНИ]]*РЕАЛИЗАЦИЯ[[#This Row],[ТАННАРХ]]</f>
        <v>0</v>
      </c>
      <c r="K1944" s="31">
        <f>РЕАЛИЗАЦИЯ[[#This Row],[ЖАМИ]]-РЕАЛИЗАЦИЯ[[#This Row],[ЖАМИ2]]</f>
        <v>0</v>
      </c>
      <c r="L1944" s="31"/>
    </row>
    <row r="1945" spans="3:12" x14ac:dyDescent="0.3">
      <c r="C1945" s="192"/>
      <c r="D1945" s="192"/>
      <c r="G1945" s="50">
        <f>РЕАЛИЗАЦИЯ[[#This Row],[СОНИ]]*РЕАЛИЗАЦИЯ[[#This Row],[НАРХИ]]</f>
        <v>0</v>
      </c>
      <c r="I1945" s="166"/>
      <c r="J1945" s="31">
        <f>РЕАЛИЗАЦИЯ[[#This Row],[СОНИ]]*РЕАЛИЗАЦИЯ[[#This Row],[ТАННАРХ]]</f>
        <v>0</v>
      </c>
      <c r="K1945" s="31">
        <f>РЕАЛИЗАЦИЯ[[#This Row],[ЖАМИ]]-РЕАЛИЗАЦИЯ[[#This Row],[ЖАМИ2]]</f>
        <v>0</v>
      </c>
      <c r="L1945" s="31"/>
    </row>
    <row r="1946" spans="3:12" x14ac:dyDescent="0.3">
      <c r="C1946" s="192"/>
      <c r="D1946" s="192"/>
      <c r="G1946" s="50">
        <f>РЕАЛИЗАЦИЯ[[#This Row],[СОНИ]]*РЕАЛИЗАЦИЯ[[#This Row],[НАРХИ]]</f>
        <v>0</v>
      </c>
      <c r="I1946" s="166"/>
      <c r="J1946" s="31">
        <f>РЕАЛИЗАЦИЯ[[#This Row],[СОНИ]]*РЕАЛИЗАЦИЯ[[#This Row],[ТАННАРХ]]</f>
        <v>0</v>
      </c>
      <c r="K1946" s="31">
        <f>РЕАЛИЗАЦИЯ[[#This Row],[ЖАМИ]]-РЕАЛИЗАЦИЯ[[#This Row],[ЖАМИ2]]</f>
        <v>0</v>
      </c>
      <c r="L1946" s="31"/>
    </row>
    <row r="1947" spans="3:12" x14ac:dyDescent="0.3">
      <c r="C1947" s="193"/>
      <c r="D1947" s="193"/>
      <c r="G1947" s="50">
        <f>РЕАЛИЗАЦИЯ[[#This Row],[СОНИ]]*РЕАЛИЗАЦИЯ[[#This Row],[НАРХИ]]</f>
        <v>0</v>
      </c>
      <c r="I1947" s="166"/>
      <c r="J1947" s="31">
        <f>РЕАЛИЗАЦИЯ[[#This Row],[СОНИ]]*РЕАЛИЗАЦИЯ[[#This Row],[ТАННАРХ]]</f>
        <v>0</v>
      </c>
      <c r="K1947" s="31">
        <f>РЕАЛИЗАЦИЯ[[#This Row],[ЖАМИ]]-РЕАЛИЗАЦИЯ[[#This Row],[ЖАМИ2]]</f>
        <v>0</v>
      </c>
      <c r="L1947" s="31"/>
    </row>
    <row r="1948" spans="3:12" x14ac:dyDescent="0.3">
      <c r="C1948" s="193"/>
      <c r="D1948" s="193"/>
      <c r="G1948" s="50">
        <f>РЕАЛИЗАЦИЯ[[#This Row],[СОНИ]]*РЕАЛИЗАЦИЯ[[#This Row],[НАРХИ]]</f>
        <v>0</v>
      </c>
      <c r="I1948" s="166"/>
      <c r="J1948" s="31">
        <f>РЕАЛИЗАЦИЯ[[#This Row],[СОНИ]]*РЕАЛИЗАЦИЯ[[#This Row],[ТАННАРХ]]</f>
        <v>0</v>
      </c>
      <c r="K1948" s="31">
        <f>РЕАЛИЗАЦИЯ[[#This Row],[ЖАМИ]]-РЕАЛИЗАЦИЯ[[#This Row],[ЖАМИ2]]</f>
        <v>0</v>
      </c>
      <c r="L1948" s="31"/>
    </row>
    <row r="1949" spans="3:12" x14ac:dyDescent="0.3">
      <c r="C1949" s="193"/>
      <c r="D1949" s="193"/>
      <c r="G1949" s="50">
        <f>РЕАЛИЗАЦИЯ[[#This Row],[СОНИ]]*РЕАЛИЗАЦИЯ[[#This Row],[НАРХИ]]</f>
        <v>0</v>
      </c>
      <c r="I1949" s="166"/>
      <c r="J1949" s="31">
        <f>РЕАЛИЗАЦИЯ[[#This Row],[СОНИ]]*РЕАЛИЗАЦИЯ[[#This Row],[ТАННАРХ]]</f>
        <v>0</v>
      </c>
      <c r="K1949" s="31">
        <f>РЕАЛИЗАЦИЯ[[#This Row],[ЖАМИ]]-РЕАЛИЗАЦИЯ[[#This Row],[ЖАМИ2]]</f>
        <v>0</v>
      </c>
      <c r="L1949" s="31"/>
    </row>
    <row r="1950" spans="3:12" x14ac:dyDescent="0.3">
      <c r="C1950" s="193"/>
      <c r="D1950" s="193"/>
      <c r="G1950" s="50">
        <f>РЕАЛИЗАЦИЯ[[#This Row],[СОНИ]]*РЕАЛИЗАЦИЯ[[#This Row],[НАРХИ]]</f>
        <v>0</v>
      </c>
      <c r="I1950" s="166"/>
      <c r="J1950" s="31">
        <f>РЕАЛИЗАЦИЯ[[#This Row],[СОНИ]]*РЕАЛИЗАЦИЯ[[#This Row],[ТАННАРХ]]</f>
        <v>0</v>
      </c>
      <c r="K1950" s="31">
        <f>РЕАЛИЗАЦИЯ[[#This Row],[ЖАМИ]]-РЕАЛИЗАЦИЯ[[#This Row],[ЖАМИ2]]</f>
        <v>0</v>
      </c>
      <c r="L1950" s="31"/>
    </row>
    <row r="1951" spans="3:12" x14ac:dyDescent="0.3">
      <c r="C1951" s="193"/>
      <c r="D1951" s="193"/>
      <c r="G1951" s="50">
        <f>РЕАЛИЗАЦИЯ[[#This Row],[СОНИ]]*РЕАЛИЗАЦИЯ[[#This Row],[НАРХИ]]</f>
        <v>0</v>
      </c>
      <c r="I1951" s="166"/>
      <c r="J1951" s="31">
        <f>РЕАЛИЗАЦИЯ[[#This Row],[СОНИ]]*РЕАЛИЗАЦИЯ[[#This Row],[ТАННАРХ]]</f>
        <v>0</v>
      </c>
      <c r="K1951" s="31">
        <f>РЕАЛИЗАЦИЯ[[#This Row],[ЖАМИ]]-РЕАЛИЗАЦИЯ[[#This Row],[ЖАМИ2]]</f>
        <v>0</v>
      </c>
      <c r="L1951" s="31"/>
    </row>
    <row r="1952" spans="3:12" x14ac:dyDescent="0.3">
      <c r="C1952" s="193"/>
      <c r="D1952" s="193"/>
      <c r="G1952" s="50">
        <f>РЕАЛИЗАЦИЯ[[#This Row],[СОНИ]]*РЕАЛИЗАЦИЯ[[#This Row],[НАРХИ]]</f>
        <v>0</v>
      </c>
      <c r="I1952" s="166"/>
      <c r="J1952" s="31">
        <f>РЕАЛИЗАЦИЯ[[#This Row],[СОНИ]]*РЕАЛИЗАЦИЯ[[#This Row],[ТАННАРХ]]</f>
        <v>0</v>
      </c>
      <c r="K1952" s="31">
        <f>РЕАЛИЗАЦИЯ[[#This Row],[ЖАМИ]]-РЕАЛИЗАЦИЯ[[#This Row],[ЖАМИ2]]</f>
        <v>0</v>
      </c>
      <c r="L1952" s="31"/>
    </row>
    <row r="1953" spans="3:12" x14ac:dyDescent="0.3">
      <c r="C1953" s="193"/>
      <c r="D1953" s="193"/>
      <c r="G1953" s="50">
        <f>РЕАЛИЗАЦИЯ[[#This Row],[СОНИ]]*РЕАЛИЗАЦИЯ[[#This Row],[НАРХИ]]</f>
        <v>0</v>
      </c>
      <c r="I1953" s="166"/>
      <c r="J1953" s="31">
        <f>РЕАЛИЗАЦИЯ[[#This Row],[СОНИ]]*РЕАЛИЗАЦИЯ[[#This Row],[ТАННАРХ]]</f>
        <v>0</v>
      </c>
      <c r="K1953" s="31">
        <f>РЕАЛИЗАЦИЯ[[#This Row],[ЖАМИ]]-РЕАЛИЗАЦИЯ[[#This Row],[ЖАМИ2]]</f>
        <v>0</v>
      </c>
      <c r="L1953" s="31"/>
    </row>
    <row r="1954" spans="3:12" x14ac:dyDescent="0.3">
      <c r="C1954" s="193"/>
      <c r="D1954" s="193"/>
      <c r="G1954" s="50">
        <f>РЕАЛИЗАЦИЯ[[#This Row],[СОНИ]]*РЕАЛИЗАЦИЯ[[#This Row],[НАРХИ]]</f>
        <v>0</v>
      </c>
      <c r="I1954" s="166"/>
      <c r="J1954" s="31">
        <f>РЕАЛИЗАЦИЯ[[#This Row],[СОНИ]]*РЕАЛИЗАЦИЯ[[#This Row],[ТАННАРХ]]</f>
        <v>0</v>
      </c>
      <c r="K1954" s="31">
        <f>РЕАЛИЗАЦИЯ[[#This Row],[ЖАМИ]]-РЕАЛИЗАЦИЯ[[#This Row],[ЖАМИ2]]</f>
        <v>0</v>
      </c>
      <c r="L1954" s="31"/>
    </row>
    <row r="1955" spans="3:12" x14ac:dyDescent="0.3">
      <c r="C1955" s="193"/>
      <c r="D1955" s="193"/>
      <c r="G1955" s="50">
        <f>РЕАЛИЗАЦИЯ[[#This Row],[СОНИ]]*РЕАЛИЗАЦИЯ[[#This Row],[НАРХИ]]</f>
        <v>0</v>
      </c>
      <c r="I1955" s="166"/>
      <c r="J1955" s="31">
        <f>РЕАЛИЗАЦИЯ[[#This Row],[СОНИ]]*РЕАЛИЗАЦИЯ[[#This Row],[ТАННАРХ]]</f>
        <v>0</v>
      </c>
      <c r="K1955" s="31">
        <f>РЕАЛИЗАЦИЯ[[#This Row],[ЖАМИ]]-РЕАЛИЗАЦИЯ[[#This Row],[ЖАМИ2]]</f>
        <v>0</v>
      </c>
      <c r="L1955" s="31"/>
    </row>
    <row r="1956" spans="3:12" x14ac:dyDescent="0.3">
      <c r="C1956" s="193"/>
      <c r="D1956" s="193"/>
      <c r="G1956" s="50">
        <f>РЕАЛИЗАЦИЯ[[#This Row],[СОНИ]]*РЕАЛИЗАЦИЯ[[#This Row],[НАРХИ]]</f>
        <v>0</v>
      </c>
      <c r="I1956" s="166"/>
      <c r="J1956" s="31">
        <f>РЕАЛИЗАЦИЯ[[#This Row],[СОНИ]]*РЕАЛИЗАЦИЯ[[#This Row],[ТАННАРХ]]</f>
        <v>0</v>
      </c>
      <c r="K1956" s="31">
        <f>РЕАЛИЗАЦИЯ[[#This Row],[ЖАМИ]]-РЕАЛИЗАЦИЯ[[#This Row],[ЖАМИ2]]</f>
        <v>0</v>
      </c>
      <c r="L1956" s="31"/>
    </row>
    <row r="1957" spans="3:12" x14ac:dyDescent="0.3">
      <c r="C1957" s="193"/>
      <c r="D1957" s="193"/>
      <c r="G1957" s="50">
        <f>РЕАЛИЗАЦИЯ[[#This Row],[СОНИ]]*РЕАЛИЗАЦИЯ[[#This Row],[НАРХИ]]</f>
        <v>0</v>
      </c>
      <c r="I1957" s="166"/>
      <c r="J1957" s="31">
        <f>РЕАЛИЗАЦИЯ[[#This Row],[СОНИ]]*РЕАЛИЗАЦИЯ[[#This Row],[ТАННАРХ]]</f>
        <v>0</v>
      </c>
      <c r="K1957" s="31">
        <f>РЕАЛИЗАЦИЯ[[#This Row],[ЖАМИ]]-РЕАЛИЗАЦИЯ[[#This Row],[ЖАМИ2]]</f>
        <v>0</v>
      </c>
      <c r="L1957" s="31"/>
    </row>
    <row r="1958" spans="3:12" x14ac:dyDescent="0.3">
      <c r="C1958" s="193"/>
      <c r="D1958" s="193"/>
      <c r="G1958" s="50">
        <f>РЕАЛИЗАЦИЯ[[#This Row],[СОНИ]]*РЕАЛИЗАЦИЯ[[#This Row],[НАРХИ]]</f>
        <v>0</v>
      </c>
      <c r="I1958" s="166"/>
      <c r="J1958" s="31">
        <f>РЕАЛИЗАЦИЯ[[#This Row],[СОНИ]]*РЕАЛИЗАЦИЯ[[#This Row],[ТАННАРХ]]</f>
        <v>0</v>
      </c>
      <c r="K1958" s="31">
        <f>РЕАЛИЗАЦИЯ[[#This Row],[ЖАМИ]]-РЕАЛИЗАЦИЯ[[#This Row],[ЖАМИ2]]</f>
        <v>0</v>
      </c>
      <c r="L1958" s="31"/>
    </row>
    <row r="1959" spans="3:12" x14ac:dyDescent="0.3">
      <c r="C1959" s="193"/>
      <c r="D1959" s="193"/>
      <c r="G1959" s="50">
        <f>РЕАЛИЗАЦИЯ[[#This Row],[СОНИ]]*РЕАЛИЗАЦИЯ[[#This Row],[НАРХИ]]</f>
        <v>0</v>
      </c>
      <c r="I1959" s="166"/>
      <c r="J1959" s="31">
        <f>РЕАЛИЗАЦИЯ[[#This Row],[СОНИ]]*РЕАЛИЗАЦИЯ[[#This Row],[ТАННАРХ]]</f>
        <v>0</v>
      </c>
      <c r="K1959" s="31">
        <f>РЕАЛИЗАЦИЯ[[#This Row],[ЖАМИ]]-РЕАЛИЗАЦИЯ[[#This Row],[ЖАМИ2]]</f>
        <v>0</v>
      </c>
      <c r="L1959" s="31"/>
    </row>
    <row r="1960" spans="3:12" x14ac:dyDescent="0.3">
      <c r="C1960" s="193"/>
      <c r="D1960" s="193"/>
      <c r="G1960" s="50">
        <f>РЕАЛИЗАЦИЯ[[#This Row],[СОНИ]]*РЕАЛИЗАЦИЯ[[#This Row],[НАРХИ]]</f>
        <v>0</v>
      </c>
      <c r="I1960" s="166"/>
      <c r="J1960" s="31">
        <f>РЕАЛИЗАЦИЯ[[#This Row],[СОНИ]]*РЕАЛИЗАЦИЯ[[#This Row],[ТАННАРХ]]</f>
        <v>0</v>
      </c>
      <c r="K1960" s="31">
        <f>РЕАЛИЗАЦИЯ[[#This Row],[ЖАМИ]]-РЕАЛИЗАЦИЯ[[#This Row],[ЖАМИ2]]</f>
        <v>0</v>
      </c>
      <c r="L1960" s="31"/>
    </row>
    <row r="1961" spans="3:12" x14ac:dyDescent="0.3">
      <c r="C1961" s="193"/>
      <c r="D1961" s="193"/>
      <c r="G1961" s="50">
        <f>РЕАЛИЗАЦИЯ[[#This Row],[СОНИ]]*РЕАЛИЗАЦИЯ[[#This Row],[НАРХИ]]</f>
        <v>0</v>
      </c>
      <c r="I1961" s="166"/>
      <c r="J1961" s="31">
        <f>РЕАЛИЗАЦИЯ[[#This Row],[СОНИ]]*РЕАЛИЗАЦИЯ[[#This Row],[ТАННАРХ]]</f>
        <v>0</v>
      </c>
      <c r="K1961" s="31">
        <f>РЕАЛИЗАЦИЯ[[#This Row],[ЖАМИ]]-РЕАЛИЗАЦИЯ[[#This Row],[ЖАМИ2]]</f>
        <v>0</v>
      </c>
      <c r="L1961" s="31"/>
    </row>
    <row r="1962" spans="3:12" x14ac:dyDescent="0.3">
      <c r="C1962" s="193"/>
      <c r="D1962" s="193"/>
      <c r="G1962" s="50">
        <f>РЕАЛИЗАЦИЯ[[#This Row],[СОНИ]]*РЕАЛИЗАЦИЯ[[#This Row],[НАРХИ]]</f>
        <v>0</v>
      </c>
      <c r="I1962" s="166"/>
      <c r="J1962" s="31">
        <f>РЕАЛИЗАЦИЯ[[#This Row],[СОНИ]]*РЕАЛИЗАЦИЯ[[#This Row],[ТАННАРХ]]</f>
        <v>0</v>
      </c>
      <c r="K1962" s="31">
        <f>РЕАЛИЗАЦИЯ[[#This Row],[ЖАМИ]]-РЕАЛИЗАЦИЯ[[#This Row],[ЖАМИ2]]</f>
        <v>0</v>
      </c>
      <c r="L1962" s="31"/>
    </row>
    <row r="1963" spans="3:12" x14ac:dyDescent="0.3">
      <c r="C1963" s="193"/>
      <c r="D1963" s="193"/>
      <c r="G1963" s="50">
        <f>РЕАЛИЗАЦИЯ[[#This Row],[СОНИ]]*РЕАЛИЗАЦИЯ[[#This Row],[НАРХИ]]</f>
        <v>0</v>
      </c>
      <c r="I1963" s="166"/>
      <c r="J1963" s="31">
        <f>РЕАЛИЗАЦИЯ[[#This Row],[СОНИ]]*РЕАЛИЗАЦИЯ[[#This Row],[ТАННАРХ]]</f>
        <v>0</v>
      </c>
      <c r="K1963" s="31">
        <f>РЕАЛИЗАЦИЯ[[#This Row],[ЖАМИ]]-РЕАЛИЗАЦИЯ[[#This Row],[ЖАМИ2]]</f>
        <v>0</v>
      </c>
      <c r="L1963" s="31"/>
    </row>
    <row r="1964" spans="3:12" x14ac:dyDescent="0.3">
      <c r="C1964" s="193"/>
      <c r="D1964" s="193"/>
      <c r="G1964" s="50">
        <f>РЕАЛИЗАЦИЯ[[#This Row],[СОНИ]]*РЕАЛИЗАЦИЯ[[#This Row],[НАРХИ]]</f>
        <v>0</v>
      </c>
      <c r="I1964" s="166"/>
      <c r="J1964" s="31">
        <f>РЕАЛИЗАЦИЯ[[#This Row],[СОНИ]]*РЕАЛИЗАЦИЯ[[#This Row],[ТАННАРХ]]</f>
        <v>0</v>
      </c>
      <c r="K1964" s="31">
        <f>РЕАЛИЗАЦИЯ[[#This Row],[ЖАМИ]]-РЕАЛИЗАЦИЯ[[#This Row],[ЖАМИ2]]</f>
        <v>0</v>
      </c>
      <c r="L1964" s="31"/>
    </row>
    <row r="1965" spans="3:12" x14ac:dyDescent="0.3">
      <c r="C1965" s="193"/>
      <c r="D1965" s="193"/>
      <c r="G1965" s="50">
        <f>РЕАЛИЗАЦИЯ[[#This Row],[СОНИ]]*РЕАЛИЗАЦИЯ[[#This Row],[НАРХИ]]</f>
        <v>0</v>
      </c>
      <c r="I1965" s="166"/>
      <c r="J1965" s="31">
        <f>РЕАЛИЗАЦИЯ[[#This Row],[СОНИ]]*РЕАЛИЗАЦИЯ[[#This Row],[ТАННАРХ]]</f>
        <v>0</v>
      </c>
      <c r="K1965" s="31">
        <f>РЕАЛИЗАЦИЯ[[#This Row],[ЖАМИ]]-РЕАЛИЗАЦИЯ[[#This Row],[ЖАМИ2]]</f>
        <v>0</v>
      </c>
      <c r="L1965" s="31"/>
    </row>
    <row r="1966" spans="3:12" x14ac:dyDescent="0.3">
      <c r="C1966" s="193"/>
      <c r="D1966" s="193"/>
      <c r="G1966" s="50">
        <f>РЕАЛИЗАЦИЯ[[#This Row],[СОНИ]]*РЕАЛИЗАЦИЯ[[#This Row],[НАРХИ]]</f>
        <v>0</v>
      </c>
      <c r="I1966" s="166"/>
      <c r="J1966" s="31">
        <f>РЕАЛИЗАЦИЯ[[#This Row],[СОНИ]]*РЕАЛИЗАЦИЯ[[#This Row],[ТАННАРХ]]</f>
        <v>0</v>
      </c>
      <c r="K1966" s="31">
        <f>РЕАЛИЗАЦИЯ[[#This Row],[ЖАМИ]]-РЕАЛИЗАЦИЯ[[#This Row],[ЖАМИ2]]</f>
        <v>0</v>
      </c>
      <c r="L1966" s="31"/>
    </row>
    <row r="1967" spans="3:12" x14ac:dyDescent="0.3">
      <c r="C1967" s="193"/>
      <c r="D1967" s="193"/>
      <c r="G1967" s="50">
        <f>РЕАЛИЗАЦИЯ[[#This Row],[СОНИ]]*РЕАЛИЗАЦИЯ[[#This Row],[НАРХИ]]</f>
        <v>0</v>
      </c>
      <c r="I1967" s="166"/>
      <c r="J1967" s="31">
        <f>РЕАЛИЗАЦИЯ[[#This Row],[СОНИ]]*РЕАЛИЗАЦИЯ[[#This Row],[ТАННАРХ]]</f>
        <v>0</v>
      </c>
      <c r="K1967" s="31">
        <f>РЕАЛИЗАЦИЯ[[#This Row],[ЖАМИ]]-РЕАЛИЗАЦИЯ[[#This Row],[ЖАМИ2]]</f>
        <v>0</v>
      </c>
      <c r="L1967" s="31"/>
    </row>
    <row r="1968" spans="3:12" x14ac:dyDescent="0.3">
      <c r="C1968" s="193"/>
      <c r="D1968" s="193"/>
      <c r="G1968" s="50">
        <f>РЕАЛИЗАЦИЯ[[#This Row],[СОНИ]]*РЕАЛИЗАЦИЯ[[#This Row],[НАРХИ]]</f>
        <v>0</v>
      </c>
      <c r="I1968" s="166"/>
      <c r="J1968" s="31">
        <f>РЕАЛИЗАЦИЯ[[#This Row],[СОНИ]]*РЕАЛИЗАЦИЯ[[#This Row],[ТАННАРХ]]</f>
        <v>0</v>
      </c>
      <c r="K1968" s="31">
        <f>РЕАЛИЗАЦИЯ[[#This Row],[ЖАМИ]]-РЕАЛИЗАЦИЯ[[#This Row],[ЖАМИ2]]</f>
        <v>0</v>
      </c>
      <c r="L1968" s="31"/>
    </row>
    <row r="1969" spans="3:12" x14ac:dyDescent="0.3">
      <c r="C1969" s="201"/>
      <c r="D1969" s="201"/>
      <c r="G1969" s="50">
        <f>РЕАЛИЗАЦИЯ[[#This Row],[СОНИ]]*РЕАЛИЗАЦИЯ[[#This Row],[НАРХИ]]</f>
        <v>0</v>
      </c>
      <c r="I1969" s="166"/>
      <c r="J1969" s="31">
        <f>РЕАЛИЗАЦИЯ[[#This Row],[СОНИ]]*РЕАЛИЗАЦИЯ[[#This Row],[ТАННАРХ]]</f>
        <v>0</v>
      </c>
      <c r="K1969" s="31">
        <f>РЕАЛИЗАЦИЯ[[#This Row],[ЖАМИ]]-РЕАЛИЗАЦИЯ[[#This Row],[ЖАМИ2]]</f>
        <v>0</v>
      </c>
      <c r="L1969" s="31"/>
    </row>
    <row r="1970" spans="3:12" x14ac:dyDescent="0.3">
      <c r="C1970" s="193"/>
      <c r="D1970" s="193"/>
      <c r="G1970" s="50">
        <f>РЕАЛИЗАЦИЯ[[#This Row],[СОНИ]]*РЕАЛИЗАЦИЯ[[#This Row],[НАРХИ]]</f>
        <v>0</v>
      </c>
      <c r="I1970" s="166"/>
      <c r="J1970" s="31">
        <f>РЕАЛИЗАЦИЯ[[#This Row],[СОНИ]]*РЕАЛИЗАЦИЯ[[#This Row],[ТАННАРХ]]</f>
        <v>0</v>
      </c>
      <c r="K1970" s="31">
        <f>РЕАЛИЗАЦИЯ[[#This Row],[ЖАМИ]]-РЕАЛИЗАЦИЯ[[#This Row],[ЖАМИ2]]</f>
        <v>0</v>
      </c>
      <c r="L1970" s="31"/>
    </row>
    <row r="1971" spans="3:12" x14ac:dyDescent="0.3">
      <c r="C1971" s="193"/>
      <c r="D1971" s="193"/>
      <c r="G1971" s="50">
        <f>РЕАЛИЗАЦИЯ[[#This Row],[СОНИ]]*РЕАЛИЗАЦИЯ[[#This Row],[НАРХИ]]</f>
        <v>0</v>
      </c>
      <c r="I1971" s="166"/>
      <c r="J1971" s="31">
        <f>РЕАЛИЗАЦИЯ[[#This Row],[СОНИ]]*РЕАЛИЗАЦИЯ[[#This Row],[ТАННАРХ]]</f>
        <v>0</v>
      </c>
      <c r="K1971" s="31">
        <f>РЕАЛИЗАЦИЯ[[#This Row],[ЖАМИ]]-РЕАЛИЗАЦИЯ[[#This Row],[ЖАМИ2]]</f>
        <v>0</v>
      </c>
      <c r="L1971" s="31"/>
    </row>
    <row r="1972" spans="3:12" x14ac:dyDescent="0.3">
      <c r="C1972" s="193"/>
      <c r="D1972" s="193"/>
      <c r="G1972" s="50">
        <f>РЕАЛИЗАЦИЯ[[#This Row],[СОНИ]]*РЕАЛИЗАЦИЯ[[#This Row],[НАРХИ]]</f>
        <v>0</v>
      </c>
      <c r="I1972" s="166"/>
      <c r="J1972" s="31">
        <f>РЕАЛИЗАЦИЯ[[#This Row],[СОНИ]]*РЕАЛИЗАЦИЯ[[#This Row],[ТАННАРХ]]</f>
        <v>0</v>
      </c>
      <c r="K1972" s="31">
        <f>РЕАЛИЗАЦИЯ[[#This Row],[ЖАМИ]]-РЕАЛИЗАЦИЯ[[#This Row],[ЖАМИ2]]</f>
        <v>0</v>
      </c>
      <c r="L1972" s="31"/>
    </row>
    <row r="1973" spans="3:12" x14ac:dyDescent="0.3">
      <c r="C1973" s="193"/>
      <c r="D1973" s="193"/>
      <c r="G1973" s="50">
        <f>РЕАЛИЗАЦИЯ[[#This Row],[СОНИ]]*РЕАЛИЗАЦИЯ[[#This Row],[НАРХИ]]</f>
        <v>0</v>
      </c>
      <c r="I1973" s="166"/>
      <c r="J1973" s="31">
        <f>РЕАЛИЗАЦИЯ[[#This Row],[СОНИ]]*РЕАЛИЗАЦИЯ[[#This Row],[ТАННАРХ]]</f>
        <v>0</v>
      </c>
      <c r="K1973" s="31">
        <f>РЕАЛИЗАЦИЯ[[#This Row],[ЖАМИ]]-РЕАЛИЗАЦИЯ[[#This Row],[ЖАМИ2]]</f>
        <v>0</v>
      </c>
      <c r="L1973" s="31"/>
    </row>
    <row r="1974" spans="3:12" x14ac:dyDescent="0.3">
      <c r="C1974" s="193"/>
      <c r="D1974" s="193"/>
      <c r="G1974" s="50">
        <f>РЕАЛИЗАЦИЯ[[#This Row],[СОНИ]]*РЕАЛИЗАЦИЯ[[#This Row],[НАРХИ]]</f>
        <v>0</v>
      </c>
      <c r="I1974" s="166"/>
      <c r="J1974" s="31">
        <f>РЕАЛИЗАЦИЯ[[#This Row],[СОНИ]]*РЕАЛИЗАЦИЯ[[#This Row],[ТАННАРХ]]</f>
        <v>0</v>
      </c>
      <c r="K1974" s="31">
        <f>РЕАЛИЗАЦИЯ[[#This Row],[ЖАМИ]]-РЕАЛИЗАЦИЯ[[#This Row],[ЖАМИ2]]</f>
        <v>0</v>
      </c>
      <c r="L1974" s="31"/>
    </row>
    <row r="1975" spans="3:12" x14ac:dyDescent="0.3">
      <c r="C1975" s="193"/>
      <c r="D1975" s="193"/>
      <c r="G1975" s="50">
        <f>РЕАЛИЗАЦИЯ[[#This Row],[СОНИ]]*РЕАЛИЗАЦИЯ[[#This Row],[НАРХИ]]</f>
        <v>0</v>
      </c>
      <c r="I1975" s="166"/>
      <c r="J1975" s="31">
        <f>РЕАЛИЗАЦИЯ[[#This Row],[СОНИ]]*РЕАЛИЗАЦИЯ[[#This Row],[ТАННАРХ]]</f>
        <v>0</v>
      </c>
      <c r="K1975" s="31">
        <f>РЕАЛИЗАЦИЯ[[#This Row],[ЖАМИ]]-РЕАЛИЗАЦИЯ[[#This Row],[ЖАМИ2]]</f>
        <v>0</v>
      </c>
      <c r="L1975" s="31"/>
    </row>
    <row r="1976" spans="3:12" x14ac:dyDescent="0.3">
      <c r="C1976" s="193"/>
      <c r="D1976" s="193"/>
      <c r="G1976" s="50">
        <f>РЕАЛИЗАЦИЯ[[#This Row],[СОНИ]]*РЕАЛИЗАЦИЯ[[#This Row],[НАРХИ]]</f>
        <v>0</v>
      </c>
      <c r="I1976" s="166"/>
      <c r="J1976" s="31">
        <f>РЕАЛИЗАЦИЯ[[#This Row],[СОНИ]]*РЕАЛИЗАЦИЯ[[#This Row],[ТАННАРХ]]</f>
        <v>0</v>
      </c>
      <c r="K1976" s="31">
        <f>РЕАЛИЗАЦИЯ[[#This Row],[ЖАМИ]]-РЕАЛИЗАЦИЯ[[#This Row],[ЖАМИ2]]</f>
        <v>0</v>
      </c>
      <c r="L1976" s="31"/>
    </row>
    <row r="1977" spans="3:12" x14ac:dyDescent="0.3">
      <c r="C1977" s="193"/>
      <c r="D1977" s="193"/>
      <c r="G1977" s="50">
        <f>РЕАЛИЗАЦИЯ[[#This Row],[СОНИ]]*РЕАЛИЗАЦИЯ[[#This Row],[НАРХИ]]</f>
        <v>0</v>
      </c>
      <c r="I1977" s="166"/>
      <c r="J1977" s="31">
        <f>РЕАЛИЗАЦИЯ[[#This Row],[СОНИ]]*РЕАЛИЗАЦИЯ[[#This Row],[ТАННАРХ]]</f>
        <v>0</v>
      </c>
      <c r="K1977" s="31">
        <f>РЕАЛИЗАЦИЯ[[#This Row],[ЖАМИ]]-РЕАЛИЗАЦИЯ[[#This Row],[ЖАМИ2]]</f>
        <v>0</v>
      </c>
      <c r="L1977" s="31"/>
    </row>
    <row r="1978" spans="3:12" x14ac:dyDescent="0.3">
      <c r="C1978" s="193"/>
      <c r="D1978" s="193"/>
      <c r="G1978" s="50">
        <f>РЕАЛИЗАЦИЯ[[#This Row],[СОНИ]]*РЕАЛИЗАЦИЯ[[#This Row],[НАРХИ]]</f>
        <v>0</v>
      </c>
      <c r="I1978" s="166"/>
      <c r="J1978" s="31">
        <f>РЕАЛИЗАЦИЯ[[#This Row],[СОНИ]]*РЕАЛИЗАЦИЯ[[#This Row],[ТАННАРХ]]</f>
        <v>0</v>
      </c>
      <c r="K1978" s="31">
        <f>РЕАЛИЗАЦИЯ[[#This Row],[ЖАМИ]]-РЕАЛИЗАЦИЯ[[#This Row],[ЖАМИ2]]</f>
        <v>0</v>
      </c>
      <c r="L1978" s="31"/>
    </row>
    <row r="1979" spans="3:12" x14ac:dyDescent="0.3">
      <c r="C1979" s="196"/>
      <c r="D1979" s="196"/>
      <c r="G1979" s="50">
        <f>РЕАЛИЗАЦИЯ[[#This Row],[СОНИ]]*РЕАЛИЗАЦИЯ[[#This Row],[НАРХИ]]</f>
        <v>0</v>
      </c>
      <c r="I1979" s="166"/>
      <c r="J1979" s="31">
        <f>РЕАЛИЗАЦИЯ[[#This Row],[СОНИ]]*РЕАЛИЗАЦИЯ[[#This Row],[ТАННАРХ]]</f>
        <v>0</v>
      </c>
      <c r="K1979" s="31">
        <f>РЕАЛИЗАЦИЯ[[#This Row],[ЖАМИ]]-РЕАЛИЗАЦИЯ[[#This Row],[ЖАМИ2]]</f>
        <v>0</v>
      </c>
      <c r="L1979" s="31"/>
    </row>
    <row r="1980" spans="3:12" x14ac:dyDescent="0.3">
      <c r="C1980" s="196"/>
      <c r="D1980" s="196"/>
      <c r="G1980" s="50">
        <f>РЕАЛИЗАЦИЯ[[#This Row],[СОНИ]]*РЕАЛИЗАЦИЯ[[#This Row],[НАРХИ]]</f>
        <v>0</v>
      </c>
      <c r="I1980" s="166"/>
      <c r="J1980" s="31">
        <f>РЕАЛИЗАЦИЯ[[#This Row],[СОНИ]]*РЕАЛИЗАЦИЯ[[#This Row],[ТАННАРХ]]</f>
        <v>0</v>
      </c>
      <c r="K1980" s="31">
        <f>РЕАЛИЗАЦИЯ[[#This Row],[ЖАМИ]]-РЕАЛИЗАЦИЯ[[#This Row],[ЖАМИ2]]</f>
        <v>0</v>
      </c>
      <c r="L1980" s="31"/>
    </row>
    <row r="1981" spans="3:12" x14ac:dyDescent="0.3">
      <c r="C1981" s="196"/>
      <c r="D1981" s="196"/>
      <c r="G1981" s="50">
        <f>РЕАЛИЗАЦИЯ[[#This Row],[СОНИ]]*РЕАЛИЗАЦИЯ[[#This Row],[НАРХИ]]</f>
        <v>0</v>
      </c>
      <c r="I1981" s="166"/>
      <c r="J1981" s="31">
        <f>РЕАЛИЗАЦИЯ[[#This Row],[СОНИ]]*РЕАЛИЗАЦИЯ[[#This Row],[ТАННАРХ]]</f>
        <v>0</v>
      </c>
      <c r="K1981" s="31">
        <f>РЕАЛИЗАЦИЯ[[#This Row],[ЖАМИ]]-РЕАЛИЗАЦИЯ[[#This Row],[ЖАМИ2]]</f>
        <v>0</v>
      </c>
      <c r="L1981" s="31"/>
    </row>
    <row r="1982" spans="3:12" x14ac:dyDescent="0.3">
      <c r="C1982" s="196"/>
      <c r="D1982" s="196"/>
      <c r="G1982" s="50">
        <f>РЕАЛИЗАЦИЯ[[#This Row],[СОНИ]]*РЕАЛИЗАЦИЯ[[#This Row],[НАРХИ]]</f>
        <v>0</v>
      </c>
      <c r="I1982" s="166"/>
      <c r="J1982" s="31">
        <f>РЕАЛИЗАЦИЯ[[#This Row],[СОНИ]]*РЕАЛИЗАЦИЯ[[#This Row],[ТАННАРХ]]</f>
        <v>0</v>
      </c>
      <c r="K1982" s="31">
        <f>РЕАЛИЗАЦИЯ[[#This Row],[ЖАМИ]]-РЕАЛИЗАЦИЯ[[#This Row],[ЖАМИ2]]</f>
        <v>0</v>
      </c>
      <c r="L1982" s="31"/>
    </row>
    <row r="1983" spans="3:12" x14ac:dyDescent="0.3">
      <c r="C1983" s="196"/>
      <c r="D1983" s="196"/>
      <c r="G1983" s="50">
        <f>РЕАЛИЗАЦИЯ[[#This Row],[СОНИ]]*РЕАЛИЗАЦИЯ[[#This Row],[НАРХИ]]</f>
        <v>0</v>
      </c>
      <c r="I1983" s="166"/>
      <c r="J1983" s="31">
        <f>РЕАЛИЗАЦИЯ[[#This Row],[СОНИ]]*РЕАЛИЗАЦИЯ[[#This Row],[ТАННАРХ]]</f>
        <v>0</v>
      </c>
      <c r="K1983" s="31">
        <f>РЕАЛИЗАЦИЯ[[#This Row],[ЖАМИ]]-РЕАЛИЗАЦИЯ[[#This Row],[ЖАМИ2]]</f>
        <v>0</v>
      </c>
      <c r="L1983" s="31"/>
    </row>
    <row r="1984" spans="3:12" x14ac:dyDescent="0.3">
      <c r="C1984" s="196"/>
      <c r="D1984" s="196"/>
      <c r="G1984" s="50">
        <f>РЕАЛИЗАЦИЯ[[#This Row],[СОНИ]]*РЕАЛИЗАЦИЯ[[#This Row],[НАРХИ]]</f>
        <v>0</v>
      </c>
      <c r="I1984" s="166"/>
      <c r="J1984" s="31">
        <f>РЕАЛИЗАЦИЯ[[#This Row],[СОНИ]]*РЕАЛИЗАЦИЯ[[#This Row],[ТАННАРХ]]</f>
        <v>0</v>
      </c>
      <c r="K1984" s="31">
        <f>РЕАЛИЗАЦИЯ[[#This Row],[ЖАМИ]]-РЕАЛИЗАЦИЯ[[#This Row],[ЖАМИ2]]</f>
        <v>0</v>
      </c>
      <c r="L1984" s="31"/>
    </row>
    <row r="1985" spans="3:12" x14ac:dyDescent="0.3">
      <c r="C1985" s="196"/>
      <c r="D1985" s="196"/>
      <c r="G1985" s="50">
        <f>РЕАЛИЗАЦИЯ[[#This Row],[СОНИ]]*РЕАЛИЗАЦИЯ[[#This Row],[НАРХИ]]</f>
        <v>0</v>
      </c>
      <c r="I1985" s="166"/>
      <c r="J1985" s="31">
        <f>РЕАЛИЗАЦИЯ[[#This Row],[СОНИ]]*РЕАЛИЗАЦИЯ[[#This Row],[ТАННАРХ]]</f>
        <v>0</v>
      </c>
      <c r="K1985" s="31">
        <f>РЕАЛИЗАЦИЯ[[#This Row],[ЖАМИ]]-РЕАЛИЗАЦИЯ[[#This Row],[ЖАМИ2]]</f>
        <v>0</v>
      </c>
      <c r="L1985" s="31"/>
    </row>
    <row r="1986" spans="3:12" x14ac:dyDescent="0.3">
      <c r="C1986" s="201"/>
      <c r="D1986" s="201"/>
      <c r="G1986" s="50">
        <f>РЕАЛИЗАЦИЯ[[#This Row],[СОНИ]]*РЕАЛИЗАЦИЯ[[#This Row],[НАРХИ]]</f>
        <v>0</v>
      </c>
      <c r="I1986" s="166"/>
      <c r="J1986" s="31">
        <f>РЕАЛИЗАЦИЯ[[#This Row],[СОНИ]]*РЕАЛИЗАЦИЯ[[#This Row],[ТАННАРХ]]</f>
        <v>0</v>
      </c>
      <c r="K1986" s="31">
        <f>РЕАЛИЗАЦИЯ[[#This Row],[ЖАМИ]]-РЕАЛИЗАЦИЯ[[#This Row],[ЖАМИ2]]</f>
        <v>0</v>
      </c>
      <c r="L1986" s="31"/>
    </row>
    <row r="1987" spans="3:12" x14ac:dyDescent="0.3">
      <c r="C1987" s="196"/>
      <c r="D1987" s="196"/>
      <c r="G1987" s="50">
        <f>РЕАЛИЗАЦИЯ[[#This Row],[СОНИ]]*РЕАЛИЗАЦИЯ[[#This Row],[НАРХИ]]</f>
        <v>0</v>
      </c>
      <c r="I1987" s="166"/>
      <c r="J1987" s="31">
        <f>РЕАЛИЗАЦИЯ[[#This Row],[СОНИ]]*РЕАЛИЗАЦИЯ[[#This Row],[ТАННАРХ]]</f>
        <v>0</v>
      </c>
      <c r="K1987" s="31">
        <f>РЕАЛИЗАЦИЯ[[#This Row],[ЖАМИ]]-РЕАЛИЗАЦИЯ[[#This Row],[ЖАМИ2]]</f>
        <v>0</v>
      </c>
      <c r="L1987" s="31"/>
    </row>
    <row r="1988" spans="3:12" x14ac:dyDescent="0.3">
      <c r="C1988" s="196"/>
      <c r="D1988" s="196"/>
      <c r="G1988" s="50">
        <f>РЕАЛИЗАЦИЯ[[#This Row],[СОНИ]]*РЕАЛИЗАЦИЯ[[#This Row],[НАРХИ]]</f>
        <v>0</v>
      </c>
      <c r="I1988" s="166"/>
      <c r="J1988" s="31">
        <f>РЕАЛИЗАЦИЯ[[#This Row],[СОНИ]]*РЕАЛИЗАЦИЯ[[#This Row],[ТАННАРХ]]</f>
        <v>0</v>
      </c>
      <c r="K1988" s="31">
        <f>РЕАЛИЗАЦИЯ[[#This Row],[ЖАМИ]]-РЕАЛИЗАЦИЯ[[#This Row],[ЖАМИ2]]</f>
        <v>0</v>
      </c>
      <c r="L1988" s="31"/>
    </row>
    <row r="1989" spans="3:12" x14ac:dyDescent="0.3">
      <c r="C1989" s="196"/>
      <c r="D1989" s="196"/>
      <c r="G1989" s="50">
        <f>РЕАЛИЗАЦИЯ[[#This Row],[СОНИ]]*РЕАЛИЗАЦИЯ[[#This Row],[НАРХИ]]</f>
        <v>0</v>
      </c>
      <c r="I1989" s="166"/>
      <c r="J1989" s="31">
        <f>РЕАЛИЗАЦИЯ[[#This Row],[СОНИ]]*РЕАЛИЗАЦИЯ[[#This Row],[ТАННАРХ]]</f>
        <v>0</v>
      </c>
      <c r="K1989" s="31">
        <f>РЕАЛИЗАЦИЯ[[#This Row],[ЖАМИ]]-РЕАЛИЗАЦИЯ[[#This Row],[ЖАМИ2]]</f>
        <v>0</v>
      </c>
      <c r="L1989" s="31"/>
    </row>
    <row r="1990" spans="3:12" x14ac:dyDescent="0.3">
      <c r="C1990" s="196"/>
      <c r="D1990" s="196"/>
      <c r="G1990" s="50">
        <f>РЕАЛИЗАЦИЯ[[#This Row],[СОНИ]]*РЕАЛИЗАЦИЯ[[#This Row],[НАРХИ]]</f>
        <v>0</v>
      </c>
      <c r="I1990" s="166"/>
      <c r="J1990" s="31">
        <f>РЕАЛИЗАЦИЯ[[#This Row],[СОНИ]]*РЕАЛИЗАЦИЯ[[#This Row],[ТАННАРХ]]</f>
        <v>0</v>
      </c>
      <c r="K1990" s="31">
        <f>РЕАЛИЗАЦИЯ[[#This Row],[ЖАМИ]]-РЕАЛИЗАЦИЯ[[#This Row],[ЖАМИ2]]</f>
        <v>0</v>
      </c>
      <c r="L1990" s="31"/>
    </row>
    <row r="1991" spans="3:12" x14ac:dyDescent="0.3">
      <c r="C1991" s="196"/>
      <c r="D1991" s="196"/>
      <c r="G1991" s="50">
        <f>РЕАЛИЗАЦИЯ[[#This Row],[СОНИ]]*РЕАЛИЗАЦИЯ[[#This Row],[НАРХИ]]</f>
        <v>0</v>
      </c>
      <c r="I1991" s="166"/>
      <c r="J1991" s="31">
        <f>РЕАЛИЗАЦИЯ[[#This Row],[СОНИ]]*РЕАЛИЗАЦИЯ[[#This Row],[ТАННАРХ]]</f>
        <v>0</v>
      </c>
      <c r="K1991" s="31">
        <f>РЕАЛИЗАЦИЯ[[#This Row],[ЖАМИ]]-РЕАЛИЗАЦИЯ[[#This Row],[ЖАМИ2]]</f>
        <v>0</v>
      </c>
      <c r="L1991" s="31"/>
    </row>
    <row r="1992" spans="3:12" x14ac:dyDescent="0.3">
      <c r="C1992" s="197"/>
      <c r="D1992" s="196"/>
      <c r="G1992" s="50">
        <f>РЕАЛИЗАЦИЯ[[#This Row],[СОНИ]]*РЕАЛИЗАЦИЯ[[#This Row],[НАРХИ]]</f>
        <v>0</v>
      </c>
      <c r="I1992" s="166"/>
      <c r="J1992" s="31">
        <f>РЕАЛИЗАЦИЯ[[#This Row],[СОНИ]]*РЕАЛИЗАЦИЯ[[#This Row],[ТАННАРХ]]</f>
        <v>0</v>
      </c>
      <c r="K1992" s="31">
        <f>РЕАЛИЗАЦИЯ[[#This Row],[ЖАМИ]]-РЕАЛИЗАЦИЯ[[#This Row],[ЖАМИ2]]</f>
        <v>0</v>
      </c>
      <c r="L1992" s="31"/>
    </row>
    <row r="1993" spans="3:12" x14ac:dyDescent="0.3">
      <c r="C1993" s="196"/>
      <c r="D1993" s="196"/>
      <c r="G1993" s="50">
        <f>РЕАЛИЗАЦИЯ[[#This Row],[СОНИ]]*РЕАЛИЗАЦИЯ[[#This Row],[НАРХИ]]</f>
        <v>0</v>
      </c>
      <c r="I1993" s="166"/>
      <c r="J1993" s="31">
        <f>РЕАЛИЗАЦИЯ[[#This Row],[СОНИ]]*РЕАЛИЗАЦИЯ[[#This Row],[ТАННАРХ]]</f>
        <v>0</v>
      </c>
      <c r="K1993" s="31">
        <f>РЕАЛИЗАЦИЯ[[#This Row],[ЖАМИ]]-РЕАЛИЗАЦИЯ[[#This Row],[ЖАМИ2]]</f>
        <v>0</v>
      </c>
      <c r="L1993" s="31"/>
    </row>
    <row r="1994" spans="3:12" x14ac:dyDescent="0.3">
      <c r="C1994" s="196"/>
      <c r="D1994" s="196"/>
      <c r="G1994" s="50">
        <f>РЕАЛИЗАЦИЯ[[#This Row],[СОНИ]]*РЕАЛИЗАЦИЯ[[#This Row],[НАРХИ]]</f>
        <v>0</v>
      </c>
      <c r="I1994" s="166"/>
      <c r="J1994" s="31">
        <f>РЕАЛИЗАЦИЯ[[#This Row],[СОНИ]]*РЕАЛИЗАЦИЯ[[#This Row],[ТАННАРХ]]</f>
        <v>0</v>
      </c>
      <c r="K1994" s="31">
        <f>РЕАЛИЗАЦИЯ[[#This Row],[ЖАМИ]]-РЕАЛИЗАЦИЯ[[#This Row],[ЖАМИ2]]</f>
        <v>0</v>
      </c>
      <c r="L1994" s="31"/>
    </row>
    <row r="1995" spans="3:12" x14ac:dyDescent="0.3">
      <c r="C1995" s="196"/>
      <c r="D1995" s="196"/>
      <c r="G1995" s="50">
        <f>РЕАЛИЗАЦИЯ[[#This Row],[СОНИ]]*РЕАЛИЗАЦИЯ[[#This Row],[НАРХИ]]</f>
        <v>0</v>
      </c>
      <c r="I1995" s="166"/>
      <c r="J1995" s="31">
        <f>РЕАЛИЗАЦИЯ[[#This Row],[СОНИ]]*РЕАЛИЗАЦИЯ[[#This Row],[ТАННАРХ]]</f>
        <v>0</v>
      </c>
      <c r="K1995" s="31">
        <f>РЕАЛИЗАЦИЯ[[#This Row],[ЖАМИ]]-РЕАЛИЗАЦИЯ[[#This Row],[ЖАМИ2]]</f>
        <v>0</v>
      </c>
      <c r="L1995" s="31"/>
    </row>
    <row r="1996" spans="3:12" x14ac:dyDescent="0.3">
      <c r="C1996" s="196"/>
      <c r="D1996" s="196"/>
      <c r="G1996" s="50">
        <f>РЕАЛИЗАЦИЯ[[#This Row],[СОНИ]]*РЕАЛИЗАЦИЯ[[#This Row],[НАРХИ]]</f>
        <v>0</v>
      </c>
      <c r="I1996" s="166"/>
      <c r="J1996" s="31">
        <f>РЕАЛИЗАЦИЯ[[#This Row],[СОНИ]]*РЕАЛИЗАЦИЯ[[#This Row],[ТАННАРХ]]</f>
        <v>0</v>
      </c>
      <c r="K1996" s="31">
        <f>РЕАЛИЗАЦИЯ[[#This Row],[ЖАМИ]]-РЕАЛИЗАЦИЯ[[#This Row],[ЖАМИ2]]</f>
        <v>0</v>
      </c>
      <c r="L1996" s="31"/>
    </row>
    <row r="1997" spans="3:12" x14ac:dyDescent="0.3">
      <c r="C1997" s="196"/>
      <c r="D1997" s="196"/>
      <c r="G1997" s="50">
        <f>РЕАЛИЗАЦИЯ[[#This Row],[СОНИ]]*РЕАЛИЗАЦИЯ[[#This Row],[НАРХИ]]</f>
        <v>0</v>
      </c>
      <c r="I1997" s="166"/>
      <c r="J1997" s="31">
        <f>РЕАЛИЗАЦИЯ[[#This Row],[СОНИ]]*РЕАЛИЗАЦИЯ[[#This Row],[ТАННАРХ]]</f>
        <v>0</v>
      </c>
      <c r="K1997" s="31">
        <f>РЕАЛИЗАЦИЯ[[#This Row],[ЖАМИ]]-РЕАЛИЗАЦИЯ[[#This Row],[ЖАМИ2]]</f>
        <v>0</v>
      </c>
      <c r="L1997" s="31"/>
    </row>
    <row r="1998" spans="3:12" x14ac:dyDescent="0.3">
      <c r="C1998" s="198"/>
      <c r="D1998" s="198"/>
      <c r="G1998" s="50">
        <f>РЕАЛИЗАЦИЯ[[#This Row],[СОНИ]]*РЕАЛИЗАЦИЯ[[#This Row],[НАРХИ]]</f>
        <v>0</v>
      </c>
      <c r="I1998" s="166"/>
      <c r="J1998" s="31">
        <f>РЕАЛИЗАЦИЯ[[#This Row],[СОНИ]]*РЕАЛИЗАЦИЯ[[#This Row],[ТАННАРХ]]</f>
        <v>0</v>
      </c>
      <c r="K1998" s="31">
        <f>РЕАЛИЗАЦИЯ[[#This Row],[ЖАМИ]]-РЕАЛИЗАЦИЯ[[#This Row],[ЖАМИ2]]</f>
        <v>0</v>
      </c>
      <c r="L1998" s="31"/>
    </row>
    <row r="1999" spans="3:12" x14ac:dyDescent="0.3">
      <c r="C1999" s="196"/>
      <c r="D1999" s="196"/>
      <c r="G1999" s="50">
        <f>РЕАЛИЗАЦИЯ[[#This Row],[СОНИ]]*РЕАЛИЗАЦИЯ[[#This Row],[НАРХИ]]</f>
        <v>0</v>
      </c>
      <c r="I1999" s="166"/>
      <c r="J1999" s="31">
        <f>РЕАЛИЗАЦИЯ[[#This Row],[СОНИ]]*РЕАЛИЗАЦИЯ[[#This Row],[ТАННАРХ]]</f>
        <v>0</v>
      </c>
      <c r="K1999" s="31">
        <f>РЕАЛИЗАЦИЯ[[#This Row],[ЖАМИ]]-РЕАЛИЗАЦИЯ[[#This Row],[ЖАМИ2]]</f>
        <v>0</v>
      </c>
      <c r="L1999" s="31"/>
    </row>
    <row r="2000" spans="3:12" x14ac:dyDescent="0.3">
      <c r="C2000" s="196"/>
      <c r="D2000" s="196"/>
      <c r="G2000" s="50">
        <f>РЕАЛИЗАЦИЯ[[#This Row],[СОНИ]]*РЕАЛИЗАЦИЯ[[#This Row],[НАРХИ]]</f>
        <v>0</v>
      </c>
      <c r="I2000" s="166"/>
      <c r="J2000" s="31">
        <f>РЕАЛИЗАЦИЯ[[#This Row],[СОНИ]]*РЕАЛИЗАЦИЯ[[#This Row],[ТАННАРХ]]</f>
        <v>0</v>
      </c>
      <c r="K2000" s="31">
        <f>РЕАЛИЗАЦИЯ[[#This Row],[ЖАМИ]]-РЕАЛИЗАЦИЯ[[#This Row],[ЖАМИ2]]</f>
        <v>0</v>
      </c>
      <c r="L2000" s="31"/>
    </row>
    <row r="2001" spans="3:12" x14ac:dyDescent="0.3">
      <c r="C2001" s="196"/>
      <c r="D2001" s="196"/>
      <c r="G2001" s="50">
        <f>РЕАЛИЗАЦИЯ[[#This Row],[СОНИ]]*РЕАЛИЗАЦИЯ[[#This Row],[НАРХИ]]</f>
        <v>0</v>
      </c>
      <c r="I2001" s="166"/>
      <c r="J2001" s="31">
        <f>РЕАЛИЗАЦИЯ[[#This Row],[СОНИ]]*РЕАЛИЗАЦИЯ[[#This Row],[ТАННАРХ]]</f>
        <v>0</v>
      </c>
      <c r="K2001" s="31">
        <f>РЕАЛИЗАЦИЯ[[#This Row],[ЖАМИ]]-РЕАЛИЗАЦИЯ[[#This Row],[ЖАМИ2]]</f>
        <v>0</v>
      </c>
      <c r="L2001" s="31"/>
    </row>
    <row r="2002" spans="3:12" x14ac:dyDescent="0.3">
      <c r="C2002" s="196"/>
      <c r="D2002" s="196"/>
      <c r="G2002" s="50">
        <f>РЕАЛИЗАЦИЯ[[#This Row],[СОНИ]]*РЕАЛИЗАЦИЯ[[#This Row],[НАРХИ]]</f>
        <v>0</v>
      </c>
      <c r="I2002" s="166"/>
      <c r="J2002" s="31">
        <f>РЕАЛИЗАЦИЯ[[#This Row],[СОНИ]]*РЕАЛИЗАЦИЯ[[#This Row],[ТАННАРХ]]</f>
        <v>0</v>
      </c>
      <c r="K2002" s="31">
        <f>РЕАЛИЗАЦИЯ[[#This Row],[ЖАМИ]]-РЕАЛИЗАЦИЯ[[#This Row],[ЖАМИ2]]</f>
        <v>0</v>
      </c>
      <c r="L2002" s="31"/>
    </row>
    <row r="2003" spans="3:12" x14ac:dyDescent="0.3">
      <c r="C2003" s="198"/>
      <c r="D2003" s="196"/>
      <c r="G2003" s="50">
        <f>РЕАЛИЗАЦИЯ[[#This Row],[СОНИ]]*РЕАЛИЗАЦИЯ[[#This Row],[НАРХИ]]</f>
        <v>0</v>
      </c>
      <c r="I2003" s="166"/>
      <c r="J2003" s="31">
        <f>РЕАЛИЗАЦИЯ[[#This Row],[СОНИ]]*РЕАЛИЗАЦИЯ[[#This Row],[ТАННАРХ]]</f>
        <v>0</v>
      </c>
      <c r="K2003" s="31">
        <f>РЕАЛИЗАЦИЯ[[#This Row],[ЖАМИ]]-РЕАЛИЗАЦИЯ[[#This Row],[ЖАМИ2]]</f>
        <v>0</v>
      </c>
      <c r="L2003" s="31"/>
    </row>
    <row r="2004" spans="3:12" x14ac:dyDescent="0.3">
      <c r="C2004" s="196"/>
      <c r="D2004" s="196"/>
      <c r="G2004" s="50">
        <f>РЕАЛИЗАЦИЯ[[#This Row],[СОНИ]]*РЕАЛИЗАЦИЯ[[#This Row],[НАРХИ]]</f>
        <v>0</v>
      </c>
      <c r="I2004" s="166"/>
      <c r="J2004" s="31">
        <f>РЕАЛИЗАЦИЯ[[#This Row],[СОНИ]]*РЕАЛИЗАЦИЯ[[#This Row],[ТАННАРХ]]</f>
        <v>0</v>
      </c>
      <c r="K2004" s="31">
        <f>РЕАЛИЗАЦИЯ[[#This Row],[ЖАМИ]]-РЕАЛИЗАЦИЯ[[#This Row],[ЖАМИ2]]</f>
        <v>0</v>
      </c>
      <c r="L2004" s="31"/>
    </row>
    <row r="2005" spans="3:12" x14ac:dyDescent="0.3">
      <c r="C2005" s="196"/>
      <c r="D2005" s="196"/>
      <c r="G2005" s="50">
        <f>РЕАЛИЗАЦИЯ[[#This Row],[СОНИ]]*РЕАЛИЗАЦИЯ[[#This Row],[НАРХИ]]</f>
        <v>0</v>
      </c>
      <c r="I2005" s="166"/>
      <c r="J2005" s="31">
        <f>РЕАЛИЗАЦИЯ[[#This Row],[СОНИ]]*РЕАЛИЗАЦИЯ[[#This Row],[ТАННАРХ]]</f>
        <v>0</v>
      </c>
      <c r="K2005" s="31">
        <f>РЕАЛИЗАЦИЯ[[#This Row],[ЖАМИ]]-РЕАЛИЗАЦИЯ[[#This Row],[ЖАМИ2]]</f>
        <v>0</v>
      </c>
      <c r="L2005" s="31"/>
    </row>
    <row r="2006" spans="3:12" x14ac:dyDescent="0.3">
      <c r="C2006" s="196"/>
      <c r="D2006" s="196"/>
      <c r="G2006" s="50">
        <f>РЕАЛИЗАЦИЯ[[#This Row],[СОНИ]]*РЕАЛИЗАЦИЯ[[#This Row],[НАРХИ]]</f>
        <v>0</v>
      </c>
      <c r="I2006" s="166"/>
      <c r="J2006" s="31">
        <f>РЕАЛИЗАЦИЯ[[#This Row],[СОНИ]]*РЕАЛИЗАЦИЯ[[#This Row],[ТАННАРХ]]</f>
        <v>0</v>
      </c>
      <c r="K2006" s="31">
        <f>РЕАЛИЗАЦИЯ[[#This Row],[ЖАМИ]]-РЕАЛИЗАЦИЯ[[#This Row],[ЖАМИ2]]</f>
        <v>0</v>
      </c>
      <c r="L2006" s="31"/>
    </row>
    <row r="2007" spans="3:12" x14ac:dyDescent="0.3">
      <c r="C2007" s="196"/>
      <c r="D2007" s="196"/>
      <c r="G2007" s="50">
        <f>РЕАЛИЗАЦИЯ[[#This Row],[СОНИ]]*РЕАЛИЗАЦИЯ[[#This Row],[НАРХИ]]</f>
        <v>0</v>
      </c>
      <c r="I2007" s="166"/>
      <c r="J2007" s="31">
        <f>РЕАЛИЗАЦИЯ[[#This Row],[СОНИ]]*РЕАЛИЗАЦИЯ[[#This Row],[ТАННАРХ]]</f>
        <v>0</v>
      </c>
      <c r="K2007" s="31">
        <f>РЕАЛИЗАЦИЯ[[#This Row],[ЖАМИ]]-РЕАЛИЗАЦИЯ[[#This Row],[ЖАМИ2]]</f>
        <v>0</v>
      </c>
      <c r="L2007" s="31"/>
    </row>
    <row r="2008" spans="3:12" x14ac:dyDescent="0.3">
      <c r="C2008" s="196"/>
      <c r="D2008" s="196"/>
      <c r="G2008" s="50">
        <f>РЕАЛИЗАЦИЯ[[#This Row],[СОНИ]]*РЕАЛИЗАЦИЯ[[#This Row],[НАРХИ]]</f>
        <v>0</v>
      </c>
      <c r="I2008" s="166"/>
      <c r="J2008" s="31">
        <f>РЕАЛИЗАЦИЯ[[#This Row],[СОНИ]]*РЕАЛИЗАЦИЯ[[#This Row],[ТАННАРХ]]</f>
        <v>0</v>
      </c>
      <c r="K2008" s="31">
        <f>РЕАЛИЗАЦИЯ[[#This Row],[ЖАМИ]]-РЕАЛИЗАЦИЯ[[#This Row],[ЖАМИ2]]</f>
        <v>0</v>
      </c>
      <c r="L2008" s="31"/>
    </row>
    <row r="2009" spans="3:12" x14ac:dyDescent="0.3">
      <c r="C2009" s="196"/>
      <c r="D2009" s="196"/>
      <c r="G2009" s="50">
        <f>РЕАЛИЗАЦИЯ[[#This Row],[СОНИ]]*РЕАЛИЗАЦИЯ[[#This Row],[НАРХИ]]</f>
        <v>0</v>
      </c>
      <c r="I2009" s="166"/>
      <c r="J2009" s="31">
        <f>РЕАЛИЗАЦИЯ[[#This Row],[СОНИ]]*РЕАЛИЗАЦИЯ[[#This Row],[ТАННАРХ]]</f>
        <v>0</v>
      </c>
      <c r="K2009" s="31">
        <f>РЕАЛИЗАЦИЯ[[#This Row],[ЖАМИ]]-РЕАЛИЗАЦИЯ[[#This Row],[ЖАМИ2]]</f>
        <v>0</v>
      </c>
      <c r="L2009" s="31"/>
    </row>
    <row r="2010" spans="3:12" x14ac:dyDescent="0.3">
      <c r="C2010" s="196"/>
      <c r="D2010" s="196"/>
      <c r="G2010" s="50">
        <f>РЕАЛИЗАЦИЯ[[#This Row],[СОНИ]]*РЕАЛИЗАЦИЯ[[#This Row],[НАРХИ]]</f>
        <v>0</v>
      </c>
      <c r="I2010" s="166"/>
      <c r="J2010" s="31">
        <f>РЕАЛИЗАЦИЯ[[#This Row],[СОНИ]]*РЕАЛИЗАЦИЯ[[#This Row],[ТАННАРХ]]</f>
        <v>0</v>
      </c>
      <c r="K2010" s="31">
        <f>РЕАЛИЗАЦИЯ[[#This Row],[ЖАМИ]]-РЕАЛИЗАЦИЯ[[#This Row],[ЖАМИ2]]</f>
        <v>0</v>
      </c>
      <c r="L2010" s="31"/>
    </row>
    <row r="2011" spans="3:12" x14ac:dyDescent="0.3">
      <c r="C2011" s="196"/>
      <c r="D2011" s="196"/>
      <c r="G2011" s="50">
        <f>РЕАЛИЗАЦИЯ[[#This Row],[СОНИ]]*РЕАЛИЗАЦИЯ[[#This Row],[НАРХИ]]</f>
        <v>0</v>
      </c>
      <c r="I2011" s="166"/>
      <c r="J2011" s="31">
        <f>РЕАЛИЗАЦИЯ[[#This Row],[СОНИ]]*РЕАЛИЗАЦИЯ[[#This Row],[ТАННАРХ]]</f>
        <v>0</v>
      </c>
      <c r="K2011" s="31">
        <f>РЕАЛИЗАЦИЯ[[#This Row],[ЖАМИ]]-РЕАЛИЗАЦИЯ[[#This Row],[ЖАМИ2]]</f>
        <v>0</v>
      </c>
      <c r="L2011" s="31"/>
    </row>
    <row r="2012" spans="3:12" x14ac:dyDescent="0.3">
      <c r="C2012" s="196"/>
      <c r="D2012" s="196"/>
      <c r="G2012" s="50">
        <f>РЕАЛИЗАЦИЯ[[#This Row],[СОНИ]]*РЕАЛИЗАЦИЯ[[#This Row],[НАРХИ]]</f>
        <v>0</v>
      </c>
      <c r="I2012" s="166"/>
      <c r="J2012" s="31">
        <f>РЕАЛИЗАЦИЯ[[#This Row],[СОНИ]]*РЕАЛИЗАЦИЯ[[#This Row],[ТАННАРХ]]</f>
        <v>0</v>
      </c>
      <c r="K2012" s="31">
        <f>РЕАЛИЗАЦИЯ[[#This Row],[ЖАМИ]]-РЕАЛИЗАЦИЯ[[#This Row],[ЖАМИ2]]</f>
        <v>0</v>
      </c>
      <c r="L2012" s="31"/>
    </row>
    <row r="2013" spans="3:12" x14ac:dyDescent="0.3">
      <c r="C2013" s="196"/>
      <c r="D2013" s="196"/>
      <c r="G2013" s="50">
        <f>РЕАЛИЗАЦИЯ[[#This Row],[СОНИ]]*РЕАЛИЗАЦИЯ[[#This Row],[НАРХИ]]</f>
        <v>0</v>
      </c>
      <c r="I2013" s="166"/>
      <c r="J2013" s="31">
        <f>РЕАЛИЗАЦИЯ[[#This Row],[СОНИ]]*РЕАЛИЗАЦИЯ[[#This Row],[ТАННАРХ]]</f>
        <v>0</v>
      </c>
      <c r="K2013" s="31">
        <f>РЕАЛИЗАЦИЯ[[#This Row],[ЖАМИ]]-РЕАЛИЗАЦИЯ[[#This Row],[ЖАМИ2]]</f>
        <v>0</v>
      </c>
      <c r="L2013" s="31"/>
    </row>
    <row r="2014" spans="3:12" x14ac:dyDescent="0.3">
      <c r="C2014" s="196"/>
      <c r="D2014" s="196"/>
      <c r="G2014" s="50">
        <f>РЕАЛИЗАЦИЯ[[#This Row],[СОНИ]]*РЕАЛИЗАЦИЯ[[#This Row],[НАРХИ]]</f>
        <v>0</v>
      </c>
      <c r="I2014" s="166"/>
      <c r="J2014" s="31">
        <f>РЕАЛИЗАЦИЯ[[#This Row],[СОНИ]]*РЕАЛИЗАЦИЯ[[#This Row],[ТАННАРХ]]</f>
        <v>0</v>
      </c>
      <c r="K2014" s="31">
        <f>РЕАЛИЗАЦИЯ[[#This Row],[ЖАМИ]]-РЕАЛИЗАЦИЯ[[#This Row],[ЖАМИ2]]</f>
        <v>0</v>
      </c>
      <c r="L2014" s="31"/>
    </row>
    <row r="2015" spans="3:12" x14ac:dyDescent="0.3">
      <c r="C2015" s="196"/>
      <c r="D2015" s="196"/>
      <c r="G2015" s="50">
        <f>РЕАЛИЗАЦИЯ[[#This Row],[СОНИ]]*РЕАЛИЗАЦИЯ[[#This Row],[НАРХИ]]</f>
        <v>0</v>
      </c>
      <c r="I2015" s="166"/>
      <c r="J2015" s="31">
        <f>РЕАЛИЗАЦИЯ[[#This Row],[СОНИ]]*РЕАЛИЗАЦИЯ[[#This Row],[ТАННАРХ]]</f>
        <v>0</v>
      </c>
      <c r="K2015" s="31">
        <f>РЕАЛИЗАЦИЯ[[#This Row],[ЖАМИ]]-РЕАЛИЗАЦИЯ[[#This Row],[ЖАМИ2]]</f>
        <v>0</v>
      </c>
      <c r="L2015" s="31"/>
    </row>
    <row r="2016" spans="3:12" x14ac:dyDescent="0.3">
      <c r="C2016" s="196"/>
      <c r="D2016" s="196"/>
      <c r="G2016" s="50">
        <f>РЕАЛИЗАЦИЯ[[#This Row],[СОНИ]]*РЕАЛИЗАЦИЯ[[#This Row],[НАРХИ]]</f>
        <v>0</v>
      </c>
      <c r="I2016" s="166"/>
      <c r="J2016" s="31">
        <f>РЕАЛИЗАЦИЯ[[#This Row],[СОНИ]]*РЕАЛИЗАЦИЯ[[#This Row],[ТАННАРХ]]</f>
        <v>0</v>
      </c>
      <c r="K2016" s="31">
        <f>РЕАЛИЗАЦИЯ[[#This Row],[ЖАМИ]]-РЕАЛИЗАЦИЯ[[#This Row],[ЖАМИ2]]</f>
        <v>0</v>
      </c>
      <c r="L2016" s="31"/>
    </row>
    <row r="2017" spans="3:12" x14ac:dyDescent="0.3">
      <c r="C2017" s="196"/>
      <c r="D2017" s="196"/>
      <c r="G2017" s="50">
        <f>РЕАЛИЗАЦИЯ[[#This Row],[СОНИ]]*РЕАЛИЗАЦИЯ[[#This Row],[НАРХИ]]</f>
        <v>0</v>
      </c>
      <c r="I2017" s="166"/>
      <c r="J2017" s="31">
        <f>РЕАЛИЗАЦИЯ[[#This Row],[СОНИ]]*РЕАЛИЗАЦИЯ[[#This Row],[ТАННАРХ]]</f>
        <v>0</v>
      </c>
      <c r="K2017" s="31">
        <f>РЕАЛИЗАЦИЯ[[#This Row],[ЖАМИ]]-РЕАЛИЗАЦИЯ[[#This Row],[ЖАМИ2]]</f>
        <v>0</v>
      </c>
      <c r="L2017" s="31"/>
    </row>
    <row r="2018" spans="3:12" x14ac:dyDescent="0.3">
      <c r="C2018" s="196"/>
      <c r="D2018" s="196"/>
      <c r="G2018" s="50">
        <f>РЕАЛИЗАЦИЯ[[#This Row],[СОНИ]]*РЕАЛИЗАЦИЯ[[#This Row],[НАРХИ]]</f>
        <v>0</v>
      </c>
      <c r="I2018" s="166"/>
      <c r="J2018" s="31">
        <f>РЕАЛИЗАЦИЯ[[#This Row],[СОНИ]]*РЕАЛИЗАЦИЯ[[#This Row],[ТАННАРХ]]</f>
        <v>0</v>
      </c>
      <c r="K2018" s="31">
        <f>РЕАЛИЗАЦИЯ[[#This Row],[ЖАМИ]]-РЕАЛИЗАЦИЯ[[#This Row],[ЖАМИ2]]</f>
        <v>0</v>
      </c>
      <c r="L2018" s="31"/>
    </row>
    <row r="2019" spans="3:12" x14ac:dyDescent="0.3">
      <c r="C2019" s="196"/>
      <c r="D2019" s="196"/>
      <c r="G2019" s="50">
        <f>РЕАЛИЗАЦИЯ[[#This Row],[СОНИ]]*РЕАЛИЗАЦИЯ[[#This Row],[НАРХИ]]</f>
        <v>0</v>
      </c>
      <c r="I2019" s="166"/>
      <c r="J2019" s="31">
        <f>РЕАЛИЗАЦИЯ[[#This Row],[СОНИ]]*РЕАЛИЗАЦИЯ[[#This Row],[ТАННАРХ]]</f>
        <v>0</v>
      </c>
      <c r="K2019" s="31">
        <f>РЕАЛИЗАЦИЯ[[#This Row],[ЖАМИ]]-РЕАЛИЗАЦИЯ[[#This Row],[ЖАМИ2]]</f>
        <v>0</v>
      </c>
      <c r="L2019" s="31"/>
    </row>
    <row r="2020" spans="3:12" x14ac:dyDescent="0.3">
      <c r="C2020" s="196"/>
      <c r="D2020" s="196"/>
      <c r="G2020" s="50">
        <f>РЕАЛИЗАЦИЯ[[#This Row],[СОНИ]]*РЕАЛИЗАЦИЯ[[#This Row],[НАРХИ]]</f>
        <v>0</v>
      </c>
      <c r="I2020" s="166"/>
      <c r="J2020" s="31">
        <f>РЕАЛИЗАЦИЯ[[#This Row],[СОНИ]]*РЕАЛИЗАЦИЯ[[#This Row],[ТАННАРХ]]</f>
        <v>0</v>
      </c>
      <c r="K2020" s="31">
        <f>РЕАЛИЗАЦИЯ[[#This Row],[ЖАМИ]]-РЕАЛИЗАЦИЯ[[#This Row],[ЖАМИ2]]</f>
        <v>0</v>
      </c>
      <c r="L2020" s="31"/>
    </row>
    <row r="2021" spans="3:12" x14ac:dyDescent="0.3">
      <c r="C2021" s="196"/>
      <c r="D2021" s="196"/>
      <c r="G2021" s="50">
        <f>РЕАЛИЗАЦИЯ[[#This Row],[СОНИ]]*РЕАЛИЗАЦИЯ[[#This Row],[НАРХИ]]</f>
        <v>0</v>
      </c>
      <c r="I2021" s="166"/>
      <c r="J2021" s="31">
        <f>РЕАЛИЗАЦИЯ[[#This Row],[СОНИ]]*РЕАЛИЗАЦИЯ[[#This Row],[ТАННАРХ]]</f>
        <v>0</v>
      </c>
      <c r="K2021" s="31">
        <f>РЕАЛИЗАЦИЯ[[#This Row],[ЖАМИ]]-РЕАЛИЗАЦИЯ[[#This Row],[ЖАМИ2]]</f>
        <v>0</v>
      </c>
      <c r="L2021" s="31"/>
    </row>
    <row r="2022" spans="3:12" x14ac:dyDescent="0.3">
      <c r="C2022" s="196"/>
      <c r="D2022" s="196"/>
      <c r="G2022" s="50">
        <f>РЕАЛИЗАЦИЯ[[#This Row],[СОНИ]]*РЕАЛИЗАЦИЯ[[#This Row],[НАРХИ]]</f>
        <v>0</v>
      </c>
      <c r="I2022" s="166"/>
      <c r="J2022" s="31">
        <f>РЕАЛИЗАЦИЯ[[#This Row],[СОНИ]]*РЕАЛИЗАЦИЯ[[#This Row],[ТАННАРХ]]</f>
        <v>0</v>
      </c>
      <c r="K2022" s="31">
        <f>РЕАЛИЗАЦИЯ[[#This Row],[ЖАМИ]]-РЕАЛИЗАЦИЯ[[#This Row],[ЖАМИ2]]</f>
        <v>0</v>
      </c>
      <c r="L2022" s="31"/>
    </row>
    <row r="2023" spans="3:12" x14ac:dyDescent="0.3">
      <c r="C2023" s="196"/>
      <c r="D2023" s="196"/>
      <c r="G2023" s="50">
        <f>РЕАЛИЗАЦИЯ[[#This Row],[СОНИ]]*РЕАЛИЗАЦИЯ[[#This Row],[НАРХИ]]</f>
        <v>0</v>
      </c>
      <c r="I2023" s="166"/>
      <c r="J2023" s="31">
        <f>РЕАЛИЗАЦИЯ[[#This Row],[СОНИ]]*РЕАЛИЗАЦИЯ[[#This Row],[ТАННАРХ]]</f>
        <v>0</v>
      </c>
      <c r="K2023" s="31">
        <f>РЕАЛИЗАЦИЯ[[#This Row],[ЖАМИ]]-РЕАЛИЗАЦИЯ[[#This Row],[ЖАМИ2]]</f>
        <v>0</v>
      </c>
      <c r="L2023" s="31"/>
    </row>
    <row r="2024" spans="3:12" x14ac:dyDescent="0.3">
      <c r="C2024" s="196"/>
      <c r="D2024" s="196"/>
      <c r="G2024" s="50">
        <f>РЕАЛИЗАЦИЯ[[#This Row],[СОНИ]]*РЕАЛИЗАЦИЯ[[#This Row],[НАРХИ]]</f>
        <v>0</v>
      </c>
      <c r="I2024" s="166"/>
      <c r="J2024" s="31">
        <f>РЕАЛИЗАЦИЯ[[#This Row],[СОНИ]]*РЕАЛИЗАЦИЯ[[#This Row],[ТАННАРХ]]</f>
        <v>0</v>
      </c>
      <c r="K2024" s="31">
        <f>РЕАЛИЗАЦИЯ[[#This Row],[ЖАМИ]]-РЕАЛИЗАЦИЯ[[#This Row],[ЖАМИ2]]</f>
        <v>0</v>
      </c>
      <c r="L2024" s="31"/>
    </row>
    <row r="2025" spans="3:12" x14ac:dyDescent="0.3">
      <c r="C2025" s="196"/>
      <c r="D2025" s="196"/>
      <c r="G2025" s="50">
        <f>РЕАЛИЗАЦИЯ[[#This Row],[СОНИ]]*РЕАЛИЗАЦИЯ[[#This Row],[НАРХИ]]</f>
        <v>0</v>
      </c>
      <c r="I2025" s="166"/>
      <c r="J2025" s="31">
        <f>РЕАЛИЗАЦИЯ[[#This Row],[СОНИ]]*РЕАЛИЗАЦИЯ[[#This Row],[ТАННАРХ]]</f>
        <v>0</v>
      </c>
      <c r="K2025" s="31">
        <f>РЕАЛИЗАЦИЯ[[#This Row],[ЖАМИ]]-РЕАЛИЗАЦИЯ[[#This Row],[ЖАМИ2]]</f>
        <v>0</v>
      </c>
      <c r="L2025" s="31"/>
    </row>
    <row r="2026" spans="3:12" x14ac:dyDescent="0.3">
      <c r="C2026" s="196"/>
      <c r="D2026" s="196"/>
      <c r="G2026" s="50">
        <f>РЕАЛИЗАЦИЯ[[#This Row],[СОНИ]]*РЕАЛИЗАЦИЯ[[#This Row],[НАРХИ]]</f>
        <v>0</v>
      </c>
      <c r="I2026" s="166"/>
      <c r="J2026" s="31">
        <f>РЕАЛИЗАЦИЯ[[#This Row],[СОНИ]]*РЕАЛИЗАЦИЯ[[#This Row],[ТАННАРХ]]</f>
        <v>0</v>
      </c>
      <c r="K2026" s="31">
        <f>РЕАЛИЗАЦИЯ[[#This Row],[ЖАМИ]]-РЕАЛИЗАЦИЯ[[#This Row],[ЖАМИ2]]</f>
        <v>0</v>
      </c>
      <c r="L2026" s="31"/>
    </row>
    <row r="2027" spans="3:12" x14ac:dyDescent="0.3">
      <c r="C2027" s="196"/>
      <c r="D2027" s="196"/>
      <c r="G2027" s="50">
        <f>РЕАЛИЗАЦИЯ[[#This Row],[СОНИ]]*РЕАЛИЗАЦИЯ[[#This Row],[НАРХИ]]</f>
        <v>0</v>
      </c>
      <c r="I2027" s="166"/>
      <c r="J2027" s="31">
        <f>РЕАЛИЗАЦИЯ[[#This Row],[СОНИ]]*РЕАЛИЗАЦИЯ[[#This Row],[ТАННАРХ]]</f>
        <v>0</v>
      </c>
      <c r="K2027" s="31">
        <f>РЕАЛИЗАЦИЯ[[#This Row],[ЖАМИ]]-РЕАЛИЗАЦИЯ[[#This Row],[ЖАМИ2]]</f>
        <v>0</v>
      </c>
      <c r="L2027" s="31"/>
    </row>
    <row r="2028" spans="3:12" x14ac:dyDescent="0.3">
      <c r="C2028" s="196"/>
      <c r="D2028" s="196"/>
      <c r="G2028" s="50">
        <f>РЕАЛИЗАЦИЯ[[#This Row],[СОНИ]]*РЕАЛИЗАЦИЯ[[#This Row],[НАРХИ]]</f>
        <v>0</v>
      </c>
      <c r="I2028" s="166"/>
      <c r="J2028" s="31">
        <f>РЕАЛИЗАЦИЯ[[#This Row],[СОНИ]]*РЕАЛИЗАЦИЯ[[#This Row],[ТАННАРХ]]</f>
        <v>0</v>
      </c>
      <c r="K2028" s="31">
        <f>РЕАЛИЗАЦИЯ[[#This Row],[ЖАМИ]]-РЕАЛИЗАЦИЯ[[#This Row],[ЖАМИ2]]</f>
        <v>0</v>
      </c>
      <c r="L2028" s="31"/>
    </row>
    <row r="2029" spans="3:12" x14ac:dyDescent="0.3">
      <c r="C2029" s="196"/>
      <c r="D2029" s="196"/>
      <c r="G2029" s="50">
        <f>РЕАЛИЗАЦИЯ[[#This Row],[СОНИ]]*РЕАЛИЗАЦИЯ[[#This Row],[НАРХИ]]</f>
        <v>0</v>
      </c>
      <c r="I2029" s="166"/>
      <c r="J2029" s="31">
        <f>РЕАЛИЗАЦИЯ[[#This Row],[СОНИ]]*РЕАЛИЗАЦИЯ[[#This Row],[ТАННАРХ]]</f>
        <v>0</v>
      </c>
      <c r="K2029" s="31">
        <f>РЕАЛИЗАЦИЯ[[#This Row],[ЖАМИ]]-РЕАЛИЗАЦИЯ[[#This Row],[ЖАМИ2]]</f>
        <v>0</v>
      </c>
      <c r="L2029" s="31"/>
    </row>
    <row r="2030" spans="3:12" x14ac:dyDescent="0.3">
      <c r="C2030" s="196"/>
      <c r="D2030" s="196"/>
      <c r="G2030" s="50">
        <f>РЕАЛИЗАЦИЯ[[#This Row],[СОНИ]]*РЕАЛИЗАЦИЯ[[#This Row],[НАРХИ]]</f>
        <v>0</v>
      </c>
      <c r="I2030" s="166"/>
      <c r="J2030" s="31">
        <f>РЕАЛИЗАЦИЯ[[#This Row],[СОНИ]]*РЕАЛИЗАЦИЯ[[#This Row],[ТАННАРХ]]</f>
        <v>0</v>
      </c>
      <c r="K2030" s="31">
        <f>РЕАЛИЗАЦИЯ[[#This Row],[ЖАМИ]]-РЕАЛИЗАЦИЯ[[#This Row],[ЖАМИ2]]</f>
        <v>0</v>
      </c>
      <c r="L2030" s="31"/>
    </row>
    <row r="2031" spans="3:12" x14ac:dyDescent="0.3">
      <c r="C2031" s="196"/>
      <c r="D2031" s="196"/>
      <c r="G2031" s="50">
        <f>РЕАЛИЗАЦИЯ[[#This Row],[СОНИ]]*РЕАЛИЗАЦИЯ[[#This Row],[НАРХИ]]</f>
        <v>0</v>
      </c>
      <c r="I2031" s="166"/>
      <c r="J2031" s="31">
        <f>РЕАЛИЗАЦИЯ[[#This Row],[СОНИ]]*РЕАЛИЗАЦИЯ[[#This Row],[ТАННАРХ]]</f>
        <v>0</v>
      </c>
      <c r="K2031" s="31">
        <f>РЕАЛИЗАЦИЯ[[#This Row],[ЖАМИ]]-РЕАЛИЗАЦИЯ[[#This Row],[ЖАМИ2]]</f>
        <v>0</v>
      </c>
      <c r="L2031" s="31"/>
    </row>
    <row r="2032" spans="3:12" x14ac:dyDescent="0.3">
      <c r="C2032" s="196"/>
      <c r="D2032" s="196"/>
      <c r="G2032" s="50">
        <f>РЕАЛИЗАЦИЯ[[#This Row],[СОНИ]]*РЕАЛИЗАЦИЯ[[#This Row],[НАРХИ]]</f>
        <v>0</v>
      </c>
      <c r="I2032" s="166"/>
      <c r="J2032" s="31">
        <f>РЕАЛИЗАЦИЯ[[#This Row],[СОНИ]]*РЕАЛИЗАЦИЯ[[#This Row],[ТАННАРХ]]</f>
        <v>0</v>
      </c>
      <c r="K2032" s="31">
        <f>РЕАЛИЗАЦИЯ[[#This Row],[ЖАМИ]]-РЕАЛИЗАЦИЯ[[#This Row],[ЖАМИ2]]</f>
        <v>0</v>
      </c>
      <c r="L2032" s="31"/>
    </row>
    <row r="2033" spans="3:12" x14ac:dyDescent="0.3">
      <c r="C2033" s="196"/>
      <c r="D2033" s="196"/>
      <c r="G2033" s="50">
        <f>РЕАЛИЗАЦИЯ[[#This Row],[СОНИ]]*РЕАЛИЗАЦИЯ[[#This Row],[НАРХИ]]</f>
        <v>0</v>
      </c>
      <c r="I2033" s="166"/>
      <c r="J2033" s="31">
        <f>РЕАЛИЗАЦИЯ[[#This Row],[СОНИ]]*РЕАЛИЗАЦИЯ[[#This Row],[ТАННАРХ]]</f>
        <v>0</v>
      </c>
      <c r="K2033" s="31">
        <f>РЕАЛИЗАЦИЯ[[#This Row],[ЖАМИ]]-РЕАЛИЗАЦИЯ[[#This Row],[ЖАМИ2]]</f>
        <v>0</v>
      </c>
      <c r="L2033" s="31"/>
    </row>
    <row r="2034" spans="3:12" x14ac:dyDescent="0.3">
      <c r="C2034" s="196"/>
      <c r="D2034" s="196"/>
      <c r="G2034" s="50">
        <f>РЕАЛИЗАЦИЯ[[#This Row],[СОНИ]]*РЕАЛИЗАЦИЯ[[#This Row],[НАРХИ]]</f>
        <v>0</v>
      </c>
      <c r="I2034" s="166"/>
      <c r="J2034" s="31">
        <f>РЕАЛИЗАЦИЯ[[#This Row],[СОНИ]]*РЕАЛИЗАЦИЯ[[#This Row],[ТАННАРХ]]</f>
        <v>0</v>
      </c>
      <c r="K2034" s="31">
        <f>РЕАЛИЗАЦИЯ[[#This Row],[ЖАМИ]]-РЕАЛИЗАЦИЯ[[#This Row],[ЖАМИ2]]</f>
        <v>0</v>
      </c>
      <c r="L2034" s="31"/>
    </row>
    <row r="2035" spans="3:12" x14ac:dyDescent="0.3">
      <c r="C2035" s="196"/>
      <c r="D2035" s="196"/>
      <c r="G2035" s="50">
        <f>РЕАЛИЗАЦИЯ[[#This Row],[СОНИ]]*РЕАЛИЗАЦИЯ[[#This Row],[НАРХИ]]</f>
        <v>0</v>
      </c>
      <c r="I2035" s="166"/>
      <c r="J2035" s="31">
        <f>РЕАЛИЗАЦИЯ[[#This Row],[СОНИ]]*РЕАЛИЗАЦИЯ[[#This Row],[ТАННАРХ]]</f>
        <v>0</v>
      </c>
      <c r="K2035" s="31">
        <f>РЕАЛИЗАЦИЯ[[#This Row],[ЖАМИ]]-РЕАЛИЗАЦИЯ[[#This Row],[ЖАМИ2]]</f>
        <v>0</v>
      </c>
      <c r="L2035" s="31"/>
    </row>
    <row r="2036" spans="3:12" x14ac:dyDescent="0.3">
      <c r="C2036" s="196"/>
      <c r="D2036" s="196"/>
      <c r="G2036" s="50">
        <f>РЕАЛИЗАЦИЯ[[#This Row],[СОНИ]]*РЕАЛИЗАЦИЯ[[#This Row],[НАРХИ]]</f>
        <v>0</v>
      </c>
      <c r="I2036" s="166"/>
      <c r="J2036" s="31">
        <f>РЕАЛИЗАЦИЯ[[#This Row],[СОНИ]]*РЕАЛИЗАЦИЯ[[#This Row],[ТАННАРХ]]</f>
        <v>0</v>
      </c>
      <c r="K2036" s="31">
        <f>РЕАЛИЗАЦИЯ[[#This Row],[ЖАМИ]]-РЕАЛИЗАЦИЯ[[#This Row],[ЖАМИ2]]</f>
        <v>0</v>
      </c>
      <c r="L2036" s="31"/>
    </row>
    <row r="2037" spans="3:12" x14ac:dyDescent="0.3">
      <c r="C2037" s="196"/>
      <c r="D2037" s="196"/>
      <c r="G2037" s="50">
        <f>РЕАЛИЗАЦИЯ[[#This Row],[СОНИ]]*РЕАЛИЗАЦИЯ[[#This Row],[НАРХИ]]</f>
        <v>0</v>
      </c>
      <c r="I2037" s="166"/>
      <c r="J2037" s="31">
        <f>РЕАЛИЗАЦИЯ[[#This Row],[СОНИ]]*РЕАЛИЗАЦИЯ[[#This Row],[ТАННАРХ]]</f>
        <v>0</v>
      </c>
      <c r="K2037" s="31">
        <f>РЕАЛИЗАЦИЯ[[#This Row],[ЖАМИ]]-РЕАЛИЗАЦИЯ[[#This Row],[ЖАМИ2]]</f>
        <v>0</v>
      </c>
      <c r="L2037" s="31"/>
    </row>
    <row r="2038" spans="3:12" x14ac:dyDescent="0.3">
      <c r="C2038" s="196"/>
      <c r="D2038" s="196"/>
      <c r="G2038" s="50">
        <f>РЕАЛИЗАЦИЯ[[#This Row],[СОНИ]]*РЕАЛИЗАЦИЯ[[#This Row],[НАРХИ]]</f>
        <v>0</v>
      </c>
      <c r="I2038" s="166"/>
      <c r="J2038" s="31">
        <f>РЕАЛИЗАЦИЯ[[#This Row],[СОНИ]]*РЕАЛИЗАЦИЯ[[#This Row],[ТАННАРХ]]</f>
        <v>0</v>
      </c>
      <c r="K2038" s="31">
        <f>РЕАЛИЗАЦИЯ[[#This Row],[ЖАМИ]]-РЕАЛИЗАЦИЯ[[#This Row],[ЖАМИ2]]</f>
        <v>0</v>
      </c>
      <c r="L2038" s="31"/>
    </row>
    <row r="2039" spans="3:12" x14ac:dyDescent="0.3">
      <c r="C2039" s="196"/>
      <c r="D2039" s="196"/>
      <c r="G2039" s="50">
        <f>РЕАЛИЗАЦИЯ[[#This Row],[СОНИ]]*РЕАЛИЗАЦИЯ[[#This Row],[НАРХИ]]</f>
        <v>0</v>
      </c>
      <c r="I2039" s="166"/>
      <c r="J2039" s="31">
        <f>РЕАЛИЗАЦИЯ[[#This Row],[СОНИ]]*РЕАЛИЗАЦИЯ[[#This Row],[ТАННАРХ]]</f>
        <v>0</v>
      </c>
      <c r="K2039" s="31">
        <f>РЕАЛИЗАЦИЯ[[#This Row],[ЖАМИ]]-РЕАЛИЗАЦИЯ[[#This Row],[ЖАМИ2]]</f>
        <v>0</v>
      </c>
      <c r="L2039" s="31"/>
    </row>
    <row r="2040" spans="3:12" x14ac:dyDescent="0.3">
      <c r="C2040" s="196"/>
      <c r="D2040" s="196"/>
      <c r="G2040" s="50">
        <f>РЕАЛИЗАЦИЯ[[#This Row],[СОНИ]]*РЕАЛИЗАЦИЯ[[#This Row],[НАРХИ]]</f>
        <v>0</v>
      </c>
      <c r="I2040" s="166"/>
      <c r="J2040" s="31">
        <f>РЕАЛИЗАЦИЯ[[#This Row],[СОНИ]]*РЕАЛИЗАЦИЯ[[#This Row],[ТАННАРХ]]</f>
        <v>0</v>
      </c>
      <c r="K2040" s="31">
        <f>РЕАЛИЗАЦИЯ[[#This Row],[ЖАМИ]]-РЕАЛИЗАЦИЯ[[#This Row],[ЖАМИ2]]</f>
        <v>0</v>
      </c>
      <c r="L2040" s="31"/>
    </row>
    <row r="2041" spans="3:12" x14ac:dyDescent="0.3">
      <c r="C2041" s="203"/>
      <c r="D2041" s="203"/>
      <c r="G2041" s="50">
        <f>РЕАЛИЗАЦИЯ[[#This Row],[СОНИ]]*РЕАЛИЗАЦИЯ[[#This Row],[НАРХИ]]</f>
        <v>0</v>
      </c>
      <c r="I2041" s="166"/>
      <c r="J2041" s="31">
        <f>РЕАЛИЗАЦИЯ[[#This Row],[СОНИ]]*РЕАЛИЗАЦИЯ[[#This Row],[ТАННАРХ]]</f>
        <v>0</v>
      </c>
      <c r="K2041" s="31">
        <f>РЕАЛИЗАЦИЯ[[#This Row],[ЖАМИ]]-РЕАЛИЗАЦИЯ[[#This Row],[ЖАМИ2]]</f>
        <v>0</v>
      </c>
      <c r="L2041" s="31"/>
    </row>
    <row r="2042" spans="3:12" x14ac:dyDescent="0.3">
      <c r="C2042" s="196"/>
      <c r="D2042" s="196"/>
      <c r="G2042" s="50">
        <f>РЕАЛИЗАЦИЯ[[#This Row],[СОНИ]]*РЕАЛИЗАЦИЯ[[#This Row],[НАРХИ]]</f>
        <v>0</v>
      </c>
      <c r="I2042" s="166"/>
      <c r="J2042" s="31">
        <f>РЕАЛИЗАЦИЯ[[#This Row],[СОНИ]]*РЕАЛИЗАЦИЯ[[#This Row],[ТАННАРХ]]</f>
        <v>0</v>
      </c>
      <c r="K2042" s="31">
        <f>РЕАЛИЗАЦИЯ[[#This Row],[ЖАМИ]]-РЕАЛИЗАЦИЯ[[#This Row],[ЖАМИ2]]</f>
        <v>0</v>
      </c>
      <c r="L2042" s="31"/>
    </row>
    <row r="2043" spans="3:12" x14ac:dyDescent="0.3">
      <c r="C2043" s="196"/>
      <c r="D2043" s="196"/>
      <c r="G2043" s="50">
        <f>РЕАЛИЗАЦИЯ[[#This Row],[СОНИ]]*РЕАЛИЗАЦИЯ[[#This Row],[НАРХИ]]</f>
        <v>0</v>
      </c>
      <c r="I2043" s="166"/>
      <c r="J2043" s="31">
        <f>РЕАЛИЗАЦИЯ[[#This Row],[СОНИ]]*РЕАЛИЗАЦИЯ[[#This Row],[ТАННАРХ]]</f>
        <v>0</v>
      </c>
      <c r="K2043" s="31">
        <f>РЕАЛИЗАЦИЯ[[#This Row],[ЖАМИ]]-РЕАЛИЗАЦИЯ[[#This Row],[ЖАМИ2]]</f>
        <v>0</v>
      </c>
      <c r="L2043" s="31"/>
    </row>
    <row r="2044" spans="3:12" x14ac:dyDescent="0.3">
      <c r="C2044" s="202"/>
      <c r="D2044" s="202"/>
      <c r="G2044" s="50">
        <f>РЕАЛИЗАЦИЯ[[#This Row],[СОНИ]]*РЕАЛИЗАЦИЯ[[#This Row],[НАРХИ]]</f>
        <v>0</v>
      </c>
      <c r="I2044" s="166"/>
      <c r="J2044" s="31">
        <f>РЕАЛИЗАЦИЯ[[#This Row],[СОНИ]]*РЕАЛИЗАЦИЯ[[#This Row],[ТАННАРХ]]</f>
        <v>0</v>
      </c>
      <c r="K2044" s="31">
        <f>РЕАЛИЗАЦИЯ[[#This Row],[ЖАМИ]]-РЕАЛИЗАЦИЯ[[#This Row],[ЖАМИ2]]</f>
        <v>0</v>
      </c>
      <c r="L2044" s="31"/>
    </row>
    <row r="2045" spans="3:12" x14ac:dyDescent="0.3">
      <c r="C2045" s="202"/>
      <c r="D2045" s="202"/>
      <c r="G2045" s="50">
        <f>РЕАЛИЗАЦИЯ[[#This Row],[СОНИ]]*РЕАЛИЗАЦИЯ[[#This Row],[НАРХИ]]</f>
        <v>0</v>
      </c>
      <c r="I2045" s="166"/>
      <c r="J2045" s="31">
        <f>РЕАЛИЗАЦИЯ[[#This Row],[СОНИ]]*РЕАЛИЗАЦИЯ[[#This Row],[ТАННАРХ]]</f>
        <v>0</v>
      </c>
      <c r="K2045" s="31">
        <f>РЕАЛИЗАЦИЯ[[#This Row],[ЖАМИ]]-РЕАЛИЗАЦИЯ[[#This Row],[ЖАМИ2]]</f>
        <v>0</v>
      </c>
      <c r="L2045" s="31"/>
    </row>
    <row r="2046" spans="3:12" x14ac:dyDescent="0.3">
      <c r="C2046" s="196"/>
      <c r="D2046" s="196"/>
      <c r="G2046" s="50">
        <f>РЕАЛИЗАЦИЯ[[#This Row],[СОНИ]]*РЕАЛИЗАЦИЯ[[#This Row],[НАРХИ]]</f>
        <v>0</v>
      </c>
      <c r="I2046" s="166"/>
      <c r="J2046" s="31">
        <f>РЕАЛИЗАЦИЯ[[#This Row],[СОНИ]]*РЕАЛИЗАЦИЯ[[#This Row],[ТАННАРХ]]</f>
        <v>0</v>
      </c>
      <c r="K2046" s="31">
        <f>РЕАЛИЗАЦИЯ[[#This Row],[ЖАМИ]]-РЕАЛИЗАЦИЯ[[#This Row],[ЖАМИ2]]</f>
        <v>0</v>
      </c>
      <c r="L2046" s="31"/>
    </row>
    <row r="2047" spans="3:12" x14ac:dyDescent="0.3">
      <c r="C2047" s="196"/>
      <c r="D2047" s="196"/>
      <c r="G2047" s="50">
        <f>РЕАЛИЗАЦИЯ[[#This Row],[СОНИ]]*РЕАЛИЗАЦИЯ[[#This Row],[НАРХИ]]</f>
        <v>0</v>
      </c>
      <c r="I2047" s="166"/>
      <c r="J2047" s="31">
        <f>РЕАЛИЗАЦИЯ[[#This Row],[СОНИ]]*РЕАЛИЗАЦИЯ[[#This Row],[ТАННАРХ]]</f>
        <v>0</v>
      </c>
      <c r="K2047" s="31">
        <f>РЕАЛИЗАЦИЯ[[#This Row],[ЖАМИ]]-РЕАЛИЗАЦИЯ[[#This Row],[ЖАМИ2]]</f>
        <v>0</v>
      </c>
      <c r="L2047" s="31"/>
    </row>
    <row r="2048" spans="3:12" x14ac:dyDescent="0.3">
      <c r="C2048" s="196"/>
      <c r="D2048" s="196"/>
      <c r="G2048" s="50">
        <f>РЕАЛИЗАЦИЯ[[#This Row],[СОНИ]]*РЕАЛИЗАЦИЯ[[#This Row],[НАРХИ]]</f>
        <v>0</v>
      </c>
      <c r="I2048" s="166"/>
      <c r="J2048" s="31">
        <f>РЕАЛИЗАЦИЯ[[#This Row],[СОНИ]]*РЕАЛИЗАЦИЯ[[#This Row],[ТАННАРХ]]</f>
        <v>0</v>
      </c>
      <c r="K2048" s="31">
        <f>РЕАЛИЗАЦИЯ[[#This Row],[ЖАМИ]]-РЕАЛИЗАЦИЯ[[#This Row],[ЖАМИ2]]</f>
        <v>0</v>
      </c>
      <c r="L2048" s="31"/>
    </row>
    <row r="2049" spans="1:12" x14ac:dyDescent="0.3">
      <c r="C2049" s="196"/>
      <c r="D2049" s="196"/>
      <c r="G2049" s="50">
        <f>РЕАЛИЗАЦИЯ[[#This Row],[СОНИ]]*РЕАЛИЗАЦИЯ[[#This Row],[НАРХИ]]</f>
        <v>0</v>
      </c>
      <c r="I2049" s="166"/>
      <c r="J2049" s="31">
        <f>РЕАЛИЗАЦИЯ[[#This Row],[СОНИ]]*РЕАЛИЗАЦИЯ[[#This Row],[ТАННАРХ]]</f>
        <v>0</v>
      </c>
      <c r="K2049" s="31">
        <f>РЕАЛИЗАЦИЯ[[#This Row],[ЖАМИ]]-РЕАЛИЗАЦИЯ[[#This Row],[ЖАМИ2]]</f>
        <v>0</v>
      </c>
      <c r="L2049" s="31"/>
    </row>
    <row r="2050" spans="1:12" x14ac:dyDescent="0.3">
      <c r="C2050" s="196"/>
      <c r="D2050" s="196"/>
      <c r="G2050" s="50">
        <f>РЕАЛИЗАЦИЯ[[#This Row],[СОНИ]]*РЕАЛИЗАЦИЯ[[#This Row],[НАРХИ]]</f>
        <v>0</v>
      </c>
      <c r="I2050" s="166"/>
      <c r="J2050" s="31">
        <f>РЕАЛИЗАЦИЯ[[#This Row],[СОНИ]]*РЕАЛИЗАЦИЯ[[#This Row],[ТАННАРХ]]</f>
        <v>0</v>
      </c>
      <c r="K2050" s="31">
        <f>РЕАЛИЗАЦИЯ[[#This Row],[ЖАМИ]]-РЕАЛИЗАЦИЯ[[#This Row],[ЖАМИ2]]</f>
        <v>0</v>
      </c>
      <c r="L2050" s="31"/>
    </row>
    <row r="2051" spans="1:12" x14ac:dyDescent="0.3">
      <c r="C2051" s="196"/>
      <c r="D2051" s="196"/>
      <c r="G2051" s="50">
        <f>РЕАЛИЗАЦИЯ[[#This Row],[СОНИ]]*РЕАЛИЗАЦИЯ[[#This Row],[НАРХИ]]</f>
        <v>0</v>
      </c>
      <c r="I2051" s="166"/>
      <c r="J2051" s="31">
        <f>РЕАЛИЗАЦИЯ[[#This Row],[СОНИ]]*РЕАЛИЗАЦИЯ[[#This Row],[ТАННАРХ]]</f>
        <v>0</v>
      </c>
      <c r="K2051" s="31">
        <f>РЕАЛИЗАЦИЯ[[#This Row],[ЖАМИ]]-РЕАЛИЗАЦИЯ[[#This Row],[ЖАМИ2]]</f>
        <v>0</v>
      </c>
      <c r="L2051" s="31"/>
    </row>
    <row r="2052" spans="1:12" x14ac:dyDescent="0.3">
      <c r="C2052" s="196"/>
      <c r="D2052" s="196"/>
      <c r="G2052" s="50">
        <f>РЕАЛИЗАЦИЯ[[#This Row],[СОНИ]]*РЕАЛИЗАЦИЯ[[#This Row],[НАРХИ]]</f>
        <v>0</v>
      </c>
      <c r="I2052" s="166"/>
      <c r="J2052" s="31">
        <f>РЕАЛИЗАЦИЯ[[#This Row],[СОНИ]]*РЕАЛИЗАЦИЯ[[#This Row],[ТАННАРХ]]</f>
        <v>0</v>
      </c>
      <c r="K2052" s="31">
        <f>РЕАЛИЗАЦИЯ[[#This Row],[ЖАМИ]]-РЕАЛИЗАЦИЯ[[#This Row],[ЖАМИ2]]</f>
        <v>0</v>
      </c>
      <c r="L2052" s="31"/>
    </row>
    <row r="2053" spans="1:12" s="202" customFormat="1" x14ac:dyDescent="0.3">
      <c r="A2053" s="3"/>
      <c r="B2053" s="4"/>
      <c r="C2053" s="196"/>
      <c r="D2053" s="196"/>
      <c r="E2053" s="31"/>
      <c r="F2053" s="31"/>
      <c r="G2053" s="50">
        <f>РЕАЛИЗАЦИЯ[[#This Row],[СОНИ]]*РЕАЛИЗАЦИЯ[[#This Row],[НАРХИ]]</f>
        <v>0</v>
      </c>
      <c r="H2053" s="31"/>
      <c r="I2053" s="166"/>
      <c r="J2053" s="31">
        <f>РЕАЛИЗАЦИЯ[[#This Row],[СОНИ]]*РЕАЛИЗАЦИЯ[[#This Row],[ТАННАРХ]]</f>
        <v>0</v>
      </c>
      <c r="K2053" s="31">
        <f>РЕАЛИЗАЦИЯ[[#This Row],[ЖАМИ]]-РЕАЛИЗАЦИЯ[[#This Row],[ЖАМИ2]]</f>
        <v>0</v>
      </c>
      <c r="L2053" s="31"/>
    </row>
    <row r="2054" spans="1:12" x14ac:dyDescent="0.3">
      <c r="C2054" s="196"/>
      <c r="D2054" s="196"/>
      <c r="G2054" s="50">
        <f>РЕАЛИЗАЦИЯ[[#This Row],[СОНИ]]*РЕАЛИЗАЦИЯ[[#This Row],[НАРХИ]]</f>
        <v>0</v>
      </c>
      <c r="I2054" s="166"/>
      <c r="J2054" s="31">
        <f>РЕАЛИЗАЦИЯ[[#This Row],[СОНИ]]*РЕАЛИЗАЦИЯ[[#This Row],[ТАННАРХ]]</f>
        <v>0</v>
      </c>
      <c r="K2054" s="31">
        <f>РЕАЛИЗАЦИЯ[[#This Row],[ЖАМИ]]-РЕАЛИЗАЦИЯ[[#This Row],[ЖАМИ2]]</f>
        <v>0</v>
      </c>
      <c r="L2054" s="31"/>
    </row>
    <row r="2055" spans="1:12" x14ac:dyDescent="0.3">
      <c r="C2055" s="196"/>
      <c r="D2055" s="196"/>
      <c r="G2055" s="50">
        <f>РЕАЛИЗАЦИЯ[[#This Row],[СОНИ]]*РЕАЛИЗАЦИЯ[[#This Row],[НАРХИ]]</f>
        <v>0</v>
      </c>
      <c r="I2055" s="166"/>
      <c r="J2055" s="31">
        <f>РЕАЛИЗАЦИЯ[[#This Row],[СОНИ]]*РЕАЛИЗАЦИЯ[[#This Row],[ТАННАРХ]]</f>
        <v>0</v>
      </c>
      <c r="K2055" s="31">
        <f>РЕАЛИЗАЦИЯ[[#This Row],[ЖАМИ]]-РЕАЛИЗАЦИЯ[[#This Row],[ЖАМИ2]]</f>
        <v>0</v>
      </c>
      <c r="L2055" s="31"/>
    </row>
    <row r="2056" spans="1:12" x14ac:dyDescent="0.3">
      <c r="C2056" s="196"/>
      <c r="D2056" s="196"/>
      <c r="G2056" s="50">
        <f>РЕАЛИЗАЦИЯ[[#This Row],[СОНИ]]*РЕАЛИЗАЦИЯ[[#This Row],[НАРХИ]]</f>
        <v>0</v>
      </c>
      <c r="I2056" s="166"/>
      <c r="J2056" s="31">
        <f>РЕАЛИЗАЦИЯ[[#This Row],[СОНИ]]*РЕАЛИЗАЦИЯ[[#This Row],[ТАННАРХ]]</f>
        <v>0</v>
      </c>
      <c r="K2056" s="31">
        <f>РЕАЛИЗАЦИЯ[[#This Row],[ЖАМИ]]-РЕАЛИЗАЦИЯ[[#This Row],[ЖАМИ2]]</f>
        <v>0</v>
      </c>
      <c r="L2056" s="31"/>
    </row>
    <row r="2057" spans="1:12" x14ac:dyDescent="0.3">
      <c r="C2057" s="199"/>
      <c r="D2057" s="199"/>
      <c r="G2057" s="50">
        <f>РЕАЛИЗАЦИЯ[[#This Row],[СОНИ]]*РЕАЛИЗАЦИЯ[[#This Row],[НАРХИ]]</f>
        <v>0</v>
      </c>
      <c r="I2057" s="166"/>
      <c r="J2057" s="31">
        <f>РЕАЛИЗАЦИЯ[[#This Row],[СОНИ]]*РЕАЛИЗАЦИЯ[[#This Row],[ТАННАРХ]]</f>
        <v>0</v>
      </c>
      <c r="K2057" s="31">
        <f>РЕАЛИЗАЦИЯ[[#This Row],[ЖАМИ]]-РЕАЛИЗАЦИЯ[[#This Row],[ЖАМИ2]]</f>
        <v>0</v>
      </c>
      <c r="L2057" s="31"/>
    </row>
    <row r="2058" spans="1:12" x14ac:dyDescent="0.3">
      <c r="C2058" s="196"/>
      <c r="D2058" s="196"/>
      <c r="G2058" s="50">
        <f>РЕАЛИЗАЦИЯ[[#This Row],[СОНИ]]*РЕАЛИЗАЦИЯ[[#This Row],[НАРХИ]]</f>
        <v>0</v>
      </c>
      <c r="I2058" s="166"/>
      <c r="J2058" s="31">
        <f>РЕАЛИЗАЦИЯ[[#This Row],[СОНИ]]*РЕАЛИЗАЦИЯ[[#This Row],[ТАННАРХ]]</f>
        <v>0</v>
      </c>
      <c r="K2058" s="31">
        <f>РЕАЛИЗАЦИЯ[[#This Row],[ЖАМИ]]-РЕАЛИЗАЦИЯ[[#This Row],[ЖАМИ2]]</f>
        <v>0</v>
      </c>
      <c r="L2058" s="31"/>
    </row>
    <row r="2059" spans="1:12" x14ac:dyDescent="0.3">
      <c r="C2059" s="199"/>
      <c r="D2059" s="199"/>
      <c r="G2059" s="50">
        <f>РЕАЛИЗАЦИЯ[[#This Row],[СОНИ]]*РЕАЛИЗАЦИЯ[[#This Row],[НАРХИ]]</f>
        <v>0</v>
      </c>
      <c r="I2059" s="166"/>
      <c r="J2059" s="31">
        <f>РЕАЛИЗАЦИЯ[[#This Row],[СОНИ]]*РЕАЛИЗАЦИЯ[[#This Row],[ТАННАРХ]]</f>
        <v>0</v>
      </c>
      <c r="K2059" s="31">
        <f>РЕАЛИЗАЦИЯ[[#This Row],[ЖАМИ]]-РЕАЛИЗАЦИЯ[[#This Row],[ЖАМИ2]]</f>
        <v>0</v>
      </c>
      <c r="L2059" s="31"/>
    </row>
    <row r="2060" spans="1:12" x14ac:dyDescent="0.3">
      <c r="C2060" s="199"/>
      <c r="D2060" s="199"/>
      <c r="G2060" s="50">
        <f>РЕАЛИЗАЦИЯ[[#This Row],[СОНИ]]*РЕАЛИЗАЦИЯ[[#This Row],[НАРХИ]]</f>
        <v>0</v>
      </c>
      <c r="I2060" s="166"/>
      <c r="J2060" s="31">
        <f>РЕАЛИЗАЦИЯ[[#This Row],[СОНИ]]*РЕАЛИЗАЦИЯ[[#This Row],[ТАННАРХ]]</f>
        <v>0</v>
      </c>
      <c r="K2060" s="31">
        <f>РЕАЛИЗАЦИЯ[[#This Row],[ЖАМИ]]-РЕАЛИЗАЦИЯ[[#This Row],[ЖАМИ2]]</f>
        <v>0</v>
      </c>
      <c r="L2060" s="31"/>
    </row>
    <row r="2061" spans="1:12" x14ac:dyDescent="0.3">
      <c r="C2061" s="199"/>
      <c r="D2061" s="199"/>
      <c r="G2061" s="50">
        <f>РЕАЛИЗАЦИЯ[[#This Row],[СОНИ]]*РЕАЛИЗАЦИЯ[[#This Row],[НАРХИ]]</f>
        <v>0</v>
      </c>
      <c r="I2061" s="166"/>
      <c r="J2061" s="31">
        <f>РЕАЛИЗАЦИЯ[[#This Row],[СОНИ]]*РЕАЛИЗАЦИЯ[[#This Row],[ТАННАРХ]]</f>
        <v>0</v>
      </c>
      <c r="K2061" s="31">
        <f>РЕАЛИЗАЦИЯ[[#This Row],[ЖАМИ]]-РЕАЛИЗАЦИЯ[[#This Row],[ЖАМИ2]]</f>
        <v>0</v>
      </c>
      <c r="L2061" s="31"/>
    </row>
    <row r="2062" spans="1:12" x14ac:dyDescent="0.3">
      <c r="C2062" s="196"/>
      <c r="D2062" s="196"/>
      <c r="G2062" s="50">
        <f>РЕАЛИЗАЦИЯ[[#This Row],[СОНИ]]*РЕАЛИЗАЦИЯ[[#This Row],[НАРХИ]]</f>
        <v>0</v>
      </c>
      <c r="I2062" s="166"/>
      <c r="J2062" s="31">
        <f>РЕАЛИЗАЦИЯ[[#This Row],[СОНИ]]*РЕАЛИЗАЦИЯ[[#This Row],[ТАННАРХ]]</f>
        <v>0</v>
      </c>
      <c r="K2062" s="31">
        <f>РЕАЛИЗАЦИЯ[[#This Row],[ЖАМИ]]-РЕАЛИЗАЦИЯ[[#This Row],[ЖАМИ2]]</f>
        <v>0</v>
      </c>
      <c r="L2062" s="31"/>
    </row>
    <row r="2063" spans="1:12" x14ac:dyDescent="0.3">
      <c r="C2063" s="196"/>
      <c r="D2063" s="196"/>
      <c r="G2063" s="50">
        <f>РЕАЛИЗАЦИЯ[[#This Row],[СОНИ]]*РЕАЛИЗАЦИЯ[[#This Row],[НАРХИ]]</f>
        <v>0</v>
      </c>
      <c r="H2063" s="50"/>
      <c r="I2063" s="166"/>
      <c r="J2063" s="31">
        <f>РЕАЛИЗАЦИЯ[[#This Row],[СОНИ]]*РЕАЛИЗАЦИЯ[[#This Row],[ТАННАРХ]]</f>
        <v>0</v>
      </c>
      <c r="K2063" s="31">
        <f>РЕАЛИЗАЦИЯ[[#This Row],[ЖАМИ]]-РЕАЛИЗАЦИЯ[[#This Row],[ЖАМИ2]]</f>
        <v>0</v>
      </c>
      <c r="L2063" s="31"/>
    </row>
    <row r="2064" spans="1:12" x14ac:dyDescent="0.3">
      <c r="C2064" s="196"/>
      <c r="D2064" s="196"/>
      <c r="G2064" s="50">
        <f>РЕАЛИЗАЦИЯ[[#This Row],[СОНИ]]*РЕАЛИЗАЦИЯ[[#This Row],[НАРХИ]]</f>
        <v>0</v>
      </c>
      <c r="I2064" s="166"/>
      <c r="J2064" s="31">
        <f>РЕАЛИЗАЦИЯ[[#This Row],[СОНИ]]*РЕАЛИЗАЦИЯ[[#This Row],[ТАННАРХ]]</f>
        <v>0</v>
      </c>
      <c r="K2064" s="31">
        <f>РЕАЛИЗАЦИЯ[[#This Row],[ЖАМИ]]-РЕАЛИЗАЦИЯ[[#This Row],[ЖАМИ2]]</f>
        <v>0</v>
      </c>
      <c r="L2064" s="31"/>
    </row>
    <row r="2065" spans="1:12" x14ac:dyDescent="0.3">
      <c r="C2065" s="196"/>
      <c r="D2065" s="196"/>
      <c r="G2065" s="50">
        <f>РЕАЛИЗАЦИЯ[[#This Row],[СОНИ]]*РЕАЛИЗАЦИЯ[[#This Row],[НАРХИ]]</f>
        <v>0</v>
      </c>
      <c r="I2065" s="166"/>
      <c r="J2065" s="31">
        <f>РЕАЛИЗАЦИЯ[[#This Row],[СОНИ]]*РЕАЛИЗАЦИЯ[[#This Row],[ТАННАРХ]]</f>
        <v>0</v>
      </c>
      <c r="K2065" s="31">
        <f>РЕАЛИЗАЦИЯ[[#This Row],[ЖАМИ]]-РЕАЛИЗАЦИЯ[[#This Row],[ЖАМИ2]]</f>
        <v>0</v>
      </c>
      <c r="L2065" s="31"/>
    </row>
    <row r="2066" spans="1:12" x14ac:dyDescent="0.3">
      <c r="C2066" s="196"/>
      <c r="D2066" s="196"/>
      <c r="G2066" s="50">
        <f>РЕАЛИЗАЦИЯ[[#This Row],[СОНИ]]*РЕАЛИЗАЦИЯ[[#This Row],[НАРХИ]]</f>
        <v>0</v>
      </c>
      <c r="I2066" s="166"/>
      <c r="J2066" s="31">
        <f>РЕАЛИЗАЦИЯ[[#This Row],[СОНИ]]*РЕАЛИЗАЦИЯ[[#This Row],[ТАННАРХ]]</f>
        <v>0</v>
      </c>
      <c r="K2066" s="31">
        <f>РЕАЛИЗАЦИЯ[[#This Row],[ЖАМИ]]-РЕАЛИЗАЦИЯ[[#This Row],[ЖАМИ2]]</f>
        <v>0</v>
      </c>
      <c r="L2066" s="31"/>
    </row>
    <row r="2067" spans="1:12" x14ac:dyDescent="0.3">
      <c r="C2067" s="196"/>
      <c r="D2067" s="196"/>
      <c r="G2067" s="50">
        <f>РЕАЛИЗАЦИЯ[[#This Row],[СОНИ]]*РЕАЛИЗАЦИЯ[[#This Row],[НАРХИ]]</f>
        <v>0</v>
      </c>
      <c r="I2067" s="166"/>
      <c r="J2067" s="31">
        <f>РЕАЛИЗАЦИЯ[[#This Row],[СОНИ]]*РЕАЛИЗАЦИЯ[[#This Row],[ТАННАРХ]]</f>
        <v>0</v>
      </c>
      <c r="K2067" s="31">
        <f>РЕАЛИЗАЦИЯ[[#This Row],[ЖАМИ]]-РЕАЛИЗАЦИЯ[[#This Row],[ЖАМИ2]]</f>
        <v>0</v>
      </c>
      <c r="L2067" s="31"/>
    </row>
    <row r="2068" spans="1:12" s="199" customFormat="1" x14ac:dyDescent="0.3">
      <c r="A2068" s="3"/>
      <c r="B2068" s="4"/>
      <c r="C2068" s="196"/>
      <c r="D2068" s="196"/>
      <c r="E2068" s="31"/>
      <c r="F2068" s="31"/>
      <c r="G2068" s="50">
        <f>РЕАЛИЗАЦИЯ[[#This Row],[СОНИ]]*РЕАЛИЗАЦИЯ[[#This Row],[НАРХИ]]</f>
        <v>0</v>
      </c>
      <c r="H2068" s="31"/>
      <c r="I2068" s="166"/>
      <c r="J2068" s="31">
        <f>РЕАЛИЗАЦИЯ[[#This Row],[СОНИ]]*РЕАЛИЗАЦИЯ[[#This Row],[ТАННАРХ]]</f>
        <v>0</v>
      </c>
      <c r="K2068" s="31">
        <f>РЕАЛИЗАЦИЯ[[#This Row],[ЖАМИ]]-РЕАЛИЗАЦИЯ[[#This Row],[ЖАМИ2]]</f>
        <v>0</v>
      </c>
      <c r="L2068" s="31"/>
    </row>
    <row r="2069" spans="1:12" s="199" customFormat="1" x14ac:dyDescent="0.3">
      <c r="A2069" s="3"/>
      <c r="B2069" s="4"/>
      <c r="C2069" s="196"/>
      <c r="D2069" s="196"/>
      <c r="E2069" s="31"/>
      <c r="F2069" s="31"/>
      <c r="G2069" s="50">
        <f>РЕАЛИЗАЦИЯ[[#This Row],[СОНИ]]*РЕАЛИЗАЦИЯ[[#This Row],[НАРХИ]]</f>
        <v>0</v>
      </c>
      <c r="H2069" s="31"/>
      <c r="I2069" s="166"/>
      <c r="J2069" s="31">
        <f>РЕАЛИЗАЦИЯ[[#This Row],[СОНИ]]*РЕАЛИЗАЦИЯ[[#This Row],[ТАННАРХ]]</f>
        <v>0</v>
      </c>
      <c r="K2069" s="31">
        <f>РЕАЛИЗАЦИЯ[[#This Row],[ЖАМИ]]-РЕАЛИЗАЦИЯ[[#This Row],[ЖАМИ2]]</f>
        <v>0</v>
      </c>
      <c r="L2069" s="31"/>
    </row>
    <row r="2070" spans="1:12" x14ac:dyDescent="0.3">
      <c r="C2070" s="196"/>
      <c r="D2070" s="196"/>
      <c r="G2070" s="50">
        <f>РЕАЛИЗАЦИЯ[[#This Row],[СОНИ]]*РЕАЛИЗАЦИЯ[[#This Row],[НАРХИ]]</f>
        <v>0</v>
      </c>
      <c r="I2070" s="166"/>
      <c r="J2070" s="31">
        <f>РЕАЛИЗАЦИЯ[[#This Row],[СОНИ]]*РЕАЛИЗАЦИЯ[[#This Row],[ТАННАРХ]]</f>
        <v>0</v>
      </c>
      <c r="K2070" s="31">
        <f>РЕАЛИЗАЦИЯ[[#This Row],[ЖАМИ]]-РЕАЛИЗАЦИЯ[[#This Row],[ЖАМИ2]]</f>
        <v>0</v>
      </c>
      <c r="L2070" s="31"/>
    </row>
    <row r="2071" spans="1:12" x14ac:dyDescent="0.3">
      <c r="C2071" s="196"/>
      <c r="D2071" s="196"/>
      <c r="G2071" s="50">
        <f>РЕАЛИЗАЦИЯ[[#This Row],[СОНИ]]*РЕАЛИЗАЦИЯ[[#This Row],[НАРХИ]]</f>
        <v>0</v>
      </c>
      <c r="I2071" s="166"/>
      <c r="J2071" s="31">
        <f>РЕАЛИЗАЦИЯ[[#This Row],[СОНИ]]*РЕАЛИЗАЦИЯ[[#This Row],[ТАННАРХ]]</f>
        <v>0</v>
      </c>
      <c r="K2071" s="31">
        <f>РЕАЛИЗАЦИЯ[[#This Row],[ЖАМИ]]-РЕАЛИЗАЦИЯ[[#This Row],[ЖАМИ2]]</f>
        <v>0</v>
      </c>
      <c r="L2071" s="31"/>
    </row>
    <row r="2072" spans="1:12" x14ac:dyDescent="0.3">
      <c r="C2072" s="196"/>
      <c r="D2072" s="196"/>
      <c r="G2072" s="50">
        <f>РЕАЛИЗАЦИЯ[[#This Row],[СОНИ]]*РЕАЛИЗАЦИЯ[[#This Row],[НАРХИ]]</f>
        <v>0</v>
      </c>
      <c r="I2072" s="166"/>
      <c r="J2072" s="31">
        <f>РЕАЛИЗАЦИЯ[[#This Row],[СОНИ]]*РЕАЛИЗАЦИЯ[[#This Row],[ТАННАРХ]]</f>
        <v>0</v>
      </c>
      <c r="K2072" s="31">
        <f>РЕАЛИЗАЦИЯ[[#This Row],[ЖАМИ]]-РЕАЛИЗАЦИЯ[[#This Row],[ЖАМИ2]]</f>
        <v>0</v>
      </c>
      <c r="L2072" s="31"/>
    </row>
    <row r="2073" spans="1:12" x14ac:dyDescent="0.3">
      <c r="C2073" s="196"/>
      <c r="D2073" s="196"/>
      <c r="G2073" s="50">
        <f>РЕАЛИЗАЦИЯ[[#This Row],[СОНИ]]*РЕАЛИЗАЦИЯ[[#This Row],[НАРХИ]]</f>
        <v>0</v>
      </c>
      <c r="I2073" s="166"/>
      <c r="J2073" s="31">
        <f>РЕАЛИЗАЦИЯ[[#This Row],[СОНИ]]*РЕАЛИЗАЦИЯ[[#This Row],[ТАННАРХ]]</f>
        <v>0</v>
      </c>
      <c r="K2073" s="31">
        <f>РЕАЛИЗАЦИЯ[[#This Row],[ЖАМИ]]-РЕАЛИЗАЦИЯ[[#This Row],[ЖАМИ2]]</f>
        <v>0</v>
      </c>
      <c r="L2073" s="31"/>
    </row>
    <row r="2074" spans="1:12" x14ac:dyDescent="0.3">
      <c r="C2074" s="196"/>
      <c r="D2074" s="196"/>
      <c r="G2074" s="50">
        <f>РЕАЛИЗАЦИЯ[[#This Row],[СОНИ]]*РЕАЛИЗАЦИЯ[[#This Row],[НАРХИ]]</f>
        <v>0</v>
      </c>
      <c r="I2074" s="166"/>
      <c r="J2074" s="31">
        <f>РЕАЛИЗАЦИЯ[[#This Row],[СОНИ]]*РЕАЛИЗАЦИЯ[[#This Row],[ТАННАРХ]]</f>
        <v>0</v>
      </c>
      <c r="K2074" s="31">
        <f>РЕАЛИЗАЦИЯ[[#This Row],[ЖАМИ]]-РЕАЛИЗАЦИЯ[[#This Row],[ЖАМИ2]]</f>
        <v>0</v>
      </c>
      <c r="L2074" s="31"/>
    </row>
    <row r="2075" spans="1:12" x14ac:dyDescent="0.3">
      <c r="C2075" s="196"/>
      <c r="D2075" s="196"/>
      <c r="G2075" s="50">
        <f>РЕАЛИЗАЦИЯ[[#This Row],[СОНИ]]*РЕАЛИЗАЦИЯ[[#This Row],[НАРХИ]]</f>
        <v>0</v>
      </c>
      <c r="I2075" s="166"/>
      <c r="J2075" s="31">
        <f>РЕАЛИЗАЦИЯ[[#This Row],[СОНИ]]*РЕАЛИЗАЦИЯ[[#This Row],[ТАННАРХ]]</f>
        <v>0</v>
      </c>
      <c r="K2075" s="31">
        <f>РЕАЛИЗАЦИЯ[[#This Row],[ЖАМИ]]-РЕАЛИЗАЦИЯ[[#This Row],[ЖАМИ2]]</f>
        <v>0</v>
      </c>
      <c r="L2075" s="31"/>
    </row>
    <row r="2076" spans="1:12" x14ac:dyDescent="0.3">
      <c r="C2076" s="196"/>
      <c r="D2076" s="196"/>
      <c r="G2076" s="50">
        <f>РЕАЛИЗАЦИЯ[[#This Row],[СОНИ]]*РЕАЛИЗАЦИЯ[[#This Row],[НАРХИ]]</f>
        <v>0</v>
      </c>
      <c r="I2076" s="166"/>
      <c r="J2076" s="31">
        <f>РЕАЛИЗАЦИЯ[[#This Row],[СОНИ]]*РЕАЛИЗАЦИЯ[[#This Row],[ТАННАРХ]]</f>
        <v>0</v>
      </c>
      <c r="K2076" s="31">
        <f>РЕАЛИЗАЦИЯ[[#This Row],[ЖАМИ]]-РЕАЛИЗАЦИЯ[[#This Row],[ЖАМИ2]]</f>
        <v>0</v>
      </c>
      <c r="L2076" s="31"/>
    </row>
    <row r="2077" spans="1:12" x14ac:dyDescent="0.3">
      <c r="C2077" s="196"/>
      <c r="D2077" s="196"/>
      <c r="G2077" s="50">
        <f>РЕАЛИЗАЦИЯ[[#This Row],[СОНИ]]*РЕАЛИЗАЦИЯ[[#This Row],[НАРХИ]]</f>
        <v>0</v>
      </c>
      <c r="I2077" s="166"/>
      <c r="J2077" s="31">
        <f>РЕАЛИЗАЦИЯ[[#This Row],[СОНИ]]*РЕАЛИЗАЦИЯ[[#This Row],[ТАННАРХ]]</f>
        <v>0</v>
      </c>
      <c r="K2077" s="31">
        <f>РЕАЛИЗАЦИЯ[[#This Row],[ЖАМИ]]-РЕАЛИЗАЦИЯ[[#This Row],[ЖАМИ2]]</f>
        <v>0</v>
      </c>
      <c r="L2077" s="31"/>
    </row>
    <row r="2078" spans="1:12" x14ac:dyDescent="0.3">
      <c r="C2078" s="196"/>
      <c r="D2078" s="196"/>
      <c r="G2078" s="50">
        <f>РЕАЛИЗАЦИЯ[[#This Row],[СОНИ]]*РЕАЛИЗАЦИЯ[[#This Row],[НАРХИ]]</f>
        <v>0</v>
      </c>
      <c r="I2078" s="166"/>
      <c r="J2078" s="31">
        <f>РЕАЛИЗАЦИЯ[[#This Row],[СОНИ]]*РЕАЛИЗАЦИЯ[[#This Row],[ТАННАРХ]]</f>
        <v>0</v>
      </c>
      <c r="K2078" s="31">
        <f>РЕАЛИЗАЦИЯ[[#This Row],[ЖАМИ]]-РЕАЛИЗАЦИЯ[[#This Row],[ЖАМИ2]]</f>
        <v>0</v>
      </c>
      <c r="L2078" s="31"/>
    </row>
    <row r="2079" spans="1:12" x14ac:dyDescent="0.3">
      <c r="C2079" s="196"/>
      <c r="D2079" s="196"/>
      <c r="G2079" s="50">
        <f>РЕАЛИЗАЦИЯ[[#This Row],[СОНИ]]*РЕАЛИЗАЦИЯ[[#This Row],[НАРХИ]]</f>
        <v>0</v>
      </c>
      <c r="I2079" s="166"/>
      <c r="J2079" s="31">
        <f>РЕАЛИЗАЦИЯ[[#This Row],[СОНИ]]*РЕАЛИЗАЦИЯ[[#This Row],[ТАННАРХ]]</f>
        <v>0</v>
      </c>
      <c r="K2079" s="31">
        <f>РЕАЛИЗАЦИЯ[[#This Row],[ЖАМИ]]-РЕАЛИЗАЦИЯ[[#This Row],[ЖАМИ2]]</f>
        <v>0</v>
      </c>
      <c r="L2079" s="31"/>
    </row>
    <row r="2080" spans="1:12" x14ac:dyDescent="0.3">
      <c r="C2080" s="196"/>
      <c r="D2080" s="196"/>
      <c r="G2080" s="50">
        <f>РЕАЛИЗАЦИЯ[[#This Row],[СОНИ]]*РЕАЛИЗАЦИЯ[[#This Row],[НАРХИ]]</f>
        <v>0</v>
      </c>
      <c r="I2080" s="166"/>
      <c r="J2080" s="31">
        <f>РЕАЛИЗАЦИЯ[[#This Row],[СОНИ]]*РЕАЛИЗАЦИЯ[[#This Row],[ТАННАРХ]]</f>
        <v>0</v>
      </c>
      <c r="K2080" s="31">
        <f>РЕАЛИЗАЦИЯ[[#This Row],[ЖАМИ]]-РЕАЛИЗАЦИЯ[[#This Row],[ЖАМИ2]]</f>
        <v>0</v>
      </c>
      <c r="L2080" s="31"/>
    </row>
    <row r="2081" spans="3:12" x14ac:dyDescent="0.3">
      <c r="C2081" s="196"/>
      <c r="D2081" s="196"/>
      <c r="G2081" s="50">
        <f>РЕАЛИЗАЦИЯ[[#This Row],[СОНИ]]*РЕАЛИЗАЦИЯ[[#This Row],[НАРХИ]]</f>
        <v>0</v>
      </c>
      <c r="I2081" s="166"/>
      <c r="J2081" s="31">
        <f>РЕАЛИЗАЦИЯ[[#This Row],[СОНИ]]*РЕАЛИЗАЦИЯ[[#This Row],[ТАННАРХ]]</f>
        <v>0</v>
      </c>
      <c r="K2081" s="31">
        <f>РЕАЛИЗАЦИЯ[[#This Row],[ЖАМИ]]-РЕАЛИЗАЦИЯ[[#This Row],[ЖАМИ2]]</f>
        <v>0</v>
      </c>
      <c r="L2081" s="31"/>
    </row>
    <row r="2082" spans="3:12" x14ac:dyDescent="0.3">
      <c r="C2082" s="196"/>
      <c r="D2082" s="196"/>
      <c r="G2082" s="50">
        <f>РЕАЛИЗАЦИЯ[[#This Row],[СОНИ]]*РЕАЛИЗАЦИЯ[[#This Row],[НАРХИ]]</f>
        <v>0</v>
      </c>
      <c r="I2082" s="166"/>
      <c r="J2082" s="31">
        <f>РЕАЛИЗАЦИЯ[[#This Row],[СОНИ]]*РЕАЛИЗАЦИЯ[[#This Row],[ТАННАРХ]]</f>
        <v>0</v>
      </c>
      <c r="K2082" s="31">
        <f>РЕАЛИЗАЦИЯ[[#This Row],[ЖАМИ]]-РЕАЛИЗАЦИЯ[[#This Row],[ЖАМИ2]]</f>
        <v>0</v>
      </c>
      <c r="L2082" s="31"/>
    </row>
    <row r="2083" spans="3:12" x14ac:dyDescent="0.3">
      <c r="C2083" s="196"/>
      <c r="D2083" s="196"/>
      <c r="G2083" s="50">
        <f>РЕАЛИЗАЦИЯ[[#This Row],[СОНИ]]*РЕАЛИЗАЦИЯ[[#This Row],[НАРХИ]]</f>
        <v>0</v>
      </c>
      <c r="I2083" s="166"/>
      <c r="J2083" s="31">
        <f>РЕАЛИЗАЦИЯ[[#This Row],[СОНИ]]*РЕАЛИЗАЦИЯ[[#This Row],[ТАННАРХ]]</f>
        <v>0</v>
      </c>
      <c r="K2083" s="31">
        <f>РЕАЛИЗАЦИЯ[[#This Row],[ЖАМИ]]-РЕАЛИЗАЦИЯ[[#This Row],[ЖАМИ2]]</f>
        <v>0</v>
      </c>
      <c r="L2083" s="31"/>
    </row>
    <row r="2084" spans="3:12" x14ac:dyDescent="0.3">
      <c r="C2084" s="196"/>
      <c r="D2084" s="196"/>
      <c r="G2084" s="50">
        <f>РЕАЛИЗАЦИЯ[[#This Row],[СОНИ]]*РЕАЛИЗАЦИЯ[[#This Row],[НАРХИ]]</f>
        <v>0</v>
      </c>
      <c r="I2084" s="166"/>
      <c r="J2084" s="31">
        <f>РЕАЛИЗАЦИЯ[[#This Row],[СОНИ]]*РЕАЛИЗАЦИЯ[[#This Row],[ТАННАРХ]]</f>
        <v>0</v>
      </c>
      <c r="K2084" s="31">
        <f>РЕАЛИЗАЦИЯ[[#This Row],[ЖАМИ]]-РЕАЛИЗАЦИЯ[[#This Row],[ЖАМИ2]]</f>
        <v>0</v>
      </c>
      <c r="L2084" s="31"/>
    </row>
    <row r="2085" spans="3:12" x14ac:dyDescent="0.3">
      <c r="C2085" s="196"/>
      <c r="D2085" s="196"/>
      <c r="G2085" s="50">
        <f>РЕАЛИЗАЦИЯ[[#This Row],[СОНИ]]*РЕАЛИЗАЦИЯ[[#This Row],[НАРХИ]]</f>
        <v>0</v>
      </c>
      <c r="I2085" s="166"/>
      <c r="J2085" s="31">
        <f>РЕАЛИЗАЦИЯ[[#This Row],[СОНИ]]*РЕАЛИЗАЦИЯ[[#This Row],[ТАННАРХ]]</f>
        <v>0</v>
      </c>
      <c r="K2085" s="31">
        <f>РЕАЛИЗАЦИЯ[[#This Row],[ЖАМИ]]-РЕАЛИЗАЦИЯ[[#This Row],[ЖАМИ2]]</f>
        <v>0</v>
      </c>
      <c r="L2085" s="31"/>
    </row>
    <row r="2086" spans="3:12" x14ac:dyDescent="0.3">
      <c r="C2086" s="196"/>
      <c r="D2086" s="196"/>
      <c r="G2086" s="50">
        <f>РЕАЛИЗАЦИЯ[[#This Row],[СОНИ]]*РЕАЛИЗАЦИЯ[[#This Row],[НАРХИ]]</f>
        <v>0</v>
      </c>
      <c r="I2086" s="166"/>
      <c r="J2086" s="31">
        <f>РЕАЛИЗАЦИЯ[[#This Row],[СОНИ]]*РЕАЛИЗАЦИЯ[[#This Row],[ТАННАРХ]]</f>
        <v>0</v>
      </c>
      <c r="K2086" s="31">
        <f>РЕАЛИЗАЦИЯ[[#This Row],[ЖАМИ]]-РЕАЛИЗАЦИЯ[[#This Row],[ЖАМИ2]]</f>
        <v>0</v>
      </c>
      <c r="L2086" s="31"/>
    </row>
    <row r="2087" spans="3:12" x14ac:dyDescent="0.3">
      <c r="C2087" s="196"/>
      <c r="D2087" s="196"/>
      <c r="G2087" s="50">
        <f>РЕАЛИЗАЦИЯ[[#This Row],[СОНИ]]*РЕАЛИЗАЦИЯ[[#This Row],[НАРХИ]]</f>
        <v>0</v>
      </c>
      <c r="I2087" s="166"/>
      <c r="J2087" s="31">
        <f>РЕАЛИЗАЦИЯ[[#This Row],[СОНИ]]*РЕАЛИЗАЦИЯ[[#This Row],[ТАННАРХ]]</f>
        <v>0</v>
      </c>
      <c r="K2087" s="31">
        <f>РЕАЛИЗАЦИЯ[[#This Row],[ЖАМИ]]-РЕАЛИЗАЦИЯ[[#This Row],[ЖАМИ2]]</f>
        <v>0</v>
      </c>
      <c r="L2087" s="31"/>
    </row>
    <row r="2088" spans="3:12" x14ac:dyDescent="0.3">
      <c r="C2088" s="196"/>
      <c r="D2088" s="196"/>
      <c r="G2088" s="50">
        <f>РЕАЛИЗАЦИЯ[[#This Row],[СОНИ]]*РЕАЛИЗАЦИЯ[[#This Row],[НАРХИ]]</f>
        <v>0</v>
      </c>
      <c r="I2088" s="166"/>
      <c r="J2088" s="31">
        <f>РЕАЛИЗАЦИЯ[[#This Row],[СОНИ]]*РЕАЛИЗАЦИЯ[[#This Row],[ТАННАРХ]]</f>
        <v>0</v>
      </c>
      <c r="K2088" s="31">
        <f>РЕАЛИЗАЦИЯ[[#This Row],[ЖАМИ]]-РЕАЛИЗАЦИЯ[[#This Row],[ЖАМИ2]]</f>
        <v>0</v>
      </c>
      <c r="L2088" s="31"/>
    </row>
    <row r="2089" spans="3:12" x14ac:dyDescent="0.3">
      <c r="C2089" s="196"/>
      <c r="D2089" s="196"/>
      <c r="G2089" s="50">
        <f>РЕАЛИЗАЦИЯ[[#This Row],[СОНИ]]*РЕАЛИЗАЦИЯ[[#This Row],[НАРХИ]]</f>
        <v>0</v>
      </c>
      <c r="I2089" s="166"/>
      <c r="J2089" s="31">
        <f>РЕАЛИЗАЦИЯ[[#This Row],[СОНИ]]*РЕАЛИЗАЦИЯ[[#This Row],[ТАННАРХ]]</f>
        <v>0</v>
      </c>
      <c r="K2089" s="31">
        <f>РЕАЛИЗАЦИЯ[[#This Row],[ЖАМИ]]-РЕАЛИЗАЦИЯ[[#This Row],[ЖАМИ2]]</f>
        <v>0</v>
      </c>
      <c r="L2089" s="31"/>
    </row>
    <row r="2090" spans="3:12" x14ac:dyDescent="0.3">
      <c r="C2090" s="196"/>
      <c r="D2090" s="196"/>
      <c r="G2090" s="50">
        <f>РЕАЛИЗАЦИЯ[[#This Row],[СОНИ]]*РЕАЛИЗАЦИЯ[[#This Row],[НАРХИ]]</f>
        <v>0</v>
      </c>
      <c r="I2090" s="166"/>
      <c r="J2090" s="31">
        <f>РЕАЛИЗАЦИЯ[[#This Row],[СОНИ]]*РЕАЛИЗАЦИЯ[[#This Row],[ТАННАРХ]]</f>
        <v>0</v>
      </c>
      <c r="K2090" s="31">
        <f>РЕАЛИЗАЦИЯ[[#This Row],[ЖАМИ]]-РЕАЛИЗАЦИЯ[[#This Row],[ЖАМИ2]]</f>
        <v>0</v>
      </c>
      <c r="L2090" s="31"/>
    </row>
    <row r="2091" spans="3:12" x14ac:dyDescent="0.3">
      <c r="C2091" s="203"/>
      <c r="D2091" s="203"/>
      <c r="G2091" s="50">
        <f>РЕАЛИЗАЦИЯ[[#This Row],[СОНИ]]*РЕАЛИЗАЦИЯ[[#This Row],[НАРХИ]]</f>
        <v>0</v>
      </c>
      <c r="I2091" s="166"/>
      <c r="J2091" s="31">
        <f>РЕАЛИЗАЦИЯ[[#This Row],[СОНИ]]*РЕАЛИЗАЦИЯ[[#This Row],[ТАННАРХ]]</f>
        <v>0</v>
      </c>
      <c r="K2091" s="31">
        <f>РЕАЛИЗАЦИЯ[[#This Row],[ЖАМИ]]-РЕАЛИЗАЦИЯ[[#This Row],[ЖАМИ2]]</f>
        <v>0</v>
      </c>
      <c r="L2091" s="31"/>
    </row>
    <row r="2092" spans="3:12" x14ac:dyDescent="0.3">
      <c r="C2092" s="196"/>
      <c r="D2092" s="196"/>
      <c r="G2092" s="50">
        <f>РЕАЛИЗАЦИЯ[[#This Row],[СОНИ]]*РЕАЛИЗАЦИЯ[[#This Row],[НАРХИ]]</f>
        <v>0</v>
      </c>
      <c r="I2092" s="166"/>
      <c r="J2092" s="31">
        <f>РЕАЛИЗАЦИЯ[[#This Row],[СОНИ]]*РЕАЛИЗАЦИЯ[[#This Row],[ТАННАРХ]]</f>
        <v>0</v>
      </c>
      <c r="K2092" s="31">
        <f>РЕАЛИЗАЦИЯ[[#This Row],[ЖАМИ]]-РЕАЛИЗАЦИЯ[[#This Row],[ЖАМИ2]]</f>
        <v>0</v>
      </c>
      <c r="L2092" s="31"/>
    </row>
    <row r="2093" spans="3:12" x14ac:dyDescent="0.3">
      <c r="C2093" s="196"/>
      <c r="D2093" s="196"/>
      <c r="G2093" s="50">
        <f>РЕАЛИЗАЦИЯ[[#This Row],[СОНИ]]*РЕАЛИЗАЦИЯ[[#This Row],[НАРХИ]]</f>
        <v>0</v>
      </c>
      <c r="I2093" s="166"/>
      <c r="J2093" s="31">
        <f>РЕАЛИЗАЦИЯ[[#This Row],[СОНИ]]*РЕАЛИЗАЦИЯ[[#This Row],[ТАННАРХ]]</f>
        <v>0</v>
      </c>
      <c r="K2093" s="31">
        <f>РЕАЛИЗАЦИЯ[[#This Row],[ЖАМИ]]-РЕАЛИЗАЦИЯ[[#This Row],[ЖАМИ2]]</f>
        <v>0</v>
      </c>
      <c r="L2093" s="31"/>
    </row>
    <row r="2094" spans="3:12" x14ac:dyDescent="0.3">
      <c r="C2094" s="196"/>
      <c r="D2094" s="196"/>
      <c r="G2094" s="50">
        <f>РЕАЛИЗАЦИЯ[[#This Row],[СОНИ]]*РЕАЛИЗАЦИЯ[[#This Row],[НАРХИ]]</f>
        <v>0</v>
      </c>
      <c r="I2094" s="166"/>
      <c r="J2094" s="31">
        <f>РЕАЛИЗАЦИЯ[[#This Row],[СОНИ]]*РЕАЛИЗАЦИЯ[[#This Row],[ТАННАРХ]]</f>
        <v>0</v>
      </c>
      <c r="K2094" s="31">
        <f>РЕАЛИЗАЦИЯ[[#This Row],[ЖАМИ]]-РЕАЛИЗАЦИЯ[[#This Row],[ЖАМИ2]]</f>
        <v>0</v>
      </c>
      <c r="L2094" s="31"/>
    </row>
    <row r="2095" spans="3:12" x14ac:dyDescent="0.3">
      <c r="C2095" s="196"/>
      <c r="D2095" s="196"/>
      <c r="G2095" s="50">
        <f>РЕАЛИЗАЦИЯ[[#This Row],[СОНИ]]*РЕАЛИЗАЦИЯ[[#This Row],[НАРХИ]]</f>
        <v>0</v>
      </c>
      <c r="I2095" s="166"/>
      <c r="J2095" s="31">
        <f>РЕАЛИЗАЦИЯ[[#This Row],[СОНИ]]*РЕАЛИЗАЦИЯ[[#This Row],[ТАННАРХ]]</f>
        <v>0</v>
      </c>
      <c r="K2095" s="31">
        <f>РЕАЛИЗАЦИЯ[[#This Row],[ЖАМИ]]-РЕАЛИЗАЦИЯ[[#This Row],[ЖАМИ2]]</f>
        <v>0</v>
      </c>
      <c r="L2095" s="31"/>
    </row>
    <row r="2096" spans="3:12" x14ac:dyDescent="0.3">
      <c r="C2096" s="196"/>
      <c r="D2096" s="196"/>
      <c r="G2096" s="50">
        <f>РЕАЛИЗАЦИЯ[[#This Row],[СОНИ]]*РЕАЛИЗАЦИЯ[[#This Row],[НАРХИ]]</f>
        <v>0</v>
      </c>
      <c r="I2096" s="166"/>
      <c r="J2096" s="31">
        <f>РЕАЛИЗАЦИЯ[[#This Row],[СОНИ]]*РЕАЛИЗАЦИЯ[[#This Row],[ТАННАРХ]]</f>
        <v>0</v>
      </c>
      <c r="K2096" s="31">
        <f>РЕАЛИЗАЦИЯ[[#This Row],[ЖАМИ]]-РЕАЛИЗАЦИЯ[[#This Row],[ЖАМИ2]]</f>
        <v>0</v>
      </c>
      <c r="L2096" s="31"/>
    </row>
    <row r="2097" spans="3:12" x14ac:dyDescent="0.3">
      <c r="C2097" s="196"/>
      <c r="D2097" s="196"/>
      <c r="G2097" s="50">
        <f>РЕАЛИЗАЦИЯ[[#This Row],[СОНИ]]*РЕАЛИЗАЦИЯ[[#This Row],[НАРХИ]]</f>
        <v>0</v>
      </c>
      <c r="I2097" s="166"/>
      <c r="J2097" s="31">
        <f>РЕАЛИЗАЦИЯ[[#This Row],[СОНИ]]*РЕАЛИЗАЦИЯ[[#This Row],[ТАННАРХ]]</f>
        <v>0</v>
      </c>
      <c r="K2097" s="31">
        <f>РЕАЛИЗАЦИЯ[[#This Row],[ЖАМИ]]-РЕАЛИЗАЦИЯ[[#This Row],[ЖАМИ2]]</f>
        <v>0</v>
      </c>
      <c r="L2097" s="31"/>
    </row>
    <row r="2098" spans="3:12" x14ac:dyDescent="0.3">
      <c r="C2098" s="196"/>
      <c r="D2098" s="196"/>
      <c r="G2098" s="50">
        <f>РЕАЛИЗАЦИЯ[[#This Row],[СОНИ]]*РЕАЛИЗАЦИЯ[[#This Row],[НАРХИ]]</f>
        <v>0</v>
      </c>
      <c r="I2098" s="166"/>
      <c r="J2098" s="31">
        <f>РЕАЛИЗАЦИЯ[[#This Row],[СОНИ]]*РЕАЛИЗАЦИЯ[[#This Row],[ТАННАРХ]]</f>
        <v>0</v>
      </c>
      <c r="K2098" s="31">
        <f>РЕАЛИЗАЦИЯ[[#This Row],[ЖАМИ]]-РЕАЛИЗАЦИЯ[[#This Row],[ЖАМИ2]]</f>
        <v>0</v>
      </c>
      <c r="L2098" s="31"/>
    </row>
    <row r="2099" spans="3:12" x14ac:dyDescent="0.3">
      <c r="C2099" s="196"/>
      <c r="D2099" s="196"/>
      <c r="G2099" s="50">
        <f>РЕАЛИЗАЦИЯ[[#This Row],[СОНИ]]*РЕАЛИЗАЦИЯ[[#This Row],[НАРХИ]]</f>
        <v>0</v>
      </c>
      <c r="I2099" s="166"/>
      <c r="J2099" s="31">
        <f>РЕАЛИЗАЦИЯ[[#This Row],[СОНИ]]*РЕАЛИЗАЦИЯ[[#This Row],[ТАННАРХ]]</f>
        <v>0</v>
      </c>
      <c r="K2099" s="31">
        <f>РЕАЛИЗАЦИЯ[[#This Row],[ЖАМИ]]-РЕАЛИЗАЦИЯ[[#This Row],[ЖАМИ2]]</f>
        <v>0</v>
      </c>
      <c r="L2099" s="31"/>
    </row>
    <row r="2100" spans="3:12" x14ac:dyDescent="0.3">
      <c r="C2100" s="196"/>
      <c r="D2100" s="196"/>
      <c r="G2100" s="50">
        <f>РЕАЛИЗАЦИЯ[[#This Row],[СОНИ]]*РЕАЛИЗАЦИЯ[[#This Row],[НАРХИ]]</f>
        <v>0</v>
      </c>
      <c r="I2100" s="166"/>
      <c r="J2100" s="31">
        <f>РЕАЛИЗАЦИЯ[[#This Row],[СОНИ]]*РЕАЛИЗАЦИЯ[[#This Row],[ТАННАРХ]]</f>
        <v>0</v>
      </c>
      <c r="K2100" s="31">
        <f>РЕАЛИЗАЦИЯ[[#This Row],[ЖАМИ]]-РЕАЛИЗАЦИЯ[[#This Row],[ЖАМИ2]]</f>
        <v>0</v>
      </c>
      <c r="L2100" s="31"/>
    </row>
    <row r="2101" spans="3:12" x14ac:dyDescent="0.3">
      <c r="C2101" s="196"/>
      <c r="D2101" s="196"/>
      <c r="G2101" s="50">
        <f>РЕАЛИЗАЦИЯ[[#This Row],[СОНИ]]*РЕАЛИЗАЦИЯ[[#This Row],[НАРХИ]]</f>
        <v>0</v>
      </c>
      <c r="I2101" s="166"/>
      <c r="J2101" s="31">
        <f>РЕАЛИЗАЦИЯ[[#This Row],[СОНИ]]*РЕАЛИЗАЦИЯ[[#This Row],[ТАННАРХ]]</f>
        <v>0</v>
      </c>
      <c r="K2101" s="31">
        <f>РЕАЛИЗАЦИЯ[[#This Row],[ЖАМИ]]-РЕАЛИЗАЦИЯ[[#This Row],[ЖАМИ2]]</f>
        <v>0</v>
      </c>
      <c r="L2101" s="31"/>
    </row>
    <row r="2102" spans="3:12" x14ac:dyDescent="0.3">
      <c r="C2102" s="196"/>
      <c r="D2102" s="196"/>
      <c r="G2102" s="50">
        <f>РЕАЛИЗАЦИЯ[[#This Row],[СОНИ]]*РЕАЛИЗАЦИЯ[[#This Row],[НАРХИ]]</f>
        <v>0</v>
      </c>
      <c r="I2102" s="166"/>
      <c r="J2102" s="31">
        <f>РЕАЛИЗАЦИЯ[[#This Row],[СОНИ]]*РЕАЛИЗАЦИЯ[[#This Row],[ТАННАРХ]]</f>
        <v>0</v>
      </c>
      <c r="K2102" s="31">
        <f>РЕАЛИЗАЦИЯ[[#This Row],[ЖАМИ]]-РЕАЛИЗАЦИЯ[[#This Row],[ЖАМИ2]]</f>
        <v>0</v>
      </c>
      <c r="L2102" s="31"/>
    </row>
    <row r="2103" spans="3:12" x14ac:dyDescent="0.3">
      <c r="C2103" s="196"/>
      <c r="D2103" s="196"/>
      <c r="G2103" s="50">
        <f>РЕАЛИЗАЦИЯ[[#This Row],[СОНИ]]*РЕАЛИЗАЦИЯ[[#This Row],[НАРХИ]]</f>
        <v>0</v>
      </c>
      <c r="I2103" s="166"/>
      <c r="J2103" s="31">
        <f>РЕАЛИЗАЦИЯ[[#This Row],[СОНИ]]*РЕАЛИЗАЦИЯ[[#This Row],[ТАННАРХ]]</f>
        <v>0</v>
      </c>
      <c r="K2103" s="31">
        <f>РЕАЛИЗАЦИЯ[[#This Row],[ЖАМИ]]-РЕАЛИЗАЦИЯ[[#This Row],[ЖАМИ2]]</f>
        <v>0</v>
      </c>
      <c r="L2103" s="31"/>
    </row>
    <row r="2104" spans="3:12" x14ac:dyDescent="0.3">
      <c r="C2104" s="196"/>
      <c r="D2104" s="196"/>
      <c r="G2104" s="50">
        <f>РЕАЛИЗАЦИЯ[[#This Row],[СОНИ]]*РЕАЛИЗАЦИЯ[[#This Row],[НАРХИ]]</f>
        <v>0</v>
      </c>
      <c r="I2104" s="166"/>
      <c r="J2104" s="31">
        <f>РЕАЛИЗАЦИЯ[[#This Row],[СОНИ]]*РЕАЛИЗАЦИЯ[[#This Row],[ТАННАРХ]]</f>
        <v>0</v>
      </c>
      <c r="K2104" s="31">
        <f>РЕАЛИЗАЦИЯ[[#This Row],[ЖАМИ]]-РЕАЛИЗАЦИЯ[[#This Row],[ЖАМИ2]]</f>
        <v>0</v>
      </c>
      <c r="L2104" s="31"/>
    </row>
    <row r="2105" spans="3:12" x14ac:dyDescent="0.3">
      <c r="C2105" s="196"/>
      <c r="D2105" s="196"/>
      <c r="G2105" s="50">
        <f>РЕАЛИЗАЦИЯ[[#This Row],[СОНИ]]*РЕАЛИЗАЦИЯ[[#This Row],[НАРХИ]]</f>
        <v>0</v>
      </c>
      <c r="I2105" s="166"/>
      <c r="J2105" s="31">
        <f>РЕАЛИЗАЦИЯ[[#This Row],[СОНИ]]*РЕАЛИЗАЦИЯ[[#This Row],[ТАННАРХ]]</f>
        <v>0</v>
      </c>
      <c r="K2105" s="31">
        <f>РЕАЛИЗАЦИЯ[[#This Row],[ЖАМИ]]-РЕАЛИЗАЦИЯ[[#This Row],[ЖАМИ2]]</f>
        <v>0</v>
      </c>
      <c r="L2105" s="31"/>
    </row>
    <row r="2106" spans="3:12" x14ac:dyDescent="0.3">
      <c r="C2106" s="196"/>
      <c r="D2106" s="196"/>
      <c r="G2106" s="50">
        <f>РЕАЛИЗАЦИЯ[[#This Row],[СОНИ]]*РЕАЛИЗАЦИЯ[[#This Row],[НАРХИ]]</f>
        <v>0</v>
      </c>
      <c r="I2106" s="166"/>
      <c r="J2106" s="31">
        <f>РЕАЛИЗАЦИЯ[[#This Row],[СОНИ]]*РЕАЛИЗАЦИЯ[[#This Row],[ТАННАРХ]]</f>
        <v>0</v>
      </c>
      <c r="K2106" s="31">
        <f>РЕАЛИЗАЦИЯ[[#This Row],[ЖАМИ]]-РЕАЛИЗАЦИЯ[[#This Row],[ЖАМИ2]]</f>
        <v>0</v>
      </c>
      <c r="L2106" s="31"/>
    </row>
    <row r="2107" spans="3:12" x14ac:dyDescent="0.3">
      <c r="C2107" s="196"/>
      <c r="D2107" s="196"/>
      <c r="G2107" s="50">
        <f>РЕАЛИЗАЦИЯ[[#This Row],[СОНИ]]*РЕАЛИЗАЦИЯ[[#This Row],[НАРХИ]]</f>
        <v>0</v>
      </c>
      <c r="I2107" s="166"/>
      <c r="J2107" s="31">
        <f>РЕАЛИЗАЦИЯ[[#This Row],[СОНИ]]*РЕАЛИЗАЦИЯ[[#This Row],[ТАННАРХ]]</f>
        <v>0</v>
      </c>
      <c r="K2107" s="31">
        <f>РЕАЛИЗАЦИЯ[[#This Row],[ЖАМИ]]-РЕАЛИЗАЦИЯ[[#This Row],[ЖАМИ2]]</f>
        <v>0</v>
      </c>
      <c r="L2107" s="31"/>
    </row>
    <row r="2108" spans="3:12" x14ac:dyDescent="0.3">
      <c r="C2108" s="196"/>
      <c r="D2108" s="196"/>
      <c r="G2108" s="50">
        <f>РЕАЛИЗАЦИЯ[[#This Row],[СОНИ]]*РЕАЛИЗАЦИЯ[[#This Row],[НАРХИ]]</f>
        <v>0</v>
      </c>
      <c r="I2108" s="166"/>
      <c r="J2108" s="31">
        <f>РЕАЛИЗАЦИЯ[[#This Row],[СОНИ]]*РЕАЛИЗАЦИЯ[[#This Row],[ТАННАРХ]]</f>
        <v>0</v>
      </c>
      <c r="K2108" s="31">
        <f>РЕАЛИЗАЦИЯ[[#This Row],[ЖАМИ]]-РЕАЛИЗАЦИЯ[[#This Row],[ЖАМИ2]]</f>
        <v>0</v>
      </c>
      <c r="L2108" s="31"/>
    </row>
    <row r="2109" spans="3:12" x14ac:dyDescent="0.3">
      <c r="C2109" s="196"/>
      <c r="D2109" s="196"/>
      <c r="G2109" s="50">
        <f>РЕАЛИЗАЦИЯ[[#This Row],[СОНИ]]*РЕАЛИЗАЦИЯ[[#This Row],[НАРХИ]]</f>
        <v>0</v>
      </c>
      <c r="I2109" s="166"/>
      <c r="J2109" s="31">
        <f>РЕАЛИЗАЦИЯ[[#This Row],[СОНИ]]*РЕАЛИЗАЦИЯ[[#This Row],[ТАННАРХ]]</f>
        <v>0</v>
      </c>
      <c r="K2109" s="31">
        <f>РЕАЛИЗАЦИЯ[[#This Row],[ЖАМИ]]-РЕАЛИЗАЦИЯ[[#This Row],[ЖАМИ2]]</f>
        <v>0</v>
      </c>
      <c r="L2109" s="31"/>
    </row>
    <row r="2110" spans="3:12" x14ac:dyDescent="0.3">
      <c r="C2110" s="196"/>
      <c r="D2110" s="196"/>
      <c r="G2110" s="50">
        <f>РЕАЛИЗАЦИЯ[[#This Row],[СОНИ]]*РЕАЛИЗАЦИЯ[[#This Row],[НАРХИ]]</f>
        <v>0</v>
      </c>
      <c r="I2110" s="166"/>
      <c r="J2110" s="31">
        <f>РЕАЛИЗАЦИЯ[[#This Row],[СОНИ]]*РЕАЛИЗАЦИЯ[[#This Row],[ТАННАРХ]]</f>
        <v>0</v>
      </c>
      <c r="K2110" s="31">
        <f>РЕАЛИЗАЦИЯ[[#This Row],[ЖАМИ]]-РЕАЛИЗАЦИЯ[[#This Row],[ЖАМИ2]]</f>
        <v>0</v>
      </c>
      <c r="L2110" s="31"/>
    </row>
    <row r="2111" spans="3:12" x14ac:dyDescent="0.3">
      <c r="C2111" s="196"/>
      <c r="D2111" s="196"/>
      <c r="G2111" s="50">
        <f>РЕАЛИЗАЦИЯ[[#This Row],[СОНИ]]*РЕАЛИЗАЦИЯ[[#This Row],[НАРХИ]]</f>
        <v>0</v>
      </c>
      <c r="I2111" s="166"/>
      <c r="J2111" s="31">
        <f>РЕАЛИЗАЦИЯ[[#This Row],[СОНИ]]*РЕАЛИЗАЦИЯ[[#This Row],[ТАННАРХ]]</f>
        <v>0</v>
      </c>
      <c r="K2111" s="31">
        <f>РЕАЛИЗАЦИЯ[[#This Row],[ЖАМИ]]-РЕАЛИЗАЦИЯ[[#This Row],[ЖАМИ2]]</f>
        <v>0</v>
      </c>
      <c r="L2111" s="31"/>
    </row>
    <row r="2112" spans="3:12" x14ac:dyDescent="0.3">
      <c r="C2112" s="196"/>
      <c r="D2112" s="196"/>
      <c r="G2112" s="50">
        <f>РЕАЛИЗАЦИЯ[[#This Row],[СОНИ]]*РЕАЛИЗАЦИЯ[[#This Row],[НАРХИ]]</f>
        <v>0</v>
      </c>
      <c r="I2112" s="166"/>
      <c r="J2112" s="31">
        <f>РЕАЛИЗАЦИЯ[[#This Row],[СОНИ]]*РЕАЛИЗАЦИЯ[[#This Row],[ТАННАРХ]]</f>
        <v>0</v>
      </c>
      <c r="K2112" s="31">
        <f>РЕАЛИЗАЦИЯ[[#This Row],[ЖАМИ]]-РЕАЛИЗАЦИЯ[[#This Row],[ЖАМИ2]]</f>
        <v>0</v>
      </c>
      <c r="L2112" s="31"/>
    </row>
    <row r="2113" spans="3:12" x14ac:dyDescent="0.3">
      <c r="C2113" s="196"/>
      <c r="D2113" s="196"/>
      <c r="G2113" s="50">
        <f>РЕАЛИЗАЦИЯ[[#This Row],[СОНИ]]*РЕАЛИЗАЦИЯ[[#This Row],[НАРХИ]]</f>
        <v>0</v>
      </c>
      <c r="I2113" s="166"/>
      <c r="J2113" s="31">
        <f>РЕАЛИЗАЦИЯ[[#This Row],[СОНИ]]*РЕАЛИЗАЦИЯ[[#This Row],[ТАННАРХ]]</f>
        <v>0</v>
      </c>
      <c r="K2113" s="31">
        <f>РЕАЛИЗАЦИЯ[[#This Row],[ЖАМИ]]-РЕАЛИЗАЦИЯ[[#This Row],[ЖАМИ2]]</f>
        <v>0</v>
      </c>
      <c r="L2113" s="31"/>
    </row>
    <row r="2114" spans="3:12" x14ac:dyDescent="0.3">
      <c r="C2114" s="196"/>
      <c r="D2114" s="196"/>
      <c r="G2114" s="50">
        <f>РЕАЛИЗАЦИЯ[[#This Row],[СОНИ]]*РЕАЛИЗАЦИЯ[[#This Row],[НАРХИ]]</f>
        <v>0</v>
      </c>
      <c r="I2114" s="166"/>
      <c r="J2114" s="31">
        <f>РЕАЛИЗАЦИЯ[[#This Row],[СОНИ]]*РЕАЛИЗАЦИЯ[[#This Row],[ТАННАРХ]]</f>
        <v>0</v>
      </c>
      <c r="K2114" s="31">
        <f>РЕАЛИЗАЦИЯ[[#This Row],[ЖАМИ]]-РЕАЛИЗАЦИЯ[[#This Row],[ЖАМИ2]]</f>
        <v>0</v>
      </c>
      <c r="L2114" s="31"/>
    </row>
    <row r="2115" spans="3:12" x14ac:dyDescent="0.3">
      <c r="C2115" s="196"/>
      <c r="D2115" s="196"/>
      <c r="G2115" s="50">
        <f>РЕАЛИЗАЦИЯ[[#This Row],[СОНИ]]*РЕАЛИЗАЦИЯ[[#This Row],[НАРХИ]]</f>
        <v>0</v>
      </c>
      <c r="I2115" s="166"/>
      <c r="J2115" s="31">
        <f>РЕАЛИЗАЦИЯ[[#This Row],[СОНИ]]*РЕАЛИЗАЦИЯ[[#This Row],[ТАННАРХ]]</f>
        <v>0</v>
      </c>
      <c r="K2115" s="31">
        <f>РЕАЛИЗАЦИЯ[[#This Row],[ЖАМИ]]-РЕАЛИЗАЦИЯ[[#This Row],[ЖАМИ2]]</f>
        <v>0</v>
      </c>
      <c r="L2115" s="31"/>
    </row>
    <row r="2116" spans="3:12" x14ac:dyDescent="0.3">
      <c r="C2116" s="196"/>
      <c r="D2116" s="196"/>
      <c r="G2116" s="50">
        <f>РЕАЛИЗАЦИЯ[[#This Row],[СОНИ]]*РЕАЛИЗАЦИЯ[[#This Row],[НАРХИ]]</f>
        <v>0</v>
      </c>
      <c r="I2116" s="166"/>
      <c r="J2116" s="31">
        <f>РЕАЛИЗАЦИЯ[[#This Row],[СОНИ]]*РЕАЛИЗАЦИЯ[[#This Row],[ТАННАРХ]]</f>
        <v>0</v>
      </c>
      <c r="K2116" s="31">
        <f>РЕАЛИЗАЦИЯ[[#This Row],[ЖАМИ]]-РЕАЛИЗАЦИЯ[[#This Row],[ЖАМИ2]]</f>
        <v>0</v>
      </c>
      <c r="L2116" s="31"/>
    </row>
    <row r="2117" spans="3:12" x14ac:dyDescent="0.3">
      <c r="C2117" s="196"/>
      <c r="D2117" s="196"/>
      <c r="G2117" s="50">
        <f>РЕАЛИЗАЦИЯ[[#This Row],[СОНИ]]*РЕАЛИЗАЦИЯ[[#This Row],[НАРХИ]]</f>
        <v>0</v>
      </c>
      <c r="I2117" s="166"/>
      <c r="J2117" s="31">
        <f>РЕАЛИЗАЦИЯ[[#This Row],[СОНИ]]*РЕАЛИЗАЦИЯ[[#This Row],[ТАННАРХ]]</f>
        <v>0</v>
      </c>
      <c r="K2117" s="31">
        <f>РЕАЛИЗАЦИЯ[[#This Row],[ЖАМИ]]-РЕАЛИЗАЦИЯ[[#This Row],[ЖАМИ2]]</f>
        <v>0</v>
      </c>
      <c r="L2117" s="31"/>
    </row>
    <row r="2118" spans="3:12" x14ac:dyDescent="0.3">
      <c r="C2118" s="196"/>
      <c r="D2118" s="196"/>
      <c r="G2118" s="50">
        <f>РЕАЛИЗАЦИЯ[[#This Row],[СОНИ]]*РЕАЛИЗАЦИЯ[[#This Row],[НАРХИ]]</f>
        <v>0</v>
      </c>
      <c r="I2118" s="166"/>
      <c r="J2118" s="31">
        <f>РЕАЛИЗАЦИЯ[[#This Row],[СОНИ]]*РЕАЛИЗАЦИЯ[[#This Row],[ТАННАРХ]]</f>
        <v>0</v>
      </c>
      <c r="K2118" s="31">
        <f>РЕАЛИЗАЦИЯ[[#This Row],[ЖАМИ]]-РЕАЛИЗАЦИЯ[[#This Row],[ЖАМИ2]]</f>
        <v>0</v>
      </c>
      <c r="L2118" s="31"/>
    </row>
    <row r="2119" spans="3:12" x14ac:dyDescent="0.3">
      <c r="C2119" s="196"/>
      <c r="D2119" s="196"/>
      <c r="G2119" s="50">
        <f>РЕАЛИЗАЦИЯ[[#This Row],[СОНИ]]*РЕАЛИЗАЦИЯ[[#This Row],[НАРХИ]]</f>
        <v>0</v>
      </c>
      <c r="I2119" s="166"/>
      <c r="J2119" s="31">
        <f>РЕАЛИЗАЦИЯ[[#This Row],[СОНИ]]*РЕАЛИЗАЦИЯ[[#This Row],[ТАННАРХ]]</f>
        <v>0</v>
      </c>
      <c r="K2119" s="31">
        <f>РЕАЛИЗАЦИЯ[[#This Row],[ЖАМИ]]-РЕАЛИЗАЦИЯ[[#This Row],[ЖАМИ2]]</f>
        <v>0</v>
      </c>
      <c r="L2119" s="31"/>
    </row>
    <row r="2120" spans="3:12" x14ac:dyDescent="0.3">
      <c r="C2120" s="196"/>
      <c r="D2120" s="196"/>
      <c r="G2120" s="50">
        <f>РЕАЛИЗАЦИЯ[[#This Row],[СОНИ]]*РЕАЛИЗАЦИЯ[[#This Row],[НАРХИ]]</f>
        <v>0</v>
      </c>
      <c r="I2120" s="166"/>
      <c r="J2120" s="31">
        <f>РЕАЛИЗАЦИЯ[[#This Row],[СОНИ]]*РЕАЛИЗАЦИЯ[[#This Row],[ТАННАРХ]]</f>
        <v>0</v>
      </c>
      <c r="K2120" s="31">
        <f>РЕАЛИЗАЦИЯ[[#This Row],[ЖАМИ]]-РЕАЛИЗАЦИЯ[[#This Row],[ЖАМИ2]]</f>
        <v>0</v>
      </c>
      <c r="L2120" s="31"/>
    </row>
    <row r="2121" spans="3:12" x14ac:dyDescent="0.3">
      <c r="C2121" s="196"/>
      <c r="D2121" s="196"/>
      <c r="G2121" s="50">
        <f>РЕАЛИЗАЦИЯ[[#This Row],[СОНИ]]*РЕАЛИЗАЦИЯ[[#This Row],[НАРХИ]]</f>
        <v>0</v>
      </c>
      <c r="I2121" s="166"/>
      <c r="J2121" s="31">
        <f>РЕАЛИЗАЦИЯ[[#This Row],[СОНИ]]*РЕАЛИЗАЦИЯ[[#This Row],[ТАННАРХ]]</f>
        <v>0</v>
      </c>
      <c r="K2121" s="31">
        <f>РЕАЛИЗАЦИЯ[[#This Row],[ЖАМИ]]-РЕАЛИЗАЦИЯ[[#This Row],[ЖАМИ2]]</f>
        <v>0</v>
      </c>
      <c r="L2121" s="31"/>
    </row>
    <row r="2122" spans="3:12" x14ac:dyDescent="0.3">
      <c r="C2122" s="196"/>
      <c r="D2122" s="196"/>
      <c r="G2122" s="50">
        <f>РЕАЛИЗАЦИЯ[[#This Row],[СОНИ]]*РЕАЛИЗАЦИЯ[[#This Row],[НАРХИ]]</f>
        <v>0</v>
      </c>
      <c r="I2122" s="166"/>
      <c r="J2122" s="31">
        <f>РЕАЛИЗАЦИЯ[[#This Row],[СОНИ]]*РЕАЛИЗАЦИЯ[[#This Row],[ТАННАРХ]]</f>
        <v>0</v>
      </c>
      <c r="K2122" s="31">
        <f>РЕАЛИЗАЦИЯ[[#This Row],[ЖАМИ]]-РЕАЛИЗАЦИЯ[[#This Row],[ЖАМИ2]]</f>
        <v>0</v>
      </c>
      <c r="L2122" s="31"/>
    </row>
    <row r="2123" spans="3:12" x14ac:dyDescent="0.3">
      <c r="C2123" s="196"/>
      <c r="D2123" s="196"/>
      <c r="G2123" s="50">
        <f>РЕАЛИЗАЦИЯ[[#This Row],[СОНИ]]*РЕАЛИЗАЦИЯ[[#This Row],[НАРХИ]]</f>
        <v>0</v>
      </c>
      <c r="I2123" s="166"/>
      <c r="J2123" s="31">
        <f>РЕАЛИЗАЦИЯ[[#This Row],[СОНИ]]*РЕАЛИЗАЦИЯ[[#This Row],[ТАННАРХ]]</f>
        <v>0</v>
      </c>
      <c r="K2123" s="31">
        <f>РЕАЛИЗАЦИЯ[[#This Row],[ЖАМИ]]-РЕАЛИЗАЦИЯ[[#This Row],[ЖАМИ2]]</f>
        <v>0</v>
      </c>
      <c r="L2123" s="31"/>
    </row>
    <row r="2124" spans="3:12" x14ac:dyDescent="0.3">
      <c r="C2124" s="196"/>
      <c r="D2124" s="196"/>
      <c r="G2124" s="50">
        <f>РЕАЛИЗАЦИЯ[[#This Row],[СОНИ]]*РЕАЛИЗАЦИЯ[[#This Row],[НАРХИ]]</f>
        <v>0</v>
      </c>
      <c r="I2124" s="166"/>
      <c r="J2124" s="31">
        <f>РЕАЛИЗАЦИЯ[[#This Row],[СОНИ]]*РЕАЛИЗАЦИЯ[[#This Row],[ТАННАРХ]]</f>
        <v>0</v>
      </c>
      <c r="K2124" s="31">
        <f>РЕАЛИЗАЦИЯ[[#This Row],[ЖАМИ]]-РЕАЛИЗАЦИЯ[[#This Row],[ЖАМИ2]]</f>
        <v>0</v>
      </c>
      <c r="L2124" s="31"/>
    </row>
    <row r="2125" spans="3:12" x14ac:dyDescent="0.3">
      <c r="C2125" s="196"/>
      <c r="D2125" s="196"/>
      <c r="G2125" s="50">
        <f>РЕАЛИЗАЦИЯ[[#This Row],[СОНИ]]*РЕАЛИЗАЦИЯ[[#This Row],[НАРХИ]]</f>
        <v>0</v>
      </c>
      <c r="I2125" s="166"/>
      <c r="J2125" s="31">
        <f>РЕАЛИЗАЦИЯ[[#This Row],[СОНИ]]*РЕАЛИЗАЦИЯ[[#This Row],[ТАННАРХ]]</f>
        <v>0</v>
      </c>
      <c r="K2125" s="31">
        <f>РЕАЛИЗАЦИЯ[[#This Row],[ЖАМИ]]-РЕАЛИЗАЦИЯ[[#This Row],[ЖАМИ2]]</f>
        <v>0</v>
      </c>
      <c r="L2125" s="31"/>
    </row>
    <row r="2126" spans="3:12" x14ac:dyDescent="0.3">
      <c r="C2126" s="196"/>
      <c r="D2126" s="196"/>
      <c r="G2126" s="50">
        <f>РЕАЛИЗАЦИЯ[[#This Row],[СОНИ]]*РЕАЛИЗАЦИЯ[[#This Row],[НАРХИ]]</f>
        <v>0</v>
      </c>
      <c r="I2126" s="166"/>
      <c r="J2126" s="31">
        <f>РЕАЛИЗАЦИЯ[[#This Row],[СОНИ]]*РЕАЛИЗАЦИЯ[[#This Row],[ТАННАРХ]]</f>
        <v>0</v>
      </c>
      <c r="K2126" s="31">
        <f>РЕАЛИЗАЦИЯ[[#This Row],[ЖАМИ]]-РЕАЛИЗАЦИЯ[[#This Row],[ЖАМИ2]]</f>
        <v>0</v>
      </c>
      <c r="L2126" s="31"/>
    </row>
    <row r="2127" spans="3:12" x14ac:dyDescent="0.3">
      <c r="C2127" s="196"/>
      <c r="D2127" s="196"/>
      <c r="G2127" s="50">
        <f>РЕАЛИЗАЦИЯ[[#This Row],[СОНИ]]*РЕАЛИЗАЦИЯ[[#This Row],[НАРХИ]]</f>
        <v>0</v>
      </c>
      <c r="I2127" s="166"/>
      <c r="J2127" s="31">
        <f>РЕАЛИЗАЦИЯ[[#This Row],[СОНИ]]*РЕАЛИЗАЦИЯ[[#This Row],[ТАННАРХ]]</f>
        <v>0</v>
      </c>
      <c r="K2127" s="31">
        <f>РЕАЛИЗАЦИЯ[[#This Row],[ЖАМИ]]-РЕАЛИЗАЦИЯ[[#This Row],[ЖАМИ2]]</f>
        <v>0</v>
      </c>
      <c r="L2127" s="31"/>
    </row>
    <row r="2128" spans="3:12" x14ac:dyDescent="0.3">
      <c r="C2128" s="202"/>
      <c r="D2128" s="202"/>
      <c r="G2128" s="50">
        <f>РЕАЛИЗАЦИЯ[[#This Row],[СОНИ]]*РЕАЛИЗАЦИЯ[[#This Row],[НАРХИ]]</f>
        <v>0</v>
      </c>
      <c r="I2128" s="166"/>
      <c r="J2128" s="31">
        <f>РЕАЛИЗАЦИЯ[[#This Row],[СОНИ]]*РЕАЛИЗАЦИЯ[[#This Row],[ТАННАРХ]]</f>
        <v>0</v>
      </c>
      <c r="K2128" s="31">
        <f>РЕАЛИЗАЦИЯ[[#This Row],[ЖАМИ]]-РЕАЛИЗАЦИЯ[[#This Row],[ЖАМИ2]]</f>
        <v>0</v>
      </c>
      <c r="L2128" s="31"/>
    </row>
    <row r="2129" spans="3:12" x14ac:dyDescent="0.3">
      <c r="C2129" s="202"/>
      <c r="D2129" s="202"/>
      <c r="G2129" s="50">
        <f>РЕАЛИЗАЦИЯ[[#This Row],[СОНИ]]*РЕАЛИЗАЦИЯ[[#This Row],[НАРХИ]]</f>
        <v>0</v>
      </c>
      <c r="I2129" s="166"/>
      <c r="J2129" s="31">
        <f>РЕАЛИЗАЦИЯ[[#This Row],[СОНИ]]*РЕАЛИЗАЦИЯ[[#This Row],[ТАННАРХ]]</f>
        <v>0</v>
      </c>
      <c r="K2129" s="31">
        <f>РЕАЛИЗАЦИЯ[[#This Row],[ЖАМИ]]-РЕАЛИЗАЦИЯ[[#This Row],[ЖАМИ2]]</f>
        <v>0</v>
      </c>
      <c r="L2129" s="31"/>
    </row>
    <row r="2130" spans="3:12" x14ac:dyDescent="0.3">
      <c r="C2130" s="202"/>
      <c r="D2130" s="202"/>
      <c r="G2130" s="50">
        <f>РЕАЛИЗАЦИЯ[[#This Row],[СОНИ]]*РЕАЛИЗАЦИЯ[[#This Row],[НАРХИ]]</f>
        <v>0</v>
      </c>
      <c r="I2130" s="166"/>
      <c r="J2130" s="31">
        <f>РЕАЛИЗАЦИЯ[[#This Row],[СОНИ]]*РЕАЛИЗАЦИЯ[[#This Row],[ТАННАРХ]]</f>
        <v>0</v>
      </c>
      <c r="K2130" s="31">
        <f>РЕАЛИЗАЦИЯ[[#This Row],[ЖАМИ]]-РЕАЛИЗАЦИЯ[[#This Row],[ЖАМИ2]]</f>
        <v>0</v>
      </c>
      <c r="L2130" s="31"/>
    </row>
    <row r="2131" spans="3:12" x14ac:dyDescent="0.3">
      <c r="C2131" s="202"/>
      <c r="D2131" s="202"/>
      <c r="G2131" s="50">
        <f>РЕАЛИЗАЦИЯ[[#This Row],[СОНИ]]*РЕАЛИЗАЦИЯ[[#This Row],[НАРХИ]]</f>
        <v>0</v>
      </c>
      <c r="I2131" s="166"/>
      <c r="J2131" s="31">
        <f>РЕАЛИЗАЦИЯ[[#This Row],[СОНИ]]*РЕАЛИЗАЦИЯ[[#This Row],[ТАННАРХ]]</f>
        <v>0</v>
      </c>
      <c r="K2131" s="31">
        <f>РЕАЛИЗАЦИЯ[[#This Row],[ЖАМИ]]-РЕАЛИЗАЦИЯ[[#This Row],[ЖАМИ2]]</f>
        <v>0</v>
      </c>
      <c r="L2131" s="31"/>
    </row>
    <row r="2132" spans="3:12" x14ac:dyDescent="0.3">
      <c r="C2132" s="202"/>
      <c r="D2132" s="202"/>
      <c r="G2132" s="50">
        <f>РЕАЛИЗАЦИЯ[[#This Row],[СОНИ]]*РЕАЛИЗАЦИЯ[[#This Row],[НАРХИ]]</f>
        <v>0</v>
      </c>
      <c r="I2132" s="166"/>
      <c r="J2132" s="31">
        <f>РЕАЛИЗАЦИЯ[[#This Row],[СОНИ]]*РЕАЛИЗАЦИЯ[[#This Row],[ТАННАРХ]]</f>
        <v>0</v>
      </c>
      <c r="K2132" s="31">
        <f>РЕАЛИЗАЦИЯ[[#This Row],[ЖАМИ]]-РЕАЛИЗАЦИЯ[[#This Row],[ЖАМИ2]]</f>
        <v>0</v>
      </c>
      <c r="L2132" s="31"/>
    </row>
    <row r="2133" spans="3:12" x14ac:dyDescent="0.3">
      <c r="C2133" s="202"/>
      <c r="D2133" s="202"/>
      <c r="G2133" s="50">
        <f>РЕАЛИЗАЦИЯ[[#This Row],[СОНИ]]*РЕАЛИЗАЦИЯ[[#This Row],[НАРХИ]]</f>
        <v>0</v>
      </c>
      <c r="I2133" s="166"/>
      <c r="J2133" s="31">
        <f>РЕАЛИЗАЦИЯ[[#This Row],[СОНИ]]*РЕАЛИЗАЦИЯ[[#This Row],[ТАННАРХ]]</f>
        <v>0</v>
      </c>
      <c r="K2133" s="31">
        <f>РЕАЛИЗАЦИЯ[[#This Row],[ЖАМИ]]-РЕАЛИЗАЦИЯ[[#This Row],[ЖАМИ2]]</f>
        <v>0</v>
      </c>
      <c r="L2133" s="31"/>
    </row>
    <row r="2134" spans="3:12" x14ac:dyDescent="0.3">
      <c r="C2134" s="202"/>
      <c r="D2134" s="202"/>
      <c r="G2134" s="50">
        <f>РЕАЛИЗАЦИЯ[[#This Row],[СОНИ]]*РЕАЛИЗАЦИЯ[[#This Row],[НАРХИ]]</f>
        <v>0</v>
      </c>
      <c r="I2134" s="166"/>
      <c r="J2134" s="31">
        <f>РЕАЛИЗАЦИЯ[[#This Row],[СОНИ]]*РЕАЛИЗАЦИЯ[[#This Row],[ТАННАРХ]]</f>
        <v>0</v>
      </c>
      <c r="K2134" s="31">
        <f>РЕАЛИЗАЦИЯ[[#This Row],[ЖАМИ]]-РЕАЛИЗАЦИЯ[[#This Row],[ЖАМИ2]]</f>
        <v>0</v>
      </c>
      <c r="L2134" s="31"/>
    </row>
    <row r="2135" spans="3:12" x14ac:dyDescent="0.3">
      <c r="C2135" s="202"/>
      <c r="D2135" s="202"/>
      <c r="G2135" s="50">
        <f>РЕАЛИЗАЦИЯ[[#This Row],[СОНИ]]*РЕАЛИЗАЦИЯ[[#This Row],[НАРХИ]]</f>
        <v>0</v>
      </c>
      <c r="I2135" s="166"/>
      <c r="J2135" s="31">
        <f>РЕАЛИЗАЦИЯ[[#This Row],[СОНИ]]*РЕАЛИЗАЦИЯ[[#This Row],[ТАННАРХ]]</f>
        <v>0</v>
      </c>
      <c r="K2135" s="31">
        <f>РЕАЛИЗАЦИЯ[[#This Row],[ЖАМИ]]-РЕАЛИЗАЦИЯ[[#This Row],[ЖАМИ2]]</f>
        <v>0</v>
      </c>
      <c r="L2135" s="31"/>
    </row>
    <row r="2136" spans="3:12" x14ac:dyDescent="0.3">
      <c r="C2136" s="202"/>
      <c r="D2136" s="202"/>
      <c r="G2136" s="50">
        <f>РЕАЛИЗАЦИЯ[[#This Row],[СОНИ]]*РЕАЛИЗАЦИЯ[[#This Row],[НАРХИ]]</f>
        <v>0</v>
      </c>
      <c r="I2136" s="166"/>
      <c r="J2136" s="31">
        <f>РЕАЛИЗАЦИЯ[[#This Row],[СОНИ]]*РЕАЛИЗАЦИЯ[[#This Row],[ТАННАРХ]]</f>
        <v>0</v>
      </c>
      <c r="K2136" s="31">
        <f>РЕАЛИЗАЦИЯ[[#This Row],[ЖАМИ]]-РЕАЛИЗАЦИЯ[[#This Row],[ЖАМИ2]]</f>
        <v>0</v>
      </c>
      <c r="L2136" s="31"/>
    </row>
    <row r="2137" spans="3:12" x14ac:dyDescent="0.3">
      <c r="C2137" s="202"/>
      <c r="D2137" s="202"/>
      <c r="G2137" s="50">
        <f>РЕАЛИЗАЦИЯ[[#This Row],[СОНИ]]*РЕАЛИЗАЦИЯ[[#This Row],[НАРХИ]]</f>
        <v>0</v>
      </c>
      <c r="I2137" s="166"/>
      <c r="J2137" s="31">
        <f>РЕАЛИЗАЦИЯ[[#This Row],[СОНИ]]*РЕАЛИЗАЦИЯ[[#This Row],[ТАННАРХ]]</f>
        <v>0</v>
      </c>
      <c r="K2137" s="31">
        <f>РЕАЛИЗАЦИЯ[[#This Row],[ЖАМИ]]-РЕАЛИЗАЦИЯ[[#This Row],[ЖАМИ2]]</f>
        <v>0</v>
      </c>
      <c r="L2137" s="31"/>
    </row>
    <row r="2138" spans="3:12" x14ac:dyDescent="0.3">
      <c r="C2138" s="202"/>
      <c r="D2138" s="202"/>
      <c r="G2138" s="50">
        <f>РЕАЛИЗАЦИЯ[[#This Row],[СОНИ]]*РЕАЛИЗАЦИЯ[[#This Row],[НАРХИ]]</f>
        <v>0</v>
      </c>
      <c r="I2138" s="166"/>
      <c r="J2138" s="31">
        <f>РЕАЛИЗАЦИЯ[[#This Row],[СОНИ]]*РЕАЛИЗАЦИЯ[[#This Row],[ТАННАРХ]]</f>
        <v>0</v>
      </c>
      <c r="K2138" s="31">
        <f>РЕАЛИЗАЦИЯ[[#This Row],[ЖАМИ]]-РЕАЛИЗАЦИЯ[[#This Row],[ЖАМИ2]]</f>
        <v>0</v>
      </c>
      <c r="L2138" s="31"/>
    </row>
    <row r="2139" spans="3:12" x14ac:dyDescent="0.3">
      <c r="C2139" s="202"/>
      <c r="D2139" s="202"/>
      <c r="G2139" s="50">
        <f>РЕАЛИЗАЦИЯ[[#This Row],[СОНИ]]*РЕАЛИЗАЦИЯ[[#This Row],[НАРХИ]]</f>
        <v>0</v>
      </c>
      <c r="I2139" s="166"/>
      <c r="J2139" s="31">
        <f>РЕАЛИЗАЦИЯ[[#This Row],[СОНИ]]*РЕАЛИЗАЦИЯ[[#This Row],[ТАННАРХ]]</f>
        <v>0</v>
      </c>
      <c r="K2139" s="31">
        <f>РЕАЛИЗАЦИЯ[[#This Row],[ЖАМИ]]-РЕАЛИЗАЦИЯ[[#This Row],[ЖАМИ2]]</f>
        <v>0</v>
      </c>
      <c r="L2139" s="31"/>
    </row>
    <row r="2140" spans="3:12" x14ac:dyDescent="0.3">
      <c r="C2140" s="202"/>
      <c r="D2140" s="202"/>
      <c r="G2140" s="50">
        <f>РЕАЛИЗАЦИЯ[[#This Row],[СОНИ]]*РЕАЛИЗАЦИЯ[[#This Row],[НАРХИ]]</f>
        <v>0</v>
      </c>
      <c r="I2140" s="166"/>
      <c r="J2140" s="31">
        <f>РЕАЛИЗАЦИЯ[[#This Row],[СОНИ]]*РЕАЛИЗАЦИЯ[[#This Row],[ТАННАРХ]]</f>
        <v>0</v>
      </c>
      <c r="K2140" s="31">
        <f>РЕАЛИЗАЦИЯ[[#This Row],[ЖАМИ]]-РЕАЛИЗАЦИЯ[[#This Row],[ЖАМИ2]]</f>
        <v>0</v>
      </c>
      <c r="L2140" s="31"/>
    </row>
    <row r="2141" spans="3:12" x14ac:dyDescent="0.3">
      <c r="C2141" s="202"/>
      <c r="D2141" s="202"/>
      <c r="G2141" s="50">
        <f>РЕАЛИЗАЦИЯ[[#This Row],[СОНИ]]*РЕАЛИЗАЦИЯ[[#This Row],[НАРХИ]]</f>
        <v>0</v>
      </c>
      <c r="I2141" s="166"/>
      <c r="J2141" s="31">
        <f>РЕАЛИЗАЦИЯ[[#This Row],[СОНИ]]*РЕАЛИЗАЦИЯ[[#This Row],[ТАННАРХ]]</f>
        <v>0</v>
      </c>
      <c r="K2141" s="31">
        <f>РЕАЛИЗАЦИЯ[[#This Row],[ЖАМИ]]-РЕАЛИЗАЦИЯ[[#This Row],[ЖАМИ2]]</f>
        <v>0</v>
      </c>
      <c r="L2141" s="31"/>
    </row>
    <row r="2142" spans="3:12" x14ac:dyDescent="0.3">
      <c r="C2142" s="202"/>
      <c r="D2142" s="202"/>
      <c r="G2142" s="50">
        <f>РЕАЛИЗАЦИЯ[[#This Row],[СОНИ]]*РЕАЛИЗАЦИЯ[[#This Row],[НАРХИ]]</f>
        <v>0</v>
      </c>
      <c r="I2142" s="166"/>
      <c r="J2142" s="31">
        <f>РЕАЛИЗАЦИЯ[[#This Row],[СОНИ]]*РЕАЛИЗАЦИЯ[[#This Row],[ТАННАРХ]]</f>
        <v>0</v>
      </c>
      <c r="K2142" s="31">
        <f>РЕАЛИЗАЦИЯ[[#This Row],[ЖАМИ]]-РЕАЛИЗАЦИЯ[[#This Row],[ЖАМИ2]]</f>
        <v>0</v>
      </c>
      <c r="L2142" s="31"/>
    </row>
    <row r="2143" spans="3:12" x14ac:dyDescent="0.3">
      <c r="C2143" s="202"/>
      <c r="D2143" s="202"/>
      <c r="G2143" s="50">
        <f>РЕАЛИЗАЦИЯ[[#This Row],[СОНИ]]*РЕАЛИЗАЦИЯ[[#This Row],[НАРХИ]]</f>
        <v>0</v>
      </c>
      <c r="I2143" s="166"/>
      <c r="J2143" s="31">
        <f>РЕАЛИЗАЦИЯ[[#This Row],[СОНИ]]*РЕАЛИЗАЦИЯ[[#This Row],[ТАННАРХ]]</f>
        <v>0</v>
      </c>
      <c r="K2143" s="31">
        <f>РЕАЛИЗАЦИЯ[[#This Row],[ЖАМИ]]-РЕАЛИЗАЦИЯ[[#This Row],[ЖАМИ2]]</f>
        <v>0</v>
      </c>
      <c r="L2143" s="31"/>
    </row>
    <row r="2144" spans="3:12" x14ac:dyDescent="0.3">
      <c r="C2144" s="202"/>
      <c r="D2144" s="202"/>
      <c r="G2144" s="50">
        <f>РЕАЛИЗАЦИЯ[[#This Row],[СОНИ]]*РЕАЛИЗАЦИЯ[[#This Row],[НАРХИ]]</f>
        <v>0</v>
      </c>
      <c r="I2144" s="166"/>
      <c r="J2144" s="31">
        <f>РЕАЛИЗАЦИЯ[[#This Row],[СОНИ]]*РЕАЛИЗАЦИЯ[[#This Row],[ТАННАРХ]]</f>
        <v>0</v>
      </c>
      <c r="K2144" s="31">
        <f>РЕАЛИЗАЦИЯ[[#This Row],[ЖАМИ]]-РЕАЛИЗАЦИЯ[[#This Row],[ЖАМИ2]]</f>
        <v>0</v>
      </c>
      <c r="L2144" s="31"/>
    </row>
    <row r="2145" spans="3:12" x14ac:dyDescent="0.3">
      <c r="C2145" s="202"/>
      <c r="D2145" s="202"/>
      <c r="G2145" s="50">
        <f>РЕАЛИЗАЦИЯ[[#This Row],[СОНИ]]*РЕАЛИЗАЦИЯ[[#This Row],[НАРХИ]]</f>
        <v>0</v>
      </c>
      <c r="I2145" s="166"/>
      <c r="J2145" s="31">
        <f>РЕАЛИЗАЦИЯ[[#This Row],[СОНИ]]*РЕАЛИЗАЦИЯ[[#This Row],[ТАННАРХ]]</f>
        <v>0</v>
      </c>
      <c r="K2145" s="31">
        <f>РЕАЛИЗАЦИЯ[[#This Row],[ЖАМИ]]-РЕАЛИЗАЦИЯ[[#This Row],[ЖАМИ2]]</f>
        <v>0</v>
      </c>
      <c r="L2145" s="31"/>
    </row>
    <row r="2146" spans="3:12" x14ac:dyDescent="0.3">
      <c r="C2146" s="202"/>
      <c r="D2146" s="202"/>
      <c r="G2146" s="50">
        <f>РЕАЛИЗАЦИЯ[[#This Row],[СОНИ]]*РЕАЛИЗАЦИЯ[[#This Row],[НАРХИ]]</f>
        <v>0</v>
      </c>
      <c r="I2146" s="166"/>
      <c r="J2146" s="31">
        <f>РЕАЛИЗАЦИЯ[[#This Row],[СОНИ]]*РЕАЛИЗАЦИЯ[[#This Row],[ТАННАРХ]]</f>
        <v>0</v>
      </c>
      <c r="K2146" s="31">
        <f>РЕАЛИЗАЦИЯ[[#This Row],[ЖАМИ]]-РЕАЛИЗАЦИЯ[[#This Row],[ЖАМИ2]]</f>
        <v>0</v>
      </c>
      <c r="L2146" s="31"/>
    </row>
    <row r="2147" spans="3:12" x14ac:dyDescent="0.3">
      <c r="C2147" s="202"/>
      <c r="D2147" s="202"/>
      <c r="G2147" s="50">
        <f>РЕАЛИЗАЦИЯ[[#This Row],[СОНИ]]*РЕАЛИЗАЦИЯ[[#This Row],[НАРХИ]]</f>
        <v>0</v>
      </c>
      <c r="I2147" s="166"/>
      <c r="J2147" s="31">
        <f>РЕАЛИЗАЦИЯ[[#This Row],[СОНИ]]*РЕАЛИЗАЦИЯ[[#This Row],[ТАННАРХ]]</f>
        <v>0</v>
      </c>
      <c r="K2147" s="31">
        <f>РЕАЛИЗАЦИЯ[[#This Row],[ЖАМИ]]-РЕАЛИЗАЦИЯ[[#This Row],[ЖАМИ2]]</f>
        <v>0</v>
      </c>
      <c r="L2147" s="31"/>
    </row>
    <row r="2148" spans="3:12" x14ac:dyDescent="0.3">
      <c r="C2148" s="202"/>
      <c r="D2148" s="202"/>
      <c r="G2148" s="50">
        <f>РЕАЛИЗАЦИЯ[[#This Row],[СОНИ]]*РЕАЛИЗАЦИЯ[[#This Row],[НАРХИ]]</f>
        <v>0</v>
      </c>
      <c r="I2148" s="166"/>
      <c r="J2148" s="31">
        <f>РЕАЛИЗАЦИЯ[[#This Row],[СОНИ]]*РЕАЛИЗАЦИЯ[[#This Row],[ТАННАРХ]]</f>
        <v>0</v>
      </c>
      <c r="K2148" s="31">
        <f>РЕАЛИЗАЦИЯ[[#This Row],[ЖАМИ]]-РЕАЛИЗАЦИЯ[[#This Row],[ЖАМИ2]]</f>
        <v>0</v>
      </c>
      <c r="L2148" s="31"/>
    </row>
    <row r="2149" spans="3:12" x14ac:dyDescent="0.3">
      <c r="C2149" s="202"/>
      <c r="D2149" s="202"/>
      <c r="G2149" s="50">
        <f>РЕАЛИЗАЦИЯ[[#This Row],[СОНИ]]*РЕАЛИЗАЦИЯ[[#This Row],[НАРХИ]]</f>
        <v>0</v>
      </c>
      <c r="I2149" s="166"/>
      <c r="J2149" s="31">
        <f>РЕАЛИЗАЦИЯ[[#This Row],[СОНИ]]*РЕАЛИЗАЦИЯ[[#This Row],[ТАННАРХ]]</f>
        <v>0</v>
      </c>
      <c r="K2149" s="31">
        <f>РЕАЛИЗАЦИЯ[[#This Row],[ЖАМИ]]-РЕАЛИЗАЦИЯ[[#This Row],[ЖАМИ2]]</f>
        <v>0</v>
      </c>
      <c r="L2149" s="31"/>
    </row>
    <row r="2150" spans="3:12" x14ac:dyDescent="0.3">
      <c r="C2150" s="202"/>
      <c r="D2150" s="202"/>
      <c r="G2150" s="50">
        <f>РЕАЛИЗАЦИЯ[[#This Row],[СОНИ]]*РЕАЛИЗАЦИЯ[[#This Row],[НАРХИ]]</f>
        <v>0</v>
      </c>
      <c r="I2150" s="166"/>
      <c r="J2150" s="31">
        <f>РЕАЛИЗАЦИЯ[[#This Row],[СОНИ]]*РЕАЛИЗАЦИЯ[[#This Row],[ТАННАРХ]]</f>
        <v>0</v>
      </c>
      <c r="K2150" s="31">
        <f>РЕАЛИЗАЦИЯ[[#This Row],[ЖАМИ]]-РЕАЛИЗАЦИЯ[[#This Row],[ЖАМИ2]]</f>
        <v>0</v>
      </c>
      <c r="L2150" s="31"/>
    </row>
    <row r="2151" spans="3:12" x14ac:dyDescent="0.3">
      <c r="C2151" s="202"/>
      <c r="D2151" s="202"/>
      <c r="G2151" s="50">
        <f>РЕАЛИЗАЦИЯ[[#This Row],[СОНИ]]*РЕАЛИЗАЦИЯ[[#This Row],[НАРХИ]]</f>
        <v>0</v>
      </c>
      <c r="I2151" s="166"/>
      <c r="J2151" s="31">
        <f>РЕАЛИЗАЦИЯ[[#This Row],[СОНИ]]*РЕАЛИЗАЦИЯ[[#This Row],[ТАННАРХ]]</f>
        <v>0</v>
      </c>
      <c r="K2151" s="31">
        <f>РЕАЛИЗАЦИЯ[[#This Row],[ЖАМИ]]-РЕАЛИЗАЦИЯ[[#This Row],[ЖАМИ2]]</f>
        <v>0</v>
      </c>
      <c r="L2151" s="31"/>
    </row>
    <row r="2152" spans="3:12" x14ac:dyDescent="0.3">
      <c r="C2152" s="202"/>
      <c r="D2152" s="202"/>
      <c r="G2152" s="50">
        <f>РЕАЛИЗАЦИЯ[[#This Row],[СОНИ]]*РЕАЛИЗАЦИЯ[[#This Row],[НАРХИ]]</f>
        <v>0</v>
      </c>
      <c r="I2152" s="166"/>
      <c r="J2152" s="31">
        <f>РЕАЛИЗАЦИЯ[[#This Row],[СОНИ]]*РЕАЛИЗАЦИЯ[[#This Row],[ТАННАРХ]]</f>
        <v>0</v>
      </c>
      <c r="K2152" s="31">
        <f>РЕАЛИЗАЦИЯ[[#This Row],[ЖАМИ]]-РЕАЛИЗАЦИЯ[[#This Row],[ЖАМИ2]]</f>
        <v>0</v>
      </c>
      <c r="L2152" s="31"/>
    </row>
    <row r="2153" spans="3:12" x14ac:dyDescent="0.3">
      <c r="C2153" s="202"/>
      <c r="D2153" s="202"/>
      <c r="G2153" s="50">
        <f>РЕАЛИЗАЦИЯ[[#This Row],[СОНИ]]*РЕАЛИЗАЦИЯ[[#This Row],[НАРХИ]]</f>
        <v>0</v>
      </c>
      <c r="I2153" s="166"/>
      <c r="J2153" s="31">
        <f>РЕАЛИЗАЦИЯ[[#This Row],[СОНИ]]*РЕАЛИЗАЦИЯ[[#This Row],[ТАННАРХ]]</f>
        <v>0</v>
      </c>
      <c r="K2153" s="31">
        <f>РЕАЛИЗАЦИЯ[[#This Row],[ЖАМИ]]-РЕАЛИЗАЦИЯ[[#This Row],[ЖАМИ2]]</f>
        <v>0</v>
      </c>
      <c r="L2153" s="31"/>
    </row>
    <row r="2154" spans="3:12" x14ac:dyDescent="0.3">
      <c r="C2154" s="202"/>
      <c r="D2154" s="202"/>
      <c r="G2154" s="50">
        <f>РЕАЛИЗАЦИЯ[[#This Row],[СОНИ]]*РЕАЛИЗАЦИЯ[[#This Row],[НАРХИ]]</f>
        <v>0</v>
      </c>
      <c r="I2154" s="166"/>
      <c r="J2154" s="31">
        <f>РЕАЛИЗАЦИЯ[[#This Row],[СОНИ]]*РЕАЛИЗАЦИЯ[[#This Row],[ТАННАРХ]]</f>
        <v>0</v>
      </c>
      <c r="K2154" s="31">
        <f>РЕАЛИЗАЦИЯ[[#This Row],[ЖАМИ]]-РЕАЛИЗАЦИЯ[[#This Row],[ЖАМИ2]]</f>
        <v>0</v>
      </c>
      <c r="L2154" s="31"/>
    </row>
    <row r="2155" spans="3:12" x14ac:dyDescent="0.3">
      <c r="C2155" s="202"/>
      <c r="D2155" s="202"/>
      <c r="G2155" s="50">
        <f>РЕАЛИЗАЦИЯ[[#This Row],[СОНИ]]*РЕАЛИЗАЦИЯ[[#This Row],[НАРХИ]]</f>
        <v>0</v>
      </c>
      <c r="I2155" s="166"/>
      <c r="J2155" s="31">
        <f>РЕАЛИЗАЦИЯ[[#This Row],[СОНИ]]*РЕАЛИЗАЦИЯ[[#This Row],[ТАННАРХ]]</f>
        <v>0</v>
      </c>
      <c r="K2155" s="31">
        <f>РЕАЛИЗАЦИЯ[[#This Row],[ЖАМИ]]-РЕАЛИЗАЦИЯ[[#This Row],[ЖАМИ2]]</f>
        <v>0</v>
      </c>
      <c r="L2155" s="31"/>
    </row>
    <row r="2156" spans="3:12" x14ac:dyDescent="0.3">
      <c r="C2156" s="202"/>
      <c r="D2156" s="202"/>
      <c r="G2156" s="50">
        <f>РЕАЛИЗАЦИЯ[[#This Row],[СОНИ]]*РЕАЛИЗАЦИЯ[[#This Row],[НАРХИ]]</f>
        <v>0</v>
      </c>
      <c r="I2156" s="166"/>
      <c r="J2156" s="31">
        <f>РЕАЛИЗАЦИЯ[[#This Row],[СОНИ]]*РЕАЛИЗАЦИЯ[[#This Row],[ТАННАРХ]]</f>
        <v>0</v>
      </c>
      <c r="K2156" s="31">
        <f>РЕАЛИЗАЦИЯ[[#This Row],[ЖАМИ]]-РЕАЛИЗАЦИЯ[[#This Row],[ЖАМИ2]]</f>
        <v>0</v>
      </c>
      <c r="L2156" s="31"/>
    </row>
    <row r="2157" spans="3:12" x14ac:dyDescent="0.3">
      <c r="C2157" s="203"/>
      <c r="D2157" s="203"/>
      <c r="G2157" s="50">
        <f>РЕАЛИЗАЦИЯ[[#This Row],[СОНИ]]*РЕАЛИЗАЦИЯ[[#This Row],[НАРХИ]]</f>
        <v>0</v>
      </c>
      <c r="I2157" s="166"/>
      <c r="J2157" s="31">
        <f>РЕАЛИЗАЦИЯ[[#This Row],[СОНИ]]*РЕАЛИЗАЦИЯ[[#This Row],[ТАННАРХ]]</f>
        <v>0</v>
      </c>
      <c r="K2157" s="31">
        <f>РЕАЛИЗАЦИЯ[[#This Row],[ЖАМИ]]-РЕАЛИЗАЦИЯ[[#This Row],[ЖАМИ2]]</f>
        <v>0</v>
      </c>
      <c r="L2157" s="31"/>
    </row>
    <row r="2158" spans="3:12" x14ac:dyDescent="0.3">
      <c r="C2158" s="203"/>
      <c r="D2158" s="203"/>
      <c r="G2158" s="50">
        <f>РЕАЛИЗАЦИЯ[[#This Row],[СОНИ]]*РЕАЛИЗАЦИЯ[[#This Row],[НАРХИ]]</f>
        <v>0</v>
      </c>
      <c r="I2158" s="166"/>
      <c r="J2158" s="31">
        <f>РЕАЛИЗАЦИЯ[[#This Row],[СОНИ]]*РЕАЛИЗАЦИЯ[[#This Row],[ТАННАРХ]]</f>
        <v>0</v>
      </c>
      <c r="K2158" s="31">
        <f>РЕАЛИЗАЦИЯ[[#This Row],[ЖАМИ]]-РЕАЛИЗАЦИЯ[[#This Row],[ЖАМИ2]]</f>
        <v>0</v>
      </c>
      <c r="L2158" s="31"/>
    </row>
    <row r="2159" spans="3:12" x14ac:dyDescent="0.3">
      <c r="C2159" s="206"/>
      <c r="D2159" s="206"/>
      <c r="G2159" s="50">
        <f>РЕАЛИЗАЦИЯ[[#This Row],[СОНИ]]*РЕАЛИЗАЦИЯ[[#This Row],[НАРХИ]]</f>
        <v>0</v>
      </c>
      <c r="I2159" s="166"/>
      <c r="J2159" s="31">
        <f>РЕАЛИЗАЦИЯ[[#This Row],[СОНИ]]*РЕАЛИЗАЦИЯ[[#This Row],[ТАННАРХ]]</f>
        <v>0</v>
      </c>
      <c r="K2159" s="31">
        <f>РЕАЛИЗАЦИЯ[[#This Row],[ЖАМИ]]-РЕАЛИЗАЦИЯ[[#This Row],[ЖАМИ2]]</f>
        <v>0</v>
      </c>
      <c r="L2159" s="31"/>
    </row>
    <row r="2160" spans="3:12" x14ac:dyDescent="0.3">
      <c r="C2160" s="203"/>
      <c r="D2160" s="203"/>
      <c r="G2160" s="50">
        <f>РЕАЛИЗАЦИЯ[[#This Row],[СОНИ]]*РЕАЛИЗАЦИЯ[[#This Row],[НАРХИ]]</f>
        <v>0</v>
      </c>
      <c r="I2160" s="166"/>
      <c r="J2160" s="31">
        <f>РЕАЛИЗАЦИЯ[[#This Row],[СОНИ]]*РЕАЛИЗАЦИЯ[[#This Row],[ТАННАРХ]]</f>
        <v>0</v>
      </c>
      <c r="K2160" s="31">
        <f>РЕАЛИЗАЦИЯ[[#This Row],[ЖАМИ]]-РЕАЛИЗАЦИЯ[[#This Row],[ЖАМИ2]]</f>
        <v>0</v>
      </c>
      <c r="L2160" s="31"/>
    </row>
    <row r="2161" spans="3:12" x14ac:dyDescent="0.3">
      <c r="C2161" s="203"/>
      <c r="D2161" s="203"/>
      <c r="G2161" s="50">
        <f>РЕАЛИЗАЦИЯ[[#This Row],[СОНИ]]*РЕАЛИЗАЦИЯ[[#This Row],[НАРХИ]]</f>
        <v>0</v>
      </c>
      <c r="I2161" s="166"/>
      <c r="J2161" s="31">
        <f>РЕАЛИЗАЦИЯ[[#This Row],[СОНИ]]*РЕАЛИЗАЦИЯ[[#This Row],[ТАННАРХ]]</f>
        <v>0</v>
      </c>
      <c r="K2161" s="31">
        <f>РЕАЛИЗАЦИЯ[[#This Row],[ЖАМИ]]-РЕАЛИЗАЦИЯ[[#This Row],[ЖАМИ2]]</f>
        <v>0</v>
      </c>
      <c r="L2161" s="31"/>
    </row>
    <row r="2162" spans="3:12" x14ac:dyDescent="0.3">
      <c r="C2162" s="203"/>
      <c r="D2162" s="203"/>
      <c r="G2162" s="50">
        <f>РЕАЛИЗАЦИЯ[[#This Row],[СОНИ]]*РЕАЛИЗАЦИЯ[[#This Row],[НАРХИ]]</f>
        <v>0</v>
      </c>
      <c r="I2162" s="166"/>
      <c r="J2162" s="31">
        <f>РЕАЛИЗАЦИЯ[[#This Row],[СОНИ]]*РЕАЛИЗАЦИЯ[[#This Row],[ТАННАРХ]]</f>
        <v>0</v>
      </c>
      <c r="K2162" s="31">
        <f>РЕАЛИЗАЦИЯ[[#This Row],[ЖАМИ]]-РЕАЛИЗАЦИЯ[[#This Row],[ЖАМИ2]]</f>
        <v>0</v>
      </c>
      <c r="L2162" s="31"/>
    </row>
    <row r="2163" spans="3:12" x14ac:dyDescent="0.3">
      <c r="C2163" s="203"/>
      <c r="D2163" s="203"/>
      <c r="G2163" s="50">
        <f>РЕАЛИЗАЦИЯ[[#This Row],[СОНИ]]*РЕАЛИЗАЦИЯ[[#This Row],[НАРХИ]]</f>
        <v>0</v>
      </c>
      <c r="I2163" s="166"/>
      <c r="J2163" s="31">
        <f>РЕАЛИЗАЦИЯ[[#This Row],[СОНИ]]*РЕАЛИЗАЦИЯ[[#This Row],[ТАННАРХ]]</f>
        <v>0</v>
      </c>
      <c r="K2163" s="31">
        <f>РЕАЛИЗАЦИЯ[[#This Row],[ЖАМИ]]-РЕАЛИЗАЦИЯ[[#This Row],[ЖАМИ2]]</f>
        <v>0</v>
      </c>
      <c r="L2163" s="31"/>
    </row>
    <row r="2164" spans="3:12" x14ac:dyDescent="0.3">
      <c r="C2164" s="203"/>
      <c r="D2164" s="203"/>
      <c r="G2164" s="50">
        <f>РЕАЛИЗАЦИЯ[[#This Row],[СОНИ]]*РЕАЛИЗАЦИЯ[[#This Row],[НАРХИ]]</f>
        <v>0</v>
      </c>
      <c r="I2164" s="166"/>
      <c r="J2164" s="31">
        <f>РЕАЛИЗАЦИЯ[[#This Row],[СОНИ]]*РЕАЛИЗАЦИЯ[[#This Row],[ТАННАРХ]]</f>
        <v>0</v>
      </c>
      <c r="K2164" s="31">
        <f>РЕАЛИЗАЦИЯ[[#This Row],[ЖАМИ]]-РЕАЛИЗАЦИЯ[[#This Row],[ЖАМИ2]]</f>
        <v>0</v>
      </c>
      <c r="L2164" s="31"/>
    </row>
    <row r="2165" spans="3:12" x14ac:dyDescent="0.3">
      <c r="C2165" s="204"/>
      <c r="D2165" s="204"/>
      <c r="G2165" s="50">
        <f>РЕАЛИЗАЦИЯ[[#This Row],[СОНИ]]*РЕАЛИЗАЦИЯ[[#This Row],[НАРХИ]]</f>
        <v>0</v>
      </c>
      <c r="I2165" s="166"/>
      <c r="J2165" s="31">
        <f>РЕАЛИЗАЦИЯ[[#This Row],[СОНИ]]*РЕАЛИЗАЦИЯ[[#This Row],[ТАННАРХ]]</f>
        <v>0</v>
      </c>
      <c r="K2165" s="31">
        <f>РЕАЛИЗАЦИЯ[[#This Row],[ЖАМИ]]-РЕАЛИЗАЦИЯ[[#This Row],[ЖАМИ2]]</f>
        <v>0</v>
      </c>
      <c r="L2165" s="31"/>
    </row>
    <row r="2166" spans="3:12" x14ac:dyDescent="0.3">
      <c r="C2166" s="204"/>
      <c r="D2166" s="204"/>
      <c r="G2166" s="50">
        <f>РЕАЛИЗАЦИЯ[[#This Row],[СОНИ]]*РЕАЛИЗАЦИЯ[[#This Row],[НАРХИ]]</f>
        <v>0</v>
      </c>
      <c r="I2166" s="166"/>
      <c r="J2166" s="31">
        <f>РЕАЛИЗАЦИЯ[[#This Row],[СОНИ]]*РЕАЛИЗАЦИЯ[[#This Row],[ТАННАРХ]]</f>
        <v>0</v>
      </c>
      <c r="K2166" s="31">
        <f>РЕАЛИЗАЦИЯ[[#This Row],[ЖАМИ]]-РЕАЛИЗАЦИЯ[[#This Row],[ЖАМИ2]]</f>
        <v>0</v>
      </c>
      <c r="L2166" s="31"/>
    </row>
    <row r="2167" spans="3:12" x14ac:dyDescent="0.3">
      <c r="C2167" s="204"/>
      <c r="D2167" s="204"/>
      <c r="G2167" s="50">
        <f>РЕАЛИЗАЦИЯ[[#This Row],[СОНИ]]*РЕАЛИЗАЦИЯ[[#This Row],[НАРХИ]]</f>
        <v>0</v>
      </c>
      <c r="I2167" s="166"/>
      <c r="J2167" s="31">
        <f>РЕАЛИЗАЦИЯ[[#This Row],[СОНИ]]*РЕАЛИЗАЦИЯ[[#This Row],[ТАННАРХ]]</f>
        <v>0</v>
      </c>
      <c r="K2167" s="31">
        <f>РЕАЛИЗАЦИЯ[[#This Row],[ЖАМИ]]-РЕАЛИЗАЦИЯ[[#This Row],[ЖАМИ2]]</f>
        <v>0</v>
      </c>
      <c r="L2167" s="31"/>
    </row>
    <row r="2168" spans="3:12" x14ac:dyDescent="0.3">
      <c r="C2168" s="204"/>
      <c r="D2168" s="204"/>
      <c r="G2168" s="50">
        <f>РЕАЛИЗАЦИЯ[[#This Row],[СОНИ]]*РЕАЛИЗАЦИЯ[[#This Row],[НАРХИ]]</f>
        <v>0</v>
      </c>
      <c r="I2168" s="166"/>
      <c r="J2168" s="31">
        <f>РЕАЛИЗАЦИЯ[[#This Row],[СОНИ]]*РЕАЛИЗАЦИЯ[[#This Row],[ТАННАРХ]]</f>
        <v>0</v>
      </c>
      <c r="K2168" s="31">
        <f>РЕАЛИЗАЦИЯ[[#This Row],[ЖАМИ]]-РЕАЛИЗАЦИЯ[[#This Row],[ЖАМИ2]]</f>
        <v>0</v>
      </c>
      <c r="L2168" s="31"/>
    </row>
    <row r="2169" spans="3:12" x14ac:dyDescent="0.3">
      <c r="C2169" s="204"/>
      <c r="D2169" s="204"/>
      <c r="G2169" s="50">
        <f>РЕАЛИЗАЦИЯ[[#This Row],[СОНИ]]*РЕАЛИЗАЦИЯ[[#This Row],[НАРХИ]]</f>
        <v>0</v>
      </c>
      <c r="I2169" s="166"/>
      <c r="J2169" s="31">
        <f>РЕАЛИЗАЦИЯ[[#This Row],[СОНИ]]*РЕАЛИЗАЦИЯ[[#This Row],[ТАННАРХ]]</f>
        <v>0</v>
      </c>
      <c r="K2169" s="31">
        <f>РЕАЛИЗАЦИЯ[[#This Row],[ЖАМИ]]-РЕАЛИЗАЦИЯ[[#This Row],[ЖАМИ2]]</f>
        <v>0</v>
      </c>
      <c r="L2169" s="31"/>
    </row>
    <row r="2170" spans="3:12" x14ac:dyDescent="0.3">
      <c r="C2170" s="204"/>
      <c r="D2170" s="204"/>
      <c r="G2170" s="50">
        <f>РЕАЛИЗАЦИЯ[[#This Row],[СОНИ]]*РЕАЛИЗАЦИЯ[[#This Row],[НАРХИ]]</f>
        <v>0</v>
      </c>
      <c r="I2170" s="166"/>
      <c r="J2170" s="31">
        <f>РЕАЛИЗАЦИЯ[[#This Row],[СОНИ]]*РЕАЛИЗАЦИЯ[[#This Row],[ТАННАРХ]]</f>
        <v>0</v>
      </c>
      <c r="K2170" s="31">
        <f>РЕАЛИЗАЦИЯ[[#This Row],[ЖАМИ]]-РЕАЛИЗАЦИЯ[[#This Row],[ЖАМИ2]]</f>
        <v>0</v>
      </c>
      <c r="L2170" s="31"/>
    </row>
    <row r="2171" spans="3:12" x14ac:dyDescent="0.3">
      <c r="C2171" s="204"/>
      <c r="D2171" s="204"/>
      <c r="G2171" s="50">
        <f>РЕАЛИЗАЦИЯ[[#This Row],[СОНИ]]*РЕАЛИЗАЦИЯ[[#This Row],[НАРХИ]]</f>
        <v>0</v>
      </c>
      <c r="I2171" s="166"/>
      <c r="J2171" s="31">
        <f>РЕАЛИЗАЦИЯ[[#This Row],[СОНИ]]*РЕАЛИЗАЦИЯ[[#This Row],[ТАННАРХ]]</f>
        <v>0</v>
      </c>
      <c r="K2171" s="31">
        <f>РЕАЛИЗАЦИЯ[[#This Row],[ЖАМИ]]-РЕАЛИЗАЦИЯ[[#This Row],[ЖАМИ2]]</f>
        <v>0</v>
      </c>
      <c r="L2171" s="31"/>
    </row>
    <row r="2172" spans="3:12" x14ac:dyDescent="0.3">
      <c r="C2172" s="204"/>
      <c r="D2172" s="204"/>
      <c r="G2172" s="50">
        <f>РЕАЛИЗАЦИЯ[[#This Row],[СОНИ]]*РЕАЛИЗАЦИЯ[[#This Row],[НАРХИ]]</f>
        <v>0</v>
      </c>
      <c r="I2172" s="166"/>
      <c r="J2172" s="31">
        <f>РЕАЛИЗАЦИЯ[[#This Row],[СОНИ]]*РЕАЛИЗАЦИЯ[[#This Row],[ТАННАРХ]]</f>
        <v>0</v>
      </c>
      <c r="K2172" s="31">
        <f>РЕАЛИЗАЦИЯ[[#This Row],[ЖАМИ]]-РЕАЛИЗАЦИЯ[[#This Row],[ЖАМИ2]]</f>
        <v>0</v>
      </c>
      <c r="L2172" s="31"/>
    </row>
    <row r="2173" spans="3:12" x14ac:dyDescent="0.3">
      <c r="C2173" s="204"/>
      <c r="D2173" s="204"/>
      <c r="G2173" s="50">
        <f>РЕАЛИЗАЦИЯ[[#This Row],[СОНИ]]*РЕАЛИЗАЦИЯ[[#This Row],[НАРХИ]]</f>
        <v>0</v>
      </c>
      <c r="I2173" s="166"/>
      <c r="J2173" s="31">
        <f>РЕАЛИЗАЦИЯ[[#This Row],[СОНИ]]*РЕАЛИЗАЦИЯ[[#This Row],[ТАННАРХ]]</f>
        <v>0</v>
      </c>
      <c r="K2173" s="31">
        <f>РЕАЛИЗАЦИЯ[[#This Row],[ЖАМИ]]-РЕАЛИЗАЦИЯ[[#This Row],[ЖАМИ2]]</f>
        <v>0</v>
      </c>
      <c r="L2173" s="31"/>
    </row>
    <row r="2174" spans="3:12" x14ac:dyDescent="0.3">
      <c r="C2174" s="204"/>
      <c r="D2174" s="204"/>
      <c r="G2174" s="50">
        <f>РЕАЛИЗАЦИЯ[[#This Row],[СОНИ]]*РЕАЛИЗАЦИЯ[[#This Row],[НАРХИ]]</f>
        <v>0</v>
      </c>
      <c r="I2174" s="166"/>
      <c r="J2174" s="31">
        <f>РЕАЛИЗАЦИЯ[[#This Row],[СОНИ]]*РЕАЛИЗАЦИЯ[[#This Row],[ТАННАРХ]]</f>
        <v>0</v>
      </c>
      <c r="K2174" s="31">
        <f>РЕАЛИЗАЦИЯ[[#This Row],[ЖАМИ]]-РЕАЛИЗАЦИЯ[[#This Row],[ЖАМИ2]]</f>
        <v>0</v>
      </c>
      <c r="L2174" s="31"/>
    </row>
    <row r="2175" spans="3:12" x14ac:dyDescent="0.3">
      <c r="C2175" s="204"/>
      <c r="D2175" s="204"/>
      <c r="G2175" s="50">
        <f>РЕАЛИЗАЦИЯ[[#This Row],[СОНИ]]*РЕАЛИЗАЦИЯ[[#This Row],[НАРХИ]]</f>
        <v>0</v>
      </c>
      <c r="I2175" s="166"/>
      <c r="J2175" s="31">
        <f>РЕАЛИЗАЦИЯ[[#This Row],[СОНИ]]*РЕАЛИЗАЦИЯ[[#This Row],[ТАННАРХ]]</f>
        <v>0</v>
      </c>
      <c r="K2175" s="31">
        <f>РЕАЛИЗАЦИЯ[[#This Row],[ЖАМИ]]-РЕАЛИЗАЦИЯ[[#This Row],[ЖАМИ2]]</f>
        <v>0</v>
      </c>
      <c r="L2175" s="31"/>
    </row>
    <row r="2176" spans="3:12" x14ac:dyDescent="0.3">
      <c r="C2176" s="204"/>
      <c r="D2176" s="204"/>
      <c r="G2176" s="50">
        <f>РЕАЛИЗАЦИЯ[[#This Row],[СОНИ]]*РЕАЛИЗАЦИЯ[[#This Row],[НАРХИ]]</f>
        <v>0</v>
      </c>
      <c r="I2176" s="166"/>
      <c r="J2176" s="31">
        <f>РЕАЛИЗАЦИЯ[[#This Row],[СОНИ]]*РЕАЛИЗАЦИЯ[[#This Row],[ТАННАРХ]]</f>
        <v>0</v>
      </c>
      <c r="K2176" s="31">
        <f>РЕАЛИЗАЦИЯ[[#This Row],[ЖАМИ]]-РЕАЛИЗАЦИЯ[[#This Row],[ЖАМИ2]]</f>
        <v>0</v>
      </c>
      <c r="L2176" s="31"/>
    </row>
    <row r="2177" spans="3:12" x14ac:dyDescent="0.3">
      <c r="C2177" s="204"/>
      <c r="D2177" s="204"/>
      <c r="G2177" s="50">
        <f>РЕАЛИЗАЦИЯ[[#This Row],[СОНИ]]*РЕАЛИЗАЦИЯ[[#This Row],[НАРХИ]]</f>
        <v>0</v>
      </c>
      <c r="I2177" s="166"/>
      <c r="J2177" s="31">
        <f>РЕАЛИЗАЦИЯ[[#This Row],[СОНИ]]*РЕАЛИЗАЦИЯ[[#This Row],[ТАННАРХ]]</f>
        <v>0</v>
      </c>
      <c r="K2177" s="31">
        <f>РЕАЛИЗАЦИЯ[[#This Row],[ЖАМИ]]-РЕАЛИЗАЦИЯ[[#This Row],[ЖАМИ2]]</f>
        <v>0</v>
      </c>
      <c r="L2177" s="31"/>
    </row>
    <row r="2178" spans="3:12" x14ac:dyDescent="0.3">
      <c r="C2178" s="204"/>
      <c r="D2178" s="204"/>
      <c r="G2178" s="50">
        <f>РЕАЛИЗАЦИЯ[[#This Row],[СОНИ]]*РЕАЛИЗАЦИЯ[[#This Row],[НАРХИ]]</f>
        <v>0</v>
      </c>
      <c r="I2178" s="166"/>
      <c r="J2178" s="31">
        <f>РЕАЛИЗАЦИЯ[[#This Row],[СОНИ]]*РЕАЛИЗАЦИЯ[[#This Row],[ТАННАРХ]]</f>
        <v>0</v>
      </c>
      <c r="K2178" s="31">
        <f>РЕАЛИЗАЦИЯ[[#This Row],[ЖАМИ]]-РЕАЛИЗАЦИЯ[[#This Row],[ЖАМИ2]]</f>
        <v>0</v>
      </c>
      <c r="L2178" s="31"/>
    </row>
    <row r="2179" spans="3:12" x14ac:dyDescent="0.3">
      <c r="C2179" s="204"/>
      <c r="D2179" s="204"/>
      <c r="G2179" s="50">
        <f>РЕАЛИЗАЦИЯ[[#This Row],[СОНИ]]*РЕАЛИЗАЦИЯ[[#This Row],[НАРХИ]]</f>
        <v>0</v>
      </c>
      <c r="I2179" s="166"/>
      <c r="J2179" s="31">
        <f>РЕАЛИЗАЦИЯ[[#This Row],[СОНИ]]*РЕАЛИЗАЦИЯ[[#This Row],[ТАННАРХ]]</f>
        <v>0</v>
      </c>
      <c r="K2179" s="31">
        <f>РЕАЛИЗАЦИЯ[[#This Row],[ЖАМИ]]-РЕАЛИЗАЦИЯ[[#This Row],[ЖАМИ2]]</f>
        <v>0</v>
      </c>
      <c r="L2179" s="31"/>
    </row>
    <row r="2180" spans="3:12" x14ac:dyDescent="0.3">
      <c r="C2180" s="207"/>
      <c r="D2180" s="207"/>
      <c r="G2180" s="50">
        <f>РЕАЛИЗАЦИЯ[[#This Row],[СОНИ]]*РЕАЛИЗАЦИЯ[[#This Row],[НАРХИ]]</f>
        <v>0</v>
      </c>
      <c r="I2180" s="166"/>
      <c r="J2180" s="31">
        <f>РЕАЛИЗАЦИЯ[[#This Row],[СОНИ]]*РЕАЛИЗАЦИЯ[[#This Row],[ТАННАРХ]]</f>
        <v>0</v>
      </c>
      <c r="K2180" s="31">
        <f>РЕАЛИЗАЦИЯ[[#This Row],[ЖАМИ]]-РЕАЛИЗАЦИЯ[[#This Row],[ЖАМИ2]]</f>
        <v>0</v>
      </c>
      <c r="L2180" s="31"/>
    </row>
    <row r="2181" spans="3:12" x14ac:dyDescent="0.3">
      <c r="C2181" s="204"/>
      <c r="D2181" s="204"/>
      <c r="G2181" s="50">
        <f>РЕАЛИЗАЦИЯ[[#This Row],[СОНИ]]*РЕАЛИЗАЦИЯ[[#This Row],[НАРХИ]]</f>
        <v>0</v>
      </c>
      <c r="I2181" s="166"/>
      <c r="J2181" s="31">
        <f>РЕАЛИЗАЦИЯ[[#This Row],[СОНИ]]*РЕАЛИЗАЦИЯ[[#This Row],[ТАННАРХ]]</f>
        <v>0</v>
      </c>
      <c r="K2181" s="31">
        <f>РЕАЛИЗАЦИЯ[[#This Row],[ЖАМИ]]-РЕАЛИЗАЦИЯ[[#This Row],[ЖАМИ2]]</f>
        <v>0</v>
      </c>
      <c r="L2181" s="31"/>
    </row>
    <row r="2182" spans="3:12" x14ac:dyDescent="0.3">
      <c r="C2182" s="204"/>
      <c r="D2182" s="204"/>
      <c r="G2182" s="50">
        <f>РЕАЛИЗАЦИЯ[[#This Row],[СОНИ]]*РЕАЛИЗАЦИЯ[[#This Row],[НАРХИ]]</f>
        <v>0</v>
      </c>
      <c r="I2182" s="166"/>
      <c r="J2182" s="31">
        <f>РЕАЛИЗАЦИЯ[[#This Row],[СОНИ]]*РЕАЛИЗАЦИЯ[[#This Row],[ТАННАРХ]]</f>
        <v>0</v>
      </c>
      <c r="K2182" s="31">
        <f>РЕАЛИЗАЦИЯ[[#This Row],[ЖАМИ]]-РЕАЛИЗАЦИЯ[[#This Row],[ЖАМИ2]]</f>
        <v>0</v>
      </c>
      <c r="L2182" s="31"/>
    </row>
    <row r="2183" spans="3:12" x14ac:dyDescent="0.3">
      <c r="C2183" s="204"/>
      <c r="D2183" s="204"/>
      <c r="G2183" s="50">
        <f>РЕАЛИЗАЦИЯ[[#This Row],[СОНИ]]*РЕАЛИЗАЦИЯ[[#This Row],[НАРХИ]]</f>
        <v>0</v>
      </c>
      <c r="I2183" s="166"/>
      <c r="J2183" s="31">
        <f>РЕАЛИЗАЦИЯ[[#This Row],[СОНИ]]*РЕАЛИЗАЦИЯ[[#This Row],[ТАННАРХ]]</f>
        <v>0</v>
      </c>
      <c r="K2183" s="31">
        <f>РЕАЛИЗАЦИЯ[[#This Row],[ЖАМИ]]-РЕАЛИЗАЦИЯ[[#This Row],[ЖАМИ2]]</f>
        <v>0</v>
      </c>
      <c r="L2183" s="31"/>
    </row>
    <row r="2184" spans="3:12" x14ac:dyDescent="0.3">
      <c r="C2184" s="204"/>
      <c r="D2184" s="204"/>
      <c r="G2184" s="50">
        <f>РЕАЛИЗАЦИЯ[[#This Row],[СОНИ]]*РЕАЛИЗАЦИЯ[[#This Row],[НАРХИ]]</f>
        <v>0</v>
      </c>
      <c r="I2184" s="166"/>
      <c r="J2184" s="31">
        <f>РЕАЛИЗАЦИЯ[[#This Row],[СОНИ]]*РЕАЛИЗАЦИЯ[[#This Row],[ТАННАРХ]]</f>
        <v>0</v>
      </c>
      <c r="K2184" s="31">
        <f>РЕАЛИЗАЦИЯ[[#This Row],[ЖАМИ]]-РЕАЛИЗАЦИЯ[[#This Row],[ЖАМИ2]]</f>
        <v>0</v>
      </c>
      <c r="L2184" s="31"/>
    </row>
    <row r="2185" spans="3:12" x14ac:dyDescent="0.3">
      <c r="C2185" s="204"/>
      <c r="D2185" s="204"/>
      <c r="G2185" s="50">
        <f>РЕАЛИЗАЦИЯ[[#This Row],[СОНИ]]*РЕАЛИЗАЦИЯ[[#This Row],[НАРХИ]]</f>
        <v>0</v>
      </c>
      <c r="I2185" s="166"/>
      <c r="J2185" s="31">
        <f>РЕАЛИЗАЦИЯ[[#This Row],[СОНИ]]*РЕАЛИЗАЦИЯ[[#This Row],[ТАННАРХ]]</f>
        <v>0</v>
      </c>
      <c r="K2185" s="31">
        <f>РЕАЛИЗАЦИЯ[[#This Row],[ЖАМИ]]-РЕАЛИЗАЦИЯ[[#This Row],[ЖАМИ2]]</f>
        <v>0</v>
      </c>
      <c r="L2185" s="31"/>
    </row>
    <row r="2186" spans="3:12" x14ac:dyDescent="0.3">
      <c r="C2186" s="205"/>
      <c r="D2186" s="205"/>
      <c r="G2186" s="50">
        <f>РЕАЛИЗАЦИЯ[[#This Row],[СОНИ]]*РЕАЛИЗАЦИЯ[[#This Row],[НАРХИ]]</f>
        <v>0</v>
      </c>
      <c r="I2186" s="166"/>
      <c r="J2186" s="31">
        <f>РЕАЛИЗАЦИЯ[[#This Row],[СОНИ]]*РЕАЛИЗАЦИЯ[[#This Row],[ТАННАРХ]]</f>
        <v>0</v>
      </c>
      <c r="K2186" s="31">
        <f>РЕАЛИЗАЦИЯ[[#This Row],[ЖАМИ]]-РЕАЛИЗАЦИЯ[[#This Row],[ЖАМИ2]]</f>
        <v>0</v>
      </c>
      <c r="L2186" s="31"/>
    </row>
    <row r="2187" spans="3:12" x14ac:dyDescent="0.3">
      <c r="C2187" s="205"/>
      <c r="D2187" s="205"/>
      <c r="G2187" s="50">
        <f>РЕАЛИЗАЦИЯ[[#This Row],[СОНИ]]*РЕАЛИЗАЦИЯ[[#This Row],[НАРХИ]]</f>
        <v>0</v>
      </c>
      <c r="I2187" s="166"/>
      <c r="J2187" s="31">
        <f>РЕАЛИЗАЦИЯ[[#This Row],[СОНИ]]*РЕАЛИЗАЦИЯ[[#This Row],[ТАННАРХ]]</f>
        <v>0</v>
      </c>
      <c r="K2187" s="31">
        <f>РЕАЛИЗАЦИЯ[[#This Row],[ЖАМИ]]-РЕАЛИЗАЦИЯ[[#This Row],[ЖАМИ2]]</f>
        <v>0</v>
      </c>
      <c r="L2187" s="31"/>
    </row>
    <row r="2188" spans="3:12" x14ac:dyDescent="0.3">
      <c r="C2188" s="205"/>
      <c r="D2188" s="205"/>
      <c r="G2188" s="50">
        <f>РЕАЛИЗАЦИЯ[[#This Row],[СОНИ]]*РЕАЛИЗАЦИЯ[[#This Row],[НАРХИ]]</f>
        <v>0</v>
      </c>
      <c r="I2188" s="166"/>
      <c r="J2188" s="31">
        <f>РЕАЛИЗАЦИЯ[[#This Row],[СОНИ]]*РЕАЛИЗАЦИЯ[[#This Row],[ТАННАРХ]]</f>
        <v>0</v>
      </c>
      <c r="K2188" s="31">
        <f>РЕАЛИЗАЦИЯ[[#This Row],[ЖАМИ]]-РЕАЛИЗАЦИЯ[[#This Row],[ЖАМИ2]]</f>
        <v>0</v>
      </c>
      <c r="L2188" s="31"/>
    </row>
    <row r="2189" spans="3:12" x14ac:dyDescent="0.3">
      <c r="C2189" s="205"/>
      <c r="D2189" s="205"/>
      <c r="G2189" s="50">
        <f>РЕАЛИЗАЦИЯ[[#This Row],[СОНИ]]*РЕАЛИЗАЦИЯ[[#This Row],[НАРХИ]]</f>
        <v>0</v>
      </c>
      <c r="I2189" s="166"/>
      <c r="J2189" s="31">
        <f>РЕАЛИЗАЦИЯ[[#This Row],[СОНИ]]*РЕАЛИЗАЦИЯ[[#This Row],[ТАННАРХ]]</f>
        <v>0</v>
      </c>
      <c r="K2189" s="31">
        <f>РЕАЛИЗАЦИЯ[[#This Row],[ЖАМИ]]-РЕАЛИЗАЦИЯ[[#This Row],[ЖАМИ2]]</f>
        <v>0</v>
      </c>
      <c r="L2189" s="31"/>
    </row>
    <row r="2190" spans="3:12" x14ac:dyDescent="0.3">
      <c r="C2190" s="205"/>
      <c r="D2190" s="205"/>
      <c r="G2190" s="50">
        <f>РЕАЛИЗАЦИЯ[[#This Row],[СОНИ]]*РЕАЛИЗАЦИЯ[[#This Row],[НАРХИ]]</f>
        <v>0</v>
      </c>
      <c r="I2190" s="166"/>
      <c r="J2190" s="31">
        <f>РЕАЛИЗАЦИЯ[[#This Row],[СОНИ]]*РЕАЛИЗАЦИЯ[[#This Row],[ТАННАРХ]]</f>
        <v>0</v>
      </c>
      <c r="K2190" s="31">
        <f>РЕАЛИЗАЦИЯ[[#This Row],[ЖАМИ]]-РЕАЛИЗАЦИЯ[[#This Row],[ЖАМИ2]]</f>
        <v>0</v>
      </c>
      <c r="L2190" s="31"/>
    </row>
    <row r="2191" spans="3:12" x14ac:dyDescent="0.3">
      <c r="C2191" s="205"/>
      <c r="D2191" s="205"/>
      <c r="G2191" s="50">
        <f>РЕАЛИЗАЦИЯ[[#This Row],[СОНИ]]*РЕАЛИЗАЦИЯ[[#This Row],[НАРХИ]]</f>
        <v>0</v>
      </c>
      <c r="I2191" s="166"/>
      <c r="J2191" s="31">
        <f>РЕАЛИЗАЦИЯ[[#This Row],[СОНИ]]*РЕАЛИЗАЦИЯ[[#This Row],[ТАННАРХ]]</f>
        <v>0</v>
      </c>
      <c r="K2191" s="31">
        <f>РЕАЛИЗАЦИЯ[[#This Row],[ЖАМИ]]-РЕАЛИЗАЦИЯ[[#This Row],[ЖАМИ2]]</f>
        <v>0</v>
      </c>
      <c r="L2191" s="31"/>
    </row>
    <row r="2192" spans="3:12" x14ac:dyDescent="0.3">
      <c r="C2192" s="205"/>
      <c r="D2192" s="205"/>
      <c r="G2192" s="50">
        <f>РЕАЛИЗАЦИЯ[[#This Row],[СОНИ]]*РЕАЛИЗАЦИЯ[[#This Row],[НАРХИ]]</f>
        <v>0</v>
      </c>
      <c r="I2192" s="166"/>
      <c r="J2192" s="31">
        <f>РЕАЛИЗАЦИЯ[[#This Row],[СОНИ]]*РЕАЛИЗАЦИЯ[[#This Row],[ТАННАРХ]]</f>
        <v>0</v>
      </c>
      <c r="K2192" s="31">
        <f>РЕАЛИЗАЦИЯ[[#This Row],[ЖАМИ]]-РЕАЛИЗАЦИЯ[[#This Row],[ЖАМИ2]]</f>
        <v>0</v>
      </c>
      <c r="L2192" s="31"/>
    </row>
    <row r="2193" spans="3:12" x14ac:dyDescent="0.3">
      <c r="C2193" s="205"/>
      <c r="D2193" s="205"/>
      <c r="G2193" s="50">
        <f>РЕАЛИЗАЦИЯ[[#This Row],[СОНИ]]*РЕАЛИЗАЦИЯ[[#This Row],[НАРХИ]]</f>
        <v>0</v>
      </c>
      <c r="I2193" s="166"/>
      <c r="J2193" s="31">
        <f>РЕАЛИЗАЦИЯ[[#This Row],[СОНИ]]*РЕАЛИЗАЦИЯ[[#This Row],[ТАННАРХ]]</f>
        <v>0</v>
      </c>
      <c r="K2193" s="31">
        <f>РЕАЛИЗАЦИЯ[[#This Row],[ЖАМИ]]-РЕАЛИЗАЦИЯ[[#This Row],[ЖАМИ2]]</f>
        <v>0</v>
      </c>
      <c r="L2193" s="31"/>
    </row>
    <row r="2194" spans="3:12" x14ac:dyDescent="0.3">
      <c r="C2194" s="205"/>
      <c r="D2194" s="205"/>
      <c r="G2194" s="50">
        <f>РЕАЛИЗАЦИЯ[[#This Row],[СОНИ]]*РЕАЛИЗАЦИЯ[[#This Row],[НАРХИ]]</f>
        <v>0</v>
      </c>
      <c r="I2194" s="166"/>
      <c r="J2194" s="31">
        <f>РЕАЛИЗАЦИЯ[[#This Row],[СОНИ]]*РЕАЛИЗАЦИЯ[[#This Row],[ТАННАРХ]]</f>
        <v>0</v>
      </c>
      <c r="K2194" s="31">
        <f>РЕАЛИЗАЦИЯ[[#This Row],[ЖАМИ]]-РЕАЛИЗАЦИЯ[[#This Row],[ЖАМИ2]]</f>
        <v>0</v>
      </c>
      <c r="L2194" s="31"/>
    </row>
    <row r="2195" spans="3:12" x14ac:dyDescent="0.3">
      <c r="C2195" s="205"/>
      <c r="D2195" s="205"/>
      <c r="G2195" s="50">
        <f>РЕАЛИЗАЦИЯ[[#This Row],[СОНИ]]*РЕАЛИЗАЦИЯ[[#This Row],[НАРХИ]]</f>
        <v>0</v>
      </c>
      <c r="I2195" s="166"/>
      <c r="J2195" s="31">
        <f>РЕАЛИЗАЦИЯ[[#This Row],[СОНИ]]*РЕАЛИЗАЦИЯ[[#This Row],[ТАННАРХ]]</f>
        <v>0</v>
      </c>
      <c r="K2195" s="31">
        <f>РЕАЛИЗАЦИЯ[[#This Row],[ЖАМИ]]-РЕАЛИЗАЦИЯ[[#This Row],[ЖАМИ2]]</f>
        <v>0</v>
      </c>
      <c r="L2195" s="31"/>
    </row>
    <row r="2196" spans="3:12" x14ac:dyDescent="0.3">
      <c r="C2196" s="205"/>
      <c r="D2196" s="205"/>
      <c r="G2196" s="50">
        <f>РЕАЛИЗАЦИЯ[[#This Row],[СОНИ]]*РЕАЛИЗАЦИЯ[[#This Row],[НАРХИ]]</f>
        <v>0</v>
      </c>
      <c r="I2196" s="166"/>
      <c r="J2196" s="31">
        <f>РЕАЛИЗАЦИЯ[[#This Row],[СОНИ]]*РЕАЛИЗАЦИЯ[[#This Row],[ТАННАРХ]]</f>
        <v>0</v>
      </c>
      <c r="K2196" s="31">
        <f>РЕАЛИЗАЦИЯ[[#This Row],[ЖАМИ]]-РЕАЛИЗАЦИЯ[[#This Row],[ЖАМИ2]]</f>
        <v>0</v>
      </c>
      <c r="L2196" s="31"/>
    </row>
    <row r="2197" spans="3:12" x14ac:dyDescent="0.3">
      <c r="C2197" s="205"/>
      <c r="D2197" s="205"/>
      <c r="G2197" s="50">
        <f>РЕАЛИЗАЦИЯ[[#This Row],[СОНИ]]*РЕАЛИЗАЦИЯ[[#This Row],[НАРХИ]]</f>
        <v>0</v>
      </c>
      <c r="I2197" s="166"/>
      <c r="J2197" s="31">
        <f>РЕАЛИЗАЦИЯ[[#This Row],[СОНИ]]*РЕАЛИЗАЦИЯ[[#This Row],[ТАННАРХ]]</f>
        <v>0</v>
      </c>
      <c r="K2197" s="31">
        <f>РЕАЛИЗАЦИЯ[[#This Row],[ЖАМИ]]-РЕАЛИЗАЦИЯ[[#This Row],[ЖАМИ2]]</f>
        <v>0</v>
      </c>
      <c r="L2197" s="31"/>
    </row>
    <row r="2198" spans="3:12" x14ac:dyDescent="0.3">
      <c r="C2198" s="205"/>
      <c r="D2198" s="205"/>
      <c r="G2198" s="50">
        <f>РЕАЛИЗАЦИЯ[[#This Row],[СОНИ]]*РЕАЛИЗАЦИЯ[[#This Row],[НАРХИ]]</f>
        <v>0</v>
      </c>
      <c r="I2198" s="166"/>
      <c r="J2198" s="31">
        <f>РЕАЛИЗАЦИЯ[[#This Row],[СОНИ]]*РЕАЛИЗАЦИЯ[[#This Row],[ТАННАРХ]]</f>
        <v>0</v>
      </c>
      <c r="K2198" s="31">
        <f>РЕАЛИЗАЦИЯ[[#This Row],[ЖАМИ]]-РЕАЛИЗАЦИЯ[[#This Row],[ЖАМИ2]]</f>
        <v>0</v>
      </c>
      <c r="L2198" s="31"/>
    </row>
    <row r="2199" spans="3:12" x14ac:dyDescent="0.3">
      <c r="C2199" s="205"/>
      <c r="D2199" s="205"/>
      <c r="G2199" s="50">
        <f>РЕАЛИЗАЦИЯ[[#This Row],[СОНИ]]*РЕАЛИЗАЦИЯ[[#This Row],[НАРХИ]]</f>
        <v>0</v>
      </c>
      <c r="I2199" s="166"/>
      <c r="J2199" s="31">
        <f>РЕАЛИЗАЦИЯ[[#This Row],[СОНИ]]*РЕАЛИЗАЦИЯ[[#This Row],[ТАННАРХ]]</f>
        <v>0</v>
      </c>
      <c r="K2199" s="31">
        <f>РЕАЛИЗАЦИЯ[[#This Row],[ЖАМИ]]-РЕАЛИЗАЦИЯ[[#This Row],[ЖАМИ2]]</f>
        <v>0</v>
      </c>
      <c r="L2199" s="31"/>
    </row>
    <row r="2200" spans="3:12" x14ac:dyDescent="0.3">
      <c r="C2200" s="205"/>
      <c r="D2200" s="205"/>
      <c r="G2200" s="50">
        <f>РЕАЛИЗАЦИЯ[[#This Row],[СОНИ]]*РЕАЛИЗАЦИЯ[[#This Row],[НАРХИ]]</f>
        <v>0</v>
      </c>
      <c r="I2200" s="166"/>
      <c r="J2200" s="31">
        <f>РЕАЛИЗАЦИЯ[[#This Row],[СОНИ]]*РЕАЛИЗАЦИЯ[[#This Row],[ТАННАРХ]]</f>
        <v>0</v>
      </c>
      <c r="K2200" s="31">
        <f>РЕАЛИЗАЦИЯ[[#This Row],[ЖАМИ]]-РЕАЛИЗАЦИЯ[[#This Row],[ЖАМИ2]]</f>
        <v>0</v>
      </c>
      <c r="L2200" s="31"/>
    </row>
    <row r="2201" spans="3:12" x14ac:dyDescent="0.3">
      <c r="C2201" s="205"/>
      <c r="D2201" s="205"/>
      <c r="G2201" s="50">
        <f>РЕАЛИЗАЦИЯ[[#This Row],[СОНИ]]*РЕАЛИЗАЦИЯ[[#This Row],[НАРХИ]]</f>
        <v>0</v>
      </c>
      <c r="I2201" s="166"/>
      <c r="J2201" s="31">
        <f>РЕАЛИЗАЦИЯ[[#This Row],[СОНИ]]*РЕАЛИЗАЦИЯ[[#This Row],[ТАННАРХ]]</f>
        <v>0</v>
      </c>
      <c r="K2201" s="31">
        <f>РЕАЛИЗАЦИЯ[[#This Row],[ЖАМИ]]-РЕАЛИЗАЦИЯ[[#This Row],[ЖАМИ2]]</f>
        <v>0</v>
      </c>
      <c r="L2201" s="31"/>
    </row>
    <row r="2202" spans="3:12" x14ac:dyDescent="0.3">
      <c r="C2202" s="205"/>
      <c r="D2202" s="205"/>
      <c r="G2202" s="50">
        <f>РЕАЛИЗАЦИЯ[[#This Row],[СОНИ]]*РЕАЛИЗАЦИЯ[[#This Row],[НАРХИ]]</f>
        <v>0</v>
      </c>
      <c r="I2202" s="166"/>
      <c r="J2202" s="31">
        <f>РЕАЛИЗАЦИЯ[[#This Row],[СОНИ]]*РЕАЛИЗАЦИЯ[[#This Row],[ТАННАРХ]]</f>
        <v>0</v>
      </c>
      <c r="K2202" s="31">
        <f>РЕАЛИЗАЦИЯ[[#This Row],[ЖАМИ]]-РЕАЛИЗАЦИЯ[[#This Row],[ЖАМИ2]]</f>
        <v>0</v>
      </c>
      <c r="L2202" s="31"/>
    </row>
    <row r="2203" spans="3:12" x14ac:dyDescent="0.3">
      <c r="C2203" s="205"/>
      <c r="D2203" s="205"/>
      <c r="G2203" s="50">
        <f>РЕАЛИЗАЦИЯ[[#This Row],[СОНИ]]*РЕАЛИЗАЦИЯ[[#This Row],[НАРХИ]]</f>
        <v>0</v>
      </c>
      <c r="I2203" s="166"/>
      <c r="J2203" s="31">
        <f>РЕАЛИЗАЦИЯ[[#This Row],[СОНИ]]*РЕАЛИЗАЦИЯ[[#This Row],[ТАННАРХ]]</f>
        <v>0</v>
      </c>
      <c r="K2203" s="31">
        <f>РЕАЛИЗАЦИЯ[[#This Row],[ЖАМИ]]-РЕАЛИЗАЦИЯ[[#This Row],[ЖАМИ2]]</f>
        <v>0</v>
      </c>
      <c r="L2203" s="31"/>
    </row>
    <row r="2204" spans="3:12" x14ac:dyDescent="0.3">
      <c r="C2204" s="205"/>
      <c r="D2204" s="205"/>
      <c r="G2204" s="50">
        <f>РЕАЛИЗАЦИЯ[[#This Row],[СОНИ]]*РЕАЛИЗАЦИЯ[[#This Row],[НАРХИ]]</f>
        <v>0</v>
      </c>
      <c r="I2204" s="166"/>
      <c r="J2204" s="31">
        <f>РЕАЛИЗАЦИЯ[[#This Row],[СОНИ]]*РЕАЛИЗАЦИЯ[[#This Row],[ТАННАРХ]]</f>
        <v>0</v>
      </c>
      <c r="K2204" s="31">
        <f>РЕАЛИЗАЦИЯ[[#This Row],[ЖАМИ]]-РЕАЛИЗАЦИЯ[[#This Row],[ЖАМИ2]]</f>
        <v>0</v>
      </c>
      <c r="L2204" s="31"/>
    </row>
    <row r="2205" spans="3:12" x14ac:dyDescent="0.3">
      <c r="C2205" s="205"/>
      <c r="D2205" s="205"/>
      <c r="G2205" s="50">
        <f>РЕАЛИЗАЦИЯ[[#This Row],[СОНИ]]*РЕАЛИЗАЦИЯ[[#This Row],[НАРХИ]]</f>
        <v>0</v>
      </c>
      <c r="I2205" s="166"/>
      <c r="J2205" s="31">
        <f>РЕАЛИЗАЦИЯ[[#This Row],[СОНИ]]*РЕАЛИЗАЦИЯ[[#This Row],[ТАННАРХ]]</f>
        <v>0</v>
      </c>
      <c r="K2205" s="31">
        <f>РЕАЛИЗАЦИЯ[[#This Row],[ЖАМИ]]-РЕАЛИЗАЦИЯ[[#This Row],[ЖАМИ2]]</f>
        <v>0</v>
      </c>
      <c r="L2205" s="31"/>
    </row>
    <row r="2206" spans="3:12" x14ac:dyDescent="0.3">
      <c r="C2206" s="205"/>
      <c r="D2206" s="205"/>
      <c r="G2206" s="50">
        <f>РЕАЛИЗАЦИЯ[[#This Row],[СОНИ]]*РЕАЛИЗАЦИЯ[[#This Row],[НАРХИ]]</f>
        <v>0</v>
      </c>
      <c r="I2206" s="166"/>
      <c r="J2206" s="31">
        <f>РЕАЛИЗАЦИЯ[[#This Row],[СОНИ]]*РЕАЛИЗАЦИЯ[[#This Row],[ТАННАРХ]]</f>
        <v>0</v>
      </c>
      <c r="K2206" s="31">
        <f>РЕАЛИЗАЦИЯ[[#This Row],[ЖАМИ]]-РЕАЛИЗАЦИЯ[[#This Row],[ЖАМИ2]]</f>
        <v>0</v>
      </c>
      <c r="L2206" s="31"/>
    </row>
    <row r="2207" spans="3:12" x14ac:dyDescent="0.3">
      <c r="C2207" s="205"/>
      <c r="D2207" s="205"/>
      <c r="G2207" s="50">
        <f>РЕАЛИЗАЦИЯ[[#This Row],[СОНИ]]*РЕАЛИЗАЦИЯ[[#This Row],[НАРХИ]]</f>
        <v>0</v>
      </c>
      <c r="I2207" s="166"/>
      <c r="J2207" s="31">
        <f>РЕАЛИЗАЦИЯ[[#This Row],[СОНИ]]*РЕАЛИЗАЦИЯ[[#This Row],[ТАННАРХ]]</f>
        <v>0</v>
      </c>
      <c r="K2207" s="31">
        <f>РЕАЛИЗАЦИЯ[[#This Row],[ЖАМИ]]-РЕАЛИЗАЦИЯ[[#This Row],[ЖАМИ2]]</f>
        <v>0</v>
      </c>
      <c r="L2207" s="31"/>
    </row>
    <row r="2208" spans="3:12" x14ac:dyDescent="0.3">
      <c r="C2208" s="205"/>
      <c r="D2208" s="205"/>
      <c r="G2208" s="50">
        <f>РЕАЛИЗАЦИЯ[[#This Row],[СОНИ]]*РЕАЛИЗАЦИЯ[[#This Row],[НАРХИ]]</f>
        <v>0</v>
      </c>
      <c r="I2208" s="166"/>
      <c r="J2208" s="31">
        <f>РЕАЛИЗАЦИЯ[[#This Row],[СОНИ]]*РЕАЛИЗАЦИЯ[[#This Row],[ТАННАРХ]]</f>
        <v>0</v>
      </c>
      <c r="K2208" s="31">
        <f>РЕАЛИЗАЦИЯ[[#This Row],[ЖАМИ]]-РЕАЛИЗАЦИЯ[[#This Row],[ЖАМИ2]]</f>
        <v>0</v>
      </c>
      <c r="L2208" s="31"/>
    </row>
    <row r="2209" spans="3:12" x14ac:dyDescent="0.3">
      <c r="C2209" s="205"/>
      <c r="D2209" s="205"/>
      <c r="G2209" s="50">
        <f>РЕАЛИЗАЦИЯ[[#This Row],[СОНИ]]*РЕАЛИЗАЦИЯ[[#This Row],[НАРХИ]]</f>
        <v>0</v>
      </c>
      <c r="I2209" s="166"/>
      <c r="J2209" s="31">
        <f>РЕАЛИЗАЦИЯ[[#This Row],[СОНИ]]*РЕАЛИЗАЦИЯ[[#This Row],[ТАННАРХ]]</f>
        <v>0</v>
      </c>
      <c r="K2209" s="31">
        <f>РЕАЛИЗАЦИЯ[[#This Row],[ЖАМИ]]-РЕАЛИЗАЦИЯ[[#This Row],[ЖАМИ2]]</f>
        <v>0</v>
      </c>
      <c r="L2209" s="31"/>
    </row>
    <row r="2210" spans="3:12" x14ac:dyDescent="0.3">
      <c r="C2210" s="205"/>
      <c r="D2210" s="205"/>
      <c r="G2210" s="50">
        <f>РЕАЛИЗАЦИЯ[[#This Row],[СОНИ]]*РЕАЛИЗАЦИЯ[[#This Row],[НАРХИ]]</f>
        <v>0</v>
      </c>
      <c r="I2210" s="166"/>
      <c r="J2210" s="31">
        <f>РЕАЛИЗАЦИЯ[[#This Row],[СОНИ]]*РЕАЛИЗАЦИЯ[[#This Row],[ТАННАРХ]]</f>
        <v>0</v>
      </c>
      <c r="K2210" s="31">
        <f>РЕАЛИЗАЦИЯ[[#This Row],[ЖАМИ]]-РЕАЛИЗАЦИЯ[[#This Row],[ЖАМИ2]]</f>
        <v>0</v>
      </c>
      <c r="L2210" s="31"/>
    </row>
    <row r="2211" spans="3:12" x14ac:dyDescent="0.3">
      <c r="C2211" s="205"/>
      <c r="D2211" s="205"/>
      <c r="G2211" s="50">
        <f>РЕАЛИЗАЦИЯ[[#This Row],[СОНИ]]*РЕАЛИЗАЦИЯ[[#This Row],[НАРХИ]]</f>
        <v>0</v>
      </c>
      <c r="I2211" s="166"/>
      <c r="J2211" s="31">
        <f>РЕАЛИЗАЦИЯ[[#This Row],[СОНИ]]*РЕАЛИЗАЦИЯ[[#This Row],[ТАННАРХ]]</f>
        <v>0</v>
      </c>
      <c r="K2211" s="31">
        <f>РЕАЛИЗАЦИЯ[[#This Row],[ЖАМИ]]-РЕАЛИЗАЦИЯ[[#This Row],[ЖАМИ2]]</f>
        <v>0</v>
      </c>
      <c r="L2211" s="31"/>
    </row>
    <row r="2212" spans="3:12" x14ac:dyDescent="0.3">
      <c r="C2212" s="205"/>
      <c r="D2212" s="205"/>
      <c r="G2212" s="50">
        <f>РЕАЛИЗАЦИЯ[[#This Row],[СОНИ]]*РЕАЛИЗАЦИЯ[[#This Row],[НАРХИ]]</f>
        <v>0</v>
      </c>
      <c r="I2212" s="166"/>
      <c r="J2212" s="31">
        <f>РЕАЛИЗАЦИЯ[[#This Row],[СОНИ]]*РЕАЛИЗАЦИЯ[[#This Row],[ТАННАРХ]]</f>
        <v>0</v>
      </c>
      <c r="K2212" s="31">
        <f>РЕАЛИЗАЦИЯ[[#This Row],[ЖАМИ]]-РЕАЛИЗАЦИЯ[[#This Row],[ЖАМИ2]]</f>
        <v>0</v>
      </c>
      <c r="L2212" s="31"/>
    </row>
    <row r="2213" spans="3:12" x14ac:dyDescent="0.3">
      <c r="C2213" s="205"/>
      <c r="D2213" s="205"/>
      <c r="G2213" s="50">
        <f>РЕАЛИЗАЦИЯ[[#This Row],[СОНИ]]*РЕАЛИЗАЦИЯ[[#This Row],[НАРХИ]]</f>
        <v>0</v>
      </c>
      <c r="I2213" s="166"/>
      <c r="J2213" s="31">
        <f>РЕАЛИЗАЦИЯ[[#This Row],[СОНИ]]*РЕАЛИЗАЦИЯ[[#This Row],[ТАННАРХ]]</f>
        <v>0</v>
      </c>
      <c r="K2213" s="31">
        <f>РЕАЛИЗАЦИЯ[[#This Row],[ЖАМИ]]-РЕАЛИЗАЦИЯ[[#This Row],[ЖАМИ2]]</f>
        <v>0</v>
      </c>
      <c r="L2213" s="31"/>
    </row>
    <row r="2214" spans="3:12" x14ac:dyDescent="0.3">
      <c r="C2214" s="205"/>
      <c r="D2214" s="205"/>
      <c r="G2214" s="50">
        <f>РЕАЛИЗАЦИЯ[[#This Row],[СОНИ]]*РЕАЛИЗАЦИЯ[[#This Row],[НАРХИ]]</f>
        <v>0</v>
      </c>
      <c r="I2214" s="166"/>
      <c r="J2214" s="31">
        <f>РЕАЛИЗАЦИЯ[[#This Row],[СОНИ]]*РЕАЛИЗАЦИЯ[[#This Row],[ТАННАРХ]]</f>
        <v>0</v>
      </c>
      <c r="K2214" s="31">
        <f>РЕАЛИЗАЦИЯ[[#This Row],[ЖАМИ]]-РЕАЛИЗАЦИЯ[[#This Row],[ЖАМИ2]]</f>
        <v>0</v>
      </c>
      <c r="L2214" s="31"/>
    </row>
    <row r="2215" spans="3:12" x14ac:dyDescent="0.3">
      <c r="C2215" s="205"/>
      <c r="D2215" s="205"/>
      <c r="G2215" s="50">
        <f>РЕАЛИЗАЦИЯ[[#This Row],[СОНИ]]*РЕАЛИЗАЦИЯ[[#This Row],[НАРХИ]]</f>
        <v>0</v>
      </c>
      <c r="I2215" s="166"/>
      <c r="J2215" s="31">
        <f>РЕАЛИЗАЦИЯ[[#This Row],[СОНИ]]*РЕАЛИЗАЦИЯ[[#This Row],[ТАННАРХ]]</f>
        <v>0</v>
      </c>
      <c r="K2215" s="31">
        <f>РЕАЛИЗАЦИЯ[[#This Row],[ЖАМИ]]-РЕАЛИЗАЦИЯ[[#This Row],[ЖАМИ2]]</f>
        <v>0</v>
      </c>
      <c r="L2215" s="31"/>
    </row>
    <row r="2216" spans="3:12" x14ac:dyDescent="0.3">
      <c r="C2216" s="205"/>
      <c r="D2216" s="205"/>
      <c r="G2216" s="50">
        <f>РЕАЛИЗАЦИЯ[[#This Row],[СОНИ]]*РЕАЛИЗАЦИЯ[[#This Row],[НАРХИ]]</f>
        <v>0</v>
      </c>
      <c r="I2216" s="166"/>
      <c r="J2216" s="31">
        <f>РЕАЛИЗАЦИЯ[[#This Row],[СОНИ]]*РЕАЛИЗАЦИЯ[[#This Row],[ТАННАРХ]]</f>
        <v>0</v>
      </c>
      <c r="K2216" s="31">
        <f>РЕАЛИЗАЦИЯ[[#This Row],[ЖАМИ]]-РЕАЛИЗАЦИЯ[[#This Row],[ЖАМИ2]]</f>
        <v>0</v>
      </c>
      <c r="L2216" s="31"/>
    </row>
    <row r="2217" spans="3:12" x14ac:dyDescent="0.3">
      <c r="C2217" s="205"/>
      <c r="D2217" s="205"/>
      <c r="G2217" s="50">
        <f>РЕАЛИЗАЦИЯ[[#This Row],[СОНИ]]*РЕАЛИЗАЦИЯ[[#This Row],[НАРХИ]]</f>
        <v>0</v>
      </c>
      <c r="I2217" s="166"/>
      <c r="J2217" s="31">
        <f>РЕАЛИЗАЦИЯ[[#This Row],[СОНИ]]*РЕАЛИЗАЦИЯ[[#This Row],[ТАННАРХ]]</f>
        <v>0</v>
      </c>
      <c r="K2217" s="31">
        <f>РЕАЛИЗАЦИЯ[[#This Row],[ЖАМИ]]-РЕАЛИЗАЦИЯ[[#This Row],[ЖАМИ2]]</f>
        <v>0</v>
      </c>
      <c r="L2217" s="31"/>
    </row>
    <row r="2218" spans="3:12" x14ac:dyDescent="0.3">
      <c r="C2218" s="205"/>
      <c r="D2218" s="205"/>
      <c r="G2218" s="50">
        <f>РЕАЛИЗАЦИЯ[[#This Row],[СОНИ]]*РЕАЛИЗАЦИЯ[[#This Row],[НАРХИ]]</f>
        <v>0</v>
      </c>
      <c r="I2218" s="166"/>
      <c r="J2218" s="31">
        <f>РЕАЛИЗАЦИЯ[[#This Row],[СОНИ]]*РЕАЛИЗАЦИЯ[[#This Row],[ТАННАРХ]]</f>
        <v>0</v>
      </c>
      <c r="K2218" s="31">
        <f>РЕАЛИЗАЦИЯ[[#This Row],[ЖАМИ]]-РЕАЛИЗАЦИЯ[[#This Row],[ЖАМИ2]]</f>
        <v>0</v>
      </c>
      <c r="L2218" s="31"/>
    </row>
    <row r="2219" spans="3:12" x14ac:dyDescent="0.3">
      <c r="C2219" s="205"/>
      <c r="D2219" s="205"/>
      <c r="G2219" s="50">
        <f>РЕАЛИЗАЦИЯ[[#This Row],[СОНИ]]*РЕАЛИЗАЦИЯ[[#This Row],[НАРХИ]]</f>
        <v>0</v>
      </c>
      <c r="I2219" s="166"/>
      <c r="J2219" s="31">
        <f>РЕАЛИЗАЦИЯ[[#This Row],[СОНИ]]*РЕАЛИЗАЦИЯ[[#This Row],[ТАННАРХ]]</f>
        <v>0</v>
      </c>
      <c r="K2219" s="31">
        <f>РЕАЛИЗАЦИЯ[[#This Row],[ЖАМИ]]-РЕАЛИЗАЦИЯ[[#This Row],[ЖАМИ2]]</f>
        <v>0</v>
      </c>
      <c r="L2219" s="31"/>
    </row>
    <row r="2220" spans="3:12" x14ac:dyDescent="0.3">
      <c r="C2220" s="205"/>
      <c r="D2220" s="205"/>
      <c r="G2220" s="50">
        <f>РЕАЛИЗАЦИЯ[[#This Row],[СОНИ]]*РЕАЛИЗАЦИЯ[[#This Row],[НАРХИ]]</f>
        <v>0</v>
      </c>
      <c r="I2220" s="166"/>
      <c r="J2220" s="31">
        <f>РЕАЛИЗАЦИЯ[[#This Row],[СОНИ]]*РЕАЛИЗАЦИЯ[[#This Row],[ТАННАРХ]]</f>
        <v>0</v>
      </c>
      <c r="K2220" s="31">
        <f>РЕАЛИЗАЦИЯ[[#This Row],[ЖАМИ]]-РЕАЛИЗАЦИЯ[[#This Row],[ЖАМИ2]]</f>
        <v>0</v>
      </c>
      <c r="L2220" s="31"/>
    </row>
    <row r="2221" spans="3:12" x14ac:dyDescent="0.3">
      <c r="C2221" s="205"/>
      <c r="D2221" s="205"/>
      <c r="G2221" s="50">
        <f>РЕАЛИЗАЦИЯ[[#This Row],[СОНИ]]*РЕАЛИЗАЦИЯ[[#This Row],[НАРХИ]]</f>
        <v>0</v>
      </c>
      <c r="I2221" s="166"/>
      <c r="J2221" s="31">
        <f>РЕАЛИЗАЦИЯ[[#This Row],[СОНИ]]*РЕАЛИЗАЦИЯ[[#This Row],[ТАННАРХ]]</f>
        <v>0</v>
      </c>
      <c r="K2221" s="31">
        <f>РЕАЛИЗАЦИЯ[[#This Row],[ЖАМИ]]-РЕАЛИЗАЦИЯ[[#This Row],[ЖАМИ2]]</f>
        <v>0</v>
      </c>
      <c r="L2221" s="31"/>
    </row>
    <row r="2222" spans="3:12" x14ac:dyDescent="0.3">
      <c r="C2222" s="205"/>
      <c r="D2222" s="205"/>
      <c r="G2222" s="50">
        <f>РЕАЛИЗАЦИЯ[[#This Row],[СОНИ]]*РЕАЛИЗАЦИЯ[[#This Row],[НАРХИ]]</f>
        <v>0</v>
      </c>
      <c r="I2222" s="166"/>
      <c r="J2222" s="31">
        <f>РЕАЛИЗАЦИЯ[[#This Row],[СОНИ]]*РЕАЛИЗАЦИЯ[[#This Row],[ТАННАРХ]]</f>
        <v>0</v>
      </c>
      <c r="K2222" s="31">
        <f>РЕАЛИЗАЦИЯ[[#This Row],[ЖАМИ]]-РЕАЛИЗАЦИЯ[[#This Row],[ЖАМИ2]]</f>
        <v>0</v>
      </c>
      <c r="L2222" s="31"/>
    </row>
    <row r="2223" spans="3:12" x14ac:dyDescent="0.3">
      <c r="C2223" s="205"/>
      <c r="D2223" s="205"/>
      <c r="G2223" s="50">
        <f>РЕАЛИЗАЦИЯ[[#This Row],[СОНИ]]*РЕАЛИЗАЦИЯ[[#This Row],[НАРХИ]]</f>
        <v>0</v>
      </c>
      <c r="I2223" s="166"/>
      <c r="J2223" s="31">
        <f>РЕАЛИЗАЦИЯ[[#This Row],[СОНИ]]*РЕАЛИЗАЦИЯ[[#This Row],[ТАННАРХ]]</f>
        <v>0</v>
      </c>
      <c r="K2223" s="31">
        <f>РЕАЛИЗАЦИЯ[[#This Row],[ЖАМИ]]-РЕАЛИЗАЦИЯ[[#This Row],[ЖАМИ2]]</f>
        <v>0</v>
      </c>
      <c r="L2223" s="31"/>
    </row>
    <row r="2224" spans="3:12" x14ac:dyDescent="0.3">
      <c r="C2224" s="205"/>
      <c r="D2224" s="205"/>
      <c r="G2224" s="50">
        <f>РЕАЛИЗАЦИЯ[[#This Row],[СОНИ]]*РЕАЛИЗАЦИЯ[[#This Row],[НАРХИ]]</f>
        <v>0</v>
      </c>
      <c r="I2224" s="166"/>
      <c r="J2224" s="31">
        <f>РЕАЛИЗАЦИЯ[[#This Row],[СОНИ]]*РЕАЛИЗАЦИЯ[[#This Row],[ТАННАРХ]]</f>
        <v>0</v>
      </c>
      <c r="K2224" s="31">
        <f>РЕАЛИЗАЦИЯ[[#This Row],[ЖАМИ]]-РЕАЛИЗАЦИЯ[[#This Row],[ЖАМИ2]]</f>
        <v>0</v>
      </c>
      <c r="L2224" s="31"/>
    </row>
    <row r="2225" spans="3:12" x14ac:dyDescent="0.3">
      <c r="C2225" s="205"/>
      <c r="D2225" s="205"/>
      <c r="G2225" s="50">
        <f>РЕАЛИЗАЦИЯ[[#This Row],[СОНИ]]*РЕАЛИЗАЦИЯ[[#This Row],[НАРХИ]]</f>
        <v>0</v>
      </c>
      <c r="I2225" s="166"/>
      <c r="J2225" s="31">
        <f>РЕАЛИЗАЦИЯ[[#This Row],[СОНИ]]*РЕАЛИЗАЦИЯ[[#This Row],[ТАННАРХ]]</f>
        <v>0</v>
      </c>
      <c r="K2225" s="31">
        <f>РЕАЛИЗАЦИЯ[[#This Row],[ЖАМИ]]-РЕАЛИЗАЦИЯ[[#This Row],[ЖАМИ2]]</f>
        <v>0</v>
      </c>
      <c r="L2225" s="31"/>
    </row>
    <row r="2226" spans="3:12" x14ac:dyDescent="0.3">
      <c r="C2226" s="210"/>
      <c r="D2226" s="210"/>
      <c r="G2226" s="50">
        <f>РЕАЛИЗАЦИЯ[[#This Row],[СОНИ]]*РЕАЛИЗАЦИЯ[[#This Row],[НАРХИ]]</f>
        <v>0</v>
      </c>
      <c r="I2226" s="166"/>
      <c r="J2226" s="31">
        <f>РЕАЛИЗАЦИЯ[[#This Row],[СОНИ]]*РЕАЛИЗАЦИЯ[[#This Row],[ТАННАРХ]]</f>
        <v>0</v>
      </c>
      <c r="K2226" s="31">
        <f>РЕАЛИЗАЦИЯ[[#This Row],[ЖАМИ]]-РЕАЛИЗАЦИЯ[[#This Row],[ЖАМИ2]]</f>
        <v>0</v>
      </c>
      <c r="L2226" s="31"/>
    </row>
    <row r="2227" spans="3:12" x14ac:dyDescent="0.3">
      <c r="C2227" s="205"/>
      <c r="D2227" s="205"/>
      <c r="G2227" s="50">
        <f>РЕАЛИЗАЦИЯ[[#This Row],[СОНИ]]*РЕАЛИЗАЦИЯ[[#This Row],[НАРХИ]]</f>
        <v>0</v>
      </c>
      <c r="I2227" s="166"/>
      <c r="J2227" s="31">
        <f>РЕАЛИЗАЦИЯ[[#This Row],[СОНИ]]*РЕАЛИЗАЦИЯ[[#This Row],[ТАННАРХ]]</f>
        <v>0</v>
      </c>
      <c r="K2227" s="31">
        <f>РЕАЛИЗАЦИЯ[[#This Row],[ЖАМИ]]-РЕАЛИЗАЦИЯ[[#This Row],[ЖАМИ2]]</f>
        <v>0</v>
      </c>
      <c r="L2227" s="31"/>
    </row>
    <row r="2228" spans="3:12" x14ac:dyDescent="0.3">
      <c r="C2228" s="205"/>
      <c r="D2228" s="205"/>
      <c r="G2228" s="50">
        <f>РЕАЛИЗАЦИЯ[[#This Row],[СОНИ]]*РЕАЛИЗАЦИЯ[[#This Row],[НАРХИ]]</f>
        <v>0</v>
      </c>
      <c r="I2228" s="166"/>
      <c r="J2228" s="31">
        <f>РЕАЛИЗАЦИЯ[[#This Row],[СОНИ]]*РЕАЛИЗАЦИЯ[[#This Row],[ТАННАРХ]]</f>
        <v>0</v>
      </c>
      <c r="K2228" s="31">
        <f>РЕАЛИЗАЦИЯ[[#This Row],[ЖАМИ]]-РЕАЛИЗАЦИЯ[[#This Row],[ЖАМИ2]]</f>
        <v>0</v>
      </c>
      <c r="L2228" s="31"/>
    </row>
    <row r="2229" spans="3:12" x14ac:dyDescent="0.3">
      <c r="C2229" s="205"/>
      <c r="D2229" s="205"/>
      <c r="G2229" s="50">
        <f>РЕАЛИЗАЦИЯ[[#This Row],[СОНИ]]*РЕАЛИЗАЦИЯ[[#This Row],[НАРХИ]]</f>
        <v>0</v>
      </c>
      <c r="I2229" s="166"/>
      <c r="J2229" s="31">
        <f>РЕАЛИЗАЦИЯ[[#This Row],[СОНИ]]*РЕАЛИЗАЦИЯ[[#This Row],[ТАННАРХ]]</f>
        <v>0</v>
      </c>
      <c r="K2229" s="31">
        <f>РЕАЛИЗАЦИЯ[[#This Row],[ЖАМИ]]-РЕАЛИЗАЦИЯ[[#This Row],[ЖАМИ2]]</f>
        <v>0</v>
      </c>
      <c r="L2229" s="31"/>
    </row>
    <row r="2230" spans="3:12" x14ac:dyDescent="0.3">
      <c r="C2230" s="210"/>
      <c r="D2230" s="210"/>
      <c r="G2230" s="50">
        <f>РЕАЛИЗАЦИЯ[[#This Row],[СОНИ]]*РЕАЛИЗАЦИЯ[[#This Row],[НАРХИ]]</f>
        <v>0</v>
      </c>
      <c r="I2230" s="166"/>
      <c r="J2230" s="31">
        <f>РЕАЛИЗАЦИЯ[[#This Row],[СОНИ]]*РЕАЛИЗАЦИЯ[[#This Row],[ТАННАРХ]]</f>
        <v>0</v>
      </c>
      <c r="K2230" s="31">
        <f>РЕАЛИЗАЦИЯ[[#This Row],[ЖАМИ]]-РЕАЛИЗАЦИЯ[[#This Row],[ЖАМИ2]]</f>
        <v>0</v>
      </c>
      <c r="L2230" s="31"/>
    </row>
    <row r="2231" spans="3:12" x14ac:dyDescent="0.3">
      <c r="C2231" s="205"/>
      <c r="D2231" s="205"/>
      <c r="G2231" s="50">
        <f>РЕАЛИЗАЦИЯ[[#This Row],[СОНИ]]*РЕАЛИЗАЦИЯ[[#This Row],[НАРХИ]]</f>
        <v>0</v>
      </c>
      <c r="I2231" s="166"/>
      <c r="J2231" s="31">
        <f>РЕАЛИЗАЦИЯ[[#This Row],[СОНИ]]*РЕАЛИЗАЦИЯ[[#This Row],[ТАННАРХ]]</f>
        <v>0</v>
      </c>
      <c r="K2231" s="31">
        <f>РЕАЛИЗАЦИЯ[[#This Row],[ЖАМИ]]-РЕАЛИЗАЦИЯ[[#This Row],[ЖАМИ2]]</f>
        <v>0</v>
      </c>
      <c r="L2231" s="31"/>
    </row>
    <row r="2232" spans="3:12" x14ac:dyDescent="0.3">
      <c r="C2232" s="209"/>
      <c r="D2232" s="209"/>
      <c r="G2232" s="50">
        <f>РЕАЛИЗАЦИЯ[[#This Row],[СОНИ]]*РЕАЛИЗАЦИЯ[[#This Row],[НАРХИ]]</f>
        <v>0</v>
      </c>
      <c r="I2232" s="166"/>
      <c r="J2232" s="31">
        <f>РЕАЛИЗАЦИЯ[[#This Row],[СОНИ]]*РЕАЛИЗАЦИЯ[[#This Row],[ТАННАРХ]]</f>
        <v>0</v>
      </c>
      <c r="K2232" s="31">
        <f>РЕАЛИЗАЦИЯ[[#This Row],[ЖАМИ]]-РЕАЛИЗАЦИЯ[[#This Row],[ЖАМИ2]]</f>
        <v>0</v>
      </c>
      <c r="L2232" s="31"/>
    </row>
    <row r="2233" spans="3:12" x14ac:dyDescent="0.3">
      <c r="C2233" s="209"/>
      <c r="D2233" s="209"/>
      <c r="G2233" s="50">
        <f>РЕАЛИЗАЦИЯ[[#This Row],[СОНИ]]*РЕАЛИЗАЦИЯ[[#This Row],[НАРХИ]]</f>
        <v>0</v>
      </c>
      <c r="I2233" s="166"/>
      <c r="J2233" s="31">
        <f>РЕАЛИЗАЦИЯ[[#This Row],[СОНИ]]*РЕАЛИЗАЦИЯ[[#This Row],[ТАННАРХ]]</f>
        <v>0</v>
      </c>
      <c r="K2233" s="31">
        <f>РЕАЛИЗАЦИЯ[[#This Row],[ЖАМИ]]-РЕАЛИЗАЦИЯ[[#This Row],[ЖАМИ2]]</f>
        <v>0</v>
      </c>
      <c r="L2233" s="31"/>
    </row>
    <row r="2234" spans="3:12" x14ac:dyDescent="0.3">
      <c r="C2234" s="209"/>
      <c r="D2234" s="209"/>
      <c r="G2234" s="50">
        <f>РЕАЛИЗАЦИЯ[[#This Row],[СОНИ]]*РЕАЛИЗАЦИЯ[[#This Row],[НАРХИ]]</f>
        <v>0</v>
      </c>
      <c r="I2234" s="166"/>
      <c r="J2234" s="31">
        <f>РЕАЛИЗАЦИЯ[[#This Row],[СОНИ]]*РЕАЛИЗАЦИЯ[[#This Row],[ТАННАРХ]]</f>
        <v>0</v>
      </c>
      <c r="K2234" s="31">
        <f>РЕАЛИЗАЦИЯ[[#This Row],[ЖАМИ]]-РЕАЛИЗАЦИЯ[[#This Row],[ЖАМИ2]]</f>
        <v>0</v>
      </c>
      <c r="L2234" s="31"/>
    </row>
    <row r="2235" spans="3:12" x14ac:dyDescent="0.3">
      <c r="C2235" s="209"/>
      <c r="D2235" s="209"/>
      <c r="G2235" s="50">
        <f>РЕАЛИЗАЦИЯ[[#This Row],[СОНИ]]*РЕАЛИЗАЦИЯ[[#This Row],[НАРХИ]]</f>
        <v>0</v>
      </c>
      <c r="I2235" s="166"/>
      <c r="J2235" s="31">
        <f>РЕАЛИЗАЦИЯ[[#This Row],[СОНИ]]*РЕАЛИЗАЦИЯ[[#This Row],[ТАННАРХ]]</f>
        <v>0</v>
      </c>
      <c r="K2235" s="31">
        <f>РЕАЛИЗАЦИЯ[[#This Row],[ЖАМИ]]-РЕАЛИЗАЦИЯ[[#This Row],[ЖАМИ2]]</f>
        <v>0</v>
      </c>
      <c r="L2235" s="31"/>
    </row>
    <row r="2236" spans="3:12" x14ac:dyDescent="0.3">
      <c r="C2236" s="209"/>
      <c r="D2236" s="209"/>
      <c r="G2236" s="50">
        <f>РЕАЛИЗАЦИЯ[[#This Row],[СОНИ]]*РЕАЛИЗАЦИЯ[[#This Row],[НАРХИ]]</f>
        <v>0</v>
      </c>
      <c r="I2236" s="166"/>
      <c r="J2236" s="31">
        <f>РЕАЛИЗАЦИЯ[[#This Row],[СОНИ]]*РЕАЛИЗАЦИЯ[[#This Row],[ТАННАРХ]]</f>
        <v>0</v>
      </c>
      <c r="K2236" s="31">
        <f>РЕАЛИЗАЦИЯ[[#This Row],[ЖАМИ]]-РЕАЛИЗАЦИЯ[[#This Row],[ЖАМИ2]]</f>
        <v>0</v>
      </c>
      <c r="L2236" s="31"/>
    </row>
    <row r="2237" spans="3:12" x14ac:dyDescent="0.3">
      <c r="C2237" s="209"/>
      <c r="D2237" s="209"/>
      <c r="G2237" s="50">
        <f>РЕАЛИЗАЦИЯ[[#This Row],[СОНИ]]*РЕАЛИЗАЦИЯ[[#This Row],[НАРХИ]]</f>
        <v>0</v>
      </c>
      <c r="I2237" s="166"/>
      <c r="J2237" s="31">
        <f>РЕАЛИЗАЦИЯ[[#This Row],[СОНИ]]*РЕАЛИЗАЦИЯ[[#This Row],[ТАННАРХ]]</f>
        <v>0</v>
      </c>
      <c r="K2237" s="31">
        <f>РЕАЛИЗАЦИЯ[[#This Row],[ЖАМИ]]-РЕАЛИЗАЦИЯ[[#This Row],[ЖАМИ2]]</f>
        <v>0</v>
      </c>
      <c r="L2237" s="31"/>
    </row>
    <row r="2238" spans="3:12" x14ac:dyDescent="0.3">
      <c r="C2238" s="209"/>
      <c r="D2238" s="209"/>
      <c r="G2238" s="50">
        <f>РЕАЛИЗАЦИЯ[[#This Row],[СОНИ]]*РЕАЛИЗАЦИЯ[[#This Row],[НАРХИ]]</f>
        <v>0</v>
      </c>
      <c r="I2238" s="166"/>
      <c r="J2238" s="31">
        <f>РЕАЛИЗАЦИЯ[[#This Row],[СОНИ]]*РЕАЛИЗАЦИЯ[[#This Row],[ТАННАРХ]]</f>
        <v>0</v>
      </c>
      <c r="K2238" s="31">
        <f>РЕАЛИЗАЦИЯ[[#This Row],[ЖАМИ]]-РЕАЛИЗАЦИЯ[[#This Row],[ЖАМИ2]]</f>
        <v>0</v>
      </c>
      <c r="L2238" s="31"/>
    </row>
    <row r="2239" spans="3:12" x14ac:dyDescent="0.3">
      <c r="C2239" s="209"/>
      <c r="D2239" s="209"/>
      <c r="G2239" s="50">
        <f>РЕАЛИЗАЦИЯ[[#This Row],[СОНИ]]*РЕАЛИЗАЦИЯ[[#This Row],[НАРХИ]]</f>
        <v>0</v>
      </c>
      <c r="I2239" s="166"/>
      <c r="J2239" s="31">
        <f>РЕАЛИЗАЦИЯ[[#This Row],[СОНИ]]*РЕАЛИЗАЦИЯ[[#This Row],[ТАННАРХ]]</f>
        <v>0</v>
      </c>
      <c r="K2239" s="31">
        <f>РЕАЛИЗАЦИЯ[[#This Row],[ЖАМИ]]-РЕАЛИЗАЦИЯ[[#This Row],[ЖАМИ2]]</f>
        <v>0</v>
      </c>
      <c r="L2239" s="31"/>
    </row>
    <row r="2240" spans="3:12" x14ac:dyDescent="0.3">
      <c r="C2240" s="209"/>
      <c r="D2240" s="209"/>
      <c r="G2240" s="50">
        <f>РЕАЛИЗАЦИЯ[[#This Row],[СОНИ]]*РЕАЛИЗАЦИЯ[[#This Row],[НАРХИ]]</f>
        <v>0</v>
      </c>
      <c r="I2240" s="166"/>
      <c r="J2240" s="31">
        <f>РЕАЛИЗАЦИЯ[[#This Row],[СОНИ]]*РЕАЛИЗАЦИЯ[[#This Row],[ТАННАРХ]]</f>
        <v>0</v>
      </c>
      <c r="K2240" s="31">
        <f>РЕАЛИЗАЦИЯ[[#This Row],[ЖАМИ]]-РЕАЛИЗАЦИЯ[[#This Row],[ЖАМИ2]]</f>
        <v>0</v>
      </c>
      <c r="L2240" s="31"/>
    </row>
    <row r="2241" spans="3:12" x14ac:dyDescent="0.3">
      <c r="C2241" s="209"/>
      <c r="D2241" s="211"/>
      <c r="G2241" s="50">
        <f>РЕАЛИЗАЦИЯ[[#This Row],[СОНИ]]*РЕАЛИЗАЦИЯ[[#This Row],[НАРХИ]]</f>
        <v>0</v>
      </c>
      <c r="I2241" s="166"/>
      <c r="J2241" s="31">
        <f>РЕАЛИЗАЦИЯ[[#This Row],[СОНИ]]*РЕАЛИЗАЦИЯ[[#This Row],[ТАННАРХ]]</f>
        <v>0</v>
      </c>
      <c r="K2241" s="31">
        <f>РЕАЛИЗАЦИЯ[[#This Row],[ЖАМИ]]-РЕАЛИЗАЦИЯ[[#This Row],[ЖАМИ2]]</f>
        <v>0</v>
      </c>
      <c r="L2241" s="31"/>
    </row>
    <row r="2242" spans="3:12" x14ac:dyDescent="0.3">
      <c r="C2242" s="209"/>
      <c r="D2242" s="209"/>
      <c r="G2242" s="50">
        <f>РЕАЛИЗАЦИЯ[[#This Row],[СОНИ]]*РЕАЛИЗАЦИЯ[[#This Row],[НАРХИ]]</f>
        <v>0</v>
      </c>
      <c r="I2242" s="166"/>
      <c r="J2242" s="31">
        <f>РЕАЛИЗАЦИЯ[[#This Row],[СОНИ]]*РЕАЛИЗАЦИЯ[[#This Row],[ТАННАРХ]]</f>
        <v>0</v>
      </c>
      <c r="K2242" s="31">
        <f>РЕАЛИЗАЦИЯ[[#This Row],[ЖАМИ]]-РЕАЛИЗАЦИЯ[[#This Row],[ЖАМИ2]]</f>
        <v>0</v>
      </c>
      <c r="L2242" s="31"/>
    </row>
    <row r="2243" spans="3:12" x14ac:dyDescent="0.3">
      <c r="C2243" s="209"/>
      <c r="D2243" s="209"/>
      <c r="G2243" s="50">
        <f>РЕАЛИЗАЦИЯ[[#This Row],[СОНИ]]*РЕАЛИЗАЦИЯ[[#This Row],[НАРХИ]]</f>
        <v>0</v>
      </c>
      <c r="I2243" s="166"/>
      <c r="J2243" s="31">
        <f>РЕАЛИЗАЦИЯ[[#This Row],[СОНИ]]*РЕАЛИЗАЦИЯ[[#This Row],[ТАННАРХ]]</f>
        <v>0</v>
      </c>
      <c r="K2243" s="31">
        <f>РЕАЛИЗАЦИЯ[[#This Row],[ЖАМИ]]-РЕАЛИЗАЦИЯ[[#This Row],[ЖАМИ2]]</f>
        <v>0</v>
      </c>
      <c r="L2243" s="31"/>
    </row>
    <row r="2244" spans="3:12" x14ac:dyDescent="0.3">
      <c r="C2244" s="209"/>
      <c r="D2244" s="209"/>
      <c r="G2244" s="50">
        <f>РЕАЛИЗАЦИЯ[[#This Row],[СОНИ]]*РЕАЛИЗАЦИЯ[[#This Row],[НАРХИ]]</f>
        <v>0</v>
      </c>
      <c r="I2244" s="166"/>
      <c r="J2244" s="31">
        <f>РЕАЛИЗАЦИЯ[[#This Row],[СОНИ]]*РЕАЛИЗАЦИЯ[[#This Row],[ТАННАРХ]]</f>
        <v>0</v>
      </c>
      <c r="K2244" s="31">
        <f>РЕАЛИЗАЦИЯ[[#This Row],[ЖАМИ]]-РЕАЛИЗАЦИЯ[[#This Row],[ЖАМИ2]]</f>
        <v>0</v>
      </c>
      <c r="L2244" s="31"/>
    </row>
    <row r="2245" spans="3:12" x14ac:dyDescent="0.3">
      <c r="C2245" s="209"/>
      <c r="D2245" s="209"/>
      <c r="G2245" s="50">
        <f>РЕАЛИЗАЦИЯ[[#This Row],[СОНИ]]*РЕАЛИЗАЦИЯ[[#This Row],[НАРХИ]]</f>
        <v>0</v>
      </c>
      <c r="I2245" s="166"/>
      <c r="J2245" s="31">
        <f>РЕАЛИЗАЦИЯ[[#This Row],[СОНИ]]*РЕАЛИЗАЦИЯ[[#This Row],[ТАННАРХ]]</f>
        <v>0</v>
      </c>
      <c r="K2245" s="31">
        <f>РЕАЛИЗАЦИЯ[[#This Row],[ЖАМИ]]-РЕАЛИЗАЦИЯ[[#This Row],[ЖАМИ2]]</f>
        <v>0</v>
      </c>
      <c r="L2245" s="31"/>
    </row>
    <row r="2246" spans="3:12" x14ac:dyDescent="0.3">
      <c r="C2246" s="212"/>
      <c r="D2246" s="212"/>
      <c r="G2246" s="50">
        <f>РЕАЛИЗАЦИЯ[[#This Row],[СОНИ]]*РЕАЛИЗАЦИЯ[[#This Row],[НАРХИ]]</f>
        <v>0</v>
      </c>
      <c r="I2246" s="166"/>
      <c r="J2246" s="31">
        <f>РЕАЛИЗАЦИЯ[[#This Row],[СОНИ]]*РЕАЛИЗАЦИЯ[[#This Row],[ТАННАРХ]]</f>
        <v>0</v>
      </c>
      <c r="K2246" s="31">
        <f>РЕАЛИЗАЦИЯ[[#This Row],[ЖАМИ]]-РЕАЛИЗАЦИЯ[[#This Row],[ЖАМИ2]]</f>
        <v>0</v>
      </c>
      <c r="L2246" s="31"/>
    </row>
    <row r="2247" spans="3:12" x14ac:dyDescent="0.3">
      <c r="C2247" s="209"/>
      <c r="D2247" s="209"/>
      <c r="G2247" s="50">
        <f>РЕАЛИЗАЦИЯ[[#This Row],[СОНИ]]*РЕАЛИЗАЦИЯ[[#This Row],[НАРХИ]]</f>
        <v>0</v>
      </c>
      <c r="I2247" s="166"/>
      <c r="J2247" s="31">
        <f>РЕАЛИЗАЦИЯ[[#This Row],[СОНИ]]*РЕАЛИЗАЦИЯ[[#This Row],[ТАННАРХ]]</f>
        <v>0</v>
      </c>
      <c r="K2247" s="31">
        <f>РЕАЛИЗАЦИЯ[[#This Row],[ЖАМИ]]-РЕАЛИЗАЦИЯ[[#This Row],[ЖАМИ2]]</f>
        <v>0</v>
      </c>
      <c r="L2247" s="31"/>
    </row>
    <row r="2248" spans="3:12" x14ac:dyDescent="0.3">
      <c r="C2248" s="209"/>
      <c r="D2248" s="209"/>
      <c r="G2248" s="50">
        <f>РЕАЛИЗАЦИЯ[[#This Row],[СОНИ]]*РЕАЛИЗАЦИЯ[[#This Row],[НАРХИ]]</f>
        <v>0</v>
      </c>
      <c r="I2248" s="166"/>
      <c r="J2248" s="31">
        <f>РЕАЛИЗАЦИЯ[[#This Row],[СОНИ]]*РЕАЛИЗАЦИЯ[[#This Row],[ТАННАРХ]]</f>
        <v>0</v>
      </c>
      <c r="K2248" s="31">
        <f>РЕАЛИЗАЦИЯ[[#This Row],[ЖАМИ]]-РЕАЛИЗАЦИЯ[[#This Row],[ЖАМИ2]]</f>
        <v>0</v>
      </c>
      <c r="L2248" s="31"/>
    </row>
    <row r="2249" spans="3:12" x14ac:dyDescent="0.3">
      <c r="C2249" s="209"/>
      <c r="D2249" s="209"/>
      <c r="G2249" s="50">
        <f>РЕАЛИЗАЦИЯ[[#This Row],[СОНИ]]*РЕАЛИЗАЦИЯ[[#This Row],[НАРХИ]]</f>
        <v>0</v>
      </c>
      <c r="I2249" s="166"/>
      <c r="J2249" s="31">
        <f>РЕАЛИЗАЦИЯ[[#This Row],[СОНИ]]*РЕАЛИЗАЦИЯ[[#This Row],[ТАННАРХ]]</f>
        <v>0</v>
      </c>
      <c r="K2249" s="31">
        <f>РЕАЛИЗАЦИЯ[[#This Row],[ЖАМИ]]-РЕАЛИЗАЦИЯ[[#This Row],[ЖАМИ2]]</f>
        <v>0</v>
      </c>
      <c r="L2249" s="31"/>
    </row>
    <row r="2250" spans="3:12" x14ac:dyDescent="0.3">
      <c r="C2250" s="209"/>
      <c r="D2250" s="209"/>
      <c r="G2250" s="50">
        <f>РЕАЛИЗАЦИЯ[[#This Row],[СОНИ]]*РЕАЛИЗАЦИЯ[[#This Row],[НАРХИ]]</f>
        <v>0</v>
      </c>
      <c r="I2250" s="166"/>
      <c r="J2250" s="31">
        <f>РЕАЛИЗАЦИЯ[[#This Row],[СОНИ]]*РЕАЛИЗАЦИЯ[[#This Row],[ТАННАРХ]]</f>
        <v>0</v>
      </c>
      <c r="K2250" s="31">
        <f>РЕАЛИЗАЦИЯ[[#This Row],[ЖАМИ]]-РЕАЛИЗАЦИЯ[[#This Row],[ЖАМИ2]]</f>
        <v>0</v>
      </c>
      <c r="L2250" s="31"/>
    </row>
    <row r="2251" spans="3:12" x14ac:dyDescent="0.3">
      <c r="C2251" s="209"/>
      <c r="D2251" s="209"/>
      <c r="G2251" s="50">
        <f>РЕАЛИЗАЦИЯ[[#This Row],[СОНИ]]*РЕАЛИЗАЦИЯ[[#This Row],[НАРХИ]]</f>
        <v>0</v>
      </c>
      <c r="I2251" s="166"/>
      <c r="J2251" s="31">
        <f>РЕАЛИЗАЦИЯ[[#This Row],[СОНИ]]*РЕАЛИЗАЦИЯ[[#This Row],[ТАННАРХ]]</f>
        <v>0</v>
      </c>
      <c r="K2251" s="31">
        <f>РЕАЛИЗАЦИЯ[[#This Row],[ЖАМИ]]-РЕАЛИЗАЦИЯ[[#This Row],[ЖАМИ2]]</f>
        <v>0</v>
      </c>
      <c r="L2251" s="31"/>
    </row>
    <row r="2252" spans="3:12" x14ac:dyDescent="0.3">
      <c r="C2252" s="209"/>
      <c r="D2252" s="209"/>
      <c r="G2252" s="50">
        <f>РЕАЛИЗАЦИЯ[[#This Row],[СОНИ]]*РЕАЛИЗАЦИЯ[[#This Row],[НАРХИ]]</f>
        <v>0</v>
      </c>
      <c r="I2252" s="166"/>
      <c r="J2252" s="31">
        <f>РЕАЛИЗАЦИЯ[[#This Row],[СОНИ]]*РЕАЛИЗАЦИЯ[[#This Row],[ТАННАРХ]]</f>
        <v>0</v>
      </c>
      <c r="K2252" s="31">
        <f>РЕАЛИЗАЦИЯ[[#This Row],[ЖАМИ]]-РЕАЛИЗАЦИЯ[[#This Row],[ЖАМИ2]]</f>
        <v>0</v>
      </c>
      <c r="L2252" s="31"/>
    </row>
    <row r="2253" spans="3:12" x14ac:dyDescent="0.3">
      <c r="C2253" s="209"/>
      <c r="D2253" s="209"/>
      <c r="G2253" s="50">
        <f>РЕАЛИЗАЦИЯ[[#This Row],[СОНИ]]*РЕАЛИЗАЦИЯ[[#This Row],[НАРХИ]]</f>
        <v>0</v>
      </c>
      <c r="I2253" s="166"/>
      <c r="J2253" s="31">
        <f>РЕАЛИЗАЦИЯ[[#This Row],[СОНИ]]*РЕАЛИЗАЦИЯ[[#This Row],[ТАННАРХ]]</f>
        <v>0</v>
      </c>
      <c r="K2253" s="31">
        <f>РЕАЛИЗАЦИЯ[[#This Row],[ЖАМИ]]-РЕАЛИЗАЦИЯ[[#This Row],[ЖАМИ2]]</f>
        <v>0</v>
      </c>
      <c r="L2253" s="31"/>
    </row>
    <row r="2254" spans="3:12" x14ac:dyDescent="0.3">
      <c r="C2254" s="209"/>
      <c r="D2254" s="209"/>
      <c r="G2254" s="50">
        <f>РЕАЛИЗАЦИЯ[[#This Row],[СОНИ]]*РЕАЛИЗАЦИЯ[[#This Row],[НАРХИ]]</f>
        <v>0</v>
      </c>
      <c r="I2254" s="166"/>
      <c r="J2254" s="31">
        <f>РЕАЛИЗАЦИЯ[[#This Row],[СОНИ]]*РЕАЛИЗАЦИЯ[[#This Row],[ТАННАРХ]]</f>
        <v>0</v>
      </c>
      <c r="K2254" s="31">
        <f>РЕАЛИЗАЦИЯ[[#This Row],[ЖАМИ]]-РЕАЛИЗАЦИЯ[[#This Row],[ЖАМИ2]]</f>
        <v>0</v>
      </c>
      <c r="L2254" s="31"/>
    </row>
    <row r="2255" spans="3:12" x14ac:dyDescent="0.3">
      <c r="C2255" s="209"/>
      <c r="D2255" s="209"/>
      <c r="G2255" s="50">
        <f>РЕАЛИЗАЦИЯ[[#This Row],[СОНИ]]*РЕАЛИЗАЦИЯ[[#This Row],[НАРХИ]]</f>
        <v>0</v>
      </c>
      <c r="I2255" s="166"/>
      <c r="J2255" s="31">
        <f>РЕАЛИЗАЦИЯ[[#This Row],[СОНИ]]*РЕАЛИЗАЦИЯ[[#This Row],[ТАННАРХ]]</f>
        <v>0</v>
      </c>
      <c r="K2255" s="31">
        <f>РЕАЛИЗАЦИЯ[[#This Row],[ЖАМИ]]-РЕАЛИЗАЦИЯ[[#This Row],[ЖАМИ2]]</f>
        <v>0</v>
      </c>
      <c r="L2255" s="31"/>
    </row>
    <row r="2256" spans="3:12" x14ac:dyDescent="0.3">
      <c r="C2256" s="209"/>
      <c r="D2256" s="209"/>
      <c r="G2256" s="50">
        <f>РЕАЛИЗАЦИЯ[[#This Row],[СОНИ]]*РЕАЛИЗАЦИЯ[[#This Row],[НАРХИ]]</f>
        <v>0</v>
      </c>
      <c r="I2256" s="166"/>
      <c r="J2256" s="31">
        <f>РЕАЛИЗАЦИЯ[[#This Row],[СОНИ]]*РЕАЛИЗАЦИЯ[[#This Row],[ТАННАРХ]]</f>
        <v>0</v>
      </c>
      <c r="K2256" s="31">
        <f>РЕАЛИЗАЦИЯ[[#This Row],[ЖАМИ]]-РЕАЛИЗАЦИЯ[[#This Row],[ЖАМИ2]]</f>
        <v>0</v>
      </c>
      <c r="L2256" s="31"/>
    </row>
    <row r="2257" spans="3:12" x14ac:dyDescent="0.3">
      <c r="C2257" s="209"/>
      <c r="D2257" s="209"/>
      <c r="G2257" s="50">
        <f>РЕАЛИЗАЦИЯ[[#This Row],[СОНИ]]*РЕАЛИЗАЦИЯ[[#This Row],[НАРХИ]]</f>
        <v>0</v>
      </c>
      <c r="I2257" s="166"/>
      <c r="J2257" s="31">
        <f>РЕАЛИЗАЦИЯ[[#This Row],[СОНИ]]*РЕАЛИЗАЦИЯ[[#This Row],[ТАННАРХ]]</f>
        <v>0</v>
      </c>
      <c r="K2257" s="31">
        <f>РЕАЛИЗАЦИЯ[[#This Row],[ЖАМИ]]-РЕАЛИЗАЦИЯ[[#This Row],[ЖАМИ2]]</f>
        <v>0</v>
      </c>
      <c r="L2257" s="31"/>
    </row>
    <row r="2258" spans="3:12" x14ac:dyDescent="0.3">
      <c r="C2258" s="211"/>
      <c r="D2258" s="211"/>
      <c r="G2258" s="50">
        <f>РЕАЛИЗАЦИЯ[[#This Row],[СОНИ]]*РЕАЛИЗАЦИЯ[[#This Row],[НАРХИ]]</f>
        <v>0</v>
      </c>
      <c r="I2258" s="166"/>
      <c r="J2258" s="31">
        <f>РЕАЛИЗАЦИЯ[[#This Row],[СОНИ]]*РЕАЛИЗАЦИЯ[[#This Row],[ТАННАРХ]]</f>
        <v>0</v>
      </c>
      <c r="K2258" s="31">
        <f>РЕАЛИЗАЦИЯ[[#This Row],[ЖАМИ]]-РЕАЛИЗАЦИЯ[[#This Row],[ЖАМИ2]]</f>
        <v>0</v>
      </c>
      <c r="L2258" s="31"/>
    </row>
    <row r="2259" spans="3:12" x14ac:dyDescent="0.3">
      <c r="C2259" s="211"/>
      <c r="D2259" s="211"/>
      <c r="G2259" s="50">
        <f>РЕАЛИЗАЦИЯ[[#This Row],[СОНИ]]*РЕАЛИЗАЦИЯ[[#This Row],[НАРХИ]]</f>
        <v>0</v>
      </c>
      <c r="I2259" s="166"/>
      <c r="J2259" s="31">
        <f>РЕАЛИЗАЦИЯ[[#This Row],[СОНИ]]*РЕАЛИЗАЦИЯ[[#This Row],[ТАННАРХ]]</f>
        <v>0</v>
      </c>
      <c r="K2259" s="31">
        <f>РЕАЛИЗАЦИЯ[[#This Row],[ЖАМИ]]-РЕАЛИЗАЦИЯ[[#This Row],[ЖАМИ2]]</f>
        <v>0</v>
      </c>
      <c r="L2259" s="31"/>
    </row>
    <row r="2260" spans="3:12" x14ac:dyDescent="0.3">
      <c r="C2260" s="211"/>
      <c r="D2260" s="211"/>
      <c r="G2260" s="50">
        <f>РЕАЛИЗАЦИЯ[[#This Row],[СОНИ]]*РЕАЛИЗАЦИЯ[[#This Row],[НАРХИ]]</f>
        <v>0</v>
      </c>
      <c r="I2260" s="166"/>
      <c r="J2260" s="31">
        <f>РЕАЛИЗАЦИЯ[[#This Row],[СОНИ]]*РЕАЛИЗАЦИЯ[[#This Row],[ТАННАРХ]]</f>
        <v>0</v>
      </c>
      <c r="K2260" s="31">
        <f>РЕАЛИЗАЦИЯ[[#This Row],[ЖАМИ]]-РЕАЛИЗАЦИЯ[[#This Row],[ЖАМИ2]]</f>
        <v>0</v>
      </c>
      <c r="L2260" s="31"/>
    </row>
    <row r="2261" spans="3:12" x14ac:dyDescent="0.3">
      <c r="C2261" s="211"/>
      <c r="D2261" s="211"/>
      <c r="G2261" s="50">
        <f>РЕАЛИЗАЦИЯ[[#This Row],[СОНИ]]*РЕАЛИЗАЦИЯ[[#This Row],[НАРХИ]]</f>
        <v>0</v>
      </c>
      <c r="I2261" s="166"/>
      <c r="J2261" s="31">
        <f>РЕАЛИЗАЦИЯ[[#This Row],[СОНИ]]*РЕАЛИЗАЦИЯ[[#This Row],[ТАННАРХ]]</f>
        <v>0</v>
      </c>
      <c r="K2261" s="31">
        <f>РЕАЛИЗАЦИЯ[[#This Row],[ЖАМИ]]-РЕАЛИЗАЦИЯ[[#This Row],[ЖАМИ2]]</f>
        <v>0</v>
      </c>
      <c r="L2261" s="31"/>
    </row>
    <row r="2262" spans="3:12" x14ac:dyDescent="0.3">
      <c r="C2262" s="211"/>
      <c r="D2262" s="211"/>
      <c r="G2262" s="50">
        <f>РЕАЛИЗАЦИЯ[[#This Row],[СОНИ]]*РЕАЛИЗАЦИЯ[[#This Row],[НАРХИ]]</f>
        <v>0</v>
      </c>
      <c r="I2262" s="166"/>
      <c r="J2262" s="31">
        <f>РЕАЛИЗАЦИЯ[[#This Row],[СОНИ]]*РЕАЛИЗАЦИЯ[[#This Row],[ТАННАРХ]]</f>
        <v>0</v>
      </c>
      <c r="K2262" s="31">
        <f>РЕАЛИЗАЦИЯ[[#This Row],[ЖАМИ]]-РЕАЛИЗАЦИЯ[[#This Row],[ЖАМИ2]]</f>
        <v>0</v>
      </c>
      <c r="L2262" s="31"/>
    </row>
    <row r="2263" spans="3:12" x14ac:dyDescent="0.3">
      <c r="C2263" s="211"/>
      <c r="D2263" s="211"/>
      <c r="G2263" s="50">
        <f>РЕАЛИЗАЦИЯ[[#This Row],[СОНИ]]*РЕАЛИЗАЦИЯ[[#This Row],[НАРХИ]]</f>
        <v>0</v>
      </c>
      <c r="I2263" s="166"/>
      <c r="J2263" s="31">
        <f>РЕАЛИЗАЦИЯ[[#This Row],[СОНИ]]*РЕАЛИЗАЦИЯ[[#This Row],[ТАННАРХ]]</f>
        <v>0</v>
      </c>
      <c r="K2263" s="31">
        <f>РЕАЛИЗАЦИЯ[[#This Row],[ЖАМИ]]-РЕАЛИЗАЦИЯ[[#This Row],[ЖАМИ2]]</f>
        <v>0</v>
      </c>
      <c r="L2263" s="31"/>
    </row>
    <row r="2264" spans="3:12" x14ac:dyDescent="0.3">
      <c r="C2264" s="211"/>
      <c r="D2264" s="211"/>
      <c r="G2264" s="50">
        <f>РЕАЛИЗАЦИЯ[[#This Row],[СОНИ]]*РЕАЛИЗАЦИЯ[[#This Row],[НАРХИ]]</f>
        <v>0</v>
      </c>
      <c r="I2264" s="166"/>
      <c r="J2264" s="31">
        <f>РЕАЛИЗАЦИЯ[[#This Row],[СОНИ]]*РЕАЛИЗАЦИЯ[[#This Row],[ТАННАРХ]]</f>
        <v>0</v>
      </c>
      <c r="K2264" s="31">
        <f>РЕАЛИЗАЦИЯ[[#This Row],[ЖАМИ]]-РЕАЛИЗАЦИЯ[[#This Row],[ЖАМИ2]]</f>
        <v>0</v>
      </c>
      <c r="L2264" s="31"/>
    </row>
    <row r="2265" spans="3:12" x14ac:dyDescent="0.3">
      <c r="C2265" s="211"/>
      <c r="D2265" s="211"/>
      <c r="G2265" s="50">
        <f>РЕАЛИЗАЦИЯ[[#This Row],[СОНИ]]*РЕАЛИЗАЦИЯ[[#This Row],[НАРХИ]]</f>
        <v>0</v>
      </c>
      <c r="I2265" s="166"/>
      <c r="J2265" s="31">
        <f>РЕАЛИЗАЦИЯ[[#This Row],[СОНИ]]*РЕАЛИЗАЦИЯ[[#This Row],[ТАННАРХ]]</f>
        <v>0</v>
      </c>
      <c r="K2265" s="31">
        <f>РЕАЛИЗАЦИЯ[[#This Row],[ЖАМИ]]-РЕАЛИЗАЦИЯ[[#This Row],[ЖАМИ2]]</f>
        <v>0</v>
      </c>
      <c r="L2265" s="31"/>
    </row>
    <row r="2266" spans="3:12" x14ac:dyDescent="0.3">
      <c r="C2266" s="211"/>
      <c r="D2266" s="211"/>
      <c r="G2266" s="50">
        <f>РЕАЛИЗАЦИЯ[[#This Row],[СОНИ]]*РЕАЛИЗАЦИЯ[[#This Row],[НАРХИ]]</f>
        <v>0</v>
      </c>
      <c r="I2266" s="166"/>
      <c r="J2266" s="31">
        <f>РЕАЛИЗАЦИЯ[[#This Row],[СОНИ]]*РЕАЛИЗАЦИЯ[[#This Row],[ТАННАРХ]]</f>
        <v>0</v>
      </c>
      <c r="K2266" s="31">
        <f>РЕАЛИЗАЦИЯ[[#This Row],[ЖАМИ]]-РЕАЛИЗАЦИЯ[[#This Row],[ЖАМИ2]]</f>
        <v>0</v>
      </c>
      <c r="L2266" s="31"/>
    </row>
    <row r="2267" spans="3:12" x14ac:dyDescent="0.3">
      <c r="C2267" s="211"/>
      <c r="D2267" s="211"/>
      <c r="G2267" s="50">
        <f>РЕАЛИЗАЦИЯ[[#This Row],[СОНИ]]*РЕАЛИЗАЦИЯ[[#This Row],[НАРХИ]]</f>
        <v>0</v>
      </c>
      <c r="I2267" s="166"/>
      <c r="J2267" s="31">
        <f>РЕАЛИЗАЦИЯ[[#This Row],[СОНИ]]*РЕАЛИЗАЦИЯ[[#This Row],[ТАННАРХ]]</f>
        <v>0</v>
      </c>
      <c r="K2267" s="31">
        <f>РЕАЛИЗАЦИЯ[[#This Row],[ЖАМИ]]-РЕАЛИЗАЦИЯ[[#This Row],[ЖАМИ2]]</f>
        <v>0</v>
      </c>
      <c r="L2267" s="31"/>
    </row>
    <row r="2268" spans="3:12" x14ac:dyDescent="0.3">
      <c r="C2268" s="211"/>
      <c r="D2268" s="211"/>
      <c r="G2268" s="50">
        <f>РЕАЛИЗАЦИЯ[[#This Row],[СОНИ]]*РЕАЛИЗАЦИЯ[[#This Row],[НАРХИ]]</f>
        <v>0</v>
      </c>
      <c r="I2268" s="166"/>
      <c r="J2268" s="31">
        <f>РЕАЛИЗАЦИЯ[[#This Row],[СОНИ]]*РЕАЛИЗАЦИЯ[[#This Row],[ТАННАРХ]]</f>
        <v>0</v>
      </c>
      <c r="K2268" s="31">
        <f>РЕАЛИЗАЦИЯ[[#This Row],[ЖАМИ]]-РЕАЛИЗАЦИЯ[[#This Row],[ЖАМИ2]]</f>
        <v>0</v>
      </c>
      <c r="L2268" s="31"/>
    </row>
    <row r="2269" spans="3:12" x14ac:dyDescent="0.3">
      <c r="C2269" s="211"/>
      <c r="D2269" s="211"/>
      <c r="G2269" s="50">
        <f>РЕАЛИЗАЦИЯ[[#This Row],[СОНИ]]*РЕАЛИЗАЦИЯ[[#This Row],[НАРХИ]]</f>
        <v>0</v>
      </c>
      <c r="I2269" s="166"/>
      <c r="J2269" s="31">
        <f>РЕАЛИЗАЦИЯ[[#This Row],[СОНИ]]*РЕАЛИЗАЦИЯ[[#This Row],[ТАННАРХ]]</f>
        <v>0</v>
      </c>
      <c r="K2269" s="31">
        <f>РЕАЛИЗАЦИЯ[[#This Row],[ЖАМИ]]-РЕАЛИЗАЦИЯ[[#This Row],[ЖАМИ2]]</f>
        <v>0</v>
      </c>
      <c r="L2269" s="31"/>
    </row>
    <row r="2270" spans="3:12" x14ac:dyDescent="0.3">
      <c r="C2270" s="211"/>
      <c r="D2270" s="211"/>
      <c r="G2270" s="50">
        <f>РЕАЛИЗАЦИЯ[[#This Row],[СОНИ]]*РЕАЛИЗАЦИЯ[[#This Row],[НАРХИ]]</f>
        <v>0</v>
      </c>
      <c r="I2270" s="166"/>
      <c r="J2270" s="31">
        <f>РЕАЛИЗАЦИЯ[[#This Row],[СОНИ]]*РЕАЛИЗАЦИЯ[[#This Row],[ТАННАРХ]]</f>
        <v>0</v>
      </c>
      <c r="K2270" s="31">
        <f>РЕАЛИЗАЦИЯ[[#This Row],[ЖАМИ]]-РЕАЛИЗАЦИЯ[[#This Row],[ЖАМИ2]]</f>
        <v>0</v>
      </c>
      <c r="L2270" s="31"/>
    </row>
    <row r="2271" spans="3:12" x14ac:dyDescent="0.3">
      <c r="C2271" s="211"/>
      <c r="D2271" s="211"/>
      <c r="G2271" s="50">
        <f>РЕАЛИЗАЦИЯ[[#This Row],[СОНИ]]*РЕАЛИЗАЦИЯ[[#This Row],[НАРХИ]]</f>
        <v>0</v>
      </c>
      <c r="I2271" s="166"/>
      <c r="J2271" s="31">
        <f>РЕАЛИЗАЦИЯ[[#This Row],[СОНИ]]*РЕАЛИЗАЦИЯ[[#This Row],[ТАННАРХ]]</f>
        <v>0</v>
      </c>
      <c r="K2271" s="31">
        <f>РЕАЛИЗАЦИЯ[[#This Row],[ЖАМИ]]-РЕАЛИЗАЦИЯ[[#This Row],[ЖАМИ2]]</f>
        <v>0</v>
      </c>
      <c r="L2271" s="31"/>
    </row>
    <row r="2272" spans="3:12" x14ac:dyDescent="0.3">
      <c r="C2272" s="211"/>
      <c r="D2272" s="211"/>
      <c r="G2272" s="50">
        <f>РЕАЛИЗАЦИЯ[[#This Row],[СОНИ]]*РЕАЛИЗАЦИЯ[[#This Row],[НАРХИ]]</f>
        <v>0</v>
      </c>
      <c r="I2272" s="166"/>
      <c r="J2272" s="31">
        <f>РЕАЛИЗАЦИЯ[[#This Row],[СОНИ]]*РЕАЛИЗАЦИЯ[[#This Row],[ТАННАРХ]]</f>
        <v>0</v>
      </c>
      <c r="K2272" s="31">
        <f>РЕАЛИЗАЦИЯ[[#This Row],[ЖАМИ]]-РЕАЛИЗАЦИЯ[[#This Row],[ЖАМИ2]]</f>
        <v>0</v>
      </c>
      <c r="L2272" s="31"/>
    </row>
    <row r="2273" spans="3:12" x14ac:dyDescent="0.3">
      <c r="C2273" s="213"/>
      <c r="D2273" s="213"/>
      <c r="G2273" s="50">
        <f>РЕАЛИЗАЦИЯ[[#This Row],[СОНИ]]*РЕАЛИЗАЦИЯ[[#This Row],[НАРХИ]]</f>
        <v>0</v>
      </c>
      <c r="I2273" s="166"/>
      <c r="J2273" s="31">
        <f>РЕАЛИЗАЦИЯ[[#This Row],[СОНИ]]*РЕАЛИЗАЦИЯ[[#This Row],[ТАННАРХ]]</f>
        <v>0</v>
      </c>
      <c r="K2273" s="31">
        <f>РЕАЛИЗАЦИЯ[[#This Row],[ЖАМИ]]-РЕАЛИЗАЦИЯ[[#This Row],[ЖАМИ2]]</f>
        <v>0</v>
      </c>
      <c r="L2273" s="31"/>
    </row>
    <row r="2274" spans="3:12" x14ac:dyDescent="0.3">
      <c r="C2274" s="213"/>
      <c r="D2274" s="213"/>
      <c r="G2274" s="50">
        <f>РЕАЛИЗАЦИЯ[[#This Row],[СОНИ]]*РЕАЛИЗАЦИЯ[[#This Row],[НАРХИ]]</f>
        <v>0</v>
      </c>
      <c r="I2274" s="166"/>
      <c r="J2274" s="31">
        <f>РЕАЛИЗАЦИЯ[[#This Row],[СОНИ]]*РЕАЛИЗАЦИЯ[[#This Row],[ТАННАРХ]]</f>
        <v>0</v>
      </c>
      <c r="K2274" s="31">
        <f>РЕАЛИЗАЦИЯ[[#This Row],[ЖАМИ]]-РЕАЛИЗАЦИЯ[[#This Row],[ЖАМИ2]]</f>
        <v>0</v>
      </c>
      <c r="L2274" s="31"/>
    </row>
    <row r="2275" spans="3:12" x14ac:dyDescent="0.3">
      <c r="C2275" s="213"/>
      <c r="D2275" s="213"/>
      <c r="G2275" s="50">
        <f>РЕАЛИЗАЦИЯ[[#This Row],[СОНИ]]*РЕАЛИЗАЦИЯ[[#This Row],[НАРХИ]]</f>
        <v>0</v>
      </c>
      <c r="I2275" s="166"/>
      <c r="J2275" s="31">
        <f>РЕАЛИЗАЦИЯ[[#This Row],[СОНИ]]*РЕАЛИЗАЦИЯ[[#This Row],[ТАННАРХ]]</f>
        <v>0</v>
      </c>
      <c r="K2275" s="31">
        <f>РЕАЛИЗАЦИЯ[[#This Row],[ЖАМИ]]-РЕАЛИЗАЦИЯ[[#This Row],[ЖАМИ2]]</f>
        <v>0</v>
      </c>
      <c r="L2275" s="31"/>
    </row>
    <row r="2276" spans="3:12" x14ac:dyDescent="0.3">
      <c r="C2276" s="213"/>
      <c r="D2276" s="213"/>
      <c r="G2276" s="50">
        <f>РЕАЛИЗАЦИЯ[[#This Row],[СОНИ]]*РЕАЛИЗАЦИЯ[[#This Row],[НАРХИ]]</f>
        <v>0</v>
      </c>
      <c r="I2276" s="166"/>
      <c r="J2276" s="31">
        <f>РЕАЛИЗАЦИЯ[[#This Row],[СОНИ]]*РЕАЛИЗАЦИЯ[[#This Row],[ТАННАРХ]]</f>
        <v>0</v>
      </c>
      <c r="K2276" s="31">
        <f>РЕАЛИЗАЦИЯ[[#This Row],[ЖАМИ]]-РЕАЛИЗАЦИЯ[[#This Row],[ЖАМИ2]]</f>
        <v>0</v>
      </c>
      <c r="L2276" s="31"/>
    </row>
    <row r="2277" spans="3:12" x14ac:dyDescent="0.3">
      <c r="C2277" s="213"/>
      <c r="D2277" s="213"/>
      <c r="G2277" s="50">
        <f>РЕАЛИЗАЦИЯ[[#This Row],[СОНИ]]*РЕАЛИЗАЦИЯ[[#This Row],[НАРХИ]]</f>
        <v>0</v>
      </c>
      <c r="I2277" s="166"/>
      <c r="J2277" s="31">
        <f>РЕАЛИЗАЦИЯ[[#This Row],[СОНИ]]*РЕАЛИЗАЦИЯ[[#This Row],[ТАННАРХ]]</f>
        <v>0</v>
      </c>
      <c r="K2277" s="31">
        <f>РЕАЛИЗАЦИЯ[[#This Row],[ЖАМИ]]-РЕАЛИЗАЦИЯ[[#This Row],[ЖАМИ2]]</f>
        <v>0</v>
      </c>
      <c r="L2277" s="31"/>
    </row>
    <row r="2278" spans="3:12" x14ac:dyDescent="0.3">
      <c r="C2278" s="213"/>
      <c r="D2278" s="213"/>
      <c r="G2278" s="50">
        <f>РЕАЛИЗАЦИЯ[[#This Row],[СОНИ]]*РЕАЛИЗАЦИЯ[[#This Row],[НАРХИ]]</f>
        <v>0</v>
      </c>
      <c r="I2278" s="166"/>
      <c r="J2278" s="31">
        <f>РЕАЛИЗАЦИЯ[[#This Row],[СОНИ]]*РЕАЛИЗАЦИЯ[[#This Row],[ТАННАРХ]]</f>
        <v>0</v>
      </c>
      <c r="K2278" s="31">
        <f>РЕАЛИЗАЦИЯ[[#This Row],[ЖАМИ]]-РЕАЛИЗАЦИЯ[[#This Row],[ЖАМИ2]]</f>
        <v>0</v>
      </c>
      <c r="L2278" s="31"/>
    </row>
    <row r="2279" spans="3:12" x14ac:dyDescent="0.3">
      <c r="C2279" s="213"/>
      <c r="D2279" s="213"/>
      <c r="G2279" s="50">
        <f>РЕАЛИЗАЦИЯ[[#This Row],[СОНИ]]*РЕАЛИЗАЦИЯ[[#This Row],[НАРХИ]]</f>
        <v>0</v>
      </c>
      <c r="I2279" s="166"/>
      <c r="J2279" s="31">
        <f>РЕАЛИЗАЦИЯ[[#This Row],[СОНИ]]*РЕАЛИЗАЦИЯ[[#This Row],[ТАННАРХ]]</f>
        <v>0</v>
      </c>
      <c r="K2279" s="31">
        <f>РЕАЛИЗАЦИЯ[[#This Row],[ЖАМИ]]-РЕАЛИЗАЦИЯ[[#This Row],[ЖАМИ2]]</f>
        <v>0</v>
      </c>
      <c r="L2279" s="31"/>
    </row>
    <row r="2280" spans="3:12" x14ac:dyDescent="0.3">
      <c r="C2280" s="213"/>
      <c r="D2280" s="213"/>
      <c r="G2280" s="50">
        <f>РЕАЛИЗАЦИЯ[[#This Row],[СОНИ]]*РЕАЛИЗАЦИЯ[[#This Row],[НАРХИ]]</f>
        <v>0</v>
      </c>
      <c r="I2280" s="166"/>
      <c r="J2280" s="31">
        <f>РЕАЛИЗАЦИЯ[[#This Row],[СОНИ]]*РЕАЛИЗАЦИЯ[[#This Row],[ТАННАРХ]]</f>
        <v>0</v>
      </c>
      <c r="K2280" s="31">
        <f>РЕАЛИЗАЦИЯ[[#This Row],[ЖАМИ]]-РЕАЛИЗАЦИЯ[[#This Row],[ЖАМИ2]]</f>
        <v>0</v>
      </c>
      <c r="L2280" s="31"/>
    </row>
    <row r="2281" spans="3:12" x14ac:dyDescent="0.3">
      <c r="C2281" s="213"/>
      <c r="D2281" s="213"/>
      <c r="G2281" s="50">
        <f>РЕАЛИЗАЦИЯ[[#This Row],[СОНИ]]*РЕАЛИЗАЦИЯ[[#This Row],[НАРХИ]]</f>
        <v>0</v>
      </c>
      <c r="I2281" s="166"/>
      <c r="J2281" s="31">
        <f>РЕАЛИЗАЦИЯ[[#This Row],[СОНИ]]*РЕАЛИЗАЦИЯ[[#This Row],[ТАННАРХ]]</f>
        <v>0</v>
      </c>
      <c r="K2281" s="31">
        <f>РЕАЛИЗАЦИЯ[[#This Row],[ЖАМИ]]-РЕАЛИЗАЦИЯ[[#This Row],[ЖАМИ2]]</f>
        <v>0</v>
      </c>
      <c r="L2281" s="31"/>
    </row>
    <row r="2282" spans="3:12" x14ac:dyDescent="0.3">
      <c r="C2282" s="213"/>
      <c r="D2282" s="213"/>
      <c r="G2282" s="50">
        <f>РЕАЛИЗАЦИЯ[[#This Row],[СОНИ]]*РЕАЛИЗАЦИЯ[[#This Row],[НАРХИ]]</f>
        <v>0</v>
      </c>
      <c r="I2282" s="166"/>
      <c r="J2282" s="31">
        <f>РЕАЛИЗАЦИЯ[[#This Row],[СОНИ]]*РЕАЛИЗАЦИЯ[[#This Row],[ТАННАРХ]]</f>
        <v>0</v>
      </c>
      <c r="K2282" s="31">
        <f>РЕАЛИЗАЦИЯ[[#This Row],[ЖАМИ]]-РЕАЛИЗАЦИЯ[[#This Row],[ЖАМИ2]]</f>
        <v>0</v>
      </c>
      <c r="L2282" s="31"/>
    </row>
    <row r="2283" spans="3:12" x14ac:dyDescent="0.3">
      <c r="C2283" s="213"/>
      <c r="D2283" s="213"/>
      <c r="G2283" s="50">
        <f>РЕАЛИЗАЦИЯ[[#This Row],[СОНИ]]*РЕАЛИЗАЦИЯ[[#This Row],[НАРХИ]]</f>
        <v>0</v>
      </c>
      <c r="I2283" s="166"/>
      <c r="J2283" s="31">
        <f>РЕАЛИЗАЦИЯ[[#This Row],[СОНИ]]*РЕАЛИЗАЦИЯ[[#This Row],[ТАННАРХ]]</f>
        <v>0</v>
      </c>
      <c r="K2283" s="31">
        <f>РЕАЛИЗАЦИЯ[[#This Row],[ЖАМИ]]-РЕАЛИЗАЦИЯ[[#This Row],[ЖАМИ2]]</f>
        <v>0</v>
      </c>
      <c r="L2283" s="31"/>
    </row>
    <row r="2284" spans="3:12" x14ac:dyDescent="0.3">
      <c r="C2284" s="213"/>
      <c r="D2284" s="213"/>
      <c r="G2284" s="50">
        <f>РЕАЛИЗАЦИЯ[[#This Row],[СОНИ]]*РЕАЛИЗАЦИЯ[[#This Row],[НАРХИ]]</f>
        <v>0</v>
      </c>
      <c r="I2284" s="166"/>
      <c r="J2284" s="31">
        <f>РЕАЛИЗАЦИЯ[[#This Row],[СОНИ]]*РЕАЛИЗАЦИЯ[[#This Row],[ТАННАРХ]]</f>
        <v>0</v>
      </c>
      <c r="K2284" s="31">
        <f>РЕАЛИЗАЦИЯ[[#This Row],[ЖАМИ]]-РЕАЛИЗАЦИЯ[[#This Row],[ЖАМИ2]]</f>
        <v>0</v>
      </c>
      <c r="L2284" s="31"/>
    </row>
    <row r="2285" spans="3:12" x14ac:dyDescent="0.3">
      <c r="C2285" s="213"/>
      <c r="D2285" s="213"/>
      <c r="G2285" s="50">
        <f>РЕАЛИЗАЦИЯ[[#This Row],[СОНИ]]*РЕАЛИЗАЦИЯ[[#This Row],[НАРХИ]]</f>
        <v>0</v>
      </c>
      <c r="I2285" s="166"/>
      <c r="J2285" s="31">
        <f>РЕАЛИЗАЦИЯ[[#This Row],[СОНИ]]*РЕАЛИЗАЦИЯ[[#This Row],[ТАННАРХ]]</f>
        <v>0</v>
      </c>
      <c r="K2285" s="31">
        <f>РЕАЛИЗАЦИЯ[[#This Row],[ЖАМИ]]-РЕАЛИЗАЦИЯ[[#This Row],[ЖАМИ2]]</f>
        <v>0</v>
      </c>
      <c r="L2285" s="31"/>
    </row>
    <row r="2286" spans="3:12" x14ac:dyDescent="0.3">
      <c r="C2286" s="213"/>
      <c r="D2286" s="213"/>
      <c r="G2286" s="50">
        <f>РЕАЛИЗАЦИЯ[[#This Row],[СОНИ]]*РЕАЛИЗАЦИЯ[[#This Row],[НАРХИ]]</f>
        <v>0</v>
      </c>
      <c r="I2286" s="166"/>
      <c r="J2286" s="31">
        <f>РЕАЛИЗАЦИЯ[[#This Row],[СОНИ]]*РЕАЛИЗАЦИЯ[[#This Row],[ТАННАРХ]]</f>
        <v>0</v>
      </c>
      <c r="K2286" s="31">
        <f>РЕАЛИЗАЦИЯ[[#This Row],[ЖАМИ]]-РЕАЛИЗАЦИЯ[[#This Row],[ЖАМИ2]]</f>
        <v>0</v>
      </c>
      <c r="L2286" s="31"/>
    </row>
    <row r="2287" spans="3:12" x14ac:dyDescent="0.3">
      <c r="C2287" s="213"/>
      <c r="D2287" s="213"/>
      <c r="G2287" s="50">
        <f>РЕАЛИЗАЦИЯ[[#This Row],[СОНИ]]*РЕАЛИЗАЦИЯ[[#This Row],[НАРХИ]]</f>
        <v>0</v>
      </c>
      <c r="I2287" s="166"/>
      <c r="J2287" s="31">
        <f>РЕАЛИЗАЦИЯ[[#This Row],[СОНИ]]*РЕАЛИЗАЦИЯ[[#This Row],[ТАННАРХ]]</f>
        <v>0</v>
      </c>
      <c r="K2287" s="31">
        <f>РЕАЛИЗАЦИЯ[[#This Row],[ЖАМИ]]-РЕАЛИЗАЦИЯ[[#This Row],[ЖАМИ2]]</f>
        <v>0</v>
      </c>
      <c r="L2287" s="31"/>
    </row>
    <row r="2288" spans="3:12" x14ac:dyDescent="0.3">
      <c r="C2288" s="213"/>
      <c r="D2288" s="213"/>
      <c r="G2288" s="50">
        <f>РЕАЛИЗАЦИЯ[[#This Row],[СОНИ]]*РЕАЛИЗАЦИЯ[[#This Row],[НАРХИ]]</f>
        <v>0</v>
      </c>
      <c r="I2288" s="166"/>
      <c r="J2288" s="31">
        <f>РЕАЛИЗАЦИЯ[[#This Row],[СОНИ]]*РЕАЛИЗАЦИЯ[[#This Row],[ТАННАРХ]]</f>
        <v>0</v>
      </c>
      <c r="K2288" s="31">
        <f>РЕАЛИЗАЦИЯ[[#This Row],[ЖАМИ]]-РЕАЛИЗАЦИЯ[[#This Row],[ЖАМИ2]]</f>
        <v>0</v>
      </c>
      <c r="L2288" s="31"/>
    </row>
    <row r="2289" spans="3:12" x14ac:dyDescent="0.3">
      <c r="C2289" s="213"/>
      <c r="D2289" s="213"/>
      <c r="G2289" s="50">
        <f>РЕАЛИЗАЦИЯ[[#This Row],[СОНИ]]*РЕАЛИЗАЦИЯ[[#This Row],[НАРХИ]]</f>
        <v>0</v>
      </c>
      <c r="I2289" s="166"/>
      <c r="J2289" s="31">
        <f>РЕАЛИЗАЦИЯ[[#This Row],[СОНИ]]*РЕАЛИЗАЦИЯ[[#This Row],[ТАННАРХ]]</f>
        <v>0</v>
      </c>
      <c r="K2289" s="31">
        <f>РЕАЛИЗАЦИЯ[[#This Row],[ЖАМИ]]-РЕАЛИЗАЦИЯ[[#This Row],[ЖАМИ2]]</f>
        <v>0</v>
      </c>
      <c r="L2289" s="31"/>
    </row>
    <row r="2290" spans="3:12" x14ac:dyDescent="0.3">
      <c r="C2290" s="213"/>
      <c r="D2290" s="213"/>
      <c r="G2290" s="50">
        <f>РЕАЛИЗАЦИЯ[[#This Row],[СОНИ]]*РЕАЛИЗАЦИЯ[[#This Row],[НАРХИ]]</f>
        <v>0</v>
      </c>
      <c r="I2290" s="166"/>
      <c r="J2290" s="31">
        <f>РЕАЛИЗАЦИЯ[[#This Row],[СОНИ]]*РЕАЛИЗАЦИЯ[[#This Row],[ТАННАРХ]]</f>
        <v>0</v>
      </c>
      <c r="K2290" s="31">
        <f>РЕАЛИЗАЦИЯ[[#This Row],[ЖАМИ]]-РЕАЛИЗАЦИЯ[[#This Row],[ЖАМИ2]]</f>
        <v>0</v>
      </c>
      <c r="L2290" s="31"/>
    </row>
    <row r="2291" spans="3:12" x14ac:dyDescent="0.3">
      <c r="C2291" s="213"/>
      <c r="D2291" s="213"/>
      <c r="G2291" s="50">
        <f>РЕАЛИЗАЦИЯ[[#This Row],[СОНИ]]*РЕАЛИЗАЦИЯ[[#This Row],[НАРХИ]]</f>
        <v>0</v>
      </c>
      <c r="I2291" s="166"/>
      <c r="J2291" s="31">
        <f>РЕАЛИЗАЦИЯ[[#This Row],[СОНИ]]*РЕАЛИЗАЦИЯ[[#This Row],[ТАННАРХ]]</f>
        <v>0</v>
      </c>
      <c r="K2291" s="31">
        <f>РЕАЛИЗАЦИЯ[[#This Row],[ЖАМИ]]-РЕАЛИЗАЦИЯ[[#This Row],[ЖАМИ2]]</f>
        <v>0</v>
      </c>
      <c r="L2291" s="31"/>
    </row>
    <row r="2292" spans="3:12" x14ac:dyDescent="0.3">
      <c r="C2292" s="213"/>
      <c r="D2292" s="213"/>
      <c r="G2292" s="50">
        <f>РЕАЛИЗАЦИЯ[[#This Row],[СОНИ]]*РЕАЛИЗАЦИЯ[[#This Row],[НАРХИ]]</f>
        <v>0</v>
      </c>
      <c r="I2292" s="166"/>
      <c r="J2292" s="31">
        <f>РЕАЛИЗАЦИЯ[[#This Row],[СОНИ]]*РЕАЛИЗАЦИЯ[[#This Row],[ТАННАРХ]]</f>
        <v>0</v>
      </c>
      <c r="K2292" s="31">
        <f>РЕАЛИЗАЦИЯ[[#This Row],[ЖАМИ]]-РЕАЛИЗАЦИЯ[[#This Row],[ЖАМИ2]]</f>
        <v>0</v>
      </c>
      <c r="L2292" s="31"/>
    </row>
    <row r="2293" spans="3:12" x14ac:dyDescent="0.3">
      <c r="C2293" s="213"/>
      <c r="D2293" s="213"/>
      <c r="G2293" s="50">
        <f>РЕАЛИЗАЦИЯ[[#This Row],[СОНИ]]*РЕАЛИЗАЦИЯ[[#This Row],[НАРХИ]]</f>
        <v>0</v>
      </c>
      <c r="I2293" s="166"/>
      <c r="J2293" s="31">
        <f>РЕАЛИЗАЦИЯ[[#This Row],[СОНИ]]*РЕАЛИЗАЦИЯ[[#This Row],[ТАННАРХ]]</f>
        <v>0</v>
      </c>
      <c r="K2293" s="31">
        <f>РЕАЛИЗАЦИЯ[[#This Row],[ЖАМИ]]-РЕАЛИЗАЦИЯ[[#This Row],[ЖАМИ2]]</f>
        <v>0</v>
      </c>
      <c r="L2293" s="31"/>
    </row>
    <row r="2294" spans="3:12" x14ac:dyDescent="0.3">
      <c r="C2294" s="213"/>
      <c r="D2294" s="213"/>
      <c r="G2294" s="50">
        <f>РЕАЛИЗАЦИЯ[[#This Row],[СОНИ]]*РЕАЛИЗАЦИЯ[[#This Row],[НАРХИ]]</f>
        <v>0</v>
      </c>
      <c r="I2294" s="166"/>
      <c r="J2294" s="31">
        <f>РЕАЛИЗАЦИЯ[[#This Row],[СОНИ]]*РЕАЛИЗАЦИЯ[[#This Row],[ТАННАРХ]]</f>
        <v>0</v>
      </c>
      <c r="K2294" s="31">
        <f>РЕАЛИЗАЦИЯ[[#This Row],[ЖАМИ]]-РЕАЛИЗАЦИЯ[[#This Row],[ЖАМИ2]]</f>
        <v>0</v>
      </c>
      <c r="L2294" s="31"/>
    </row>
    <row r="2295" spans="3:12" x14ac:dyDescent="0.3">
      <c r="C2295" s="213"/>
      <c r="D2295" s="213"/>
      <c r="G2295" s="50">
        <f>РЕАЛИЗАЦИЯ[[#This Row],[СОНИ]]*РЕАЛИЗАЦИЯ[[#This Row],[НАРХИ]]</f>
        <v>0</v>
      </c>
      <c r="I2295" s="166"/>
      <c r="J2295" s="31">
        <f>РЕАЛИЗАЦИЯ[[#This Row],[СОНИ]]*РЕАЛИЗАЦИЯ[[#This Row],[ТАННАРХ]]</f>
        <v>0</v>
      </c>
      <c r="K2295" s="31">
        <f>РЕАЛИЗАЦИЯ[[#This Row],[ЖАМИ]]-РЕАЛИЗАЦИЯ[[#This Row],[ЖАМИ2]]</f>
        <v>0</v>
      </c>
      <c r="L2295" s="31"/>
    </row>
    <row r="2296" spans="3:12" x14ac:dyDescent="0.3">
      <c r="C2296" s="213"/>
      <c r="D2296" s="213"/>
      <c r="G2296" s="50">
        <f>РЕАЛИЗАЦИЯ[[#This Row],[СОНИ]]*РЕАЛИЗАЦИЯ[[#This Row],[НАРХИ]]</f>
        <v>0</v>
      </c>
      <c r="I2296" s="166"/>
      <c r="J2296" s="31">
        <f>РЕАЛИЗАЦИЯ[[#This Row],[СОНИ]]*РЕАЛИЗАЦИЯ[[#This Row],[ТАННАРХ]]</f>
        <v>0</v>
      </c>
      <c r="K2296" s="31">
        <f>РЕАЛИЗАЦИЯ[[#This Row],[ЖАМИ]]-РЕАЛИЗАЦИЯ[[#This Row],[ЖАМИ2]]</f>
        <v>0</v>
      </c>
      <c r="L2296" s="31"/>
    </row>
    <row r="2297" spans="3:12" x14ac:dyDescent="0.3">
      <c r="C2297" s="213"/>
      <c r="D2297" s="213"/>
      <c r="G2297" s="50">
        <f>РЕАЛИЗАЦИЯ[[#This Row],[СОНИ]]*РЕАЛИЗАЦИЯ[[#This Row],[НАРХИ]]</f>
        <v>0</v>
      </c>
      <c r="I2297" s="166"/>
      <c r="J2297" s="31">
        <f>РЕАЛИЗАЦИЯ[[#This Row],[СОНИ]]*РЕАЛИЗАЦИЯ[[#This Row],[ТАННАРХ]]</f>
        <v>0</v>
      </c>
      <c r="K2297" s="31">
        <f>РЕАЛИЗАЦИЯ[[#This Row],[ЖАМИ]]-РЕАЛИЗАЦИЯ[[#This Row],[ЖАМИ2]]</f>
        <v>0</v>
      </c>
      <c r="L2297" s="31"/>
    </row>
    <row r="2298" spans="3:12" x14ac:dyDescent="0.3">
      <c r="C2298" s="213"/>
      <c r="D2298" s="213"/>
      <c r="G2298" s="50">
        <f>РЕАЛИЗАЦИЯ[[#This Row],[СОНИ]]*РЕАЛИЗАЦИЯ[[#This Row],[НАРХИ]]</f>
        <v>0</v>
      </c>
      <c r="I2298" s="166"/>
      <c r="J2298" s="31">
        <f>РЕАЛИЗАЦИЯ[[#This Row],[СОНИ]]*РЕАЛИЗАЦИЯ[[#This Row],[ТАННАРХ]]</f>
        <v>0</v>
      </c>
      <c r="K2298" s="31">
        <f>РЕАЛИЗАЦИЯ[[#This Row],[ЖАМИ]]-РЕАЛИЗАЦИЯ[[#This Row],[ЖАМИ2]]</f>
        <v>0</v>
      </c>
      <c r="L2298" s="31"/>
    </row>
    <row r="2299" spans="3:12" x14ac:dyDescent="0.3">
      <c r="C2299" s="213"/>
      <c r="D2299" s="213"/>
      <c r="G2299" s="50">
        <f>РЕАЛИЗАЦИЯ[[#This Row],[СОНИ]]*РЕАЛИЗАЦИЯ[[#This Row],[НАРХИ]]</f>
        <v>0</v>
      </c>
      <c r="I2299" s="166"/>
      <c r="J2299" s="31">
        <f>РЕАЛИЗАЦИЯ[[#This Row],[СОНИ]]*РЕАЛИЗАЦИЯ[[#This Row],[ТАННАРХ]]</f>
        <v>0</v>
      </c>
      <c r="K2299" s="31">
        <f>РЕАЛИЗАЦИЯ[[#This Row],[ЖАМИ]]-РЕАЛИЗАЦИЯ[[#This Row],[ЖАМИ2]]</f>
        <v>0</v>
      </c>
      <c r="L2299" s="31"/>
    </row>
    <row r="2300" spans="3:12" x14ac:dyDescent="0.3">
      <c r="C2300" s="213"/>
      <c r="D2300" s="213"/>
      <c r="G2300" s="50">
        <f>РЕАЛИЗАЦИЯ[[#This Row],[СОНИ]]*РЕАЛИЗАЦИЯ[[#This Row],[НАРХИ]]</f>
        <v>0</v>
      </c>
      <c r="I2300" s="166"/>
      <c r="J2300" s="31">
        <f>РЕАЛИЗАЦИЯ[[#This Row],[СОНИ]]*РЕАЛИЗАЦИЯ[[#This Row],[ТАННАРХ]]</f>
        <v>0</v>
      </c>
      <c r="K2300" s="31">
        <f>РЕАЛИЗАЦИЯ[[#This Row],[ЖАМИ]]-РЕАЛИЗАЦИЯ[[#This Row],[ЖАМИ2]]</f>
        <v>0</v>
      </c>
      <c r="L2300" s="31"/>
    </row>
    <row r="2301" spans="3:12" x14ac:dyDescent="0.3">
      <c r="C2301" s="213"/>
      <c r="D2301" s="213"/>
      <c r="G2301" s="50">
        <f>РЕАЛИЗАЦИЯ[[#This Row],[СОНИ]]*РЕАЛИЗАЦИЯ[[#This Row],[НАРХИ]]</f>
        <v>0</v>
      </c>
      <c r="I2301" s="166"/>
      <c r="J2301" s="31">
        <f>РЕАЛИЗАЦИЯ[[#This Row],[СОНИ]]*РЕАЛИЗАЦИЯ[[#This Row],[ТАННАРХ]]</f>
        <v>0</v>
      </c>
      <c r="K2301" s="31">
        <f>РЕАЛИЗАЦИЯ[[#This Row],[ЖАМИ]]-РЕАЛИЗАЦИЯ[[#This Row],[ЖАМИ2]]</f>
        <v>0</v>
      </c>
      <c r="L2301" s="31"/>
    </row>
    <row r="2302" spans="3:12" x14ac:dyDescent="0.3">
      <c r="C2302" s="213"/>
      <c r="D2302" s="213"/>
      <c r="G2302" s="50">
        <f>РЕАЛИЗАЦИЯ[[#This Row],[СОНИ]]*РЕАЛИЗАЦИЯ[[#This Row],[НАРХИ]]</f>
        <v>0</v>
      </c>
      <c r="I2302" s="166"/>
      <c r="J2302" s="31">
        <f>РЕАЛИЗАЦИЯ[[#This Row],[СОНИ]]*РЕАЛИЗАЦИЯ[[#This Row],[ТАННАРХ]]</f>
        <v>0</v>
      </c>
      <c r="K2302" s="31">
        <f>РЕАЛИЗАЦИЯ[[#This Row],[ЖАМИ]]-РЕАЛИЗАЦИЯ[[#This Row],[ЖАМИ2]]</f>
        <v>0</v>
      </c>
      <c r="L2302" s="31"/>
    </row>
    <row r="2303" spans="3:12" x14ac:dyDescent="0.3">
      <c r="C2303" s="213"/>
      <c r="D2303" s="213"/>
      <c r="G2303" s="50">
        <f>РЕАЛИЗАЦИЯ[[#This Row],[СОНИ]]*РЕАЛИЗАЦИЯ[[#This Row],[НАРХИ]]</f>
        <v>0</v>
      </c>
      <c r="I2303" s="166"/>
      <c r="J2303" s="31">
        <f>РЕАЛИЗАЦИЯ[[#This Row],[СОНИ]]*РЕАЛИЗАЦИЯ[[#This Row],[ТАННАРХ]]</f>
        <v>0</v>
      </c>
      <c r="K2303" s="31">
        <f>РЕАЛИЗАЦИЯ[[#This Row],[ЖАМИ]]-РЕАЛИЗАЦИЯ[[#This Row],[ЖАМИ2]]</f>
        <v>0</v>
      </c>
      <c r="L2303" s="31"/>
    </row>
    <row r="2304" spans="3:12" x14ac:dyDescent="0.3">
      <c r="C2304" s="213"/>
      <c r="D2304" s="213"/>
      <c r="G2304" s="50">
        <f>РЕАЛИЗАЦИЯ[[#This Row],[СОНИ]]*РЕАЛИЗАЦИЯ[[#This Row],[НАРХИ]]</f>
        <v>0</v>
      </c>
      <c r="I2304" s="166"/>
      <c r="J2304" s="31">
        <f>РЕАЛИЗАЦИЯ[[#This Row],[СОНИ]]*РЕАЛИЗАЦИЯ[[#This Row],[ТАННАРХ]]</f>
        <v>0</v>
      </c>
      <c r="K2304" s="31">
        <f>РЕАЛИЗАЦИЯ[[#This Row],[ЖАМИ]]-РЕАЛИЗАЦИЯ[[#This Row],[ЖАМИ2]]</f>
        <v>0</v>
      </c>
      <c r="L2304" s="31"/>
    </row>
    <row r="2305" spans="3:12" x14ac:dyDescent="0.3">
      <c r="C2305" s="213"/>
      <c r="D2305" s="213"/>
      <c r="G2305" s="50">
        <f>РЕАЛИЗАЦИЯ[[#This Row],[СОНИ]]*РЕАЛИЗАЦИЯ[[#This Row],[НАРХИ]]</f>
        <v>0</v>
      </c>
      <c r="I2305" s="166"/>
      <c r="J2305" s="31">
        <f>РЕАЛИЗАЦИЯ[[#This Row],[СОНИ]]*РЕАЛИЗАЦИЯ[[#This Row],[ТАННАРХ]]</f>
        <v>0</v>
      </c>
      <c r="K2305" s="31">
        <f>РЕАЛИЗАЦИЯ[[#This Row],[ЖАМИ]]-РЕАЛИЗАЦИЯ[[#This Row],[ЖАМИ2]]</f>
        <v>0</v>
      </c>
      <c r="L2305" s="31"/>
    </row>
    <row r="2306" spans="3:12" x14ac:dyDescent="0.3">
      <c r="C2306" s="213"/>
      <c r="D2306" s="213"/>
      <c r="G2306" s="50">
        <f>РЕАЛИЗАЦИЯ[[#This Row],[СОНИ]]*РЕАЛИЗАЦИЯ[[#This Row],[НАРХИ]]</f>
        <v>0</v>
      </c>
      <c r="I2306" s="166"/>
      <c r="J2306" s="31">
        <f>РЕАЛИЗАЦИЯ[[#This Row],[СОНИ]]*РЕАЛИЗАЦИЯ[[#This Row],[ТАННАРХ]]</f>
        <v>0</v>
      </c>
      <c r="K2306" s="31">
        <f>РЕАЛИЗАЦИЯ[[#This Row],[ЖАМИ]]-РЕАЛИЗАЦИЯ[[#This Row],[ЖАМИ2]]</f>
        <v>0</v>
      </c>
      <c r="L2306" s="31"/>
    </row>
    <row r="2307" spans="3:12" x14ac:dyDescent="0.3">
      <c r="C2307" s="213"/>
      <c r="D2307" s="213"/>
      <c r="G2307" s="50">
        <f>РЕАЛИЗАЦИЯ[[#This Row],[СОНИ]]*РЕАЛИЗАЦИЯ[[#This Row],[НАРХИ]]</f>
        <v>0</v>
      </c>
      <c r="I2307" s="166"/>
      <c r="J2307" s="31">
        <f>РЕАЛИЗАЦИЯ[[#This Row],[СОНИ]]*РЕАЛИЗАЦИЯ[[#This Row],[ТАННАРХ]]</f>
        <v>0</v>
      </c>
      <c r="K2307" s="31">
        <f>РЕАЛИЗАЦИЯ[[#This Row],[ЖАМИ]]-РЕАЛИЗАЦИЯ[[#This Row],[ЖАМИ2]]</f>
        <v>0</v>
      </c>
      <c r="L2307" s="31"/>
    </row>
    <row r="2308" spans="3:12" x14ac:dyDescent="0.3">
      <c r="C2308" s="213"/>
      <c r="D2308" s="213"/>
      <c r="G2308" s="50">
        <f>РЕАЛИЗАЦИЯ[[#This Row],[СОНИ]]*РЕАЛИЗАЦИЯ[[#This Row],[НАРХИ]]</f>
        <v>0</v>
      </c>
      <c r="I2308" s="166"/>
      <c r="J2308" s="31">
        <f>РЕАЛИЗАЦИЯ[[#This Row],[СОНИ]]*РЕАЛИЗАЦИЯ[[#This Row],[ТАННАРХ]]</f>
        <v>0</v>
      </c>
      <c r="K2308" s="31">
        <f>РЕАЛИЗАЦИЯ[[#This Row],[ЖАМИ]]-РЕАЛИЗАЦИЯ[[#This Row],[ЖАМИ2]]</f>
        <v>0</v>
      </c>
      <c r="L2308" s="31"/>
    </row>
    <row r="2309" spans="3:12" x14ac:dyDescent="0.3">
      <c r="C2309" s="213"/>
      <c r="D2309" s="213"/>
      <c r="G2309" s="50">
        <f>РЕАЛИЗАЦИЯ[[#This Row],[СОНИ]]*РЕАЛИЗАЦИЯ[[#This Row],[НАРХИ]]</f>
        <v>0</v>
      </c>
      <c r="I2309" s="166"/>
      <c r="J2309" s="31">
        <f>РЕАЛИЗАЦИЯ[[#This Row],[СОНИ]]*РЕАЛИЗАЦИЯ[[#This Row],[ТАННАРХ]]</f>
        <v>0</v>
      </c>
      <c r="K2309" s="31">
        <f>РЕАЛИЗАЦИЯ[[#This Row],[ЖАМИ]]-РЕАЛИЗАЦИЯ[[#This Row],[ЖАМИ2]]</f>
        <v>0</v>
      </c>
      <c r="L2309" s="31"/>
    </row>
    <row r="2310" spans="3:12" x14ac:dyDescent="0.3">
      <c r="C2310" s="213"/>
      <c r="D2310" s="213"/>
      <c r="G2310" s="50">
        <f>РЕАЛИЗАЦИЯ[[#This Row],[СОНИ]]*РЕАЛИЗАЦИЯ[[#This Row],[НАРХИ]]</f>
        <v>0</v>
      </c>
      <c r="I2310" s="166"/>
      <c r="J2310" s="31">
        <f>РЕАЛИЗАЦИЯ[[#This Row],[СОНИ]]*РЕАЛИЗАЦИЯ[[#This Row],[ТАННАРХ]]</f>
        <v>0</v>
      </c>
      <c r="K2310" s="31">
        <f>РЕАЛИЗАЦИЯ[[#This Row],[ЖАМИ]]-РЕАЛИЗАЦИЯ[[#This Row],[ЖАМИ2]]</f>
        <v>0</v>
      </c>
      <c r="L2310" s="31"/>
    </row>
    <row r="2311" spans="3:12" x14ac:dyDescent="0.3">
      <c r="C2311" s="213"/>
      <c r="D2311" s="213"/>
      <c r="G2311" s="50">
        <f>РЕАЛИЗАЦИЯ[[#This Row],[СОНИ]]*РЕАЛИЗАЦИЯ[[#This Row],[НАРХИ]]</f>
        <v>0</v>
      </c>
      <c r="I2311" s="166"/>
      <c r="J2311" s="31">
        <f>РЕАЛИЗАЦИЯ[[#This Row],[СОНИ]]*РЕАЛИЗАЦИЯ[[#This Row],[ТАННАРХ]]</f>
        <v>0</v>
      </c>
      <c r="K2311" s="31">
        <f>РЕАЛИЗАЦИЯ[[#This Row],[ЖАМИ]]-РЕАЛИЗАЦИЯ[[#This Row],[ЖАМИ2]]</f>
        <v>0</v>
      </c>
      <c r="L2311" s="31"/>
    </row>
    <row r="2312" spans="3:12" x14ac:dyDescent="0.3">
      <c r="C2312" s="213"/>
      <c r="D2312" s="213"/>
      <c r="G2312" s="50">
        <f>РЕАЛИЗАЦИЯ[[#This Row],[СОНИ]]*РЕАЛИЗАЦИЯ[[#This Row],[НАРХИ]]</f>
        <v>0</v>
      </c>
      <c r="I2312" s="166"/>
      <c r="J2312" s="31">
        <f>РЕАЛИЗАЦИЯ[[#This Row],[СОНИ]]*РЕАЛИЗАЦИЯ[[#This Row],[ТАННАРХ]]</f>
        <v>0</v>
      </c>
      <c r="K2312" s="31">
        <f>РЕАЛИЗАЦИЯ[[#This Row],[ЖАМИ]]-РЕАЛИЗАЦИЯ[[#This Row],[ЖАМИ2]]</f>
        <v>0</v>
      </c>
      <c r="L2312" s="31"/>
    </row>
    <row r="2313" spans="3:12" x14ac:dyDescent="0.3">
      <c r="C2313" s="213"/>
      <c r="D2313" s="213"/>
      <c r="G2313" s="50">
        <f>РЕАЛИЗАЦИЯ[[#This Row],[СОНИ]]*РЕАЛИЗАЦИЯ[[#This Row],[НАРХИ]]</f>
        <v>0</v>
      </c>
      <c r="I2313" s="166"/>
      <c r="J2313" s="31">
        <f>РЕАЛИЗАЦИЯ[[#This Row],[СОНИ]]*РЕАЛИЗАЦИЯ[[#This Row],[ТАННАРХ]]</f>
        <v>0</v>
      </c>
      <c r="K2313" s="31">
        <f>РЕАЛИЗАЦИЯ[[#This Row],[ЖАМИ]]-РЕАЛИЗАЦИЯ[[#This Row],[ЖАМИ2]]</f>
        <v>0</v>
      </c>
      <c r="L2313" s="31"/>
    </row>
    <row r="2314" spans="3:12" x14ac:dyDescent="0.3">
      <c r="C2314" s="213"/>
      <c r="D2314" s="213"/>
      <c r="G2314" s="50">
        <f>РЕАЛИЗАЦИЯ[[#This Row],[СОНИ]]*РЕАЛИЗАЦИЯ[[#This Row],[НАРХИ]]</f>
        <v>0</v>
      </c>
      <c r="I2314" s="166"/>
      <c r="J2314" s="31">
        <f>РЕАЛИЗАЦИЯ[[#This Row],[СОНИ]]*РЕАЛИЗАЦИЯ[[#This Row],[ТАННАРХ]]</f>
        <v>0</v>
      </c>
      <c r="K2314" s="31">
        <f>РЕАЛИЗАЦИЯ[[#This Row],[ЖАМИ]]-РЕАЛИЗАЦИЯ[[#This Row],[ЖАМИ2]]</f>
        <v>0</v>
      </c>
      <c r="L2314" s="31"/>
    </row>
    <row r="2315" spans="3:12" x14ac:dyDescent="0.3">
      <c r="C2315" s="213"/>
      <c r="D2315" s="213"/>
      <c r="G2315" s="50">
        <f>РЕАЛИЗАЦИЯ[[#This Row],[СОНИ]]*РЕАЛИЗАЦИЯ[[#This Row],[НАРХИ]]</f>
        <v>0</v>
      </c>
      <c r="I2315" s="166"/>
      <c r="J2315" s="31">
        <f>РЕАЛИЗАЦИЯ[[#This Row],[СОНИ]]*РЕАЛИЗАЦИЯ[[#This Row],[ТАННАРХ]]</f>
        <v>0</v>
      </c>
      <c r="K2315" s="31">
        <f>РЕАЛИЗАЦИЯ[[#This Row],[ЖАМИ]]-РЕАЛИЗАЦИЯ[[#This Row],[ЖАМИ2]]</f>
        <v>0</v>
      </c>
      <c r="L2315" s="31"/>
    </row>
    <row r="2316" spans="3:12" x14ac:dyDescent="0.3">
      <c r="C2316" s="213"/>
      <c r="D2316" s="213"/>
      <c r="G2316" s="50">
        <f>РЕАЛИЗАЦИЯ[[#This Row],[СОНИ]]*РЕАЛИЗАЦИЯ[[#This Row],[НАРХИ]]</f>
        <v>0</v>
      </c>
      <c r="I2316" s="166"/>
      <c r="J2316" s="31">
        <f>РЕАЛИЗАЦИЯ[[#This Row],[СОНИ]]*РЕАЛИЗАЦИЯ[[#This Row],[ТАННАРХ]]</f>
        <v>0</v>
      </c>
      <c r="K2316" s="31">
        <f>РЕАЛИЗАЦИЯ[[#This Row],[ЖАМИ]]-РЕАЛИЗАЦИЯ[[#This Row],[ЖАМИ2]]</f>
        <v>0</v>
      </c>
      <c r="L2316" s="31"/>
    </row>
    <row r="2317" spans="3:12" x14ac:dyDescent="0.3">
      <c r="C2317" s="214"/>
      <c r="D2317" s="214"/>
      <c r="G2317" s="50">
        <f>РЕАЛИЗАЦИЯ[[#This Row],[СОНИ]]*РЕАЛИЗАЦИЯ[[#This Row],[НАРХИ]]</f>
        <v>0</v>
      </c>
      <c r="I2317" s="166"/>
      <c r="J2317" s="31">
        <f>РЕАЛИЗАЦИЯ[[#This Row],[СОНИ]]*РЕАЛИЗАЦИЯ[[#This Row],[ТАННАРХ]]</f>
        <v>0</v>
      </c>
      <c r="K2317" s="31">
        <f>РЕАЛИЗАЦИЯ[[#This Row],[ЖАМИ]]-РЕАЛИЗАЦИЯ[[#This Row],[ЖАМИ2]]</f>
        <v>0</v>
      </c>
      <c r="L2317" s="31"/>
    </row>
    <row r="2318" spans="3:12" x14ac:dyDescent="0.3">
      <c r="C2318" s="214"/>
      <c r="D2318" s="214"/>
      <c r="G2318" s="50">
        <f>РЕАЛИЗАЦИЯ[[#This Row],[СОНИ]]*РЕАЛИЗАЦИЯ[[#This Row],[НАРХИ]]</f>
        <v>0</v>
      </c>
      <c r="I2318" s="166"/>
      <c r="J2318" s="31">
        <f>РЕАЛИЗАЦИЯ[[#This Row],[СОНИ]]*РЕАЛИЗАЦИЯ[[#This Row],[ТАННАРХ]]</f>
        <v>0</v>
      </c>
      <c r="K2318" s="31">
        <f>РЕАЛИЗАЦИЯ[[#This Row],[ЖАМИ]]-РЕАЛИЗАЦИЯ[[#This Row],[ЖАМИ2]]</f>
        <v>0</v>
      </c>
      <c r="L2318" s="31"/>
    </row>
    <row r="2319" spans="3:12" x14ac:dyDescent="0.3">
      <c r="C2319" s="214"/>
      <c r="D2319" s="214"/>
      <c r="G2319" s="50">
        <f>РЕАЛИЗАЦИЯ[[#This Row],[СОНИ]]*РЕАЛИЗАЦИЯ[[#This Row],[НАРХИ]]</f>
        <v>0</v>
      </c>
      <c r="I2319" s="166"/>
      <c r="J2319" s="31">
        <f>РЕАЛИЗАЦИЯ[[#This Row],[СОНИ]]*РЕАЛИЗАЦИЯ[[#This Row],[ТАННАРХ]]</f>
        <v>0</v>
      </c>
      <c r="K2319" s="31">
        <f>РЕАЛИЗАЦИЯ[[#This Row],[ЖАМИ]]-РЕАЛИЗАЦИЯ[[#This Row],[ЖАМИ2]]</f>
        <v>0</v>
      </c>
      <c r="L2319" s="31"/>
    </row>
    <row r="2320" spans="3:12" x14ac:dyDescent="0.3">
      <c r="C2320" s="214"/>
      <c r="D2320" s="214"/>
      <c r="G2320" s="50">
        <f>РЕАЛИЗАЦИЯ[[#This Row],[СОНИ]]*РЕАЛИЗАЦИЯ[[#This Row],[НАРХИ]]</f>
        <v>0</v>
      </c>
      <c r="I2320" s="166"/>
      <c r="J2320" s="31">
        <f>РЕАЛИЗАЦИЯ[[#This Row],[СОНИ]]*РЕАЛИЗАЦИЯ[[#This Row],[ТАННАРХ]]</f>
        <v>0</v>
      </c>
      <c r="K2320" s="31">
        <f>РЕАЛИЗАЦИЯ[[#This Row],[ЖАМИ]]-РЕАЛИЗАЦИЯ[[#This Row],[ЖАМИ2]]</f>
        <v>0</v>
      </c>
      <c r="L2320" s="31"/>
    </row>
    <row r="2321" spans="3:12" x14ac:dyDescent="0.3">
      <c r="C2321" s="214"/>
      <c r="D2321" s="214"/>
      <c r="G2321" s="50">
        <f>РЕАЛИЗАЦИЯ[[#This Row],[СОНИ]]*РЕАЛИЗАЦИЯ[[#This Row],[НАРХИ]]</f>
        <v>0</v>
      </c>
      <c r="I2321" s="166"/>
      <c r="J2321" s="31">
        <f>РЕАЛИЗАЦИЯ[[#This Row],[СОНИ]]*РЕАЛИЗАЦИЯ[[#This Row],[ТАННАРХ]]</f>
        <v>0</v>
      </c>
      <c r="K2321" s="31">
        <f>РЕАЛИЗАЦИЯ[[#This Row],[ЖАМИ]]-РЕАЛИЗАЦИЯ[[#This Row],[ЖАМИ2]]</f>
        <v>0</v>
      </c>
      <c r="L2321" s="31"/>
    </row>
    <row r="2322" spans="3:12" x14ac:dyDescent="0.3">
      <c r="C2322" s="214"/>
      <c r="D2322" s="214"/>
      <c r="G2322" s="50">
        <f>РЕАЛИЗАЦИЯ[[#This Row],[СОНИ]]*РЕАЛИЗАЦИЯ[[#This Row],[НАРХИ]]</f>
        <v>0</v>
      </c>
      <c r="I2322" s="166"/>
      <c r="J2322" s="31">
        <f>РЕАЛИЗАЦИЯ[[#This Row],[СОНИ]]*РЕАЛИЗАЦИЯ[[#This Row],[ТАННАРХ]]</f>
        <v>0</v>
      </c>
      <c r="K2322" s="31">
        <f>РЕАЛИЗАЦИЯ[[#This Row],[ЖАМИ]]-РЕАЛИЗАЦИЯ[[#This Row],[ЖАМИ2]]</f>
        <v>0</v>
      </c>
      <c r="L2322" s="31"/>
    </row>
    <row r="2323" spans="3:12" x14ac:dyDescent="0.3">
      <c r="C2323" s="214"/>
      <c r="D2323" s="214"/>
      <c r="G2323" s="50">
        <f>РЕАЛИЗАЦИЯ[[#This Row],[СОНИ]]*РЕАЛИЗАЦИЯ[[#This Row],[НАРХИ]]</f>
        <v>0</v>
      </c>
      <c r="I2323" s="166"/>
      <c r="J2323" s="31">
        <f>РЕАЛИЗАЦИЯ[[#This Row],[СОНИ]]*РЕАЛИЗАЦИЯ[[#This Row],[ТАННАРХ]]</f>
        <v>0</v>
      </c>
      <c r="K2323" s="31">
        <f>РЕАЛИЗАЦИЯ[[#This Row],[ЖАМИ]]-РЕАЛИЗАЦИЯ[[#This Row],[ЖАМИ2]]</f>
        <v>0</v>
      </c>
      <c r="L2323" s="31"/>
    </row>
    <row r="2324" spans="3:12" x14ac:dyDescent="0.3">
      <c r="C2324" s="215"/>
      <c r="D2324" s="215"/>
      <c r="G2324" s="50">
        <f>РЕАЛИЗАЦИЯ[[#This Row],[СОНИ]]*РЕАЛИЗАЦИЯ[[#This Row],[НАРХИ]]</f>
        <v>0</v>
      </c>
      <c r="I2324" s="166"/>
      <c r="J2324" s="31">
        <f>РЕАЛИЗАЦИЯ[[#This Row],[СОНИ]]*РЕАЛИЗАЦИЯ[[#This Row],[ТАННАРХ]]</f>
        <v>0</v>
      </c>
      <c r="K2324" s="31">
        <f>РЕАЛИЗАЦИЯ[[#This Row],[ЖАМИ]]-РЕАЛИЗАЦИЯ[[#This Row],[ЖАМИ2]]</f>
        <v>0</v>
      </c>
      <c r="L2324" s="31"/>
    </row>
    <row r="2325" spans="3:12" x14ac:dyDescent="0.3">
      <c r="C2325" s="214"/>
      <c r="D2325" s="214"/>
      <c r="G2325" s="50">
        <f>РЕАЛИЗАЦИЯ[[#This Row],[СОНИ]]*РЕАЛИЗАЦИЯ[[#This Row],[НАРХИ]]</f>
        <v>0</v>
      </c>
      <c r="I2325" s="166"/>
      <c r="J2325" s="31">
        <f>РЕАЛИЗАЦИЯ[[#This Row],[СОНИ]]*РЕАЛИЗАЦИЯ[[#This Row],[ТАННАРХ]]</f>
        <v>0</v>
      </c>
      <c r="K2325" s="31">
        <f>РЕАЛИЗАЦИЯ[[#This Row],[ЖАМИ]]-РЕАЛИЗАЦИЯ[[#This Row],[ЖАМИ2]]</f>
        <v>0</v>
      </c>
      <c r="L2325" s="31"/>
    </row>
    <row r="2326" spans="3:12" x14ac:dyDescent="0.3">
      <c r="C2326" s="214"/>
      <c r="D2326" s="214"/>
      <c r="G2326" s="50">
        <f>РЕАЛИЗАЦИЯ[[#This Row],[СОНИ]]*РЕАЛИЗАЦИЯ[[#This Row],[НАРХИ]]</f>
        <v>0</v>
      </c>
      <c r="I2326" s="166"/>
      <c r="J2326" s="31">
        <f>РЕАЛИЗАЦИЯ[[#This Row],[СОНИ]]*РЕАЛИЗАЦИЯ[[#This Row],[ТАННАРХ]]</f>
        <v>0</v>
      </c>
      <c r="K2326" s="31">
        <f>РЕАЛИЗАЦИЯ[[#This Row],[ЖАМИ]]-РЕАЛИЗАЦИЯ[[#This Row],[ЖАМИ2]]</f>
        <v>0</v>
      </c>
      <c r="L2326" s="31"/>
    </row>
    <row r="2327" spans="3:12" x14ac:dyDescent="0.3">
      <c r="C2327" s="215"/>
      <c r="D2327" s="215"/>
      <c r="G2327" s="50">
        <f>РЕАЛИЗАЦИЯ[[#This Row],[СОНИ]]*РЕАЛИЗАЦИЯ[[#This Row],[НАРХИ]]</f>
        <v>0</v>
      </c>
      <c r="I2327" s="166"/>
      <c r="J2327" s="31">
        <f>РЕАЛИЗАЦИЯ[[#This Row],[СОНИ]]*РЕАЛИЗАЦИЯ[[#This Row],[ТАННАРХ]]</f>
        <v>0</v>
      </c>
      <c r="K2327" s="31">
        <f>РЕАЛИЗАЦИЯ[[#This Row],[ЖАМИ]]-РЕАЛИЗАЦИЯ[[#This Row],[ЖАМИ2]]</f>
        <v>0</v>
      </c>
      <c r="L2327" s="31"/>
    </row>
    <row r="2328" spans="3:12" x14ac:dyDescent="0.3">
      <c r="C2328" s="214"/>
      <c r="D2328" s="214"/>
      <c r="G2328" s="50">
        <f>РЕАЛИЗАЦИЯ[[#This Row],[СОНИ]]*РЕАЛИЗАЦИЯ[[#This Row],[НАРХИ]]</f>
        <v>0</v>
      </c>
      <c r="I2328" s="166"/>
      <c r="J2328" s="31">
        <f>РЕАЛИЗАЦИЯ[[#This Row],[СОНИ]]*РЕАЛИЗАЦИЯ[[#This Row],[ТАННАРХ]]</f>
        <v>0</v>
      </c>
      <c r="K2328" s="31">
        <f>РЕАЛИЗАЦИЯ[[#This Row],[ЖАМИ]]-РЕАЛИЗАЦИЯ[[#This Row],[ЖАМИ2]]</f>
        <v>0</v>
      </c>
      <c r="L2328" s="31"/>
    </row>
    <row r="2329" spans="3:12" x14ac:dyDescent="0.3">
      <c r="C2329" s="214"/>
      <c r="D2329" s="214"/>
      <c r="G2329" s="50">
        <f>РЕАЛИЗАЦИЯ[[#This Row],[СОНИ]]*РЕАЛИЗАЦИЯ[[#This Row],[НАРХИ]]</f>
        <v>0</v>
      </c>
      <c r="I2329" s="166"/>
      <c r="J2329" s="31">
        <f>РЕАЛИЗАЦИЯ[[#This Row],[СОНИ]]*РЕАЛИЗАЦИЯ[[#This Row],[ТАННАРХ]]</f>
        <v>0</v>
      </c>
      <c r="K2329" s="31">
        <f>РЕАЛИЗАЦИЯ[[#This Row],[ЖАМИ]]-РЕАЛИЗАЦИЯ[[#This Row],[ЖАМИ2]]</f>
        <v>0</v>
      </c>
      <c r="L2329" s="31"/>
    </row>
    <row r="2330" spans="3:12" x14ac:dyDescent="0.3">
      <c r="C2330" s="214"/>
      <c r="D2330" s="214"/>
      <c r="G2330" s="50">
        <f>РЕАЛИЗАЦИЯ[[#This Row],[СОНИ]]*РЕАЛИЗАЦИЯ[[#This Row],[НАРХИ]]</f>
        <v>0</v>
      </c>
      <c r="I2330" s="166"/>
      <c r="J2330" s="31">
        <f>РЕАЛИЗАЦИЯ[[#This Row],[СОНИ]]*РЕАЛИЗАЦИЯ[[#This Row],[ТАННАРХ]]</f>
        <v>0</v>
      </c>
      <c r="K2330" s="31">
        <f>РЕАЛИЗАЦИЯ[[#This Row],[ЖАМИ]]-РЕАЛИЗАЦИЯ[[#This Row],[ЖАМИ2]]</f>
        <v>0</v>
      </c>
      <c r="L2330" s="31"/>
    </row>
    <row r="2331" spans="3:12" x14ac:dyDescent="0.3">
      <c r="C2331" s="215"/>
      <c r="D2331" s="215"/>
      <c r="G2331" s="50">
        <f>РЕАЛИЗАЦИЯ[[#This Row],[СОНИ]]*РЕАЛИЗАЦИЯ[[#This Row],[НАРХИ]]</f>
        <v>0</v>
      </c>
      <c r="I2331" s="166"/>
      <c r="J2331" s="31">
        <f>РЕАЛИЗАЦИЯ[[#This Row],[СОНИ]]*РЕАЛИЗАЦИЯ[[#This Row],[ТАННАРХ]]</f>
        <v>0</v>
      </c>
      <c r="K2331" s="31">
        <f>РЕАЛИЗАЦИЯ[[#This Row],[ЖАМИ]]-РЕАЛИЗАЦИЯ[[#This Row],[ЖАМИ2]]</f>
        <v>0</v>
      </c>
      <c r="L2331" s="31"/>
    </row>
    <row r="2332" spans="3:12" x14ac:dyDescent="0.3">
      <c r="C2332" s="215"/>
      <c r="D2332" s="215"/>
      <c r="G2332" s="50">
        <f>РЕАЛИЗАЦИЯ[[#This Row],[СОНИ]]*РЕАЛИЗАЦИЯ[[#This Row],[НАРХИ]]</f>
        <v>0</v>
      </c>
      <c r="I2332" s="166"/>
      <c r="J2332" s="31">
        <f>РЕАЛИЗАЦИЯ[[#This Row],[СОНИ]]*РЕАЛИЗАЦИЯ[[#This Row],[ТАННАРХ]]</f>
        <v>0</v>
      </c>
      <c r="K2332" s="31">
        <f>РЕАЛИЗАЦИЯ[[#This Row],[ЖАМИ]]-РЕАЛИЗАЦИЯ[[#This Row],[ЖАМИ2]]</f>
        <v>0</v>
      </c>
      <c r="L2332" s="31"/>
    </row>
    <row r="2333" spans="3:12" x14ac:dyDescent="0.3">
      <c r="C2333" s="215"/>
      <c r="D2333" s="215"/>
      <c r="G2333" s="50">
        <f>РЕАЛИЗАЦИЯ[[#This Row],[СОНИ]]*РЕАЛИЗАЦИЯ[[#This Row],[НАРХИ]]</f>
        <v>0</v>
      </c>
      <c r="I2333" s="166"/>
      <c r="J2333" s="31">
        <f>РЕАЛИЗАЦИЯ[[#This Row],[СОНИ]]*РЕАЛИЗАЦИЯ[[#This Row],[ТАННАРХ]]</f>
        <v>0</v>
      </c>
      <c r="K2333" s="31">
        <f>РЕАЛИЗАЦИЯ[[#This Row],[ЖАМИ]]-РЕАЛИЗАЦИЯ[[#This Row],[ЖАМИ2]]</f>
        <v>0</v>
      </c>
      <c r="L2333" s="31"/>
    </row>
    <row r="2334" spans="3:12" x14ac:dyDescent="0.3">
      <c r="C2334" s="215"/>
      <c r="D2334" s="215"/>
      <c r="G2334" s="50">
        <f>РЕАЛИЗАЦИЯ[[#This Row],[СОНИ]]*РЕАЛИЗАЦИЯ[[#This Row],[НАРХИ]]</f>
        <v>0</v>
      </c>
      <c r="I2334" s="217"/>
      <c r="J2334" s="31">
        <f>РЕАЛИЗАЦИЯ[[#This Row],[СОНИ]]*РЕАЛИЗАЦИЯ[[#This Row],[ТАННАРХ]]</f>
        <v>0</v>
      </c>
      <c r="K2334" s="31">
        <f>РЕАЛИЗАЦИЯ[[#This Row],[ЖАМИ]]-РЕАЛИЗАЦИЯ[[#This Row],[ЖАМИ2]]</f>
        <v>0</v>
      </c>
      <c r="L2334" s="31"/>
    </row>
    <row r="2335" spans="3:12" x14ac:dyDescent="0.3">
      <c r="C2335" s="215"/>
      <c r="D2335" s="215"/>
      <c r="G2335" s="50">
        <f>РЕАЛИЗАЦИЯ[[#This Row],[СОНИ]]*РЕАЛИЗАЦИЯ[[#This Row],[НАРХИ]]</f>
        <v>0</v>
      </c>
      <c r="I2335" s="166"/>
      <c r="J2335" s="31">
        <f>РЕАЛИЗАЦИЯ[[#This Row],[СОНИ]]*РЕАЛИЗАЦИЯ[[#This Row],[ТАННАРХ]]</f>
        <v>0</v>
      </c>
      <c r="K2335" s="31">
        <f>РЕАЛИЗАЦИЯ[[#This Row],[ЖАМИ]]-РЕАЛИЗАЦИЯ[[#This Row],[ЖАМИ2]]</f>
        <v>0</v>
      </c>
      <c r="L2335" s="31"/>
    </row>
    <row r="2336" spans="3:12" x14ac:dyDescent="0.3">
      <c r="C2336" s="215"/>
      <c r="D2336" s="215"/>
      <c r="G2336" s="50">
        <f>РЕАЛИЗАЦИЯ[[#This Row],[СОНИ]]*РЕАЛИЗАЦИЯ[[#This Row],[НАРХИ]]</f>
        <v>0</v>
      </c>
      <c r="I2336" s="166"/>
      <c r="J2336" s="31">
        <f>РЕАЛИЗАЦИЯ[[#This Row],[СОНИ]]*РЕАЛИЗАЦИЯ[[#This Row],[ТАННАРХ]]</f>
        <v>0</v>
      </c>
      <c r="K2336" s="31">
        <f>РЕАЛИЗАЦИЯ[[#This Row],[ЖАМИ]]-РЕАЛИЗАЦИЯ[[#This Row],[ЖАМИ2]]</f>
        <v>0</v>
      </c>
      <c r="L2336" s="31"/>
    </row>
    <row r="2337" spans="3:12" x14ac:dyDescent="0.3">
      <c r="C2337" s="215"/>
      <c r="D2337" s="215"/>
      <c r="G2337" s="50">
        <f>РЕАЛИЗАЦИЯ[[#This Row],[СОНИ]]*РЕАЛИЗАЦИЯ[[#This Row],[НАРХИ]]</f>
        <v>0</v>
      </c>
      <c r="I2337" s="166"/>
      <c r="J2337" s="31">
        <f>РЕАЛИЗАЦИЯ[[#This Row],[СОНИ]]*РЕАЛИЗАЦИЯ[[#This Row],[ТАННАРХ]]</f>
        <v>0</v>
      </c>
      <c r="K2337" s="31">
        <f>РЕАЛИЗАЦИЯ[[#This Row],[ЖАМИ]]-РЕАЛИЗАЦИЯ[[#This Row],[ЖАМИ2]]</f>
        <v>0</v>
      </c>
      <c r="L2337" s="31"/>
    </row>
    <row r="2338" spans="3:12" x14ac:dyDescent="0.3">
      <c r="C2338" s="215"/>
      <c r="D2338" s="215"/>
      <c r="G2338" s="50">
        <f>РЕАЛИЗАЦИЯ[[#This Row],[СОНИ]]*РЕАЛИЗАЦИЯ[[#This Row],[НАРХИ]]</f>
        <v>0</v>
      </c>
      <c r="I2338" s="166"/>
      <c r="J2338" s="31">
        <f>РЕАЛИЗАЦИЯ[[#This Row],[СОНИ]]*РЕАЛИЗАЦИЯ[[#This Row],[ТАННАРХ]]</f>
        <v>0</v>
      </c>
      <c r="K2338" s="31">
        <f>РЕАЛИЗАЦИЯ[[#This Row],[ЖАМИ]]-РЕАЛИЗАЦИЯ[[#This Row],[ЖАМИ2]]</f>
        <v>0</v>
      </c>
      <c r="L2338" s="31"/>
    </row>
    <row r="2339" spans="3:12" x14ac:dyDescent="0.3">
      <c r="C2339" s="215"/>
      <c r="D2339" s="215"/>
      <c r="G2339" s="50">
        <f>РЕАЛИЗАЦИЯ[[#This Row],[СОНИ]]*РЕАЛИЗАЦИЯ[[#This Row],[НАРХИ]]</f>
        <v>0</v>
      </c>
      <c r="I2339" s="166"/>
      <c r="J2339" s="31">
        <f>РЕАЛИЗАЦИЯ[[#This Row],[СОНИ]]*РЕАЛИЗАЦИЯ[[#This Row],[ТАННАРХ]]</f>
        <v>0</v>
      </c>
      <c r="K2339" s="31">
        <f>РЕАЛИЗАЦИЯ[[#This Row],[ЖАМИ]]-РЕАЛИЗАЦИЯ[[#This Row],[ЖАМИ2]]</f>
        <v>0</v>
      </c>
      <c r="L2339" s="31"/>
    </row>
    <row r="2340" spans="3:12" x14ac:dyDescent="0.3">
      <c r="C2340" s="215"/>
      <c r="D2340" s="215"/>
      <c r="G2340" s="50">
        <f>РЕАЛИЗАЦИЯ[[#This Row],[СОНИ]]*РЕАЛИЗАЦИЯ[[#This Row],[НАРХИ]]</f>
        <v>0</v>
      </c>
      <c r="I2340" s="166"/>
      <c r="J2340" s="31">
        <f>РЕАЛИЗАЦИЯ[[#This Row],[СОНИ]]*РЕАЛИЗАЦИЯ[[#This Row],[ТАННАРХ]]</f>
        <v>0</v>
      </c>
      <c r="K2340" s="31">
        <f>РЕАЛИЗАЦИЯ[[#This Row],[ЖАМИ]]-РЕАЛИЗАЦИЯ[[#This Row],[ЖАМИ2]]</f>
        <v>0</v>
      </c>
      <c r="L2340" s="31"/>
    </row>
    <row r="2341" spans="3:12" x14ac:dyDescent="0.3">
      <c r="C2341" s="215"/>
      <c r="D2341" s="215"/>
      <c r="G2341" s="50">
        <f>РЕАЛИЗАЦИЯ[[#This Row],[СОНИ]]*РЕАЛИЗАЦИЯ[[#This Row],[НАРХИ]]</f>
        <v>0</v>
      </c>
      <c r="I2341" s="166"/>
      <c r="J2341" s="31">
        <f>РЕАЛИЗАЦИЯ[[#This Row],[СОНИ]]*РЕАЛИЗАЦИЯ[[#This Row],[ТАННАРХ]]</f>
        <v>0</v>
      </c>
      <c r="K2341" s="31">
        <f>РЕАЛИЗАЦИЯ[[#This Row],[ЖАМИ]]-РЕАЛИЗАЦИЯ[[#This Row],[ЖАМИ2]]</f>
        <v>0</v>
      </c>
      <c r="L2341" s="31"/>
    </row>
    <row r="2342" spans="3:12" x14ac:dyDescent="0.3">
      <c r="C2342" s="215"/>
      <c r="D2342" s="215"/>
      <c r="G2342" s="50">
        <f>РЕАЛИЗАЦИЯ[[#This Row],[СОНИ]]*РЕАЛИЗАЦИЯ[[#This Row],[НАРХИ]]</f>
        <v>0</v>
      </c>
      <c r="I2342" s="166"/>
      <c r="J2342" s="31">
        <f>РЕАЛИЗАЦИЯ[[#This Row],[СОНИ]]*РЕАЛИЗАЦИЯ[[#This Row],[ТАННАРХ]]</f>
        <v>0</v>
      </c>
      <c r="K2342" s="31">
        <f>РЕАЛИЗАЦИЯ[[#This Row],[ЖАМИ]]-РЕАЛИЗАЦИЯ[[#This Row],[ЖАМИ2]]</f>
        <v>0</v>
      </c>
      <c r="L2342" s="31"/>
    </row>
    <row r="2343" spans="3:12" x14ac:dyDescent="0.3">
      <c r="C2343" s="215"/>
      <c r="D2343" s="215"/>
      <c r="G2343" s="50">
        <f>РЕАЛИЗАЦИЯ[[#This Row],[СОНИ]]*РЕАЛИЗАЦИЯ[[#This Row],[НАРХИ]]</f>
        <v>0</v>
      </c>
      <c r="I2343" s="166"/>
      <c r="J2343" s="31">
        <f>РЕАЛИЗАЦИЯ[[#This Row],[СОНИ]]*РЕАЛИЗАЦИЯ[[#This Row],[ТАННАРХ]]</f>
        <v>0</v>
      </c>
      <c r="K2343" s="31">
        <f>РЕАЛИЗАЦИЯ[[#This Row],[ЖАМИ]]-РЕАЛИЗАЦИЯ[[#This Row],[ЖАМИ2]]</f>
        <v>0</v>
      </c>
      <c r="L2343" s="31"/>
    </row>
    <row r="2344" spans="3:12" x14ac:dyDescent="0.3">
      <c r="C2344" s="215"/>
      <c r="D2344" s="215"/>
      <c r="G2344" s="50">
        <f>РЕАЛИЗАЦИЯ[[#This Row],[СОНИ]]*РЕАЛИЗАЦИЯ[[#This Row],[НАРХИ]]</f>
        <v>0</v>
      </c>
      <c r="I2344" s="166"/>
      <c r="J2344" s="31">
        <f>РЕАЛИЗАЦИЯ[[#This Row],[СОНИ]]*РЕАЛИЗАЦИЯ[[#This Row],[ТАННАРХ]]</f>
        <v>0</v>
      </c>
      <c r="K2344" s="31">
        <f>РЕАЛИЗАЦИЯ[[#This Row],[ЖАМИ]]-РЕАЛИЗАЦИЯ[[#This Row],[ЖАМИ2]]</f>
        <v>0</v>
      </c>
      <c r="L2344" s="31"/>
    </row>
    <row r="2345" spans="3:12" x14ac:dyDescent="0.3">
      <c r="C2345" s="215"/>
      <c r="D2345" s="215"/>
      <c r="G2345" s="50">
        <f>РЕАЛИЗАЦИЯ[[#This Row],[СОНИ]]*РЕАЛИЗАЦИЯ[[#This Row],[НАРХИ]]</f>
        <v>0</v>
      </c>
      <c r="I2345" s="166"/>
      <c r="J2345" s="31">
        <f>РЕАЛИЗАЦИЯ[[#This Row],[СОНИ]]*РЕАЛИЗАЦИЯ[[#This Row],[ТАННАРХ]]</f>
        <v>0</v>
      </c>
      <c r="K2345" s="31">
        <f>РЕАЛИЗАЦИЯ[[#This Row],[ЖАМИ]]-РЕАЛИЗАЦИЯ[[#This Row],[ЖАМИ2]]</f>
        <v>0</v>
      </c>
      <c r="L2345" s="31"/>
    </row>
    <row r="2346" spans="3:12" x14ac:dyDescent="0.3">
      <c r="C2346" s="215"/>
      <c r="D2346" s="215"/>
      <c r="G2346" s="50">
        <f>РЕАЛИЗАЦИЯ[[#This Row],[СОНИ]]*РЕАЛИЗАЦИЯ[[#This Row],[НАРХИ]]</f>
        <v>0</v>
      </c>
      <c r="I2346" s="166"/>
      <c r="J2346" s="31">
        <f>РЕАЛИЗАЦИЯ[[#This Row],[СОНИ]]*РЕАЛИЗАЦИЯ[[#This Row],[ТАННАРХ]]</f>
        <v>0</v>
      </c>
      <c r="K2346" s="31">
        <f>РЕАЛИЗАЦИЯ[[#This Row],[ЖАМИ]]-РЕАЛИЗАЦИЯ[[#This Row],[ЖАМИ2]]</f>
        <v>0</v>
      </c>
      <c r="L2346" s="31"/>
    </row>
    <row r="2347" spans="3:12" x14ac:dyDescent="0.3">
      <c r="C2347" s="215"/>
      <c r="D2347" s="215"/>
      <c r="G2347" s="50">
        <f>РЕАЛИЗАЦИЯ[[#This Row],[СОНИ]]*РЕАЛИЗАЦИЯ[[#This Row],[НАРХИ]]</f>
        <v>0</v>
      </c>
      <c r="I2347" s="166"/>
      <c r="J2347" s="31">
        <f>РЕАЛИЗАЦИЯ[[#This Row],[СОНИ]]*РЕАЛИЗАЦИЯ[[#This Row],[ТАННАРХ]]</f>
        <v>0</v>
      </c>
      <c r="K2347" s="31">
        <f>РЕАЛИЗАЦИЯ[[#This Row],[ЖАМИ]]-РЕАЛИЗАЦИЯ[[#This Row],[ЖАМИ2]]</f>
        <v>0</v>
      </c>
      <c r="L2347" s="31"/>
    </row>
    <row r="2348" spans="3:12" x14ac:dyDescent="0.3">
      <c r="C2348" s="215"/>
      <c r="D2348" s="215"/>
      <c r="G2348" s="50">
        <f>РЕАЛИЗАЦИЯ[[#This Row],[СОНИ]]*РЕАЛИЗАЦИЯ[[#This Row],[НАРХИ]]</f>
        <v>0</v>
      </c>
      <c r="I2348" s="166"/>
      <c r="J2348" s="31">
        <f>РЕАЛИЗАЦИЯ[[#This Row],[СОНИ]]*РЕАЛИЗАЦИЯ[[#This Row],[ТАННАРХ]]</f>
        <v>0</v>
      </c>
      <c r="K2348" s="31">
        <f>РЕАЛИЗАЦИЯ[[#This Row],[ЖАМИ]]-РЕАЛИЗАЦИЯ[[#This Row],[ЖАМИ2]]</f>
        <v>0</v>
      </c>
      <c r="L2348" s="31"/>
    </row>
    <row r="2349" spans="3:12" x14ac:dyDescent="0.3">
      <c r="C2349" s="215"/>
      <c r="D2349" s="215"/>
      <c r="G2349" s="50">
        <f>РЕАЛИЗАЦИЯ[[#This Row],[СОНИ]]*РЕАЛИЗАЦИЯ[[#This Row],[НАРХИ]]</f>
        <v>0</v>
      </c>
      <c r="I2349" s="166"/>
      <c r="J2349" s="31">
        <f>РЕАЛИЗАЦИЯ[[#This Row],[СОНИ]]*РЕАЛИЗАЦИЯ[[#This Row],[ТАННАРХ]]</f>
        <v>0</v>
      </c>
      <c r="K2349" s="31">
        <f>РЕАЛИЗАЦИЯ[[#This Row],[ЖАМИ]]-РЕАЛИЗАЦИЯ[[#This Row],[ЖАМИ2]]</f>
        <v>0</v>
      </c>
      <c r="L2349" s="31"/>
    </row>
    <row r="2350" spans="3:12" x14ac:dyDescent="0.3">
      <c r="C2350" s="215"/>
      <c r="D2350" s="215"/>
      <c r="G2350" s="50">
        <f>РЕАЛИЗАЦИЯ[[#This Row],[СОНИ]]*РЕАЛИЗАЦИЯ[[#This Row],[НАРХИ]]</f>
        <v>0</v>
      </c>
      <c r="I2350" s="166"/>
      <c r="J2350" s="31">
        <f>РЕАЛИЗАЦИЯ[[#This Row],[СОНИ]]*РЕАЛИЗАЦИЯ[[#This Row],[ТАННАРХ]]</f>
        <v>0</v>
      </c>
      <c r="K2350" s="31">
        <f>РЕАЛИЗАЦИЯ[[#This Row],[ЖАМИ]]-РЕАЛИЗАЦИЯ[[#This Row],[ЖАМИ2]]</f>
        <v>0</v>
      </c>
      <c r="L2350" s="31"/>
    </row>
    <row r="2351" spans="3:12" x14ac:dyDescent="0.3">
      <c r="C2351" s="215"/>
      <c r="D2351" s="215"/>
      <c r="G2351" s="50">
        <f>РЕАЛИЗАЦИЯ[[#This Row],[СОНИ]]*РЕАЛИЗАЦИЯ[[#This Row],[НАРХИ]]</f>
        <v>0</v>
      </c>
      <c r="I2351" s="166"/>
      <c r="J2351" s="31">
        <f>РЕАЛИЗАЦИЯ[[#This Row],[СОНИ]]*РЕАЛИЗАЦИЯ[[#This Row],[ТАННАРХ]]</f>
        <v>0</v>
      </c>
      <c r="K2351" s="31">
        <f>РЕАЛИЗАЦИЯ[[#This Row],[ЖАМИ]]-РЕАЛИЗАЦИЯ[[#This Row],[ЖАМИ2]]</f>
        <v>0</v>
      </c>
      <c r="L2351" s="31"/>
    </row>
    <row r="2352" spans="3:12" x14ac:dyDescent="0.3">
      <c r="C2352" s="216"/>
      <c r="D2352" s="216"/>
      <c r="G2352" s="50">
        <f>РЕАЛИЗАЦИЯ[[#This Row],[СОНИ]]*РЕАЛИЗАЦИЯ[[#This Row],[НАРХИ]]</f>
        <v>0</v>
      </c>
      <c r="I2352" s="166"/>
      <c r="J2352" s="31">
        <f>РЕАЛИЗАЦИЯ[[#This Row],[СОНИ]]*РЕАЛИЗАЦИЯ[[#This Row],[ТАННАРХ]]</f>
        <v>0</v>
      </c>
      <c r="K2352" s="31">
        <f>РЕАЛИЗАЦИЯ[[#This Row],[ЖАМИ]]-РЕАЛИЗАЦИЯ[[#This Row],[ЖАМИ2]]</f>
        <v>0</v>
      </c>
      <c r="L2352" s="31"/>
    </row>
    <row r="2353" spans="3:12" x14ac:dyDescent="0.3">
      <c r="C2353" s="215"/>
      <c r="D2353" s="215"/>
      <c r="G2353" s="50">
        <f>РЕАЛИЗАЦИЯ[[#This Row],[СОНИ]]*РЕАЛИЗАЦИЯ[[#This Row],[НАРХИ]]</f>
        <v>0</v>
      </c>
      <c r="I2353" s="166"/>
      <c r="J2353" s="31">
        <f>РЕАЛИЗАЦИЯ[[#This Row],[СОНИ]]*РЕАЛИЗАЦИЯ[[#This Row],[ТАННАРХ]]</f>
        <v>0</v>
      </c>
      <c r="K2353" s="31">
        <f>РЕАЛИЗАЦИЯ[[#This Row],[ЖАМИ]]-РЕАЛИЗАЦИЯ[[#This Row],[ЖАМИ2]]</f>
        <v>0</v>
      </c>
      <c r="L2353" s="31"/>
    </row>
    <row r="2354" spans="3:12" x14ac:dyDescent="0.3">
      <c r="C2354" s="215"/>
      <c r="D2354" s="215"/>
      <c r="G2354" s="50">
        <f>РЕАЛИЗАЦИЯ[[#This Row],[СОНИ]]*РЕАЛИЗАЦИЯ[[#This Row],[НАРХИ]]</f>
        <v>0</v>
      </c>
      <c r="I2354" s="166"/>
      <c r="J2354" s="31">
        <f>РЕАЛИЗАЦИЯ[[#This Row],[СОНИ]]*РЕАЛИЗАЦИЯ[[#This Row],[ТАННАРХ]]</f>
        <v>0</v>
      </c>
      <c r="K2354" s="31">
        <f>РЕАЛИЗАЦИЯ[[#This Row],[ЖАМИ]]-РЕАЛИЗАЦИЯ[[#This Row],[ЖАМИ2]]</f>
        <v>0</v>
      </c>
      <c r="L2354" s="31"/>
    </row>
    <row r="2355" spans="3:12" x14ac:dyDescent="0.3">
      <c r="C2355" s="215"/>
      <c r="D2355" s="215"/>
      <c r="G2355" s="50">
        <f>РЕАЛИЗАЦИЯ[[#This Row],[СОНИ]]*РЕАЛИЗАЦИЯ[[#This Row],[НАРХИ]]</f>
        <v>0</v>
      </c>
      <c r="I2355" s="166"/>
      <c r="J2355" s="31">
        <f>РЕАЛИЗАЦИЯ[[#This Row],[СОНИ]]*РЕАЛИЗАЦИЯ[[#This Row],[ТАННАРХ]]</f>
        <v>0</v>
      </c>
      <c r="K2355" s="31">
        <f>РЕАЛИЗАЦИЯ[[#This Row],[ЖАМИ]]-РЕАЛИЗАЦИЯ[[#This Row],[ЖАМИ2]]</f>
        <v>0</v>
      </c>
      <c r="L2355" s="31"/>
    </row>
    <row r="2356" spans="3:12" x14ac:dyDescent="0.3">
      <c r="C2356" s="215"/>
      <c r="D2356" s="215"/>
      <c r="G2356" s="50">
        <f>РЕАЛИЗАЦИЯ[[#This Row],[СОНИ]]*РЕАЛИЗАЦИЯ[[#This Row],[НАРХИ]]</f>
        <v>0</v>
      </c>
      <c r="I2356" s="166"/>
      <c r="J2356" s="31">
        <f>РЕАЛИЗАЦИЯ[[#This Row],[СОНИ]]*РЕАЛИЗАЦИЯ[[#This Row],[ТАННАРХ]]</f>
        <v>0</v>
      </c>
      <c r="K2356" s="31">
        <f>РЕАЛИЗАЦИЯ[[#This Row],[ЖАМИ]]-РЕАЛИЗАЦИЯ[[#This Row],[ЖАМИ2]]</f>
        <v>0</v>
      </c>
      <c r="L2356" s="31"/>
    </row>
    <row r="2357" spans="3:12" x14ac:dyDescent="0.3">
      <c r="C2357" s="215"/>
      <c r="D2357" s="215"/>
      <c r="G2357" s="50">
        <f>РЕАЛИЗАЦИЯ[[#This Row],[СОНИ]]*РЕАЛИЗАЦИЯ[[#This Row],[НАРХИ]]</f>
        <v>0</v>
      </c>
      <c r="I2357" s="166"/>
      <c r="J2357" s="31">
        <f>РЕАЛИЗАЦИЯ[[#This Row],[СОНИ]]*РЕАЛИЗАЦИЯ[[#This Row],[ТАННАРХ]]</f>
        <v>0</v>
      </c>
      <c r="K2357" s="31">
        <f>РЕАЛИЗАЦИЯ[[#This Row],[ЖАМИ]]-РЕАЛИЗАЦИЯ[[#This Row],[ЖАМИ2]]</f>
        <v>0</v>
      </c>
      <c r="L2357" s="31"/>
    </row>
    <row r="2358" spans="3:12" x14ac:dyDescent="0.3">
      <c r="C2358" s="215"/>
      <c r="D2358" s="215"/>
      <c r="G2358" s="50">
        <f>РЕАЛИЗАЦИЯ[[#This Row],[СОНИ]]*РЕАЛИЗАЦИЯ[[#This Row],[НАРХИ]]</f>
        <v>0</v>
      </c>
      <c r="I2358" s="166"/>
      <c r="J2358" s="31">
        <f>РЕАЛИЗАЦИЯ[[#This Row],[СОНИ]]*РЕАЛИЗАЦИЯ[[#This Row],[ТАННАРХ]]</f>
        <v>0</v>
      </c>
      <c r="K2358" s="31">
        <f>РЕАЛИЗАЦИЯ[[#This Row],[ЖАМИ]]-РЕАЛИЗАЦИЯ[[#This Row],[ЖАМИ2]]</f>
        <v>0</v>
      </c>
      <c r="L2358" s="31"/>
    </row>
    <row r="2359" spans="3:12" x14ac:dyDescent="0.3">
      <c r="C2359" s="215"/>
      <c r="D2359" s="215"/>
      <c r="G2359" s="50">
        <f>РЕАЛИЗАЦИЯ[[#This Row],[СОНИ]]*РЕАЛИЗАЦИЯ[[#This Row],[НАРХИ]]</f>
        <v>0</v>
      </c>
      <c r="I2359" s="166"/>
      <c r="J2359" s="31">
        <f>РЕАЛИЗАЦИЯ[[#This Row],[СОНИ]]*РЕАЛИЗАЦИЯ[[#This Row],[ТАННАРХ]]</f>
        <v>0</v>
      </c>
      <c r="K2359" s="31">
        <f>РЕАЛИЗАЦИЯ[[#This Row],[ЖАМИ]]-РЕАЛИЗАЦИЯ[[#This Row],[ЖАМИ2]]</f>
        <v>0</v>
      </c>
      <c r="L2359" s="31"/>
    </row>
    <row r="2360" spans="3:12" x14ac:dyDescent="0.3">
      <c r="C2360" s="215"/>
      <c r="D2360" s="215"/>
      <c r="G2360" s="50">
        <f>РЕАЛИЗАЦИЯ[[#This Row],[СОНИ]]*РЕАЛИЗАЦИЯ[[#This Row],[НАРХИ]]</f>
        <v>0</v>
      </c>
      <c r="I2360" s="166"/>
      <c r="J2360" s="31">
        <f>РЕАЛИЗАЦИЯ[[#This Row],[СОНИ]]*РЕАЛИЗАЦИЯ[[#This Row],[ТАННАРХ]]</f>
        <v>0</v>
      </c>
      <c r="K2360" s="31">
        <f>РЕАЛИЗАЦИЯ[[#This Row],[ЖАМИ]]-РЕАЛИЗАЦИЯ[[#This Row],[ЖАМИ2]]</f>
        <v>0</v>
      </c>
      <c r="L2360" s="31"/>
    </row>
    <row r="2361" spans="3:12" x14ac:dyDescent="0.3">
      <c r="C2361" s="215"/>
      <c r="D2361" s="215"/>
      <c r="G2361" s="50">
        <f>РЕАЛИЗАЦИЯ[[#This Row],[СОНИ]]*РЕАЛИЗАЦИЯ[[#This Row],[НАРХИ]]</f>
        <v>0</v>
      </c>
      <c r="I2361" s="166"/>
      <c r="J2361" s="31">
        <f>РЕАЛИЗАЦИЯ[[#This Row],[СОНИ]]*РЕАЛИЗАЦИЯ[[#This Row],[ТАННАРХ]]</f>
        <v>0</v>
      </c>
      <c r="K2361" s="31">
        <f>РЕАЛИЗАЦИЯ[[#This Row],[ЖАМИ]]-РЕАЛИЗАЦИЯ[[#This Row],[ЖАМИ2]]</f>
        <v>0</v>
      </c>
      <c r="L2361" s="31"/>
    </row>
    <row r="2362" spans="3:12" x14ac:dyDescent="0.3">
      <c r="C2362" s="215"/>
      <c r="D2362" s="215"/>
      <c r="G2362" s="50">
        <f>РЕАЛИЗАЦИЯ[[#This Row],[СОНИ]]*РЕАЛИЗАЦИЯ[[#This Row],[НАРХИ]]</f>
        <v>0</v>
      </c>
      <c r="I2362" s="166"/>
      <c r="J2362" s="31">
        <f>РЕАЛИЗАЦИЯ[[#This Row],[СОНИ]]*РЕАЛИЗАЦИЯ[[#This Row],[ТАННАРХ]]</f>
        <v>0</v>
      </c>
      <c r="K2362" s="31">
        <f>РЕАЛИЗАЦИЯ[[#This Row],[ЖАМИ]]-РЕАЛИЗАЦИЯ[[#This Row],[ЖАМИ2]]</f>
        <v>0</v>
      </c>
      <c r="L2362" s="31"/>
    </row>
    <row r="2363" spans="3:12" x14ac:dyDescent="0.3">
      <c r="C2363" s="216"/>
      <c r="D2363" s="216"/>
      <c r="G2363" s="50">
        <f>РЕАЛИЗАЦИЯ[[#This Row],[СОНИ]]*РЕАЛИЗАЦИЯ[[#This Row],[НАРХИ]]</f>
        <v>0</v>
      </c>
      <c r="I2363" s="166"/>
      <c r="J2363" s="31">
        <f>РЕАЛИЗАЦИЯ[[#This Row],[СОНИ]]*РЕАЛИЗАЦИЯ[[#This Row],[ТАННАРХ]]</f>
        <v>0</v>
      </c>
      <c r="K2363" s="31">
        <f>РЕАЛИЗАЦИЯ[[#This Row],[ЖАМИ]]-РЕАЛИЗАЦИЯ[[#This Row],[ЖАМИ2]]</f>
        <v>0</v>
      </c>
      <c r="L2363" s="31"/>
    </row>
    <row r="2364" spans="3:12" x14ac:dyDescent="0.3">
      <c r="C2364" s="216"/>
      <c r="D2364" s="216"/>
      <c r="G2364" s="50">
        <f>РЕАЛИЗАЦИЯ[[#This Row],[СОНИ]]*РЕАЛИЗАЦИЯ[[#This Row],[НАРХИ]]</f>
        <v>0</v>
      </c>
      <c r="I2364" s="166"/>
      <c r="J2364" s="31">
        <f>РЕАЛИЗАЦИЯ[[#This Row],[СОНИ]]*РЕАЛИЗАЦИЯ[[#This Row],[ТАННАРХ]]</f>
        <v>0</v>
      </c>
      <c r="K2364" s="31">
        <f>РЕАЛИЗАЦИЯ[[#This Row],[ЖАМИ]]-РЕАЛИЗАЦИЯ[[#This Row],[ЖАМИ2]]</f>
        <v>0</v>
      </c>
      <c r="L2364" s="31"/>
    </row>
    <row r="2365" spans="3:12" x14ac:dyDescent="0.3">
      <c r="C2365" s="216"/>
      <c r="D2365" s="216"/>
      <c r="G2365" s="50">
        <f>РЕАЛИЗАЦИЯ[[#This Row],[СОНИ]]*РЕАЛИЗАЦИЯ[[#This Row],[НАРХИ]]</f>
        <v>0</v>
      </c>
      <c r="I2365" s="166"/>
      <c r="J2365" s="31">
        <f>РЕАЛИЗАЦИЯ[[#This Row],[СОНИ]]*РЕАЛИЗАЦИЯ[[#This Row],[ТАННАРХ]]</f>
        <v>0</v>
      </c>
      <c r="K2365" s="31">
        <f>РЕАЛИЗАЦИЯ[[#This Row],[ЖАМИ]]-РЕАЛИЗАЦИЯ[[#This Row],[ЖАМИ2]]</f>
        <v>0</v>
      </c>
      <c r="L2365" s="31"/>
    </row>
    <row r="2366" spans="3:12" x14ac:dyDescent="0.3">
      <c r="C2366" s="216"/>
      <c r="D2366" s="216"/>
      <c r="G2366" s="50">
        <f>РЕАЛИЗАЦИЯ[[#This Row],[СОНИ]]*РЕАЛИЗАЦИЯ[[#This Row],[НАРХИ]]</f>
        <v>0</v>
      </c>
      <c r="I2366" s="166"/>
      <c r="J2366" s="31">
        <f>РЕАЛИЗАЦИЯ[[#This Row],[СОНИ]]*РЕАЛИЗАЦИЯ[[#This Row],[ТАННАРХ]]</f>
        <v>0</v>
      </c>
      <c r="K2366" s="31">
        <f>РЕАЛИЗАЦИЯ[[#This Row],[ЖАМИ]]-РЕАЛИЗАЦИЯ[[#This Row],[ЖАМИ2]]</f>
        <v>0</v>
      </c>
      <c r="L2366" s="31"/>
    </row>
    <row r="2367" spans="3:12" x14ac:dyDescent="0.3">
      <c r="C2367" s="216"/>
      <c r="D2367" s="216"/>
      <c r="G2367" s="50">
        <f>РЕАЛИЗАЦИЯ[[#This Row],[СОНИ]]*РЕАЛИЗАЦИЯ[[#This Row],[НАРХИ]]</f>
        <v>0</v>
      </c>
      <c r="I2367" s="166"/>
      <c r="J2367" s="31">
        <f>РЕАЛИЗАЦИЯ[[#This Row],[СОНИ]]*РЕАЛИЗАЦИЯ[[#This Row],[ТАННАРХ]]</f>
        <v>0</v>
      </c>
      <c r="K2367" s="31">
        <f>РЕАЛИЗАЦИЯ[[#This Row],[ЖАМИ]]-РЕАЛИЗАЦИЯ[[#This Row],[ЖАМИ2]]</f>
        <v>0</v>
      </c>
      <c r="L2367" s="31"/>
    </row>
    <row r="2368" spans="3:12" x14ac:dyDescent="0.3">
      <c r="C2368" s="216"/>
      <c r="D2368" s="216"/>
      <c r="G2368" s="50">
        <f>РЕАЛИЗАЦИЯ[[#This Row],[СОНИ]]*РЕАЛИЗАЦИЯ[[#This Row],[НАРХИ]]</f>
        <v>0</v>
      </c>
      <c r="I2368" s="166"/>
      <c r="J2368" s="31">
        <f>РЕАЛИЗАЦИЯ[[#This Row],[СОНИ]]*РЕАЛИЗАЦИЯ[[#This Row],[ТАННАРХ]]</f>
        <v>0</v>
      </c>
      <c r="K2368" s="31">
        <f>РЕАЛИЗАЦИЯ[[#This Row],[ЖАМИ]]-РЕАЛИЗАЦИЯ[[#This Row],[ЖАМИ2]]</f>
        <v>0</v>
      </c>
      <c r="L2368" s="31"/>
    </row>
    <row r="2369" spans="3:12" x14ac:dyDescent="0.3">
      <c r="C2369" s="216"/>
      <c r="D2369" s="216"/>
      <c r="G2369" s="50">
        <f>РЕАЛИЗАЦИЯ[[#This Row],[СОНИ]]*РЕАЛИЗАЦИЯ[[#This Row],[НАРХИ]]</f>
        <v>0</v>
      </c>
      <c r="I2369" s="166"/>
      <c r="J2369" s="31">
        <f>РЕАЛИЗАЦИЯ[[#This Row],[СОНИ]]*РЕАЛИЗАЦИЯ[[#This Row],[ТАННАРХ]]</f>
        <v>0</v>
      </c>
      <c r="K2369" s="31">
        <f>РЕАЛИЗАЦИЯ[[#This Row],[ЖАМИ]]-РЕАЛИЗАЦИЯ[[#This Row],[ЖАМИ2]]</f>
        <v>0</v>
      </c>
      <c r="L2369" s="31"/>
    </row>
    <row r="2370" spans="3:12" x14ac:dyDescent="0.3">
      <c r="C2370" s="216"/>
      <c r="D2370" s="216"/>
      <c r="G2370" s="50">
        <f>РЕАЛИЗАЦИЯ[[#This Row],[СОНИ]]*РЕАЛИЗАЦИЯ[[#This Row],[НАРХИ]]</f>
        <v>0</v>
      </c>
      <c r="I2370" s="166"/>
      <c r="J2370" s="31">
        <f>РЕАЛИЗАЦИЯ[[#This Row],[СОНИ]]*РЕАЛИЗАЦИЯ[[#This Row],[ТАННАРХ]]</f>
        <v>0</v>
      </c>
      <c r="K2370" s="31">
        <f>РЕАЛИЗАЦИЯ[[#This Row],[ЖАМИ]]-РЕАЛИЗАЦИЯ[[#This Row],[ЖАМИ2]]</f>
        <v>0</v>
      </c>
      <c r="L2370" s="31"/>
    </row>
    <row r="2371" spans="3:12" x14ac:dyDescent="0.3">
      <c r="C2371" s="216"/>
      <c r="D2371" s="216"/>
      <c r="G2371" s="50">
        <f>РЕАЛИЗАЦИЯ[[#This Row],[СОНИ]]*РЕАЛИЗАЦИЯ[[#This Row],[НАРХИ]]</f>
        <v>0</v>
      </c>
      <c r="I2371" s="166"/>
      <c r="J2371" s="31">
        <f>РЕАЛИЗАЦИЯ[[#This Row],[СОНИ]]*РЕАЛИЗАЦИЯ[[#This Row],[ТАННАРХ]]</f>
        <v>0</v>
      </c>
      <c r="K2371" s="31">
        <f>РЕАЛИЗАЦИЯ[[#This Row],[ЖАМИ]]-РЕАЛИЗАЦИЯ[[#This Row],[ЖАМИ2]]</f>
        <v>0</v>
      </c>
      <c r="L2371" s="31"/>
    </row>
    <row r="2372" spans="3:12" x14ac:dyDescent="0.3">
      <c r="C2372" s="216"/>
      <c r="D2372" s="216"/>
      <c r="G2372" s="50">
        <f>РЕАЛИЗАЦИЯ[[#This Row],[СОНИ]]*РЕАЛИЗАЦИЯ[[#This Row],[НАРХИ]]</f>
        <v>0</v>
      </c>
      <c r="I2372" s="166"/>
      <c r="J2372" s="31">
        <f>РЕАЛИЗАЦИЯ[[#This Row],[СОНИ]]*РЕАЛИЗАЦИЯ[[#This Row],[ТАННАРХ]]</f>
        <v>0</v>
      </c>
      <c r="K2372" s="31">
        <f>РЕАЛИЗАЦИЯ[[#This Row],[ЖАМИ]]-РЕАЛИЗАЦИЯ[[#This Row],[ЖАМИ2]]</f>
        <v>0</v>
      </c>
      <c r="L2372" s="31"/>
    </row>
    <row r="2373" spans="3:12" x14ac:dyDescent="0.3">
      <c r="C2373" s="216"/>
      <c r="D2373" s="216"/>
      <c r="G2373" s="50">
        <f>РЕАЛИЗАЦИЯ[[#This Row],[СОНИ]]*РЕАЛИЗАЦИЯ[[#This Row],[НАРХИ]]</f>
        <v>0</v>
      </c>
      <c r="I2373" s="166"/>
      <c r="J2373" s="31">
        <f>РЕАЛИЗАЦИЯ[[#This Row],[СОНИ]]*РЕАЛИЗАЦИЯ[[#This Row],[ТАННАРХ]]</f>
        <v>0</v>
      </c>
      <c r="K2373" s="31">
        <f>РЕАЛИЗАЦИЯ[[#This Row],[ЖАМИ]]-РЕАЛИЗАЦИЯ[[#This Row],[ЖАМИ2]]</f>
        <v>0</v>
      </c>
      <c r="L2373" s="31"/>
    </row>
    <row r="2374" spans="3:12" x14ac:dyDescent="0.3">
      <c r="C2374" s="216"/>
      <c r="D2374" s="216"/>
      <c r="G2374" s="50">
        <f>РЕАЛИЗАЦИЯ[[#This Row],[СОНИ]]*РЕАЛИЗАЦИЯ[[#This Row],[НАРХИ]]</f>
        <v>0</v>
      </c>
      <c r="I2374" s="166"/>
      <c r="J2374" s="31">
        <f>РЕАЛИЗАЦИЯ[[#This Row],[СОНИ]]*РЕАЛИЗАЦИЯ[[#This Row],[ТАННАРХ]]</f>
        <v>0</v>
      </c>
      <c r="K2374" s="31">
        <f>РЕАЛИЗАЦИЯ[[#This Row],[ЖАМИ]]-РЕАЛИЗАЦИЯ[[#This Row],[ЖАМИ2]]</f>
        <v>0</v>
      </c>
      <c r="L2374" s="31"/>
    </row>
    <row r="2375" spans="3:12" x14ac:dyDescent="0.3">
      <c r="C2375" s="216"/>
      <c r="D2375" s="216"/>
      <c r="G2375" s="50">
        <f>РЕАЛИЗАЦИЯ[[#This Row],[СОНИ]]*РЕАЛИЗАЦИЯ[[#This Row],[НАРХИ]]</f>
        <v>0</v>
      </c>
      <c r="I2375" s="166"/>
      <c r="J2375" s="31">
        <f>РЕАЛИЗАЦИЯ[[#This Row],[СОНИ]]*РЕАЛИЗАЦИЯ[[#This Row],[ТАННАРХ]]</f>
        <v>0</v>
      </c>
      <c r="K2375" s="31">
        <f>РЕАЛИЗАЦИЯ[[#This Row],[ЖАМИ]]-РЕАЛИЗАЦИЯ[[#This Row],[ЖАМИ2]]</f>
        <v>0</v>
      </c>
      <c r="L2375" s="31"/>
    </row>
    <row r="2376" spans="3:12" x14ac:dyDescent="0.3">
      <c r="C2376" s="216"/>
      <c r="D2376" s="216"/>
      <c r="G2376" s="50">
        <f>РЕАЛИЗАЦИЯ[[#This Row],[СОНИ]]*РЕАЛИЗАЦИЯ[[#This Row],[НАРХИ]]</f>
        <v>0</v>
      </c>
      <c r="I2376" s="166"/>
      <c r="J2376" s="31">
        <f>РЕАЛИЗАЦИЯ[[#This Row],[СОНИ]]*РЕАЛИЗАЦИЯ[[#This Row],[ТАННАРХ]]</f>
        <v>0</v>
      </c>
      <c r="K2376" s="31">
        <f>РЕАЛИЗАЦИЯ[[#This Row],[ЖАМИ]]-РЕАЛИЗАЦИЯ[[#This Row],[ЖАМИ2]]</f>
        <v>0</v>
      </c>
      <c r="L2376" s="31"/>
    </row>
    <row r="2377" spans="3:12" x14ac:dyDescent="0.3">
      <c r="C2377" s="216"/>
      <c r="D2377" s="216"/>
      <c r="G2377" s="50">
        <f>РЕАЛИЗАЦИЯ[[#This Row],[СОНИ]]*РЕАЛИЗАЦИЯ[[#This Row],[НАРХИ]]</f>
        <v>0</v>
      </c>
      <c r="I2377" s="166"/>
      <c r="J2377" s="31">
        <f>РЕАЛИЗАЦИЯ[[#This Row],[СОНИ]]*РЕАЛИЗАЦИЯ[[#This Row],[ТАННАРХ]]</f>
        <v>0</v>
      </c>
      <c r="K2377" s="31">
        <f>РЕАЛИЗАЦИЯ[[#This Row],[ЖАМИ]]-РЕАЛИЗАЦИЯ[[#This Row],[ЖАМИ2]]</f>
        <v>0</v>
      </c>
      <c r="L2377" s="31"/>
    </row>
    <row r="2378" spans="3:12" x14ac:dyDescent="0.3">
      <c r="C2378" s="216"/>
      <c r="D2378" s="216"/>
      <c r="G2378" s="50">
        <f>РЕАЛИЗАЦИЯ[[#This Row],[СОНИ]]*РЕАЛИЗАЦИЯ[[#This Row],[НАРХИ]]</f>
        <v>0</v>
      </c>
      <c r="I2378" s="166"/>
      <c r="J2378" s="31">
        <f>РЕАЛИЗАЦИЯ[[#This Row],[СОНИ]]*РЕАЛИЗАЦИЯ[[#This Row],[ТАННАРХ]]</f>
        <v>0</v>
      </c>
      <c r="K2378" s="31">
        <f>РЕАЛИЗАЦИЯ[[#This Row],[ЖАМИ]]-РЕАЛИЗАЦИЯ[[#This Row],[ЖАМИ2]]</f>
        <v>0</v>
      </c>
      <c r="L2378" s="31"/>
    </row>
    <row r="2379" spans="3:12" x14ac:dyDescent="0.3">
      <c r="C2379" s="216"/>
      <c r="D2379" s="216"/>
      <c r="G2379" s="50">
        <f>РЕАЛИЗАЦИЯ[[#This Row],[СОНИ]]*РЕАЛИЗАЦИЯ[[#This Row],[НАРХИ]]</f>
        <v>0</v>
      </c>
      <c r="I2379" s="166"/>
      <c r="J2379" s="31">
        <f>РЕАЛИЗАЦИЯ[[#This Row],[СОНИ]]*РЕАЛИЗАЦИЯ[[#This Row],[ТАННАРХ]]</f>
        <v>0</v>
      </c>
      <c r="K2379" s="31">
        <f>РЕАЛИЗАЦИЯ[[#This Row],[ЖАМИ]]-РЕАЛИЗАЦИЯ[[#This Row],[ЖАМИ2]]</f>
        <v>0</v>
      </c>
      <c r="L2379" s="31"/>
    </row>
    <row r="2380" spans="3:12" x14ac:dyDescent="0.3">
      <c r="C2380" s="216"/>
      <c r="D2380" s="216"/>
      <c r="G2380" s="50">
        <f>РЕАЛИЗАЦИЯ[[#This Row],[СОНИ]]*РЕАЛИЗАЦИЯ[[#This Row],[НАРХИ]]</f>
        <v>0</v>
      </c>
      <c r="I2380" s="166"/>
      <c r="J2380" s="31">
        <f>РЕАЛИЗАЦИЯ[[#This Row],[СОНИ]]*РЕАЛИЗАЦИЯ[[#This Row],[ТАННАРХ]]</f>
        <v>0</v>
      </c>
      <c r="K2380" s="31">
        <f>РЕАЛИЗАЦИЯ[[#This Row],[ЖАМИ]]-РЕАЛИЗАЦИЯ[[#This Row],[ЖАМИ2]]</f>
        <v>0</v>
      </c>
      <c r="L2380" s="31"/>
    </row>
    <row r="2381" spans="3:12" x14ac:dyDescent="0.3">
      <c r="C2381" s="216"/>
      <c r="D2381" s="216"/>
      <c r="G2381" s="50">
        <f>РЕАЛИЗАЦИЯ[[#This Row],[СОНИ]]*РЕАЛИЗАЦИЯ[[#This Row],[НАРХИ]]</f>
        <v>0</v>
      </c>
      <c r="I2381" s="166"/>
      <c r="J2381" s="31">
        <f>РЕАЛИЗАЦИЯ[[#This Row],[СОНИ]]*РЕАЛИЗАЦИЯ[[#This Row],[ТАННАРХ]]</f>
        <v>0</v>
      </c>
      <c r="K2381" s="31">
        <f>РЕАЛИЗАЦИЯ[[#This Row],[ЖАМИ]]-РЕАЛИЗАЦИЯ[[#This Row],[ЖАМИ2]]</f>
        <v>0</v>
      </c>
      <c r="L2381" s="31"/>
    </row>
    <row r="2382" spans="3:12" x14ac:dyDescent="0.3">
      <c r="C2382" s="216"/>
      <c r="D2382" s="216"/>
      <c r="G2382" s="50">
        <f>РЕАЛИЗАЦИЯ[[#This Row],[СОНИ]]*РЕАЛИЗАЦИЯ[[#This Row],[НАРХИ]]</f>
        <v>0</v>
      </c>
      <c r="I2382" s="166"/>
      <c r="J2382" s="31">
        <f>РЕАЛИЗАЦИЯ[[#This Row],[СОНИ]]*РЕАЛИЗАЦИЯ[[#This Row],[ТАННАРХ]]</f>
        <v>0</v>
      </c>
      <c r="K2382" s="31">
        <f>РЕАЛИЗАЦИЯ[[#This Row],[ЖАМИ]]-РЕАЛИЗАЦИЯ[[#This Row],[ЖАМИ2]]</f>
        <v>0</v>
      </c>
      <c r="L2382" s="31"/>
    </row>
    <row r="2383" spans="3:12" x14ac:dyDescent="0.3">
      <c r="C2383" s="216"/>
      <c r="D2383" s="216"/>
      <c r="G2383" s="50">
        <f>РЕАЛИЗАЦИЯ[[#This Row],[СОНИ]]*РЕАЛИЗАЦИЯ[[#This Row],[НАРХИ]]</f>
        <v>0</v>
      </c>
      <c r="I2383" s="166"/>
      <c r="J2383" s="31">
        <f>РЕАЛИЗАЦИЯ[[#This Row],[СОНИ]]*РЕАЛИЗАЦИЯ[[#This Row],[ТАННАРХ]]</f>
        <v>0</v>
      </c>
      <c r="K2383" s="31">
        <f>РЕАЛИЗАЦИЯ[[#This Row],[ЖАМИ]]-РЕАЛИЗАЦИЯ[[#This Row],[ЖАМИ2]]</f>
        <v>0</v>
      </c>
      <c r="L2383" s="31"/>
    </row>
    <row r="2384" spans="3:12" x14ac:dyDescent="0.3">
      <c r="C2384" s="216"/>
      <c r="D2384" s="216"/>
      <c r="G2384" s="50">
        <f>РЕАЛИЗАЦИЯ[[#This Row],[СОНИ]]*РЕАЛИЗАЦИЯ[[#This Row],[НАРХИ]]</f>
        <v>0</v>
      </c>
      <c r="I2384" s="166"/>
      <c r="J2384" s="31">
        <f>РЕАЛИЗАЦИЯ[[#This Row],[СОНИ]]*РЕАЛИЗАЦИЯ[[#This Row],[ТАННАРХ]]</f>
        <v>0</v>
      </c>
      <c r="K2384" s="31">
        <f>РЕАЛИЗАЦИЯ[[#This Row],[ЖАМИ]]-РЕАЛИЗАЦИЯ[[#This Row],[ЖАМИ2]]</f>
        <v>0</v>
      </c>
      <c r="L2384" s="31"/>
    </row>
    <row r="2385" spans="3:12" x14ac:dyDescent="0.3">
      <c r="C2385" s="216"/>
      <c r="D2385" s="216"/>
      <c r="G2385" s="50">
        <f>РЕАЛИЗАЦИЯ[[#This Row],[СОНИ]]*РЕАЛИЗАЦИЯ[[#This Row],[НАРХИ]]</f>
        <v>0</v>
      </c>
      <c r="I2385" s="166"/>
      <c r="J2385" s="31">
        <f>РЕАЛИЗАЦИЯ[[#This Row],[СОНИ]]*РЕАЛИЗАЦИЯ[[#This Row],[ТАННАРХ]]</f>
        <v>0</v>
      </c>
      <c r="K2385" s="31">
        <f>РЕАЛИЗАЦИЯ[[#This Row],[ЖАМИ]]-РЕАЛИЗАЦИЯ[[#This Row],[ЖАМИ2]]</f>
        <v>0</v>
      </c>
      <c r="L2385" s="31"/>
    </row>
    <row r="2386" spans="3:12" x14ac:dyDescent="0.3">
      <c r="C2386" s="216"/>
      <c r="D2386" s="216"/>
      <c r="G2386" s="50">
        <f>РЕАЛИЗАЦИЯ[[#This Row],[СОНИ]]*РЕАЛИЗАЦИЯ[[#This Row],[НАРХИ]]</f>
        <v>0</v>
      </c>
      <c r="I2386" s="166"/>
      <c r="J2386" s="31">
        <f>РЕАЛИЗАЦИЯ[[#This Row],[СОНИ]]*РЕАЛИЗАЦИЯ[[#This Row],[ТАННАРХ]]</f>
        <v>0</v>
      </c>
      <c r="K2386" s="31">
        <f>РЕАЛИЗАЦИЯ[[#This Row],[ЖАМИ]]-РЕАЛИЗАЦИЯ[[#This Row],[ЖАМИ2]]</f>
        <v>0</v>
      </c>
      <c r="L2386" s="31"/>
    </row>
    <row r="2387" spans="3:12" x14ac:dyDescent="0.3">
      <c r="C2387" s="216"/>
      <c r="D2387" s="216"/>
      <c r="G2387" s="50">
        <f>РЕАЛИЗАЦИЯ[[#This Row],[СОНИ]]*РЕАЛИЗАЦИЯ[[#This Row],[НАРХИ]]</f>
        <v>0</v>
      </c>
      <c r="I2387" s="166"/>
      <c r="J2387" s="31">
        <f>РЕАЛИЗАЦИЯ[[#This Row],[СОНИ]]*РЕАЛИЗАЦИЯ[[#This Row],[ТАННАРХ]]</f>
        <v>0</v>
      </c>
      <c r="K2387" s="31">
        <f>РЕАЛИЗАЦИЯ[[#This Row],[ЖАМИ]]-РЕАЛИЗАЦИЯ[[#This Row],[ЖАМИ2]]</f>
        <v>0</v>
      </c>
      <c r="L2387" s="31"/>
    </row>
    <row r="2388" spans="3:12" x14ac:dyDescent="0.3">
      <c r="C2388" s="216"/>
      <c r="D2388" s="216"/>
      <c r="G2388" s="50">
        <f>РЕАЛИЗАЦИЯ[[#This Row],[СОНИ]]*РЕАЛИЗАЦИЯ[[#This Row],[НАРХИ]]</f>
        <v>0</v>
      </c>
      <c r="I2388" s="166"/>
      <c r="J2388" s="31">
        <f>РЕАЛИЗАЦИЯ[[#This Row],[СОНИ]]*РЕАЛИЗАЦИЯ[[#This Row],[ТАННАРХ]]</f>
        <v>0</v>
      </c>
      <c r="K2388" s="31">
        <f>РЕАЛИЗАЦИЯ[[#This Row],[ЖАМИ]]-РЕАЛИЗАЦИЯ[[#This Row],[ЖАМИ2]]</f>
        <v>0</v>
      </c>
      <c r="L2388" s="31"/>
    </row>
    <row r="2389" spans="3:12" x14ac:dyDescent="0.3">
      <c r="C2389" s="216"/>
      <c r="D2389" s="216"/>
      <c r="G2389" s="50">
        <f>РЕАЛИЗАЦИЯ[[#This Row],[СОНИ]]*РЕАЛИЗАЦИЯ[[#This Row],[НАРХИ]]</f>
        <v>0</v>
      </c>
      <c r="I2389" s="166"/>
      <c r="J2389" s="31">
        <f>РЕАЛИЗАЦИЯ[[#This Row],[СОНИ]]*РЕАЛИЗАЦИЯ[[#This Row],[ТАННАРХ]]</f>
        <v>0</v>
      </c>
      <c r="K2389" s="31">
        <f>РЕАЛИЗАЦИЯ[[#This Row],[ЖАМИ]]-РЕАЛИЗАЦИЯ[[#This Row],[ЖАМИ2]]</f>
        <v>0</v>
      </c>
      <c r="L2389" s="31"/>
    </row>
    <row r="2390" spans="3:12" x14ac:dyDescent="0.3">
      <c r="C2390" s="218"/>
      <c r="D2390" s="218"/>
      <c r="G2390" s="50">
        <f>РЕАЛИЗАЦИЯ[[#This Row],[СОНИ]]*РЕАЛИЗАЦИЯ[[#This Row],[НАРХИ]]</f>
        <v>0</v>
      </c>
      <c r="I2390" s="166"/>
      <c r="J2390" s="31">
        <f>РЕАЛИЗАЦИЯ[[#This Row],[СОНИ]]*РЕАЛИЗАЦИЯ[[#This Row],[ТАННАРХ]]</f>
        <v>0</v>
      </c>
      <c r="K2390" s="31">
        <f>РЕАЛИЗАЦИЯ[[#This Row],[ЖАМИ]]-РЕАЛИЗАЦИЯ[[#This Row],[ЖАМИ2]]</f>
        <v>0</v>
      </c>
      <c r="L2390" s="31"/>
    </row>
    <row r="2391" spans="3:12" x14ac:dyDescent="0.3">
      <c r="C2391" s="218"/>
      <c r="D2391" s="218"/>
      <c r="G2391" s="50">
        <f>РЕАЛИЗАЦИЯ[[#This Row],[СОНИ]]*РЕАЛИЗАЦИЯ[[#This Row],[НАРХИ]]</f>
        <v>0</v>
      </c>
      <c r="I2391" s="166"/>
      <c r="J2391" s="31">
        <f>РЕАЛИЗАЦИЯ[[#This Row],[СОНИ]]*РЕАЛИЗАЦИЯ[[#This Row],[ТАННАРХ]]</f>
        <v>0</v>
      </c>
      <c r="K2391" s="31">
        <f>РЕАЛИЗАЦИЯ[[#This Row],[ЖАМИ]]-РЕАЛИЗАЦИЯ[[#This Row],[ЖАМИ2]]</f>
        <v>0</v>
      </c>
      <c r="L2391" s="31"/>
    </row>
    <row r="2392" spans="3:12" x14ac:dyDescent="0.3">
      <c r="C2392" s="218"/>
      <c r="D2392" s="218"/>
      <c r="G2392" s="50">
        <f>РЕАЛИЗАЦИЯ[[#This Row],[СОНИ]]*РЕАЛИЗАЦИЯ[[#This Row],[НАРХИ]]</f>
        <v>0</v>
      </c>
      <c r="I2392" s="166"/>
      <c r="J2392" s="31">
        <f>РЕАЛИЗАЦИЯ[[#This Row],[СОНИ]]*РЕАЛИЗАЦИЯ[[#This Row],[ТАННАРХ]]</f>
        <v>0</v>
      </c>
      <c r="K2392" s="31">
        <f>РЕАЛИЗАЦИЯ[[#This Row],[ЖАМИ]]-РЕАЛИЗАЦИЯ[[#This Row],[ЖАМИ2]]</f>
        <v>0</v>
      </c>
      <c r="L2392" s="31"/>
    </row>
    <row r="2393" spans="3:12" x14ac:dyDescent="0.3">
      <c r="C2393" s="218"/>
      <c r="D2393" s="218"/>
      <c r="G2393" s="50">
        <f>РЕАЛИЗАЦИЯ[[#This Row],[СОНИ]]*РЕАЛИЗАЦИЯ[[#This Row],[НАРХИ]]</f>
        <v>0</v>
      </c>
      <c r="I2393" s="166"/>
      <c r="J2393" s="31">
        <f>РЕАЛИЗАЦИЯ[[#This Row],[СОНИ]]*РЕАЛИЗАЦИЯ[[#This Row],[ТАННАРХ]]</f>
        <v>0</v>
      </c>
      <c r="K2393" s="31">
        <f>РЕАЛИЗАЦИЯ[[#This Row],[ЖАМИ]]-РЕАЛИЗАЦИЯ[[#This Row],[ЖАМИ2]]</f>
        <v>0</v>
      </c>
      <c r="L2393" s="31"/>
    </row>
    <row r="2394" spans="3:12" x14ac:dyDescent="0.3">
      <c r="C2394" s="218"/>
      <c r="D2394" s="218"/>
      <c r="G2394" s="50">
        <f>РЕАЛИЗАЦИЯ[[#This Row],[СОНИ]]*РЕАЛИЗАЦИЯ[[#This Row],[НАРХИ]]</f>
        <v>0</v>
      </c>
      <c r="I2394" s="166"/>
      <c r="J2394" s="31">
        <f>РЕАЛИЗАЦИЯ[[#This Row],[СОНИ]]*РЕАЛИЗАЦИЯ[[#This Row],[ТАННАРХ]]</f>
        <v>0</v>
      </c>
      <c r="K2394" s="31">
        <f>РЕАЛИЗАЦИЯ[[#This Row],[ЖАМИ]]-РЕАЛИЗАЦИЯ[[#This Row],[ЖАМИ2]]</f>
        <v>0</v>
      </c>
      <c r="L2394" s="31"/>
    </row>
    <row r="2395" spans="3:12" x14ac:dyDescent="0.3">
      <c r="C2395" s="218"/>
      <c r="D2395" s="218"/>
      <c r="G2395" s="50">
        <f>РЕАЛИЗАЦИЯ[[#This Row],[СОНИ]]*РЕАЛИЗАЦИЯ[[#This Row],[НАРХИ]]</f>
        <v>0</v>
      </c>
      <c r="I2395" s="166"/>
      <c r="J2395" s="31">
        <f>РЕАЛИЗАЦИЯ[[#This Row],[СОНИ]]*РЕАЛИЗАЦИЯ[[#This Row],[ТАННАРХ]]</f>
        <v>0</v>
      </c>
      <c r="K2395" s="31">
        <f>РЕАЛИЗАЦИЯ[[#This Row],[ЖАМИ]]-РЕАЛИЗАЦИЯ[[#This Row],[ЖАМИ2]]</f>
        <v>0</v>
      </c>
      <c r="L2395" s="31"/>
    </row>
    <row r="2396" spans="3:12" x14ac:dyDescent="0.3">
      <c r="C2396" s="218"/>
      <c r="D2396" s="218"/>
      <c r="G2396" s="50">
        <f>РЕАЛИЗАЦИЯ[[#This Row],[СОНИ]]*РЕАЛИЗАЦИЯ[[#This Row],[НАРХИ]]</f>
        <v>0</v>
      </c>
      <c r="I2396" s="166"/>
      <c r="J2396" s="31">
        <f>РЕАЛИЗАЦИЯ[[#This Row],[СОНИ]]*РЕАЛИЗАЦИЯ[[#This Row],[ТАННАРХ]]</f>
        <v>0</v>
      </c>
      <c r="K2396" s="31">
        <f>РЕАЛИЗАЦИЯ[[#This Row],[ЖАМИ]]-РЕАЛИЗАЦИЯ[[#This Row],[ЖАМИ2]]</f>
        <v>0</v>
      </c>
      <c r="L2396" s="31"/>
    </row>
    <row r="2397" spans="3:12" x14ac:dyDescent="0.3">
      <c r="C2397" s="218"/>
      <c r="D2397" s="218"/>
      <c r="G2397" s="50">
        <f>РЕАЛИЗАЦИЯ[[#This Row],[СОНИ]]*РЕАЛИЗАЦИЯ[[#This Row],[НАРХИ]]</f>
        <v>0</v>
      </c>
      <c r="I2397" s="166"/>
      <c r="J2397" s="31">
        <f>РЕАЛИЗАЦИЯ[[#This Row],[СОНИ]]*РЕАЛИЗАЦИЯ[[#This Row],[ТАННАРХ]]</f>
        <v>0</v>
      </c>
      <c r="K2397" s="31">
        <f>РЕАЛИЗАЦИЯ[[#This Row],[ЖАМИ]]-РЕАЛИЗАЦИЯ[[#This Row],[ЖАМИ2]]</f>
        <v>0</v>
      </c>
      <c r="L2397" s="31"/>
    </row>
    <row r="2398" spans="3:12" x14ac:dyDescent="0.3">
      <c r="C2398" s="218"/>
      <c r="D2398" s="218"/>
      <c r="G2398" s="50">
        <f>РЕАЛИЗАЦИЯ[[#This Row],[СОНИ]]*РЕАЛИЗАЦИЯ[[#This Row],[НАРХИ]]</f>
        <v>0</v>
      </c>
      <c r="I2398" s="166"/>
      <c r="J2398" s="31">
        <f>РЕАЛИЗАЦИЯ[[#This Row],[СОНИ]]*РЕАЛИЗАЦИЯ[[#This Row],[ТАННАРХ]]</f>
        <v>0</v>
      </c>
      <c r="K2398" s="31">
        <f>РЕАЛИЗАЦИЯ[[#This Row],[ЖАМИ]]-РЕАЛИЗАЦИЯ[[#This Row],[ЖАМИ2]]</f>
        <v>0</v>
      </c>
      <c r="L2398" s="31"/>
    </row>
    <row r="2399" spans="3:12" x14ac:dyDescent="0.3">
      <c r="C2399" s="218"/>
      <c r="D2399" s="218"/>
      <c r="G2399" s="50">
        <f>РЕАЛИЗАЦИЯ[[#This Row],[СОНИ]]*РЕАЛИЗАЦИЯ[[#This Row],[НАРХИ]]</f>
        <v>0</v>
      </c>
      <c r="I2399" s="166"/>
      <c r="J2399" s="31">
        <f>РЕАЛИЗАЦИЯ[[#This Row],[СОНИ]]*РЕАЛИЗАЦИЯ[[#This Row],[ТАННАРХ]]</f>
        <v>0</v>
      </c>
      <c r="K2399" s="31">
        <f>РЕАЛИЗАЦИЯ[[#This Row],[ЖАМИ]]-РЕАЛИЗАЦИЯ[[#This Row],[ЖАМИ2]]</f>
        <v>0</v>
      </c>
      <c r="L2399" s="31"/>
    </row>
    <row r="2400" spans="3:12" x14ac:dyDescent="0.3">
      <c r="C2400" s="218"/>
      <c r="D2400" s="218"/>
      <c r="G2400" s="50">
        <f>РЕАЛИЗАЦИЯ[[#This Row],[СОНИ]]*РЕАЛИЗАЦИЯ[[#This Row],[НАРХИ]]</f>
        <v>0</v>
      </c>
      <c r="I2400" s="166"/>
      <c r="J2400" s="31">
        <f>РЕАЛИЗАЦИЯ[[#This Row],[СОНИ]]*РЕАЛИЗАЦИЯ[[#This Row],[ТАННАРХ]]</f>
        <v>0</v>
      </c>
      <c r="K2400" s="31">
        <f>РЕАЛИЗАЦИЯ[[#This Row],[ЖАМИ]]-РЕАЛИЗАЦИЯ[[#This Row],[ЖАМИ2]]</f>
        <v>0</v>
      </c>
      <c r="L2400" s="31"/>
    </row>
    <row r="2401" spans="3:12" x14ac:dyDescent="0.3">
      <c r="C2401" s="218"/>
      <c r="D2401" s="218"/>
      <c r="G2401" s="50">
        <f>РЕАЛИЗАЦИЯ[[#This Row],[СОНИ]]*РЕАЛИЗАЦИЯ[[#This Row],[НАРХИ]]</f>
        <v>0</v>
      </c>
      <c r="I2401" s="166"/>
      <c r="J2401" s="31">
        <f>РЕАЛИЗАЦИЯ[[#This Row],[СОНИ]]*РЕАЛИЗАЦИЯ[[#This Row],[ТАННАРХ]]</f>
        <v>0</v>
      </c>
      <c r="K2401" s="31">
        <f>РЕАЛИЗАЦИЯ[[#This Row],[ЖАМИ]]-РЕАЛИЗАЦИЯ[[#This Row],[ЖАМИ2]]</f>
        <v>0</v>
      </c>
      <c r="L2401" s="31"/>
    </row>
    <row r="2402" spans="3:12" x14ac:dyDescent="0.3">
      <c r="C2402" s="218"/>
      <c r="D2402" s="218"/>
      <c r="G2402" s="50">
        <f>РЕАЛИЗАЦИЯ[[#This Row],[СОНИ]]*РЕАЛИЗАЦИЯ[[#This Row],[НАРХИ]]</f>
        <v>0</v>
      </c>
      <c r="I2402" s="166"/>
      <c r="J2402" s="31">
        <f>РЕАЛИЗАЦИЯ[[#This Row],[СОНИ]]*РЕАЛИЗАЦИЯ[[#This Row],[ТАННАРХ]]</f>
        <v>0</v>
      </c>
      <c r="K2402" s="31">
        <f>РЕАЛИЗАЦИЯ[[#This Row],[ЖАМИ]]-РЕАЛИЗАЦИЯ[[#This Row],[ЖАМИ2]]</f>
        <v>0</v>
      </c>
      <c r="L2402" s="31"/>
    </row>
    <row r="2403" spans="3:12" x14ac:dyDescent="0.3">
      <c r="C2403" s="218"/>
      <c r="D2403" s="218"/>
      <c r="G2403" s="50">
        <f>РЕАЛИЗАЦИЯ[[#This Row],[СОНИ]]*РЕАЛИЗАЦИЯ[[#This Row],[НАРХИ]]</f>
        <v>0</v>
      </c>
      <c r="I2403" s="166"/>
      <c r="J2403" s="31">
        <f>РЕАЛИЗАЦИЯ[[#This Row],[СОНИ]]*РЕАЛИЗАЦИЯ[[#This Row],[ТАННАРХ]]</f>
        <v>0</v>
      </c>
      <c r="K2403" s="31">
        <f>РЕАЛИЗАЦИЯ[[#This Row],[ЖАМИ]]-РЕАЛИЗАЦИЯ[[#This Row],[ЖАМИ2]]</f>
        <v>0</v>
      </c>
      <c r="L2403" s="31"/>
    </row>
    <row r="2404" spans="3:12" x14ac:dyDescent="0.3">
      <c r="C2404" s="218"/>
      <c r="D2404" s="218"/>
      <c r="G2404" s="50">
        <f>РЕАЛИЗАЦИЯ[[#This Row],[СОНИ]]*РЕАЛИЗАЦИЯ[[#This Row],[НАРХИ]]</f>
        <v>0</v>
      </c>
      <c r="I2404" s="166"/>
      <c r="J2404" s="31">
        <f>РЕАЛИЗАЦИЯ[[#This Row],[СОНИ]]*РЕАЛИЗАЦИЯ[[#This Row],[ТАННАРХ]]</f>
        <v>0</v>
      </c>
      <c r="K2404" s="31">
        <f>РЕАЛИЗАЦИЯ[[#This Row],[ЖАМИ]]-РЕАЛИЗАЦИЯ[[#This Row],[ЖАМИ2]]</f>
        <v>0</v>
      </c>
      <c r="L2404" s="31"/>
    </row>
    <row r="2405" spans="3:12" x14ac:dyDescent="0.3">
      <c r="C2405" s="218"/>
      <c r="D2405" s="218"/>
      <c r="G2405" s="50">
        <f>РЕАЛИЗАЦИЯ[[#This Row],[СОНИ]]*РЕАЛИЗАЦИЯ[[#This Row],[НАРХИ]]</f>
        <v>0</v>
      </c>
      <c r="I2405" s="166"/>
      <c r="J2405" s="31">
        <f>РЕАЛИЗАЦИЯ[[#This Row],[СОНИ]]*РЕАЛИЗАЦИЯ[[#This Row],[ТАННАРХ]]</f>
        <v>0</v>
      </c>
      <c r="K2405" s="31">
        <f>РЕАЛИЗАЦИЯ[[#This Row],[ЖАМИ]]-РЕАЛИЗАЦИЯ[[#This Row],[ЖАМИ2]]</f>
        <v>0</v>
      </c>
      <c r="L2405" s="31"/>
    </row>
    <row r="2406" spans="3:12" x14ac:dyDescent="0.3">
      <c r="C2406" s="218"/>
      <c r="D2406" s="218"/>
      <c r="G2406" s="50">
        <f>РЕАЛИЗАЦИЯ[[#This Row],[СОНИ]]*РЕАЛИЗАЦИЯ[[#This Row],[НАРХИ]]</f>
        <v>0</v>
      </c>
      <c r="I2406" s="166"/>
      <c r="J2406" s="31">
        <f>РЕАЛИЗАЦИЯ[[#This Row],[СОНИ]]*РЕАЛИЗАЦИЯ[[#This Row],[ТАННАРХ]]</f>
        <v>0</v>
      </c>
      <c r="K2406" s="31">
        <f>РЕАЛИЗАЦИЯ[[#This Row],[ЖАМИ]]-РЕАЛИЗАЦИЯ[[#This Row],[ЖАМИ2]]</f>
        <v>0</v>
      </c>
      <c r="L2406" s="31"/>
    </row>
    <row r="2407" spans="3:12" x14ac:dyDescent="0.3">
      <c r="C2407" s="218"/>
      <c r="D2407" s="218"/>
      <c r="G2407" s="50">
        <f>РЕАЛИЗАЦИЯ[[#This Row],[СОНИ]]*РЕАЛИЗАЦИЯ[[#This Row],[НАРХИ]]</f>
        <v>0</v>
      </c>
      <c r="I2407" s="166"/>
      <c r="J2407" s="31">
        <f>РЕАЛИЗАЦИЯ[[#This Row],[СОНИ]]*РЕАЛИЗАЦИЯ[[#This Row],[ТАННАРХ]]</f>
        <v>0</v>
      </c>
      <c r="K2407" s="31">
        <f>РЕАЛИЗАЦИЯ[[#This Row],[ЖАМИ]]-РЕАЛИЗАЦИЯ[[#This Row],[ЖАМИ2]]</f>
        <v>0</v>
      </c>
      <c r="L2407" s="31"/>
    </row>
    <row r="2408" spans="3:12" x14ac:dyDescent="0.3">
      <c r="C2408" s="218"/>
      <c r="D2408" s="218"/>
      <c r="G2408" s="50">
        <f>РЕАЛИЗАЦИЯ[[#This Row],[СОНИ]]*РЕАЛИЗАЦИЯ[[#This Row],[НАРХИ]]</f>
        <v>0</v>
      </c>
      <c r="I2408" s="166"/>
      <c r="J2408" s="31">
        <f>РЕАЛИЗАЦИЯ[[#This Row],[СОНИ]]*РЕАЛИЗАЦИЯ[[#This Row],[ТАННАРХ]]</f>
        <v>0</v>
      </c>
      <c r="K2408" s="31">
        <f>РЕАЛИЗАЦИЯ[[#This Row],[ЖАМИ]]-РЕАЛИЗАЦИЯ[[#This Row],[ЖАМИ2]]</f>
        <v>0</v>
      </c>
      <c r="L2408" s="31"/>
    </row>
    <row r="2409" spans="3:12" x14ac:dyDescent="0.3">
      <c r="C2409" s="218"/>
      <c r="D2409" s="218"/>
      <c r="G2409" s="50">
        <f>РЕАЛИЗАЦИЯ[[#This Row],[СОНИ]]*РЕАЛИЗАЦИЯ[[#This Row],[НАРХИ]]</f>
        <v>0</v>
      </c>
      <c r="I2409" s="166"/>
      <c r="J2409" s="31">
        <f>РЕАЛИЗАЦИЯ[[#This Row],[СОНИ]]*РЕАЛИЗАЦИЯ[[#This Row],[ТАННАРХ]]</f>
        <v>0</v>
      </c>
      <c r="K2409" s="31">
        <f>РЕАЛИЗАЦИЯ[[#This Row],[ЖАМИ]]-РЕАЛИЗАЦИЯ[[#This Row],[ЖАМИ2]]</f>
        <v>0</v>
      </c>
      <c r="L2409" s="31"/>
    </row>
    <row r="2410" spans="3:12" x14ac:dyDescent="0.3">
      <c r="C2410" s="218"/>
      <c r="D2410" s="218"/>
      <c r="G2410" s="50">
        <f>РЕАЛИЗАЦИЯ[[#This Row],[СОНИ]]*РЕАЛИЗАЦИЯ[[#This Row],[НАРХИ]]</f>
        <v>0</v>
      </c>
      <c r="I2410" s="166"/>
      <c r="J2410" s="31">
        <f>РЕАЛИЗАЦИЯ[[#This Row],[СОНИ]]*РЕАЛИЗАЦИЯ[[#This Row],[ТАННАРХ]]</f>
        <v>0</v>
      </c>
      <c r="K2410" s="31">
        <f>РЕАЛИЗАЦИЯ[[#This Row],[ЖАМИ]]-РЕАЛИЗАЦИЯ[[#This Row],[ЖАМИ2]]</f>
        <v>0</v>
      </c>
      <c r="L2410" s="31"/>
    </row>
    <row r="2411" spans="3:12" x14ac:dyDescent="0.3">
      <c r="C2411" s="218"/>
      <c r="D2411" s="218"/>
      <c r="G2411" s="50">
        <f>РЕАЛИЗАЦИЯ[[#This Row],[СОНИ]]*РЕАЛИЗАЦИЯ[[#This Row],[НАРХИ]]</f>
        <v>0</v>
      </c>
      <c r="I2411" s="166"/>
      <c r="J2411" s="31">
        <f>РЕАЛИЗАЦИЯ[[#This Row],[СОНИ]]*РЕАЛИЗАЦИЯ[[#This Row],[ТАННАРХ]]</f>
        <v>0</v>
      </c>
      <c r="K2411" s="31">
        <f>РЕАЛИЗАЦИЯ[[#This Row],[ЖАМИ]]-РЕАЛИЗАЦИЯ[[#This Row],[ЖАМИ2]]</f>
        <v>0</v>
      </c>
      <c r="L2411" s="31"/>
    </row>
    <row r="2412" spans="3:12" x14ac:dyDescent="0.3">
      <c r="C2412" s="226"/>
      <c r="D2412" s="226"/>
      <c r="G2412" s="50">
        <f>РЕАЛИЗАЦИЯ[[#This Row],[СОНИ]]*РЕАЛИЗАЦИЯ[[#This Row],[НАРХИ]]</f>
        <v>0</v>
      </c>
      <c r="I2412" s="166"/>
      <c r="J2412" s="31">
        <f>РЕАЛИЗАЦИЯ[[#This Row],[СОНИ]]*РЕАЛИЗАЦИЯ[[#This Row],[ТАННАРХ]]</f>
        <v>0</v>
      </c>
      <c r="K2412" s="31">
        <f>РЕАЛИЗАЦИЯ[[#This Row],[ЖАМИ]]-РЕАЛИЗАЦИЯ[[#This Row],[ЖАМИ2]]</f>
        <v>0</v>
      </c>
      <c r="L2412" s="31"/>
    </row>
    <row r="2413" spans="3:12" x14ac:dyDescent="0.3">
      <c r="C2413" s="218"/>
      <c r="D2413" s="218"/>
      <c r="G2413" s="50">
        <f>РЕАЛИЗАЦИЯ[[#This Row],[СОНИ]]*РЕАЛИЗАЦИЯ[[#This Row],[НАРХИ]]</f>
        <v>0</v>
      </c>
      <c r="I2413" s="166"/>
      <c r="J2413" s="31">
        <f>РЕАЛИЗАЦИЯ[[#This Row],[СОНИ]]*РЕАЛИЗАЦИЯ[[#This Row],[ТАННАРХ]]</f>
        <v>0</v>
      </c>
      <c r="K2413" s="31">
        <f>РЕАЛИЗАЦИЯ[[#This Row],[ЖАМИ]]-РЕАЛИЗАЦИЯ[[#This Row],[ЖАМИ2]]</f>
        <v>0</v>
      </c>
      <c r="L2413" s="31"/>
    </row>
    <row r="2414" spans="3:12" x14ac:dyDescent="0.3">
      <c r="C2414" s="218"/>
      <c r="D2414" s="218"/>
      <c r="G2414" s="50">
        <f>РЕАЛИЗАЦИЯ[[#This Row],[СОНИ]]*РЕАЛИЗАЦИЯ[[#This Row],[НАРХИ]]</f>
        <v>0</v>
      </c>
      <c r="I2414" s="166"/>
      <c r="J2414" s="31">
        <f>РЕАЛИЗАЦИЯ[[#This Row],[СОНИ]]*РЕАЛИЗАЦИЯ[[#This Row],[ТАННАРХ]]</f>
        <v>0</v>
      </c>
      <c r="K2414" s="31">
        <f>РЕАЛИЗАЦИЯ[[#This Row],[ЖАМИ]]-РЕАЛИЗАЦИЯ[[#This Row],[ЖАМИ2]]</f>
        <v>0</v>
      </c>
      <c r="L2414" s="31"/>
    </row>
    <row r="2415" spans="3:12" x14ac:dyDescent="0.3">
      <c r="C2415" s="218"/>
      <c r="D2415" s="218"/>
      <c r="G2415" s="50">
        <f>РЕАЛИЗАЦИЯ[[#This Row],[СОНИ]]*РЕАЛИЗАЦИЯ[[#This Row],[НАРХИ]]</f>
        <v>0</v>
      </c>
      <c r="I2415" s="166"/>
      <c r="J2415" s="31">
        <f>РЕАЛИЗАЦИЯ[[#This Row],[СОНИ]]*РЕАЛИЗАЦИЯ[[#This Row],[ТАННАРХ]]</f>
        <v>0</v>
      </c>
      <c r="K2415" s="31">
        <f>РЕАЛИЗАЦИЯ[[#This Row],[ЖАМИ]]-РЕАЛИЗАЦИЯ[[#This Row],[ЖАМИ2]]</f>
        <v>0</v>
      </c>
      <c r="L2415" s="31"/>
    </row>
    <row r="2416" spans="3:12" x14ac:dyDescent="0.3">
      <c r="C2416" s="218"/>
      <c r="D2416" s="218"/>
      <c r="G2416" s="50">
        <f>РЕАЛИЗАЦИЯ[[#This Row],[СОНИ]]*РЕАЛИЗАЦИЯ[[#This Row],[НАРХИ]]</f>
        <v>0</v>
      </c>
      <c r="I2416" s="166"/>
      <c r="J2416" s="31">
        <f>РЕАЛИЗАЦИЯ[[#This Row],[СОНИ]]*РЕАЛИЗАЦИЯ[[#This Row],[ТАННАРХ]]</f>
        <v>0</v>
      </c>
      <c r="K2416" s="31">
        <f>РЕАЛИЗАЦИЯ[[#This Row],[ЖАМИ]]-РЕАЛИЗАЦИЯ[[#This Row],[ЖАМИ2]]</f>
        <v>0</v>
      </c>
      <c r="L2416" s="31"/>
    </row>
    <row r="2417" spans="3:12" x14ac:dyDescent="0.3">
      <c r="C2417" s="218"/>
      <c r="D2417" s="218"/>
      <c r="G2417" s="50">
        <f>РЕАЛИЗАЦИЯ[[#This Row],[СОНИ]]*РЕАЛИЗАЦИЯ[[#This Row],[НАРХИ]]</f>
        <v>0</v>
      </c>
      <c r="I2417" s="166"/>
      <c r="J2417" s="31">
        <f>РЕАЛИЗАЦИЯ[[#This Row],[СОНИ]]*РЕАЛИЗАЦИЯ[[#This Row],[ТАННАРХ]]</f>
        <v>0</v>
      </c>
      <c r="K2417" s="31">
        <f>РЕАЛИЗАЦИЯ[[#This Row],[ЖАМИ]]-РЕАЛИЗАЦИЯ[[#This Row],[ЖАМИ2]]</f>
        <v>0</v>
      </c>
      <c r="L2417" s="31"/>
    </row>
    <row r="2418" spans="3:12" x14ac:dyDescent="0.3">
      <c r="C2418" s="218"/>
      <c r="D2418" s="218"/>
      <c r="G2418" s="50">
        <f>РЕАЛИЗАЦИЯ[[#This Row],[СОНИ]]*РЕАЛИЗАЦИЯ[[#This Row],[НАРХИ]]</f>
        <v>0</v>
      </c>
      <c r="I2418" s="166"/>
      <c r="J2418" s="31">
        <f>РЕАЛИЗАЦИЯ[[#This Row],[СОНИ]]*РЕАЛИЗАЦИЯ[[#This Row],[ТАННАРХ]]</f>
        <v>0</v>
      </c>
      <c r="K2418" s="31">
        <f>РЕАЛИЗАЦИЯ[[#This Row],[ЖАМИ]]-РЕАЛИЗАЦИЯ[[#This Row],[ЖАМИ2]]</f>
        <v>0</v>
      </c>
      <c r="L2418" s="31"/>
    </row>
    <row r="2419" spans="3:12" x14ac:dyDescent="0.3">
      <c r="C2419" s="218"/>
      <c r="D2419" s="218"/>
      <c r="G2419" s="50">
        <f>РЕАЛИЗАЦИЯ[[#This Row],[СОНИ]]*РЕАЛИЗАЦИЯ[[#This Row],[НАРХИ]]</f>
        <v>0</v>
      </c>
      <c r="I2419" s="166"/>
      <c r="J2419" s="31">
        <f>РЕАЛИЗАЦИЯ[[#This Row],[СОНИ]]*РЕАЛИЗАЦИЯ[[#This Row],[ТАННАРХ]]</f>
        <v>0</v>
      </c>
      <c r="K2419" s="31">
        <f>РЕАЛИЗАЦИЯ[[#This Row],[ЖАМИ]]-РЕАЛИЗАЦИЯ[[#This Row],[ЖАМИ2]]</f>
        <v>0</v>
      </c>
      <c r="L2419" s="31"/>
    </row>
    <row r="2420" spans="3:12" x14ac:dyDescent="0.3">
      <c r="C2420" s="218"/>
      <c r="D2420" s="218"/>
      <c r="G2420" s="50">
        <f>РЕАЛИЗАЦИЯ[[#This Row],[СОНИ]]*РЕАЛИЗАЦИЯ[[#This Row],[НАРХИ]]</f>
        <v>0</v>
      </c>
      <c r="I2420" s="166"/>
      <c r="J2420" s="31">
        <f>РЕАЛИЗАЦИЯ[[#This Row],[СОНИ]]*РЕАЛИЗАЦИЯ[[#This Row],[ТАННАРХ]]</f>
        <v>0</v>
      </c>
      <c r="K2420" s="31">
        <f>РЕАЛИЗАЦИЯ[[#This Row],[ЖАМИ]]-РЕАЛИЗАЦИЯ[[#This Row],[ЖАМИ2]]</f>
        <v>0</v>
      </c>
      <c r="L2420" s="31"/>
    </row>
    <row r="2421" spans="3:12" x14ac:dyDescent="0.3">
      <c r="C2421" s="218"/>
      <c r="D2421" s="218"/>
      <c r="G2421" s="50">
        <f>РЕАЛИЗАЦИЯ[[#This Row],[СОНИ]]*РЕАЛИЗАЦИЯ[[#This Row],[НАРХИ]]</f>
        <v>0</v>
      </c>
      <c r="I2421" s="166"/>
      <c r="J2421" s="31">
        <f>РЕАЛИЗАЦИЯ[[#This Row],[СОНИ]]*РЕАЛИЗАЦИЯ[[#This Row],[ТАННАРХ]]</f>
        <v>0</v>
      </c>
      <c r="K2421" s="31">
        <f>РЕАЛИЗАЦИЯ[[#This Row],[ЖАМИ]]-РЕАЛИЗАЦИЯ[[#This Row],[ЖАМИ2]]</f>
        <v>0</v>
      </c>
      <c r="L2421" s="31"/>
    </row>
    <row r="2422" spans="3:12" x14ac:dyDescent="0.3">
      <c r="C2422" s="218"/>
      <c r="D2422" s="218"/>
      <c r="G2422" s="50">
        <f>РЕАЛИЗАЦИЯ[[#This Row],[СОНИ]]*РЕАЛИЗАЦИЯ[[#This Row],[НАРХИ]]</f>
        <v>0</v>
      </c>
      <c r="I2422" s="166"/>
      <c r="J2422" s="31">
        <f>РЕАЛИЗАЦИЯ[[#This Row],[СОНИ]]*РЕАЛИЗАЦИЯ[[#This Row],[ТАННАРХ]]</f>
        <v>0</v>
      </c>
      <c r="K2422" s="31">
        <f>РЕАЛИЗАЦИЯ[[#This Row],[ЖАМИ]]-РЕАЛИЗАЦИЯ[[#This Row],[ЖАМИ2]]</f>
        <v>0</v>
      </c>
      <c r="L2422" s="31"/>
    </row>
    <row r="2423" spans="3:12" x14ac:dyDescent="0.3">
      <c r="C2423" s="218"/>
      <c r="D2423" s="218"/>
      <c r="G2423" s="50">
        <f>РЕАЛИЗАЦИЯ[[#This Row],[СОНИ]]*РЕАЛИЗАЦИЯ[[#This Row],[НАРХИ]]</f>
        <v>0</v>
      </c>
      <c r="I2423" s="166"/>
      <c r="J2423" s="31">
        <f>РЕАЛИЗАЦИЯ[[#This Row],[СОНИ]]*РЕАЛИЗАЦИЯ[[#This Row],[ТАННАРХ]]</f>
        <v>0</v>
      </c>
      <c r="K2423" s="31">
        <f>РЕАЛИЗАЦИЯ[[#This Row],[ЖАМИ]]-РЕАЛИЗАЦИЯ[[#This Row],[ЖАМИ2]]</f>
        <v>0</v>
      </c>
      <c r="L2423" s="31"/>
    </row>
    <row r="2424" spans="3:12" x14ac:dyDescent="0.3">
      <c r="C2424" s="218"/>
      <c r="D2424" s="218"/>
      <c r="G2424" s="50">
        <f>РЕАЛИЗАЦИЯ[[#This Row],[СОНИ]]*РЕАЛИЗАЦИЯ[[#This Row],[НАРХИ]]</f>
        <v>0</v>
      </c>
      <c r="I2424" s="166"/>
      <c r="J2424" s="31">
        <f>РЕАЛИЗАЦИЯ[[#This Row],[СОНИ]]*РЕАЛИЗАЦИЯ[[#This Row],[ТАННАРХ]]</f>
        <v>0</v>
      </c>
      <c r="K2424" s="31">
        <f>РЕАЛИЗАЦИЯ[[#This Row],[ЖАМИ]]-РЕАЛИЗАЦИЯ[[#This Row],[ЖАМИ2]]</f>
        <v>0</v>
      </c>
      <c r="L2424" s="31"/>
    </row>
    <row r="2425" spans="3:12" x14ac:dyDescent="0.3">
      <c r="C2425" s="218"/>
      <c r="D2425" s="218"/>
      <c r="G2425" s="50">
        <f>РЕАЛИЗАЦИЯ[[#This Row],[СОНИ]]*РЕАЛИЗАЦИЯ[[#This Row],[НАРХИ]]</f>
        <v>0</v>
      </c>
      <c r="I2425" s="166"/>
      <c r="J2425" s="31">
        <f>РЕАЛИЗАЦИЯ[[#This Row],[СОНИ]]*РЕАЛИЗАЦИЯ[[#This Row],[ТАННАРХ]]</f>
        <v>0</v>
      </c>
      <c r="K2425" s="31">
        <f>РЕАЛИЗАЦИЯ[[#This Row],[ЖАМИ]]-РЕАЛИЗАЦИЯ[[#This Row],[ЖАМИ2]]</f>
        <v>0</v>
      </c>
      <c r="L2425" s="31"/>
    </row>
    <row r="2426" spans="3:12" x14ac:dyDescent="0.3">
      <c r="C2426" s="218"/>
      <c r="D2426" s="218"/>
      <c r="G2426" s="50">
        <f>РЕАЛИЗАЦИЯ[[#This Row],[СОНИ]]*РЕАЛИЗАЦИЯ[[#This Row],[НАРХИ]]</f>
        <v>0</v>
      </c>
      <c r="I2426" s="166"/>
      <c r="J2426" s="31">
        <f>РЕАЛИЗАЦИЯ[[#This Row],[СОНИ]]*РЕАЛИЗАЦИЯ[[#This Row],[ТАННАРХ]]</f>
        <v>0</v>
      </c>
      <c r="K2426" s="31">
        <f>РЕАЛИЗАЦИЯ[[#This Row],[ЖАМИ]]-РЕАЛИЗАЦИЯ[[#This Row],[ЖАМИ2]]</f>
        <v>0</v>
      </c>
      <c r="L2426" s="31"/>
    </row>
    <row r="2427" spans="3:12" x14ac:dyDescent="0.3">
      <c r="C2427" s="218"/>
      <c r="D2427" s="218"/>
      <c r="G2427" s="50">
        <f>РЕАЛИЗАЦИЯ[[#This Row],[СОНИ]]*РЕАЛИЗАЦИЯ[[#This Row],[НАРХИ]]</f>
        <v>0</v>
      </c>
      <c r="I2427" s="166"/>
      <c r="J2427" s="31">
        <f>РЕАЛИЗАЦИЯ[[#This Row],[СОНИ]]*РЕАЛИЗАЦИЯ[[#This Row],[ТАННАРХ]]</f>
        <v>0</v>
      </c>
      <c r="K2427" s="31">
        <f>РЕАЛИЗАЦИЯ[[#This Row],[ЖАМИ]]-РЕАЛИЗАЦИЯ[[#This Row],[ЖАМИ2]]</f>
        <v>0</v>
      </c>
      <c r="L2427" s="31"/>
    </row>
    <row r="2428" spans="3:12" x14ac:dyDescent="0.3">
      <c r="C2428" s="218"/>
      <c r="D2428" s="218"/>
      <c r="G2428" s="50">
        <f>РЕАЛИЗАЦИЯ[[#This Row],[СОНИ]]*РЕАЛИЗАЦИЯ[[#This Row],[НАРХИ]]</f>
        <v>0</v>
      </c>
      <c r="I2428" s="166"/>
      <c r="J2428" s="31">
        <f>РЕАЛИЗАЦИЯ[[#This Row],[СОНИ]]*РЕАЛИЗАЦИЯ[[#This Row],[ТАННАРХ]]</f>
        <v>0</v>
      </c>
      <c r="K2428" s="31">
        <f>РЕАЛИЗАЦИЯ[[#This Row],[ЖАМИ]]-РЕАЛИЗАЦИЯ[[#This Row],[ЖАМИ2]]</f>
        <v>0</v>
      </c>
      <c r="L2428" s="31"/>
    </row>
    <row r="2429" spans="3:12" x14ac:dyDescent="0.3">
      <c r="C2429" s="218"/>
      <c r="D2429" s="218"/>
      <c r="G2429" s="50">
        <f>РЕАЛИЗАЦИЯ[[#This Row],[СОНИ]]*РЕАЛИЗАЦИЯ[[#This Row],[НАРХИ]]</f>
        <v>0</v>
      </c>
      <c r="I2429" s="166"/>
      <c r="J2429" s="31">
        <f>РЕАЛИЗАЦИЯ[[#This Row],[СОНИ]]*РЕАЛИЗАЦИЯ[[#This Row],[ТАННАРХ]]</f>
        <v>0</v>
      </c>
      <c r="K2429" s="31">
        <f>РЕАЛИЗАЦИЯ[[#This Row],[ЖАМИ]]-РЕАЛИЗАЦИЯ[[#This Row],[ЖАМИ2]]</f>
        <v>0</v>
      </c>
      <c r="L2429" s="31"/>
    </row>
    <row r="2430" spans="3:12" x14ac:dyDescent="0.3">
      <c r="C2430" s="218"/>
      <c r="D2430" s="218"/>
      <c r="G2430" s="50">
        <f>РЕАЛИЗАЦИЯ[[#This Row],[СОНИ]]*РЕАЛИЗАЦИЯ[[#This Row],[НАРХИ]]</f>
        <v>0</v>
      </c>
      <c r="I2430" s="166"/>
      <c r="J2430" s="31">
        <f>РЕАЛИЗАЦИЯ[[#This Row],[СОНИ]]*РЕАЛИЗАЦИЯ[[#This Row],[ТАННАРХ]]</f>
        <v>0</v>
      </c>
      <c r="K2430" s="31">
        <f>РЕАЛИЗАЦИЯ[[#This Row],[ЖАМИ]]-РЕАЛИЗАЦИЯ[[#This Row],[ЖАМИ2]]</f>
        <v>0</v>
      </c>
      <c r="L2430" s="31"/>
    </row>
    <row r="2431" spans="3:12" x14ac:dyDescent="0.3">
      <c r="C2431" s="218"/>
      <c r="D2431" s="218"/>
      <c r="G2431" s="50">
        <f>РЕАЛИЗАЦИЯ[[#This Row],[СОНИ]]*РЕАЛИЗАЦИЯ[[#This Row],[НАРХИ]]</f>
        <v>0</v>
      </c>
      <c r="I2431" s="166"/>
      <c r="J2431" s="31">
        <f>РЕАЛИЗАЦИЯ[[#This Row],[СОНИ]]*РЕАЛИЗАЦИЯ[[#This Row],[ТАННАРХ]]</f>
        <v>0</v>
      </c>
      <c r="K2431" s="31">
        <f>РЕАЛИЗАЦИЯ[[#This Row],[ЖАМИ]]-РЕАЛИЗАЦИЯ[[#This Row],[ЖАМИ2]]</f>
        <v>0</v>
      </c>
      <c r="L2431" s="31"/>
    </row>
    <row r="2432" spans="3:12" x14ac:dyDescent="0.3">
      <c r="C2432" s="218"/>
      <c r="D2432" s="218"/>
      <c r="G2432" s="50">
        <f>РЕАЛИЗАЦИЯ[[#This Row],[СОНИ]]*РЕАЛИЗАЦИЯ[[#This Row],[НАРХИ]]</f>
        <v>0</v>
      </c>
      <c r="I2432" s="166"/>
      <c r="J2432" s="31">
        <f>РЕАЛИЗАЦИЯ[[#This Row],[СОНИ]]*РЕАЛИЗАЦИЯ[[#This Row],[ТАННАРХ]]</f>
        <v>0</v>
      </c>
      <c r="K2432" s="31">
        <f>РЕАЛИЗАЦИЯ[[#This Row],[ЖАМИ]]-РЕАЛИЗАЦИЯ[[#This Row],[ЖАМИ2]]</f>
        <v>0</v>
      </c>
      <c r="L2432" s="31"/>
    </row>
    <row r="2433" spans="3:12" x14ac:dyDescent="0.3">
      <c r="C2433" s="218"/>
      <c r="D2433" s="218"/>
      <c r="G2433" s="50">
        <f>РЕАЛИЗАЦИЯ[[#This Row],[СОНИ]]*РЕАЛИЗАЦИЯ[[#This Row],[НАРХИ]]</f>
        <v>0</v>
      </c>
      <c r="I2433" s="166"/>
      <c r="J2433" s="31">
        <f>РЕАЛИЗАЦИЯ[[#This Row],[СОНИ]]*РЕАЛИЗАЦИЯ[[#This Row],[ТАННАРХ]]</f>
        <v>0</v>
      </c>
      <c r="K2433" s="31">
        <f>РЕАЛИЗАЦИЯ[[#This Row],[ЖАМИ]]-РЕАЛИЗАЦИЯ[[#This Row],[ЖАМИ2]]</f>
        <v>0</v>
      </c>
      <c r="L2433" s="31"/>
    </row>
    <row r="2434" spans="3:12" x14ac:dyDescent="0.3">
      <c r="C2434" s="218"/>
      <c r="D2434" s="218"/>
      <c r="G2434" s="50">
        <f>РЕАЛИЗАЦИЯ[[#This Row],[СОНИ]]*РЕАЛИЗАЦИЯ[[#This Row],[НАРХИ]]</f>
        <v>0</v>
      </c>
      <c r="I2434" s="166"/>
      <c r="J2434" s="31">
        <f>РЕАЛИЗАЦИЯ[[#This Row],[СОНИ]]*РЕАЛИЗАЦИЯ[[#This Row],[ТАННАРХ]]</f>
        <v>0</v>
      </c>
      <c r="K2434" s="31">
        <f>РЕАЛИЗАЦИЯ[[#This Row],[ЖАМИ]]-РЕАЛИЗАЦИЯ[[#This Row],[ЖАМИ2]]</f>
        <v>0</v>
      </c>
      <c r="L2434" s="31"/>
    </row>
    <row r="2435" spans="3:12" x14ac:dyDescent="0.3">
      <c r="C2435" s="218"/>
      <c r="D2435" s="218"/>
      <c r="G2435" s="50">
        <f>РЕАЛИЗАЦИЯ[[#This Row],[СОНИ]]*РЕАЛИЗАЦИЯ[[#This Row],[НАРХИ]]</f>
        <v>0</v>
      </c>
      <c r="I2435" s="166"/>
      <c r="J2435" s="31">
        <f>РЕАЛИЗАЦИЯ[[#This Row],[СОНИ]]*РЕАЛИЗАЦИЯ[[#This Row],[ТАННАРХ]]</f>
        <v>0</v>
      </c>
      <c r="K2435" s="31">
        <f>РЕАЛИЗАЦИЯ[[#This Row],[ЖАМИ]]-РЕАЛИЗАЦИЯ[[#This Row],[ЖАМИ2]]</f>
        <v>0</v>
      </c>
      <c r="L2435" s="31"/>
    </row>
    <row r="2436" spans="3:12" x14ac:dyDescent="0.3">
      <c r="C2436" s="218"/>
      <c r="D2436" s="218"/>
      <c r="G2436" s="50">
        <f>РЕАЛИЗАЦИЯ[[#This Row],[СОНИ]]*РЕАЛИЗАЦИЯ[[#This Row],[НАРХИ]]</f>
        <v>0</v>
      </c>
      <c r="I2436" s="166"/>
      <c r="J2436" s="31">
        <f>РЕАЛИЗАЦИЯ[[#This Row],[СОНИ]]*РЕАЛИЗАЦИЯ[[#This Row],[ТАННАРХ]]</f>
        <v>0</v>
      </c>
      <c r="K2436" s="31">
        <f>РЕАЛИЗАЦИЯ[[#This Row],[ЖАМИ]]-РЕАЛИЗАЦИЯ[[#This Row],[ЖАМИ2]]</f>
        <v>0</v>
      </c>
      <c r="L2436" s="31"/>
    </row>
    <row r="2437" spans="3:12" x14ac:dyDescent="0.3">
      <c r="C2437" s="218"/>
      <c r="D2437" s="218"/>
      <c r="G2437" s="50">
        <f>РЕАЛИЗАЦИЯ[[#This Row],[СОНИ]]*РЕАЛИЗАЦИЯ[[#This Row],[НАРХИ]]</f>
        <v>0</v>
      </c>
      <c r="I2437" s="166"/>
      <c r="J2437" s="31">
        <f>РЕАЛИЗАЦИЯ[[#This Row],[СОНИ]]*РЕАЛИЗАЦИЯ[[#This Row],[ТАННАРХ]]</f>
        <v>0</v>
      </c>
      <c r="K2437" s="31">
        <f>РЕАЛИЗАЦИЯ[[#This Row],[ЖАМИ]]-РЕАЛИЗАЦИЯ[[#This Row],[ЖАМИ2]]</f>
        <v>0</v>
      </c>
      <c r="L2437" s="31"/>
    </row>
    <row r="2438" spans="3:12" x14ac:dyDescent="0.3">
      <c r="C2438" s="218"/>
      <c r="D2438" s="218"/>
      <c r="G2438" s="50">
        <f>РЕАЛИЗАЦИЯ[[#This Row],[СОНИ]]*РЕАЛИЗАЦИЯ[[#This Row],[НАРХИ]]</f>
        <v>0</v>
      </c>
      <c r="I2438" s="166"/>
      <c r="J2438" s="31">
        <f>РЕАЛИЗАЦИЯ[[#This Row],[СОНИ]]*РЕАЛИЗАЦИЯ[[#This Row],[ТАННАРХ]]</f>
        <v>0</v>
      </c>
      <c r="K2438" s="31">
        <f>РЕАЛИЗАЦИЯ[[#This Row],[ЖАМИ]]-РЕАЛИЗАЦИЯ[[#This Row],[ЖАМИ2]]</f>
        <v>0</v>
      </c>
      <c r="L2438" s="31"/>
    </row>
    <row r="2439" spans="3:12" x14ac:dyDescent="0.3">
      <c r="C2439" s="218"/>
      <c r="D2439" s="218"/>
      <c r="G2439" s="50">
        <f>РЕАЛИЗАЦИЯ[[#This Row],[СОНИ]]*РЕАЛИЗАЦИЯ[[#This Row],[НАРХИ]]</f>
        <v>0</v>
      </c>
      <c r="I2439" s="166"/>
      <c r="J2439" s="31">
        <f>РЕАЛИЗАЦИЯ[[#This Row],[СОНИ]]*РЕАЛИЗАЦИЯ[[#This Row],[ТАННАРХ]]</f>
        <v>0</v>
      </c>
      <c r="K2439" s="31">
        <f>РЕАЛИЗАЦИЯ[[#This Row],[ЖАМИ]]-РЕАЛИЗАЦИЯ[[#This Row],[ЖАМИ2]]</f>
        <v>0</v>
      </c>
      <c r="L2439" s="31"/>
    </row>
    <row r="2440" spans="3:12" x14ac:dyDescent="0.3">
      <c r="C2440" s="218"/>
      <c r="D2440" s="218"/>
      <c r="G2440" s="50">
        <f>РЕАЛИЗАЦИЯ[[#This Row],[СОНИ]]*РЕАЛИЗАЦИЯ[[#This Row],[НАРХИ]]</f>
        <v>0</v>
      </c>
      <c r="I2440" s="166"/>
      <c r="J2440" s="31">
        <f>РЕАЛИЗАЦИЯ[[#This Row],[СОНИ]]*РЕАЛИЗАЦИЯ[[#This Row],[ТАННАРХ]]</f>
        <v>0</v>
      </c>
      <c r="K2440" s="31">
        <f>РЕАЛИЗАЦИЯ[[#This Row],[ЖАМИ]]-РЕАЛИЗАЦИЯ[[#This Row],[ЖАМИ2]]</f>
        <v>0</v>
      </c>
      <c r="L2440" s="31"/>
    </row>
    <row r="2441" spans="3:12" x14ac:dyDescent="0.3">
      <c r="C2441" s="218"/>
      <c r="D2441" s="218"/>
      <c r="G2441" s="50">
        <f>РЕАЛИЗАЦИЯ[[#This Row],[СОНИ]]*РЕАЛИЗАЦИЯ[[#This Row],[НАРХИ]]</f>
        <v>0</v>
      </c>
      <c r="I2441" s="166"/>
      <c r="J2441" s="31">
        <f>РЕАЛИЗАЦИЯ[[#This Row],[СОНИ]]*РЕАЛИЗАЦИЯ[[#This Row],[ТАННАРХ]]</f>
        <v>0</v>
      </c>
      <c r="K2441" s="31">
        <f>РЕАЛИЗАЦИЯ[[#This Row],[ЖАМИ]]-РЕАЛИЗАЦИЯ[[#This Row],[ЖАМИ2]]</f>
        <v>0</v>
      </c>
      <c r="L2441" s="31"/>
    </row>
    <row r="2442" spans="3:12" x14ac:dyDescent="0.3">
      <c r="C2442" s="218"/>
      <c r="D2442" s="218"/>
      <c r="G2442" s="50">
        <f>РЕАЛИЗАЦИЯ[[#This Row],[СОНИ]]*РЕАЛИЗАЦИЯ[[#This Row],[НАРХИ]]</f>
        <v>0</v>
      </c>
      <c r="I2442" s="166"/>
      <c r="J2442" s="31">
        <f>РЕАЛИЗАЦИЯ[[#This Row],[СОНИ]]*РЕАЛИЗАЦИЯ[[#This Row],[ТАННАРХ]]</f>
        <v>0</v>
      </c>
      <c r="K2442" s="31">
        <f>РЕАЛИЗАЦИЯ[[#This Row],[ЖАМИ]]-РЕАЛИЗАЦИЯ[[#This Row],[ЖАМИ2]]</f>
        <v>0</v>
      </c>
      <c r="L2442" s="31"/>
    </row>
    <row r="2443" spans="3:12" x14ac:dyDescent="0.3">
      <c r="C2443" s="218"/>
      <c r="D2443" s="218"/>
      <c r="G2443" s="50">
        <f>РЕАЛИЗАЦИЯ[[#This Row],[СОНИ]]*РЕАЛИЗАЦИЯ[[#This Row],[НАРХИ]]</f>
        <v>0</v>
      </c>
      <c r="I2443" s="166"/>
      <c r="J2443" s="31">
        <f>РЕАЛИЗАЦИЯ[[#This Row],[СОНИ]]*РЕАЛИЗАЦИЯ[[#This Row],[ТАННАРХ]]</f>
        <v>0</v>
      </c>
      <c r="K2443" s="31">
        <f>РЕАЛИЗАЦИЯ[[#This Row],[ЖАМИ]]-РЕАЛИЗАЦИЯ[[#This Row],[ЖАМИ2]]</f>
        <v>0</v>
      </c>
      <c r="L2443" s="31"/>
    </row>
    <row r="2444" spans="3:12" x14ac:dyDescent="0.3">
      <c r="C2444" s="218"/>
      <c r="D2444" s="218"/>
      <c r="G2444" s="50">
        <f>РЕАЛИЗАЦИЯ[[#This Row],[СОНИ]]*РЕАЛИЗАЦИЯ[[#This Row],[НАРХИ]]</f>
        <v>0</v>
      </c>
      <c r="I2444" s="166"/>
      <c r="J2444" s="31">
        <f>РЕАЛИЗАЦИЯ[[#This Row],[СОНИ]]*РЕАЛИЗАЦИЯ[[#This Row],[ТАННАРХ]]</f>
        <v>0</v>
      </c>
      <c r="K2444" s="31">
        <f>РЕАЛИЗАЦИЯ[[#This Row],[ЖАМИ]]-РЕАЛИЗАЦИЯ[[#This Row],[ЖАМИ2]]</f>
        <v>0</v>
      </c>
      <c r="L2444" s="31"/>
    </row>
    <row r="2445" spans="3:12" x14ac:dyDescent="0.3">
      <c r="C2445" s="218"/>
      <c r="D2445" s="218"/>
      <c r="G2445" s="50">
        <f>РЕАЛИЗАЦИЯ[[#This Row],[СОНИ]]*РЕАЛИЗАЦИЯ[[#This Row],[НАРХИ]]</f>
        <v>0</v>
      </c>
      <c r="I2445" s="166"/>
      <c r="J2445" s="31">
        <f>РЕАЛИЗАЦИЯ[[#This Row],[СОНИ]]*РЕАЛИЗАЦИЯ[[#This Row],[ТАННАРХ]]</f>
        <v>0</v>
      </c>
      <c r="K2445" s="31">
        <f>РЕАЛИЗАЦИЯ[[#This Row],[ЖАМИ]]-РЕАЛИЗАЦИЯ[[#This Row],[ЖАМИ2]]</f>
        <v>0</v>
      </c>
      <c r="L2445" s="31"/>
    </row>
    <row r="2446" spans="3:12" x14ac:dyDescent="0.3">
      <c r="C2446" s="218"/>
      <c r="D2446" s="218"/>
      <c r="G2446" s="50">
        <f>РЕАЛИЗАЦИЯ[[#This Row],[СОНИ]]*РЕАЛИЗАЦИЯ[[#This Row],[НАРХИ]]</f>
        <v>0</v>
      </c>
      <c r="I2446" s="166"/>
      <c r="J2446" s="31">
        <f>РЕАЛИЗАЦИЯ[[#This Row],[СОНИ]]*РЕАЛИЗАЦИЯ[[#This Row],[ТАННАРХ]]</f>
        <v>0</v>
      </c>
      <c r="K2446" s="31">
        <f>РЕАЛИЗАЦИЯ[[#This Row],[ЖАМИ]]-РЕАЛИЗАЦИЯ[[#This Row],[ЖАМИ2]]</f>
        <v>0</v>
      </c>
      <c r="L2446" s="31"/>
    </row>
    <row r="2447" spans="3:12" x14ac:dyDescent="0.3">
      <c r="C2447" s="219"/>
      <c r="D2447" s="219"/>
      <c r="G2447" s="50">
        <f>РЕАЛИЗАЦИЯ[[#This Row],[СОНИ]]*РЕАЛИЗАЦИЯ[[#This Row],[НАРХИ]]</f>
        <v>0</v>
      </c>
      <c r="I2447" s="166"/>
      <c r="J2447" s="31">
        <f>РЕАЛИЗАЦИЯ[[#This Row],[СОНИ]]*РЕАЛИЗАЦИЯ[[#This Row],[ТАННАРХ]]</f>
        <v>0</v>
      </c>
      <c r="K2447" s="31">
        <f>РЕАЛИЗАЦИЯ[[#This Row],[ЖАМИ]]-РЕАЛИЗАЦИЯ[[#This Row],[ЖАМИ2]]</f>
        <v>0</v>
      </c>
      <c r="L2447" s="31"/>
    </row>
    <row r="2448" spans="3:12" x14ac:dyDescent="0.3">
      <c r="C2448" s="219"/>
      <c r="D2448" s="219"/>
      <c r="G2448" s="50">
        <f>РЕАЛИЗАЦИЯ[[#This Row],[СОНИ]]*РЕАЛИЗАЦИЯ[[#This Row],[НАРХИ]]</f>
        <v>0</v>
      </c>
      <c r="I2448" s="166"/>
      <c r="J2448" s="31">
        <f>РЕАЛИЗАЦИЯ[[#This Row],[СОНИ]]*РЕАЛИЗАЦИЯ[[#This Row],[ТАННАРХ]]</f>
        <v>0</v>
      </c>
      <c r="K2448" s="31">
        <f>РЕАЛИЗАЦИЯ[[#This Row],[ЖАМИ]]-РЕАЛИЗАЦИЯ[[#This Row],[ЖАМИ2]]</f>
        <v>0</v>
      </c>
      <c r="L2448" s="31"/>
    </row>
    <row r="2449" spans="3:12" x14ac:dyDescent="0.3">
      <c r="C2449" s="219"/>
      <c r="D2449" s="219"/>
      <c r="G2449" s="50">
        <f>РЕАЛИЗАЦИЯ[[#This Row],[СОНИ]]*РЕАЛИЗАЦИЯ[[#This Row],[НАРХИ]]</f>
        <v>0</v>
      </c>
      <c r="I2449" s="166"/>
      <c r="J2449" s="31">
        <f>РЕАЛИЗАЦИЯ[[#This Row],[СОНИ]]*РЕАЛИЗАЦИЯ[[#This Row],[ТАННАРХ]]</f>
        <v>0</v>
      </c>
      <c r="K2449" s="31">
        <f>РЕАЛИЗАЦИЯ[[#This Row],[ЖАМИ]]-РЕАЛИЗАЦИЯ[[#This Row],[ЖАМИ2]]</f>
        <v>0</v>
      </c>
      <c r="L2449" s="31"/>
    </row>
    <row r="2450" spans="3:12" x14ac:dyDescent="0.3">
      <c r="C2450" s="219"/>
      <c r="D2450" s="219"/>
      <c r="G2450" s="50">
        <f>РЕАЛИЗАЦИЯ[[#This Row],[СОНИ]]*РЕАЛИЗАЦИЯ[[#This Row],[НАРХИ]]</f>
        <v>0</v>
      </c>
      <c r="I2450" s="166"/>
      <c r="J2450" s="31">
        <f>РЕАЛИЗАЦИЯ[[#This Row],[СОНИ]]*РЕАЛИЗАЦИЯ[[#This Row],[ТАННАРХ]]</f>
        <v>0</v>
      </c>
      <c r="K2450" s="31">
        <f>РЕАЛИЗАЦИЯ[[#This Row],[ЖАМИ]]-РЕАЛИЗАЦИЯ[[#This Row],[ЖАМИ2]]</f>
        <v>0</v>
      </c>
      <c r="L2450" s="31"/>
    </row>
    <row r="2451" spans="3:12" x14ac:dyDescent="0.3">
      <c r="C2451" s="219"/>
      <c r="D2451" s="219"/>
      <c r="G2451" s="50">
        <f>РЕАЛИЗАЦИЯ[[#This Row],[СОНИ]]*РЕАЛИЗАЦИЯ[[#This Row],[НАРХИ]]</f>
        <v>0</v>
      </c>
      <c r="I2451" s="166"/>
      <c r="J2451" s="31">
        <f>РЕАЛИЗАЦИЯ[[#This Row],[СОНИ]]*РЕАЛИЗАЦИЯ[[#This Row],[ТАННАРХ]]</f>
        <v>0</v>
      </c>
      <c r="K2451" s="31">
        <f>РЕАЛИЗАЦИЯ[[#This Row],[ЖАМИ]]-РЕАЛИЗАЦИЯ[[#This Row],[ЖАМИ2]]</f>
        <v>0</v>
      </c>
      <c r="L2451" s="31"/>
    </row>
    <row r="2452" spans="3:12" x14ac:dyDescent="0.3">
      <c r="C2452" s="219"/>
      <c r="D2452" s="219"/>
      <c r="G2452" s="50">
        <f>РЕАЛИЗАЦИЯ[[#This Row],[СОНИ]]*РЕАЛИЗАЦИЯ[[#This Row],[НАРХИ]]</f>
        <v>0</v>
      </c>
      <c r="I2452" s="166"/>
      <c r="J2452" s="31">
        <f>РЕАЛИЗАЦИЯ[[#This Row],[СОНИ]]*РЕАЛИЗАЦИЯ[[#This Row],[ТАННАРХ]]</f>
        <v>0</v>
      </c>
      <c r="K2452" s="31">
        <f>РЕАЛИЗАЦИЯ[[#This Row],[ЖАМИ]]-РЕАЛИЗАЦИЯ[[#This Row],[ЖАМИ2]]</f>
        <v>0</v>
      </c>
      <c r="L2452" s="31"/>
    </row>
    <row r="2453" spans="3:12" x14ac:dyDescent="0.3">
      <c r="C2453" s="219"/>
      <c r="D2453" s="219"/>
      <c r="G2453" s="50">
        <f>РЕАЛИЗАЦИЯ[[#This Row],[СОНИ]]*РЕАЛИЗАЦИЯ[[#This Row],[НАРХИ]]</f>
        <v>0</v>
      </c>
      <c r="I2453" s="166"/>
      <c r="J2453" s="31">
        <f>РЕАЛИЗАЦИЯ[[#This Row],[СОНИ]]*РЕАЛИЗАЦИЯ[[#This Row],[ТАННАРХ]]</f>
        <v>0</v>
      </c>
      <c r="K2453" s="31">
        <f>РЕАЛИЗАЦИЯ[[#This Row],[ЖАМИ]]-РЕАЛИЗАЦИЯ[[#This Row],[ЖАМИ2]]</f>
        <v>0</v>
      </c>
      <c r="L2453" s="31"/>
    </row>
    <row r="2454" spans="3:12" x14ac:dyDescent="0.3">
      <c r="C2454" s="219"/>
      <c r="D2454" s="219"/>
      <c r="G2454" s="50">
        <f>РЕАЛИЗАЦИЯ[[#This Row],[СОНИ]]*РЕАЛИЗАЦИЯ[[#This Row],[НАРХИ]]</f>
        <v>0</v>
      </c>
      <c r="I2454" s="166"/>
      <c r="J2454" s="31">
        <f>РЕАЛИЗАЦИЯ[[#This Row],[СОНИ]]*РЕАЛИЗАЦИЯ[[#This Row],[ТАННАРХ]]</f>
        <v>0</v>
      </c>
      <c r="K2454" s="31">
        <f>РЕАЛИЗАЦИЯ[[#This Row],[ЖАМИ]]-РЕАЛИЗАЦИЯ[[#This Row],[ЖАМИ2]]</f>
        <v>0</v>
      </c>
      <c r="L2454" s="31"/>
    </row>
    <row r="2455" spans="3:12" x14ac:dyDescent="0.3">
      <c r="C2455" s="219"/>
      <c r="D2455" s="219"/>
      <c r="G2455" s="50">
        <f>РЕАЛИЗАЦИЯ[[#This Row],[СОНИ]]*РЕАЛИЗАЦИЯ[[#This Row],[НАРХИ]]</f>
        <v>0</v>
      </c>
      <c r="I2455" s="166"/>
      <c r="J2455" s="31">
        <f>РЕАЛИЗАЦИЯ[[#This Row],[СОНИ]]*РЕАЛИЗАЦИЯ[[#This Row],[ТАННАРХ]]</f>
        <v>0</v>
      </c>
      <c r="K2455" s="31">
        <f>РЕАЛИЗАЦИЯ[[#This Row],[ЖАМИ]]-РЕАЛИЗАЦИЯ[[#This Row],[ЖАМИ2]]</f>
        <v>0</v>
      </c>
      <c r="L2455" s="31"/>
    </row>
    <row r="2456" spans="3:12" x14ac:dyDescent="0.3">
      <c r="C2456" s="219"/>
      <c r="D2456" s="219"/>
      <c r="G2456" s="50">
        <f>РЕАЛИЗАЦИЯ[[#This Row],[СОНИ]]*РЕАЛИЗАЦИЯ[[#This Row],[НАРХИ]]</f>
        <v>0</v>
      </c>
      <c r="I2456" s="166"/>
      <c r="J2456" s="31">
        <f>РЕАЛИЗАЦИЯ[[#This Row],[СОНИ]]*РЕАЛИЗАЦИЯ[[#This Row],[ТАННАРХ]]</f>
        <v>0</v>
      </c>
      <c r="K2456" s="31">
        <f>РЕАЛИЗАЦИЯ[[#This Row],[ЖАМИ]]-РЕАЛИЗАЦИЯ[[#This Row],[ЖАМИ2]]</f>
        <v>0</v>
      </c>
      <c r="L2456" s="31"/>
    </row>
    <row r="2457" spans="3:12" x14ac:dyDescent="0.3">
      <c r="C2457" s="219"/>
      <c r="D2457" s="219"/>
      <c r="G2457" s="50">
        <f>РЕАЛИЗАЦИЯ[[#This Row],[СОНИ]]*РЕАЛИЗАЦИЯ[[#This Row],[НАРХИ]]</f>
        <v>0</v>
      </c>
      <c r="I2457" s="166"/>
      <c r="J2457" s="31">
        <f>РЕАЛИЗАЦИЯ[[#This Row],[СОНИ]]*РЕАЛИЗАЦИЯ[[#This Row],[ТАННАРХ]]</f>
        <v>0</v>
      </c>
      <c r="K2457" s="31">
        <f>РЕАЛИЗАЦИЯ[[#This Row],[ЖАМИ]]-РЕАЛИЗАЦИЯ[[#This Row],[ЖАМИ2]]</f>
        <v>0</v>
      </c>
      <c r="L2457" s="31"/>
    </row>
    <row r="2458" spans="3:12" x14ac:dyDescent="0.3">
      <c r="C2458" s="219"/>
      <c r="D2458" s="219"/>
      <c r="G2458" s="50">
        <f>РЕАЛИЗАЦИЯ[[#This Row],[СОНИ]]*РЕАЛИЗАЦИЯ[[#This Row],[НАРХИ]]</f>
        <v>0</v>
      </c>
      <c r="I2458" s="166"/>
      <c r="J2458" s="31">
        <f>РЕАЛИЗАЦИЯ[[#This Row],[СОНИ]]*РЕАЛИЗАЦИЯ[[#This Row],[ТАННАРХ]]</f>
        <v>0</v>
      </c>
      <c r="K2458" s="31">
        <f>РЕАЛИЗАЦИЯ[[#This Row],[ЖАМИ]]-РЕАЛИЗАЦИЯ[[#This Row],[ЖАМИ2]]</f>
        <v>0</v>
      </c>
      <c r="L2458" s="31"/>
    </row>
    <row r="2459" spans="3:12" x14ac:dyDescent="0.3">
      <c r="C2459" s="219"/>
      <c r="D2459" s="219"/>
      <c r="G2459" s="50">
        <f>РЕАЛИЗАЦИЯ[[#This Row],[СОНИ]]*РЕАЛИЗАЦИЯ[[#This Row],[НАРХИ]]</f>
        <v>0</v>
      </c>
      <c r="I2459" s="166"/>
      <c r="J2459" s="31">
        <f>РЕАЛИЗАЦИЯ[[#This Row],[СОНИ]]*РЕАЛИЗАЦИЯ[[#This Row],[ТАННАРХ]]</f>
        <v>0</v>
      </c>
      <c r="K2459" s="31">
        <f>РЕАЛИЗАЦИЯ[[#This Row],[ЖАМИ]]-РЕАЛИЗАЦИЯ[[#This Row],[ЖАМИ2]]</f>
        <v>0</v>
      </c>
      <c r="L2459" s="31"/>
    </row>
    <row r="2460" spans="3:12" x14ac:dyDescent="0.3">
      <c r="C2460" s="219"/>
      <c r="D2460" s="219"/>
      <c r="G2460" s="50">
        <f>РЕАЛИЗАЦИЯ[[#This Row],[СОНИ]]*РЕАЛИЗАЦИЯ[[#This Row],[НАРХИ]]</f>
        <v>0</v>
      </c>
      <c r="I2460" s="166"/>
      <c r="J2460" s="31">
        <f>РЕАЛИЗАЦИЯ[[#This Row],[СОНИ]]*РЕАЛИЗАЦИЯ[[#This Row],[ТАННАРХ]]</f>
        <v>0</v>
      </c>
      <c r="K2460" s="31">
        <f>РЕАЛИЗАЦИЯ[[#This Row],[ЖАМИ]]-РЕАЛИЗАЦИЯ[[#This Row],[ЖАМИ2]]</f>
        <v>0</v>
      </c>
      <c r="L2460" s="31"/>
    </row>
    <row r="2461" spans="3:12" x14ac:dyDescent="0.3">
      <c r="C2461" s="219"/>
      <c r="D2461" s="219"/>
      <c r="G2461" s="50">
        <f>РЕАЛИЗАЦИЯ[[#This Row],[СОНИ]]*РЕАЛИЗАЦИЯ[[#This Row],[НАРХИ]]</f>
        <v>0</v>
      </c>
      <c r="I2461" s="166"/>
      <c r="J2461" s="31">
        <f>РЕАЛИЗАЦИЯ[[#This Row],[СОНИ]]*РЕАЛИЗАЦИЯ[[#This Row],[ТАННАРХ]]</f>
        <v>0</v>
      </c>
      <c r="K2461" s="31">
        <f>РЕАЛИЗАЦИЯ[[#This Row],[ЖАМИ]]-РЕАЛИЗАЦИЯ[[#This Row],[ЖАМИ2]]</f>
        <v>0</v>
      </c>
      <c r="L2461" s="31"/>
    </row>
    <row r="2462" spans="3:12" x14ac:dyDescent="0.3">
      <c r="C2462" s="219"/>
      <c r="D2462" s="219"/>
      <c r="G2462" s="50">
        <f>РЕАЛИЗАЦИЯ[[#This Row],[СОНИ]]*РЕАЛИЗАЦИЯ[[#This Row],[НАРХИ]]</f>
        <v>0</v>
      </c>
      <c r="I2462" s="166"/>
      <c r="J2462" s="31">
        <f>РЕАЛИЗАЦИЯ[[#This Row],[СОНИ]]*РЕАЛИЗАЦИЯ[[#This Row],[ТАННАРХ]]</f>
        <v>0</v>
      </c>
      <c r="K2462" s="31">
        <f>РЕАЛИЗАЦИЯ[[#This Row],[ЖАМИ]]-РЕАЛИЗАЦИЯ[[#This Row],[ЖАМИ2]]</f>
        <v>0</v>
      </c>
      <c r="L2462" s="31"/>
    </row>
    <row r="2463" spans="3:12" x14ac:dyDescent="0.3">
      <c r="C2463" s="219"/>
      <c r="D2463" s="219"/>
      <c r="G2463" s="50">
        <f>РЕАЛИЗАЦИЯ[[#This Row],[СОНИ]]*РЕАЛИЗАЦИЯ[[#This Row],[НАРХИ]]</f>
        <v>0</v>
      </c>
      <c r="I2463" s="166"/>
      <c r="J2463" s="31">
        <f>РЕАЛИЗАЦИЯ[[#This Row],[СОНИ]]*РЕАЛИЗАЦИЯ[[#This Row],[ТАННАРХ]]</f>
        <v>0</v>
      </c>
      <c r="K2463" s="31">
        <f>РЕАЛИЗАЦИЯ[[#This Row],[ЖАМИ]]-РЕАЛИЗАЦИЯ[[#This Row],[ЖАМИ2]]</f>
        <v>0</v>
      </c>
      <c r="L2463" s="31"/>
    </row>
    <row r="2464" spans="3:12" x14ac:dyDescent="0.3">
      <c r="C2464" s="219"/>
      <c r="D2464" s="219"/>
      <c r="G2464" s="50">
        <f>РЕАЛИЗАЦИЯ[[#This Row],[СОНИ]]*РЕАЛИЗАЦИЯ[[#This Row],[НАРХИ]]</f>
        <v>0</v>
      </c>
      <c r="I2464" s="166"/>
      <c r="J2464" s="31">
        <f>РЕАЛИЗАЦИЯ[[#This Row],[СОНИ]]*РЕАЛИЗАЦИЯ[[#This Row],[ТАННАРХ]]</f>
        <v>0</v>
      </c>
      <c r="K2464" s="31">
        <f>РЕАЛИЗАЦИЯ[[#This Row],[ЖАМИ]]-РЕАЛИЗАЦИЯ[[#This Row],[ЖАМИ2]]</f>
        <v>0</v>
      </c>
      <c r="L2464" s="31"/>
    </row>
    <row r="2465" spans="3:12" x14ac:dyDescent="0.3">
      <c r="C2465" s="219"/>
      <c r="D2465" s="219"/>
      <c r="G2465" s="50">
        <f>РЕАЛИЗАЦИЯ[[#This Row],[СОНИ]]*РЕАЛИЗАЦИЯ[[#This Row],[НАРХИ]]</f>
        <v>0</v>
      </c>
      <c r="I2465" s="166"/>
      <c r="J2465" s="31">
        <f>РЕАЛИЗАЦИЯ[[#This Row],[СОНИ]]*РЕАЛИЗАЦИЯ[[#This Row],[ТАННАРХ]]</f>
        <v>0</v>
      </c>
      <c r="K2465" s="31">
        <f>РЕАЛИЗАЦИЯ[[#This Row],[ЖАМИ]]-РЕАЛИЗАЦИЯ[[#This Row],[ЖАМИ2]]</f>
        <v>0</v>
      </c>
      <c r="L2465" s="31"/>
    </row>
    <row r="2466" spans="3:12" x14ac:dyDescent="0.3">
      <c r="C2466" s="219"/>
      <c r="D2466" s="219"/>
      <c r="G2466" s="50">
        <f>РЕАЛИЗАЦИЯ[[#This Row],[СОНИ]]*РЕАЛИЗАЦИЯ[[#This Row],[НАРХИ]]</f>
        <v>0</v>
      </c>
      <c r="I2466" s="166"/>
      <c r="J2466" s="31">
        <f>РЕАЛИЗАЦИЯ[[#This Row],[СОНИ]]*РЕАЛИЗАЦИЯ[[#This Row],[ТАННАРХ]]</f>
        <v>0</v>
      </c>
      <c r="K2466" s="31">
        <f>РЕАЛИЗАЦИЯ[[#This Row],[ЖАМИ]]-РЕАЛИЗАЦИЯ[[#This Row],[ЖАМИ2]]</f>
        <v>0</v>
      </c>
      <c r="L2466" s="31"/>
    </row>
    <row r="2467" spans="3:12" x14ac:dyDescent="0.3">
      <c r="C2467" s="219"/>
      <c r="D2467" s="219"/>
      <c r="G2467" s="50">
        <f>РЕАЛИЗАЦИЯ[[#This Row],[СОНИ]]*РЕАЛИЗАЦИЯ[[#This Row],[НАРХИ]]</f>
        <v>0</v>
      </c>
      <c r="I2467" s="166"/>
      <c r="J2467" s="31">
        <f>РЕАЛИЗАЦИЯ[[#This Row],[СОНИ]]*РЕАЛИЗАЦИЯ[[#This Row],[ТАННАРХ]]</f>
        <v>0</v>
      </c>
      <c r="K2467" s="31">
        <f>РЕАЛИЗАЦИЯ[[#This Row],[ЖАМИ]]-РЕАЛИЗАЦИЯ[[#This Row],[ЖАМИ2]]</f>
        <v>0</v>
      </c>
      <c r="L2467" s="31"/>
    </row>
    <row r="2468" spans="3:12" x14ac:dyDescent="0.3">
      <c r="C2468" s="219"/>
      <c r="D2468" s="219"/>
      <c r="G2468" s="50">
        <f>РЕАЛИЗАЦИЯ[[#This Row],[СОНИ]]*РЕАЛИЗАЦИЯ[[#This Row],[НАРХИ]]</f>
        <v>0</v>
      </c>
      <c r="I2468" s="166"/>
      <c r="J2468" s="31">
        <f>РЕАЛИЗАЦИЯ[[#This Row],[СОНИ]]*РЕАЛИЗАЦИЯ[[#This Row],[ТАННАРХ]]</f>
        <v>0</v>
      </c>
      <c r="K2468" s="31">
        <f>РЕАЛИЗАЦИЯ[[#This Row],[ЖАМИ]]-РЕАЛИЗАЦИЯ[[#This Row],[ЖАМИ2]]</f>
        <v>0</v>
      </c>
      <c r="L2468" s="31"/>
    </row>
    <row r="2469" spans="3:12" x14ac:dyDescent="0.3">
      <c r="C2469" s="219"/>
      <c r="D2469" s="219"/>
      <c r="G2469" s="50">
        <f>РЕАЛИЗАЦИЯ[[#This Row],[СОНИ]]*РЕАЛИЗАЦИЯ[[#This Row],[НАРХИ]]</f>
        <v>0</v>
      </c>
      <c r="I2469" s="166"/>
      <c r="J2469" s="31">
        <f>РЕАЛИЗАЦИЯ[[#This Row],[СОНИ]]*РЕАЛИЗАЦИЯ[[#This Row],[ТАННАРХ]]</f>
        <v>0</v>
      </c>
      <c r="K2469" s="31">
        <f>РЕАЛИЗАЦИЯ[[#This Row],[ЖАМИ]]-РЕАЛИЗАЦИЯ[[#This Row],[ЖАМИ2]]</f>
        <v>0</v>
      </c>
      <c r="L2469" s="31"/>
    </row>
    <row r="2470" spans="3:12" x14ac:dyDescent="0.3">
      <c r="C2470" s="219"/>
      <c r="D2470" s="219"/>
      <c r="G2470" s="50">
        <f>РЕАЛИЗАЦИЯ[[#This Row],[СОНИ]]*РЕАЛИЗАЦИЯ[[#This Row],[НАРХИ]]</f>
        <v>0</v>
      </c>
      <c r="I2470" s="166"/>
      <c r="J2470" s="31">
        <f>РЕАЛИЗАЦИЯ[[#This Row],[СОНИ]]*РЕАЛИЗАЦИЯ[[#This Row],[ТАННАРХ]]</f>
        <v>0</v>
      </c>
      <c r="K2470" s="31">
        <f>РЕАЛИЗАЦИЯ[[#This Row],[ЖАМИ]]-РЕАЛИЗАЦИЯ[[#This Row],[ЖАМИ2]]</f>
        <v>0</v>
      </c>
      <c r="L2470" s="31"/>
    </row>
    <row r="2471" spans="3:12" x14ac:dyDescent="0.3">
      <c r="C2471" s="219"/>
      <c r="D2471" s="219"/>
      <c r="G2471" s="50">
        <f>РЕАЛИЗАЦИЯ[[#This Row],[СОНИ]]*РЕАЛИЗАЦИЯ[[#This Row],[НАРХИ]]</f>
        <v>0</v>
      </c>
      <c r="I2471" s="166"/>
      <c r="J2471" s="31">
        <f>РЕАЛИЗАЦИЯ[[#This Row],[СОНИ]]*РЕАЛИЗАЦИЯ[[#This Row],[ТАННАРХ]]</f>
        <v>0</v>
      </c>
      <c r="K2471" s="31">
        <f>РЕАЛИЗАЦИЯ[[#This Row],[ЖАМИ]]-РЕАЛИЗАЦИЯ[[#This Row],[ЖАМИ2]]</f>
        <v>0</v>
      </c>
      <c r="L2471" s="31"/>
    </row>
    <row r="2472" spans="3:12" x14ac:dyDescent="0.3">
      <c r="C2472" s="219"/>
      <c r="D2472" s="219"/>
      <c r="G2472" s="50">
        <f>РЕАЛИЗАЦИЯ[[#This Row],[СОНИ]]*РЕАЛИЗАЦИЯ[[#This Row],[НАРХИ]]</f>
        <v>0</v>
      </c>
      <c r="I2472" s="166"/>
      <c r="J2472" s="31">
        <f>РЕАЛИЗАЦИЯ[[#This Row],[СОНИ]]*РЕАЛИЗАЦИЯ[[#This Row],[ТАННАРХ]]</f>
        <v>0</v>
      </c>
      <c r="K2472" s="31">
        <f>РЕАЛИЗАЦИЯ[[#This Row],[ЖАМИ]]-РЕАЛИЗАЦИЯ[[#This Row],[ЖАМИ2]]</f>
        <v>0</v>
      </c>
      <c r="L2472" s="31"/>
    </row>
    <row r="2473" spans="3:12" x14ac:dyDescent="0.3">
      <c r="C2473" s="219"/>
      <c r="D2473" s="219"/>
      <c r="G2473" s="50">
        <f>РЕАЛИЗАЦИЯ[[#This Row],[СОНИ]]*РЕАЛИЗАЦИЯ[[#This Row],[НАРХИ]]</f>
        <v>0</v>
      </c>
      <c r="I2473" s="166"/>
      <c r="J2473" s="31">
        <f>РЕАЛИЗАЦИЯ[[#This Row],[СОНИ]]*РЕАЛИЗАЦИЯ[[#This Row],[ТАННАРХ]]</f>
        <v>0</v>
      </c>
      <c r="K2473" s="31">
        <f>РЕАЛИЗАЦИЯ[[#This Row],[ЖАМИ]]-РЕАЛИЗАЦИЯ[[#This Row],[ЖАМИ2]]</f>
        <v>0</v>
      </c>
      <c r="L2473" s="31"/>
    </row>
    <row r="2474" spans="3:12" x14ac:dyDescent="0.3">
      <c r="C2474" s="219"/>
      <c r="D2474" s="219"/>
      <c r="G2474" s="50">
        <f>РЕАЛИЗАЦИЯ[[#This Row],[СОНИ]]*РЕАЛИЗАЦИЯ[[#This Row],[НАРХИ]]</f>
        <v>0</v>
      </c>
      <c r="I2474" s="166"/>
      <c r="J2474" s="31">
        <f>РЕАЛИЗАЦИЯ[[#This Row],[СОНИ]]*РЕАЛИЗАЦИЯ[[#This Row],[ТАННАРХ]]</f>
        <v>0</v>
      </c>
      <c r="K2474" s="31">
        <f>РЕАЛИЗАЦИЯ[[#This Row],[ЖАМИ]]-РЕАЛИЗАЦИЯ[[#This Row],[ЖАМИ2]]</f>
        <v>0</v>
      </c>
      <c r="L2474" s="31"/>
    </row>
    <row r="2475" spans="3:12" x14ac:dyDescent="0.3">
      <c r="C2475" s="219"/>
      <c r="D2475" s="219"/>
      <c r="G2475" s="50">
        <f>РЕАЛИЗАЦИЯ[[#This Row],[СОНИ]]*РЕАЛИЗАЦИЯ[[#This Row],[НАРХИ]]</f>
        <v>0</v>
      </c>
      <c r="I2475" s="166"/>
      <c r="J2475" s="31">
        <f>РЕАЛИЗАЦИЯ[[#This Row],[СОНИ]]*РЕАЛИЗАЦИЯ[[#This Row],[ТАННАРХ]]</f>
        <v>0</v>
      </c>
      <c r="K2475" s="31">
        <f>РЕАЛИЗАЦИЯ[[#This Row],[ЖАМИ]]-РЕАЛИЗАЦИЯ[[#This Row],[ЖАМИ2]]</f>
        <v>0</v>
      </c>
      <c r="L2475" s="31"/>
    </row>
    <row r="2476" spans="3:12" x14ac:dyDescent="0.3">
      <c r="C2476" s="219"/>
      <c r="D2476" s="219"/>
      <c r="G2476" s="50">
        <f>РЕАЛИЗАЦИЯ[[#This Row],[СОНИ]]*РЕАЛИЗАЦИЯ[[#This Row],[НАРХИ]]</f>
        <v>0</v>
      </c>
      <c r="I2476" s="166"/>
      <c r="J2476" s="31">
        <f>РЕАЛИЗАЦИЯ[[#This Row],[СОНИ]]*РЕАЛИЗАЦИЯ[[#This Row],[ТАННАРХ]]</f>
        <v>0</v>
      </c>
      <c r="K2476" s="31">
        <f>РЕАЛИЗАЦИЯ[[#This Row],[ЖАМИ]]-РЕАЛИЗАЦИЯ[[#This Row],[ЖАМИ2]]</f>
        <v>0</v>
      </c>
      <c r="L2476" s="31"/>
    </row>
    <row r="2477" spans="3:12" x14ac:dyDescent="0.3">
      <c r="C2477" s="219"/>
      <c r="D2477" s="219"/>
      <c r="G2477" s="50">
        <f>РЕАЛИЗАЦИЯ[[#This Row],[СОНИ]]*РЕАЛИЗАЦИЯ[[#This Row],[НАРХИ]]</f>
        <v>0</v>
      </c>
      <c r="I2477" s="166"/>
      <c r="J2477" s="31">
        <f>РЕАЛИЗАЦИЯ[[#This Row],[СОНИ]]*РЕАЛИЗАЦИЯ[[#This Row],[ТАННАРХ]]</f>
        <v>0</v>
      </c>
      <c r="K2477" s="31">
        <f>РЕАЛИЗАЦИЯ[[#This Row],[ЖАМИ]]-РЕАЛИЗАЦИЯ[[#This Row],[ЖАМИ2]]</f>
        <v>0</v>
      </c>
      <c r="L2477" s="31"/>
    </row>
    <row r="2478" spans="3:12" x14ac:dyDescent="0.3">
      <c r="C2478" s="219"/>
      <c r="D2478" s="219"/>
      <c r="G2478" s="50">
        <f>РЕАЛИЗАЦИЯ[[#This Row],[СОНИ]]*РЕАЛИЗАЦИЯ[[#This Row],[НАРХИ]]</f>
        <v>0</v>
      </c>
      <c r="I2478" s="166"/>
      <c r="J2478" s="31">
        <f>РЕАЛИЗАЦИЯ[[#This Row],[СОНИ]]*РЕАЛИЗАЦИЯ[[#This Row],[ТАННАРХ]]</f>
        <v>0</v>
      </c>
      <c r="K2478" s="31">
        <f>РЕАЛИЗАЦИЯ[[#This Row],[ЖАМИ]]-РЕАЛИЗАЦИЯ[[#This Row],[ЖАМИ2]]</f>
        <v>0</v>
      </c>
      <c r="L2478" s="31"/>
    </row>
    <row r="2479" spans="3:12" x14ac:dyDescent="0.3">
      <c r="C2479" s="219"/>
      <c r="D2479" s="219"/>
      <c r="G2479" s="50">
        <f>РЕАЛИЗАЦИЯ[[#This Row],[СОНИ]]*РЕАЛИЗАЦИЯ[[#This Row],[НАРХИ]]</f>
        <v>0</v>
      </c>
      <c r="I2479" s="166"/>
      <c r="J2479" s="31">
        <f>РЕАЛИЗАЦИЯ[[#This Row],[СОНИ]]*РЕАЛИЗАЦИЯ[[#This Row],[ТАННАРХ]]</f>
        <v>0</v>
      </c>
      <c r="K2479" s="31">
        <f>РЕАЛИЗАЦИЯ[[#This Row],[ЖАМИ]]-РЕАЛИЗАЦИЯ[[#This Row],[ЖАМИ2]]</f>
        <v>0</v>
      </c>
      <c r="L2479" s="31"/>
    </row>
    <row r="2480" spans="3:12" x14ac:dyDescent="0.3">
      <c r="C2480" s="219"/>
      <c r="D2480" s="219"/>
      <c r="G2480" s="50">
        <f>РЕАЛИЗАЦИЯ[[#This Row],[СОНИ]]*РЕАЛИЗАЦИЯ[[#This Row],[НАРХИ]]</f>
        <v>0</v>
      </c>
      <c r="I2480" s="166"/>
      <c r="J2480" s="31">
        <f>РЕАЛИЗАЦИЯ[[#This Row],[СОНИ]]*РЕАЛИЗАЦИЯ[[#This Row],[ТАННАРХ]]</f>
        <v>0</v>
      </c>
      <c r="K2480" s="31">
        <f>РЕАЛИЗАЦИЯ[[#This Row],[ЖАМИ]]-РЕАЛИЗАЦИЯ[[#This Row],[ЖАМИ2]]</f>
        <v>0</v>
      </c>
      <c r="L2480" s="31"/>
    </row>
    <row r="2481" spans="3:12" x14ac:dyDescent="0.3">
      <c r="C2481" s="219"/>
      <c r="D2481" s="219"/>
      <c r="G2481" s="50">
        <f>РЕАЛИЗАЦИЯ[[#This Row],[СОНИ]]*РЕАЛИЗАЦИЯ[[#This Row],[НАРХИ]]</f>
        <v>0</v>
      </c>
      <c r="I2481" s="166"/>
      <c r="J2481" s="31">
        <f>РЕАЛИЗАЦИЯ[[#This Row],[СОНИ]]*РЕАЛИЗАЦИЯ[[#This Row],[ТАННАРХ]]</f>
        <v>0</v>
      </c>
      <c r="K2481" s="31">
        <f>РЕАЛИЗАЦИЯ[[#This Row],[ЖАМИ]]-РЕАЛИЗАЦИЯ[[#This Row],[ЖАМИ2]]</f>
        <v>0</v>
      </c>
      <c r="L2481" s="31"/>
    </row>
    <row r="2482" spans="3:12" x14ac:dyDescent="0.3">
      <c r="C2482" s="219"/>
      <c r="D2482" s="219"/>
      <c r="G2482" s="50">
        <f>РЕАЛИЗАЦИЯ[[#This Row],[СОНИ]]*РЕАЛИЗАЦИЯ[[#This Row],[НАРХИ]]</f>
        <v>0</v>
      </c>
      <c r="I2482" s="166"/>
      <c r="J2482" s="31">
        <f>РЕАЛИЗАЦИЯ[[#This Row],[СОНИ]]*РЕАЛИЗАЦИЯ[[#This Row],[ТАННАРХ]]</f>
        <v>0</v>
      </c>
      <c r="K2482" s="31">
        <f>РЕАЛИЗАЦИЯ[[#This Row],[ЖАМИ]]-РЕАЛИЗАЦИЯ[[#This Row],[ЖАМИ2]]</f>
        <v>0</v>
      </c>
      <c r="L2482" s="31"/>
    </row>
    <row r="2483" spans="3:12" x14ac:dyDescent="0.3">
      <c r="C2483" s="219"/>
      <c r="D2483" s="219"/>
      <c r="G2483" s="50">
        <f>РЕАЛИЗАЦИЯ[[#This Row],[СОНИ]]*РЕАЛИЗАЦИЯ[[#This Row],[НАРХИ]]</f>
        <v>0</v>
      </c>
      <c r="I2483" s="166"/>
      <c r="J2483" s="31">
        <f>РЕАЛИЗАЦИЯ[[#This Row],[СОНИ]]*РЕАЛИЗАЦИЯ[[#This Row],[ТАННАРХ]]</f>
        <v>0</v>
      </c>
      <c r="K2483" s="31">
        <f>РЕАЛИЗАЦИЯ[[#This Row],[ЖАМИ]]-РЕАЛИЗАЦИЯ[[#This Row],[ЖАМИ2]]</f>
        <v>0</v>
      </c>
      <c r="L2483" s="31"/>
    </row>
    <row r="2484" spans="3:12" x14ac:dyDescent="0.3">
      <c r="C2484" s="219"/>
      <c r="D2484" s="219"/>
      <c r="G2484" s="50">
        <f>РЕАЛИЗАЦИЯ[[#This Row],[СОНИ]]*РЕАЛИЗАЦИЯ[[#This Row],[НАРХИ]]</f>
        <v>0</v>
      </c>
      <c r="I2484" s="166"/>
      <c r="J2484" s="31">
        <f>РЕАЛИЗАЦИЯ[[#This Row],[СОНИ]]*РЕАЛИЗАЦИЯ[[#This Row],[ТАННАРХ]]</f>
        <v>0</v>
      </c>
      <c r="K2484" s="31">
        <f>РЕАЛИЗАЦИЯ[[#This Row],[ЖАМИ]]-РЕАЛИЗАЦИЯ[[#This Row],[ЖАМИ2]]</f>
        <v>0</v>
      </c>
      <c r="L2484" s="31"/>
    </row>
    <row r="2485" spans="3:12" x14ac:dyDescent="0.3">
      <c r="C2485" s="219"/>
      <c r="D2485" s="219"/>
      <c r="G2485" s="50">
        <f>РЕАЛИЗАЦИЯ[[#This Row],[СОНИ]]*РЕАЛИЗАЦИЯ[[#This Row],[НАРХИ]]</f>
        <v>0</v>
      </c>
      <c r="I2485" s="166"/>
      <c r="J2485" s="31">
        <f>РЕАЛИЗАЦИЯ[[#This Row],[СОНИ]]*РЕАЛИЗАЦИЯ[[#This Row],[ТАННАРХ]]</f>
        <v>0</v>
      </c>
      <c r="K2485" s="31">
        <f>РЕАЛИЗАЦИЯ[[#This Row],[ЖАМИ]]-РЕАЛИЗАЦИЯ[[#This Row],[ЖАМИ2]]</f>
        <v>0</v>
      </c>
      <c r="L2485" s="31"/>
    </row>
    <row r="2486" spans="3:12" x14ac:dyDescent="0.3">
      <c r="C2486" s="219"/>
      <c r="D2486" s="219"/>
      <c r="G2486" s="50">
        <f>РЕАЛИЗАЦИЯ[[#This Row],[СОНИ]]*РЕАЛИЗАЦИЯ[[#This Row],[НАРХИ]]</f>
        <v>0</v>
      </c>
      <c r="I2486" s="166"/>
      <c r="J2486" s="31">
        <f>РЕАЛИЗАЦИЯ[[#This Row],[СОНИ]]*РЕАЛИЗАЦИЯ[[#This Row],[ТАННАРХ]]</f>
        <v>0</v>
      </c>
      <c r="K2486" s="31">
        <f>РЕАЛИЗАЦИЯ[[#This Row],[ЖАМИ]]-РЕАЛИЗАЦИЯ[[#This Row],[ЖАМИ2]]</f>
        <v>0</v>
      </c>
      <c r="L2486" s="31"/>
    </row>
    <row r="2487" spans="3:12" x14ac:dyDescent="0.3">
      <c r="C2487" s="219"/>
      <c r="D2487" s="219"/>
      <c r="G2487" s="50">
        <f>РЕАЛИЗАЦИЯ[[#This Row],[СОНИ]]*РЕАЛИЗАЦИЯ[[#This Row],[НАРХИ]]</f>
        <v>0</v>
      </c>
      <c r="I2487" s="166"/>
      <c r="J2487" s="31">
        <f>РЕАЛИЗАЦИЯ[[#This Row],[СОНИ]]*РЕАЛИЗАЦИЯ[[#This Row],[ТАННАРХ]]</f>
        <v>0</v>
      </c>
      <c r="K2487" s="31">
        <f>РЕАЛИЗАЦИЯ[[#This Row],[ЖАМИ]]-РЕАЛИЗАЦИЯ[[#This Row],[ЖАМИ2]]</f>
        <v>0</v>
      </c>
      <c r="L2487" s="31"/>
    </row>
    <row r="2488" spans="3:12" x14ac:dyDescent="0.3">
      <c r="C2488" s="219"/>
      <c r="D2488" s="219"/>
      <c r="G2488" s="50">
        <f>РЕАЛИЗАЦИЯ[[#This Row],[СОНИ]]*РЕАЛИЗАЦИЯ[[#This Row],[НАРХИ]]</f>
        <v>0</v>
      </c>
      <c r="I2488" s="166"/>
      <c r="J2488" s="31">
        <f>РЕАЛИЗАЦИЯ[[#This Row],[СОНИ]]*РЕАЛИЗАЦИЯ[[#This Row],[ТАННАРХ]]</f>
        <v>0</v>
      </c>
      <c r="K2488" s="31">
        <f>РЕАЛИЗАЦИЯ[[#This Row],[ЖАМИ]]-РЕАЛИЗАЦИЯ[[#This Row],[ЖАМИ2]]</f>
        <v>0</v>
      </c>
      <c r="L2488" s="31"/>
    </row>
    <row r="2489" spans="3:12" x14ac:dyDescent="0.3">
      <c r="C2489" s="219"/>
      <c r="D2489" s="219"/>
      <c r="G2489" s="50">
        <f>РЕАЛИЗАЦИЯ[[#This Row],[СОНИ]]*РЕАЛИЗАЦИЯ[[#This Row],[НАРХИ]]</f>
        <v>0</v>
      </c>
      <c r="I2489" s="166"/>
      <c r="J2489" s="31">
        <f>РЕАЛИЗАЦИЯ[[#This Row],[СОНИ]]*РЕАЛИЗАЦИЯ[[#This Row],[ТАННАРХ]]</f>
        <v>0</v>
      </c>
      <c r="K2489" s="31">
        <f>РЕАЛИЗАЦИЯ[[#This Row],[ЖАМИ]]-РЕАЛИЗАЦИЯ[[#This Row],[ЖАМИ2]]</f>
        <v>0</v>
      </c>
      <c r="L2489" s="31"/>
    </row>
    <row r="2490" spans="3:12" x14ac:dyDescent="0.3">
      <c r="C2490" s="219"/>
      <c r="D2490" s="219"/>
      <c r="G2490" s="50">
        <f>РЕАЛИЗАЦИЯ[[#This Row],[СОНИ]]*РЕАЛИЗАЦИЯ[[#This Row],[НАРХИ]]</f>
        <v>0</v>
      </c>
      <c r="I2490" s="166"/>
      <c r="J2490" s="31">
        <f>РЕАЛИЗАЦИЯ[[#This Row],[СОНИ]]*РЕАЛИЗАЦИЯ[[#This Row],[ТАННАРХ]]</f>
        <v>0</v>
      </c>
      <c r="K2490" s="31">
        <f>РЕАЛИЗАЦИЯ[[#This Row],[ЖАМИ]]-РЕАЛИЗАЦИЯ[[#This Row],[ЖАМИ2]]</f>
        <v>0</v>
      </c>
      <c r="L2490" s="31"/>
    </row>
    <row r="2491" spans="3:12" x14ac:dyDescent="0.3">
      <c r="C2491" s="219"/>
      <c r="D2491" s="219"/>
      <c r="G2491" s="50">
        <f>РЕАЛИЗАЦИЯ[[#This Row],[СОНИ]]*РЕАЛИЗАЦИЯ[[#This Row],[НАРХИ]]</f>
        <v>0</v>
      </c>
      <c r="I2491" s="166"/>
      <c r="J2491" s="31">
        <f>РЕАЛИЗАЦИЯ[[#This Row],[СОНИ]]*РЕАЛИЗАЦИЯ[[#This Row],[ТАННАРХ]]</f>
        <v>0</v>
      </c>
      <c r="K2491" s="31">
        <f>РЕАЛИЗАЦИЯ[[#This Row],[ЖАМИ]]-РЕАЛИЗАЦИЯ[[#This Row],[ЖАМИ2]]</f>
        <v>0</v>
      </c>
      <c r="L2491" s="31"/>
    </row>
    <row r="2492" spans="3:12" x14ac:dyDescent="0.3">
      <c r="C2492" s="222"/>
      <c r="D2492" s="222"/>
      <c r="G2492" s="50">
        <f>РЕАЛИЗАЦИЯ[[#This Row],[СОНИ]]*РЕАЛИЗАЦИЯ[[#This Row],[НАРХИ]]</f>
        <v>0</v>
      </c>
      <c r="I2492" s="166"/>
      <c r="J2492" s="31">
        <f>РЕАЛИЗАЦИЯ[[#This Row],[СОНИ]]*РЕАЛИЗАЦИЯ[[#This Row],[ТАННАРХ]]</f>
        <v>0</v>
      </c>
      <c r="K2492" s="31">
        <f>РЕАЛИЗАЦИЯ[[#This Row],[ЖАМИ]]-РЕАЛИЗАЦИЯ[[#This Row],[ЖАМИ2]]</f>
        <v>0</v>
      </c>
      <c r="L2492" s="31"/>
    </row>
    <row r="2493" spans="3:12" x14ac:dyDescent="0.3">
      <c r="C2493" s="219"/>
      <c r="D2493" s="219"/>
      <c r="G2493" s="50">
        <f>РЕАЛИЗАЦИЯ[[#This Row],[СОНИ]]*РЕАЛИЗАЦИЯ[[#This Row],[НАРХИ]]</f>
        <v>0</v>
      </c>
      <c r="I2493" s="166"/>
      <c r="J2493" s="31">
        <f>РЕАЛИЗАЦИЯ[[#This Row],[СОНИ]]*РЕАЛИЗАЦИЯ[[#This Row],[ТАННАРХ]]</f>
        <v>0</v>
      </c>
      <c r="K2493" s="31">
        <f>РЕАЛИЗАЦИЯ[[#This Row],[ЖАМИ]]-РЕАЛИЗАЦИЯ[[#This Row],[ЖАМИ2]]</f>
        <v>0</v>
      </c>
      <c r="L2493" s="31"/>
    </row>
    <row r="2494" spans="3:12" x14ac:dyDescent="0.3">
      <c r="C2494" s="219"/>
      <c r="D2494" s="219"/>
      <c r="G2494" s="50">
        <f>РЕАЛИЗАЦИЯ[[#This Row],[СОНИ]]*РЕАЛИЗАЦИЯ[[#This Row],[НАРХИ]]</f>
        <v>0</v>
      </c>
      <c r="I2494" s="166"/>
      <c r="J2494" s="31">
        <f>РЕАЛИЗАЦИЯ[[#This Row],[СОНИ]]*РЕАЛИЗАЦИЯ[[#This Row],[ТАННАРХ]]</f>
        <v>0</v>
      </c>
      <c r="K2494" s="31">
        <f>РЕАЛИЗАЦИЯ[[#This Row],[ЖАМИ]]-РЕАЛИЗАЦИЯ[[#This Row],[ЖАМИ2]]</f>
        <v>0</v>
      </c>
      <c r="L2494" s="31"/>
    </row>
    <row r="2495" spans="3:12" x14ac:dyDescent="0.3">
      <c r="C2495" s="219"/>
      <c r="D2495" s="219"/>
      <c r="G2495" s="50">
        <f>РЕАЛИЗАЦИЯ[[#This Row],[СОНИ]]*РЕАЛИЗАЦИЯ[[#This Row],[НАРХИ]]</f>
        <v>0</v>
      </c>
      <c r="I2495" s="166"/>
      <c r="J2495" s="31">
        <f>РЕАЛИЗАЦИЯ[[#This Row],[СОНИ]]*РЕАЛИЗАЦИЯ[[#This Row],[ТАННАРХ]]</f>
        <v>0</v>
      </c>
      <c r="K2495" s="31">
        <f>РЕАЛИЗАЦИЯ[[#This Row],[ЖАМИ]]-РЕАЛИЗАЦИЯ[[#This Row],[ЖАМИ2]]</f>
        <v>0</v>
      </c>
      <c r="L2495" s="31"/>
    </row>
    <row r="2496" spans="3:12" x14ac:dyDescent="0.3">
      <c r="C2496" s="219"/>
      <c r="D2496" s="219"/>
      <c r="G2496" s="50">
        <f>РЕАЛИЗАЦИЯ[[#This Row],[СОНИ]]*РЕАЛИЗАЦИЯ[[#This Row],[НАРХИ]]</f>
        <v>0</v>
      </c>
      <c r="I2496" s="166"/>
      <c r="J2496" s="31">
        <f>РЕАЛИЗАЦИЯ[[#This Row],[СОНИ]]*РЕАЛИЗАЦИЯ[[#This Row],[ТАННАРХ]]</f>
        <v>0</v>
      </c>
      <c r="K2496" s="31">
        <f>РЕАЛИЗАЦИЯ[[#This Row],[ЖАМИ]]-РЕАЛИЗАЦИЯ[[#This Row],[ЖАМИ2]]</f>
        <v>0</v>
      </c>
      <c r="L2496" s="31"/>
    </row>
    <row r="2497" spans="3:12" x14ac:dyDescent="0.3">
      <c r="C2497" s="219"/>
      <c r="D2497" s="219"/>
      <c r="G2497" s="50">
        <f>РЕАЛИЗАЦИЯ[[#This Row],[СОНИ]]*РЕАЛИЗАЦИЯ[[#This Row],[НАРХИ]]</f>
        <v>0</v>
      </c>
      <c r="I2497" s="166"/>
      <c r="J2497" s="31">
        <f>РЕАЛИЗАЦИЯ[[#This Row],[СОНИ]]*РЕАЛИЗАЦИЯ[[#This Row],[ТАННАРХ]]</f>
        <v>0</v>
      </c>
      <c r="K2497" s="31">
        <f>РЕАЛИЗАЦИЯ[[#This Row],[ЖАМИ]]-РЕАЛИЗАЦИЯ[[#This Row],[ЖАМИ2]]</f>
        <v>0</v>
      </c>
      <c r="L2497" s="31"/>
    </row>
    <row r="2498" spans="3:12" x14ac:dyDescent="0.3">
      <c r="C2498" s="219"/>
      <c r="D2498" s="219"/>
      <c r="G2498" s="50">
        <f>РЕАЛИЗАЦИЯ[[#This Row],[СОНИ]]*РЕАЛИЗАЦИЯ[[#This Row],[НАРХИ]]</f>
        <v>0</v>
      </c>
      <c r="I2498" s="166"/>
      <c r="J2498" s="31">
        <f>РЕАЛИЗАЦИЯ[[#This Row],[СОНИ]]*РЕАЛИЗАЦИЯ[[#This Row],[ТАННАРХ]]</f>
        <v>0</v>
      </c>
      <c r="K2498" s="31">
        <f>РЕАЛИЗАЦИЯ[[#This Row],[ЖАМИ]]-РЕАЛИЗАЦИЯ[[#This Row],[ЖАМИ2]]</f>
        <v>0</v>
      </c>
      <c r="L2498" s="31"/>
    </row>
    <row r="2499" spans="3:12" x14ac:dyDescent="0.3">
      <c r="C2499" s="219"/>
      <c r="D2499" s="219"/>
      <c r="G2499" s="50">
        <f>РЕАЛИЗАЦИЯ[[#This Row],[СОНИ]]*РЕАЛИЗАЦИЯ[[#This Row],[НАРХИ]]</f>
        <v>0</v>
      </c>
      <c r="I2499" s="166"/>
      <c r="J2499" s="31">
        <f>РЕАЛИЗАЦИЯ[[#This Row],[СОНИ]]*РЕАЛИЗАЦИЯ[[#This Row],[ТАННАРХ]]</f>
        <v>0</v>
      </c>
      <c r="K2499" s="31">
        <f>РЕАЛИЗАЦИЯ[[#This Row],[ЖАМИ]]-РЕАЛИЗАЦИЯ[[#This Row],[ЖАМИ2]]</f>
        <v>0</v>
      </c>
      <c r="L2499" s="31"/>
    </row>
    <row r="2500" spans="3:12" x14ac:dyDescent="0.3">
      <c r="C2500" s="219"/>
      <c r="D2500" s="219"/>
      <c r="G2500" s="50">
        <f>РЕАЛИЗАЦИЯ[[#This Row],[СОНИ]]*РЕАЛИЗАЦИЯ[[#This Row],[НАРХИ]]</f>
        <v>0</v>
      </c>
      <c r="I2500" s="166"/>
      <c r="J2500" s="31">
        <f>РЕАЛИЗАЦИЯ[[#This Row],[СОНИ]]*РЕАЛИЗАЦИЯ[[#This Row],[ТАННАРХ]]</f>
        <v>0</v>
      </c>
      <c r="K2500" s="31">
        <f>РЕАЛИЗАЦИЯ[[#This Row],[ЖАМИ]]-РЕАЛИЗАЦИЯ[[#This Row],[ЖАМИ2]]</f>
        <v>0</v>
      </c>
      <c r="L2500" s="31"/>
    </row>
    <row r="2501" spans="3:12" x14ac:dyDescent="0.3">
      <c r="C2501" s="219"/>
      <c r="D2501" s="219"/>
      <c r="G2501" s="50">
        <f>РЕАЛИЗАЦИЯ[[#This Row],[СОНИ]]*РЕАЛИЗАЦИЯ[[#This Row],[НАРХИ]]</f>
        <v>0</v>
      </c>
      <c r="I2501" s="166"/>
      <c r="J2501" s="31">
        <f>РЕАЛИЗАЦИЯ[[#This Row],[СОНИ]]*РЕАЛИЗАЦИЯ[[#This Row],[ТАННАРХ]]</f>
        <v>0</v>
      </c>
      <c r="K2501" s="31">
        <f>РЕАЛИЗАЦИЯ[[#This Row],[ЖАМИ]]-РЕАЛИЗАЦИЯ[[#This Row],[ЖАМИ2]]</f>
        <v>0</v>
      </c>
      <c r="L2501" s="31"/>
    </row>
    <row r="2502" spans="3:12" x14ac:dyDescent="0.3">
      <c r="C2502" s="219"/>
      <c r="D2502" s="219"/>
      <c r="G2502" s="50">
        <f>РЕАЛИЗАЦИЯ[[#This Row],[СОНИ]]*РЕАЛИЗАЦИЯ[[#This Row],[НАРХИ]]</f>
        <v>0</v>
      </c>
      <c r="I2502" s="166"/>
      <c r="J2502" s="31">
        <f>РЕАЛИЗАЦИЯ[[#This Row],[СОНИ]]*РЕАЛИЗАЦИЯ[[#This Row],[ТАННАРХ]]</f>
        <v>0</v>
      </c>
      <c r="K2502" s="31">
        <f>РЕАЛИЗАЦИЯ[[#This Row],[ЖАМИ]]-РЕАЛИЗАЦИЯ[[#This Row],[ЖАМИ2]]</f>
        <v>0</v>
      </c>
      <c r="L2502" s="31"/>
    </row>
    <row r="2503" spans="3:12" x14ac:dyDescent="0.3">
      <c r="C2503" s="219"/>
      <c r="D2503" s="219"/>
      <c r="G2503" s="50">
        <f>РЕАЛИЗАЦИЯ[[#This Row],[СОНИ]]*РЕАЛИЗАЦИЯ[[#This Row],[НАРХИ]]</f>
        <v>0</v>
      </c>
      <c r="I2503" s="166"/>
      <c r="J2503" s="31">
        <f>РЕАЛИЗАЦИЯ[[#This Row],[СОНИ]]*РЕАЛИЗАЦИЯ[[#This Row],[ТАННАРХ]]</f>
        <v>0</v>
      </c>
      <c r="K2503" s="31">
        <f>РЕАЛИЗАЦИЯ[[#This Row],[ЖАМИ]]-РЕАЛИЗАЦИЯ[[#This Row],[ЖАМИ2]]</f>
        <v>0</v>
      </c>
      <c r="L2503" s="31"/>
    </row>
    <row r="2504" spans="3:12" x14ac:dyDescent="0.3">
      <c r="C2504" s="219"/>
      <c r="D2504" s="219"/>
      <c r="G2504" s="50">
        <f>РЕАЛИЗАЦИЯ[[#This Row],[СОНИ]]*РЕАЛИЗАЦИЯ[[#This Row],[НАРХИ]]</f>
        <v>0</v>
      </c>
      <c r="I2504" s="166"/>
      <c r="J2504" s="31">
        <f>РЕАЛИЗАЦИЯ[[#This Row],[СОНИ]]*РЕАЛИЗАЦИЯ[[#This Row],[ТАННАРХ]]</f>
        <v>0</v>
      </c>
      <c r="K2504" s="31">
        <f>РЕАЛИЗАЦИЯ[[#This Row],[ЖАМИ]]-РЕАЛИЗАЦИЯ[[#This Row],[ЖАМИ2]]</f>
        <v>0</v>
      </c>
      <c r="L2504" s="31"/>
    </row>
    <row r="2505" spans="3:12" x14ac:dyDescent="0.3">
      <c r="C2505" s="219"/>
      <c r="D2505" s="219"/>
      <c r="G2505" s="50">
        <f>РЕАЛИЗАЦИЯ[[#This Row],[СОНИ]]*РЕАЛИЗАЦИЯ[[#This Row],[НАРХИ]]</f>
        <v>0</v>
      </c>
      <c r="I2505" s="166"/>
      <c r="J2505" s="31">
        <f>РЕАЛИЗАЦИЯ[[#This Row],[СОНИ]]*РЕАЛИЗАЦИЯ[[#This Row],[ТАННАРХ]]</f>
        <v>0</v>
      </c>
      <c r="K2505" s="31">
        <f>РЕАЛИЗАЦИЯ[[#This Row],[ЖАМИ]]-РЕАЛИЗАЦИЯ[[#This Row],[ЖАМИ2]]</f>
        <v>0</v>
      </c>
      <c r="L2505" s="31"/>
    </row>
    <row r="2506" spans="3:12" x14ac:dyDescent="0.3">
      <c r="C2506" s="219"/>
      <c r="D2506" s="219"/>
      <c r="G2506" s="50">
        <f>РЕАЛИЗАЦИЯ[[#This Row],[СОНИ]]*РЕАЛИЗАЦИЯ[[#This Row],[НАРХИ]]</f>
        <v>0</v>
      </c>
      <c r="I2506" s="166"/>
      <c r="J2506" s="31">
        <f>РЕАЛИЗАЦИЯ[[#This Row],[СОНИ]]*РЕАЛИЗАЦИЯ[[#This Row],[ТАННАРХ]]</f>
        <v>0</v>
      </c>
      <c r="K2506" s="31">
        <f>РЕАЛИЗАЦИЯ[[#This Row],[ЖАМИ]]-РЕАЛИЗАЦИЯ[[#This Row],[ЖАМИ2]]</f>
        <v>0</v>
      </c>
      <c r="L2506" s="31"/>
    </row>
    <row r="2507" spans="3:12" x14ac:dyDescent="0.3">
      <c r="C2507" s="219"/>
      <c r="D2507" s="219"/>
      <c r="G2507" s="50">
        <f>РЕАЛИЗАЦИЯ[[#This Row],[СОНИ]]*РЕАЛИЗАЦИЯ[[#This Row],[НАРХИ]]</f>
        <v>0</v>
      </c>
      <c r="I2507" s="166"/>
      <c r="J2507" s="31">
        <f>РЕАЛИЗАЦИЯ[[#This Row],[СОНИ]]*РЕАЛИЗАЦИЯ[[#This Row],[ТАННАРХ]]</f>
        <v>0</v>
      </c>
      <c r="K2507" s="31">
        <f>РЕАЛИЗАЦИЯ[[#This Row],[ЖАМИ]]-РЕАЛИЗАЦИЯ[[#This Row],[ЖАМИ2]]</f>
        <v>0</v>
      </c>
      <c r="L2507" s="31"/>
    </row>
    <row r="2508" spans="3:12" x14ac:dyDescent="0.3">
      <c r="C2508" s="219"/>
      <c r="D2508" s="219"/>
      <c r="G2508" s="50">
        <f>РЕАЛИЗАЦИЯ[[#This Row],[СОНИ]]*РЕАЛИЗАЦИЯ[[#This Row],[НАРХИ]]</f>
        <v>0</v>
      </c>
      <c r="I2508" s="166"/>
      <c r="J2508" s="31">
        <f>РЕАЛИЗАЦИЯ[[#This Row],[СОНИ]]*РЕАЛИЗАЦИЯ[[#This Row],[ТАННАРХ]]</f>
        <v>0</v>
      </c>
      <c r="K2508" s="31">
        <f>РЕАЛИЗАЦИЯ[[#This Row],[ЖАМИ]]-РЕАЛИЗАЦИЯ[[#This Row],[ЖАМИ2]]</f>
        <v>0</v>
      </c>
      <c r="L2508" s="31"/>
    </row>
    <row r="2509" spans="3:12" x14ac:dyDescent="0.3">
      <c r="C2509" s="219"/>
      <c r="D2509" s="219"/>
      <c r="G2509" s="50">
        <f>РЕАЛИЗАЦИЯ[[#This Row],[СОНИ]]*РЕАЛИЗАЦИЯ[[#This Row],[НАРХИ]]</f>
        <v>0</v>
      </c>
      <c r="I2509" s="166"/>
      <c r="J2509" s="31">
        <f>РЕАЛИЗАЦИЯ[[#This Row],[СОНИ]]*РЕАЛИЗАЦИЯ[[#This Row],[ТАННАРХ]]</f>
        <v>0</v>
      </c>
      <c r="K2509" s="31">
        <f>РЕАЛИЗАЦИЯ[[#This Row],[ЖАМИ]]-РЕАЛИЗАЦИЯ[[#This Row],[ЖАМИ2]]</f>
        <v>0</v>
      </c>
      <c r="L2509" s="31"/>
    </row>
    <row r="2510" spans="3:12" x14ac:dyDescent="0.3">
      <c r="C2510" s="219"/>
      <c r="D2510" s="219"/>
      <c r="G2510" s="50">
        <f>РЕАЛИЗАЦИЯ[[#This Row],[СОНИ]]*РЕАЛИЗАЦИЯ[[#This Row],[НАРХИ]]</f>
        <v>0</v>
      </c>
      <c r="I2510" s="166"/>
      <c r="J2510" s="31">
        <f>РЕАЛИЗАЦИЯ[[#This Row],[СОНИ]]*РЕАЛИЗАЦИЯ[[#This Row],[ТАННАРХ]]</f>
        <v>0</v>
      </c>
      <c r="K2510" s="31">
        <f>РЕАЛИЗАЦИЯ[[#This Row],[ЖАМИ]]-РЕАЛИЗАЦИЯ[[#This Row],[ЖАМИ2]]</f>
        <v>0</v>
      </c>
      <c r="L2510" s="31"/>
    </row>
    <row r="2511" spans="3:12" x14ac:dyDescent="0.3">
      <c r="C2511" s="223"/>
      <c r="D2511" s="223"/>
      <c r="G2511" s="50">
        <f>РЕАЛИЗАЦИЯ[[#This Row],[СОНИ]]*РЕАЛИЗАЦИЯ[[#This Row],[НАРХИ]]</f>
        <v>0</v>
      </c>
      <c r="I2511" s="166"/>
      <c r="J2511" s="31">
        <f>РЕАЛИЗАЦИЯ[[#This Row],[СОНИ]]*РЕАЛИЗАЦИЯ[[#This Row],[ТАННАРХ]]</f>
        <v>0</v>
      </c>
      <c r="K2511" s="31">
        <f>РЕАЛИЗАЦИЯ[[#This Row],[ЖАМИ]]-РЕАЛИЗАЦИЯ[[#This Row],[ЖАМИ2]]</f>
        <v>0</v>
      </c>
      <c r="L2511" s="31"/>
    </row>
    <row r="2512" spans="3:12" x14ac:dyDescent="0.3">
      <c r="C2512" s="219"/>
      <c r="D2512" s="219"/>
      <c r="G2512" s="50">
        <f>РЕАЛИЗАЦИЯ[[#This Row],[СОНИ]]*РЕАЛИЗАЦИЯ[[#This Row],[НАРХИ]]</f>
        <v>0</v>
      </c>
      <c r="I2512" s="166"/>
      <c r="J2512" s="31">
        <f>РЕАЛИЗАЦИЯ[[#This Row],[СОНИ]]*РЕАЛИЗАЦИЯ[[#This Row],[ТАННАРХ]]</f>
        <v>0</v>
      </c>
      <c r="K2512" s="31">
        <f>РЕАЛИЗАЦИЯ[[#This Row],[ЖАМИ]]-РЕАЛИЗАЦИЯ[[#This Row],[ЖАМИ2]]</f>
        <v>0</v>
      </c>
      <c r="L2512" s="31"/>
    </row>
    <row r="2513" spans="1:12" x14ac:dyDescent="0.3">
      <c r="C2513" s="219"/>
      <c r="D2513" s="219"/>
      <c r="G2513" s="50">
        <f>РЕАЛИЗАЦИЯ[[#This Row],[СОНИ]]*РЕАЛИЗАЦИЯ[[#This Row],[НАРХИ]]</f>
        <v>0</v>
      </c>
      <c r="I2513" s="166"/>
      <c r="J2513" s="31">
        <f>РЕАЛИЗАЦИЯ[[#This Row],[СОНИ]]*РЕАЛИЗАЦИЯ[[#This Row],[ТАННАРХ]]</f>
        <v>0</v>
      </c>
      <c r="K2513" s="31">
        <f>РЕАЛИЗАЦИЯ[[#This Row],[ЖАМИ]]-РЕАЛИЗАЦИЯ[[#This Row],[ЖАМИ2]]</f>
        <v>0</v>
      </c>
      <c r="L2513" s="31"/>
    </row>
    <row r="2514" spans="1:12" x14ac:dyDescent="0.3">
      <c r="C2514" s="221"/>
      <c r="D2514" s="221"/>
      <c r="G2514" s="50">
        <f>РЕАЛИЗАЦИЯ[[#This Row],[СОНИ]]*РЕАЛИЗАЦИЯ[[#This Row],[НАРХИ]]</f>
        <v>0</v>
      </c>
      <c r="I2514" s="166"/>
      <c r="J2514" s="31">
        <f>РЕАЛИЗАЦИЯ[[#This Row],[СОНИ]]*РЕАЛИЗАЦИЯ[[#This Row],[ТАННАРХ]]</f>
        <v>0</v>
      </c>
      <c r="K2514" s="31">
        <f>РЕАЛИЗАЦИЯ[[#This Row],[ЖАМИ]]-РЕАЛИЗАЦИЯ[[#This Row],[ЖАМИ2]]</f>
        <v>0</v>
      </c>
      <c r="L2514" s="31"/>
    </row>
    <row r="2515" spans="1:12" x14ac:dyDescent="0.3">
      <c r="C2515" s="219"/>
      <c r="D2515" s="219"/>
      <c r="G2515" s="50">
        <f>РЕАЛИЗАЦИЯ[[#This Row],[СОНИ]]*РЕАЛИЗАЦИЯ[[#This Row],[НАРХИ]]</f>
        <v>0</v>
      </c>
      <c r="I2515" s="166"/>
      <c r="J2515" s="31">
        <f>РЕАЛИЗАЦИЯ[[#This Row],[СОНИ]]*РЕАЛИЗАЦИЯ[[#This Row],[ТАННАРХ]]</f>
        <v>0</v>
      </c>
      <c r="K2515" s="31">
        <f>РЕАЛИЗАЦИЯ[[#This Row],[ЖАМИ]]-РЕАЛИЗАЦИЯ[[#This Row],[ЖАМИ2]]</f>
        <v>0</v>
      </c>
      <c r="L2515" s="31"/>
    </row>
    <row r="2516" spans="1:12" s="219" customFormat="1" x14ac:dyDescent="0.3">
      <c r="A2516" s="3"/>
      <c r="B2516" s="4"/>
      <c r="E2516" s="31"/>
      <c r="F2516" s="31"/>
      <c r="G2516" s="50">
        <f>РЕАЛИЗАЦИЯ[[#This Row],[СОНИ]]*РЕАЛИЗАЦИЯ[[#This Row],[НАРХИ]]</f>
        <v>0</v>
      </c>
      <c r="H2516" s="31"/>
      <c r="I2516" s="166"/>
      <c r="J2516" s="31">
        <f>РЕАЛИЗАЦИЯ[[#This Row],[СОНИ]]*РЕАЛИЗАЦИЯ[[#This Row],[ТАННАРХ]]</f>
        <v>0</v>
      </c>
      <c r="K2516" s="31">
        <f>РЕАЛИЗАЦИЯ[[#This Row],[ЖАМИ]]-РЕАЛИЗАЦИЯ[[#This Row],[ЖАМИ2]]</f>
        <v>0</v>
      </c>
      <c r="L2516" s="31"/>
    </row>
    <row r="2517" spans="1:12" s="219" customFormat="1" x14ac:dyDescent="0.3">
      <c r="A2517" s="3"/>
      <c r="B2517" s="4"/>
      <c r="E2517" s="31"/>
      <c r="F2517" s="31"/>
      <c r="G2517" s="50">
        <f>РЕАЛИЗАЦИЯ[[#This Row],[СОНИ]]*РЕАЛИЗАЦИЯ[[#This Row],[НАРХИ]]</f>
        <v>0</v>
      </c>
      <c r="H2517" s="31"/>
      <c r="I2517" s="166"/>
      <c r="J2517" s="31">
        <f>РЕАЛИЗАЦИЯ[[#This Row],[СОНИ]]*РЕАЛИЗАЦИЯ[[#This Row],[ТАННАРХ]]</f>
        <v>0</v>
      </c>
      <c r="K2517" s="31">
        <f>РЕАЛИЗАЦИЯ[[#This Row],[ЖАМИ]]-РЕАЛИЗАЦИЯ[[#This Row],[ЖАМИ2]]</f>
        <v>0</v>
      </c>
      <c r="L2517" s="31"/>
    </row>
    <row r="2518" spans="1:12" s="219" customFormat="1" x14ac:dyDescent="0.3">
      <c r="A2518" s="3"/>
      <c r="B2518" s="4"/>
      <c r="E2518" s="31"/>
      <c r="F2518" s="31"/>
      <c r="G2518" s="50">
        <f>РЕАЛИЗАЦИЯ[[#This Row],[СОНИ]]*РЕАЛИЗАЦИЯ[[#This Row],[НАРХИ]]</f>
        <v>0</v>
      </c>
      <c r="H2518" s="31"/>
      <c r="I2518" s="166"/>
      <c r="J2518" s="31">
        <f>РЕАЛИЗАЦИЯ[[#This Row],[СОНИ]]*РЕАЛИЗАЦИЯ[[#This Row],[ТАННАРХ]]</f>
        <v>0</v>
      </c>
      <c r="K2518" s="31">
        <f>РЕАЛИЗАЦИЯ[[#This Row],[ЖАМИ]]-РЕАЛИЗАЦИЯ[[#This Row],[ЖАМИ2]]</f>
        <v>0</v>
      </c>
      <c r="L2518" s="31"/>
    </row>
    <row r="2519" spans="1:12" x14ac:dyDescent="0.3">
      <c r="C2519" s="219"/>
      <c r="D2519" s="219"/>
      <c r="G2519" s="50">
        <f>РЕАЛИЗАЦИЯ[[#This Row],[СОНИ]]*РЕАЛИЗАЦИЯ[[#This Row],[НАРХИ]]</f>
        <v>0</v>
      </c>
      <c r="I2519" s="166"/>
      <c r="J2519" s="31">
        <f>РЕАЛИЗАЦИЯ[[#This Row],[СОНИ]]*РЕАЛИЗАЦИЯ[[#This Row],[ТАННАРХ]]</f>
        <v>0</v>
      </c>
      <c r="K2519" s="31">
        <f>РЕАЛИЗАЦИЯ[[#This Row],[ЖАМИ]]-РЕАЛИЗАЦИЯ[[#This Row],[ЖАМИ2]]</f>
        <v>0</v>
      </c>
      <c r="L2519" s="31"/>
    </row>
    <row r="2520" spans="1:12" x14ac:dyDescent="0.3">
      <c r="C2520" s="219"/>
      <c r="D2520" s="219"/>
      <c r="G2520" s="50">
        <f>РЕАЛИЗАЦИЯ[[#This Row],[СОНИ]]*РЕАЛИЗАЦИЯ[[#This Row],[НАРХИ]]</f>
        <v>0</v>
      </c>
      <c r="I2520" s="166"/>
      <c r="J2520" s="31">
        <f>РЕАЛИЗАЦИЯ[[#This Row],[СОНИ]]*РЕАЛИЗАЦИЯ[[#This Row],[ТАННАРХ]]</f>
        <v>0</v>
      </c>
      <c r="K2520" s="31">
        <f>РЕАЛИЗАЦИЯ[[#This Row],[ЖАМИ]]-РЕАЛИЗАЦИЯ[[#This Row],[ЖАМИ2]]</f>
        <v>0</v>
      </c>
      <c r="L2520" s="31"/>
    </row>
    <row r="2521" spans="1:12" x14ac:dyDescent="0.3">
      <c r="C2521" s="219"/>
      <c r="D2521" s="219"/>
      <c r="G2521" s="50">
        <f>РЕАЛИЗАЦИЯ[[#This Row],[СОНИ]]*РЕАЛИЗАЦИЯ[[#This Row],[НАРХИ]]</f>
        <v>0</v>
      </c>
      <c r="I2521" s="166"/>
      <c r="J2521" s="31">
        <f>РЕАЛИЗАЦИЯ[[#This Row],[СОНИ]]*РЕАЛИЗАЦИЯ[[#This Row],[ТАННАРХ]]</f>
        <v>0</v>
      </c>
      <c r="K2521" s="31">
        <f>РЕАЛИЗАЦИЯ[[#This Row],[ЖАМИ]]-РЕАЛИЗАЦИЯ[[#This Row],[ЖАМИ2]]</f>
        <v>0</v>
      </c>
      <c r="L2521" s="31"/>
    </row>
    <row r="2522" spans="1:12" x14ac:dyDescent="0.3">
      <c r="C2522" s="219"/>
      <c r="D2522" s="219"/>
      <c r="G2522" s="50">
        <f>РЕАЛИЗАЦИЯ[[#This Row],[СОНИ]]*РЕАЛИЗАЦИЯ[[#This Row],[НАРХИ]]</f>
        <v>0</v>
      </c>
      <c r="I2522" s="166"/>
      <c r="J2522" s="31">
        <f>РЕАЛИЗАЦИЯ[[#This Row],[СОНИ]]*РЕАЛИЗАЦИЯ[[#This Row],[ТАННАРХ]]</f>
        <v>0</v>
      </c>
      <c r="K2522" s="31">
        <f>РЕАЛИЗАЦИЯ[[#This Row],[ЖАМИ]]-РЕАЛИЗАЦИЯ[[#This Row],[ЖАМИ2]]</f>
        <v>0</v>
      </c>
      <c r="L2522" s="31"/>
    </row>
    <row r="2523" spans="1:12" x14ac:dyDescent="0.3">
      <c r="C2523" s="219"/>
      <c r="D2523" s="219"/>
      <c r="G2523" s="50">
        <f>РЕАЛИЗАЦИЯ[[#This Row],[СОНИ]]*РЕАЛИЗАЦИЯ[[#This Row],[НАРХИ]]</f>
        <v>0</v>
      </c>
      <c r="I2523" s="166"/>
      <c r="J2523" s="31">
        <f>РЕАЛИЗАЦИЯ[[#This Row],[СОНИ]]*РЕАЛИЗАЦИЯ[[#This Row],[ТАННАРХ]]</f>
        <v>0</v>
      </c>
      <c r="K2523" s="31">
        <f>РЕАЛИЗАЦИЯ[[#This Row],[ЖАМИ]]-РЕАЛИЗАЦИЯ[[#This Row],[ЖАМИ2]]</f>
        <v>0</v>
      </c>
      <c r="L2523" s="31"/>
    </row>
    <row r="2524" spans="1:12" x14ac:dyDescent="0.3">
      <c r="C2524" s="219"/>
      <c r="D2524" s="219"/>
      <c r="G2524" s="50">
        <f>РЕАЛИЗАЦИЯ[[#This Row],[СОНИ]]*РЕАЛИЗАЦИЯ[[#This Row],[НАРХИ]]</f>
        <v>0</v>
      </c>
      <c r="I2524" s="166"/>
      <c r="J2524" s="31">
        <f>РЕАЛИЗАЦИЯ[[#This Row],[СОНИ]]*РЕАЛИЗАЦИЯ[[#This Row],[ТАННАРХ]]</f>
        <v>0</v>
      </c>
      <c r="K2524" s="31">
        <f>РЕАЛИЗАЦИЯ[[#This Row],[ЖАМИ]]-РЕАЛИЗАЦИЯ[[#This Row],[ЖАМИ2]]</f>
        <v>0</v>
      </c>
      <c r="L2524" s="31"/>
    </row>
    <row r="2525" spans="1:12" x14ac:dyDescent="0.3">
      <c r="C2525" s="219"/>
      <c r="D2525" s="219"/>
      <c r="G2525" s="50">
        <f>РЕАЛИЗАЦИЯ[[#This Row],[СОНИ]]*РЕАЛИЗАЦИЯ[[#This Row],[НАРХИ]]</f>
        <v>0</v>
      </c>
      <c r="I2525" s="166"/>
      <c r="J2525" s="31">
        <f>РЕАЛИЗАЦИЯ[[#This Row],[СОНИ]]*РЕАЛИЗАЦИЯ[[#This Row],[ТАННАРХ]]</f>
        <v>0</v>
      </c>
      <c r="K2525" s="31">
        <f>РЕАЛИЗАЦИЯ[[#This Row],[ЖАМИ]]-РЕАЛИЗАЦИЯ[[#This Row],[ЖАМИ2]]</f>
        <v>0</v>
      </c>
      <c r="L2525" s="31"/>
    </row>
    <row r="2526" spans="1:12" x14ac:dyDescent="0.3">
      <c r="C2526" s="219"/>
      <c r="D2526" s="219"/>
      <c r="G2526" s="50">
        <f>РЕАЛИЗАЦИЯ[[#This Row],[СОНИ]]*РЕАЛИЗАЦИЯ[[#This Row],[НАРХИ]]</f>
        <v>0</v>
      </c>
      <c r="I2526" s="166"/>
      <c r="J2526" s="31">
        <f>РЕАЛИЗАЦИЯ[[#This Row],[СОНИ]]*РЕАЛИЗАЦИЯ[[#This Row],[ТАННАРХ]]</f>
        <v>0</v>
      </c>
      <c r="K2526" s="31">
        <f>РЕАЛИЗАЦИЯ[[#This Row],[ЖАМИ]]-РЕАЛИЗАЦИЯ[[#This Row],[ЖАМИ2]]</f>
        <v>0</v>
      </c>
      <c r="L2526" s="31"/>
    </row>
    <row r="2527" spans="1:12" x14ac:dyDescent="0.3">
      <c r="C2527" s="219"/>
      <c r="D2527" s="219"/>
      <c r="G2527" s="50">
        <f>РЕАЛИЗАЦИЯ[[#This Row],[СОНИ]]*РЕАЛИЗАЦИЯ[[#This Row],[НАРХИ]]</f>
        <v>0</v>
      </c>
      <c r="I2527" s="166"/>
      <c r="J2527" s="31">
        <f>РЕАЛИЗАЦИЯ[[#This Row],[СОНИ]]*РЕАЛИЗАЦИЯ[[#This Row],[ТАННАРХ]]</f>
        <v>0</v>
      </c>
      <c r="K2527" s="31">
        <f>РЕАЛИЗАЦИЯ[[#This Row],[ЖАМИ]]-РЕАЛИЗАЦИЯ[[#This Row],[ЖАМИ2]]</f>
        <v>0</v>
      </c>
      <c r="L2527" s="31"/>
    </row>
    <row r="2528" spans="1:12" x14ac:dyDescent="0.3">
      <c r="C2528" s="219"/>
      <c r="D2528" s="219"/>
      <c r="G2528" s="50">
        <f>РЕАЛИЗАЦИЯ[[#This Row],[СОНИ]]*РЕАЛИЗАЦИЯ[[#This Row],[НАРХИ]]</f>
        <v>0</v>
      </c>
      <c r="I2528" s="166"/>
      <c r="J2528" s="31">
        <f>РЕАЛИЗАЦИЯ[[#This Row],[СОНИ]]*РЕАЛИЗАЦИЯ[[#This Row],[ТАННАРХ]]</f>
        <v>0</v>
      </c>
      <c r="K2528" s="31">
        <f>РЕАЛИЗАЦИЯ[[#This Row],[ЖАМИ]]-РЕАЛИЗАЦИЯ[[#This Row],[ЖАМИ2]]</f>
        <v>0</v>
      </c>
      <c r="L2528" s="31"/>
    </row>
    <row r="2529" spans="3:12" x14ac:dyDescent="0.3">
      <c r="C2529" s="219"/>
      <c r="D2529" s="219"/>
      <c r="G2529" s="50">
        <f>РЕАЛИЗАЦИЯ[[#This Row],[СОНИ]]*РЕАЛИЗАЦИЯ[[#This Row],[НАРХИ]]</f>
        <v>0</v>
      </c>
      <c r="I2529" s="166"/>
      <c r="J2529" s="31">
        <f>РЕАЛИЗАЦИЯ[[#This Row],[СОНИ]]*РЕАЛИЗАЦИЯ[[#This Row],[ТАННАРХ]]</f>
        <v>0</v>
      </c>
      <c r="K2529" s="31">
        <f>РЕАЛИЗАЦИЯ[[#This Row],[ЖАМИ]]-РЕАЛИЗАЦИЯ[[#This Row],[ЖАМИ2]]</f>
        <v>0</v>
      </c>
      <c r="L2529" s="31"/>
    </row>
    <row r="2530" spans="3:12" x14ac:dyDescent="0.3">
      <c r="C2530" s="219"/>
      <c r="D2530" s="219"/>
      <c r="G2530" s="50">
        <f>РЕАЛИЗАЦИЯ[[#This Row],[СОНИ]]*РЕАЛИЗАЦИЯ[[#This Row],[НАРХИ]]</f>
        <v>0</v>
      </c>
      <c r="I2530" s="166"/>
      <c r="J2530" s="31">
        <f>РЕАЛИЗАЦИЯ[[#This Row],[СОНИ]]*РЕАЛИЗАЦИЯ[[#This Row],[ТАННАРХ]]</f>
        <v>0</v>
      </c>
      <c r="K2530" s="31">
        <f>РЕАЛИЗАЦИЯ[[#This Row],[ЖАМИ]]-РЕАЛИЗАЦИЯ[[#This Row],[ЖАМИ2]]</f>
        <v>0</v>
      </c>
      <c r="L2530" s="31"/>
    </row>
    <row r="2531" spans="3:12" x14ac:dyDescent="0.3">
      <c r="C2531" s="219"/>
      <c r="D2531" s="219"/>
      <c r="G2531" s="50">
        <f>РЕАЛИЗАЦИЯ[[#This Row],[СОНИ]]*РЕАЛИЗАЦИЯ[[#This Row],[НАРХИ]]</f>
        <v>0</v>
      </c>
      <c r="I2531" s="166"/>
      <c r="J2531" s="31">
        <f>РЕАЛИЗАЦИЯ[[#This Row],[СОНИ]]*РЕАЛИЗАЦИЯ[[#This Row],[ТАННАРХ]]</f>
        <v>0</v>
      </c>
      <c r="K2531" s="31">
        <f>РЕАЛИЗАЦИЯ[[#This Row],[ЖАМИ]]-РЕАЛИЗАЦИЯ[[#This Row],[ЖАМИ2]]</f>
        <v>0</v>
      </c>
      <c r="L2531" s="31"/>
    </row>
    <row r="2532" spans="3:12" x14ac:dyDescent="0.3">
      <c r="C2532" s="219"/>
      <c r="D2532" s="219"/>
      <c r="G2532" s="50">
        <f>РЕАЛИЗАЦИЯ[[#This Row],[СОНИ]]*РЕАЛИЗАЦИЯ[[#This Row],[НАРХИ]]</f>
        <v>0</v>
      </c>
      <c r="I2532" s="166"/>
      <c r="J2532" s="31">
        <f>РЕАЛИЗАЦИЯ[[#This Row],[СОНИ]]*РЕАЛИЗАЦИЯ[[#This Row],[ТАННАРХ]]</f>
        <v>0</v>
      </c>
      <c r="K2532" s="31">
        <f>РЕАЛИЗАЦИЯ[[#This Row],[ЖАМИ]]-РЕАЛИЗАЦИЯ[[#This Row],[ЖАМИ2]]</f>
        <v>0</v>
      </c>
      <c r="L2532" s="31"/>
    </row>
    <row r="2533" spans="3:12" x14ac:dyDescent="0.3">
      <c r="C2533" s="219"/>
      <c r="D2533" s="219"/>
      <c r="G2533" s="50">
        <f>РЕАЛИЗАЦИЯ[[#This Row],[СОНИ]]*РЕАЛИЗАЦИЯ[[#This Row],[НАРХИ]]</f>
        <v>0</v>
      </c>
      <c r="I2533" s="166"/>
      <c r="J2533" s="31">
        <f>РЕАЛИЗАЦИЯ[[#This Row],[СОНИ]]*РЕАЛИЗАЦИЯ[[#This Row],[ТАННАРХ]]</f>
        <v>0</v>
      </c>
      <c r="K2533" s="31">
        <f>РЕАЛИЗАЦИЯ[[#This Row],[ЖАМИ]]-РЕАЛИЗАЦИЯ[[#This Row],[ЖАМИ2]]</f>
        <v>0</v>
      </c>
      <c r="L2533" s="31"/>
    </row>
    <row r="2534" spans="3:12" x14ac:dyDescent="0.3">
      <c r="C2534" s="219"/>
      <c r="D2534" s="219"/>
      <c r="G2534" s="50">
        <f>РЕАЛИЗАЦИЯ[[#This Row],[СОНИ]]*РЕАЛИЗАЦИЯ[[#This Row],[НАРХИ]]</f>
        <v>0</v>
      </c>
      <c r="I2534" s="166"/>
      <c r="J2534" s="31">
        <f>РЕАЛИЗАЦИЯ[[#This Row],[СОНИ]]*РЕАЛИЗАЦИЯ[[#This Row],[ТАННАРХ]]</f>
        <v>0</v>
      </c>
      <c r="K2534" s="31">
        <f>РЕАЛИЗАЦИЯ[[#This Row],[ЖАМИ]]-РЕАЛИЗАЦИЯ[[#This Row],[ЖАМИ2]]</f>
        <v>0</v>
      </c>
      <c r="L2534" s="31"/>
    </row>
    <row r="2535" spans="3:12" x14ac:dyDescent="0.3">
      <c r="C2535" s="219"/>
      <c r="D2535" s="219"/>
      <c r="G2535" s="50">
        <f>РЕАЛИЗАЦИЯ[[#This Row],[СОНИ]]*РЕАЛИЗАЦИЯ[[#This Row],[НАРХИ]]</f>
        <v>0</v>
      </c>
      <c r="I2535" s="166"/>
      <c r="J2535" s="31">
        <f>РЕАЛИЗАЦИЯ[[#This Row],[СОНИ]]*РЕАЛИЗАЦИЯ[[#This Row],[ТАННАРХ]]</f>
        <v>0</v>
      </c>
      <c r="K2535" s="31">
        <f>РЕАЛИЗАЦИЯ[[#This Row],[ЖАМИ]]-РЕАЛИЗАЦИЯ[[#This Row],[ЖАМИ2]]</f>
        <v>0</v>
      </c>
      <c r="L2535" s="31"/>
    </row>
    <row r="2536" spans="3:12" x14ac:dyDescent="0.3">
      <c r="C2536" s="219"/>
      <c r="D2536" s="219"/>
      <c r="G2536" s="50">
        <f>РЕАЛИЗАЦИЯ[[#This Row],[СОНИ]]*РЕАЛИЗАЦИЯ[[#This Row],[НАРХИ]]</f>
        <v>0</v>
      </c>
      <c r="I2536" s="166"/>
      <c r="J2536" s="31">
        <f>РЕАЛИЗАЦИЯ[[#This Row],[СОНИ]]*РЕАЛИЗАЦИЯ[[#This Row],[ТАННАРХ]]</f>
        <v>0</v>
      </c>
      <c r="K2536" s="31">
        <f>РЕАЛИЗАЦИЯ[[#This Row],[ЖАМИ]]-РЕАЛИЗАЦИЯ[[#This Row],[ЖАМИ2]]</f>
        <v>0</v>
      </c>
      <c r="L2536" s="31"/>
    </row>
    <row r="2537" spans="3:12" x14ac:dyDescent="0.3">
      <c r="C2537" s="219"/>
      <c r="D2537" s="219"/>
      <c r="G2537" s="50">
        <f>РЕАЛИЗАЦИЯ[[#This Row],[СОНИ]]*РЕАЛИЗАЦИЯ[[#This Row],[НАРХИ]]</f>
        <v>0</v>
      </c>
      <c r="I2537" s="166"/>
      <c r="J2537" s="31">
        <f>РЕАЛИЗАЦИЯ[[#This Row],[СОНИ]]*РЕАЛИЗАЦИЯ[[#This Row],[ТАННАРХ]]</f>
        <v>0</v>
      </c>
      <c r="K2537" s="31">
        <f>РЕАЛИЗАЦИЯ[[#This Row],[ЖАМИ]]-РЕАЛИЗАЦИЯ[[#This Row],[ЖАМИ2]]</f>
        <v>0</v>
      </c>
      <c r="L2537" s="31"/>
    </row>
    <row r="2538" spans="3:12" x14ac:dyDescent="0.3">
      <c r="C2538" s="219"/>
      <c r="D2538" s="219"/>
      <c r="G2538" s="50">
        <f>РЕАЛИЗАЦИЯ[[#This Row],[СОНИ]]*РЕАЛИЗАЦИЯ[[#This Row],[НАРХИ]]</f>
        <v>0</v>
      </c>
      <c r="I2538" s="166"/>
      <c r="J2538" s="31">
        <f>РЕАЛИЗАЦИЯ[[#This Row],[СОНИ]]*РЕАЛИЗАЦИЯ[[#This Row],[ТАННАРХ]]</f>
        <v>0</v>
      </c>
      <c r="K2538" s="31">
        <f>РЕАЛИЗАЦИЯ[[#This Row],[ЖАМИ]]-РЕАЛИЗАЦИЯ[[#This Row],[ЖАМИ2]]</f>
        <v>0</v>
      </c>
      <c r="L2538" s="31"/>
    </row>
    <row r="2539" spans="3:12" x14ac:dyDescent="0.3">
      <c r="C2539" s="219"/>
      <c r="D2539" s="219"/>
      <c r="G2539" s="50">
        <f>РЕАЛИЗАЦИЯ[[#This Row],[СОНИ]]*РЕАЛИЗАЦИЯ[[#This Row],[НАРХИ]]</f>
        <v>0</v>
      </c>
      <c r="I2539" s="166"/>
      <c r="J2539" s="31">
        <f>РЕАЛИЗАЦИЯ[[#This Row],[СОНИ]]*РЕАЛИЗАЦИЯ[[#This Row],[ТАННАРХ]]</f>
        <v>0</v>
      </c>
      <c r="K2539" s="31">
        <f>РЕАЛИЗАЦИЯ[[#This Row],[ЖАМИ]]-РЕАЛИЗАЦИЯ[[#This Row],[ЖАМИ2]]</f>
        <v>0</v>
      </c>
      <c r="L2539" s="31"/>
    </row>
    <row r="2540" spans="3:12" x14ac:dyDescent="0.3">
      <c r="C2540" s="219"/>
      <c r="D2540" s="219"/>
      <c r="G2540" s="50">
        <f>РЕАЛИЗАЦИЯ[[#This Row],[СОНИ]]*РЕАЛИЗАЦИЯ[[#This Row],[НАРХИ]]</f>
        <v>0</v>
      </c>
      <c r="I2540" s="166"/>
      <c r="J2540" s="31">
        <f>РЕАЛИЗАЦИЯ[[#This Row],[СОНИ]]*РЕАЛИЗАЦИЯ[[#This Row],[ТАННАРХ]]</f>
        <v>0</v>
      </c>
      <c r="K2540" s="31">
        <f>РЕАЛИЗАЦИЯ[[#This Row],[ЖАМИ]]-РЕАЛИЗАЦИЯ[[#This Row],[ЖАМИ2]]</f>
        <v>0</v>
      </c>
      <c r="L2540" s="31"/>
    </row>
    <row r="2541" spans="3:12" x14ac:dyDescent="0.3">
      <c r="C2541" s="219"/>
      <c r="D2541" s="219"/>
      <c r="G2541" s="50">
        <f>РЕАЛИЗАЦИЯ[[#This Row],[СОНИ]]*РЕАЛИЗАЦИЯ[[#This Row],[НАРХИ]]</f>
        <v>0</v>
      </c>
      <c r="I2541" s="166"/>
      <c r="J2541" s="31">
        <f>РЕАЛИЗАЦИЯ[[#This Row],[СОНИ]]*РЕАЛИЗАЦИЯ[[#This Row],[ТАННАРХ]]</f>
        <v>0</v>
      </c>
      <c r="K2541" s="31">
        <f>РЕАЛИЗАЦИЯ[[#This Row],[ЖАМИ]]-РЕАЛИЗАЦИЯ[[#This Row],[ЖАМИ2]]</f>
        <v>0</v>
      </c>
      <c r="L2541" s="31"/>
    </row>
    <row r="2542" spans="3:12" x14ac:dyDescent="0.3">
      <c r="C2542" s="219"/>
      <c r="D2542" s="219"/>
      <c r="G2542" s="50">
        <f>РЕАЛИЗАЦИЯ[[#This Row],[СОНИ]]*РЕАЛИЗАЦИЯ[[#This Row],[НАРХИ]]</f>
        <v>0</v>
      </c>
      <c r="I2542" s="166"/>
      <c r="J2542" s="31">
        <f>РЕАЛИЗАЦИЯ[[#This Row],[СОНИ]]*РЕАЛИЗАЦИЯ[[#This Row],[ТАННАРХ]]</f>
        <v>0</v>
      </c>
      <c r="K2542" s="31">
        <f>РЕАЛИЗАЦИЯ[[#This Row],[ЖАМИ]]-РЕАЛИЗАЦИЯ[[#This Row],[ЖАМИ2]]</f>
        <v>0</v>
      </c>
      <c r="L2542" s="31"/>
    </row>
    <row r="2543" spans="3:12" x14ac:dyDescent="0.3">
      <c r="C2543" s="219"/>
      <c r="D2543" s="219"/>
      <c r="G2543" s="50">
        <f>РЕАЛИЗАЦИЯ[[#This Row],[СОНИ]]*РЕАЛИЗАЦИЯ[[#This Row],[НАРХИ]]</f>
        <v>0</v>
      </c>
      <c r="I2543" s="166"/>
      <c r="J2543" s="31">
        <f>РЕАЛИЗАЦИЯ[[#This Row],[СОНИ]]*РЕАЛИЗАЦИЯ[[#This Row],[ТАННАРХ]]</f>
        <v>0</v>
      </c>
      <c r="K2543" s="31">
        <f>РЕАЛИЗАЦИЯ[[#This Row],[ЖАМИ]]-РЕАЛИЗАЦИЯ[[#This Row],[ЖАМИ2]]</f>
        <v>0</v>
      </c>
      <c r="L2543" s="31"/>
    </row>
    <row r="2544" spans="3:12" x14ac:dyDescent="0.3">
      <c r="C2544" s="219"/>
      <c r="D2544" s="219"/>
      <c r="G2544" s="50">
        <f>РЕАЛИЗАЦИЯ[[#This Row],[СОНИ]]*РЕАЛИЗАЦИЯ[[#This Row],[НАРХИ]]</f>
        <v>0</v>
      </c>
      <c r="I2544" s="166"/>
      <c r="J2544" s="31">
        <f>РЕАЛИЗАЦИЯ[[#This Row],[СОНИ]]*РЕАЛИЗАЦИЯ[[#This Row],[ТАННАРХ]]</f>
        <v>0</v>
      </c>
      <c r="K2544" s="31">
        <f>РЕАЛИЗАЦИЯ[[#This Row],[ЖАМИ]]-РЕАЛИЗАЦИЯ[[#This Row],[ЖАМИ2]]</f>
        <v>0</v>
      </c>
      <c r="L2544" s="31"/>
    </row>
    <row r="2545" spans="3:12" x14ac:dyDescent="0.3">
      <c r="C2545" s="219"/>
      <c r="D2545" s="219"/>
      <c r="G2545" s="50">
        <f>РЕАЛИЗАЦИЯ[[#This Row],[СОНИ]]*РЕАЛИЗАЦИЯ[[#This Row],[НАРХИ]]</f>
        <v>0</v>
      </c>
      <c r="I2545" s="166"/>
      <c r="J2545" s="31">
        <f>РЕАЛИЗАЦИЯ[[#This Row],[СОНИ]]*РЕАЛИЗАЦИЯ[[#This Row],[ТАННАРХ]]</f>
        <v>0</v>
      </c>
      <c r="K2545" s="31">
        <f>РЕАЛИЗАЦИЯ[[#This Row],[ЖАМИ]]-РЕАЛИЗАЦИЯ[[#This Row],[ЖАМИ2]]</f>
        <v>0</v>
      </c>
      <c r="L2545" s="31"/>
    </row>
    <row r="2546" spans="3:12" x14ac:dyDescent="0.3">
      <c r="C2546" s="219"/>
      <c r="D2546" s="219"/>
      <c r="G2546" s="50">
        <f>РЕАЛИЗАЦИЯ[[#This Row],[СОНИ]]*РЕАЛИЗАЦИЯ[[#This Row],[НАРХИ]]</f>
        <v>0</v>
      </c>
      <c r="I2546" s="166"/>
      <c r="J2546" s="31">
        <f>РЕАЛИЗАЦИЯ[[#This Row],[СОНИ]]*РЕАЛИЗАЦИЯ[[#This Row],[ТАННАРХ]]</f>
        <v>0</v>
      </c>
      <c r="K2546" s="31">
        <f>РЕАЛИЗАЦИЯ[[#This Row],[ЖАМИ]]-РЕАЛИЗАЦИЯ[[#This Row],[ЖАМИ2]]</f>
        <v>0</v>
      </c>
      <c r="L2546" s="31"/>
    </row>
    <row r="2547" spans="3:12" x14ac:dyDescent="0.3">
      <c r="C2547" s="219"/>
      <c r="D2547" s="219"/>
      <c r="G2547" s="50">
        <f>РЕАЛИЗАЦИЯ[[#This Row],[СОНИ]]*РЕАЛИЗАЦИЯ[[#This Row],[НАРХИ]]</f>
        <v>0</v>
      </c>
      <c r="I2547" s="166"/>
      <c r="J2547" s="31">
        <f>РЕАЛИЗАЦИЯ[[#This Row],[СОНИ]]*РЕАЛИЗАЦИЯ[[#This Row],[ТАННАРХ]]</f>
        <v>0</v>
      </c>
      <c r="K2547" s="31">
        <f>РЕАЛИЗАЦИЯ[[#This Row],[ЖАМИ]]-РЕАЛИЗАЦИЯ[[#This Row],[ЖАМИ2]]</f>
        <v>0</v>
      </c>
      <c r="L2547" s="31"/>
    </row>
    <row r="2548" spans="3:12" x14ac:dyDescent="0.3">
      <c r="C2548" s="219"/>
      <c r="D2548" s="219"/>
      <c r="G2548" s="50">
        <f>РЕАЛИЗАЦИЯ[[#This Row],[СОНИ]]*РЕАЛИЗАЦИЯ[[#This Row],[НАРХИ]]</f>
        <v>0</v>
      </c>
      <c r="I2548" s="166"/>
      <c r="J2548" s="31">
        <f>РЕАЛИЗАЦИЯ[[#This Row],[СОНИ]]*РЕАЛИЗАЦИЯ[[#This Row],[ТАННАРХ]]</f>
        <v>0</v>
      </c>
      <c r="K2548" s="31">
        <f>РЕАЛИЗАЦИЯ[[#This Row],[ЖАМИ]]-РЕАЛИЗАЦИЯ[[#This Row],[ЖАМИ2]]</f>
        <v>0</v>
      </c>
      <c r="L2548" s="31"/>
    </row>
    <row r="2549" spans="3:12" x14ac:dyDescent="0.3">
      <c r="C2549" s="219"/>
      <c r="D2549" s="219"/>
      <c r="G2549" s="50">
        <f>РЕАЛИЗАЦИЯ[[#This Row],[СОНИ]]*РЕАЛИЗАЦИЯ[[#This Row],[НАРХИ]]</f>
        <v>0</v>
      </c>
      <c r="I2549" s="166"/>
      <c r="J2549" s="31">
        <f>РЕАЛИЗАЦИЯ[[#This Row],[СОНИ]]*РЕАЛИЗАЦИЯ[[#This Row],[ТАННАРХ]]</f>
        <v>0</v>
      </c>
      <c r="K2549" s="31">
        <f>РЕАЛИЗАЦИЯ[[#This Row],[ЖАМИ]]-РЕАЛИЗАЦИЯ[[#This Row],[ЖАМИ2]]</f>
        <v>0</v>
      </c>
      <c r="L2549" s="31"/>
    </row>
    <row r="2550" spans="3:12" x14ac:dyDescent="0.3">
      <c r="C2550" s="219"/>
      <c r="D2550" s="219"/>
      <c r="G2550" s="50">
        <f>РЕАЛИЗАЦИЯ[[#This Row],[СОНИ]]*РЕАЛИЗАЦИЯ[[#This Row],[НАРХИ]]</f>
        <v>0</v>
      </c>
      <c r="I2550" s="166"/>
      <c r="J2550" s="31">
        <f>РЕАЛИЗАЦИЯ[[#This Row],[СОНИ]]*РЕАЛИЗАЦИЯ[[#This Row],[ТАННАРХ]]</f>
        <v>0</v>
      </c>
      <c r="K2550" s="31">
        <f>РЕАЛИЗАЦИЯ[[#This Row],[ЖАМИ]]-РЕАЛИЗАЦИЯ[[#This Row],[ЖАМИ2]]</f>
        <v>0</v>
      </c>
      <c r="L2550" s="31"/>
    </row>
    <row r="2551" spans="3:12" x14ac:dyDescent="0.3">
      <c r="C2551" s="219"/>
      <c r="D2551" s="219"/>
      <c r="G2551" s="50">
        <f>РЕАЛИЗАЦИЯ[[#This Row],[СОНИ]]*РЕАЛИЗАЦИЯ[[#This Row],[НАРХИ]]</f>
        <v>0</v>
      </c>
      <c r="I2551" s="166"/>
      <c r="J2551" s="31">
        <f>РЕАЛИЗАЦИЯ[[#This Row],[СОНИ]]*РЕАЛИЗАЦИЯ[[#This Row],[ТАННАРХ]]</f>
        <v>0</v>
      </c>
      <c r="K2551" s="31">
        <f>РЕАЛИЗАЦИЯ[[#This Row],[ЖАМИ]]-РЕАЛИЗАЦИЯ[[#This Row],[ЖАМИ2]]</f>
        <v>0</v>
      </c>
      <c r="L2551" s="31"/>
    </row>
    <row r="2552" spans="3:12" x14ac:dyDescent="0.3">
      <c r="C2552" s="219"/>
      <c r="D2552" s="219"/>
      <c r="G2552" s="50">
        <f>РЕАЛИЗАЦИЯ[[#This Row],[СОНИ]]*РЕАЛИЗАЦИЯ[[#This Row],[НАРХИ]]</f>
        <v>0</v>
      </c>
      <c r="I2552" s="166"/>
      <c r="J2552" s="31">
        <f>РЕАЛИЗАЦИЯ[[#This Row],[СОНИ]]*РЕАЛИЗАЦИЯ[[#This Row],[ТАННАРХ]]</f>
        <v>0</v>
      </c>
      <c r="K2552" s="31">
        <f>РЕАЛИЗАЦИЯ[[#This Row],[ЖАМИ]]-РЕАЛИЗАЦИЯ[[#This Row],[ЖАМИ2]]</f>
        <v>0</v>
      </c>
      <c r="L2552" s="31"/>
    </row>
    <row r="2553" spans="3:12" x14ac:dyDescent="0.3">
      <c r="C2553" s="219"/>
      <c r="D2553" s="219"/>
      <c r="G2553" s="50">
        <f>РЕАЛИЗАЦИЯ[[#This Row],[СОНИ]]*РЕАЛИЗАЦИЯ[[#This Row],[НАРХИ]]</f>
        <v>0</v>
      </c>
      <c r="I2553" s="166"/>
      <c r="J2553" s="31">
        <f>РЕАЛИЗАЦИЯ[[#This Row],[СОНИ]]*РЕАЛИЗАЦИЯ[[#This Row],[ТАННАРХ]]</f>
        <v>0</v>
      </c>
      <c r="K2553" s="31">
        <f>РЕАЛИЗАЦИЯ[[#This Row],[ЖАМИ]]-РЕАЛИЗАЦИЯ[[#This Row],[ЖАМИ2]]</f>
        <v>0</v>
      </c>
      <c r="L2553" s="31"/>
    </row>
    <row r="2554" spans="3:12" x14ac:dyDescent="0.3">
      <c r="C2554" s="219"/>
      <c r="D2554" s="219"/>
      <c r="G2554" s="50">
        <f>РЕАЛИЗАЦИЯ[[#This Row],[СОНИ]]*РЕАЛИЗАЦИЯ[[#This Row],[НАРХИ]]</f>
        <v>0</v>
      </c>
      <c r="I2554" s="166"/>
      <c r="J2554" s="31">
        <f>РЕАЛИЗАЦИЯ[[#This Row],[СОНИ]]*РЕАЛИЗАЦИЯ[[#This Row],[ТАННАРХ]]</f>
        <v>0</v>
      </c>
      <c r="K2554" s="31">
        <f>РЕАЛИЗАЦИЯ[[#This Row],[ЖАМИ]]-РЕАЛИЗАЦИЯ[[#This Row],[ЖАМИ2]]</f>
        <v>0</v>
      </c>
      <c r="L2554" s="31"/>
    </row>
    <row r="2555" spans="3:12" x14ac:dyDescent="0.3">
      <c r="C2555" s="219"/>
      <c r="D2555" s="219"/>
      <c r="G2555" s="50">
        <f>РЕАЛИЗАЦИЯ[[#This Row],[СОНИ]]*РЕАЛИЗАЦИЯ[[#This Row],[НАРХИ]]</f>
        <v>0</v>
      </c>
      <c r="I2555" s="166"/>
      <c r="J2555" s="31">
        <f>РЕАЛИЗАЦИЯ[[#This Row],[СОНИ]]*РЕАЛИЗАЦИЯ[[#This Row],[ТАННАРХ]]</f>
        <v>0</v>
      </c>
      <c r="K2555" s="31">
        <f>РЕАЛИЗАЦИЯ[[#This Row],[ЖАМИ]]-РЕАЛИЗАЦИЯ[[#This Row],[ЖАМИ2]]</f>
        <v>0</v>
      </c>
      <c r="L2555" s="31"/>
    </row>
    <row r="2556" spans="3:12" x14ac:dyDescent="0.3">
      <c r="C2556" s="219"/>
      <c r="D2556" s="219"/>
      <c r="G2556" s="50">
        <f>РЕАЛИЗАЦИЯ[[#This Row],[СОНИ]]*РЕАЛИЗАЦИЯ[[#This Row],[НАРХИ]]</f>
        <v>0</v>
      </c>
      <c r="I2556" s="166"/>
      <c r="J2556" s="31">
        <f>РЕАЛИЗАЦИЯ[[#This Row],[СОНИ]]*РЕАЛИЗАЦИЯ[[#This Row],[ТАННАРХ]]</f>
        <v>0</v>
      </c>
      <c r="K2556" s="31">
        <f>РЕАЛИЗАЦИЯ[[#This Row],[ЖАМИ]]-РЕАЛИЗАЦИЯ[[#This Row],[ЖАМИ2]]</f>
        <v>0</v>
      </c>
      <c r="L2556" s="31"/>
    </row>
    <row r="2557" spans="3:12" x14ac:dyDescent="0.3">
      <c r="C2557" s="219"/>
      <c r="D2557" s="219"/>
      <c r="G2557" s="50">
        <f>РЕАЛИЗАЦИЯ[[#This Row],[СОНИ]]*РЕАЛИЗАЦИЯ[[#This Row],[НАРХИ]]</f>
        <v>0</v>
      </c>
      <c r="I2557" s="166"/>
      <c r="J2557" s="31">
        <f>РЕАЛИЗАЦИЯ[[#This Row],[СОНИ]]*РЕАЛИЗАЦИЯ[[#This Row],[ТАННАРХ]]</f>
        <v>0</v>
      </c>
      <c r="K2557" s="31">
        <f>РЕАЛИЗАЦИЯ[[#This Row],[ЖАМИ]]-РЕАЛИЗАЦИЯ[[#This Row],[ЖАМИ2]]</f>
        <v>0</v>
      </c>
      <c r="L2557" s="31"/>
    </row>
    <row r="2558" spans="3:12" x14ac:dyDescent="0.3">
      <c r="C2558" s="219"/>
      <c r="D2558" s="219"/>
      <c r="G2558" s="50">
        <f>РЕАЛИЗАЦИЯ[[#This Row],[СОНИ]]*РЕАЛИЗАЦИЯ[[#This Row],[НАРХИ]]</f>
        <v>0</v>
      </c>
      <c r="I2558" s="166"/>
      <c r="J2558" s="31">
        <f>РЕАЛИЗАЦИЯ[[#This Row],[СОНИ]]*РЕАЛИЗАЦИЯ[[#This Row],[ТАННАРХ]]</f>
        <v>0</v>
      </c>
      <c r="K2558" s="31">
        <f>РЕАЛИЗАЦИЯ[[#This Row],[ЖАМИ]]-РЕАЛИЗАЦИЯ[[#This Row],[ЖАМИ2]]</f>
        <v>0</v>
      </c>
      <c r="L2558" s="31"/>
    </row>
    <row r="2559" spans="3:12" x14ac:dyDescent="0.3">
      <c r="C2559" s="219"/>
      <c r="D2559" s="219"/>
      <c r="G2559" s="50">
        <f>РЕАЛИЗАЦИЯ[[#This Row],[СОНИ]]*РЕАЛИЗАЦИЯ[[#This Row],[НАРХИ]]</f>
        <v>0</v>
      </c>
      <c r="I2559" s="166"/>
      <c r="J2559" s="31">
        <f>РЕАЛИЗАЦИЯ[[#This Row],[СОНИ]]*РЕАЛИЗАЦИЯ[[#This Row],[ТАННАРХ]]</f>
        <v>0</v>
      </c>
      <c r="K2559" s="31">
        <f>РЕАЛИЗАЦИЯ[[#This Row],[ЖАМИ]]-РЕАЛИЗАЦИЯ[[#This Row],[ЖАМИ2]]</f>
        <v>0</v>
      </c>
      <c r="L2559" s="31"/>
    </row>
    <row r="2560" spans="3:12" x14ac:dyDescent="0.3">
      <c r="C2560" s="219"/>
      <c r="D2560" s="219"/>
      <c r="G2560" s="50">
        <f>РЕАЛИЗАЦИЯ[[#This Row],[СОНИ]]*РЕАЛИЗАЦИЯ[[#This Row],[НАРХИ]]</f>
        <v>0</v>
      </c>
      <c r="I2560" s="166"/>
      <c r="J2560" s="31">
        <f>РЕАЛИЗАЦИЯ[[#This Row],[СОНИ]]*РЕАЛИЗАЦИЯ[[#This Row],[ТАННАРХ]]</f>
        <v>0</v>
      </c>
      <c r="K2560" s="31">
        <f>РЕАЛИЗАЦИЯ[[#This Row],[ЖАМИ]]-РЕАЛИЗАЦИЯ[[#This Row],[ЖАМИ2]]</f>
        <v>0</v>
      </c>
      <c r="L2560" s="31"/>
    </row>
    <row r="2561" spans="3:12" x14ac:dyDescent="0.3">
      <c r="C2561" s="219"/>
      <c r="D2561" s="219"/>
      <c r="G2561" s="50">
        <f>РЕАЛИЗАЦИЯ[[#This Row],[СОНИ]]*РЕАЛИЗАЦИЯ[[#This Row],[НАРХИ]]</f>
        <v>0</v>
      </c>
      <c r="I2561" s="166"/>
      <c r="J2561" s="31">
        <f>РЕАЛИЗАЦИЯ[[#This Row],[СОНИ]]*РЕАЛИЗАЦИЯ[[#This Row],[ТАННАРХ]]</f>
        <v>0</v>
      </c>
      <c r="K2561" s="31">
        <f>РЕАЛИЗАЦИЯ[[#This Row],[ЖАМИ]]-РЕАЛИЗАЦИЯ[[#This Row],[ЖАМИ2]]</f>
        <v>0</v>
      </c>
      <c r="L2561" s="31"/>
    </row>
    <row r="2562" spans="3:12" x14ac:dyDescent="0.3">
      <c r="C2562" s="219"/>
      <c r="D2562" s="219"/>
      <c r="G2562" s="50">
        <f>РЕАЛИЗАЦИЯ[[#This Row],[СОНИ]]*РЕАЛИЗАЦИЯ[[#This Row],[НАРХИ]]</f>
        <v>0</v>
      </c>
      <c r="I2562" s="166"/>
      <c r="J2562" s="31">
        <f>РЕАЛИЗАЦИЯ[[#This Row],[СОНИ]]*РЕАЛИЗАЦИЯ[[#This Row],[ТАННАРХ]]</f>
        <v>0</v>
      </c>
      <c r="K2562" s="31">
        <f>РЕАЛИЗАЦИЯ[[#This Row],[ЖАМИ]]-РЕАЛИЗАЦИЯ[[#This Row],[ЖАМИ2]]</f>
        <v>0</v>
      </c>
      <c r="L2562" s="31"/>
    </row>
    <row r="2563" spans="3:12" x14ac:dyDescent="0.3">
      <c r="C2563" s="219"/>
      <c r="D2563" s="219"/>
      <c r="G2563" s="50">
        <f>РЕАЛИЗАЦИЯ[[#This Row],[СОНИ]]*РЕАЛИЗАЦИЯ[[#This Row],[НАРХИ]]</f>
        <v>0</v>
      </c>
      <c r="I2563" s="166"/>
      <c r="J2563" s="31">
        <f>РЕАЛИЗАЦИЯ[[#This Row],[СОНИ]]*РЕАЛИЗАЦИЯ[[#This Row],[ТАННАРХ]]</f>
        <v>0</v>
      </c>
      <c r="K2563" s="31">
        <f>РЕАЛИЗАЦИЯ[[#This Row],[ЖАМИ]]-РЕАЛИЗАЦИЯ[[#This Row],[ЖАМИ2]]</f>
        <v>0</v>
      </c>
      <c r="L2563" s="31"/>
    </row>
    <row r="2564" spans="3:12" x14ac:dyDescent="0.3">
      <c r="C2564" s="219"/>
      <c r="D2564" s="219"/>
      <c r="G2564" s="50">
        <f>РЕАЛИЗАЦИЯ[[#This Row],[СОНИ]]*РЕАЛИЗАЦИЯ[[#This Row],[НАРХИ]]</f>
        <v>0</v>
      </c>
      <c r="I2564" s="166"/>
      <c r="J2564" s="31">
        <f>РЕАЛИЗАЦИЯ[[#This Row],[СОНИ]]*РЕАЛИЗАЦИЯ[[#This Row],[ТАННАРХ]]</f>
        <v>0</v>
      </c>
      <c r="K2564" s="31">
        <f>РЕАЛИЗАЦИЯ[[#This Row],[ЖАМИ]]-РЕАЛИЗАЦИЯ[[#This Row],[ЖАМИ2]]</f>
        <v>0</v>
      </c>
      <c r="L2564" s="31"/>
    </row>
    <row r="2565" spans="3:12" x14ac:dyDescent="0.3">
      <c r="C2565" s="219"/>
      <c r="D2565" s="219"/>
      <c r="G2565" s="50">
        <f>РЕАЛИЗАЦИЯ[[#This Row],[СОНИ]]*РЕАЛИЗАЦИЯ[[#This Row],[НАРХИ]]</f>
        <v>0</v>
      </c>
      <c r="I2565" s="166"/>
      <c r="J2565" s="31">
        <f>РЕАЛИЗАЦИЯ[[#This Row],[СОНИ]]*РЕАЛИЗАЦИЯ[[#This Row],[ТАННАРХ]]</f>
        <v>0</v>
      </c>
      <c r="K2565" s="31">
        <f>РЕАЛИЗАЦИЯ[[#This Row],[ЖАМИ]]-РЕАЛИЗАЦИЯ[[#This Row],[ЖАМИ2]]</f>
        <v>0</v>
      </c>
      <c r="L2565" s="31"/>
    </row>
    <row r="2566" spans="3:12" x14ac:dyDescent="0.3">
      <c r="C2566" s="219"/>
      <c r="D2566" s="219"/>
      <c r="G2566" s="50">
        <f>РЕАЛИЗАЦИЯ[[#This Row],[СОНИ]]*РЕАЛИЗАЦИЯ[[#This Row],[НАРХИ]]</f>
        <v>0</v>
      </c>
      <c r="I2566" s="166"/>
      <c r="J2566" s="31">
        <f>РЕАЛИЗАЦИЯ[[#This Row],[СОНИ]]*РЕАЛИЗАЦИЯ[[#This Row],[ТАННАРХ]]</f>
        <v>0</v>
      </c>
      <c r="K2566" s="31">
        <f>РЕАЛИЗАЦИЯ[[#This Row],[ЖАМИ]]-РЕАЛИЗАЦИЯ[[#This Row],[ЖАМИ2]]</f>
        <v>0</v>
      </c>
      <c r="L2566" s="31"/>
    </row>
    <row r="2567" spans="3:12" x14ac:dyDescent="0.3">
      <c r="C2567" s="219"/>
      <c r="D2567" s="219"/>
      <c r="G2567" s="50">
        <f>РЕАЛИЗАЦИЯ[[#This Row],[СОНИ]]*РЕАЛИЗАЦИЯ[[#This Row],[НАРХИ]]</f>
        <v>0</v>
      </c>
      <c r="I2567" s="166"/>
      <c r="J2567" s="31">
        <f>РЕАЛИЗАЦИЯ[[#This Row],[СОНИ]]*РЕАЛИЗАЦИЯ[[#This Row],[ТАННАРХ]]</f>
        <v>0</v>
      </c>
      <c r="K2567" s="31">
        <f>РЕАЛИЗАЦИЯ[[#This Row],[ЖАМИ]]-РЕАЛИЗАЦИЯ[[#This Row],[ЖАМИ2]]</f>
        <v>0</v>
      </c>
      <c r="L2567" s="31"/>
    </row>
    <row r="2568" spans="3:12" x14ac:dyDescent="0.3">
      <c r="C2568" s="219"/>
      <c r="D2568" s="219"/>
      <c r="G2568" s="50">
        <f>РЕАЛИЗАЦИЯ[[#This Row],[СОНИ]]*РЕАЛИЗАЦИЯ[[#This Row],[НАРХИ]]</f>
        <v>0</v>
      </c>
      <c r="I2568" s="166"/>
      <c r="J2568" s="31">
        <f>РЕАЛИЗАЦИЯ[[#This Row],[СОНИ]]*РЕАЛИЗАЦИЯ[[#This Row],[ТАННАРХ]]</f>
        <v>0</v>
      </c>
      <c r="K2568" s="31">
        <f>РЕАЛИЗАЦИЯ[[#This Row],[ЖАМИ]]-РЕАЛИЗАЦИЯ[[#This Row],[ЖАМИ2]]</f>
        <v>0</v>
      </c>
      <c r="L2568" s="31"/>
    </row>
    <row r="2569" spans="3:12" x14ac:dyDescent="0.3">
      <c r="C2569" s="219"/>
      <c r="D2569" s="219"/>
      <c r="G2569" s="50">
        <f>РЕАЛИЗАЦИЯ[[#This Row],[СОНИ]]*РЕАЛИЗАЦИЯ[[#This Row],[НАРХИ]]</f>
        <v>0</v>
      </c>
      <c r="I2569" s="166"/>
      <c r="J2569" s="31">
        <f>РЕАЛИЗАЦИЯ[[#This Row],[СОНИ]]*РЕАЛИЗАЦИЯ[[#This Row],[ТАННАРХ]]</f>
        <v>0</v>
      </c>
      <c r="K2569" s="31">
        <f>РЕАЛИЗАЦИЯ[[#This Row],[ЖАМИ]]-РЕАЛИЗАЦИЯ[[#This Row],[ЖАМИ2]]</f>
        <v>0</v>
      </c>
      <c r="L2569" s="31"/>
    </row>
    <row r="2570" spans="3:12" x14ac:dyDescent="0.3">
      <c r="C2570" s="219"/>
      <c r="D2570" s="219"/>
      <c r="G2570" s="50">
        <f>РЕАЛИЗАЦИЯ[[#This Row],[СОНИ]]*РЕАЛИЗАЦИЯ[[#This Row],[НАРХИ]]</f>
        <v>0</v>
      </c>
      <c r="I2570" s="166"/>
      <c r="J2570" s="31">
        <f>РЕАЛИЗАЦИЯ[[#This Row],[СОНИ]]*РЕАЛИЗАЦИЯ[[#This Row],[ТАННАРХ]]</f>
        <v>0</v>
      </c>
      <c r="K2570" s="31">
        <f>РЕАЛИЗАЦИЯ[[#This Row],[ЖАМИ]]-РЕАЛИЗАЦИЯ[[#This Row],[ЖАМИ2]]</f>
        <v>0</v>
      </c>
      <c r="L2570" s="31"/>
    </row>
    <row r="2571" spans="3:12" x14ac:dyDescent="0.3">
      <c r="C2571" s="219"/>
      <c r="D2571" s="219"/>
      <c r="G2571" s="50">
        <f>РЕАЛИЗАЦИЯ[[#This Row],[СОНИ]]*РЕАЛИЗАЦИЯ[[#This Row],[НАРХИ]]</f>
        <v>0</v>
      </c>
      <c r="I2571" s="166"/>
      <c r="J2571" s="31">
        <f>РЕАЛИЗАЦИЯ[[#This Row],[СОНИ]]*РЕАЛИЗАЦИЯ[[#This Row],[ТАННАРХ]]</f>
        <v>0</v>
      </c>
      <c r="K2571" s="31">
        <f>РЕАЛИЗАЦИЯ[[#This Row],[ЖАМИ]]-РЕАЛИЗАЦИЯ[[#This Row],[ЖАМИ2]]</f>
        <v>0</v>
      </c>
      <c r="L2571" s="31"/>
    </row>
    <row r="2572" spans="3:12" x14ac:dyDescent="0.3">
      <c r="C2572" s="219"/>
      <c r="D2572" s="219"/>
      <c r="G2572" s="50">
        <f>РЕАЛИЗАЦИЯ[[#This Row],[СОНИ]]*РЕАЛИЗАЦИЯ[[#This Row],[НАРХИ]]</f>
        <v>0</v>
      </c>
      <c r="I2572" s="166"/>
      <c r="J2572" s="31">
        <f>РЕАЛИЗАЦИЯ[[#This Row],[СОНИ]]*РЕАЛИЗАЦИЯ[[#This Row],[ТАННАРХ]]</f>
        <v>0</v>
      </c>
      <c r="K2572" s="31">
        <f>РЕАЛИЗАЦИЯ[[#This Row],[ЖАМИ]]-РЕАЛИЗАЦИЯ[[#This Row],[ЖАМИ2]]</f>
        <v>0</v>
      </c>
      <c r="L2572" s="31"/>
    </row>
    <row r="2573" spans="3:12" x14ac:dyDescent="0.3">
      <c r="C2573" s="219"/>
      <c r="D2573" s="219"/>
      <c r="G2573" s="50">
        <f>РЕАЛИЗАЦИЯ[[#This Row],[СОНИ]]*РЕАЛИЗАЦИЯ[[#This Row],[НАРХИ]]</f>
        <v>0</v>
      </c>
      <c r="I2573" s="166"/>
      <c r="J2573" s="31">
        <f>РЕАЛИЗАЦИЯ[[#This Row],[СОНИ]]*РЕАЛИЗАЦИЯ[[#This Row],[ТАННАРХ]]</f>
        <v>0</v>
      </c>
      <c r="K2573" s="31">
        <f>РЕАЛИЗАЦИЯ[[#This Row],[ЖАМИ]]-РЕАЛИЗАЦИЯ[[#This Row],[ЖАМИ2]]</f>
        <v>0</v>
      </c>
      <c r="L2573" s="31"/>
    </row>
    <row r="2574" spans="3:12" x14ac:dyDescent="0.3">
      <c r="C2574" s="219"/>
      <c r="D2574" s="219"/>
      <c r="G2574" s="50">
        <f>РЕАЛИЗАЦИЯ[[#This Row],[СОНИ]]*РЕАЛИЗАЦИЯ[[#This Row],[НАРХИ]]</f>
        <v>0</v>
      </c>
      <c r="I2574" s="166"/>
      <c r="J2574" s="31">
        <f>РЕАЛИЗАЦИЯ[[#This Row],[СОНИ]]*РЕАЛИЗАЦИЯ[[#This Row],[ТАННАРХ]]</f>
        <v>0</v>
      </c>
      <c r="K2574" s="31">
        <f>РЕАЛИЗАЦИЯ[[#This Row],[ЖАМИ]]-РЕАЛИЗАЦИЯ[[#This Row],[ЖАМИ2]]</f>
        <v>0</v>
      </c>
      <c r="L2574" s="31"/>
    </row>
    <row r="2575" spans="3:12" x14ac:dyDescent="0.3">
      <c r="C2575" s="219"/>
      <c r="D2575" s="219"/>
      <c r="G2575" s="50">
        <f>РЕАЛИЗАЦИЯ[[#This Row],[СОНИ]]*РЕАЛИЗАЦИЯ[[#This Row],[НАРХИ]]</f>
        <v>0</v>
      </c>
      <c r="I2575" s="166"/>
      <c r="J2575" s="31">
        <f>РЕАЛИЗАЦИЯ[[#This Row],[СОНИ]]*РЕАЛИЗАЦИЯ[[#This Row],[ТАННАРХ]]</f>
        <v>0</v>
      </c>
      <c r="K2575" s="31">
        <f>РЕАЛИЗАЦИЯ[[#This Row],[ЖАМИ]]-РЕАЛИЗАЦИЯ[[#This Row],[ЖАМИ2]]</f>
        <v>0</v>
      </c>
      <c r="L2575" s="31"/>
    </row>
    <row r="2576" spans="3:12" x14ac:dyDescent="0.3">
      <c r="C2576" s="219"/>
      <c r="D2576" s="219"/>
      <c r="G2576" s="50">
        <f>РЕАЛИЗАЦИЯ[[#This Row],[СОНИ]]*РЕАЛИЗАЦИЯ[[#This Row],[НАРХИ]]</f>
        <v>0</v>
      </c>
      <c r="I2576" s="166"/>
      <c r="J2576" s="31">
        <f>РЕАЛИЗАЦИЯ[[#This Row],[СОНИ]]*РЕАЛИЗАЦИЯ[[#This Row],[ТАННАРХ]]</f>
        <v>0</v>
      </c>
      <c r="K2576" s="31">
        <f>РЕАЛИЗАЦИЯ[[#This Row],[ЖАМИ]]-РЕАЛИЗАЦИЯ[[#This Row],[ЖАМИ2]]</f>
        <v>0</v>
      </c>
      <c r="L2576" s="31"/>
    </row>
    <row r="2577" spans="3:12" x14ac:dyDescent="0.3">
      <c r="C2577" s="219"/>
      <c r="D2577" s="219"/>
      <c r="G2577" s="50">
        <f>РЕАЛИЗАЦИЯ[[#This Row],[СОНИ]]*РЕАЛИЗАЦИЯ[[#This Row],[НАРХИ]]</f>
        <v>0</v>
      </c>
      <c r="I2577" s="166"/>
      <c r="J2577" s="31">
        <f>РЕАЛИЗАЦИЯ[[#This Row],[СОНИ]]*РЕАЛИЗАЦИЯ[[#This Row],[ТАННАРХ]]</f>
        <v>0</v>
      </c>
      <c r="K2577" s="31">
        <f>РЕАЛИЗАЦИЯ[[#This Row],[ЖАМИ]]-РЕАЛИЗАЦИЯ[[#This Row],[ЖАМИ2]]</f>
        <v>0</v>
      </c>
      <c r="L2577" s="31"/>
    </row>
    <row r="2578" spans="3:12" x14ac:dyDescent="0.3">
      <c r="C2578" s="219"/>
      <c r="D2578" s="219"/>
      <c r="G2578" s="50">
        <f>РЕАЛИЗАЦИЯ[[#This Row],[СОНИ]]*РЕАЛИЗАЦИЯ[[#This Row],[НАРХИ]]</f>
        <v>0</v>
      </c>
      <c r="I2578" s="166"/>
      <c r="J2578" s="31">
        <f>РЕАЛИЗАЦИЯ[[#This Row],[СОНИ]]*РЕАЛИЗАЦИЯ[[#This Row],[ТАННАРХ]]</f>
        <v>0</v>
      </c>
      <c r="K2578" s="31">
        <f>РЕАЛИЗАЦИЯ[[#This Row],[ЖАМИ]]-РЕАЛИЗАЦИЯ[[#This Row],[ЖАМИ2]]</f>
        <v>0</v>
      </c>
      <c r="L2578" s="31"/>
    </row>
    <row r="2579" spans="3:12" x14ac:dyDescent="0.3">
      <c r="C2579" s="219"/>
      <c r="D2579" s="219"/>
      <c r="G2579" s="50">
        <f>РЕАЛИЗАЦИЯ[[#This Row],[СОНИ]]*РЕАЛИЗАЦИЯ[[#This Row],[НАРХИ]]</f>
        <v>0</v>
      </c>
      <c r="I2579" s="166"/>
      <c r="J2579" s="31">
        <f>РЕАЛИЗАЦИЯ[[#This Row],[СОНИ]]*РЕАЛИЗАЦИЯ[[#This Row],[ТАННАРХ]]</f>
        <v>0</v>
      </c>
      <c r="K2579" s="31">
        <f>РЕАЛИЗАЦИЯ[[#This Row],[ЖАМИ]]-РЕАЛИЗАЦИЯ[[#This Row],[ЖАМИ2]]</f>
        <v>0</v>
      </c>
      <c r="L2579" s="31"/>
    </row>
    <row r="2580" spans="3:12" x14ac:dyDescent="0.3">
      <c r="C2580" s="219"/>
      <c r="D2580" s="219"/>
      <c r="G2580" s="50">
        <f>РЕАЛИЗАЦИЯ[[#This Row],[СОНИ]]*РЕАЛИЗАЦИЯ[[#This Row],[НАРХИ]]</f>
        <v>0</v>
      </c>
      <c r="I2580" s="166"/>
      <c r="J2580" s="31">
        <f>РЕАЛИЗАЦИЯ[[#This Row],[СОНИ]]*РЕАЛИЗАЦИЯ[[#This Row],[ТАННАРХ]]</f>
        <v>0</v>
      </c>
      <c r="K2580" s="31">
        <f>РЕАЛИЗАЦИЯ[[#This Row],[ЖАМИ]]-РЕАЛИЗАЦИЯ[[#This Row],[ЖАМИ2]]</f>
        <v>0</v>
      </c>
      <c r="L2580" s="31"/>
    </row>
    <row r="2581" spans="3:12" x14ac:dyDescent="0.3">
      <c r="C2581" s="219"/>
      <c r="D2581" s="219"/>
      <c r="G2581" s="50">
        <f>РЕАЛИЗАЦИЯ[[#This Row],[СОНИ]]*РЕАЛИЗАЦИЯ[[#This Row],[НАРХИ]]</f>
        <v>0</v>
      </c>
      <c r="I2581" s="166"/>
      <c r="J2581" s="31">
        <f>РЕАЛИЗАЦИЯ[[#This Row],[СОНИ]]*РЕАЛИЗАЦИЯ[[#This Row],[ТАННАРХ]]</f>
        <v>0</v>
      </c>
      <c r="K2581" s="31">
        <f>РЕАЛИЗАЦИЯ[[#This Row],[ЖАМИ]]-РЕАЛИЗАЦИЯ[[#This Row],[ЖАМИ2]]</f>
        <v>0</v>
      </c>
      <c r="L2581" s="31"/>
    </row>
    <row r="2582" spans="3:12" x14ac:dyDescent="0.3">
      <c r="C2582" s="219"/>
      <c r="D2582" s="219"/>
      <c r="G2582" s="50">
        <f>РЕАЛИЗАЦИЯ[[#This Row],[СОНИ]]*РЕАЛИЗАЦИЯ[[#This Row],[НАРХИ]]</f>
        <v>0</v>
      </c>
      <c r="I2582" s="166"/>
      <c r="J2582" s="31">
        <f>РЕАЛИЗАЦИЯ[[#This Row],[СОНИ]]*РЕАЛИЗАЦИЯ[[#This Row],[ТАННАРХ]]</f>
        <v>0</v>
      </c>
      <c r="K2582" s="31">
        <f>РЕАЛИЗАЦИЯ[[#This Row],[ЖАМИ]]-РЕАЛИЗАЦИЯ[[#This Row],[ЖАМИ2]]</f>
        <v>0</v>
      </c>
      <c r="L2582" s="31"/>
    </row>
    <row r="2583" spans="3:12" x14ac:dyDescent="0.3">
      <c r="C2583" s="224"/>
      <c r="D2583" s="224"/>
      <c r="G2583" s="50">
        <f>РЕАЛИЗАЦИЯ[[#This Row],[СОНИ]]*РЕАЛИЗАЦИЯ[[#This Row],[НАРХИ]]</f>
        <v>0</v>
      </c>
      <c r="I2583" s="166"/>
      <c r="J2583" s="31">
        <f>РЕАЛИЗАЦИЯ[[#This Row],[СОНИ]]*РЕАЛИЗАЦИЯ[[#This Row],[ТАННАРХ]]</f>
        <v>0</v>
      </c>
      <c r="K2583" s="31">
        <f>РЕАЛИЗАЦИЯ[[#This Row],[ЖАМИ]]-РЕАЛИЗАЦИЯ[[#This Row],[ЖАМИ2]]</f>
        <v>0</v>
      </c>
      <c r="L2583" s="31"/>
    </row>
    <row r="2584" spans="3:12" x14ac:dyDescent="0.3">
      <c r="C2584" s="219"/>
      <c r="D2584" s="219"/>
      <c r="G2584" s="50">
        <f>РЕАЛИЗАЦИЯ[[#This Row],[СОНИ]]*РЕАЛИЗАЦИЯ[[#This Row],[НАРХИ]]</f>
        <v>0</v>
      </c>
      <c r="I2584" s="166"/>
      <c r="J2584" s="31">
        <f>РЕАЛИЗАЦИЯ[[#This Row],[СОНИ]]*РЕАЛИЗАЦИЯ[[#This Row],[ТАННАРХ]]</f>
        <v>0</v>
      </c>
      <c r="K2584" s="31">
        <f>РЕАЛИЗАЦИЯ[[#This Row],[ЖАМИ]]-РЕАЛИЗАЦИЯ[[#This Row],[ЖАМИ2]]</f>
        <v>0</v>
      </c>
      <c r="L2584" s="31"/>
    </row>
    <row r="2585" spans="3:12" x14ac:dyDescent="0.3">
      <c r="C2585" s="219"/>
      <c r="D2585" s="219"/>
      <c r="G2585" s="50">
        <f>РЕАЛИЗАЦИЯ[[#This Row],[СОНИ]]*РЕАЛИЗАЦИЯ[[#This Row],[НАРХИ]]</f>
        <v>0</v>
      </c>
      <c r="I2585" s="166"/>
      <c r="J2585" s="31">
        <f>РЕАЛИЗАЦИЯ[[#This Row],[СОНИ]]*РЕАЛИЗАЦИЯ[[#This Row],[ТАННАРХ]]</f>
        <v>0</v>
      </c>
      <c r="K2585" s="31">
        <f>РЕАЛИЗАЦИЯ[[#This Row],[ЖАМИ]]-РЕАЛИЗАЦИЯ[[#This Row],[ЖАМИ2]]</f>
        <v>0</v>
      </c>
      <c r="L2585" s="31"/>
    </row>
    <row r="2586" spans="3:12" x14ac:dyDescent="0.3">
      <c r="C2586" s="219"/>
      <c r="D2586" s="219"/>
      <c r="G2586" s="50">
        <f>РЕАЛИЗАЦИЯ[[#This Row],[СОНИ]]*РЕАЛИЗАЦИЯ[[#This Row],[НАРХИ]]</f>
        <v>0</v>
      </c>
      <c r="I2586" s="166"/>
      <c r="J2586" s="31">
        <f>РЕАЛИЗАЦИЯ[[#This Row],[СОНИ]]*РЕАЛИЗАЦИЯ[[#This Row],[ТАННАРХ]]</f>
        <v>0</v>
      </c>
      <c r="K2586" s="31">
        <f>РЕАЛИЗАЦИЯ[[#This Row],[ЖАМИ]]-РЕАЛИЗАЦИЯ[[#This Row],[ЖАМИ2]]</f>
        <v>0</v>
      </c>
      <c r="L2586" s="31"/>
    </row>
    <row r="2587" spans="3:12" x14ac:dyDescent="0.3">
      <c r="C2587" s="219"/>
      <c r="D2587" s="219"/>
      <c r="G2587" s="50">
        <f>РЕАЛИЗАЦИЯ[[#This Row],[СОНИ]]*РЕАЛИЗАЦИЯ[[#This Row],[НАРХИ]]</f>
        <v>0</v>
      </c>
      <c r="I2587" s="166"/>
      <c r="J2587" s="31">
        <f>РЕАЛИЗАЦИЯ[[#This Row],[СОНИ]]*РЕАЛИЗАЦИЯ[[#This Row],[ТАННАРХ]]</f>
        <v>0</v>
      </c>
      <c r="K2587" s="31">
        <f>РЕАЛИЗАЦИЯ[[#This Row],[ЖАМИ]]-РЕАЛИЗАЦИЯ[[#This Row],[ЖАМИ2]]</f>
        <v>0</v>
      </c>
      <c r="L2587" s="31"/>
    </row>
    <row r="2588" spans="3:12" x14ac:dyDescent="0.3">
      <c r="C2588" s="219"/>
      <c r="D2588" s="219"/>
      <c r="G2588" s="50">
        <f>РЕАЛИЗАЦИЯ[[#This Row],[СОНИ]]*РЕАЛИЗАЦИЯ[[#This Row],[НАРХИ]]</f>
        <v>0</v>
      </c>
      <c r="I2588" s="166"/>
      <c r="J2588" s="31">
        <f>РЕАЛИЗАЦИЯ[[#This Row],[СОНИ]]*РЕАЛИЗАЦИЯ[[#This Row],[ТАННАРХ]]</f>
        <v>0</v>
      </c>
      <c r="K2588" s="31">
        <f>РЕАЛИЗАЦИЯ[[#This Row],[ЖАМИ]]-РЕАЛИЗАЦИЯ[[#This Row],[ЖАМИ2]]</f>
        <v>0</v>
      </c>
      <c r="L2588" s="31"/>
    </row>
    <row r="2589" spans="3:12" x14ac:dyDescent="0.3">
      <c r="C2589" s="219"/>
      <c r="D2589" s="219"/>
      <c r="G2589" s="50">
        <f>РЕАЛИЗАЦИЯ[[#This Row],[СОНИ]]*РЕАЛИЗАЦИЯ[[#This Row],[НАРХИ]]</f>
        <v>0</v>
      </c>
      <c r="I2589" s="166"/>
      <c r="J2589" s="31">
        <f>РЕАЛИЗАЦИЯ[[#This Row],[СОНИ]]*РЕАЛИЗАЦИЯ[[#This Row],[ТАННАРХ]]</f>
        <v>0</v>
      </c>
      <c r="K2589" s="31">
        <f>РЕАЛИЗАЦИЯ[[#This Row],[ЖАМИ]]-РЕАЛИЗАЦИЯ[[#This Row],[ЖАМИ2]]</f>
        <v>0</v>
      </c>
      <c r="L2589" s="31"/>
    </row>
    <row r="2590" spans="3:12" x14ac:dyDescent="0.3">
      <c r="C2590" s="219"/>
      <c r="D2590" s="219"/>
      <c r="G2590" s="50">
        <f>РЕАЛИЗАЦИЯ[[#This Row],[СОНИ]]*РЕАЛИЗАЦИЯ[[#This Row],[НАРХИ]]</f>
        <v>0</v>
      </c>
      <c r="I2590" s="166"/>
      <c r="J2590" s="31">
        <f>РЕАЛИЗАЦИЯ[[#This Row],[СОНИ]]*РЕАЛИЗАЦИЯ[[#This Row],[ТАННАРХ]]</f>
        <v>0</v>
      </c>
      <c r="K2590" s="31">
        <f>РЕАЛИЗАЦИЯ[[#This Row],[ЖАМИ]]-РЕАЛИЗАЦИЯ[[#This Row],[ЖАМИ2]]</f>
        <v>0</v>
      </c>
      <c r="L2590" s="31"/>
    </row>
    <row r="2591" spans="3:12" x14ac:dyDescent="0.3">
      <c r="C2591" s="219"/>
      <c r="D2591" s="219"/>
      <c r="G2591" s="50">
        <f>РЕАЛИЗАЦИЯ[[#This Row],[СОНИ]]*РЕАЛИЗАЦИЯ[[#This Row],[НАРХИ]]</f>
        <v>0</v>
      </c>
      <c r="I2591" s="166"/>
      <c r="J2591" s="31">
        <f>РЕАЛИЗАЦИЯ[[#This Row],[СОНИ]]*РЕАЛИЗАЦИЯ[[#This Row],[ТАННАРХ]]</f>
        <v>0</v>
      </c>
      <c r="K2591" s="31">
        <f>РЕАЛИЗАЦИЯ[[#This Row],[ЖАМИ]]-РЕАЛИЗАЦИЯ[[#This Row],[ЖАМИ2]]</f>
        <v>0</v>
      </c>
      <c r="L2591" s="31"/>
    </row>
    <row r="2592" spans="3:12" x14ac:dyDescent="0.3">
      <c r="C2592" s="219"/>
      <c r="D2592" s="219"/>
      <c r="G2592" s="50">
        <f>РЕАЛИЗАЦИЯ[[#This Row],[СОНИ]]*РЕАЛИЗАЦИЯ[[#This Row],[НАРХИ]]</f>
        <v>0</v>
      </c>
      <c r="I2592" s="166"/>
      <c r="J2592" s="31">
        <f>РЕАЛИЗАЦИЯ[[#This Row],[СОНИ]]*РЕАЛИЗАЦИЯ[[#This Row],[ТАННАРХ]]</f>
        <v>0</v>
      </c>
      <c r="K2592" s="31">
        <f>РЕАЛИЗАЦИЯ[[#This Row],[ЖАМИ]]-РЕАЛИЗАЦИЯ[[#This Row],[ЖАМИ2]]</f>
        <v>0</v>
      </c>
      <c r="L2592" s="31"/>
    </row>
    <row r="2593" spans="3:12" x14ac:dyDescent="0.3">
      <c r="C2593" s="219"/>
      <c r="D2593" s="219"/>
      <c r="G2593" s="50">
        <f>РЕАЛИЗАЦИЯ[[#This Row],[СОНИ]]*РЕАЛИЗАЦИЯ[[#This Row],[НАРХИ]]</f>
        <v>0</v>
      </c>
      <c r="I2593" s="166"/>
      <c r="J2593" s="31">
        <f>РЕАЛИЗАЦИЯ[[#This Row],[СОНИ]]*РЕАЛИЗАЦИЯ[[#This Row],[ТАННАРХ]]</f>
        <v>0</v>
      </c>
      <c r="K2593" s="31">
        <f>РЕАЛИЗАЦИЯ[[#This Row],[ЖАМИ]]-РЕАЛИЗАЦИЯ[[#This Row],[ЖАМИ2]]</f>
        <v>0</v>
      </c>
      <c r="L2593" s="31"/>
    </row>
    <row r="2594" spans="3:12" x14ac:dyDescent="0.3">
      <c r="C2594" s="219"/>
      <c r="D2594" s="219"/>
      <c r="G2594" s="50">
        <f>РЕАЛИЗАЦИЯ[[#This Row],[СОНИ]]*РЕАЛИЗАЦИЯ[[#This Row],[НАРХИ]]</f>
        <v>0</v>
      </c>
      <c r="I2594" s="217"/>
      <c r="J2594" s="31">
        <f>РЕАЛИЗАЦИЯ[[#This Row],[СОНИ]]*РЕАЛИЗАЦИЯ[[#This Row],[ТАННАРХ]]</f>
        <v>0</v>
      </c>
      <c r="K2594" s="31">
        <f>РЕАЛИЗАЦИЯ[[#This Row],[ЖАМИ]]-РЕАЛИЗАЦИЯ[[#This Row],[ЖАМИ2]]</f>
        <v>0</v>
      </c>
      <c r="L2594" s="31"/>
    </row>
    <row r="2595" spans="3:12" x14ac:dyDescent="0.3">
      <c r="C2595" s="219"/>
      <c r="D2595" s="219"/>
      <c r="G2595" s="50">
        <f>РЕАЛИЗАЦИЯ[[#This Row],[СОНИ]]*РЕАЛИЗАЦИЯ[[#This Row],[НАРХИ]]</f>
        <v>0</v>
      </c>
      <c r="I2595" s="166"/>
      <c r="J2595" s="31">
        <f>РЕАЛИЗАЦИЯ[[#This Row],[СОНИ]]*РЕАЛИЗАЦИЯ[[#This Row],[ТАННАРХ]]</f>
        <v>0</v>
      </c>
      <c r="K2595" s="31">
        <f>РЕАЛИЗАЦИЯ[[#This Row],[ЖАМИ]]-РЕАЛИЗАЦИЯ[[#This Row],[ЖАМИ2]]</f>
        <v>0</v>
      </c>
      <c r="L2595" s="31"/>
    </row>
    <row r="2596" spans="3:12" x14ac:dyDescent="0.3">
      <c r="C2596" s="219"/>
      <c r="D2596" s="219"/>
      <c r="G2596" s="50">
        <f>РЕАЛИЗАЦИЯ[[#This Row],[СОНИ]]*РЕАЛИЗАЦИЯ[[#This Row],[НАРХИ]]</f>
        <v>0</v>
      </c>
      <c r="I2596" s="166"/>
      <c r="J2596" s="31">
        <f>РЕАЛИЗАЦИЯ[[#This Row],[СОНИ]]*РЕАЛИЗАЦИЯ[[#This Row],[ТАННАРХ]]</f>
        <v>0</v>
      </c>
      <c r="K2596" s="31">
        <f>РЕАЛИЗАЦИЯ[[#This Row],[ЖАМИ]]-РЕАЛИЗАЦИЯ[[#This Row],[ЖАМИ2]]</f>
        <v>0</v>
      </c>
      <c r="L2596" s="31"/>
    </row>
    <row r="2597" spans="3:12" x14ac:dyDescent="0.3">
      <c r="C2597" s="219"/>
      <c r="D2597" s="219"/>
      <c r="G2597" s="50">
        <f>РЕАЛИЗАЦИЯ[[#This Row],[СОНИ]]*РЕАЛИЗАЦИЯ[[#This Row],[НАРХИ]]</f>
        <v>0</v>
      </c>
      <c r="I2597" s="166"/>
      <c r="J2597" s="31">
        <f>РЕАЛИЗАЦИЯ[[#This Row],[СОНИ]]*РЕАЛИЗАЦИЯ[[#This Row],[ТАННАРХ]]</f>
        <v>0</v>
      </c>
      <c r="K2597" s="31">
        <f>РЕАЛИЗАЦИЯ[[#This Row],[ЖАМИ]]-РЕАЛИЗАЦИЯ[[#This Row],[ЖАМИ2]]</f>
        <v>0</v>
      </c>
      <c r="L2597" s="31"/>
    </row>
    <row r="2598" spans="3:12" x14ac:dyDescent="0.3">
      <c r="C2598" s="219"/>
      <c r="D2598" s="219"/>
      <c r="G2598" s="50">
        <f>РЕАЛИЗАЦИЯ[[#This Row],[СОНИ]]*РЕАЛИЗАЦИЯ[[#This Row],[НАРХИ]]</f>
        <v>0</v>
      </c>
      <c r="I2598" s="166"/>
      <c r="J2598" s="31">
        <f>РЕАЛИЗАЦИЯ[[#This Row],[СОНИ]]*РЕАЛИЗАЦИЯ[[#This Row],[ТАННАРХ]]</f>
        <v>0</v>
      </c>
      <c r="K2598" s="31">
        <f>РЕАЛИЗАЦИЯ[[#This Row],[ЖАМИ]]-РЕАЛИЗАЦИЯ[[#This Row],[ЖАМИ2]]</f>
        <v>0</v>
      </c>
      <c r="L2598" s="31"/>
    </row>
    <row r="2599" spans="3:12" x14ac:dyDescent="0.3">
      <c r="C2599" s="219"/>
      <c r="D2599" s="219"/>
      <c r="G2599" s="50">
        <f>РЕАЛИЗАЦИЯ[[#This Row],[СОНИ]]*РЕАЛИЗАЦИЯ[[#This Row],[НАРХИ]]</f>
        <v>0</v>
      </c>
      <c r="I2599" s="166"/>
      <c r="J2599" s="31">
        <f>РЕАЛИЗАЦИЯ[[#This Row],[СОНИ]]*РЕАЛИЗАЦИЯ[[#This Row],[ТАННАРХ]]</f>
        <v>0</v>
      </c>
      <c r="K2599" s="31">
        <f>РЕАЛИЗАЦИЯ[[#This Row],[ЖАМИ]]-РЕАЛИЗАЦИЯ[[#This Row],[ЖАМИ2]]</f>
        <v>0</v>
      </c>
      <c r="L2599" s="31"/>
    </row>
    <row r="2600" spans="3:12" x14ac:dyDescent="0.3">
      <c r="C2600" s="219"/>
      <c r="D2600" s="219"/>
      <c r="G2600" s="50">
        <f>РЕАЛИЗАЦИЯ[[#This Row],[СОНИ]]*РЕАЛИЗАЦИЯ[[#This Row],[НАРХИ]]</f>
        <v>0</v>
      </c>
      <c r="I2600" s="166"/>
      <c r="J2600" s="31">
        <f>РЕАЛИЗАЦИЯ[[#This Row],[СОНИ]]*РЕАЛИЗАЦИЯ[[#This Row],[ТАННАРХ]]</f>
        <v>0</v>
      </c>
      <c r="K2600" s="31">
        <f>РЕАЛИЗАЦИЯ[[#This Row],[ЖАМИ]]-РЕАЛИЗАЦИЯ[[#This Row],[ЖАМИ2]]</f>
        <v>0</v>
      </c>
      <c r="L2600" s="31"/>
    </row>
    <row r="2601" spans="3:12" x14ac:dyDescent="0.3">
      <c r="C2601" s="219"/>
      <c r="D2601" s="219"/>
      <c r="G2601" s="50">
        <f>РЕАЛИЗАЦИЯ[[#This Row],[СОНИ]]*РЕАЛИЗАЦИЯ[[#This Row],[НАРХИ]]</f>
        <v>0</v>
      </c>
      <c r="I2601" s="166"/>
      <c r="J2601" s="31">
        <f>РЕАЛИЗАЦИЯ[[#This Row],[СОНИ]]*РЕАЛИЗАЦИЯ[[#This Row],[ТАННАРХ]]</f>
        <v>0</v>
      </c>
      <c r="K2601" s="31">
        <f>РЕАЛИЗАЦИЯ[[#This Row],[ЖАМИ]]-РЕАЛИЗАЦИЯ[[#This Row],[ЖАМИ2]]</f>
        <v>0</v>
      </c>
      <c r="L2601" s="31"/>
    </row>
    <row r="2602" spans="3:12" x14ac:dyDescent="0.3">
      <c r="C2602" s="219"/>
      <c r="D2602" s="219"/>
      <c r="G2602" s="50">
        <f>РЕАЛИЗАЦИЯ[[#This Row],[СОНИ]]*РЕАЛИЗАЦИЯ[[#This Row],[НАРХИ]]</f>
        <v>0</v>
      </c>
      <c r="I2602" s="166"/>
      <c r="J2602" s="31">
        <f>РЕАЛИЗАЦИЯ[[#This Row],[СОНИ]]*РЕАЛИЗАЦИЯ[[#This Row],[ТАННАРХ]]</f>
        <v>0</v>
      </c>
      <c r="K2602" s="31">
        <f>РЕАЛИЗАЦИЯ[[#This Row],[ЖАМИ]]-РЕАЛИЗАЦИЯ[[#This Row],[ЖАМИ2]]</f>
        <v>0</v>
      </c>
      <c r="L2602" s="31"/>
    </row>
    <row r="2603" spans="3:12" x14ac:dyDescent="0.3">
      <c r="C2603" s="219"/>
      <c r="D2603" s="219"/>
      <c r="G2603" s="50">
        <f>РЕАЛИЗАЦИЯ[[#This Row],[СОНИ]]*РЕАЛИЗАЦИЯ[[#This Row],[НАРХИ]]</f>
        <v>0</v>
      </c>
      <c r="I2603" s="166"/>
      <c r="J2603" s="31">
        <f>РЕАЛИЗАЦИЯ[[#This Row],[СОНИ]]*РЕАЛИЗАЦИЯ[[#This Row],[ТАННАРХ]]</f>
        <v>0</v>
      </c>
      <c r="K2603" s="31">
        <f>РЕАЛИЗАЦИЯ[[#This Row],[ЖАМИ]]-РЕАЛИЗАЦИЯ[[#This Row],[ЖАМИ2]]</f>
        <v>0</v>
      </c>
      <c r="L2603" s="31"/>
    </row>
    <row r="2604" spans="3:12" x14ac:dyDescent="0.3">
      <c r="C2604" s="219"/>
      <c r="D2604" s="219"/>
      <c r="G2604" s="50">
        <f>РЕАЛИЗАЦИЯ[[#This Row],[СОНИ]]*РЕАЛИЗАЦИЯ[[#This Row],[НАРХИ]]</f>
        <v>0</v>
      </c>
      <c r="I2604" s="166"/>
      <c r="J2604" s="31">
        <f>РЕАЛИЗАЦИЯ[[#This Row],[СОНИ]]*РЕАЛИЗАЦИЯ[[#This Row],[ТАННАРХ]]</f>
        <v>0</v>
      </c>
      <c r="K2604" s="31">
        <f>РЕАЛИЗАЦИЯ[[#This Row],[ЖАМИ]]-РЕАЛИЗАЦИЯ[[#This Row],[ЖАМИ2]]</f>
        <v>0</v>
      </c>
      <c r="L2604" s="31"/>
    </row>
    <row r="2605" spans="3:12" x14ac:dyDescent="0.3">
      <c r="C2605" s="219"/>
      <c r="D2605" s="219"/>
      <c r="G2605" s="50">
        <f>РЕАЛИЗАЦИЯ[[#This Row],[СОНИ]]*РЕАЛИЗАЦИЯ[[#This Row],[НАРХИ]]</f>
        <v>0</v>
      </c>
      <c r="I2605" s="166"/>
      <c r="J2605" s="31">
        <f>РЕАЛИЗАЦИЯ[[#This Row],[СОНИ]]*РЕАЛИЗАЦИЯ[[#This Row],[ТАННАРХ]]</f>
        <v>0</v>
      </c>
      <c r="K2605" s="31">
        <f>РЕАЛИЗАЦИЯ[[#This Row],[ЖАМИ]]-РЕАЛИЗАЦИЯ[[#This Row],[ЖАМИ2]]</f>
        <v>0</v>
      </c>
      <c r="L2605" s="31"/>
    </row>
    <row r="2606" spans="3:12" x14ac:dyDescent="0.3">
      <c r="C2606" s="219"/>
      <c r="D2606" s="219"/>
      <c r="G2606" s="50">
        <f>РЕАЛИЗАЦИЯ[[#This Row],[СОНИ]]*РЕАЛИЗАЦИЯ[[#This Row],[НАРХИ]]</f>
        <v>0</v>
      </c>
      <c r="I2606" s="166"/>
      <c r="J2606" s="31">
        <f>РЕАЛИЗАЦИЯ[[#This Row],[СОНИ]]*РЕАЛИЗАЦИЯ[[#This Row],[ТАННАРХ]]</f>
        <v>0</v>
      </c>
      <c r="K2606" s="31">
        <f>РЕАЛИЗАЦИЯ[[#This Row],[ЖАМИ]]-РЕАЛИЗАЦИЯ[[#This Row],[ЖАМИ2]]</f>
        <v>0</v>
      </c>
      <c r="L2606" s="31"/>
    </row>
    <row r="2607" spans="3:12" x14ac:dyDescent="0.3">
      <c r="C2607" s="219"/>
      <c r="D2607" s="219"/>
      <c r="G2607" s="50">
        <f>РЕАЛИЗАЦИЯ[[#This Row],[СОНИ]]*РЕАЛИЗАЦИЯ[[#This Row],[НАРХИ]]</f>
        <v>0</v>
      </c>
      <c r="I2607" s="166"/>
      <c r="J2607" s="31">
        <f>РЕАЛИЗАЦИЯ[[#This Row],[СОНИ]]*РЕАЛИЗАЦИЯ[[#This Row],[ТАННАРХ]]</f>
        <v>0</v>
      </c>
      <c r="K2607" s="31">
        <f>РЕАЛИЗАЦИЯ[[#This Row],[ЖАМИ]]-РЕАЛИЗАЦИЯ[[#This Row],[ЖАМИ2]]</f>
        <v>0</v>
      </c>
      <c r="L2607" s="31"/>
    </row>
    <row r="2608" spans="3:12" x14ac:dyDescent="0.3">
      <c r="C2608" s="219"/>
      <c r="D2608" s="219"/>
      <c r="G2608" s="50">
        <f>РЕАЛИЗАЦИЯ[[#This Row],[СОНИ]]*РЕАЛИЗАЦИЯ[[#This Row],[НАРХИ]]</f>
        <v>0</v>
      </c>
      <c r="I2608" s="166"/>
      <c r="J2608" s="31">
        <f>РЕАЛИЗАЦИЯ[[#This Row],[СОНИ]]*РЕАЛИЗАЦИЯ[[#This Row],[ТАННАРХ]]</f>
        <v>0</v>
      </c>
      <c r="K2608" s="31">
        <f>РЕАЛИЗАЦИЯ[[#This Row],[ЖАМИ]]-РЕАЛИЗАЦИЯ[[#This Row],[ЖАМИ2]]</f>
        <v>0</v>
      </c>
      <c r="L2608" s="31"/>
    </row>
    <row r="2609" spans="3:12" x14ac:dyDescent="0.3">
      <c r="C2609" s="219"/>
      <c r="D2609" s="219"/>
      <c r="G2609" s="50">
        <f>РЕАЛИЗАЦИЯ[[#This Row],[СОНИ]]*РЕАЛИЗАЦИЯ[[#This Row],[НАРХИ]]</f>
        <v>0</v>
      </c>
      <c r="I2609" s="166"/>
      <c r="J2609" s="31">
        <f>РЕАЛИЗАЦИЯ[[#This Row],[СОНИ]]*РЕАЛИЗАЦИЯ[[#This Row],[ТАННАРХ]]</f>
        <v>0</v>
      </c>
      <c r="K2609" s="31">
        <f>РЕАЛИЗАЦИЯ[[#This Row],[ЖАМИ]]-РЕАЛИЗАЦИЯ[[#This Row],[ЖАМИ2]]</f>
        <v>0</v>
      </c>
      <c r="L2609" s="31"/>
    </row>
    <row r="2610" spans="3:12" x14ac:dyDescent="0.3">
      <c r="C2610" s="219"/>
      <c r="D2610" s="219"/>
      <c r="G2610" s="50">
        <f>РЕАЛИЗАЦИЯ[[#This Row],[СОНИ]]*РЕАЛИЗАЦИЯ[[#This Row],[НАРХИ]]</f>
        <v>0</v>
      </c>
      <c r="I2610" s="166"/>
      <c r="J2610" s="31">
        <f>РЕАЛИЗАЦИЯ[[#This Row],[СОНИ]]*РЕАЛИЗАЦИЯ[[#This Row],[ТАННАРХ]]</f>
        <v>0</v>
      </c>
      <c r="K2610" s="31">
        <f>РЕАЛИЗАЦИЯ[[#This Row],[ЖАМИ]]-РЕАЛИЗАЦИЯ[[#This Row],[ЖАМИ2]]</f>
        <v>0</v>
      </c>
      <c r="L2610" s="31"/>
    </row>
    <row r="2611" spans="3:12" x14ac:dyDescent="0.3">
      <c r="C2611" s="219"/>
      <c r="D2611" s="219"/>
      <c r="G2611" s="50">
        <f>РЕАЛИЗАЦИЯ[[#This Row],[СОНИ]]*РЕАЛИЗАЦИЯ[[#This Row],[НАРХИ]]</f>
        <v>0</v>
      </c>
      <c r="I2611" s="166"/>
      <c r="J2611" s="31">
        <f>РЕАЛИЗАЦИЯ[[#This Row],[СОНИ]]*РЕАЛИЗАЦИЯ[[#This Row],[ТАННАРХ]]</f>
        <v>0</v>
      </c>
      <c r="K2611" s="31">
        <f>РЕАЛИЗАЦИЯ[[#This Row],[ЖАМИ]]-РЕАЛИЗАЦИЯ[[#This Row],[ЖАМИ2]]</f>
        <v>0</v>
      </c>
      <c r="L2611" s="31"/>
    </row>
    <row r="2612" spans="3:12" x14ac:dyDescent="0.3">
      <c r="C2612" s="219"/>
      <c r="D2612" s="219"/>
      <c r="G2612" s="50">
        <f>РЕАЛИЗАЦИЯ[[#This Row],[СОНИ]]*РЕАЛИЗАЦИЯ[[#This Row],[НАРХИ]]</f>
        <v>0</v>
      </c>
      <c r="I2612" s="166"/>
      <c r="J2612" s="31">
        <f>РЕАЛИЗАЦИЯ[[#This Row],[СОНИ]]*РЕАЛИЗАЦИЯ[[#This Row],[ТАННАРХ]]</f>
        <v>0</v>
      </c>
      <c r="K2612" s="31">
        <f>РЕАЛИЗАЦИЯ[[#This Row],[ЖАМИ]]-РЕАЛИЗАЦИЯ[[#This Row],[ЖАМИ2]]</f>
        <v>0</v>
      </c>
      <c r="L2612" s="31"/>
    </row>
    <row r="2613" spans="3:12" x14ac:dyDescent="0.3">
      <c r="C2613" s="219"/>
      <c r="D2613" s="219"/>
      <c r="G2613" s="50">
        <f>РЕАЛИЗАЦИЯ[[#This Row],[СОНИ]]*РЕАЛИЗАЦИЯ[[#This Row],[НАРХИ]]</f>
        <v>0</v>
      </c>
      <c r="I2613" s="166"/>
      <c r="J2613" s="31">
        <f>РЕАЛИЗАЦИЯ[[#This Row],[СОНИ]]*РЕАЛИЗАЦИЯ[[#This Row],[ТАННАРХ]]</f>
        <v>0</v>
      </c>
      <c r="K2613" s="31">
        <f>РЕАЛИЗАЦИЯ[[#This Row],[ЖАМИ]]-РЕАЛИЗАЦИЯ[[#This Row],[ЖАМИ2]]</f>
        <v>0</v>
      </c>
      <c r="L2613" s="31"/>
    </row>
    <row r="2614" spans="3:12" x14ac:dyDescent="0.3">
      <c r="C2614" s="219"/>
      <c r="D2614" s="219"/>
      <c r="G2614" s="50">
        <f>РЕАЛИЗАЦИЯ[[#This Row],[СОНИ]]*РЕАЛИЗАЦИЯ[[#This Row],[НАРХИ]]</f>
        <v>0</v>
      </c>
      <c r="I2614" s="166"/>
      <c r="J2614" s="31">
        <f>РЕАЛИЗАЦИЯ[[#This Row],[СОНИ]]*РЕАЛИЗАЦИЯ[[#This Row],[ТАННАРХ]]</f>
        <v>0</v>
      </c>
      <c r="K2614" s="31">
        <f>РЕАЛИЗАЦИЯ[[#This Row],[ЖАМИ]]-РЕАЛИЗАЦИЯ[[#This Row],[ЖАМИ2]]</f>
        <v>0</v>
      </c>
      <c r="L2614" s="31"/>
    </row>
    <row r="2615" spans="3:12" x14ac:dyDescent="0.3">
      <c r="C2615" s="219"/>
      <c r="D2615" s="219"/>
      <c r="G2615" s="50">
        <f>РЕАЛИЗАЦИЯ[[#This Row],[СОНИ]]*РЕАЛИЗАЦИЯ[[#This Row],[НАРХИ]]</f>
        <v>0</v>
      </c>
      <c r="I2615" s="166"/>
      <c r="J2615" s="31">
        <f>РЕАЛИЗАЦИЯ[[#This Row],[СОНИ]]*РЕАЛИЗАЦИЯ[[#This Row],[ТАННАРХ]]</f>
        <v>0</v>
      </c>
      <c r="K2615" s="31">
        <f>РЕАЛИЗАЦИЯ[[#This Row],[ЖАМИ]]-РЕАЛИЗАЦИЯ[[#This Row],[ЖАМИ2]]</f>
        <v>0</v>
      </c>
      <c r="L2615" s="31"/>
    </row>
    <row r="2616" spans="3:12" x14ac:dyDescent="0.3">
      <c r="C2616" s="226"/>
      <c r="D2616" s="226"/>
      <c r="G2616" s="50">
        <f>РЕАЛИЗАЦИЯ[[#This Row],[СОНИ]]*РЕАЛИЗАЦИЯ[[#This Row],[НАРХИ]]</f>
        <v>0</v>
      </c>
      <c r="I2616" s="166"/>
      <c r="J2616" s="31">
        <f>РЕАЛИЗАЦИЯ[[#This Row],[СОНИ]]*РЕАЛИЗАЦИЯ[[#This Row],[ТАННАРХ]]</f>
        <v>0</v>
      </c>
      <c r="K2616" s="31">
        <f>РЕАЛИЗАЦИЯ[[#This Row],[ЖАМИ]]-РЕАЛИЗАЦИЯ[[#This Row],[ЖАМИ2]]</f>
        <v>0</v>
      </c>
      <c r="L2616" s="31"/>
    </row>
    <row r="2617" spans="3:12" x14ac:dyDescent="0.3">
      <c r="C2617" s="219"/>
      <c r="D2617" s="219"/>
      <c r="G2617" s="50">
        <f>РЕАЛИЗАЦИЯ[[#This Row],[СОНИ]]*РЕАЛИЗАЦИЯ[[#This Row],[НАРХИ]]</f>
        <v>0</v>
      </c>
      <c r="I2617" s="166"/>
      <c r="J2617" s="31">
        <f>РЕАЛИЗАЦИЯ[[#This Row],[СОНИ]]*РЕАЛИЗАЦИЯ[[#This Row],[ТАННАРХ]]</f>
        <v>0</v>
      </c>
      <c r="K2617" s="31">
        <f>РЕАЛИЗАЦИЯ[[#This Row],[ЖАМИ]]-РЕАЛИЗАЦИЯ[[#This Row],[ЖАМИ2]]</f>
        <v>0</v>
      </c>
      <c r="L2617" s="31"/>
    </row>
    <row r="2618" spans="3:12" x14ac:dyDescent="0.3">
      <c r="C2618" s="219"/>
      <c r="D2618" s="219"/>
      <c r="G2618" s="50">
        <f>РЕАЛИЗАЦИЯ[[#This Row],[СОНИ]]*РЕАЛИЗАЦИЯ[[#This Row],[НАРХИ]]</f>
        <v>0</v>
      </c>
      <c r="I2618" s="166"/>
      <c r="J2618" s="31">
        <f>РЕАЛИЗАЦИЯ[[#This Row],[СОНИ]]*РЕАЛИЗАЦИЯ[[#This Row],[ТАННАРХ]]</f>
        <v>0</v>
      </c>
      <c r="K2618" s="31">
        <f>РЕАЛИЗАЦИЯ[[#This Row],[ЖАМИ]]-РЕАЛИЗАЦИЯ[[#This Row],[ЖАМИ2]]</f>
        <v>0</v>
      </c>
      <c r="L2618" s="31"/>
    </row>
    <row r="2619" spans="3:12" x14ac:dyDescent="0.3">
      <c r="C2619" s="219"/>
      <c r="D2619" s="219"/>
      <c r="G2619" s="50">
        <f>РЕАЛИЗАЦИЯ[[#This Row],[СОНИ]]*РЕАЛИЗАЦИЯ[[#This Row],[НАРХИ]]</f>
        <v>0</v>
      </c>
      <c r="I2619" s="166"/>
      <c r="J2619" s="31">
        <f>РЕАЛИЗАЦИЯ[[#This Row],[СОНИ]]*РЕАЛИЗАЦИЯ[[#This Row],[ТАННАРХ]]</f>
        <v>0</v>
      </c>
      <c r="K2619" s="31">
        <f>РЕАЛИЗАЦИЯ[[#This Row],[ЖАМИ]]-РЕАЛИЗАЦИЯ[[#This Row],[ЖАМИ2]]</f>
        <v>0</v>
      </c>
      <c r="L2619" s="31"/>
    </row>
    <row r="2620" spans="3:12" x14ac:dyDescent="0.3">
      <c r="C2620" s="219"/>
      <c r="D2620" s="219"/>
      <c r="G2620" s="50">
        <f>РЕАЛИЗАЦИЯ[[#This Row],[СОНИ]]*РЕАЛИЗАЦИЯ[[#This Row],[НАРХИ]]</f>
        <v>0</v>
      </c>
      <c r="I2620" s="166"/>
      <c r="J2620" s="31">
        <f>РЕАЛИЗАЦИЯ[[#This Row],[СОНИ]]*РЕАЛИЗАЦИЯ[[#This Row],[ТАННАРХ]]</f>
        <v>0</v>
      </c>
      <c r="K2620" s="31">
        <f>РЕАЛИЗАЦИЯ[[#This Row],[ЖАМИ]]-РЕАЛИЗАЦИЯ[[#This Row],[ЖАМИ2]]</f>
        <v>0</v>
      </c>
      <c r="L2620" s="31"/>
    </row>
    <row r="2621" spans="3:12" x14ac:dyDescent="0.3">
      <c r="C2621" s="219"/>
      <c r="D2621" s="219"/>
      <c r="G2621" s="50">
        <f>РЕАЛИЗАЦИЯ[[#This Row],[СОНИ]]*РЕАЛИЗАЦИЯ[[#This Row],[НАРХИ]]</f>
        <v>0</v>
      </c>
      <c r="I2621" s="166"/>
      <c r="J2621" s="31">
        <f>РЕАЛИЗАЦИЯ[[#This Row],[СОНИ]]*РЕАЛИЗАЦИЯ[[#This Row],[ТАННАРХ]]</f>
        <v>0</v>
      </c>
      <c r="K2621" s="31">
        <f>РЕАЛИЗАЦИЯ[[#This Row],[ЖАМИ]]-РЕАЛИЗАЦИЯ[[#This Row],[ЖАМИ2]]</f>
        <v>0</v>
      </c>
      <c r="L2621" s="31"/>
    </row>
    <row r="2622" spans="3:12" x14ac:dyDescent="0.3">
      <c r="C2622" s="219"/>
      <c r="D2622" s="219"/>
      <c r="G2622" s="50">
        <f>РЕАЛИЗАЦИЯ[[#This Row],[СОНИ]]*РЕАЛИЗАЦИЯ[[#This Row],[НАРХИ]]</f>
        <v>0</v>
      </c>
      <c r="I2622" s="166"/>
      <c r="J2622" s="31">
        <f>РЕАЛИЗАЦИЯ[[#This Row],[СОНИ]]*РЕАЛИЗАЦИЯ[[#This Row],[ТАННАРХ]]</f>
        <v>0</v>
      </c>
      <c r="K2622" s="31">
        <f>РЕАЛИЗАЦИЯ[[#This Row],[ЖАМИ]]-РЕАЛИЗАЦИЯ[[#This Row],[ЖАМИ2]]</f>
        <v>0</v>
      </c>
      <c r="L2622" s="31"/>
    </row>
    <row r="2623" spans="3:12" x14ac:dyDescent="0.3">
      <c r="C2623" s="219"/>
      <c r="D2623" s="219"/>
      <c r="G2623" s="50">
        <f>РЕАЛИЗАЦИЯ[[#This Row],[СОНИ]]*РЕАЛИЗАЦИЯ[[#This Row],[НАРХИ]]</f>
        <v>0</v>
      </c>
      <c r="I2623" s="166"/>
      <c r="J2623" s="31">
        <f>РЕАЛИЗАЦИЯ[[#This Row],[СОНИ]]*РЕАЛИЗАЦИЯ[[#This Row],[ТАННАРХ]]</f>
        <v>0</v>
      </c>
      <c r="K2623" s="31">
        <f>РЕАЛИЗАЦИЯ[[#This Row],[ЖАМИ]]-РЕАЛИЗАЦИЯ[[#This Row],[ЖАМИ2]]</f>
        <v>0</v>
      </c>
      <c r="L2623" s="31"/>
    </row>
    <row r="2624" spans="3:12" x14ac:dyDescent="0.3">
      <c r="C2624" s="219"/>
      <c r="D2624" s="219"/>
      <c r="G2624" s="50">
        <f>РЕАЛИЗАЦИЯ[[#This Row],[СОНИ]]*РЕАЛИЗАЦИЯ[[#This Row],[НАРХИ]]</f>
        <v>0</v>
      </c>
      <c r="I2624" s="166"/>
      <c r="J2624" s="31">
        <f>РЕАЛИЗАЦИЯ[[#This Row],[СОНИ]]*РЕАЛИЗАЦИЯ[[#This Row],[ТАННАРХ]]</f>
        <v>0</v>
      </c>
      <c r="K2624" s="31">
        <f>РЕАЛИЗАЦИЯ[[#This Row],[ЖАМИ]]-РЕАЛИЗАЦИЯ[[#This Row],[ЖАМИ2]]</f>
        <v>0</v>
      </c>
      <c r="L2624" s="31"/>
    </row>
    <row r="2625" spans="3:12" x14ac:dyDescent="0.3">
      <c r="C2625" s="219"/>
      <c r="D2625" s="219"/>
      <c r="G2625" s="50">
        <f>РЕАЛИЗАЦИЯ[[#This Row],[СОНИ]]*РЕАЛИЗАЦИЯ[[#This Row],[НАРХИ]]</f>
        <v>0</v>
      </c>
      <c r="I2625" s="166"/>
      <c r="J2625" s="31">
        <f>РЕАЛИЗАЦИЯ[[#This Row],[СОНИ]]*РЕАЛИЗАЦИЯ[[#This Row],[ТАННАРХ]]</f>
        <v>0</v>
      </c>
      <c r="K2625" s="31">
        <f>РЕАЛИЗАЦИЯ[[#This Row],[ЖАМИ]]-РЕАЛИЗАЦИЯ[[#This Row],[ЖАМИ2]]</f>
        <v>0</v>
      </c>
      <c r="L2625" s="31"/>
    </row>
    <row r="2626" spans="3:12" x14ac:dyDescent="0.3">
      <c r="C2626" s="219"/>
      <c r="D2626" s="219"/>
      <c r="G2626" s="50">
        <f>РЕАЛИЗАЦИЯ[[#This Row],[СОНИ]]*РЕАЛИЗАЦИЯ[[#This Row],[НАРХИ]]</f>
        <v>0</v>
      </c>
      <c r="I2626" s="166"/>
      <c r="J2626" s="31">
        <f>РЕАЛИЗАЦИЯ[[#This Row],[СОНИ]]*РЕАЛИЗАЦИЯ[[#This Row],[ТАННАРХ]]</f>
        <v>0</v>
      </c>
      <c r="K2626" s="31">
        <f>РЕАЛИЗАЦИЯ[[#This Row],[ЖАМИ]]-РЕАЛИЗАЦИЯ[[#This Row],[ЖАМИ2]]</f>
        <v>0</v>
      </c>
      <c r="L2626" s="31"/>
    </row>
    <row r="2627" spans="3:12" x14ac:dyDescent="0.3">
      <c r="C2627" s="219"/>
      <c r="D2627" s="219"/>
      <c r="G2627" s="50">
        <f>РЕАЛИЗАЦИЯ[[#This Row],[СОНИ]]*РЕАЛИЗАЦИЯ[[#This Row],[НАРХИ]]</f>
        <v>0</v>
      </c>
      <c r="I2627" s="166"/>
      <c r="J2627" s="31">
        <f>РЕАЛИЗАЦИЯ[[#This Row],[СОНИ]]*РЕАЛИЗАЦИЯ[[#This Row],[ТАННАРХ]]</f>
        <v>0</v>
      </c>
      <c r="K2627" s="31">
        <f>РЕАЛИЗАЦИЯ[[#This Row],[ЖАМИ]]-РЕАЛИЗАЦИЯ[[#This Row],[ЖАМИ2]]</f>
        <v>0</v>
      </c>
      <c r="L2627" s="31"/>
    </row>
    <row r="2628" spans="3:12" x14ac:dyDescent="0.3">
      <c r="C2628" s="219"/>
      <c r="D2628" s="219"/>
      <c r="G2628" s="50">
        <f>РЕАЛИЗАЦИЯ[[#This Row],[СОНИ]]*РЕАЛИЗАЦИЯ[[#This Row],[НАРХИ]]</f>
        <v>0</v>
      </c>
      <c r="I2628" s="166"/>
      <c r="J2628" s="31">
        <f>РЕАЛИЗАЦИЯ[[#This Row],[СОНИ]]*РЕАЛИЗАЦИЯ[[#This Row],[ТАННАРХ]]</f>
        <v>0</v>
      </c>
      <c r="K2628" s="31">
        <f>РЕАЛИЗАЦИЯ[[#This Row],[ЖАМИ]]-РЕАЛИЗАЦИЯ[[#This Row],[ЖАМИ2]]</f>
        <v>0</v>
      </c>
      <c r="L2628" s="31"/>
    </row>
    <row r="2629" spans="3:12" x14ac:dyDescent="0.3">
      <c r="C2629" s="219"/>
      <c r="D2629" s="219"/>
      <c r="G2629" s="50">
        <f>РЕАЛИЗАЦИЯ[[#This Row],[СОНИ]]*РЕАЛИЗАЦИЯ[[#This Row],[НАРХИ]]</f>
        <v>0</v>
      </c>
      <c r="I2629" s="166"/>
      <c r="J2629" s="31">
        <f>РЕАЛИЗАЦИЯ[[#This Row],[СОНИ]]*РЕАЛИЗАЦИЯ[[#This Row],[ТАННАРХ]]</f>
        <v>0</v>
      </c>
      <c r="K2629" s="31">
        <f>РЕАЛИЗАЦИЯ[[#This Row],[ЖАМИ]]-РЕАЛИЗАЦИЯ[[#This Row],[ЖАМИ2]]</f>
        <v>0</v>
      </c>
      <c r="L2629" s="31"/>
    </row>
    <row r="2630" spans="3:12" x14ac:dyDescent="0.3">
      <c r="C2630" s="219"/>
      <c r="D2630" s="219"/>
      <c r="G2630" s="50">
        <f>РЕАЛИЗАЦИЯ[[#This Row],[СОНИ]]*РЕАЛИЗАЦИЯ[[#This Row],[НАРХИ]]</f>
        <v>0</v>
      </c>
      <c r="I2630" s="166"/>
      <c r="J2630" s="31">
        <f>РЕАЛИЗАЦИЯ[[#This Row],[СОНИ]]*РЕАЛИЗАЦИЯ[[#This Row],[ТАННАРХ]]</f>
        <v>0</v>
      </c>
      <c r="K2630" s="31">
        <f>РЕАЛИЗАЦИЯ[[#This Row],[ЖАМИ]]-РЕАЛИЗАЦИЯ[[#This Row],[ЖАМИ2]]</f>
        <v>0</v>
      </c>
      <c r="L2630" s="31"/>
    </row>
    <row r="2631" spans="3:12" x14ac:dyDescent="0.3">
      <c r="C2631" s="219"/>
      <c r="D2631" s="219"/>
      <c r="G2631" s="50">
        <f>РЕАЛИЗАЦИЯ[[#This Row],[СОНИ]]*РЕАЛИЗАЦИЯ[[#This Row],[НАРХИ]]</f>
        <v>0</v>
      </c>
      <c r="I2631" s="166"/>
      <c r="J2631" s="31">
        <f>РЕАЛИЗАЦИЯ[[#This Row],[СОНИ]]*РЕАЛИЗАЦИЯ[[#This Row],[ТАННАРХ]]</f>
        <v>0</v>
      </c>
      <c r="K2631" s="31">
        <f>РЕАЛИЗАЦИЯ[[#This Row],[ЖАМИ]]-РЕАЛИЗАЦИЯ[[#This Row],[ЖАМИ2]]</f>
        <v>0</v>
      </c>
      <c r="L2631" s="31"/>
    </row>
    <row r="2632" spans="3:12" x14ac:dyDescent="0.3">
      <c r="C2632" s="219"/>
      <c r="D2632" s="219"/>
      <c r="G2632" s="50">
        <f>РЕАЛИЗАЦИЯ[[#This Row],[СОНИ]]*РЕАЛИЗАЦИЯ[[#This Row],[НАРХИ]]</f>
        <v>0</v>
      </c>
      <c r="I2632" s="166"/>
      <c r="J2632" s="31">
        <f>РЕАЛИЗАЦИЯ[[#This Row],[СОНИ]]*РЕАЛИЗАЦИЯ[[#This Row],[ТАННАРХ]]</f>
        <v>0</v>
      </c>
      <c r="K2632" s="31">
        <f>РЕАЛИЗАЦИЯ[[#This Row],[ЖАМИ]]-РЕАЛИЗАЦИЯ[[#This Row],[ЖАМИ2]]</f>
        <v>0</v>
      </c>
      <c r="L2632" s="31"/>
    </row>
    <row r="2633" spans="3:12" x14ac:dyDescent="0.3">
      <c r="C2633" s="219"/>
      <c r="D2633" s="219"/>
      <c r="G2633" s="50">
        <f>РЕАЛИЗАЦИЯ[[#This Row],[СОНИ]]*РЕАЛИЗАЦИЯ[[#This Row],[НАРХИ]]</f>
        <v>0</v>
      </c>
      <c r="I2633" s="166"/>
      <c r="J2633" s="31">
        <f>РЕАЛИЗАЦИЯ[[#This Row],[СОНИ]]*РЕАЛИЗАЦИЯ[[#This Row],[ТАННАРХ]]</f>
        <v>0</v>
      </c>
      <c r="K2633" s="31">
        <f>РЕАЛИЗАЦИЯ[[#This Row],[ЖАМИ]]-РЕАЛИЗАЦИЯ[[#This Row],[ЖАМИ2]]</f>
        <v>0</v>
      </c>
      <c r="L2633" s="31"/>
    </row>
    <row r="2634" spans="3:12" x14ac:dyDescent="0.3">
      <c r="C2634" s="219"/>
      <c r="D2634" s="219"/>
      <c r="G2634" s="50">
        <f>РЕАЛИЗАЦИЯ[[#This Row],[СОНИ]]*РЕАЛИЗАЦИЯ[[#This Row],[НАРХИ]]</f>
        <v>0</v>
      </c>
      <c r="I2634" s="166"/>
      <c r="J2634" s="31">
        <f>РЕАЛИЗАЦИЯ[[#This Row],[СОНИ]]*РЕАЛИЗАЦИЯ[[#This Row],[ТАННАРХ]]</f>
        <v>0</v>
      </c>
      <c r="K2634" s="31">
        <f>РЕАЛИЗАЦИЯ[[#This Row],[ЖАМИ]]-РЕАЛИЗАЦИЯ[[#This Row],[ЖАМИ2]]</f>
        <v>0</v>
      </c>
      <c r="L2634" s="31"/>
    </row>
    <row r="2635" spans="3:12" x14ac:dyDescent="0.3">
      <c r="C2635" s="219"/>
      <c r="D2635" s="219"/>
      <c r="G2635" s="50">
        <f>РЕАЛИЗАЦИЯ[[#This Row],[СОНИ]]*РЕАЛИЗАЦИЯ[[#This Row],[НАРХИ]]</f>
        <v>0</v>
      </c>
      <c r="I2635" s="166"/>
      <c r="J2635" s="31">
        <f>РЕАЛИЗАЦИЯ[[#This Row],[СОНИ]]*РЕАЛИЗАЦИЯ[[#This Row],[ТАННАРХ]]</f>
        <v>0</v>
      </c>
      <c r="K2635" s="31">
        <f>РЕАЛИЗАЦИЯ[[#This Row],[ЖАМИ]]-РЕАЛИЗАЦИЯ[[#This Row],[ЖАМИ2]]</f>
        <v>0</v>
      </c>
      <c r="L2635" s="31"/>
    </row>
    <row r="2636" spans="3:12" x14ac:dyDescent="0.3">
      <c r="C2636" s="219"/>
      <c r="D2636" s="219"/>
      <c r="G2636" s="50">
        <f>РЕАЛИЗАЦИЯ[[#This Row],[СОНИ]]*РЕАЛИЗАЦИЯ[[#This Row],[НАРХИ]]</f>
        <v>0</v>
      </c>
      <c r="I2636" s="166"/>
      <c r="J2636" s="31">
        <f>РЕАЛИЗАЦИЯ[[#This Row],[СОНИ]]*РЕАЛИЗАЦИЯ[[#This Row],[ТАННАРХ]]</f>
        <v>0</v>
      </c>
      <c r="K2636" s="31">
        <f>РЕАЛИЗАЦИЯ[[#This Row],[ЖАМИ]]-РЕАЛИЗАЦИЯ[[#This Row],[ЖАМИ2]]</f>
        <v>0</v>
      </c>
      <c r="L2636" s="31"/>
    </row>
    <row r="2637" spans="3:12" x14ac:dyDescent="0.3">
      <c r="C2637" s="219"/>
      <c r="D2637" s="219"/>
      <c r="G2637" s="50">
        <f>РЕАЛИЗАЦИЯ[[#This Row],[СОНИ]]*РЕАЛИЗАЦИЯ[[#This Row],[НАРХИ]]</f>
        <v>0</v>
      </c>
      <c r="I2637" s="166"/>
      <c r="J2637" s="31">
        <f>РЕАЛИЗАЦИЯ[[#This Row],[СОНИ]]*РЕАЛИЗАЦИЯ[[#This Row],[ТАННАРХ]]</f>
        <v>0</v>
      </c>
      <c r="K2637" s="31">
        <f>РЕАЛИЗАЦИЯ[[#This Row],[ЖАМИ]]-РЕАЛИЗАЦИЯ[[#This Row],[ЖАМИ2]]</f>
        <v>0</v>
      </c>
      <c r="L2637" s="31"/>
    </row>
    <row r="2638" spans="3:12" x14ac:dyDescent="0.3">
      <c r="C2638" s="219"/>
      <c r="D2638" s="219"/>
      <c r="G2638" s="50">
        <f>РЕАЛИЗАЦИЯ[[#This Row],[СОНИ]]*РЕАЛИЗАЦИЯ[[#This Row],[НАРХИ]]</f>
        <v>0</v>
      </c>
      <c r="I2638" s="166"/>
      <c r="J2638" s="31">
        <f>РЕАЛИЗАЦИЯ[[#This Row],[СОНИ]]*РЕАЛИЗАЦИЯ[[#This Row],[ТАННАРХ]]</f>
        <v>0</v>
      </c>
      <c r="K2638" s="31">
        <f>РЕАЛИЗАЦИЯ[[#This Row],[ЖАМИ]]-РЕАЛИЗАЦИЯ[[#This Row],[ЖАМИ2]]</f>
        <v>0</v>
      </c>
      <c r="L2638" s="31"/>
    </row>
    <row r="2639" spans="3:12" x14ac:dyDescent="0.3">
      <c r="C2639" s="219"/>
      <c r="D2639" s="219"/>
      <c r="G2639" s="50">
        <f>РЕАЛИЗАЦИЯ[[#This Row],[СОНИ]]*РЕАЛИЗАЦИЯ[[#This Row],[НАРХИ]]</f>
        <v>0</v>
      </c>
      <c r="I2639" s="166"/>
      <c r="J2639" s="31">
        <f>РЕАЛИЗАЦИЯ[[#This Row],[СОНИ]]*РЕАЛИЗАЦИЯ[[#This Row],[ТАННАРХ]]</f>
        <v>0</v>
      </c>
      <c r="K2639" s="31">
        <f>РЕАЛИЗАЦИЯ[[#This Row],[ЖАМИ]]-РЕАЛИЗАЦИЯ[[#This Row],[ЖАМИ2]]</f>
        <v>0</v>
      </c>
      <c r="L2639" s="31"/>
    </row>
    <row r="2640" spans="3:12" x14ac:dyDescent="0.3">
      <c r="C2640" s="219"/>
      <c r="D2640" s="219"/>
      <c r="G2640" s="50">
        <f>РЕАЛИЗАЦИЯ[[#This Row],[СОНИ]]*РЕАЛИЗАЦИЯ[[#This Row],[НАРХИ]]</f>
        <v>0</v>
      </c>
      <c r="I2640" s="166"/>
      <c r="J2640" s="31">
        <f>РЕАЛИЗАЦИЯ[[#This Row],[СОНИ]]*РЕАЛИЗАЦИЯ[[#This Row],[ТАННАРХ]]</f>
        <v>0</v>
      </c>
      <c r="K2640" s="31">
        <f>РЕАЛИЗАЦИЯ[[#This Row],[ЖАМИ]]-РЕАЛИЗАЦИЯ[[#This Row],[ЖАМИ2]]</f>
        <v>0</v>
      </c>
      <c r="L2640" s="31"/>
    </row>
    <row r="2641" spans="3:12" x14ac:dyDescent="0.3">
      <c r="C2641" s="225"/>
      <c r="D2641" s="225"/>
      <c r="G2641" s="50">
        <f>РЕАЛИЗАЦИЯ[[#This Row],[СОНИ]]*РЕАЛИЗАЦИЯ[[#This Row],[НАРХИ]]</f>
        <v>0</v>
      </c>
      <c r="I2641" s="166"/>
      <c r="J2641" s="31">
        <f>РЕАЛИЗАЦИЯ[[#This Row],[СОНИ]]*РЕАЛИЗАЦИЯ[[#This Row],[ТАННАРХ]]</f>
        <v>0</v>
      </c>
      <c r="K2641" s="31">
        <f>РЕАЛИЗАЦИЯ[[#This Row],[ЖАМИ]]-РЕАЛИЗАЦИЯ[[#This Row],[ЖАМИ2]]</f>
        <v>0</v>
      </c>
      <c r="L2641" s="31"/>
    </row>
    <row r="2642" spans="3:12" x14ac:dyDescent="0.3">
      <c r="C2642" s="219"/>
      <c r="D2642" s="219"/>
      <c r="G2642" s="50">
        <f>РЕАЛИЗАЦИЯ[[#This Row],[СОНИ]]*РЕАЛИЗАЦИЯ[[#This Row],[НАРХИ]]</f>
        <v>0</v>
      </c>
      <c r="I2642" s="166"/>
      <c r="J2642" s="31">
        <f>РЕАЛИЗАЦИЯ[[#This Row],[СОНИ]]*РЕАЛИЗАЦИЯ[[#This Row],[ТАННАРХ]]</f>
        <v>0</v>
      </c>
      <c r="K2642" s="31">
        <f>РЕАЛИЗАЦИЯ[[#This Row],[ЖАМИ]]-РЕАЛИЗАЦИЯ[[#This Row],[ЖАМИ2]]</f>
        <v>0</v>
      </c>
      <c r="L2642" s="31"/>
    </row>
    <row r="2643" spans="3:12" x14ac:dyDescent="0.3">
      <c r="C2643" s="219"/>
      <c r="D2643" s="219"/>
      <c r="G2643" s="50">
        <f>РЕАЛИЗАЦИЯ[[#This Row],[СОНИ]]*РЕАЛИЗАЦИЯ[[#This Row],[НАРХИ]]</f>
        <v>0</v>
      </c>
      <c r="I2643" s="166"/>
      <c r="J2643" s="31">
        <f>РЕАЛИЗАЦИЯ[[#This Row],[СОНИ]]*РЕАЛИЗАЦИЯ[[#This Row],[ТАННАРХ]]</f>
        <v>0</v>
      </c>
      <c r="K2643" s="31">
        <f>РЕАЛИЗАЦИЯ[[#This Row],[ЖАМИ]]-РЕАЛИЗАЦИЯ[[#This Row],[ЖАМИ2]]</f>
        <v>0</v>
      </c>
      <c r="L2643" s="31"/>
    </row>
    <row r="2644" spans="3:12" x14ac:dyDescent="0.3">
      <c r="C2644" s="219"/>
      <c r="D2644" s="219"/>
      <c r="G2644" s="50">
        <f>РЕАЛИЗАЦИЯ[[#This Row],[СОНИ]]*РЕАЛИЗАЦИЯ[[#This Row],[НАРХИ]]</f>
        <v>0</v>
      </c>
      <c r="I2644" s="166"/>
      <c r="J2644" s="31">
        <f>РЕАЛИЗАЦИЯ[[#This Row],[СОНИ]]*РЕАЛИЗАЦИЯ[[#This Row],[ТАННАРХ]]</f>
        <v>0</v>
      </c>
      <c r="K2644" s="31">
        <f>РЕАЛИЗАЦИЯ[[#This Row],[ЖАМИ]]-РЕАЛИЗАЦИЯ[[#This Row],[ЖАМИ2]]</f>
        <v>0</v>
      </c>
      <c r="L2644" s="31"/>
    </row>
    <row r="2645" spans="3:12" x14ac:dyDescent="0.3">
      <c r="C2645" s="219"/>
      <c r="D2645" s="219"/>
      <c r="G2645" s="50">
        <f>РЕАЛИЗАЦИЯ[[#This Row],[СОНИ]]*РЕАЛИЗАЦИЯ[[#This Row],[НАРХИ]]</f>
        <v>0</v>
      </c>
      <c r="I2645" s="166"/>
      <c r="J2645" s="31">
        <f>РЕАЛИЗАЦИЯ[[#This Row],[СОНИ]]*РЕАЛИЗАЦИЯ[[#This Row],[ТАННАРХ]]</f>
        <v>0</v>
      </c>
      <c r="K2645" s="31">
        <f>РЕАЛИЗАЦИЯ[[#This Row],[ЖАМИ]]-РЕАЛИЗАЦИЯ[[#This Row],[ЖАМИ2]]</f>
        <v>0</v>
      </c>
      <c r="L2645" s="31"/>
    </row>
    <row r="2646" spans="3:12" x14ac:dyDescent="0.3">
      <c r="C2646" s="219"/>
      <c r="D2646" s="219"/>
      <c r="G2646" s="50">
        <f>РЕАЛИЗАЦИЯ[[#This Row],[СОНИ]]*РЕАЛИЗАЦИЯ[[#This Row],[НАРХИ]]</f>
        <v>0</v>
      </c>
      <c r="I2646" s="166"/>
      <c r="J2646" s="31">
        <f>РЕАЛИЗАЦИЯ[[#This Row],[СОНИ]]*РЕАЛИЗАЦИЯ[[#This Row],[ТАННАРХ]]</f>
        <v>0</v>
      </c>
      <c r="K2646" s="31">
        <f>РЕАЛИЗАЦИЯ[[#This Row],[ЖАМИ]]-РЕАЛИЗАЦИЯ[[#This Row],[ЖАМИ2]]</f>
        <v>0</v>
      </c>
      <c r="L2646" s="31"/>
    </row>
    <row r="2647" spans="3:12" x14ac:dyDescent="0.3">
      <c r="C2647" s="219"/>
      <c r="D2647" s="219"/>
      <c r="G2647" s="50">
        <f>РЕАЛИЗАЦИЯ[[#This Row],[СОНИ]]*РЕАЛИЗАЦИЯ[[#This Row],[НАРХИ]]</f>
        <v>0</v>
      </c>
      <c r="I2647" s="166"/>
      <c r="J2647" s="31">
        <f>РЕАЛИЗАЦИЯ[[#This Row],[СОНИ]]*РЕАЛИЗАЦИЯ[[#This Row],[ТАННАРХ]]</f>
        <v>0</v>
      </c>
      <c r="K2647" s="31">
        <f>РЕАЛИЗАЦИЯ[[#This Row],[ЖАМИ]]-РЕАЛИЗАЦИЯ[[#This Row],[ЖАМИ2]]</f>
        <v>0</v>
      </c>
      <c r="L2647" s="31"/>
    </row>
    <row r="2648" spans="3:12" x14ac:dyDescent="0.3">
      <c r="C2648" s="219"/>
      <c r="D2648" s="219"/>
      <c r="G2648" s="50">
        <f>РЕАЛИЗАЦИЯ[[#This Row],[СОНИ]]*РЕАЛИЗАЦИЯ[[#This Row],[НАРХИ]]</f>
        <v>0</v>
      </c>
      <c r="I2648" s="94"/>
      <c r="J2648" s="31">
        <f>РЕАЛИЗАЦИЯ[[#This Row],[СОНИ]]*РЕАЛИЗАЦИЯ[[#This Row],[ТАННАРХ]]</f>
        <v>0</v>
      </c>
      <c r="K2648" s="31">
        <f>РЕАЛИЗАЦИЯ[[#This Row],[ЖАМИ]]-РЕАЛИЗАЦИЯ[[#This Row],[ЖАМИ2]]</f>
        <v>0</v>
      </c>
      <c r="L2648" s="31"/>
    </row>
    <row r="2649" spans="3:12" x14ac:dyDescent="0.3">
      <c r="C2649" s="219"/>
      <c r="D2649" s="219"/>
      <c r="G2649" s="50">
        <f>РЕАЛИЗАЦИЯ[[#This Row],[СОНИ]]*РЕАЛИЗАЦИЯ[[#This Row],[НАРХИ]]</f>
        <v>0</v>
      </c>
      <c r="I2649" s="94"/>
      <c r="J2649" s="31">
        <f>РЕАЛИЗАЦИЯ[[#This Row],[СОНИ]]*РЕАЛИЗАЦИЯ[[#This Row],[ТАННАРХ]]</f>
        <v>0</v>
      </c>
      <c r="K2649" s="31">
        <f>РЕАЛИЗАЦИЯ[[#This Row],[ЖАМИ]]-РЕАЛИЗАЦИЯ[[#This Row],[ЖАМИ2]]</f>
        <v>0</v>
      </c>
      <c r="L2649" s="31"/>
    </row>
    <row r="2650" spans="3:12" x14ac:dyDescent="0.3">
      <c r="C2650" s="219"/>
      <c r="D2650" s="219"/>
      <c r="G2650" s="50">
        <f>РЕАЛИЗАЦИЯ[[#This Row],[СОНИ]]*РЕАЛИЗАЦИЯ[[#This Row],[НАРХИ]]</f>
        <v>0</v>
      </c>
      <c r="I2650" s="166"/>
      <c r="J2650" s="31">
        <f>РЕАЛИЗАЦИЯ[[#This Row],[СОНИ]]*РЕАЛИЗАЦИЯ[[#This Row],[ТАННАРХ]]</f>
        <v>0</v>
      </c>
      <c r="K2650" s="31">
        <f>РЕАЛИЗАЦИЯ[[#This Row],[ЖАМИ]]-РЕАЛИЗАЦИЯ[[#This Row],[ЖАМИ2]]</f>
        <v>0</v>
      </c>
      <c r="L2650" s="31"/>
    </row>
    <row r="2651" spans="3:12" x14ac:dyDescent="0.3">
      <c r="C2651" s="219"/>
      <c r="D2651" s="219"/>
      <c r="G2651" s="50">
        <f>РЕАЛИЗАЦИЯ[[#This Row],[СОНИ]]*РЕАЛИЗАЦИЯ[[#This Row],[НАРХИ]]</f>
        <v>0</v>
      </c>
      <c r="I2651" s="166"/>
      <c r="J2651" s="31">
        <f>РЕАЛИЗАЦИЯ[[#This Row],[СОНИ]]*РЕАЛИЗАЦИЯ[[#This Row],[ТАННАРХ]]</f>
        <v>0</v>
      </c>
      <c r="K2651" s="31">
        <f>РЕАЛИЗАЦИЯ[[#This Row],[ЖАМИ]]-РЕАЛИЗАЦИЯ[[#This Row],[ЖАМИ2]]</f>
        <v>0</v>
      </c>
      <c r="L2651" s="31"/>
    </row>
    <row r="2652" spans="3:12" x14ac:dyDescent="0.3">
      <c r="C2652" s="219"/>
      <c r="D2652" s="219"/>
      <c r="G2652" s="50">
        <f>РЕАЛИЗАЦИЯ[[#This Row],[СОНИ]]*РЕАЛИЗАЦИЯ[[#This Row],[НАРХИ]]</f>
        <v>0</v>
      </c>
      <c r="I2652" s="166"/>
      <c r="J2652" s="31">
        <f>РЕАЛИЗАЦИЯ[[#This Row],[СОНИ]]*РЕАЛИЗАЦИЯ[[#This Row],[ТАННАРХ]]</f>
        <v>0</v>
      </c>
      <c r="K2652" s="31">
        <f>РЕАЛИЗАЦИЯ[[#This Row],[ЖАМИ]]-РЕАЛИЗАЦИЯ[[#This Row],[ЖАМИ2]]</f>
        <v>0</v>
      </c>
      <c r="L2652" s="31"/>
    </row>
    <row r="2653" spans="3:12" x14ac:dyDescent="0.3">
      <c r="C2653" s="219"/>
      <c r="D2653" s="219"/>
      <c r="G2653" s="50">
        <f>РЕАЛИЗАЦИЯ[[#This Row],[СОНИ]]*РЕАЛИЗАЦИЯ[[#This Row],[НАРХИ]]</f>
        <v>0</v>
      </c>
      <c r="I2653" s="166"/>
      <c r="J2653" s="31">
        <f>РЕАЛИЗАЦИЯ[[#This Row],[СОНИ]]*РЕАЛИЗАЦИЯ[[#This Row],[ТАННАРХ]]</f>
        <v>0</v>
      </c>
      <c r="K2653" s="31">
        <f>РЕАЛИЗАЦИЯ[[#This Row],[ЖАМИ]]-РЕАЛИЗАЦИЯ[[#This Row],[ЖАМИ2]]</f>
        <v>0</v>
      </c>
      <c r="L2653" s="31"/>
    </row>
    <row r="2654" spans="3:12" x14ac:dyDescent="0.3">
      <c r="C2654" s="219"/>
      <c r="D2654" s="219"/>
      <c r="G2654" s="50">
        <f>РЕАЛИЗАЦИЯ[[#This Row],[СОНИ]]*РЕАЛИЗАЦИЯ[[#This Row],[НАРХИ]]</f>
        <v>0</v>
      </c>
      <c r="I2654" s="166"/>
      <c r="J2654" s="31">
        <f>РЕАЛИЗАЦИЯ[[#This Row],[СОНИ]]*РЕАЛИЗАЦИЯ[[#This Row],[ТАННАРХ]]</f>
        <v>0</v>
      </c>
      <c r="K2654" s="31">
        <f>РЕАЛИЗАЦИЯ[[#This Row],[ЖАМИ]]-РЕАЛИЗАЦИЯ[[#This Row],[ЖАМИ2]]</f>
        <v>0</v>
      </c>
      <c r="L2654" s="31"/>
    </row>
    <row r="2655" spans="3:12" x14ac:dyDescent="0.3">
      <c r="C2655" s="219"/>
      <c r="D2655" s="219"/>
      <c r="G2655" s="50">
        <f>РЕАЛИЗАЦИЯ[[#This Row],[СОНИ]]*РЕАЛИЗАЦИЯ[[#This Row],[НАРХИ]]</f>
        <v>0</v>
      </c>
      <c r="I2655" s="166"/>
      <c r="J2655" s="31">
        <f>РЕАЛИЗАЦИЯ[[#This Row],[СОНИ]]*РЕАЛИЗАЦИЯ[[#This Row],[ТАННАРХ]]</f>
        <v>0</v>
      </c>
      <c r="K2655" s="31">
        <f>РЕАЛИЗАЦИЯ[[#This Row],[ЖАМИ]]-РЕАЛИЗАЦИЯ[[#This Row],[ЖАМИ2]]</f>
        <v>0</v>
      </c>
      <c r="L2655" s="31"/>
    </row>
    <row r="2656" spans="3:12" x14ac:dyDescent="0.3">
      <c r="C2656" s="219"/>
      <c r="D2656" s="219"/>
      <c r="G2656" s="50">
        <f>РЕАЛИЗАЦИЯ[[#This Row],[СОНИ]]*РЕАЛИЗАЦИЯ[[#This Row],[НАРХИ]]</f>
        <v>0</v>
      </c>
      <c r="I2656" s="166"/>
      <c r="J2656" s="31">
        <f>РЕАЛИЗАЦИЯ[[#This Row],[СОНИ]]*РЕАЛИЗАЦИЯ[[#This Row],[ТАННАРХ]]</f>
        <v>0</v>
      </c>
      <c r="K2656" s="31">
        <f>РЕАЛИЗАЦИЯ[[#This Row],[ЖАМИ]]-РЕАЛИЗАЦИЯ[[#This Row],[ЖАМИ2]]</f>
        <v>0</v>
      </c>
      <c r="L2656" s="31"/>
    </row>
    <row r="2657" spans="3:12" x14ac:dyDescent="0.3">
      <c r="C2657" s="219"/>
      <c r="D2657" s="219"/>
      <c r="G2657" s="50">
        <f>РЕАЛИЗАЦИЯ[[#This Row],[СОНИ]]*РЕАЛИЗАЦИЯ[[#This Row],[НАРХИ]]</f>
        <v>0</v>
      </c>
      <c r="I2657" s="166"/>
      <c r="J2657" s="31">
        <f>РЕАЛИЗАЦИЯ[[#This Row],[СОНИ]]*РЕАЛИЗАЦИЯ[[#This Row],[ТАННАРХ]]</f>
        <v>0</v>
      </c>
      <c r="K2657" s="31">
        <f>РЕАЛИЗАЦИЯ[[#This Row],[ЖАМИ]]-РЕАЛИЗАЦИЯ[[#This Row],[ЖАМИ2]]</f>
        <v>0</v>
      </c>
      <c r="L2657" s="31"/>
    </row>
    <row r="2658" spans="3:12" x14ac:dyDescent="0.3">
      <c r="C2658" s="219"/>
      <c r="D2658" s="219"/>
      <c r="G2658" s="50">
        <f>РЕАЛИЗАЦИЯ[[#This Row],[СОНИ]]*РЕАЛИЗАЦИЯ[[#This Row],[НАРХИ]]</f>
        <v>0</v>
      </c>
      <c r="I2658" s="166"/>
      <c r="J2658" s="31">
        <f>РЕАЛИЗАЦИЯ[[#This Row],[СОНИ]]*РЕАЛИЗАЦИЯ[[#This Row],[ТАННАРХ]]</f>
        <v>0</v>
      </c>
      <c r="K2658" s="31">
        <f>РЕАЛИЗАЦИЯ[[#This Row],[ЖАМИ]]-РЕАЛИЗАЦИЯ[[#This Row],[ЖАМИ2]]</f>
        <v>0</v>
      </c>
      <c r="L2658" s="31"/>
    </row>
    <row r="2659" spans="3:12" x14ac:dyDescent="0.3">
      <c r="C2659" s="219"/>
      <c r="D2659" s="219"/>
      <c r="G2659" s="50">
        <f>РЕАЛИЗАЦИЯ[[#This Row],[СОНИ]]*РЕАЛИЗАЦИЯ[[#This Row],[НАРХИ]]</f>
        <v>0</v>
      </c>
      <c r="I2659" s="166"/>
      <c r="J2659" s="31">
        <f>РЕАЛИЗАЦИЯ[[#This Row],[СОНИ]]*РЕАЛИЗАЦИЯ[[#This Row],[ТАННАРХ]]</f>
        <v>0</v>
      </c>
      <c r="K2659" s="31">
        <f>РЕАЛИЗАЦИЯ[[#This Row],[ЖАМИ]]-РЕАЛИЗАЦИЯ[[#This Row],[ЖАМИ2]]</f>
        <v>0</v>
      </c>
      <c r="L2659" s="31"/>
    </row>
    <row r="2660" spans="3:12" x14ac:dyDescent="0.3">
      <c r="C2660" s="219"/>
      <c r="D2660" s="219"/>
      <c r="G2660" s="50">
        <f>РЕАЛИЗАЦИЯ[[#This Row],[СОНИ]]*РЕАЛИЗАЦИЯ[[#This Row],[НАРХИ]]</f>
        <v>0</v>
      </c>
      <c r="I2660" s="166"/>
      <c r="J2660" s="31">
        <f>РЕАЛИЗАЦИЯ[[#This Row],[СОНИ]]*РЕАЛИЗАЦИЯ[[#This Row],[ТАННАРХ]]</f>
        <v>0</v>
      </c>
      <c r="K2660" s="31">
        <f>РЕАЛИЗАЦИЯ[[#This Row],[ЖАМИ]]-РЕАЛИЗАЦИЯ[[#This Row],[ЖАМИ2]]</f>
        <v>0</v>
      </c>
      <c r="L2660" s="31"/>
    </row>
    <row r="2661" spans="3:12" x14ac:dyDescent="0.3">
      <c r="C2661" s="219"/>
      <c r="D2661" s="219"/>
      <c r="G2661" s="50">
        <f>РЕАЛИЗАЦИЯ[[#This Row],[СОНИ]]*РЕАЛИЗАЦИЯ[[#This Row],[НАРХИ]]</f>
        <v>0</v>
      </c>
      <c r="I2661" s="166"/>
      <c r="J2661" s="31">
        <f>РЕАЛИЗАЦИЯ[[#This Row],[СОНИ]]*РЕАЛИЗАЦИЯ[[#This Row],[ТАННАРХ]]</f>
        <v>0</v>
      </c>
      <c r="K2661" s="31">
        <f>РЕАЛИЗАЦИЯ[[#This Row],[ЖАМИ]]-РЕАЛИЗАЦИЯ[[#This Row],[ЖАМИ2]]</f>
        <v>0</v>
      </c>
      <c r="L2661" s="31"/>
    </row>
    <row r="2662" spans="3:12" x14ac:dyDescent="0.3">
      <c r="C2662" s="219"/>
      <c r="D2662" s="219"/>
      <c r="G2662" s="50">
        <f>РЕАЛИЗАЦИЯ[[#This Row],[СОНИ]]*РЕАЛИЗАЦИЯ[[#This Row],[НАРХИ]]</f>
        <v>0</v>
      </c>
      <c r="I2662" s="166"/>
      <c r="J2662" s="31">
        <f>РЕАЛИЗАЦИЯ[[#This Row],[СОНИ]]*РЕАЛИЗАЦИЯ[[#This Row],[ТАННАРХ]]</f>
        <v>0</v>
      </c>
      <c r="K2662" s="31">
        <f>РЕАЛИЗАЦИЯ[[#This Row],[ЖАМИ]]-РЕАЛИЗАЦИЯ[[#This Row],[ЖАМИ2]]</f>
        <v>0</v>
      </c>
      <c r="L2662" s="31"/>
    </row>
    <row r="2663" spans="3:12" x14ac:dyDescent="0.3">
      <c r="C2663" s="219"/>
      <c r="D2663" s="219"/>
      <c r="G2663" s="50">
        <f>РЕАЛИЗАЦИЯ[[#This Row],[СОНИ]]*РЕАЛИЗАЦИЯ[[#This Row],[НАРХИ]]</f>
        <v>0</v>
      </c>
      <c r="I2663" s="166"/>
      <c r="J2663" s="31">
        <f>РЕАЛИЗАЦИЯ[[#This Row],[СОНИ]]*РЕАЛИЗАЦИЯ[[#This Row],[ТАННАРХ]]</f>
        <v>0</v>
      </c>
      <c r="K2663" s="31">
        <f>РЕАЛИЗАЦИЯ[[#This Row],[ЖАМИ]]-РЕАЛИЗАЦИЯ[[#This Row],[ЖАМИ2]]</f>
        <v>0</v>
      </c>
      <c r="L2663" s="31"/>
    </row>
    <row r="2664" spans="3:12" x14ac:dyDescent="0.3">
      <c r="C2664" s="219"/>
      <c r="D2664" s="219"/>
      <c r="G2664" s="50">
        <f>РЕАЛИЗАЦИЯ[[#This Row],[СОНИ]]*РЕАЛИЗАЦИЯ[[#This Row],[НАРХИ]]</f>
        <v>0</v>
      </c>
      <c r="I2664" s="166"/>
      <c r="J2664" s="31">
        <f>РЕАЛИЗАЦИЯ[[#This Row],[СОНИ]]*РЕАЛИЗАЦИЯ[[#This Row],[ТАННАРХ]]</f>
        <v>0</v>
      </c>
      <c r="K2664" s="31">
        <f>РЕАЛИЗАЦИЯ[[#This Row],[ЖАМИ]]-РЕАЛИЗАЦИЯ[[#This Row],[ЖАМИ2]]</f>
        <v>0</v>
      </c>
      <c r="L2664" s="31"/>
    </row>
    <row r="2665" spans="3:12" x14ac:dyDescent="0.3">
      <c r="C2665" s="219"/>
      <c r="D2665" s="219"/>
      <c r="G2665" s="50">
        <f>РЕАЛИЗАЦИЯ[[#This Row],[СОНИ]]*РЕАЛИЗАЦИЯ[[#This Row],[НАРХИ]]</f>
        <v>0</v>
      </c>
      <c r="I2665" s="166"/>
      <c r="J2665" s="31">
        <f>РЕАЛИЗАЦИЯ[[#This Row],[СОНИ]]*РЕАЛИЗАЦИЯ[[#This Row],[ТАННАРХ]]</f>
        <v>0</v>
      </c>
      <c r="K2665" s="31">
        <f>РЕАЛИЗАЦИЯ[[#This Row],[ЖАМИ]]-РЕАЛИЗАЦИЯ[[#This Row],[ЖАМИ2]]</f>
        <v>0</v>
      </c>
      <c r="L2665" s="31"/>
    </row>
    <row r="2666" spans="3:12" x14ac:dyDescent="0.3">
      <c r="C2666" s="219"/>
      <c r="D2666" s="219"/>
      <c r="G2666" s="50">
        <f>РЕАЛИЗАЦИЯ[[#This Row],[СОНИ]]*РЕАЛИЗАЦИЯ[[#This Row],[НАРХИ]]</f>
        <v>0</v>
      </c>
      <c r="I2666" s="166"/>
      <c r="J2666" s="31">
        <f>РЕАЛИЗАЦИЯ[[#This Row],[СОНИ]]*РЕАЛИЗАЦИЯ[[#This Row],[ТАННАРХ]]</f>
        <v>0</v>
      </c>
      <c r="K2666" s="31">
        <f>РЕАЛИЗАЦИЯ[[#This Row],[ЖАМИ]]-РЕАЛИЗАЦИЯ[[#This Row],[ЖАМИ2]]</f>
        <v>0</v>
      </c>
      <c r="L2666" s="31"/>
    </row>
    <row r="2667" spans="3:12" x14ac:dyDescent="0.3">
      <c r="C2667" s="219"/>
      <c r="D2667" s="219"/>
      <c r="G2667" s="50">
        <f>РЕАЛИЗАЦИЯ[[#This Row],[СОНИ]]*РЕАЛИЗАЦИЯ[[#This Row],[НАРХИ]]</f>
        <v>0</v>
      </c>
      <c r="I2667" s="166"/>
      <c r="J2667" s="31">
        <f>РЕАЛИЗАЦИЯ[[#This Row],[СОНИ]]*РЕАЛИЗАЦИЯ[[#This Row],[ТАННАРХ]]</f>
        <v>0</v>
      </c>
      <c r="K2667" s="31">
        <f>РЕАЛИЗАЦИЯ[[#This Row],[ЖАМИ]]-РЕАЛИЗАЦИЯ[[#This Row],[ЖАМИ2]]</f>
        <v>0</v>
      </c>
      <c r="L2667" s="31"/>
    </row>
    <row r="2668" spans="3:12" x14ac:dyDescent="0.3">
      <c r="C2668" s="219"/>
      <c r="D2668" s="219"/>
      <c r="G2668" s="50">
        <f>РЕАЛИЗАЦИЯ[[#This Row],[СОНИ]]*РЕАЛИЗАЦИЯ[[#This Row],[НАРХИ]]</f>
        <v>0</v>
      </c>
      <c r="I2668" s="166"/>
      <c r="J2668" s="31">
        <f>РЕАЛИЗАЦИЯ[[#This Row],[СОНИ]]*РЕАЛИЗАЦИЯ[[#This Row],[ТАННАРХ]]</f>
        <v>0</v>
      </c>
      <c r="K2668" s="31">
        <f>РЕАЛИЗАЦИЯ[[#This Row],[ЖАМИ]]-РЕАЛИЗАЦИЯ[[#This Row],[ЖАМИ2]]</f>
        <v>0</v>
      </c>
      <c r="L2668" s="31"/>
    </row>
    <row r="2669" spans="3:12" x14ac:dyDescent="0.3">
      <c r="C2669" s="219"/>
      <c r="D2669" s="219"/>
      <c r="G2669" s="50">
        <f>РЕАЛИЗАЦИЯ[[#This Row],[СОНИ]]*РЕАЛИЗАЦИЯ[[#This Row],[НАРХИ]]</f>
        <v>0</v>
      </c>
      <c r="I2669" s="166"/>
      <c r="J2669" s="31">
        <f>РЕАЛИЗАЦИЯ[[#This Row],[СОНИ]]*РЕАЛИЗАЦИЯ[[#This Row],[ТАННАРХ]]</f>
        <v>0</v>
      </c>
      <c r="K2669" s="31">
        <f>РЕАЛИЗАЦИЯ[[#This Row],[ЖАМИ]]-РЕАЛИЗАЦИЯ[[#This Row],[ЖАМИ2]]</f>
        <v>0</v>
      </c>
      <c r="L2669" s="31"/>
    </row>
    <row r="2670" spans="3:12" x14ac:dyDescent="0.3">
      <c r="C2670" s="219"/>
      <c r="D2670" s="219"/>
      <c r="G2670" s="50">
        <f>РЕАЛИЗАЦИЯ[[#This Row],[СОНИ]]*РЕАЛИЗАЦИЯ[[#This Row],[НАРХИ]]</f>
        <v>0</v>
      </c>
      <c r="I2670" s="166"/>
      <c r="J2670" s="31">
        <f>РЕАЛИЗАЦИЯ[[#This Row],[СОНИ]]*РЕАЛИЗАЦИЯ[[#This Row],[ТАННАРХ]]</f>
        <v>0</v>
      </c>
      <c r="K2670" s="31">
        <f>РЕАЛИЗАЦИЯ[[#This Row],[ЖАМИ]]-РЕАЛИЗАЦИЯ[[#This Row],[ЖАМИ2]]</f>
        <v>0</v>
      </c>
      <c r="L2670" s="31"/>
    </row>
    <row r="2671" spans="3:12" x14ac:dyDescent="0.3">
      <c r="C2671" s="219"/>
      <c r="D2671" s="219"/>
      <c r="G2671" s="50">
        <f>РЕАЛИЗАЦИЯ[[#This Row],[СОНИ]]*РЕАЛИЗАЦИЯ[[#This Row],[НАРХИ]]</f>
        <v>0</v>
      </c>
      <c r="I2671" s="166"/>
      <c r="J2671" s="31">
        <f>РЕАЛИЗАЦИЯ[[#This Row],[СОНИ]]*РЕАЛИЗАЦИЯ[[#This Row],[ТАННАРХ]]</f>
        <v>0</v>
      </c>
      <c r="K2671" s="31">
        <f>РЕАЛИЗАЦИЯ[[#This Row],[ЖАМИ]]-РЕАЛИЗАЦИЯ[[#This Row],[ЖАМИ2]]</f>
        <v>0</v>
      </c>
      <c r="L2671" s="31"/>
    </row>
    <row r="2672" spans="3:12" x14ac:dyDescent="0.3">
      <c r="C2672" s="219"/>
      <c r="D2672" s="219"/>
      <c r="G2672" s="50">
        <f>РЕАЛИЗАЦИЯ[[#This Row],[СОНИ]]*РЕАЛИЗАЦИЯ[[#This Row],[НАРХИ]]</f>
        <v>0</v>
      </c>
      <c r="I2672" s="166"/>
      <c r="J2672" s="31">
        <f>РЕАЛИЗАЦИЯ[[#This Row],[СОНИ]]*РЕАЛИЗАЦИЯ[[#This Row],[ТАННАРХ]]</f>
        <v>0</v>
      </c>
      <c r="K2672" s="31">
        <f>РЕАЛИЗАЦИЯ[[#This Row],[ЖАМИ]]-РЕАЛИЗАЦИЯ[[#This Row],[ЖАМИ2]]</f>
        <v>0</v>
      </c>
      <c r="L2672" s="31"/>
    </row>
    <row r="2673" spans="1:12" x14ac:dyDescent="0.3">
      <c r="C2673" s="219"/>
      <c r="D2673" s="219"/>
      <c r="G2673" s="50">
        <f>РЕАЛИЗАЦИЯ[[#This Row],[СОНИ]]*РЕАЛИЗАЦИЯ[[#This Row],[НАРХИ]]</f>
        <v>0</v>
      </c>
      <c r="I2673" s="166"/>
      <c r="J2673" s="31">
        <f>РЕАЛИЗАЦИЯ[[#This Row],[СОНИ]]*РЕАЛИЗАЦИЯ[[#This Row],[ТАННАРХ]]</f>
        <v>0</v>
      </c>
      <c r="K2673" s="31">
        <f>РЕАЛИЗАЦИЯ[[#This Row],[ЖАМИ]]-РЕАЛИЗАЦИЯ[[#This Row],[ЖАМИ2]]</f>
        <v>0</v>
      </c>
      <c r="L2673" s="31"/>
    </row>
    <row r="2674" spans="1:12" x14ac:dyDescent="0.3">
      <c r="C2674" s="219"/>
      <c r="D2674" s="219"/>
      <c r="G2674" s="50">
        <f>РЕАЛИЗАЦИЯ[[#This Row],[СОНИ]]*РЕАЛИЗАЦИЯ[[#This Row],[НАРХИ]]</f>
        <v>0</v>
      </c>
      <c r="I2674" s="166"/>
      <c r="J2674" s="31">
        <f>РЕАЛИЗАЦИЯ[[#This Row],[СОНИ]]*РЕАЛИЗАЦИЯ[[#This Row],[ТАННАРХ]]</f>
        <v>0</v>
      </c>
      <c r="K2674" s="31">
        <f>РЕАЛИЗАЦИЯ[[#This Row],[ЖАМИ]]-РЕАЛИЗАЦИЯ[[#This Row],[ЖАМИ2]]</f>
        <v>0</v>
      </c>
      <c r="L2674" s="31"/>
    </row>
    <row r="2675" spans="1:12" x14ac:dyDescent="0.3">
      <c r="C2675" s="219"/>
      <c r="D2675" s="219"/>
      <c r="G2675" s="50">
        <f>РЕАЛИЗАЦИЯ[[#This Row],[СОНИ]]*РЕАЛИЗАЦИЯ[[#This Row],[НАРХИ]]</f>
        <v>0</v>
      </c>
      <c r="I2675" s="166"/>
      <c r="J2675" s="31">
        <f>РЕАЛИЗАЦИЯ[[#This Row],[СОНИ]]*РЕАЛИЗАЦИЯ[[#This Row],[ТАННАРХ]]</f>
        <v>0</v>
      </c>
      <c r="K2675" s="31">
        <f>РЕАЛИЗАЦИЯ[[#This Row],[ЖАМИ]]-РЕАЛИЗАЦИЯ[[#This Row],[ЖАМИ2]]</f>
        <v>0</v>
      </c>
      <c r="L2675" s="31"/>
    </row>
    <row r="2676" spans="1:12" x14ac:dyDescent="0.3">
      <c r="C2676" s="219"/>
      <c r="D2676" s="219"/>
      <c r="G2676" s="50">
        <f>РЕАЛИЗАЦИЯ[[#This Row],[СОНИ]]*РЕАЛИЗАЦИЯ[[#This Row],[НАРХИ]]</f>
        <v>0</v>
      </c>
      <c r="I2676" s="166"/>
      <c r="J2676" s="31">
        <f>РЕАЛИЗАЦИЯ[[#This Row],[СОНИ]]*РЕАЛИЗАЦИЯ[[#This Row],[ТАННАРХ]]</f>
        <v>0</v>
      </c>
      <c r="K2676" s="31">
        <f>РЕАЛИЗАЦИЯ[[#This Row],[ЖАМИ]]-РЕАЛИЗАЦИЯ[[#This Row],[ЖАМИ2]]</f>
        <v>0</v>
      </c>
      <c r="L2676" s="31"/>
    </row>
    <row r="2677" spans="1:12" x14ac:dyDescent="0.3">
      <c r="C2677" s="219"/>
      <c r="D2677" s="219"/>
      <c r="G2677" s="50">
        <f>РЕАЛИЗАЦИЯ[[#This Row],[СОНИ]]*РЕАЛИЗАЦИЯ[[#This Row],[НАРХИ]]</f>
        <v>0</v>
      </c>
      <c r="I2677" s="166"/>
      <c r="J2677" s="31">
        <f>РЕАЛИЗАЦИЯ[[#This Row],[СОНИ]]*РЕАЛИЗАЦИЯ[[#This Row],[ТАННАРХ]]</f>
        <v>0</v>
      </c>
      <c r="K2677" s="31">
        <f>РЕАЛИЗАЦИЯ[[#This Row],[ЖАМИ]]-РЕАЛИЗАЦИЯ[[#This Row],[ЖАМИ2]]</f>
        <v>0</v>
      </c>
      <c r="L2677" s="31"/>
    </row>
    <row r="2678" spans="1:12" x14ac:dyDescent="0.3">
      <c r="C2678" s="219"/>
      <c r="D2678" s="219"/>
      <c r="G2678" s="50">
        <f>РЕАЛИЗАЦИЯ[[#This Row],[СОНИ]]*РЕАЛИЗАЦИЯ[[#This Row],[НАРХИ]]</f>
        <v>0</v>
      </c>
      <c r="I2678" s="166"/>
      <c r="J2678" s="31">
        <f>РЕАЛИЗАЦИЯ[[#This Row],[СОНИ]]*РЕАЛИЗАЦИЯ[[#This Row],[ТАННАРХ]]</f>
        <v>0</v>
      </c>
      <c r="K2678" s="31">
        <f>РЕАЛИЗАЦИЯ[[#This Row],[ЖАМИ]]-РЕАЛИЗАЦИЯ[[#This Row],[ЖАМИ2]]</f>
        <v>0</v>
      </c>
      <c r="L2678" s="31"/>
    </row>
    <row r="2679" spans="1:12" x14ac:dyDescent="0.3">
      <c r="C2679" s="225"/>
      <c r="D2679" s="225"/>
      <c r="G2679" s="50">
        <f>РЕАЛИЗАЦИЯ[[#This Row],[СОНИ]]*РЕАЛИЗАЦИЯ[[#This Row],[НАРХИ]]</f>
        <v>0</v>
      </c>
      <c r="I2679" s="166"/>
      <c r="J2679" s="31">
        <f>РЕАЛИЗАЦИЯ[[#This Row],[СОНИ]]*РЕАЛИЗАЦИЯ[[#This Row],[ТАННАРХ]]</f>
        <v>0</v>
      </c>
      <c r="K2679" s="31">
        <f>РЕАЛИЗАЦИЯ[[#This Row],[ЖАМИ]]-РЕАЛИЗАЦИЯ[[#This Row],[ЖАМИ2]]</f>
        <v>0</v>
      </c>
      <c r="L2679" s="31"/>
    </row>
    <row r="2680" spans="1:12" x14ac:dyDescent="0.3">
      <c r="C2680" s="225"/>
      <c r="D2680" s="225"/>
      <c r="G2680" s="50">
        <f>РЕАЛИЗАЦИЯ[[#This Row],[СОНИ]]*РЕАЛИЗАЦИЯ[[#This Row],[НАРХИ]]</f>
        <v>0</v>
      </c>
      <c r="I2680" s="166"/>
      <c r="J2680" s="31">
        <f>РЕАЛИЗАЦИЯ[[#This Row],[СОНИ]]*РЕАЛИЗАЦИЯ[[#This Row],[ТАННАРХ]]</f>
        <v>0</v>
      </c>
      <c r="K2680" s="31">
        <f>РЕАЛИЗАЦИЯ[[#This Row],[ЖАМИ]]-РЕАЛИЗАЦИЯ[[#This Row],[ЖАМИ2]]</f>
        <v>0</v>
      </c>
      <c r="L2680" s="31"/>
    </row>
    <row r="2681" spans="1:12" x14ac:dyDescent="0.3">
      <c r="C2681" s="225"/>
      <c r="D2681" s="225"/>
      <c r="G2681" s="50">
        <f>РЕАЛИЗАЦИЯ[[#This Row],[СОНИ]]*РЕАЛИЗАЦИЯ[[#This Row],[НАРХИ]]</f>
        <v>0</v>
      </c>
      <c r="I2681" s="166"/>
      <c r="J2681" s="31">
        <f>РЕАЛИЗАЦИЯ[[#This Row],[СОНИ]]*РЕАЛИЗАЦИЯ[[#This Row],[ТАННАРХ]]</f>
        <v>0</v>
      </c>
      <c r="K2681" s="31">
        <f>РЕАЛИЗАЦИЯ[[#This Row],[ЖАМИ]]-РЕАЛИЗАЦИЯ[[#This Row],[ЖАМИ2]]</f>
        <v>0</v>
      </c>
      <c r="L2681" s="31"/>
    </row>
    <row r="2682" spans="1:12" x14ac:dyDescent="0.3">
      <c r="C2682" s="219"/>
      <c r="D2682" s="219"/>
      <c r="G2682" s="50">
        <f>РЕАЛИЗАЦИЯ[[#This Row],[СОНИ]]*РЕАЛИЗАЦИЯ[[#This Row],[НАРХИ]]</f>
        <v>0</v>
      </c>
      <c r="I2682" s="166"/>
      <c r="J2682" s="31">
        <f>РЕАЛИЗАЦИЯ[[#This Row],[СОНИ]]*РЕАЛИЗАЦИЯ[[#This Row],[ТАННАРХ]]</f>
        <v>0</v>
      </c>
      <c r="K2682" s="31">
        <f>РЕАЛИЗАЦИЯ[[#This Row],[ЖАМИ]]-РЕАЛИЗАЦИЯ[[#This Row],[ЖАМИ2]]</f>
        <v>0</v>
      </c>
      <c r="L2682" s="31"/>
    </row>
    <row r="2683" spans="1:12" x14ac:dyDescent="0.3">
      <c r="C2683" s="219"/>
      <c r="D2683" s="219"/>
      <c r="G2683" s="50">
        <f>РЕАЛИЗАЦИЯ[[#This Row],[СОНИ]]*РЕАЛИЗАЦИЯ[[#This Row],[НАРХИ]]</f>
        <v>0</v>
      </c>
      <c r="I2683" s="166"/>
      <c r="J2683" s="31">
        <f>РЕАЛИЗАЦИЯ[[#This Row],[СОНИ]]*РЕАЛИЗАЦИЯ[[#This Row],[ТАННАРХ]]</f>
        <v>0</v>
      </c>
      <c r="K2683" s="31">
        <f>РЕАЛИЗАЦИЯ[[#This Row],[ЖАМИ]]-РЕАЛИЗАЦИЯ[[#This Row],[ЖАМИ2]]</f>
        <v>0</v>
      </c>
      <c r="L2683" s="31"/>
    </row>
    <row r="2684" spans="1:12" x14ac:dyDescent="0.3">
      <c r="C2684" s="219"/>
      <c r="D2684" s="219"/>
      <c r="G2684" s="50">
        <f>РЕАЛИЗАЦИЯ[[#This Row],[СОНИ]]*РЕАЛИЗАЦИЯ[[#This Row],[НАРХИ]]</f>
        <v>0</v>
      </c>
      <c r="I2684" s="166"/>
      <c r="J2684" s="31">
        <f>РЕАЛИЗАЦИЯ[[#This Row],[СОНИ]]*РЕАЛИЗАЦИЯ[[#This Row],[ТАННАРХ]]</f>
        <v>0</v>
      </c>
      <c r="K2684" s="31">
        <f>РЕАЛИЗАЦИЯ[[#This Row],[ЖАМИ]]-РЕАЛИЗАЦИЯ[[#This Row],[ЖАМИ2]]</f>
        <v>0</v>
      </c>
      <c r="L2684" s="31"/>
    </row>
    <row r="2685" spans="1:12" x14ac:dyDescent="0.3">
      <c r="C2685" s="219"/>
      <c r="D2685" s="219"/>
      <c r="G2685" s="50">
        <f>РЕАЛИЗАЦИЯ[[#This Row],[СОНИ]]*РЕАЛИЗАЦИЯ[[#This Row],[НАРХИ]]</f>
        <v>0</v>
      </c>
      <c r="I2685" s="166"/>
      <c r="J2685" s="31">
        <f>РЕАЛИЗАЦИЯ[[#This Row],[СОНИ]]*РЕАЛИЗАЦИЯ[[#This Row],[ТАННАРХ]]</f>
        <v>0</v>
      </c>
      <c r="K2685" s="31">
        <f>РЕАЛИЗАЦИЯ[[#This Row],[ЖАМИ]]-РЕАЛИЗАЦИЯ[[#This Row],[ЖАМИ2]]</f>
        <v>0</v>
      </c>
      <c r="L2685" s="31"/>
    </row>
    <row r="2686" spans="1:12" x14ac:dyDescent="0.3">
      <c r="C2686" s="219"/>
      <c r="D2686" s="219"/>
      <c r="G2686" s="50">
        <f>РЕАЛИЗАЦИЯ[[#This Row],[СОНИ]]*РЕАЛИЗАЦИЯ[[#This Row],[НАРХИ]]</f>
        <v>0</v>
      </c>
      <c r="I2686" s="166"/>
      <c r="J2686" s="31">
        <f>РЕАЛИЗАЦИЯ[[#This Row],[СОНИ]]*РЕАЛИЗАЦИЯ[[#This Row],[ТАННАРХ]]</f>
        <v>0</v>
      </c>
      <c r="K2686" s="31">
        <f>РЕАЛИЗАЦИЯ[[#This Row],[ЖАМИ]]-РЕАЛИЗАЦИЯ[[#This Row],[ЖАМИ2]]</f>
        <v>0</v>
      </c>
      <c r="L2686" s="31"/>
    </row>
    <row r="2687" spans="1:12" x14ac:dyDescent="0.3">
      <c r="C2687" s="219"/>
      <c r="D2687" s="219"/>
      <c r="G2687" s="50">
        <f>РЕАЛИЗАЦИЯ[[#This Row],[СОНИ]]*РЕАЛИЗАЦИЯ[[#This Row],[НАРХИ]]</f>
        <v>0</v>
      </c>
      <c r="I2687" s="166"/>
      <c r="J2687" s="31">
        <f>РЕАЛИЗАЦИЯ[[#This Row],[СОНИ]]*РЕАЛИЗАЦИЯ[[#This Row],[ТАННАРХ]]</f>
        <v>0</v>
      </c>
      <c r="K2687" s="31">
        <f>РЕАЛИЗАЦИЯ[[#This Row],[ЖАМИ]]-РЕАЛИЗАЦИЯ[[#This Row],[ЖАМИ2]]</f>
        <v>0</v>
      </c>
      <c r="L2687" s="31"/>
    </row>
    <row r="2688" spans="1:12" s="225" customFormat="1" x14ac:dyDescent="0.3">
      <c r="A2688" s="3"/>
      <c r="B2688" s="4"/>
      <c r="C2688" s="219"/>
      <c r="D2688" s="219"/>
      <c r="E2688" s="31"/>
      <c r="F2688" s="31"/>
      <c r="G2688" s="50">
        <f>РЕАЛИЗАЦИЯ[[#This Row],[СОНИ]]*РЕАЛИЗАЦИЯ[[#This Row],[НАРХИ]]</f>
        <v>0</v>
      </c>
      <c r="H2688" s="31"/>
      <c r="I2688" s="166"/>
      <c r="J2688" s="31">
        <f>РЕАЛИЗАЦИЯ[[#This Row],[СОНИ]]*РЕАЛИЗАЦИЯ[[#This Row],[ТАННАРХ]]</f>
        <v>0</v>
      </c>
      <c r="K2688" s="31">
        <f>РЕАЛИЗАЦИЯ[[#This Row],[ЖАМИ]]-РЕАЛИЗАЦИЯ[[#This Row],[ЖАМИ2]]</f>
        <v>0</v>
      </c>
      <c r="L2688" s="31"/>
    </row>
    <row r="2689" spans="1:12" s="225" customFormat="1" x14ac:dyDescent="0.3">
      <c r="A2689" s="3"/>
      <c r="B2689" s="4"/>
      <c r="E2689" s="31"/>
      <c r="F2689" s="31"/>
      <c r="G2689" s="50">
        <f>РЕАЛИЗАЦИЯ[[#This Row],[СОНИ]]*РЕАЛИЗАЦИЯ[[#This Row],[НАРХИ]]</f>
        <v>0</v>
      </c>
      <c r="H2689" s="31"/>
      <c r="I2689" s="166"/>
      <c r="J2689" s="31">
        <f>РЕАЛИЗАЦИЯ[[#This Row],[СОНИ]]*РЕАЛИЗАЦИЯ[[#This Row],[ТАННАРХ]]</f>
        <v>0</v>
      </c>
      <c r="K2689" s="31">
        <f>РЕАЛИЗАЦИЯ[[#This Row],[ЖАМИ]]-РЕАЛИЗАЦИЯ[[#This Row],[ЖАМИ2]]</f>
        <v>0</v>
      </c>
      <c r="L2689" s="31"/>
    </row>
    <row r="2690" spans="1:12" x14ac:dyDescent="0.3">
      <c r="C2690" s="225"/>
      <c r="D2690" s="225"/>
      <c r="G2690" s="50">
        <f>РЕАЛИЗАЦИЯ[[#This Row],[СОНИ]]*РЕАЛИЗАЦИЯ[[#This Row],[НАРХИ]]</f>
        <v>0</v>
      </c>
      <c r="I2690" s="166"/>
      <c r="J2690" s="31">
        <f>РЕАЛИЗАЦИЯ[[#This Row],[СОНИ]]*РЕАЛИЗАЦИЯ[[#This Row],[ТАННАРХ]]</f>
        <v>0</v>
      </c>
      <c r="K2690" s="31">
        <f>РЕАЛИЗАЦИЯ[[#This Row],[ЖАМИ]]-РЕАЛИЗАЦИЯ[[#This Row],[ЖАМИ2]]</f>
        <v>0</v>
      </c>
      <c r="L2690" s="31"/>
    </row>
    <row r="2691" spans="1:12" x14ac:dyDescent="0.3">
      <c r="C2691" s="219"/>
      <c r="D2691" s="219"/>
      <c r="G2691" s="50">
        <f>РЕАЛИЗАЦИЯ[[#This Row],[СОНИ]]*РЕАЛИЗАЦИЯ[[#This Row],[НАРХИ]]</f>
        <v>0</v>
      </c>
      <c r="I2691" s="166"/>
      <c r="J2691" s="31">
        <f>РЕАЛИЗАЦИЯ[[#This Row],[СОНИ]]*РЕАЛИЗАЦИЯ[[#This Row],[ТАННАРХ]]</f>
        <v>0</v>
      </c>
      <c r="K2691" s="31">
        <f>РЕАЛИЗАЦИЯ[[#This Row],[ЖАМИ]]-РЕАЛИЗАЦИЯ[[#This Row],[ЖАМИ2]]</f>
        <v>0</v>
      </c>
      <c r="L2691" s="31"/>
    </row>
    <row r="2692" spans="1:12" x14ac:dyDescent="0.3">
      <c r="C2692" s="219"/>
      <c r="D2692" s="219"/>
      <c r="G2692" s="50">
        <f>РЕАЛИЗАЦИЯ[[#This Row],[СОНИ]]*РЕАЛИЗАЦИЯ[[#This Row],[НАРХИ]]</f>
        <v>0</v>
      </c>
      <c r="I2692" s="166"/>
      <c r="J2692" s="31">
        <f>РЕАЛИЗАЦИЯ[[#This Row],[СОНИ]]*РЕАЛИЗАЦИЯ[[#This Row],[ТАННАРХ]]</f>
        <v>0</v>
      </c>
      <c r="K2692" s="31">
        <f>РЕАЛИЗАЦИЯ[[#This Row],[ЖАМИ]]-РЕАЛИЗАЦИЯ[[#This Row],[ЖАМИ2]]</f>
        <v>0</v>
      </c>
      <c r="L2692" s="31"/>
    </row>
    <row r="2693" spans="1:12" x14ac:dyDescent="0.3">
      <c r="C2693" s="219"/>
      <c r="D2693" s="219"/>
      <c r="G2693" s="50">
        <f>РЕАЛИЗАЦИЯ[[#This Row],[СОНИ]]*РЕАЛИЗАЦИЯ[[#This Row],[НАРХИ]]</f>
        <v>0</v>
      </c>
      <c r="I2693" s="166"/>
      <c r="J2693" s="31">
        <f>РЕАЛИЗАЦИЯ[[#This Row],[СОНИ]]*РЕАЛИЗАЦИЯ[[#This Row],[ТАННАРХ]]</f>
        <v>0</v>
      </c>
      <c r="K2693" s="31">
        <f>РЕАЛИЗАЦИЯ[[#This Row],[ЖАМИ]]-РЕАЛИЗАЦИЯ[[#This Row],[ЖАМИ2]]</f>
        <v>0</v>
      </c>
      <c r="L2693" s="31"/>
    </row>
    <row r="2694" spans="1:12" x14ac:dyDescent="0.3">
      <c r="C2694" s="219"/>
      <c r="D2694" s="219"/>
      <c r="G2694" s="50">
        <f>РЕАЛИЗАЦИЯ[[#This Row],[СОНИ]]*РЕАЛИЗАЦИЯ[[#This Row],[НАРХИ]]</f>
        <v>0</v>
      </c>
      <c r="I2694" s="166"/>
      <c r="J2694" s="31">
        <f>РЕАЛИЗАЦИЯ[[#This Row],[СОНИ]]*РЕАЛИЗАЦИЯ[[#This Row],[ТАННАРХ]]</f>
        <v>0</v>
      </c>
      <c r="K2694" s="31">
        <f>РЕАЛИЗАЦИЯ[[#This Row],[ЖАМИ]]-РЕАЛИЗАЦИЯ[[#This Row],[ЖАМИ2]]</f>
        <v>0</v>
      </c>
      <c r="L2694" s="31"/>
    </row>
    <row r="2695" spans="1:12" x14ac:dyDescent="0.3">
      <c r="C2695" s="219"/>
      <c r="D2695" s="219"/>
      <c r="G2695" s="50">
        <f>РЕАЛИЗАЦИЯ[[#This Row],[СОНИ]]*РЕАЛИЗАЦИЯ[[#This Row],[НАРХИ]]</f>
        <v>0</v>
      </c>
      <c r="I2695" s="166"/>
      <c r="J2695" s="31">
        <f>РЕАЛИЗАЦИЯ[[#This Row],[СОНИ]]*РЕАЛИЗАЦИЯ[[#This Row],[ТАННАРХ]]</f>
        <v>0</v>
      </c>
      <c r="K2695" s="31">
        <f>РЕАЛИЗАЦИЯ[[#This Row],[ЖАМИ]]-РЕАЛИЗАЦИЯ[[#This Row],[ЖАМИ2]]</f>
        <v>0</v>
      </c>
      <c r="L2695" s="31"/>
    </row>
    <row r="2696" spans="1:12" x14ac:dyDescent="0.3">
      <c r="C2696" s="219"/>
      <c r="D2696" s="219"/>
      <c r="G2696" s="50">
        <f>РЕАЛИЗАЦИЯ[[#This Row],[СОНИ]]*РЕАЛИЗАЦИЯ[[#This Row],[НАРХИ]]</f>
        <v>0</v>
      </c>
      <c r="I2696" s="166"/>
      <c r="J2696" s="31">
        <f>РЕАЛИЗАЦИЯ[[#This Row],[СОНИ]]*РЕАЛИЗАЦИЯ[[#This Row],[ТАННАРХ]]</f>
        <v>0</v>
      </c>
      <c r="K2696" s="31">
        <f>РЕАЛИЗАЦИЯ[[#This Row],[ЖАМИ]]-РЕАЛИЗАЦИЯ[[#This Row],[ЖАМИ2]]</f>
        <v>0</v>
      </c>
      <c r="L2696" s="31"/>
    </row>
    <row r="2697" spans="1:12" x14ac:dyDescent="0.3">
      <c r="C2697" s="219"/>
      <c r="D2697" s="219"/>
      <c r="G2697" s="50">
        <f>РЕАЛИЗАЦИЯ[[#This Row],[СОНИ]]*РЕАЛИЗАЦИЯ[[#This Row],[НАРХИ]]</f>
        <v>0</v>
      </c>
      <c r="I2697" s="166"/>
      <c r="J2697" s="31">
        <f>РЕАЛИЗАЦИЯ[[#This Row],[СОНИ]]*РЕАЛИЗАЦИЯ[[#This Row],[ТАННАРХ]]</f>
        <v>0</v>
      </c>
      <c r="K2697" s="31">
        <f>РЕАЛИЗАЦИЯ[[#This Row],[ЖАМИ]]-РЕАЛИЗАЦИЯ[[#This Row],[ЖАМИ2]]</f>
        <v>0</v>
      </c>
      <c r="L2697" s="31"/>
    </row>
    <row r="2698" spans="1:12" s="225" customFormat="1" x14ac:dyDescent="0.3">
      <c r="A2698" s="3"/>
      <c r="B2698" s="4"/>
      <c r="C2698" s="219"/>
      <c r="D2698" s="219"/>
      <c r="E2698" s="31"/>
      <c r="F2698" s="31"/>
      <c r="G2698" s="50">
        <f>РЕАЛИЗАЦИЯ[[#This Row],[СОНИ]]*РЕАЛИЗАЦИЯ[[#This Row],[НАРХИ]]</f>
        <v>0</v>
      </c>
      <c r="H2698" s="31"/>
      <c r="I2698" s="166"/>
      <c r="J2698" s="31">
        <f>РЕАЛИЗАЦИЯ[[#This Row],[СОНИ]]*РЕАЛИЗАЦИЯ[[#This Row],[ТАННАРХ]]</f>
        <v>0</v>
      </c>
      <c r="K2698" s="31">
        <f>РЕАЛИЗАЦИЯ[[#This Row],[ЖАМИ]]-РЕАЛИЗАЦИЯ[[#This Row],[ЖАМИ2]]</f>
        <v>0</v>
      </c>
      <c r="L2698" s="31"/>
    </row>
    <row r="2699" spans="1:12" x14ac:dyDescent="0.3">
      <c r="C2699" s="219"/>
      <c r="D2699" s="219"/>
      <c r="G2699" s="50">
        <f>РЕАЛИЗАЦИЯ[[#This Row],[СОНИ]]*РЕАЛИЗАЦИЯ[[#This Row],[НАРХИ]]</f>
        <v>0</v>
      </c>
      <c r="I2699" s="166"/>
      <c r="J2699" s="31">
        <f>РЕАЛИЗАЦИЯ[[#This Row],[СОНИ]]*РЕАЛИЗАЦИЯ[[#This Row],[ТАННАРХ]]</f>
        <v>0</v>
      </c>
      <c r="K2699" s="31">
        <f>РЕАЛИЗАЦИЯ[[#This Row],[ЖАМИ]]-РЕАЛИЗАЦИЯ[[#This Row],[ЖАМИ2]]</f>
        <v>0</v>
      </c>
      <c r="L2699" s="31"/>
    </row>
    <row r="2700" spans="1:12" x14ac:dyDescent="0.3">
      <c r="C2700" s="219"/>
      <c r="D2700" s="219"/>
      <c r="G2700" s="50">
        <f>РЕАЛИЗАЦИЯ[[#This Row],[СОНИ]]*РЕАЛИЗАЦИЯ[[#This Row],[НАРХИ]]</f>
        <v>0</v>
      </c>
      <c r="I2700" s="166"/>
      <c r="J2700" s="31">
        <f>РЕАЛИЗАЦИЯ[[#This Row],[СОНИ]]*РЕАЛИЗАЦИЯ[[#This Row],[ТАННАРХ]]</f>
        <v>0</v>
      </c>
      <c r="K2700" s="31">
        <f>РЕАЛИЗАЦИЯ[[#This Row],[ЖАМИ]]-РЕАЛИЗАЦИЯ[[#This Row],[ЖАМИ2]]</f>
        <v>0</v>
      </c>
      <c r="L2700" s="31"/>
    </row>
    <row r="2701" spans="1:12" x14ac:dyDescent="0.3">
      <c r="C2701" s="219"/>
      <c r="D2701" s="219"/>
      <c r="G2701" s="50">
        <f>РЕАЛИЗАЦИЯ[[#This Row],[СОНИ]]*РЕАЛИЗАЦИЯ[[#This Row],[НАРХИ]]</f>
        <v>0</v>
      </c>
      <c r="I2701" s="166"/>
      <c r="J2701" s="31">
        <f>РЕАЛИЗАЦИЯ[[#This Row],[СОНИ]]*РЕАЛИЗАЦИЯ[[#This Row],[ТАННАРХ]]</f>
        <v>0</v>
      </c>
      <c r="K2701" s="31">
        <f>РЕАЛИЗАЦИЯ[[#This Row],[ЖАМИ]]-РЕАЛИЗАЦИЯ[[#This Row],[ЖАМИ2]]</f>
        <v>0</v>
      </c>
      <c r="L2701" s="31"/>
    </row>
    <row r="2702" spans="1:12" x14ac:dyDescent="0.3">
      <c r="C2702" s="219"/>
      <c r="D2702" s="219"/>
      <c r="G2702" s="50">
        <f>РЕАЛИЗАЦИЯ[[#This Row],[СОНИ]]*РЕАЛИЗАЦИЯ[[#This Row],[НАРХИ]]</f>
        <v>0</v>
      </c>
      <c r="I2702" s="166"/>
      <c r="J2702" s="31">
        <f>РЕАЛИЗАЦИЯ[[#This Row],[СОНИ]]*РЕАЛИЗАЦИЯ[[#This Row],[ТАННАРХ]]</f>
        <v>0</v>
      </c>
      <c r="K2702" s="31">
        <f>РЕАЛИЗАЦИЯ[[#This Row],[ЖАМИ]]-РЕАЛИЗАЦИЯ[[#This Row],[ЖАМИ2]]</f>
        <v>0</v>
      </c>
      <c r="L2702" s="31"/>
    </row>
    <row r="2703" spans="1:12" x14ac:dyDescent="0.3">
      <c r="C2703" s="219"/>
      <c r="D2703" s="219"/>
      <c r="G2703" s="50">
        <f>РЕАЛИЗАЦИЯ[[#This Row],[СОНИ]]*РЕАЛИЗАЦИЯ[[#This Row],[НАРХИ]]</f>
        <v>0</v>
      </c>
      <c r="I2703" s="166"/>
      <c r="J2703" s="31">
        <f>РЕАЛИЗАЦИЯ[[#This Row],[СОНИ]]*РЕАЛИЗАЦИЯ[[#This Row],[ТАННАРХ]]</f>
        <v>0</v>
      </c>
      <c r="K2703" s="31">
        <f>РЕАЛИЗАЦИЯ[[#This Row],[ЖАМИ]]-РЕАЛИЗАЦИЯ[[#This Row],[ЖАМИ2]]</f>
        <v>0</v>
      </c>
      <c r="L2703" s="31"/>
    </row>
    <row r="2704" spans="1:12" x14ac:dyDescent="0.3">
      <c r="C2704" s="219"/>
      <c r="D2704" s="219"/>
      <c r="G2704" s="50">
        <f>РЕАЛИЗАЦИЯ[[#This Row],[СОНИ]]*РЕАЛИЗАЦИЯ[[#This Row],[НАРХИ]]</f>
        <v>0</v>
      </c>
      <c r="I2704" s="166"/>
      <c r="J2704" s="31">
        <f>РЕАЛИЗАЦИЯ[[#This Row],[СОНИ]]*РЕАЛИЗАЦИЯ[[#This Row],[ТАННАРХ]]</f>
        <v>0</v>
      </c>
      <c r="K2704" s="31">
        <f>РЕАЛИЗАЦИЯ[[#This Row],[ЖАМИ]]-РЕАЛИЗАЦИЯ[[#This Row],[ЖАМИ2]]</f>
        <v>0</v>
      </c>
      <c r="L2704" s="31"/>
    </row>
    <row r="2705" spans="3:12" x14ac:dyDescent="0.3">
      <c r="C2705" s="229"/>
      <c r="D2705" s="229"/>
      <c r="G2705" s="50">
        <f>РЕАЛИЗАЦИЯ[[#This Row],[СОНИ]]*РЕАЛИЗАЦИЯ[[#This Row],[НАРХИ]]</f>
        <v>0</v>
      </c>
      <c r="I2705" s="166"/>
      <c r="J2705" s="31">
        <f>РЕАЛИЗАЦИЯ[[#This Row],[СОНИ]]*РЕАЛИЗАЦИЯ[[#This Row],[ТАННАРХ]]</f>
        <v>0</v>
      </c>
      <c r="K2705" s="31">
        <f>РЕАЛИЗАЦИЯ[[#This Row],[ЖАМИ]]-РЕАЛИЗАЦИЯ[[#This Row],[ЖАМИ2]]</f>
        <v>0</v>
      </c>
      <c r="L2705" s="31"/>
    </row>
    <row r="2706" spans="3:12" x14ac:dyDescent="0.3">
      <c r="C2706" s="219"/>
      <c r="D2706" s="219"/>
      <c r="G2706" s="50">
        <f>РЕАЛИЗАЦИЯ[[#This Row],[СОНИ]]*РЕАЛИЗАЦИЯ[[#This Row],[НАРХИ]]</f>
        <v>0</v>
      </c>
      <c r="I2706" s="166"/>
      <c r="J2706" s="31">
        <f>РЕАЛИЗАЦИЯ[[#This Row],[СОНИ]]*РЕАЛИЗАЦИЯ[[#This Row],[ТАННАРХ]]</f>
        <v>0</v>
      </c>
      <c r="K2706" s="31">
        <f>РЕАЛИЗАЦИЯ[[#This Row],[ЖАМИ]]-РЕАЛИЗАЦИЯ[[#This Row],[ЖАМИ2]]</f>
        <v>0</v>
      </c>
      <c r="L2706" s="31"/>
    </row>
    <row r="2707" spans="3:12" x14ac:dyDescent="0.3">
      <c r="C2707" s="219"/>
      <c r="D2707" s="219"/>
      <c r="G2707" s="50">
        <f>РЕАЛИЗАЦИЯ[[#This Row],[СОНИ]]*РЕАЛИЗАЦИЯ[[#This Row],[НАРХИ]]</f>
        <v>0</v>
      </c>
      <c r="I2707" s="166"/>
      <c r="J2707" s="31">
        <f>РЕАЛИЗАЦИЯ[[#This Row],[СОНИ]]*РЕАЛИЗАЦИЯ[[#This Row],[ТАННАРХ]]</f>
        <v>0</v>
      </c>
      <c r="K2707" s="31">
        <f>РЕАЛИЗАЦИЯ[[#This Row],[ЖАМИ]]-РЕАЛИЗАЦИЯ[[#This Row],[ЖАМИ2]]</f>
        <v>0</v>
      </c>
      <c r="L2707" s="31"/>
    </row>
    <row r="2708" spans="3:12" x14ac:dyDescent="0.3">
      <c r="C2708" s="219"/>
      <c r="D2708" s="219"/>
      <c r="G2708" s="50">
        <f>РЕАЛИЗАЦИЯ[[#This Row],[СОНИ]]*РЕАЛИЗАЦИЯ[[#This Row],[НАРХИ]]</f>
        <v>0</v>
      </c>
      <c r="I2708" s="166"/>
      <c r="J2708" s="31">
        <f>РЕАЛИЗАЦИЯ[[#This Row],[СОНИ]]*РЕАЛИЗАЦИЯ[[#This Row],[ТАННАРХ]]</f>
        <v>0</v>
      </c>
      <c r="K2708" s="31">
        <f>РЕАЛИЗАЦИЯ[[#This Row],[ЖАМИ]]-РЕАЛИЗАЦИЯ[[#This Row],[ЖАМИ2]]</f>
        <v>0</v>
      </c>
      <c r="L2708" s="31"/>
    </row>
    <row r="2709" spans="3:12" x14ac:dyDescent="0.3">
      <c r="C2709" s="219"/>
      <c r="D2709" s="219"/>
      <c r="G2709" s="50">
        <f>РЕАЛИЗАЦИЯ[[#This Row],[СОНИ]]*РЕАЛИЗАЦИЯ[[#This Row],[НАРХИ]]</f>
        <v>0</v>
      </c>
      <c r="I2709" s="166"/>
      <c r="J2709" s="31">
        <f>РЕАЛИЗАЦИЯ[[#This Row],[СОНИ]]*РЕАЛИЗАЦИЯ[[#This Row],[ТАННАРХ]]</f>
        <v>0</v>
      </c>
      <c r="K2709" s="31">
        <f>РЕАЛИЗАЦИЯ[[#This Row],[ЖАМИ]]-РЕАЛИЗАЦИЯ[[#This Row],[ЖАМИ2]]</f>
        <v>0</v>
      </c>
      <c r="L2709" s="31"/>
    </row>
    <row r="2710" spans="3:12" x14ac:dyDescent="0.3">
      <c r="C2710" s="219"/>
      <c r="D2710" s="219"/>
      <c r="G2710" s="50">
        <f>РЕАЛИЗАЦИЯ[[#This Row],[СОНИ]]*РЕАЛИЗАЦИЯ[[#This Row],[НАРХИ]]</f>
        <v>0</v>
      </c>
      <c r="I2710" s="166"/>
      <c r="J2710" s="31">
        <f>РЕАЛИЗАЦИЯ[[#This Row],[СОНИ]]*РЕАЛИЗАЦИЯ[[#This Row],[ТАННАРХ]]</f>
        <v>0</v>
      </c>
      <c r="K2710" s="31">
        <f>РЕАЛИЗАЦИЯ[[#This Row],[ЖАМИ]]-РЕАЛИЗАЦИЯ[[#This Row],[ЖАМИ2]]</f>
        <v>0</v>
      </c>
      <c r="L2710" s="31"/>
    </row>
    <row r="2711" spans="3:12" x14ac:dyDescent="0.3">
      <c r="C2711" s="219"/>
      <c r="D2711" s="219"/>
      <c r="G2711" s="50">
        <f>РЕАЛИЗАЦИЯ[[#This Row],[СОНИ]]*РЕАЛИЗАЦИЯ[[#This Row],[НАРХИ]]</f>
        <v>0</v>
      </c>
      <c r="I2711" s="166"/>
      <c r="J2711" s="31">
        <f>РЕАЛИЗАЦИЯ[[#This Row],[СОНИ]]*РЕАЛИЗАЦИЯ[[#This Row],[ТАННАРХ]]</f>
        <v>0</v>
      </c>
      <c r="K2711" s="31">
        <f>РЕАЛИЗАЦИЯ[[#This Row],[ЖАМИ]]-РЕАЛИЗАЦИЯ[[#This Row],[ЖАМИ2]]</f>
        <v>0</v>
      </c>
      <c r="L2711" s="31"/>
    </row>
    <row r="2712" spans="3:12" x14ac:dyDescent="0.3">
      <c r="C2712" s="219"/>
      <c r="D2712" s="219"/>
      <c r="G2712" s="50">
        <f>РЕАЛИЗАЦИЯ[[#This Row],[СОНИ]]*РЕАЛИЗАЦИЯ[[#This Row],[НАРХИ]]</f>
        <v>0</v>
      </c>
      <c r="I2712" s="166"/>
      <c r="J2712" s="31">
        <f>РЕАЛИЗАЦИЯ[[#This Row],[СОНИ]]*РЕАЛИЗАЦИЯ[[#This Row],[ТАННАРХ]]</f>
        <v>0</v>
      </c>
      <c r="K2712" s="31">
        <f>РЕАЛИЗАЦИЯ[[#This Row],[ЖАМИ]]-РЕАЛИЗАЦИЯ[[#This Row],[ЖАМИ2]]</f>
        <v>0</v>
      </c>
      <c r="L2712" s="31"/>
    </row>
    <row r="2713" spans="3:12" x14ac:dyDescent="0.3">
      <c r="C2713" s="219"/>
      <c r="D2713" s="219"/>
      <c r="G2713" s="50">
        <f>РЕАЛИЗАЦИЯ[[#This Row],[СОНИ]]*РЕАЛИЗАЦИЯ[[#This Row],[НАРХИ]]</f>
        <v>0</v>
      </c>
      <c r="I2713" s="166"/>
      <c r="J2713" s="31">
        <f>РЕАЛИЗАЦИЯ[[#This Row],[СОНИ]]*РЕАЛИЗАЦИЯ[[#This Row],[ТАННАРХ]]</f>
        <v>0</v>
      </c>
      <c r="K2713" s="31">
        <f>РЕАЛИЗАЦИЯ[[#This Row],[ЖАМИ]]-РЕАЛИЗАЦИЯ[[#This Row],[ЖАМИ2]]</f>
        <v>0</v>
      </c>
      <c r="L2713" s="31"/>
    </row>
    <row r="2714" spans="3:12" x14ac:dyDescent="0.3">
      <c r="C2714" s="219"/>
      <c r="D2714" s="219"/>
      <c r="G2714" s="50">
        <f>РЕАЛИЗАЦИЯ[[#This Row],[СОНИ]]*РЕАЛИЗАЦИЯ[[#This Row],[НАРХИ]]</f>
        <v>0</v>
      </c>
      <c r="I2714" s="166"/>
      <c r="J2714" s="31">
        <f>РЕАЛИЗАЦИЯ[[#This Row],[СОНИ]]*РЕАЛИЗАЦИЯ[[#This Row],[ТАННАРХ]]</f>
        <v>0</v>
      </c>
      <c r="K2714" s="31">
        <f>РЕАЛИЗАЦИЯ[[#This Row],[ЖАМИ]]-РЕАЛИЗАЦИЯ[[#This Row],[ЖАМИ2]]</f>
        <v>0</v>
      </c>
      <c r="L2714" s="31"/>
    </row>
    <row r="2715" spans="3:12" x14ac:dyDescent="0.3">
      <c r="C2715" s="219"/>
      <c r="D2715" s="219"/>
      <c r="G2715" s="50">
        <f>РЕАЛИЗАЦИЯ[[#This Row],[СОНИ]]*РЕАЛИЗАЦИЯ[[#This Row],[НАРХИ]]</f>
        <v>0</v>
      </c>
      <c r="I2715" s="166"/>
      <c r="J2715" s="31">
        <f>РЕАЛИЗАЦИЯ[[#This Row],[СОНИ]]*РЕАЛИЗАЦИЯ[[#This Row],[ТАННАРХ]]</f>
        <v>0</v>
      </c>
      <c r="K2715" s="31">
        <f>РЕАЛИЗАЦИЯ[[#This Row],[ЖАМИ]]-РЕАЛИЗАЦИЯ[[#This Row],[ЖАМИ2]]</f>
        <v>0</v>
      </c>
      <c r="L2715" s="31"/>
    </row>
    <row r="2716" spans="3:12" x14ac:dyDescent="0.3">
      <c r="C2716" s="219"/>
      <c r="D2716" s="219"/>
      <c r="G2716" s="50">
        <f>РЕАЛИЗАЦИЯ[[#This Row],[СОНИ]]*РЕАЛИЗАЦИЯ[[#This Row],[НАРХИ]]</f>
        <v>0</v>
      </c>
      <c r="I2716" s="166"/>
      <c r="J2716" s="31">
        <f>РЕАЛИЗАЦИЯ[[#This Row],[СОНИ]]*РЕАЛИЗАЦИЯ[[#This Row],[ТАННАРХ]]</f>
        <v>0</v>
      </c>
      <c r="K2716" s="31">
        <f>РЕАЛИЗАЦИЯ[[#This Row],[ЖАМИ]]-РЕАЛИЗАЦИЯ[[#This Row],[ЖАМИ2]]</f>
        <v>0</v>
      </c>
      <c r="L2716" s="31"/>
    </row>
    <row r="2717" spans="3:12" x14ac:dyDescent="0.3">
      <c r="C2717" s="219"/>
      <c r="D2717" s="219"/>
      <c r="G2717" s="50">
        <f>РЕАЛИЗАЦИЯ[[#This Row],[СОНИ]]*РЕАЛИЗАЦИЯ[[#This Row],[НАРХИ]]</f>
        <v>0</v>
      </c>
      <c r="I2717" s="166"/>
      <c r="J2717" s="31">
        <f>РЕАЛИЗАЦИЯ[[#This Row],[СОНИ]]*РЕАЛИЗАЦИЯ[[#This Row],[ТАННАРХ]]</f>
        <v>0</v>
      </c>
      <c r="K2717" s="31">
        <f>РЕАЛИЗАЦИЯ[[#This Row],[ЖАМИ]]-РЕАЛИЗАЦИЯ[[#This Row],[ЖАМИ2]]</f>
        <v>0</v>
      </c>
      <c r="L2717" s="31"/>
    </row>
    <row r="2718" spans="3:12" x14ac:dyDescent="0.3">
      <c r="C2718" s="219"/>
      <c r="D2718" s="219"/>
      <c r="G2718" s="50">
        <f>РЕАЛИЗАЦИЯ[[#This Row],[СОНИ]]*РЕАЛИЗАЦИЯ[[#This Row],[НАРХИ]]</f>
        <v>0</v>
      </c>
      <c r="I2718" s="166"/>
      <c r="J2718" s="31">
        <f>РЕАЛИЗАЦИЯ[[#This Row],[СОНИ]]*РЕАЛИЗАЦИЯ[[#This Row],[ТАННАРХ]]</f>
        <v>0</v>
      </c>
      <c r="K2718" s="31">
        <f>РЕАЛИЗАЦИЯ[[#This Row],[ЖАМИ]]-РЕАЛИЗАЦИЯ[[#This Row],[ЖАМИ2]]</f>
        <v>0</v>
      </c>
      <c r="L2718" s="31"/>
    </row>
    <row r="2719" spans="3:12" x14ac:dyDescent="0.3">
      <c r="C2719" s="219"/>
      <c r="D2719" s="219"/>
      <c r="G2719" s="50">
        <f>РЕАЛИЗАЦИЯ[[#This Row],[СОНИ]]*РЕАЛИЗАЦИЯ[[#This Row],[НАРХИ]]</f>
        <v>0</v>
      </c>
      <c r="I2719" s="166"/>
      <c r="J2719" s="31">
        <f>РЕАЛИЗАЦИЯ[[#This Row],[СОНИ]]*РЕАЛИЗАЦИЯ[[#This Row],[ТАННАРХ]]</f>
        <v>0</v>
      </c>
      <c r="K2719" s="31">
        <f>РЕАЛИЗАЦИЯ[[#This Row],[ЖАМИ]]-РЕАЛИЗАЦИЯ[[#This Row],[ЖАМИ2]]</f>
        <v>0</v>
      </c>
      <c r="L2719" s="31"/>
    </row>
    <row r="2720" spans="3:12" x14ac:dyDescent="0.3">
      <c r="C2720" s="219"/>
      <c r="D2720" s="219"/>
      <c r="G2720" s="50">
        <f>РЕАЛИЗАЦИЯ[[#This Row],[СОНИ]]*РЕАЛИЗАЦИЯ[[#This Row],[НАРХИ]]</f>
        <v>0</v>
      </c>
      <c r="I2720" s="166"/>
      <c r="J2720" s="31">
        <f>РЕАЛИЗАЦИЯ[[#This Row],[СОНИ]]*РЕАЛИЗАЦИЯ[[#This Row],[ТАННАРХ]]</f>
        <v>0</v>
      </c>
      <c r="K2720" s="31">
        <f>РЕАЛИЗАЦИЯ[[#This Row],[ЖАМИ]]-РЕАЛИЗАЦИЯ[[#This Row],[ЖАМИ2]]</f>
        <v>0</v>
      </c>
      <c r="L2720" s="31"/>
    </row>
    <row r="2721" spans="1:12" x14ac:dyDescent="0.3">
      <c r="C2721" s="219"/>
      <c r="D2721" s="219"/>
      <c r="G2721" s="50">
        <f>РЕАЛИЗАЦИЯ[[#This Row],[СОНИ]]*РЕАЛИЗАЦИЯ[[#This Row],[НАРХИ]]</f>
        <v>0</v>
      </c>
      <c r="I2721" s="166"/>
      <c r="J2721" s="31">
        <f>РЕАЛИЗАЦИЯ[[#This Row],[СОНИ]]*РЕАЛИЗАЦИЯ[[#This Row],[ТАННАРХ]]</f>
        <v>0</v>
      </c>
      <c r="K2721" s="31">
        <f>РЕАЛИЗАЦИЯ[[#This Row],[ЖАМИ]]-РЕАЛИЗАЦИЯ[[#This Row],[ЖАМИ2]]</f>
        <v>0</v>
      </c>
      <c r="L2721" s="31"/>
    </row>
    <row r="2722" spans="1:12" x14ac:dyDescent="0.3">
      <c r="C2722" s="219"/>
      <c r="D2722" s="219"/>
      <c r="G2722" s="50">
        <f>РЕАЛИЗАЦИЯ[[#This Row],[СОНИ]]*РЕАЛИЗАЦИЯ[[#This Row],[НАРХИ]]</f>
        <v>0</v>
      </c>
      <c r="I2722" s="166"/>
      <c r="J2722" s="31">
        <f>РЕАЛИЗАЦИЯ[[#This Row],[СОНИ]]*РЕАЛИЗАЦИЯ[[#This Row],[ТАННАРХ]]</f>
        <v>0</v>
      </c>
      <c r="K2722" s="31">
        <f>РЕАЛИЗАЦИЯ[[#This Row],[ЖАМИ]]-РЕАЛИЗАЦИЯ[[#This Row],[ЖАМИ2]]</f>
        <v>0</v>
      </c>
      <c r="L2722" s="31"/>
    </row>
    <row r="2723" spans="1:12" x14ac:dyDescent="0.3">
      <c r="C2723" s="219"/>
      <c r="D2723" s="219"/>
      <c r="G2723" s="50">
        <f>РЕАЛИЗАЦИЯ[[#This Row],[СОНИ]]*РЕАЛИЗАЦИЯ[[#This Row],[НАРХИ]]</f>
        <v>0</v>
      </c>
      <c r="I2723" s="166"/>
      <c r="J2723" s="31">
        <f>РЕАЛИЗАЦИЯ[[#This Row],[СОНИ]]*РЕАЛИЗАЦИЯ[[#This Row],[ТАННАРХ]]</f>
        <v>0</v>
      </c>
      <c r="K2723" s="31">
        <f>РЕАЛИЗАЦИЯ[[#This Row],[ЖАМИ]]-РЕАЛИЗАЦИЯ[[#This Row],[ЖАМИ2]]</f>
        <v>0</v>
      </c>
      <c r="L2723" s="31"/>
    </row>
    <row r="2724" spans="1:12" x14ac:dyDescent="0.3">
      <c r="C2724" s="219"/>
      <c r="D2724" s="219"/>
      <c r="G2724" s="50">
        <f>РЕАЛИЗАЦИЯ[[#This Row],[СОНИ]]*РЕАЛИЗАЦИЯ[[#This Row],[НАРХИ]]</f>
        <v>0</v>
      </c>
      <c r="I2724" s="166"/>
      <c r="J2724" s="31">
        <f>РЕАЛИЗАЦИЯ[[#This Row],[СОНИ]]*РЕАЛИЗАЦИЯ[[#This Row],[ТАННАРХ]]</f>
        <v>0</v>
      </c>
      <c r="K2724" s="31">
        <f>РЕАЛИЗАЦИЯ[[#This Row],[ЖАМИ]]-РЕАЛИЗАЦИЯ[[#This Row],[ЖАМИ2]]</f>
        <v>0</v>
      </c>
      <c r="L2724" s="31"/>
    </row>
    <row r="2725" spans="1:12" x14ac:dyDescent="0.3">
      <c r="C2725" s="237"/>
      <c r="D2725" s="237"/>
      <c r="G2725" s="50">
        <f>РЕАЛИЗАЦИЯ[[#This Row],[СОНИ]]*РЕАЛИЗАЦИЯ[[#This Row],[НАРХИ]]</f>
        <v>0</v>
      </c>
      <c r="I2725" s="166"/>
      <c r="J2725" s="31">
        <f>РЕАЛИЗАЦИЯ[[#This Row],[СОНИ]]*РЕАЛИЗАЦИЯ[[#This Row],[ТАННАРХ]]</f>
        <v>0</v>
      </c>
      <c r="K2725" s="31">
        <f>РЕАЛИЗАЦИЯ[[#This Row],[ЖАМИ]]-РЕАЛИЗАЦИЯ[[#This Row],[ЖАМИ2]]</f>
        <v>0</v>
      </c>
      <c r="L2725" s="31"/>
    </row>
    <row r="2726" spans="1:12" x14ac:dyDescent="0.3">
      <c r="C2726" s="219"/>
      <c r="D2726" s="219"/>
      <c r="G2726" s="50">
        <f>РЕАЛИЗАЦИЯ[[#This Row],[СОНИ]]*РЕАЛИЗАЦИЯ[[#This Row],[НАРХИ]]</f>
        <v>0</v>
      </c>
      <c r="I2726" s="166"/>
      <c r="J2726" s="31">
        <f>РЕАЛИЗАЦИЯ[[#This Row],[СОНИ]]*РЕАЛИЗАЦИЯ[[#This Row],[ТАННАРХ]]</f>
        <v>0</v>
      </c>
      <c r="K2726" s="31">
        <f>РЕАЛИЗАЦИЯ[[#This Row],[ЖАМИ]]-РЕАЛИЗАЦИЯ[[#This Row],[ЖАМИ2]]</f>
        <v>0</v>
      </c>
      <c r="L2726" s="31"/>
    </row>
    <row r="2727" spans="1:12" x14ac:dyDescent="0.3">
      <c r="C2727" s="219"/>
      <c r="D2727" s="219"/>
      <c r="G2727" s="50">
        <f>РЕАЛИЗАЦИЯ[[#This Row],[СОНИ]]*РЕАЛИЗАЦИЯ[[#This Row],[НАРХИ]]</f>
        <v>0</v>
      </c>
      <c r="I2727" s="166"/>
      <c r="J2727" s="31">
        <f>РЕАЛИЗАЦИЯ[[#This Row],[СОНИ]]*РЕАЛИЗАЦИЯ[[#This Row],[ТАННАРХ]]</f>
        <v>0</v>
      </c>
      <c r="K2727" s="31">
        <f>РЕАЛИЗАЦИЯ[[#This Row],[ЖАМИ]]-РЕАЛИЗАЦИЯ[[#This Row],[ЖАМИ2]]</f>
        <v>0</v>
      </c>
      <c r="L2727" s="31"/>
    </row>
    <row r="2728" spans="1:12" x14ac:dyDescent="0.3">
      <c r="C2728" s="219"/>
      <c r="D2728" s="219"/>
      <c r="G2728" s="50">
        <f>РЕАЛИЗАЦИЯ[[#This Row],[СОНИ]]*РЕАЛИЗАЦИЯ[[#This Row],[НАРХИ]]</f>
        <v>0</v>
      </c>
      <c r="I2728" s="166"/>
      <c r="J2728" s="31">
        <f>РЕАЛИЗАЦИЯ[[#This Row],[СОНИ]]*РЕАЛИЗАЦИЯ[[#This Row],[ТАННАРХ]]</f>
        <v>0</v>
      </c>
      <c r="K2728" s="31">
        <f>РЕАЛИЗАЦИЯ[[#This Row],[ЖАМИ]]-РЕАЛИЗАЦИЯ[[#This Row],[ЖАМИ2]]</f>
        <v>0</v>
      </c>
      <c r="L2728" s="31"/>
    </row>
    <row r="2729" spans="1:12" x14ac:dyDescent="0.3">
      <c r="C2729" s="219"/>
      <c r="D2729" s="219"/>
      <c r="G2729" s="50">
        <f>РЕАЛИЗАЦИЯ[[#This Row],[СОНИ]]*РЕАЛИЗАЦИЯ[[#This Row],[НАРХИ]]</f>
        <v>0</v>
      </c>
      <c r="I2729" s="166"/>
      <c r="J2729" s="31">
        <f>РЕАЛИЗАЦИЯ[[#This Row],[СОНИ]]*РЕАЛИЗАЦИЯ[[#This Row],[ТАННАРХ]]</f>
        <v>0</v>
      </c>
      <c r="K2729" s="31">
        <f>РЕАЛИЗАЦИЯ[[#This Row],[ЖАМИ]]-РЕАЛИЗАЦИЯ[[#This Row],[ЖАМИ2]]</f>
        <v>0</v>
      </c>
      <c r="L2729" s="31"/>
    </row>
    <row r="2730" spans="1:12" x14ac:dyDescent="0.3">
      <c r="C2730" s="219"/>
      <c r="D2730" s="219"/>
      <c r="G2730" s="50">
        <f>РЕАЛИЗАЦИЯ[[#This Row],[СОНИ]]*РЕАЛИЗАЦИЯ[[#This Row],[НАРХИ]]</f>
        <v>0</v>
      </c>
      <c r="I2730" s="166"/>
      <c r="J2730" s="31">
        <f>РЕАЛИЗАЦИЯ[[#This Row],[СОНИ]]*РЕАЛИЗАЦИЯ[[#This Row],[ТАННАРХ]]</f>
        <v>0</v>
      </c>
      <c r="K2730" s="31">
        <f>РЕАЛИЗАЦИЯ[[#This Row],[ЖАМИ]]-РЕАЛИЗАЦИЯ[[#This Row],[ЖАМИ2]]</f>
        <v>0</v>
      </c>
      <c r="L2730" s="31"/>
    </row>
    <row r="2731" spans="1:12" x14ac:dyDescent="0.3">
      <c r="C2731" s="219"/>
      <c r="D2731" s="219"/>
      <c r="G2731" s="50">
        <f>РЕАЛИЗАЦИЯ[[#This Row],[СОНИ]]*РЕАЛИЗАЦИЯ[[#This Row],[НАРХИ]]</f>
        <v>0</v>
      </c>
      <c r="I2731" s="166"/>
      <c r="J2731" s="31">
        <f>РЕАЛИЗАЦИЯ[[#This Row],[СОНИ]]*РЕАЛИЗАЦИЯ[[#This Row],[ТАННАРХ]]</f>
        <v>0</v>
      </c>
      <c r="K2731" s="31">
        <f>РЕАЛИЗАЦИЯ[[#This Row],[ЖАМИ]]-РЕАЛИЗАЦИЯ[[#This Row],[ЖАМИ2]]</f>
        <v>0</v>
      </c>
      <c r="L2731" s="31"/>
    </row>
    <row r="2732" spans="1:12" x14ac:dyDescent="0.3">
      <c r="C2732" s="219"/>
      <c r="D2732" s="219"/>
      <c r="G2732" s="50">
        <f>РЕАЛИЗАЦИЯ[[#This Row],[СОНИ]]*РЕАЛИЗАЦИЯ[[#This Row],[НАРХИ]]</f>
        <v>0</v>
      </c>
      <c r="I2732" s="166"/>
      <c r="J2732" s="31">
        <f>РЕАЛИЗАЦИЯ[[#This Row],[СОНИ]]*РЕАЛИЗАЦИЯ[[#This Row],[ТАННАРХ]]</f>
        <v>0</v>
      </c>
      <c r="K2732" s="31">
        <f>РЕАЛИЗАЦИЯ[[#This Row],[ЖАМИ]]-РЕАЛИЗАЦИЯ[[#This Row],[ЖАМИ2]]</f>
        <v>0</v>
      </c>
      <c r="L2732" s="31"/>
    </row>
    <row r="2733" spans="1:12" x14ac:dyDescent="0.3">
      <c r="C2733" s="219"/>
      <c r="D2733" s="219"/>
      <c r="G2733" s="50">
        <f>РЕАЛИЗАЦИЯ[[#This Row],[СОНИ]]*РЕАЛИЗАЦИЯ[[#This Row],[НАРХИ]]</f>
        <v>0</v>
      </c>
      <c r="I2733" s="166"/>
      <c r="J2733" s="31">
        <f>РЕАЛИЗАЦИЯ[[#This Row],[СОНИ]]*РЕАЛИЗАЦИЯ[[#This Row],[ТАННАРХ]]</f>
        <v>0</v>
      </c>
      <c r="K2733" s="31">
        <f>РЕАЛИЗАЦИЯ[[#This Row],[ЖАМИ]]-РЕАЛИЗАЦИЯ[[#This Row],[ЖАМИ2]]</f>
        <v>0</v>
      </c>
      <c r="L2733" s="31"/>
    </row>
    <row r="2734" spans="1:12" s="237" customFormat="1" x14ac:dyDescent="0.3">
      <c r="A2734" s="3"/>
      <c r="B2734" s="4"/>
      <c r="C2734" s="219"/>
      <c r="D2734" s="219"/>
      <c r="E2734" s="31"/>
      <c r="F2734" s="31"/>
      <c r="G2734" s="50">
        <f>РЕАЛИЗАЦИЯ[[#This Row],[СОНИ]]*РЕАЛИЗАЦИЯ[[#This Row],[НАРХИ]]</f>
        <v>0</v>
      </c>
      <c r="H2734" s="31"/>
      <c r="I2734" s="166"/>
      <c r="J2734" s="31">
        <f>РЕАЛИЗАЦИЯ[[#This Row],[СОНИ]]*РЕАЛИЗАЦИЯ[[#This Row],[ТАННАРХ]]</f>
        <v>0</v>
      </c>
      <c r="K2734" s="31">
        <f>РЕАЛИЗАЦИЯ[[#This Row],[ЖАМИ]]-РЕАЛИЗАЦИЯ[[#This Row],[ЖАМИ2]]</f>
        <v>0</v>
      </c>
      <c r="L2734" s="31"/>
    </row>
    <row r="2735" spans="1:12" x14ac:dyDescent="0.3">
      <c r="C2735" s="219"/>
      <c r="D2735" s="219"/>
      <c r="G2735" s="50">
        <f>РЕАЛИЗАЦИЯ[[#This Row],[СОНИ]]*РЕАЛИЗАЦИЯ[[#This Row],[НАРХИ]]</f>
        <v>0</v>
      </c>
      <c r="I2735" s="166"/>
      <c r="J2735" s="31">
        <f>РЕАЛИЗАЦИЯ[[#This Row],[СОНИ]]*РЕАЛИЗАЦИЯ[[#This Row],[ТАННАРХ]]</f>
        <v>0</v>
      </c>
      <c r="K2735" s="31">
        <f>РЕАЛИЗАЦИЯ[[#This Row],[ЖАМИ]]-РЕАЛИЗАЦИЯ[[#This Row],[ЖАМИ2]]</f>
        <v>0</v>
      </c>
      <c r="L2735" s="31"/>
    </row>
    <row r="2736" spans="1:12" x14ac:dyDescent="0.3">
      <c r="C2736" s="219"/>
      <c r="D2736" s="219"/>
      <c r="G2736" s="50">
        <f>РЕАЛИЗАЦИЯ[[#This Row],[СОНИ]]*РЕАЛИЗАЦИЯ[[#This Row],[НАРХИ]]</f>
        <v>0</v>
      </c>
      <c r="I2736" s="166"/>
      <c r="J2736" s="31">
        <f>РЕАЛИЗАЦИЯ[[#This Row],[СОНИ]]*РЕАЛИЗАЦИЯ[[#This Row],[ТАННАРХ]]</f>
        <v>0</v>
      </c>
      <c r="K2736" s="31">
        <f>РЕАЛИЗАЦИЯ[[#This Row],[ЖАМИ]]-РЕАЛИЗАЦИЯ[[#This Row],[ЖАМИ2]]</f>
        <v>0</v>
      </c>
      <c r="L2736" s="31"/>
    </row>
    <row r="2737" spans="1:12" x14ac:dyDescent="0.3">
      <c r="C2737" s="219"/>
      <c r="D2737" s="219"/>
      <c r="G2737" s="50">
        <f>РЕАЛИЗАЦИЯ[[#This Row],[СОНИ]]*РЕАЛИЗАЦИЯ[[#This Row],[НАРХИ]]</f>
        <v>0</v>
      </c>
      <c r="I2737" s="166"/>
      <c r="J2737" s="31">
        <f>РЕАЛИЗАЦИЯ[[#This Row],[СОНИ]]*РЕАЛИЗАЦИЯ[[#This Row],[ТАННАРХ]]</f>
        <v>0</v>
      </c>
      <c r="K2737" s="31">
        <f>РЕАЛИЗАЦИЯ[[#This Row],[ЖАМИ]]-РЕАЛИЗАЦИЯ[[#This Row],[ЖАМИ2]]</f>
        <v>0</v>
      </c>
      <c r="L2737" s="31"/>
    </row>
    <row r="2738" spans="1:12" x14ac:dyDescent="0.3">
      <c r="C2738" s="219"/>
      <c r="D2738" s="219"/>
      <c r="G2738" s="50">
        <f>РЕАЛИЗАЦИЯ[[#This Row],[СОНИ]]*РЕАЛИЗАЦИЯ[[#This Row],[НАРХИ]]</f>
        <v>0</v>
      </c>
      <c r="I2738" s="166"/>
      <c r="J2738" s="31">
        <f>РЕАЛИЗАЦИЯ[[#This Row],[СОНИ]]*РЕАЛИЗАЦИЯ[[#This Row],[ТАННАРХ]]</f>
        <v>0</v>
      </c>
      <c r="K2738" s="31">
        <f>РЕАЛИЗАЦИЯ[[#This Row],[ЖАМИ]]-РЕАЛИЗАЦИЯ[[#This Row],[ЖАМИ2]]</f>
        <v>0</v>
      </c>
      <c r="L2738" s="31"/>
    </row>
    <row r="2739" spans="1:12" x14ac:dyDescent="0.3">
      <c r="C2739" s="219"/>
      <c r="D2739" s="219"/>
      <c r="G2739" s="50">
        <f>РЕАЛИЗАЦИЯ[[#This Row],[СОНИ]]*РЕАЛИЗАЦИЯ[[#This Row],[НАРХИ]]</f>
        <v>0</v>
      </c>
      <c r="I2739" s="166"/>
      <c r="J2739" s="31">
        <f>РЕАЛИЗАЦИЯ[[#This Row],[СОНИ]]*РЕАЛИЗАЦИЯ[[#This Row],[ТАННАРХ]]</f>
        <v>0</v>
      </c>
      <c r="K2739" s="31">
        <f>РЕАЛИЗАЦИЯ[[#This Row],[ЖАМИ]]-РЕАЛИЗАЦИЯ[[#This Row],[ЖАМИ2]]</f>
        <v>0</v>
      </c>
      <c r="L2739" s="31"/>
    </row>
    <row r="2740" spans="1:12" x14ac:dyDescent="0.3">
      <c r="C2740" s="219"/>
      <c r="D2740" s="219"/>
      <c r="G2740" s="50">
        <f>РЕАЛИЗАЦИЯ[[#This Row],[СОНИ]]*РЕАЛИЗАЦИЯ[[#This Row],[НАРХИ]]</f>
        <v>0</v>
      </c>
      <c r="I2740" s="166"/>
      <c r="J2740" s="31">
        <f>РЕАЛИЗАЦИЯ[[#This Row],[СОНИ]]*РЕАЛИЗАЦИЯ[[#This Row],[ТАННАРХ]]</f>
        <v>0</v>
      </c>
      <c r="K2740" s="31">
        <f>РЕАЛИЗАЦИЯ[[#This Row],[ЖАМИ]]-РЕАЛИЗАЦИЯ[[#This Row],[ЖАМИ2]]</f>
        <v>0</v>
      </c>
      <c r="L2740" s="31"/>
    </row>
    <row r="2741" spans="1:12" x14ac:dyDescent="0.3">
      <c r="A2741" s="238"/>
      <c r="C2741" s="219"/>
      <c r="D2741" s="219"/>
      <c r="G2741" s="50">
        <f>РЕАЛИЗАЦИЯ[[#This Row],[СОНИ]]*РЕАЛИЗАЦИЯ[[#This Row],[НАРХИ]]</f>
        <v>0</v>
      </c>
      <c r="I2741" s="166"/>
      <c r="J2741" s="31">
        <f>РЕАЛИЗАЦИЯ[[#This Row],[СОНИ]]*РЕАЛИЗАЦИЯ[[#This Row],[ТАННАРХ]]</f>
        <v>0</v>
      </c>
      <c r="K2741" s="31">
        <f>РЕАЛИЗАЦИЯ[[#This Row],[ЖАМИ]]-РЕАЛИЗАЦИЯ[[#This Row],[ЖАМИ2]]</f>
        <v>0</v>
      </c>
      <c r="L2741" s="31"/>
    </row>
    <row r="2742" spans="1:12" x14ac:dyDescent="0.3">
      <c r="C2742" s="219"/>
      <c r="D2742" s="219"/>
      <c r="G2742" s="50">
        <f>РЕАЛИЗАЦИЯ[[#This Row],[СОНИ]]*РЕАЛИЗАЦИЯ[[#This Row],[НАРХИ]]</f>
        <v>0</v>
      </c>
      <c r="I2742" s="166"/>
      <c r="J2742" s="31">
        <f>РЕАЛИЗАЦИЯ[[#This Row],[СОНИ]]*РЕАЛИЗАЦИЯ[[#This Row],[ТАННАРХ]]</f>
        <v>0</v>
      </c>
      <c r="K2742" s="31">
        <f>РЕАЛИЗАЦИЯ[[#This Row],[ЖАМИ]]-РЕАЛИЗАЦИЯ[[#This Row],[ЖАМИ2]]</f>
        <v>0</v>
      </c>
      <c r="L2742" s="31"/>
    </row>
    <row r="2743" spans="1:12" x14ac:dyDescent="0.3">
      <c r="C2743" s="219"/>
      <c r="D2743" s="219"/>
      <c r="G2743" s="50">
        <f>РЕАЛИЗАЦИЯ[[#This Row],[СОНИ]]*РЕАЛИЗАЦИЯ[[#This Row],[НАРХИ]]</f>
        <v>0</v>
      </c>
      <c r="I2743" s="166"/>
      <c r="J2743" s="31">
        <f>РЕАЛИЗАЦИЯ[[#This Row],[СОНИ]]*РЕАЛИЗАЦИЯ[[#This Row],[ТАННАРХ]]</f>
        <v>0</v>
      </c>
      <c r="K2743" s="31">
        <f>РЕАЛИЗАЦИЯ[[#This Row],[ЖАМИ]]-РЕАЛИЗАЦИЯ[[#This Row],[ЖАМИ2]]</f>
        <v>0</v>
      </c>
      <c r="L2743" s="31"/>
    </row>
    <row r="2744" spans="1:12" x14ac:dyDescent="0.3">
      <c r="C2744" s="219"/>
      <c r="D2744" s="219"/>
      <c r="G2744" s="50">
        <f>РЕАЛИЗАЦИЯ[[#This Row],[СОНИ]]*РЕАЛИЗАЦИЯ[[#This Row],[НАРХИ]]</f>
        <v>0</v>
      </c>
      <c r="I2744" s="166"/>
      <c r="J2744" s="31">
        <f>РЕАЛИЗАЦИЯ[[#This Row],[СОНИ]]*РЕАЛИЗАЦИЯ[[#This Row],[ТАННАРХ]]</f>
        <v>0</v>
      </c>
      <c r="K2744" s="31">
        <f>РЕАЛИЗАЦИЯ[[#This Row],[ЖАМИ]]-РЕАЛИЗАЦИЯ[[#This Row],[ЖАМИ2]]</f>
        <v>0</v>
      </c>
      <c r="L2744" s="31"/>
    </row>
    <row r="2745" spans="1:12" x14ac:dyDescent="0.3">
      <c r="C2745" s="219"/>
      <c r="D2745" s="219"/>
      <c r="G2745" s="50">
        <f>РЕАЛИЗАЦИЯ[[#This Row],[СОНИ]]*РЕАЛИЗАЦИЯ[[#This Row],[НАРХИ]]</f>
        <v>0</v>
      </c>
      <c r="I2745" s="166"/>
      <c r="J2745" s="31">
        <f>РЕАЛИЗАЦИЯ[[#This Row],[СОНИ]]*РЕАЛИЗАЦИЯ[[#This Row],[ТАННАРХ]]</f>
        <v>0</v>
      </c>
      <c r="K2745" s="31">
        <f>РЕАЛИЗАЦИЯ[[#This Row],[ЖАМИ]]-РЕАЛИЗАЦИЯ[[#This Row],[ЖАМИ2]]</f>
        <v>0</v>
      </c>
      <c r="L2745" s="31"/>
    </row>
    <row r="2746" spans="1:12" x14ac:dyDescent="0.3">
      <c r="C2746" s="219"/>
      <c r="D2746" s="219"/>
      <c r="G2746" s="50">
        <f>РЕАЛИЗАЦИЯ[[#This Row],[СОНИ]]*РЕАЛИЗАЦИЯ[[#This Row],[НАРХИ]]</f>
        <v>0</v>
      </c>
      <c r="I2746" s="166"/>
      <c r="J2746" s="31">
        <f>РЕАЛИЗАЦИЯ[[#This Row],[СОНИ]]*РЕАЛИЗАЦИЯ[[#This Row],[ТАННАРХ]]</f>
        <v>0</v>
      </c>
      <c r="K2746" s="31">
        <f>РЕАЛИЗАЦИЯ[[#This Row],[ЖАМИ]]-РЕАЛИЗАЦИЯ[[#This Row],[ЖАМИ2]]</f>
        <v>0</v>
      </c>
      <c r="L2746" s="31"/>
    </row>
    <row r="2747" spans="1:12" x14ac:dyDescent="0.3">
      <c r="C2747" s="219"/>
      <c r="D2747" s="219"/>
      <c r="G2747" s="50">
        <f>РЕАЛИЗАЦИЯ[[#This Row],[СОНИ]]*РЕАЛИЗАЦИЯ[[#This Row],[НАРХИ]]</f>
        <v>0</v>
      </c>
      <c r="I2747" s="166"/>
      <c r="J2747" s="31">
        <f>РЕАЛИЗАЦИЯ[[#This Row],[СОНИ]]*РЕАЛИЗАЦИЯ[[#This Row],[ТАННАРХ]]</f>
        <v>0</v>
      </c>
      <c r="K2747" s="31">
        <f>РЕАЛИЗАЦИЯ[[#This Row],[ЖАМИ]]-РЕАЛИЗАЦИЯ[[#This Row],[ЖАМИ2]]</f>
        <v>0</v>
      </c>
      <c r="L2747" s="31"/>
    </row>
    <row r="2748" spans="1:12" x14ac:dyDescent="0.3">
      <c r="C2748" s="219"/>
      <c r="D2748" s="219"/>
      <c r="G2748" s="50">
        <f>РЕАЛИЗАЦИЯ[[#This Row],[СОНИ]]*РЕАЛИЗАЦИЯ[[#This Row],[НАРХИ]]</f>
        <v>0</v>
      </c>
      <c r="I2748" s="166"/>
      <c r="J2748" s="31">
        <f>РЕАЛИЗАЦИЯ[[#This Row],[СОНИ]]*РЕАЛИЗАЦИЯ[[#This Row],[ТАННАРХ]]</f>
        <v>0</v>
      </c>
      <c r="K2748" s="31">
        <f>РЕАЛИЗАЦИЯ[[#This Row],[ЖАМИ]]-РЕАЛИЗАЦИЯ[[#This Row],[ЖАМИ2]]</f>
        <v>0</v>
      </c>
      <c r="L2748" s="31"/>
    </row>
    <row r="2749" spans="1:12" x14ac:dyDescent="0.3">
      <c r="C2749" s="219"/>
      <c r="D2749" s="219"/>
      <c r="G2749" s="50">
        <f>РЕАЛИЗАЦИЯ[[#This Row],[СОНИ]]*РЕАЛИЗАЦИЯ[[#This Row],[НАРХИ]]</f>
        <v>0</v>
      </c>
      <c r="I2749" s="166"/>
      <c r="J2749" s="31">
        <f>РЕАЛИЗАЦИЯ[[#This Row],[СОНИ]]*РЕАЛИЗАЦИЯ[[#This Row],[ТАННАРХ]]</f>
        <v>0</v>
      </c>
      <c r="K2749" s="31">
        <f>РЕАЛИЗАЦИЯ[[#This Row],[ЖАМИ]]-РЕАЛИЗАЦИЯ[[#This Row],[ЖАМИ2]]</f>
        <v>0</v>
      </c>
      <c r="L2749" s="31"/>
    </row>
    <row r="2750" spans="1:12" x14ac:dyDescent="0.3">
      <c r="C2750" s="219"/>
      <c r="D2750" s="219"/>
      <c r="G2750" s="50">
        <f>РЕАЛИЗАЦИЯ[[#This Row],[СОНИ]]*РЕАЛИЗАЦИЯ[[#This Row],[НАРХИ]]</f>
        <v>0</v>
      </c>
      <c r="I2750" s="166"/>
      <c r="J2750" s="31">
        <f>РЕАЛИЗАЦИЯ[[#This Row],[СОНИ]]*РЕАЛИЗАЦИЯ[[#This Row],[ТАННАРХ]]</f>
        <v>0</v>
      </c>
      <c r="K2750" s="31">
        <f>РЕАЛИЗАЦИЯ[[#This Row],[ЖАМИ]]-РЕАЛИЗАЦИЯ[[#This Row],[ЖАМИ2]]</f>
        <v>0</v>
      </c>
      <c r="L2750" s="31"/>
    </row>
    <row r="2751" spans="1:12" x14ac:dyDescent="0.3">
      <c r="C2751" s="219"/>
      <c r="D2751" s="219"/>
      <c r="G2751" s="50">
        <f>РЕАЛИЗАЦИЯ[[#This Row],[СОНИ]]*РЕАЛИЗАЦИЯ[[#This Row],[НАРХИ]]</f>
        <v>0</v>
      </c>
      <c r="I2751" s="166"/>
      <c r="J2751" s="31">
        <f>РЕАЛИЗАЦИЯ[[#This Row],[СОНИ]]*РЕАЛИЗАЦИЯ[[#This Row],[ТАННАРХ]]</f>
        <v>0</v>
      </c>
      <c r="K2751" s="31">
        <f>РЕАЛИЗАЦИЯ[[#This Row],[ЖАМИ]]-РЕАЛИЗАЦИЯ[[#This Row],[ЖАМИ2]]</f>
        <v>0</v>
      </c>
      <c r="L2751" s="31"/>
    </row>
    <row r="2752" spans="1:12" x14ac:dyDescent="0.3">
      <c r="C2752" s="219"/>
      <c r="D2752" s="219"/>
      <c r="G2752" s="50">
        <f>РЕАЛИЗАЦИЯ[[#This Row],[СОНИ]]*РЕАЛИЗАЦИЯ[[#This Row],[НАРХИ]]</f>
        <v>0</v>
      </c>
      <c r="I2752" s="166"/>
      <c r="J2752" s="31">
        <f>РЕАЛИЗАЦИЯ[[#This Row],[СОНИ]]*РЕАЛИЗАЦИЯ[[#This Row],[ТАННАРХ]]</f>
        <v>0</v>
      </c>
      <c r="K2752" s="31">
        <f>РЕАЛИЗАЦИЯ[[#This Row],[ЖАМИ]]-РЕАЛИЗАЦИЯ[[#This Row],[ЖАМИ2]]</f>
        <v>0</v>
      </c>
      <c r="L2752" s="31"/>
    </row>
    <row r="2753" spans="3:12" x14ac:dyDescent="0.3">
      <c r="C2753" s="219"/>
      <c r="D2753" s="219"/>
      <c r="G2753" s="50">
        <f>РЕАЛИЗАЦИЯ[[#This Row],[СОНИ]]*РЕАЛИЗАЦИЯ[[#This Row],[НАРХИ]]</f>
        <v>0</v>
      </c>
      <c r="I2753" s="166"/>
      <c r="J2753" s="31">
        <f>РЕАЛИЗАЦИЯ[[#This Row],[СОНИ]]*РЕАЛИЗАЦИЯ[[#This Row],[ТАННАРХ]]</f>
        <v>0</v>
      </c>
      <c r="K2753" s="31">
        <f>РЕАЛИЗАЦИЯ[[#This Row],[ЖАМИ]]-РЕАЛИЗАЦИЯ[[#This Row],[ЖАМИ2]]</f>
        <v>0</v>
      </c>
      <c r="L2753" s="31"/>
    </row>
    <row r="2754" spans="3:12" x14ac:dyDescent="0.3">
      <c r="C2754" s="219"/>
      <c r="D2754" s="219"/>
      <c r="G2754" s="50">
        <f>РЕАЛИЗАЦИЯ[[#This Row],[СОНИ]]*РЕАЛИЗАЦИЯ[[#This Row],[НАРХИ]]</f>
        <v>0</v>
      </c>
      <c r="I2754" s="166"/>
      <c r="J2754" s="31">
        <f>РЕАЛИЗАЦИЯ[[#This Row],[СОНИ]]*РЕАЛИЗАЦИЯ[[#This Row],[ТАННАРХ]]</f>
        <v>0</v>
      </c>
      <c r="K2754" s="31">
        <f>РЕАЛИЗАЦИЯ[[#This Row],[ЖАМИ]]-РЕАЛИЗАЦИЯ[[#This Row],[ЖАМИ2]]</f>
        <v>0</v>
      </c>
      <c r="L2754" s="31"/>
    </row>
    <row r="2755" spans="3:12" x14ac:dyDescent="0.3">
      <c r="C2755" s="219"/>
      <c r="D2755" s="219"/>
      <c r="G2755" s="50">
        <f>РЕАЛИЗАЦИЯ[[#This Row],[СОНИ]]*РЕАЛИЗАЦИЯ[[#This Row],[НАРХИ]]</f>
        <v>0</v>
      </c>
      <c r="I2755" s="166"/>
      <c r="J2755" s="31">
        <f>РЕАЛИЗАЦИЯ[[#This Row],[СОНИ]]*РЕАЛИЗАЦИЯ[[#This Row],[ТАННАРХ]]</f>
        <v>0</v>
      </c>
      <c r="K2755" s="31">
        <f>РЕАЛИЗАЦИЯ[[#This Row],[ЖАМИ]]-РЕАЛИЗАЦИЯ[[#This Row],[ЖАМИ2]]</f>
        <v>0</v>
      </c>
      <c r="L2755" s="31"/>
    </row>
    <row r="2756" spans="3:12" x14ac:dyDescent="0.3">
      <c r="C2756" s="219"/>
      <c r="D2756" s="219"/>
      <c r="G2756" s="50">
        <f>РЕАЛИЗАЦИЯ[[#This Row],[СОНИ]]*РЕАЛИЗАЦИЯ[[#This Row],[НАРХИ]]</f>
        <v>0</v>
      </c>
      <c r="I2756" s="166"/>
      <c r="J2756" s="31">
        <f>РЕАЛИЗАЦИЯ[[#This Row],[СОНИ]]*РЕАЛИЗАЦИЯ[[#This Row],[ТАННАРХ]]</f>
        <v>0</v>
      </c>
      <c r="K2756" s="31">
        <f>РЕАЛИЗАЦИЯ[[#This Row],[ЖАМИ]]-РЕАЛИЗАЦИЯ[[#This Row],[ЖАМИ2]]</f>
        <v>0</v>
      </c>
      <c r="L2756" s="31"/>
    </row>
    <row r="2757" spans="3:12" x14ac:dyDescent="0.3">
      <c r="C2757" s="219"/>
      <c r="D2757" s="219"/>
      <c r="G2757" s="50">
        <f>РЕАЛИЗАЦИЯ[[#This Row],[СОНИ]]*РЕАЛИЗАЦИЯ[[#This Row],[НАРХИ]]</f>
        <v>0</v>
      </c>
      <c r="I2757" s="166"/>
      <c r="J2757" s="31">
        <f>РЕАЛИЗАЦИЯ[[#This Row],[СОНИ]]*РЕАЛИЗАЦИЯ[[#This Row],[ТАННАРХ]]</f>
        <v>0</v>
      </c>
      <c r="K2757" s="31">
        <f>РЕАЛИЗАЦИЯ[[#This Row],[ЖАМИ]]-РЕАЛИЗАЦИЯ[[#This Row],[ЖАМИ2]]</f>
        <v>0</v>
      </c>
      <c r="L2757" s="31"/>
    </row>
    <row r="2758" spans="3:12" x14ac:dyDescent="0.3">
      <c r="C2758" s="219"/>
      <c r="D2758" s="219"/>
      <c r="G2758" s="50">
        <f>РЕАЛИЗАЦИЯ[[#This Row],[СОНИ]]*РЕАЛИЗАЦИЯ[[#This Row],[НАРХИ]]</f>
        <v>0</v>
      </c>
      <c r="I2758" s="166"/>
      <c r="J2758" s="31">
        <f>РЕАЛИЗАЦИЯ[[#This Row],[СОНИ]]*РЕАЛИЗАЦИЯ[[#This Row],[ТАННАРХ]]</f>
        <v>0</v>
      </c>
      <c r="K2758" s="31">
        <f>РЕАЛИЗАЦИЯ[[#This Row],[ЖАМИ]]-РЕАЛИЗАЦИЯ[[#This Row],[ЖАМИ2]]</f>
        <v>0</v>
      </c>
      <c r="L2758" s="31"/>
    </row>
    <row r="2759" spans="3:12" x14ac:dyDescent="0.3">
      <c r="C2759" s="219"/>
      <c r="D2759" s="219"/>
      <c r="G2759" s="50">
        <f>РЕАЛИЗАЦИЯ[[#This Row],[СОНИ]]*РЕАЛИЗАЦИЯ[[#This Row],[НАРХИ]]</f>
        <v>0</v>
      </c>
      <c r="I2759" s="166"/>
      <c r="J2759" s="31">
        <f>РЕАЛИЗАЦИЯ[[#This Row],[СОНИ]]*РЕАЛИЗАЦИЯ[[#This Row],[ТАННАРХ]]</f>
        <v>0</v>
      </c>
      <c r="K2759" s="31">
        <f>РЕАЛИЗАЦИЯ[[#This Row],[ЖАМИ]]-РЕАЛИЗАЦИЯ[[#This Row],[ЖАМИ2]]</f>
        <v>0</v>
      </c>
      <c r="L2759" s="31"/>
    </row>
    <row r="2760" spans="3:12" x14ac:dyDescent="0.3">
      <c r="C2760" s="219"/>
      <c r="D2760" s="219"/>
      <c r="G2760" s="50">
        <f>РЕАЛИЗАЦИЯ[[#This Row],[СОНИ]]*РЕАЛИЗАЦИЯ[[#This Row],[НАРХИ]]</f>
        <v>0</v>
      </c>
      <c r="I2760" s="166"/>
      <c r="J2760" s="31">
        <f>РЕАЛИЗАЦИЯ[[#This Row],[СОНИ]]*РЕАЛИЗАЦИЯ[[#This Row],[ТАННАРХ]]</f>
        <v>0</v>
      </c>
      <c r="K2760" s="31">
        <f>РЕАЛИЗАЦИЯ[[#This Row],[ЖАМИ]]-РЕАЛИЗАЦИЯ[[#This Row],[ЖАМИ2]]</f>
        <v>0</v>
      </c>
      <c r="L2760" s="31"/>
    </row>
    <row r="2761" spans="3:12" x14ac:dyDescent="0.3">
      <c r="C2761" s="219"/>
      <c r="D2761" s="219"/>
      <c r="G2761" s="50">
        <f>РЕАЛИЗАЦИЯ[[#This Row],[СОНИ]]*РЕАЛИЗАЦИЯ[[#This Row],[НАРХИ]]</f>
        <v>0</v>
      </c>
      <c r="I2761" s="166"/>
      <c r="J2761" s="31">
        <f>РЕАЛИЗАЦИЯ[[#This Row],[СОНИ]]*РЕАЛИЗАЦИЯ[[#This Row],[ТАННАРХ]]</f>
        <v>0</v>
      </c>
      <c r="K2761" s="31">
        <f>РЕАЛИЗАЦИЯ[[#This Row],[ЖАМИ]]-РЕАЛИЗАЦИЯ[[#This Row],[ЖАМИ2]]</f>
        <v>0</v>
      </c>
      <c r="L2761" s="31"/>
    </row>
    <row r="2762" spans="3:12" x14ac:dyDescent="0.3">
      <c r="C2762" s="219"/>
      <c r="D2762" s="219"/>
      <c r="G2762" s="50">
        <f>РЕАЛИЗАЦИЯ[[#This Row],[СОНИ]]*РЕАЛИЗАЦИЯ[[#This Row],[НАРХИ]]</f>
        <v>0</v>
      </c>
      <c r="I2762" s="166"/>
      <c r="J2762" s="31">
        <f>РЕАЛИЗАЦИЯ[[#This Row],[СОНИ]]*РЕАЛИЗАЦИЯ[[#This Row],[ТАННАРХ]]</f>
        <v>0</v>
      </c>
      <c r="K2762" s="31">
        <f>РЕАЛИЗАЦИЯ[[#This Row],[ЖАМИ]]-РЕАЛИЗАЦИЯ[[#This Row],[ЖАМИ2]]</f>
        <v>0</v>
      </c>
      <c r="L2762" s="31"/>
    </row>
    <row r="2763" spans="3:12" x14ac:dyDescent="0.3">
      <c r="C2763" s="219"/>
      <c r="D2763" s="219"/>
      <c r="G2763" s="50">
        <f>РЕАЛИЗАЦИЯ[[#This Row],[СОНИ]]*РЕАЛИЗАЦИЯ[[#This Row],[НАРХИ]]</f>
        <v>0</v>
      </c>
      <c r="I2763" s="166"/>
      <c r="J2763" s="31">
        <f>РЕАЛИЗАЦИЯ[[#This Row],[СОНИ]]*РЕАЛИЗАЦИЯ[[#This Row],[ТАННАРХ]]</f>
        <v>0</v>
      </c>
      <c r="K2763" s="31">
        <f>РЕАЛИЗАЦИЯ[[#This Row],[ЖАМИ]]-РЕАЛИЗАЦИЯ[[#This Row],[ЖАМИ2]]</f>
        <v>0</v>
      </c>
      <c r="L2763" s="31"/>
    </row>
    <row r="2764" spans="3:12" x14ac:dyDescent="0.3">
      <c r="C2764" s="219"/>
      <c r="D2764" s="219"/>
      <c r="G2764" s="50">
        <f>РЕАЛИЗАЦИЯ[[#This Row],[СОНИ]]*РЕАЛИЗАЦИЯ[[#This Row],[НАРХИ]]</f>
        <v>0</v>
      </c>
      <c r="I2764" s="166"/>
      <c r="J2764" s="31">
        <f>РЕАЛИЗАЦИЯ[[#This Row],[СОНИ]]*РЕАЛИЗАЦИЯ[[#This Row],[ТАННАРХ]]</f>
        <v>0</v>
      </c>
      <c r="K2764" s="31">
        <f>РЕАЛИЗАЦИЯ[[#This Row],[ЖАМИ]]-РЕАЛИЗАЦИЯ[[#This Row],[ЖАМИ2]]</f>
        <v>0</v>
      </c>
      <c r="L2764" s="31"/>
    </row>
    <row r="2765" spans="3:12" x14ac:dyDescent="0.3">
      <c r="C2765" s="219"/>
      <c r="D2765" s="219"/>
      <c r="G2765" s="50">
        <f>РЕАЛИЗАЦИЯ[[#This Row],[СОНИ]]*РЕАЛИЗАЦИЯ[[#This Row],[НАРХИ]]</f>
        <v>0</v>
      </c>
      <c r="I2765" s="166"/>
      <c r="J2765" s="31">
        <f>РЕАЛИЗАЦИЯ[[#This Row],[СОНИ]]*РЕАЛИЗАЦИЯ[[#This Row],[ТАННАРХ]]</f>
        <v>0</v>
      </c>
      <c r="K2765" s="31">
        <f>РЕАЛИЗАЦИЯ[[#This Row],[ЖАМИ]]-РЕАЛИЗАЦИЯ[[#This Row],[ЖАМИ2]]</f>
        <v>0</v>
      </c>
      <c r="L2765" s="31"/>
    </row>
    <row r="2766" spans="3:12" x14ac:dyDescent="0.3">
      <c r="C2766" s="219"/>
      <c r="D2766" s="219"/>
      <c r="G2766" s="50">
        <f>РЕАЛИЗАЦИЯ[[#This Row],[СОНИ]]*РЕАЛИЗАЦИЯ[[#This Row],[НАРХИ]]</f>
        <v>0</v>
      </c>
      <c r="I2766" s="166"/>
      <c r="J2766" s="31">
        <f>РЕАЛИЗАЦИЯ[[#This Row],[СОНИ]]*РЕАЛИЗАЦИЯ[[#This Row],[ТАННАРХ]]</f>
        <v>0</v>
      </c>
      <c r="K2766" s="31">
        <f>РЕАЛИЗАЦИЯ[[#This Row],[ЖАМИ]]-РЕАЛИЗАЦИЯ[[#This Row],[ЖАМИ2]]</f>
        <v>0</v>
      </c>
      <c r="L2766" s="31"/>
    </row>
    <row r="2767" spans="3:12" x14ac:dyDescent="0.3">
      <c r="C2767" s="219"/>
      <c r="D2767" s="219"/>
      <c r="G2767" s="50">
        <f>РЕАЛИЗАЦИЯ[[#This Row],[СОНИ]]*РЕАЛИЗАЦИЯ[[#This Row],[НАРХИ]]</f>
        <v>0</v>
      </c>
      <c r="I2767" s="166"/>
      <c r="J2767" s="31">
        <f>РЕАЛИЗАЦИЯ[[#This Row],[СОНИ]]*РЕАЛИЗАЦИЯ[[#This Row],[ТАННАРХ]]</f>
        <v>0</v>
      </c>
      <c r="K2767" s="31">
        <f>РЕАЛИЗАЦИЯ[[#This Row],[ЖАМИ]]-РЕАЛИЗАЦИЯ[[#This Row],[ЖАМИ2]]</f>
        <v>0</v>
      </c>
      <c r="L2767" s="31"/>
    </row>
    <row r="2768" spans="3:12" x14ac:dyDescent="0.3">
      <c r="C2768" s="219"/>
      <c r="D2768" s="219"/>
      <c r="G2768" s="50">
        <f>РЕАЛИЗАЦИЯ[[#This Row],[СОНИ]]*РЕАЛИЗАЦИЯ[[#This Row],[НАРХИ]]</f>
        <v>0</v>
      </c>
      <c r="I2768" s="166"/>
      <c r="J2768" s="31">
        <f>РЕАЛИЗАЦИЯ[[#This Row],[СОНИ]]*РЕАЛИЗАЦИЯ[[#This Row],[ТАННАРХ]]</f>
        <v>0</v>
      </c>
      <c r="K2768" s="31">
        <f>РЕАЛИЗАЦИЯ[[#This Row],[ЖАМИ]]-РЕАЛИЗАЦИЯ[[#This Row],[ЖАМИ2]]</f>
        <v>0</v>
      </c>
      <c r="L2768" s="31"/>
    </row>
    <row r="2769" spans="2:12" x14ac:dyDescent="0.3">
      <c r="C2769" s="219"/>
      <c r="D2769" s="219"/>
      <c r="G2769" s="50">
        <f>РЕАЛИЗАЦИЯ[[#This Row],[СОНИ]]*РЕАЛИЗАЦИЯ[[#This Row],[НАРХИ]]</f>
        <v>0</v>
      </c>
      <c r="I2769" s="166"/>
      <c r="J2769" s="31">
        <f>РЕАЛИЗАЦИЯ[[#This Row],[СОНИ]]*РЕАЛИЗАЦИЯ[[#This Row],[ТАННАРХ]]</f>
        <v>0</v>
      </c>
      <c r="K2769" s="31">
        <f>РЕАЛИЗАЦИЯ[[#This Row],[ЖАМИ]]-РЕАЛИЗАЦИЯ[[#This Row],[ЖАМИ2]]</f>
        <v>0</v>
      </c>
      <c r="L2769" s="31"/>
    </row>
    <row r="2770" spans="2:12" x14ac:dyDescent="0.3">
      <c r="C2770" s="219"/>
      <c r="D2770" s="219"/>
      <c r="G2770" s="50">
        <f>РЕАЛИЗАЦИЯ[[#This Row],[СОНИ]]*РЕАЛИЗАЦИЯ[[#This Row],[НАРХИ]]</f>
        <v>0</v>
      </c>
      <c r="I2770" s="166"/>
      <c r="J2770" s="31">
        <f>РЕАЛИЗАЦИЯ[[#This Row],[СОНИ]]*РЕАЛИЗАЦИЯ[[#This Row],[ТАННАРХ]]</f>
        <v>0</v>
      </c>
      <c r="K2770" s="31">
        <f>РЕАЛИЗАЦИЯ[[#This Row],[ЖАМИ]]-РЕАЛИЗАЦИЯ[[#This Row],[ЖАМИ2]]</f>
        <v>0</v>
      </c>
      <c r="L2770" s="31"/>
    </row>
    <row r="2771" spans="2:12" x14ac:dyDescent="0.3">
      <c r="C2771" s="219"/>
      <c r="D2771" s="219"/>
      <c r="G2771" s="50">
        <f>РЕАЛИЗАЦИЯ[[#This Row],[СОНИ]]*РЕАЛИЗАЦИЯ[[#This Row],[НАРХИ]]</f>
        <v>0</v>
      </c>
      <c r="I2771" s="166"/>
      <c r="J2771" s="31">
        <f>РЕАЛИЗАЦИЯ[[#This Row],[СОНИ]]*РЕАЛИЗАЦИЯ[[#This Row],[ТАННАРХ]]</f>
        <v>0</v>
      </c>
      <c r="K2771" s="31">
        <f>РЕАЛИЗАЦИЯ[[#This Row],[ЖАМИ]]-РЕАЛИЗАЦИЯ[[#This Row],[ЖАМИ2]]</f>
        <v>0</v>
      </c>
      <c r="L2771" s="31"/>
    </row>
    <row r="2772" spans="2:12" x14ac:dyDescent="0.3">
      <c r="C2772" s="219"/>
      <c r="D2772" s="219"/>
      <c r="G2772" s="50">
        <f>РЕАЛИЗАЦИЯ[[#This Row],[СОНИ]]*РЕАЛИЗАЦИЯ[[#This Row],[НАРХИ]]</f>
        <v>0</v>
      </c>
      <c r="I2772" s="166"/>
      <c r="J2772" s="31">
        <f>РЕАЛИЗАЦИЯ[[#This Row],[СОНИ]]*РЕАЛИЗАЦИЯ[[#This Row],[ТАННАРХ]]</f>
        <v>0</v>
      </c>
      <c r="K2772" s="31">
        <f>РЕАЛИЗАЦИЯ[[#This Row],[ЖАМИ]]-РЕАЛИЗАЦИЯ[[#This Row],[ЖАМИ2]]</f>
        <v>0</v>
      </c>
      <c r="L2772" s="31"/>
    </row>
    <row r="2773" spans="2:12" x14ac:dyDescent="0.3">
      <c r="C2773" s="219"/>
      <c r="D2773" s="219"/>
      <c r="G2773" s="50">
        <f>РЕАЛИЗАЦИЯ[[#This Row],[СОНИ]]*РЕАЛИЗАЦИЯ[[#This Row],[НАРХИ]]</f>
        <v>0</v>
      </c>
      <c r="I2773" s="166"/>
      <c r="J2773" s="31">
        <f>РЕАЛИЗАЦИЯ[[#This Row],[СОНИ]]*РЕАЛИЗАЦИЯ[[#This Row],[ТАННАРХ]]</f>
        <v>0</v>
      </c>
      <c r="K2773" s="31">
        <f>РЕАЛИЗАЦИЯ[[#This Row],[ЖАМИ]]-РЕАЛИЗАЦИЯ[[#This Row],[ЖАМИ2]]</f>
        <v>0</v>
      </c>
      <c r="L2773" s="31"/>
    </row>
    <row r="2774" spans="2:12" x14ac:dyDescent="0.3">
      <c r="C2774" s="219"/>
      <c r="D2774" s="219"/>
      <c r="G2774" s="50">
        <f>РЕАЛИЗАЦИЯ[[#This Row],[СОНИ]]*РЕАЛИЗАЦИЯ[[#This Row],[НАРХИ]]</f>
        <v>0</v>
      </c>
      <c r="I2774" s="166"/>
      <c r="J2774" s="31">
        <f>РЕАЛИЗАЦИЯ[[#This Row],[СОНИ]]*РЕАЛИЗАЦИЯ[[#This Row],[ТАННАРХ]]</f>
        <v>0</v>
      </c>
      <c r="K2774" s="31">
        <f>РЕАЛИЗАЦИЯ[[#This Row],[ЖАМИ]]-РЕАЛИЗАЦИЯ[[#This Row],[ЖАМИ2]]</f>
        <v>0</v>
      </c>
      <c r="L2774" s="31"/>
    </row>
    <row r="2775" spans="2:12" x14ac:dyDescent="0.3">
      <c r="C2775" s="219"/>
      <c r="D2775" s="219"/>
      <c r="G2775" s="50">
        <f>РЕАЛИЗАЦИЯ[[#This Row],[СОНИ]]*РЕАЛИЗАЦИЯ[[#This Row],[НАРХИ]]</f>
        <v>0</v>
      </c>
      <c r="I2775" s="166"/>
      <c r="J2775" s="31">
        <f>РЕАЛИЗАЦИЯ[[#This Row],[СОНИ]]*РЕАЛИЗАЦИЯ[[#This Row],[ТАННАРХ]]</f>
        <v>0</v>
      </c>
      <c r="K2775" s="31">
        <f>РЕАЛИЗАЦИЯ[[#This Row],[ЖАМИ]]-РЕАЛИЗАЦИЯ[[#This Row],[ЖАМИ2]]</f>
        <v>0</v>
      </c>
      <c r="L2775" s="31"/>
    </row>
    <row r="2776" spans="2:12" x14ac:dyDescent="0.3">
      <c r="C2776" s="219"/>
      <c r="D2776" s="219"/>
      <c r="G2776" s="50">
        <f>РЕАЛИЗАЦИЯ[[#This Row],[СОНИ]]*РЕАЛИЗАЦИЯ[[#This Row],[НАРХИ]]</f>
        <v>0</v>
      </c>
      <c r="I2776" s="166"/>
      <c r="J2776" s="31">
        <f>РЕАЛИЗАЦИЯ[[#This Row],[СОНИ]]*РЕАЛИЗАЦИЯ[[#This Row],[ТАННАРХ]]</f>
        <v>0</v>
      </c>
      <c r="K2776" s="31">
        <f>РЕАЛИЗАЦИЯ[[#This Row],[ЖАМИ]]-РЕАЛИЗАЦИЯ[[#This Row],[ЖАМИ2]]</f>
        <v>0</v>
      </c>
      <c r="L2776" s="31"/>
    </row>
    <row r="2777" spans="2:12" x14ac:dyDescent="0.3">
      <c r="C2777" s="219"/>
      <c r="D2777" s="219"/>
      <c r="G2777" s="50">
        <f>РЕАЛИЗАЦИЯ[[#This Row],[СОНИ]]*РЕАЛИЗАЦИЯ[[#This Row],[НАРХИ]]</f>
        <v>0</v>
      </c>
      <c r="I2777" s="166"/>
      <c r="J2777" s="31">
        <f>РЕАЛИЗАЦИЯ[[#This Row],[СОНИ]]*РЕАЛИЗАЦИЯ[[#This Row],[ТАННАРХ]]</f>
        <v>0</v>
      </c>
      <c r="K2777" s="31">
        <f>РЕАЛИЗАЦИЯ[[#This Row],[ЖАМИ]]-РЕАЛИЗАЦИЯ[[#This Row],[ЖАМИ2]]</f>
        <v>0</v>
      </c>
      <c r="L2777" s="31"/>
    </row>
    <row r="2778" spans="2:12" x14ac:dyDescent="0.3">
      <c r="C2778" s="219"/>
      <c r="D2778" s="219"/>
      <c r="G2778" s="50">
        <f>РЕАЛИЗАЦИЯ[[#This Row],[СОНИ]]*РЕАЛИЗАЦИЯ[[#This Row],[НАРХИ]]</f>
        <v>0</v>
      </c>
      <c r="I2778" s="166"/>
      <c r="J2778" s="31">
        <f>РЕАЛИЗАЦИЯ[[#This Row],[СОНИ]]*РЕАЛИЗАЦИЯ[[#This Row],[ТАННАРХ]]</f>
        <v>0</v>
      </c>
      <c r="K2778" s="31">
        <f>РЕАЛИЗАЦИЯ[[#This Row],[ЖАМИ]]-РЕАЛИЗАЦИЯ[[#This Row],[ЖАМИ2]]</f>
        <v>0</v>
      </c>
      <c r="L2778" s="31"/>
    </row>
    <row r="2779" spans="2:12" x14ac:dyDescent="0.3">
      <c r="C2779" s="219"/>
      <c r="D2779" s="219"/>
      <c r="G2779" s="50">
        <f>РЕАЛИЗАЦИЯ[[#This Row],[СОНИ]]*РЕАЛИЗАЦИЯ[[#This Row],[НАРХИ]]</f>
        <v>0</v>
      </c>
      <c r="I2779" s="166"/>
      <c r="J2779" s="31">
        <f>РЕАЛИЗАЦИЯ[[#This Row],[СОНИ]]*РЕАЛИЗАЦИЯ[[#This Row],[ТАННАРХ]]</f>
        <v>0</v>
      </c>
      <c r="K2779" s="31">
        <f>РЕАЛИЗАЦИЯ[[#This Row],[ЖАМИ]]-РЕАЛИЗАЦИЯ[[#This Row],[ЖАМИ2]]</f>
        <v>0</v>
      </c>
      <c r="L2779" s="31"/>
    </row>
    <row r="2780" spans="2:12" x14ac:dyDescent="0.3">
      <c r="C2780" s="219"/>
      <c r="D2780" s="219"/>
      <c r="G2780" s="50">
        <f>РЕАЛИЗАЦИЯ[[#This Row],[СОНИ]]*РЕАЛИЗАЦИЯ[[#This Row],[НАРХИ]]</f>
        <v>0</v>
      </c>
      <c r="I2780" s="166"/>
      <c r="J2780" s="31">
        <f>РЕАЛИЗАЦИЯ[[#This Row],[СОНИ]]*РЕАЛИЗАЦИЯ[[#This Row],[ТАННАРХ]]</f>
        <v>0</v>
      </c>
      <c r="K2780" s="31">
        <f>РЕАЛИЗАЦИЯ[[#This Row],[ЖАМИ]]-РЕАЛИЗАЦИЯ[[#This Row],[ЖАМИ2]]</f>
        <v>0</v>
      </c>
      <c r="L2780" s="31"/>
    </row>
    <row r="2781" spans="2:12" x14ac:dyDescent="0.3">
      <c r="C2781" s="219"/>
      <c r="D2781" s="219"/>
      <c r="G2781" s="50">
        <f>РЕАЛИЗАЦИЯ[[#This Row],[СОНИ]]*РЕАЛИЗАЦИЯ[[#This Row],[НАРХИ]]</f>
        <v>0</v>
      </c>
      <c r="I2781" s="166"/>
      <c r="J2781" s="31">
        <f>РЕАЛИЗАЦИЯ[[#This Row],[СОНИ]]*РЕАЛИЗАЦИЯ[[#This Row],[ТАННАРХ]]</f>
        <v>0</v>
      </c>
      <c r="K2781" s="31">
        <f>РЕАЛИЗАЦИЯ[[#This Row],[ЖАМИ]]-РЕАЛИЗАЦИЯ[[#This Row],[ЖАМИ2]]</f>
        <v>0</v>
      </c>
      <c r="L2781" s="31"/>
    </row>
    <row r="2782" spans="2:12" x14ac:dyDescent="0.3">
      <c r="C2782" s="219"/>
      <c r="D2782" s="219"/>
      <c r="G2782" s="50">
        <f>РЕАЛИЗАЦИЯ[[#This Row],[СОНИ]]*РЕАЛИЗАЦИЯ[[#This Row],[НАРХИ]]</f>
        <v>0</v>
      </c>
      <c r="I2782" s="166"/>
      <c r="J2782" s="31">
        <f>РЕАЛИЗАЦИЯ[[#This Row],[СОНИ]]*РЕАЛИЗАЦИЯ[[#This Row],[ТАННАРХ]]</f>
        <v>0</v>
      </c>
      <c r="K2782" s="31">
        <f>РЕАЛИЗАЦИЯ[[#This Row],[ЖАМИ]]-РЕАЛИЗАЦИЯ[[#This Row],[ЖАМИ2]]</f>
        <v>0</v>
      </c>
      <c r="L2782" s="31"/>
    </row>
    <row r="2783" spans="2:12" x14ac:dyDescent="0.3">
      <c r="C2783" s="219"/>
      <c r="D2783" s="219"/>
      <c r="G2783" s="50">
        <f>РЕАЛИЗАЦИЯ[[#This Row],[СОНИ]]*РЕАЛИЗАЦИЯ[[#This Row],[НАРХИ]]</f>
        <v>0</v>
      </c>
      <c r="I2783" s="166"/>
      <c r="J2783" s="31">
        <f>РЕАЛИЗАЦИЯ[[#This Row],[СОНИ]]*РЕАЛИЗАЦИЯ[[#This Row],[ТАННАРХ]]</f>
        <v>0</v>
      </c>
      <c r="K2783" s="31">
        <f>РЕАЛИЗАЦИЯ[[#This Row],[ЖАМИ]]-РЕАЛИЗАЦИЯ[[#This Row],[ЖАМИ2]]</f>
        <v>0</v>
      </c>
      <c r="L2783" s="31"/>
    </row>
    <row r="2784" spans="2:12" x14ac:dyDescent="0.3">
      <c r="B2784" s="3"/>
      <c r="C2784" s="219"/>
      <c r="D2784" s="219"/>
      <c r="G2784" s="50">
        <f>РЕАЛИЗАЦИЯ[[#This Row],[СОНИ]]*РЕАЛИЗАЦИЯ[[#This Row],[НАРХИ]]</f>
        <v>0</v>
      </c>
      <c r="I2784" s="166"/>
      <c r="J2784" s="31">
        <f>РЕАЛИЗАЦИЯ[[#This Row],[СОНИ]]*РЕАЛИЗАЦИЯ[[#This Row],[ТАННАРХ]]</f>
        <v>0</v>
      </c>
      <c r="K2784" s="31">
        <f>РЕАЛИЗАЦИЯ[[#This Row],[ЖАМИ]]-РЕАЛИЗАЦИЯ[[#This Row],[ЖАМИ2]]</f>
        <v>0</v>
      </c>
      <c r="L2784" s="31"/>
    </row>
    <row r="2785" spans="2:12" x14ac:dyDescent="0.3">
      <c r="B2785" s="3"/>
      <c r="C2785" s="219"/>
      <c r="D2785" s="219"/>
      <c r="G2785" s="50">
        <f>РЕАЛИЗАЦИЯ[[#This Row],[СОНИ]]*РЕАЛИЗАЦИЯ[[#This Row],[НАРХИ]]</f>
        <v>0</v>
      </c>
      <c r="I2785" s="166"/>
      <c r="J2785" s="31">
        <f>РЕАЛИЗАЦИЯ[[#This Row],[СОНИ]]*РЕАЛИЗАЦИЯ[[#This Row],[ТАННАРХ]]</f>
        <v>0</v>
      </c>
      <c r="K2785" s="31">
        <f>РЕАЛИЗАЦИЯ[[#This Row],[ЖАМИ]]-РЕАЛИЗАЦИЯ[[#This Row],[ЖАМИ2]]</f>
        <v>0</v>
      </c>
      <c r="L2785" s="31"/>
    </row>
    <row r="2786" spans="2:12" x14ac:dyDescent="0.3">
      <c r="B2786" s="3"/>
      <c r="C2786" s="219"/>
      <c r="D2786" s="219"/>
      <c r="G2786" s="50">
        <f>РЕАЛИЗАЦИЯ[[#This Row],[СОНИ]]*РЕАЛИЗАЦИЯ[[#This Row],[НАРХИ]]</f>
        <v>0</v>
      </c>
      <c r="I2786" s="166"/>
      <c r="J2786" s="31">
        <f>РЕАЛИЗАЦИЯ[[#This Row],[СОНИ]]*РЕАЛИЗАЦИЯ[[#This Row],[ТАННАРХ]]</f>
        <v>0</v>
      </c>
      <c r="K2786" s="31">
        <f>РЕАЛИЗАЦИЯ[[#This Row],[ЖАМИ]]-РЕАЛИЗАЦИЯ[[#This Row],[ЖАМИ2]]</f>
        <v>0</v>
      </c>
      <c r="L2786" s="31"/>
    </row>
    <row r="2787" spans="2:12" x14ac:dyDescent="0.3">
      <c r="B2787" s="3"/>
      <c r="C2787" s="219"/>
      <c r="D2787" s="219"/>
      <c r="G2787" s="50">
        <f>РЕАЛИЗАЦИЯ[[#This Row],[СОНИ]]*РЕАЛИЗАЦИЯ[[#This Row],[НАРХИ]]</f>
        <v>0</v>
      </c>
      <c r="I2787" s="166"/>
      <c r="J2787" s="31">
        <f>РЕАЛИЗАЦИЯ[[#This Row],[СОНИ]]*РЕАЛИЗАЦИЯ[[#This Row],[ТАННАРХ]]</f>
        <v>0</v>
      </c>
      <c r="K2787" s="31">
        <f>РЕАЛИЗАЦИЯ[[#This Row],[ЖАМИ]]-РЕАЛИЗАЦИЯ[[#This Row],[ЖАМИ2]]</f>
        <v>0</v>
      </c>
      <c r="L2787" s="31"/>
    </row>
    <row r="2788" spans="2:12" x14ac:dyDescent="0.3">
      <c r="C2788" s="219"/>
      <c r="D2788" s="219"/>
      <c r="G2788" s="50">
        <f>РЕАЛИЗАЦИЯ[[#This Row],[СОНИ]]*РЕАЛИЗАЦИЯ[[#This Row],[НАРХИ]]</f>
        <v>0</v>
      </c>
      <c r="I2788" s="166"/>
      <c r="J2788" s="31">
        <f>РЕАЛИЗАЦИЯ[[#This Row],[СОНИ]]*РЕАЛИЗАЦИЯ[[#This Row],[ТАННАРХ]]</f>
        <v>0</v>
      </c>
      <c r="K2788" s="31">
        <f>РЕАЛИЗАЦИЯ[[#This Row],[ЖАМИ]]-РЕАЛИЗАЦИЯ[[#This Row],[ЖАМИ2]]</f>
        <v>0</v>
      </c>
      <c r="L2788" s="31"/>
    </row>
    <row r="2789" spans="2:12" x14ac:dyDescent="0.3">
      <c r="C2789" s="219"/>
      <c r="D2789" s="219"/>
      <c r="G2789" s="50">
        <f>РЕАЛИЗАЦИЯ[[#This Row],[СОНИ]]*РЕАЛИЗАЦИЯ[[#This Row],[НАРХИ]]</f>
        <v>0</v>
      </c>
      <c r="I2789" s="166"/>
      <c r="J2789" s="31">
        <f>РЕАЛИЗАЦИЯ[[#This Row],[СОНИ]]*РЕАЛИЗАЦИЯ[[#This Row],[ТАННАРХ]]</f>
        <v>0</v>
      </c>
      <c r="K2789" s="31">
        <f>РЕАЛИЗАЦИЯ[[#This Row],[ЖАМИ]]-РЕАЛИЗАЦИЯ[[#This Row],[ЖАМИ2]]</f>
        <v>0</v>
      </c>
      <c r="L2789" s="31"/>
    </row>
    <row r="2790" spans="2:12" x14ac:dyDescent="0.3">
      <c r="C2790" s="219"/>
      <c r="D2790" s="219"/>
      <c r="G2790" s="50">
        <f>РЕАЛИЗАЦИЯ[[#This Row],[СОНИ]]*РЕАЛИЗАЦИЯ[[#This Row],[НАРХИ]]</f>
        <v>0</v>
      </c>
      <c r="I2790" s="166"/>
      <c r="J2790" s="31">
        <f>РЕАЛИЗАЦИЯ[[#This Row],[СОНИ]]*РЕАЛИЗАЦИЯ[[#This Row],[ТАННАРХ]]</f>
        <v>0</v>
      </c>
      <c r="K2790" s="31">
        <f>РЕАЛИЗАЦИЯ[[#This Row],[ЖАМИ]]-РЕАЛИЗАЦИЯ[[#This Row],[ЖАМИ2]]</f>
        <v>0</v>
      </c>
      <c r="L2790" s="31"/>
    </row>
    <row r="2791" spans="2:12" x14ac:dyDescent="0.3">
      <c r="C2791" s="219"/>
      <c r="D2791" s="219"/>
      <c r="G2791" s="50">
        <f>РЕАЛИЗАЦИЯ[[#This Row],[СОНИ]]*РЕАЛИЗАЦИЯ[[#This Row],[НАРХИ]]</f>
        <v>0</v>
      </c>
      <c r="I2791" s="166"/>
      <c r="J2791" s="31">
        <f>РЕАЛИЗАЦИЯ[[#This Row],[СОНИ]]*РЕАЛИЗАЦИЯ[[#This Row],[ТАННАРХ]]</f>
        <v>0</v>
      </c>
      <c r="K2791" s="31">
        <f>РЕАЛИЗАЦИЯ[[#This Row],[ЖАМИ]]-РЕАЛИЗАЦИЯ[[#This Row],[ЖАМИ2]]</f>
        <v>0</v>
      </c>
      <c r="L2791" s="31"/>
    </row>
    <row r="2792" spans="2:12" x14ac:dyDescent="0.3">
      <c r="C2792" s="219"/>
      <c r="D2792" s="219"/>
      <c r="G2792" s="50">
        <f>РЕАЛИЗАЦИЯ[[#This Row],[СОНИ]]*РЕАЛИЗАЦИЯ[[#This Row],[НАРХИ]]</f>
        <v>0</v>
      </c>
      <c r="I2792" s="166"/>
      <c r="J2792" s="31">
        <f>РЕАЛИЗАЦИЯ[[#This Row],[СОНИ]]*РЕАЛИЗАЦИЯ[[#This Row],[ТАННАРХ]]</f>
        <v>0</v>
      </c>
      <c r="K2792" s="31">
        <f>РЕАЛИЗАЦИЯ[[#This Row],[ЖАМИ]]-РЕАЛИЗАЦИЯ[[#This Row],[ЖАМИ2]]</f>
        <v>0</v>
      </c>
      <c r="L2792" s="31"/>
    </row>
    <row r="2793" spans="2:12" x14ac:dyDescent="0.3">
      <c r="C2793" s="219"/>
      <c r="D2793" s="219"/>
      <c r="G2793" s="50">
        <f>РЕАЛИЗАЦИЯ[[#This Row],[СОНИ]]*РЕАЛИЗАЦИЯ[[#This Row],[НАРХИ]]</f>
        <v>0</v>
      </c>
      <c r="I2793" s="166"/>
      <c r="J2793" s="31">
        <f>РЕАЛИЗАЦИЯ[[#This Row],[СОНИ]]*РЕАЛИЗАЦИЯ[[#This Row],[ТАННАРХ]]</f>
        <v>0</v>
      </c>
      <c r="K2793" s="31">
        <f>РЕАЛИЗАЦИЯ[[#This Row],[ЖАМИ]]-РЕАЛИЗАЦИЯ[[#This Row],[ЖАМИ2]]</f>
        <v>0</v>
      </c>
      <c r="L2793" s="31"/>
    </row>
    <row r="2794" spans="2:12" x14ac:dyDescent="0.3">
      <c r="C2794" s="227"/>
      <c r="D2794" s="219"/>
      <c r="G2794" s="50">
        <f>РЕАЛИЗАЦИЯ[[#This Row],[СОНИ]]*РЕАЛИЗАЦИЯ[[#This Row],[НАРХИ]]</f>
        <v>0</v>
      </c>
      <c r="I2794" s="166"/>
      <c r="J2794" s="31">
        <f>РЕАЛИЗАЦИЯ[[#This Row],[СОНИ]]*РЕАЛИЗАЦИЯ[[#This Row],[ТАННАРХ]]</f>
        <v>0</v>
      </c>
      <c r="K2794" s="31">
        <f>РЕАЛИЗАЦИЯ[[#This Row],[ЖАМИ]]-РЕАЛИЗАЦИЯ[[#This Row],[ЖАМИ2]]</f>
        <v>0</v>
      </c>
      <c r="L2794" s="31"/>
    </row>
    <row r="2795" spans="2:12" x14ac:dyDescent="0.3">
      <c r="C2795" s="219"/>
      <c r="D2795" s="219"/>
      <c r="G2795" s="50">
        <f>РЕАЛИЗАЦИЯ[[#This Row],[СОНИ]]*РЕАЛИЗАЦИЯ[[#This Row],[НАРХИ]]</f>
        <v>0</v>
      </c>
      <c r="I2795" s="166"/>
      <c r="J2795" s="31">
        <f>РЕАЛИЗАЦИЯ[[#This Row],[СОНИ]]*РЕАЛИЗАЦИЯ[[#This Row],[ТАННАРХ]]</f>
        <v>0</v>
      </c>
      <c r="K2795" s="31">
        <f>РЕАЛИЗАЦИЯ[[#This Row],[ЖАМИ]]-РЕАЛИЗАЦИЯ[[#This Row],[ЖАМИ2]]</f>
        <v>0</v>
      </c>
      <c r="L2795" s="31"/>
    </row>
    <row r="2796" spans="2:12" x14ac:dyDescent="0.3">
      <c r="C2796" s="219"/>
      <c r="D2796" s="219"/>
      <c r="G2796" s="50">
        <f>РЕАЛИЗАЦИЯ[[#This Row],[СОНИ]]*РЕАЛИЗАЦИЯ[[#This Row],[НАРХИ]]</f>
        <v>0</v>
      </c>
      <c r="I2796" s="166"/>
      <c r="J2796" s="31">
        <f>РЕАЛИЗАЦИЯ[[#This Row],[СОНИ]]*РЕАЛИЗАЦИЯ[[#This Row],[ТАННАРХ]]</f>
        <v>0</v>
      </c>
      <c r="K2796" s="31">
        <f>РЕАЛИЗАЦИЯ[[#This Row],[ЖАМИ]]-РЕАЛИЗАЦИЯ[[#This Row],[ЖАМИ2]]</f>
        <v>0</v>
      </c>
      <c r="L2796" s="31"/>
    </row>
    <row r="2797" spans="2:12" x14ac:dyDescent="0.3">
      <c r="C2797" s="219"/>
      <c r="D2797" s="219"/>
      <c r="G2797" s="50">
        <f>РЕАЛИЗАЦИЯ[[#This Row],[СОНИ]]*РЕАЛИЗАЦИЯ[[#This Row],[НАРХИ]]</f>
        <v>0</v>
      </c>
      <c r="I2797" s="166"/>
      <c r="J2797" s="31">
        <f>РЕАЛИЗАЦИЯ[[#This Row],[СОНИ]]*РЕАЛИЗАЦИЯ[[#This Row],[ТАННАРХ]]</f>
        <v>0</v>
      </c>
      <c r="K2797" s="31">
        <f>РЕАЛИЗАЦИЯ[[#This Row],[ЖАМИ]]-РЕАЛИЗАЦИЯ[[#This Row],[ЖАМИ2]]</f>
        <v>0</v>
      </c>
      <c r="L2797" s="31"/>
    </row>
    <row r="2798" spans="2:12" x14ac:dyDescent="0.3">
      <c r="C2798" s="219"/>
      <c r="D2798" s="219"/>
      <c r="G2798" s="50">
        <f>РЕАЛИЗАЦИЯ[[#This Row],[СОНИ]]*РЕАЛИЗАЦИЯ[[#This Row],[НАРХИ]]</f>
        <v>0</v>
      </c>
      <c r="I2798" s="166"/>
      <c r="J2798" s="31">
        <f>РЕАЛИЗАЦИЯ[[#This Row],[СОНИ]]*РЕАЛИЗАЦИЯ[[#This Row],[ТАННАРХ]]</f>
        <v>0</v>
      </c>
      <c r="K2798" s="31">
        <f>РЕАЛИЗАЦИЯ[[#This Row],[ЖАМИ]]-РЕАЛИЗАЦИЯ[[#This Row],[ЖАМИ2]]</f>
        <v>0</v>
      </c>
      <c r="L2798" s="31"/>
    </row>
    <row r="2799" spans="2:12" x14ac:dyDescent="0.3">
      <c r="C2799" s="227"/>
      <c r="D2799" s="227"/>
      <c r="G2799" s="50">
        <f>РЕАЛИЗАЦИЯ[[#This Row],[СОНИ]]*РЕАЛИЗАЦИЯ[[#This Row],[НАРХИ]]</f>
        <v>0</v>
      </c>
      <c r="I2799" s="166"/>
      <c r="J2799" s="31">
        <f>РЕАЛИЗАЦИЯ[[#This Row],[СОНИ]]*РЕАЛИЗАЦИЯ[[#This Row],[ТАННАРХ]]</f>
        <v>0</v>
      </c>
      <c r="K2799" s="31">
        <f>РЕАЛИЗАЦИЯ[[#This Row],[ЖАМИ]]-РЕАЛИЗАЦИЯ[[#This Row],[ЖАМИ2]]</f>
        <v>0</v>
      </c>
      <c r="L2799" s="31"/>
    </row>
    <row r="2800" spans="2:12" x14ac:dyDescent="0.3">
      <c r="C2800" s="219"/>
      <c r="D2800" s="219"/>
      <c r="G2800" s="50">
        <f>РЕАЛИЗАЦИЯ[[#This Row],[СОНИ]]*РЕАЛИЗАЦИЯ[[#This Row],[НАРХИ]]</f>
        <v>0</v>
      </c>
      <c r="I2800" s="166"/>
      <c r="J2800" s="31">
        <f>РЕАЛИЗАЦИЯ[[#This Row],[СОНИ]]*РЕАЛИЗАЦИЯ[[#This Row],[ТАННАРХ]]</f>
        <v>0</v>
      </c>
      <c r="K2800" s="31">
        <f>РЕАЛИЗАЦИЯ[[#This Row],[ЖАМИ]]-РЕАЛИЗАЦИЯ[[#This Row],[ЖАМИ2]]</f>
        <v>0</v>
      </c>
      <c r="L2800" s="31"/>
    </row>
    <row r="2801" spans="3:12" x14ac:dyDescent="0.3">
      <c r="C2801" s="219"/>
      <c r="D2801" s="219"/>
      <c r="G2801" s="50">
        <f>РЕАЛИЗАЦИЯ[[#This Row],[СОНИ]]*РЕАЛИЗАЦИЯ[[#This Row],[НАРХИ]]</f>
        <v>0</v>
      </c>
      <c r="I2801" s="166"/>
      <c r="J2801" s="31">
        <f>РЕАЛИЗАЦИЯ[[#This Row],[СОНИ]]*РЕАЛИЗАЦИЯ[[#This Row],[ТАННАРХ]]</f>
        <v>0</v>
      </c>
      <c r="K2801" s="31">
        <f>РЕАЛИЗАЦИЯ[[#This Row],[ЖАМИ]]-РЕАЛИЗАЦИЯ[[#This Row],[ЖАМИ2]]</f>
        <v>0</v>
      </c>
      <c r="L2801" s="31"/>
    </row>
    <row r="2802" spans="3:12" x14ac:dyDescent="0.3">
      <c r="C2802" s="219"/>
      <c r="D2802" s="219"/>
      <c r="G2802" s="50">
        <f>РЕАЛИЗАЦИЯ[[#This Row],[СОНИ]]*РЕАЛИЗАЦИЯ[[#This Row],[НАРХИ]]</f>
        <v>0</v>
      </c>
      <c r="I2802" s="166"/>
      <c r="J2802" s="31">
        <f>РЕАЛИЗАЦИЯ[[#This Row],[СОНИ]]*РЕАЛИЗАЦИЯ[[#This Row],[ТАННАРХ]]</f>
        <v>0</v>
      </c>
      <c r="K2802" s="31">
        <f>РЕАЛИЗАЦИЯ[[#This Row],[ЖАМИ]]-РЕАЛИЗАЦИЯ[[#This Row],[ЖАМИ2]]</f>
        <v>0</v>
      </c>
      <c r="L2802" s="31"/>
    </row>
    <row r="2803" spans="3:12" x14ac:dyDescent="0.3">
      <c r="C2803" s="219"/>
      <c r="D2803" s="219"/>
      <c r="G2803" s="50">
        <f>РЕАЛИЗАЦИЯ[[#This Row],[СОНИ]]*РЕАЛИЗАЦИЯ[[#This Row],[НАРХИ]]</f>
        <v>0</v>
      </c>
      <c r="I2803" s="166"/>
      <c r="J2803" s="31">
        <f>РЕАЛИЗАЦИЯ[[#This Row],[СОНИ]]*РЕАЛИЗАЦИЯ[[#This Row],[ТАННАРХ]]</f>
        <v>0</v>
      </c>
      <c r="K2803" s="31">
        <f>РЕАЛИЗАЦИЯ[[#This Row],[ЖАМИ]]-РЕАЛИЗАЦИЯ[[#This Row],[ЖАМИ2]]</f>
        <v>0</v>
      </c>
      <c r="L2803" s="31"/>
    </row>
    <row r="2804" spans="3:12" x14ac:dyDescent="0.3">
      <c r="C2804" s="219"/>
      <c r="D2804" s="219"/>
      <c r="G2804" s="50">
        <f>РЕАЛИЗАЦИЯ[[#This Row],[СОНИ]]*РЕАЛИЗАЦИЯ[[#This Row],[НАРХИ]]</f>
        <v>0</v>
      </c>
      <c r="I2804" s="166"/>
      <c r="J2804" s="31">
        <f>РЕАЛИЗАЦИЯ[[#This Row],[СОНИ]]*РЕАЛИЗАЦИЯ[[#This Row],[ТАННАРХ]]</f>
        <v>0</v>
      </c>
      <c r="K2804" s="31">
        <f>РЕАЛИЗАЦИЯ[[#This Row],[ЖАМИ]]-РЕАЛИЗАЦИЯ[[#This Row],[ЖАМИ2]]</f>
        <v>0</v>
      </c>
      <c r="L2804" s="31"/>
    </row>
    <row r="2805" spans="3:12" x14ac:dyDescent="0.3">
      <c r="C2805" s="219"/>
      <c r="D2805" s="219"/>
      <c r="G2805" s="50">
        <f>РЕАЛИЗАЦИЯ[[#This Row],[СОНИ]]*РЕАЛИЗАЦИЯ[[#This Row],[НАРХИ]]</f>
        <v>0</v>
      </c>
      <c r="I2805" s="166"/>
      <c r="J2805" s="31">
        <f>РЕАЛИЗАЦИЯ[[#This Row],[СОНИ]]*РЕАЛИЗАЦИЯ[[#This Row],[ТАННАРХ]]</f>
        <v>0</v>
      </c>
      <c r="K2805" s="31">
        <f>РЕАЛИЗАЦИЯ[[#This Row],[ЖАМИ]]-РЕАЛИЗАЦИЯ[[#This Row],[ЖАМИ2]]</f>
        <v>0</v>
      </c>
      <c r="L2805" s="31"/>
    </row>
    <row r="2806" spans="3:12" x14ac:dyDescent="0.3">
      <c r="C2806" s="219"/>
      <c r="D2806" s="219"/>
      <c r="G2806" s="50">
        <f>РЕАЛИЗАЦИЯ[[#This Row],[СОНИ]]*РЕАЛИЗАЦИЯ[[#This Row],[НАРХИ]]</f>
        <v>0</v>
      </c>
      <c r="I2806" s="166"/>
      <c r="J2806" s="31">
        <f>РЕАЛИЗАЦИЯ[[#This Row],[СОНИ]]*РЕАЛИЗАЦИЯ[[#This Row],[ТАННАРХ]]</f>
        <v>0</v>
      </c>
      <c r="K2806" s="31">
        <f>РЕАЛИЗАЦИЯ[[#This Row],[ЖАМИ]]-РЕАЛИЗАЦИЯ[[#This Row],[ЖАМИ2]]</f>
        <v>0</v>
      </c>
      <c r="L2806" s="31"/>
    </row>
    <row r="2807" spans="3:12" x14ac:dyDescent="0.3">
      <c r="C2807" s="219"/>
      <c r="D2807" s="219"/>
      <c r="G2807" s="50">
        <f>РЕАЛИЗАЦИЯ[[#This Row],[СОНИ]]*РЕАЛИЗАЦИЯ[[#This Row],[НАРХИ]]</f>
        <v>0</v>
      </c>
      <c r="I2807" s="166"/>
      <c r="J2807" s="31">
        <f>РЕАЛИЗАЦИЯ[[#This Row],[СОНИ]]*РЕАЛИЗАЦИЯ[[#This Row],[ТАННАРХ]]</f>
        <v>0</v>
      </c>
      <c r="K2807" s="31">
        <f>РЕАЛИЗАЦИЯ[[#This Row],[ЖАМИ]]-РЕАЛИЗАЦИЯ[[#This Row],[ЖАМИ2]]</f>
        <v>0</v>
      </c>
      <c r="L2807" s="31"/>
    </row>
    <row r="2808" spans="3:12" x14ac:dyDescent="0.3">
      <c r="C2808" s="219"/>
      <c r="D2808" s="219"/>
      <c r="G2808" s="50">
        <f>РЕАЛИЗАЦИЯ[[#This Row],[СОНИ]]*РЕАЛИЗАЦИЯ[[#This Row],[НАРХИ]]</f>
        <v>0</v>
      </c>
      <c r="I2808" s="166"/>
      <c r="J2808" s="31">
        <f>РЕАЛИЗАЦИЯ[[#This Row],[СОНИ]]*РЕАЛИЗАЦИЯ[[#This Row],[ТАННАРХ]]</f>
        <v>0</v>
      </c>
      <c r="K2808" s="31">
        <f>РЕАЛИЗАЦИЯ[[#This Row],[ЖАМИ]]-РЕАЛИЗАЦИЯ[[#This Row],[ЖАМИ2]]</f>
        <v>0</v>
      </c>
      <c r="L2808" s="31"/>
    </row>
    <row r="2809" spans="3:12" x14ac:dyDescent="0.3">
      <c r="C2809" s="219"/>
      <c r="D2809" s="219"/>
      <c r="G2809" s="50">
        <f>РЕАЛИЗАЦИЯ[[#This Row],[СОНИ]]*РЕАЛИЗАЦИЯ[[#This Row],[НАРХИ]]</f>
        <v>0</v>
      </c>
      <c r="I2809" s="166"/>
      <c r="J2809" s="31">
        <f>РЕАЛИЗАЦИЯ[[#This Row],[СОНИ]]*РЕАЛИЗАЦИЯ[[#This Row],[ТАННАРХ]]</f>
        <v>0</v>
      </c>
      <c r="K2809" s="31">
        <f>РЕАЛИЗАЦИЯ[[#This Row],[ЖАМИ]]-РЕАЛИЗАЦИЯ[[#This Row],[ЖАМИ2]]</f>
        <v>0</v>
      </c>
      <c r="L2809" s="31"/>
    </row>
    <row r="2810" spans="3:12" x14ac:dyDescent="0.3">
      <c r="C2810" s="219"/>
      <c r="D2810" s="219"/>
      <c r="G2810" s="50">
        <f>РЕАЛИЗАЦИЯ[[#This Row],[СОНИ]]*РЕАЛИЗАЦИЯ[[#This Row],[НАРХИ]]</f>
        <v>0</v>
      </c>
      <c r="I2810" s="166"/>
      <c r="J2810" s="31">
        <f>РЕАЛИЗАЦИЯ[[#This Row],[СОНИ]]*РЕАЛИЗАЦИЯ[[#This Row],[ТАННАРХ]]</f>
        <v>0</v>
      </c>
      <c r="K2810" s="31">
        <f>РЕАЛИЗАЦИЯ[[#This Row],[ЖАМИ]]-РЕАЛИЗАЦИЯ[[#This Row],[ЖАМИ2]]</f>
        <v>0</v>
      </c>
      <c r="L2810" s="31"/>
    </row>
    <row r="2811" spans="3:12" x14ac:dyDescent="0.3">
      <c r="C2811" s="219"/>
      <c r="D2811" s="219"/>
      <c r="G2811" s="50">
        <f>РЕАЛИЗАЦИЯ[[#This Row],[СОНИ]]*РЕАЛИЗАЦИЯ[[#This Row],[НАРХИ]]</f>
        <v>0</v>
      </c>
      <c r="I2811" s="166"/>
      <c r="J2811" s="31">
        <f>РЕАЛИЗАЦИЯ[[#This Row],[СОНИ]]*РЕАЛИЗАЦИЯ[[#This Row],[ТАННАРХ]]</f>
        <v>0</v>
      </c>
      <c r="K2811" s="31">
        <f>РЕАЛИЗАЦИЯ[[#This Row],[ЖАМИ]]-РЕАЛИЗАЦИЯ[[#This Row],[ЖАМИ2]]</f>
        <v>0</v>
      </c>
      <c r="L2811" s="31"/>
    </row>
    <row r="2812" spans="3:12" x14ac:dyDescent="0.3">
      <c r="C2812" s="219"/>
      <c r="D2812" s="219"/>
      <c r="G2812" s="50">
        <f>РЕАЛИЗАЦИЯ[[#This Row],[СОНИ]]*РЕАЛИЗАЦИЯ[[#This Row],[НАРХИ]]</f>
        <v>0</v>
      </c>
      <c r="I2812" s="166"/>
      <c r="J2812" s="31">
        <f>РЕАЛИЗАЦИЯ[[#This Row],[СОНИ]]*РЕАЛИЗАЦИЯ[[#This Row],[ТАННАРХ]]</f>
        <v>0</v>
      </c>
      <c r="K2812" s="31">
        <f>РЕАЛИЗАЦИЯ[[#This Row],[ЖАМИ]]-РЕАЛИЗАЦИЯ[[#This Row],[ЖАМИ2]]</f>
        <v>0</v>
      </c>
      <c r="L2812" s="31"/>
    </row>
    <row r="2813" spans="3:12" x14ac:dyDescent="0.3">
      <c r="C2813" s="219"/>
      <c r="D2813" s="219"/>
      <c r="G2813" s="50">
        <f>РЕАЛИЗАЦИЯ[[#This Row],[СОНИ]]*РЕАЛИЗАЦИЯ[[#This Row],[НАРХИ]]</f>
        <v>0</v>
      </c>
      <c r="I2813" s="166"/>
      <c r="J2813" s="31">
        <f>РЕАЛИЗАЦИЯ[[#This Row],[СОНИ]]*РЕАЛИЗАЦИЯ[[#This Row],[ТАННАРХ]]</f>
        <v>0</v>
      </c>
      <c r="K2813" s="31">
        <f>РЕАЛИЗАЦИЯ[[#This Row],[ЖАМИ]]-РЕАЛИЗАЦИЯ[[#This Row],[ЖАМИ2]]</f>
        <v>0</v>
      </c>
      <c r="L2813" s="31"/>
    </row>
    <row r="2814" spans="3:12" x14ac:dyDescent="0.3">
      <c r="C2814" s="219"/>
      <c r="D2814" s="219"/>
      <c r="G2814" s="50">
        <f>РЕАЛИЗАЦИЯ[[#This Row],[СОНИ]]*РЕАЛИЗАЦИЯ[[#This Row],[НАРХИ]]</f>
        <v>0</v>
      </c>
      <c r="I2814" s="166"/>
      <c r="J2814" s="31">
        <f>РЕАЛИЗАЦИЯ[[#This Row],[СОНИ]]*РЕАЛИЗАЦИЯ[[#This Row],[ТАННАРХ]]</f>
        <v>0</v>
      </c>
      <c r="K2814" s="31">
        <f>РЕАЛИЗАЦИЯ[[#This Row],[ЖАМИ]]-РЕАЛИЗАЦИЯ[[#This Row],[ЖАМИ2]]</f>
        <v>0</v>
      </c>
      <c r="L2814" s="31"/>
    </row>
    <row r="2815" spans="3:12" x14ac:dyDescent="0.3">
      <c r="C2815" s="219"/>
      <c r="D2815" s="219"/>
      <c r="G2815" s="50">
        <f>РЕАЛИЗАЦИЯ[[#This Row],[СОНИ]]*РЕАЛИЗАЦИЯ[[#This Row],[НАРХИ]]</f>
        <v>0</v>
      </c>
      <c r="I2815" s="166"/>
      <c r="J2815" s="31">
        <f>РЕАЛИЗАЦИЯ[[#This Row],[СОНИ]]*РЕАЛИЗАЦИЯ[[#This Row],[ТАННАРХ]]</f>
        <v>0</v>
      </c>
      <c r="K2815" s="31">
        <f>РЕАЛИЗАЦИЯ[[#This Row],[ЖАМИ]]-РЕАЛИЗАЦИЯ[[#This Row],[ЖАМИ2]]</f>
        <v>0</v>
      </c>
      <c r="L2815" s="31"/>
    </row>
    <row r="2816" spans="3:12" x14ac:dyDescent="0.3">
      <c r="C2816" s="219"/>
      <c r="D2816" s="219"/>
      <c r="G2816" s="50">
        <f>РЕАЛИЗАЦИЯ[[#This Row],[СОНИ]]*РЕАЛИЗАЦИЯ[[#This Row],[НАРХИ]]</f>
        <v>0</v>
      </c>
      <c r="I2816" s="166"/>
      <c r="J2816" s="31">
        <f>РЕАЛИЗАЦИЯ[[#This Row],[СОНИ]]*РЕАЛИЗАЦИЯ[[#This Row],[ТАННАРХ]]</f>
        <v>0</v>
      </c>
      <c r="K2816" s="31">
        <f>РЕАЛИЗАЦИЯ[[#This Row],[ЖАМИ]]-РЕАЛИЗАЦИЯ[[#This Row],[ЖАМИ2]]</f>
        <v>0</v>
      </c>
      <c r="L2816" s="31"/>
    </row>
    <row r="2817" spans="3:12" x14ac:dyDescent="0.3">
      <c r="C2817" s="219"/>
      <c r="D2817" s="219"/>
      <c r="G2817" s="50">
        <f>РЕАЛИЗАЦИЯ[[#This Row],[СОНИ]]*РЕАЛИЗАЦИЯ[[#This Row],[НАРХИ]]</f>
        <v>0</v>
      </c>
      <c r="I2817" s="166"/>
      <c r="J2817" s="31">
        <f>РЕАЛИЗАЦИЯ[[#This Row],[СОНИ]]*РЕАЛИЗАЦИЯ[[#This Row],[ТАННАРХ]]</f>
        <v>0</v>
      </c>
      <c r="K2817" s="31">
        <f>РЕАЛИЗАЦИЯ[[#This Row],[ЖАМИ]]-РЕАЛИЗАЦИЯ[[#This Row],[ЖАМИ2]]</f>
        <v>0</v>
      </c>
      <c r="L2817" s="31"/>
    </row>
    <row r="2818" spans="3:12" x14ac:dyDescent="0.3">
      <c r="C2818" s="219"/>
      <c r="D2818" s="219"/>
      <c r="G2818" s="50">
        <f>РЕАЛИЗАЦИЯ[[#This Row],[СОНИ]]*РЕАЛИЗАЦИЯ[[#This Row],[НАРХИ]]</f>
        <v>0</v>
      </c>
      <c r="I2818" s="166"/>
      <c r="J2818" s="31">
        <f>РЕАЛИЗАЦИЯ[[#This Row],[СОНИ]]*РЕАЛИЗАЦИЯ[[#This Row],[ТАННАРХ]]</f>
        <v>0</v>
      </c>
      <c r="K2818" s="31">
        <f>РЕАЛИЗАЦИЯ[[#This Row],[ЖАМИ]]-РЕАЛИЗАЦИЯ[[#This Row],[ЖАМИ2]]</f>
        <v>0</v>
      </c>
      <c r="L2818" s="31"/>
    </row>
    <row r="2819" spans="3:12" x14ac:dyDescent="0.3">
      <c r="C2819" s="219"/>
      <c r="D2819" s="219"/>
      <c r="G2819" s="50">
        <f>РЕАЛИЗАЦИЯ[[#This Row],[СОНИ]]*РЕАЛИЗАЦИЯ[[#This Row],[НАРХИ]]</f>
        <v>0</v>
      </c>
      <c r="I2819" s="166"/>
      <c r="J2819" s="31">
        <f>РЕАЛИЗАЦИЯ[[#This Row],[СОНИ]]*РЕАЛИЗАЦИЯ[[#This Row],[ТАННАРХ]]</f>
        <v>0</v>
      </c>
      <c r="K2819" s="31">
        <f>РЕАЛИЗАЦИЯ[[#This Row],[ЖАМИ]]-РЕАЛИЗАЦИЯ[[#This Row],[ЖАМИ2]]</f>
        <v>0</v>
      </c>
      <c r="L2819" s="31"/>
    </row>
    <row r="2820" spans="3:12" x14ac:dyDescent="0.3">
      <c r="C2820" s="219"/>
      <c r="D2820" s="219"/>
      <c r="G2820" s="50">
        <f>РЕАЛИЗАЦИЯ[[#This Row],[СОНИ]]*РЕАЛИЗАЦИЯ[[#This Row],[НАРХИ]]</f>
        <v>0</v>
      </c>
      <c r="I2820" s="166"/>
      <c r="J2820" s="31">
        <f>РЕАЛИЗАЦИЯ[[#This Row],[СОНИ]]*РЕАЛИЗАЦИЯ[[#This Row],[ТАННАРХ]]</f>
        <v>0</v>
      </c>
      <c r="K2820" s="31">
        <f>РЕАЛИЗАЦИЯ[[#This Row],[ЖАМИ]]-РЕАЛИЗАЦИЯ[[#This Row],[ЖАМИ2]]</f>
        <v>0</v>
      </c>
      <c r="L2820" s="31"/>
    </row>
    <row r="2821" spans="3:12" x14ac:dyDescent="0.3">
      <c r="C2821" s="219"/>
      <c r="D2821" s="219"/>
      <c r="G2821" s="50">
        <f>РЕАЛИЗАЦИЯ[[#This Row],[СОНИ]]*РЕАЛИЗАЦИЯ[[#This Row],[НАРХИ]]</f>
        <v>0</v>
      </c>
      <c r="I2821" s="166"/>
      <c r="J2821" s="31">
        <f>РЕАЛИЗАЦИЯ[[#This Row],[СОНИ]]*РЕАЛИЗАЦИЯ[[#This Row],[ТАННАРХ]]</f>
        <v>0</v>
      </c>
      <c r="K2821" s="31">
        <f>РЕАЛИЗАЦИЯ[[#This Row],[ЖАМИ]]-РЕАЛИЗАЦИЯ[[#This Row],[ЖАМИ2]]</f>
        <v>0</v>
      </c>
      <c r="L2821" s="31"/>
    </row>
    <row r="2822" spans="3:12" x14ac:dyDescent="0.3">
      <c r="C2822" s="219"/>
      <c r="D2822" s="219"/>
      <c r="G2822" s="50">
        <f>РЕАЛИЗАЦИЯ[[#This Row],[СОНИ]]*РЕАЛИЗАЦИЯ[[#This Row],[НАРХИ]]</f>
        <v>0</v>
      </c>
      <c r="I2822" s="166"/>
      <c r="J2822" s="31">
        <f>РЕАЛИЗАЦИЯ[[#This Row],[СОНИ]]*РЕАЛИЗАЦИЯ[[#This Row],[ТАННАРХ]]</f>
        <v>0</v>
      </c>
      <c r="K2822" s="31">
        <f>РЕАЛИЗАЦИЯ[[#This Row],[ЖАМИ]]-РЕАЛИЗАЦИЯ[[#This Row],[ЖАМИ2]]</f>
        <v>0</v>
      </c>
      <c r="L2822" s="31"/>
    </row>
    <row r="2823" spans="3:12" x14ac:dyDescent="0.3">
      <c r="C2823" s="219"/>
      <c r="D2823" s="219"/>
      <c r="G2823" s="50">
        <f>РЕАЛИЗАЦИЯ[[#This Row],[СОНИ]]*РЕАЛИЗАЦИЯ[[#This Row],[НАРХИ]]</f>
        <v>0</v>
      </c>
      <c r="I2823" s="166"/>
      <c r="J2823" s="31">
        <f>РЕАЛИЗАЦИЯ[[#This Row],[СОНИ]]*РЕАЛИЗАЦИЯ[[#This Row],[ТАННАРХ]]</f>
        <v>0</v>
      </c>
      <c r="K2823" s="31">
        <f>РЕАЛИЗАЦИЯ[[#This Row],[ЖАМИ]]-РЕАЛИЗАЦИЯ[[#This Row],[ЖАМИ2]]</f>
        <v>0</v>
      </c>
      <c r="L2823" s="31"/>
    </row>
    <row r="2824" spans="3:12" x14ac:dyDescent="0.3">
      <c r="C2824" s="219"/>
      <c r="D2824" s="219"/>
      <c r="G2824" s="50">
        <f>РЕАЛИЗАЦИЯ[[#This Row],[СОНИ]]*РЕАЛИЗАЦИЯ[[#This Row],[НАРХИ]]</f>
        <v>0</v>
      </c>
      <c r="I2824" s="166"/>
      <c r="J2824" s="31">
        <f>РЕАЛИЗАЦИЯ[[#This Row],[СОНИ]]*РЕАЛИЗАЦИЯ[[#This Row],[ТАННАРХ]]</f>
        <v>0</v>
      </c>
      <c r="K2824" s="31">
        <f>РЕАЛИЗАЦИЯ[[#This Row],[ЖАМИ]]-РЕАЛИЗАЦИЯ[[#This Row],[ЖАМИ2]]</f>
        <v>0</v>
      </c>
      <c r="L2824" s="31"/>
    </row>
    <row r="2825" spans="3:12" x14ac:dyDescent="0.3">
      <c r="C2825" s="219"/>
      <c r="D2825" s="219"/>
      <c r="G2825" s="50">
        <f>РЕАЛИЗАЦИЯ[[#This Row],[СОНИ]]*РЕАЛИЗАЦИЯ[[#This Row],[НАРХИ]]</f>
        <v>0</v>
      </c>
      <c r="I2825" s="166"/>
      <c r="J2825" s="31">
        <f>РЕАЛИЗАЦИЯ[[#This Row],[СОНИ]]*РЕАЛИЗАЦИЯ[[#This Row],[ТАННАРХ]]</f>
        <v>0</v>
      </c>
      <c r="K2825" s="31">
        <f>РЕАЛИЗАЦИЯ[[#This Row],[ЖАМИ]]-РЕАЛИЗАЦИЯ[[#This Row],[ЖАМИ2]]</f>
        <v>0</v>
      </c>
      <c r="L2825" s="31"/>
    </row>
    <row r="2826" spans="3:12" x14ac:dyDescent="0.3">
      <c r="C2826" s="219"/>
      <c r="D2826" s="219"/>
      <c r="G2826" s="50">
        <f>РЕАЛИЗАЦИЯ[[#This Row],[СОНИ]]*РЕАЛИЗАЦИЯ[[#This Row],[НАРХИ]]</f>
        <v>0</v>
      </c>
      <c r="I2826" s="166"/>
      <c r="J2826" s="31">
        <f>РЕАЛИЗАЦИЯ[[#This Row],[СОНИ]]*РЕАЛИЗАЦИЯ[[#This Row],[ТАННАРХ]]</f>
        <v>0</v>
      </c>
      <c r="K2826" s="31">
        <f>РЕАЛИЗАЦИЯ[[#This Row],[ЖАМИ]]-РЕАЛИЗАЦИЯ[[#This Row],[ЖАМИ2]]</f>
        <v>0</v>
      </c>
      <c r="L2826" s="31"/>
    </row>
    <row r="2827" spans="3:12" x14ac:dyDescent="0.3">
      <c r="C2827" s="219"/>
      <c r="D2827" s="219"/>
      <c r="G2827" s="50">
        <f>РЕАЛИЗАЦИЯ[[#This Row],[СОНИ]]*РЕАЛИЗАЦИЯ[[#This Row],[НАРХИ]]</f>
        <v>0</v>
      </c>
      <c r="I2827" s="166"/>
      <c r="J2827" s="31">
        <f>РЕАЛИЗАЦИЯ[[#This Row],[СОНИ]]*РЕАЛИЗАЦИЯ[[#This Row],[ТАННАРХ]]</f>
        <v>0</v>
      </c>
      <c r="K2827" s="31">
        <f>РЕАЛИЗАЦИЯ[[#This Row],[ЖАМИ]]-РЕАЛИЗАЦИЯ[[#This Row],[ЖАМИ2]]</f>
        <v>0</v>
      </c>
      <c r="L2827" s="31"/>
    </row>
    <row r="2828" spans="3:12" x14ac:dyDescent="0.3">
      <c r="C2828" s="219"/>
      <c r="D2828" s="219"/>
      <c r="G2828" s="50">
        <f>РЕАЛИЗАЦИЯ[[#This Row],[СОНИ]]*РЕАЛИЗАЦИЯ[[#This Row],[НАРХИ]]</f>
        <v>0</v>
      </c>
      <c r="I2828" s="166"/>
      <c r="J2828" s="31">
        <f>РЕАЛИЗАЦИЯ[[#This Row],[СОНИ]]*РЕАЛИЗАЦИЯ[[#This Row],[ТАННАРХ]]</f>
        <v>0</v>
      </c>
      <c r="K2828" s="31">
        <f>РЕАЛИЗАЦИЯ[[#This Row],[ЖАМИ]]-РЕАЛИЗАЦИЯ[[#This Row],[ЖАМИ2]]</f>
        <v>0</v>
      </c>
      <c r="L2828" s="31"/>
    </row>
    <row r="2829" spans="3:12" x14ac:dyDescent="0.3">
      <c r="C2829" s="219"/>
      <c r="D2829" s="219"/>
      <c r="G2829" s="50">
        <f>РЕАЛИЗАЦИЯ[[#This Row],[СОНИ]]*РЕАЛИЗАЦИЯ[[#This Row],[НАРХИ]]</f>
        <v>0</v>
      </c>
      <c r="I2829" s="166"/>
      <c r="J2829" s="31">
        <f>РЕАЛИЗАЦИЯ[[#This Row],[СОНИ]]*РЕАЛИЗАЦИЯ[[#This Row],[ТАННАРХ]]</f>
        <v>0</v>
      </c>
      <c r="K2829" s="31">
        <f>РЕАЛИЗАЦИЯ[[#This Row],[ЖАМИ]]-РЕАЛИЗАЦИЯ[[#This Row],[ЖАМИ2]]</f>
        <v>0</v>
      </c>
      <c r="L2829" s="31"/>
    </row>
    <row r="2830" spans="3:12" x14ac:dyDescent="0.3">
      <c r="C2830" s="219"/>
      <c r="D2830" s="219"/>
      <c r="G2830" s="50">
        <f>РЕАЛИЗАЦИЯ[[#This Row],[СОНИ]]*РЕАЛИЗАЦИЯ[[#This Row],[НАРХИ]]</f>
        <v>0</v>
      </c>
      <c r="I2830" s="166"/>
      <c r="J2830" s="31">
        <f>РЕАЛИЗАЦИЯ[[#This Row],[СОНИ]]*РЕАЛИЗАЦИЯ[[#This Row],[ТАННАРХ]]</f>
        <v>0</v>
      </c>
      <c r="K2830" s="31">
        <f>РЕАЛИЗАЦИЯ[[#This Row],[ЖАМИ]]-РЕАЛИЗАЦИЯ[[#This Row],[ЖАМИ2]]</f>
        <v>0</v>
      </c>
      <c r="L2830" s="31"/>
    </row>
    <row r="2831" spans="3:12" x14ac:dyDescent="0.3">
      <c r="C2831" s="219"/>
      <c r="D2831" s="219"/>
      <c r="G2831" s="50">
        <f>РЕАЛИЗАЦИЯ[[#This Row],[СОНИ]]*РЕАЛИЗАЦИЯ[[#This Row],[НАРХИ]]</f>
        <v>0</v>
      </c>
      <c r="I2831" s="166"/>
      <c r="J2831" s="31">
        <f>РЕАЛИЗАЦИЯ[[#This Row],[СОНИ]]*РЕАЛИЗАЦИЯ[[#This Row],[ТАННАРХ]]</f>
        <v>0</v>
      </c>
      <c r="K2831" s="31">
        <f>РЕАЛИЗАЦИЯ[[#This Row],[ЖАМИ]]-РЕАЛИЗАЦИЯ[[#This Row],[ЖАМИ2]]</f>
        <v>0</v>
      </c>
      <c r="L2831" s="31"/>
    </row>
    <row r="2832" spans="3:12" x14ac:dyDescent="0.3">
      <c r="C2832" s="228"/>
      <c r="D2832" s="228"/>
      <c r="G2832" s="50">
        <f>РЕАЛИЗАЦИЯ[[#This Row],[СОНИ]]*РЕАЛИЗАЦИЯ[[#This Row],[НАРХИ]]</f>
        <v>0</v>
      </c>
      <c r="I2832" s="166"/>
      <c r="J2832" s="31">
        <f>РЕАЛИЗАЦИЯ[[#This Row],[СОНИ]]*РЕАЛИЗАЦИЯ[[#This Row],[ТАННАРХ]]</f>
        <v>0</v>
      </c>
      <c r="K2832" s="31">
        <f>РЕАЛИЗАЦИЯ[[#This Row],[ЖАМИ]]-РЕАЛИЗАЦИЯ[[#This Row],[ЖАМИ2]]</f>
        <v>0</v>
      </c>
      <c r="L2832" s="31"/>
    </row>
    <row r="2833" spans="3:12" x14ac:dyDescent="0.3">
      <c r="C2833" s="219"/>
      <c r="D2833" s="219"/>
      <c r="G2833" s="50">
        <f>РЕАЛИЗАЦИЯ[[#This Row],[СОНИ]]*РЕАЛИЗАЦИЯ[[#This Row],[НАРХИ]]</f>
        <v>0</v>
      </c>
      <c r="I2833" s="166"/>
      <c r="J2833" s="31">
        <f>РЕАЛИЗАЦИЯ[[#This Row],[СОНИ]]*РЕАЛИЗАЦИЯ[[#This Row],[ТАННАРХ]]</f>
        <v>0</v>
      </c>
      <c r="K2833" s="31">
        <f>РЕАЛИЗАЦИЯ[[#This Row],[ЖАМИ]]-РЕАЛИЗАЦИЯ[[#This Row],[ЖАМИ2]]</f>
        <v>0</v>
      </c>
      <c r="L2833" s="31"/>
    </row>
    <row r="2834" spans="3:12" x14ac:dyDescent="0.3">
      <c r="C2834" s="219"/>
      <c r="D2834" s="219"/>
      <c r="G2834" s="50">
        <f>РЕАЛИЗАЦИЯ[[#This Row],[СОНИ]]*РЕАЛИЗАЦИЯ[[#This Row],[НАРХИ]]</f>
        <v>0</v>
      </c>
      <c r="I2834" s="166"/>
      <c r="J2834" s="31">
        <f>РЕАЛИЗАЦИЯ[[#This Row],[СОНИ]]*РЕАЛИЗАЦИЯ[[#This Row],[ТАННАРХ]]</f>
        <v>0</v>
      </c>
      <c r="K2834" s="31">
        <f>РЕАЛИЗАЦИЯ[[#This Row],[ЖАМИ]]-РЕАЛИЗАЦИЯ[[#This Row],[ЖАМИ2]]</f>
        <v>0</v>
      </c>
      <c r="L2834" s="31"/>
    </row>
    <row r="2835" spans="3:12" x14ac:dyDescent="0.3">
      <c r="C2835" s="219"/>
      <c r="D2835" s="219"/>
      <c r="G2835" s="50">
        <f>РЕАЛИЗАЦИЯ[[#This Row],[СОНИ]]*РЕАЛИЗАЦИЯ[[#This Row],[НАРХИ]]</f>
        <v>0</v>
      </c>
      <c r="I2835" s="166"/>
      <c r="J2835" s="31">
        <f>РЕАЛИЗАЦИЯ[[#This Row],[СОНИ]]*РЕАЛИЗАЦИЯ[[#This Row],[ТАННАРХ]]</f>
        <v>0</v>
      </c>
      <c r="K2835" s="31">
        <f>РЕАЛИЗАЦИЯ[[#This Row],[ЖАМИ]]-РЕАЛИЗАЦИЯ[[#This Row],[ЖАМИ2]]</f>
        <v>0</v>
      </c>
      <c r="L2835" s="31"/>
    </row>
    <row r="2836" spans="3:12" x14ac:dyDescent="0.3">
      <c r="C2836" s="219"/>
      <c r="D2836" s="219"/>
      <c r="G2836" s="50">
        <f>РЕАЛИЗАЦИЯ[[#This Row],[СОНИ]]*РЕАЛИЗАЦИЯ[[#This Row],[НАРХИ]]</f>
        <v>0</v>
      </c>
      <c r="I2836" s="166"/>
      <c r="J2836" s="31">
        <f>РЕАЛИЗАЦИЯ[[#This Row],[СОНИ]]*РЕАЛИЗАЦИЯ[[#This Row],[ТАННАРХ]]</f>
        <v>0</v>
      </c>
      <c r="K2836" s="31">
        <f>РЕАЛИЗАЦИЯ[[#This Row],[ЖАМИ]]-РЕАЛИЗАЦИЯ[[#This Row],[ЖАМИ2]]</f>
        <v>0</v>
      </c>
      <c r="L2836" s="31"/>
    </row>
    <row r="2837" spans="3:12" x14ac:dyDescent="0.3">
      <c r="C2837" s="219"/>
      <c r="D2837" s="219"/>
      <c r="G2837" s="50">
        <f>РЕАЛИЗАЦИЯ[[#This Row],[СОНИ]]*РЕАЛИЗАЦИЯ[[#This Row],[НАРХИ]]</f>
        <v>0</v>
      </c>
      <c r="I2837" s="166"/>
      <c r="J2837" s="31">
        <f>РЕАЛИЗАЦИЯ[[#This Row],[СОНИ]]*РЕАЛИЗАЦИЯ[[#This Row],[ТАННАРХ]]</f>
        <v>0</v>
      </c>
      <c r="K2837" s="31">
        <f>РЕАЛИЗАЦИЯ[[#This Row],[ЖАМИ]]-РЕАЛИЗАЦИЯ[[#This Row],[ЖАМИ2]]</f>
        <v>0</v>
      </c>
      <c r="L2837" s="31"/>
    </row>
    <row r="2838" spans="3:12" x14ac:dyDescent="0.3">
      <c r="C2838" s="219"/>
      <c r="D2838" s="219"/>
      <c r="G2838" s="50">
        <f>РЕАЛИЗАЦИЯ[[#This Row],[СОНИ]]*РЕАЛИЗАЦИЯ[[#This Row],[НАРХИ]]</f>
        <v>0</v>
      </c>
      <c r="I2838" s="166"/>
      <c r="J2838" s="31">
        <f>РЕАЛИЗАЦИЯ[[#This Row],[СОНИ]]*РЕАЛИЗАЦИЯ[[#This Row],[ТАННАРХ]]</f>
        <v>0</v>
      </c>
      <c r="K2838" s="31">
        <f>РЕАЛИЗАЦИЯ[[#This Row],[ЖАМИ]]-РЕАЛИЗАЦИЯ[[#This Row],[ЖАМИ2]]</f>
        <v>0</v>
      </c>
      <c r="L2838" s="31"/>
    </row>
    <row r="2839" spans="3:12" x14ac:dyDescent="0.3">
      <c r="C2839" s="219"/>
      <c r="D2839" s="219"/>
      <c r="G2839" s="50">
        <f>РЕАЛИЗАЦИЯ[[#This Row],[СОНИ]]*РЕАЛИЗАЦИЯ[[#This Row],[НАРХИ]]</f>
        <v>0</v>
      </c>
      <c r="I2839" s="166"/>
      <c r="J2839" s="31">
        <f>РЕАЛИЗАЦИЯ[[#This Row],[СОНИ]]*РЕАЛИЗАЦИЯ[[#This Row],[ТАННАРХ]]</f>
        <v>0</v>
      </c>
      <c r="K2839" s="31">
        <f>РЕАЛИЗАЦИЯ[[#This Row],[ЖАМИ]]-РЕАЛИЗАЦИЯ[[#This Row],[ЖАМИ2]]</f>
        <v>0</v>
      </c>
      <c r="L2839" s="31"/>
    </row>
    <row r="2840" spans="3:12" x14ac:dyDescent="0.3">
      <c r="C2840" s="219"/>
      <c r="D2840" s="219"/>
      <c r="G2840" s="50">
        <f>РЕАЛИЗАЦИЯ[[#This Row],[СОНИ]]*РЕАЛИЗАЦИЯ[[#This Row],[НАРХИ]]</f>
        <v>0</v>
      </c>
      <c r="I2840" s="166"/>
      <c r="J2840" s="31">
        <f>РЕАЛИЗАЦИЯ[[#This Row],[СОНИ]]*РЕАЛИЗАЦИЯ[[#This Row],[ТАННАРХ]]</f>
        <v>0</v>
      </c>
      <c r="K2840" s="31">
        <f>РЕАЛИЗАЦИЯ[[#This Row],[ЖАМИ]]-РЕАЛИЗАЦИЯ[[#This Row],[ЖАМИ2]]</f>
        <v>0</v>
      </c>
      <c r="L2840" s="31"/>
    </row>
    <row r="2841" spans="3:12" x14ac:dyDescent="0.3">
      <c r="C2841" s="219"/>
      <c r="D2841" s="219"/>
      <c r="G2841" s="50">
        <f>РЕАЛИЗАЦИЯ[[#This Row],[СОНИ]]*РЕАЛИЗАЦИЯ[[#This Row],[НАРХИ]]</f>
        <v>0</v>
      </c>
      <c r="I2841" s="166"/>
      <c r="J2841" s="31">
        <f>РЕАЛИЗАЦИЯ[[#This Row],[СОНИ]]*РЕАЛИЗАЦИЯ[[#This Row],[ТАННАРХ]]</f>
        <v>0</v>
      </c>
      <c r="K2841" s="31">
        <f>РЕАЛИЗАЦИЯ[[#This Row],[ЖАМИ]]-РЕАЛИЗАЦИЯ[[#This Row],[ЖАМИ2]]</f>
        <v>0</v>
      </c>
      <c r="L2841" s="31"/>
    </row>
    <row r="2842" spans="3:12" x14ac:dyDescent="0.3">
      <c r="C2842" s="219"/>
      <c r="D2842" s="219"/>
      <c r="G2842" s="50">
        <f>РЕАЛИЗАЦИЯ[[#This Row],[СОНИ]]*РЕАЛИЗАЦИЯ[[#This Row],[НАРХИ]]</f>
        <v>0</v>
      </c>
      <c r="I2842" s="166"/>
      <c r="J2842" s="31">
        <f>РЕАЛИЗАЦИЯ[[#This Row],[СОНИ]]*РЕАЛИЗАЦИЯ[[#This Row],[ТАННАРХ]]</f>
        <v>0</v>
      </c>
      <c r="K2842" s="31">
        <f>РЕАЛИЗАЦИЯ[[#This Row],[ЖАМИ]]-РЕАЛИЗАЦИЯ[[#This Row],[ЖАМИ2]]</f>
        <v>0</v>
      </c>
      <c r="L2842" s="31"/>
    </row>
    <row r="2843" spans="3:12" x14ac:dyDescent="0.3">
      <c r="C2843" s="219"/>
      <c r="D2843" s="219"/>
      <c r="G2843" s="50">
        <f>РЕАЛИЗАЦИЯ[[#This Row],[СОНИ]]*РЕАЛИЗАЦИЯ[[#This Row],[НАРХИ]]</f>
        <v>0</v>
      </c>
      <c r="I2843" s="166"/>
      <c r="J2843" s="31">
        <f>РЕАЛИЗАЦИЯ[[#This Row],[СОНИ]]*РЕАЛИЗАЦИЯ[[#This Row],[ТАННАРХ]]</f>
        <v>0</v>
      </c>
      <c r="K2843" s="31">
        <f>РЕАЛИЗАЦИЯ[[#This Row],[ЖАМИ]]-РЕАЛИЗАЦИЯ[[#This Row],[ЖАМИ2]]</f>
        <v>0</v>
      </c>
      <c r="L2843" s="31"/>
    </row>
    <row r="2844" spans="3:12" x14ac:dyDescent="0.3">
      <c r="C2844" s="219"/>
      <c r="D2844" s="219"/>
      <c r="G2844" s="50">
        <f>РЕАЛИЗАЦИЯ[[#This Row],[СОНИ]]*РЕАЛИЗАЦИЯ[[#This Row],[НАРХИ]]</f>
        <v>0</v>
      </c>
      <c r="I2844" s="166"/>
      <c r="J2844" s="31">
        <f>РЕАЛИЗАЦИЯ[[#This Row],[СОНИ]]*РЕАЛИЗАЦИЯ[[#This Row],[ТАННАРХ]]</f>
        <v>0</v>
      </c>
      <c r="K2844" s="31">
        <f>РЕАЛИЗАЦИЯ[[#This Row],[ЖАМИ]]-РЕАЛИЗАЦИЯ[[#This Row],[ЖАМИ2]]</f>
        <v>0</v>
      </c>
      <c r="L2844" s="31"/>
    </row>
    <row r="2845" spans="3:12" x14ac:dyDescent="0.3">
      <c r="C2845" s="219"/>
      <c r="D2845" s="219"/>
      <c r="G2845" s="50">
        <f>РЕАЛИЗАЦИЯ[[#This Row],[СОНИ]]*РЕАЛИЗАЦИЯ[[#This Row],[НАРХИ]]</f>
        <v>0</v>
      </c>
      <c r="I2845" s="166"/>
      <c r="J2845" s="31">
        <f>РЕАЛИЗАЦИЯ[[#This Row],[СОНИ]]*РЕАЛИЗАЦИЯ[[#This Row],[ТАННАРХ]]</f>
        <v>0</v>
      </c>
      <c r="K2845" s="31">
        <f>РЕАЛИЗАЦИЯ[[#This Row],[ЖАМИ]]-РЕАЛИЗАЦИЯ[[#This Row],[ЖАМИ2]]</f>
        <v>0</v>
      </c>
      <c r="L2845" s="31"/>
    </row>
    <row r="2846" spans="3:12" x14ac:dyDescent="0.3">
      <c r="C2846" s="219"/>
      <c r="D2846" s="219"/>
      <c r="G2846" s="50">
        <f>РЕАЛИЗАЦИЯ[[#This Row],[СОНИ]]*РЕАЛИЗАЦИЯ[[#This Row],[НАРХИ]]</f>
        <v>0</v>
      </c>
      <c r="I2846" s="166"/>
      <c r="J2846" s="31">
        <f>РЕАЛИЗАЦИЯ[[#This Row],[СОНИ]]*РЕАЛИЗАЦИЯ[[#This Row],[ТАННАРХ]]</f>
        <v>0</v>
      </c>
      <c r="K2846" s="31">
        <f>РЕАЛИЗАЦИЯ[[#This Row],[ЖАМИ]]-РЕАЛИЗАЦИЯ[[#This Row],[ЖАМИ2]]</f>
        <v>0</v>
      </c>
      <c r="L2846" s="31"/>
    </row>
    <row r="2847" spans="3:12" x14ac:dyDescent="0.3">
      <c r="C2847" s="219"/>
      <c r="D2847" s="219"/>
      <c r="G2847" s="50">
        <f>РЕАЛИЗАЦИЯ[[#This Row],[СОНИ]]*РЕАЛИЗАЦИЯ[[#This Row],[НАРХИ]]</f>
        <v>0</v>
      </c>
      <c r="I2847" s="166"/>
      <c r="J2847" s="31">
        <f>РЕАЛИЗАЦИЯ[[#This Row],[СОНИ]]*РЕАЛИЗАЦИЯ[[#This Row],[ТАННАРХ]]</f>
        <v>0</v>
      </c>
      <c r="K2847" s="31">
        <f>РЕАЛИЗАЦИЯ[[#This Row],[ЖАМИ]]-РЕАЛИЗАЦИЯ[[#This Row],[ЖАМИ2]]</f>
        <v>0</v>
      </c>
      <c r="L2847" s="31"/>
    </row>
    <row r="2848" spans="3:12" x14ac:dyDescent="0.3">
      <c r="C2848" s="219"/>
      <c r="D2848" s="219"/>
      <c r="G2848" s="50">
        <f>РЕАЛИЗАЦИЯ[[#This Row],[СОНИ]]*РЕАЛИЗАЦИЯ[[#This Row],[НАРХИ]]</f>
        <v>0</v>
      </c>
      <c r="I2848" s="166"/>
      <c r="J2848" s="31">
        <f>РЕАЛИЗАЦИЯ[[#This Row],[СОНИ]]*РЕАЛИЗАЦИЯ[[#This Row],[ТАННАРХ]]</f>
        <v>0</v>
      </c>
      <c r="K2848" s="31">
        <f>РЕАЛИЗАЦИЯ[[#This Row],[ЖАМИ]]-РЕАЛИЗАЦИЯ[[#This Row],[ЖАМИ2]]</f>
        <v>0</v>
      </c>
      <c r="L2848" s="31"/>
    </row>
    <row r="2849" spans="3:12" x14ac:dyDescent="0.3">
      <c r="C2849" s="219"/>
      <c r="D2849" s="219"/>
      <c r="G2849" s="50">
        <f>РЕАЛИЗАЦИЯ[[#This Row],[СОНИ]]*РЕАЛИЗАЦИЯ[[#This Row],[НАРХИ]]</f>
        <v>0</v>
      </c>
      <c r="I2849" s="166"/>
      <c r="J2849" s="31">
        <f>РЕАЛИЗАЦИЯ[[#This Row],[СОНИ]]*РЕАЛИЗАЦИЯ[[#This Row],[ТАННАРХ]]</f>
        <v>0</v>
      </c>
      <c r="K2849" s="31">
        <f>РЕАЛИЗАЦИЯ[[#This Row],[ЖАМИ]]-РЕАЛИЗАЦИЯ[[#This Row],[ЖАМИ2]]</f>
        <v>0</v>
      </c>
      <c r="L2849" s="31"/>
    </row>
    <row r="2850" spans="3:12" x14ac:dyDescent="0.3">
      <c r="C2850" s="219"/>
      <c r="D2850" s="219"/>
      <c r="G2850" s="50">
        <f>РЕАЛИЗАЦИЯ[[#This Row],[СОНИ]]*РЕАЛИЗАЦИЯ[[#This Row],[НАРХИ]]</f>
        <v>0</v>
      </c>
      <c r="I2850" s="166"/>
      <c r="J2850" s="31">
        <f>РЕАЛИЗАЦИЯ[[#This Row],[СОНИ]]*РЕАЛИЗАЦИЯ[[#This Row],[ТАННАРХ]]</f>
        <v>0</v>
      </c>
      <c r="K2850" s="31">
        <f>РЕАЛИЗАЦИЯ[[#This Row],[ЖАМИ]]-РЕАЛИЗАЦИЯ[[#This Row],[ЖАМИ2]]</f>
        <v>0</v>
      </c>
      <c r="L2850" s="31"/>
    </row>
    <row r="2851" spans="3:12" x14ac:dyDescent="0.3">
      <c r="C2851" s="219"/>
      <c r="D2851" s="219"/>
      <c r="G2851" s="50">
        <f>РЕАЛИЗАЦИЯ[[#This Row],[СОНИ]]*РЕАЛИЗАЦИЯ[[#This Row],[НАРХИ]]</f>
        <v>0</v>
      </c>
      <c r="I2851" s="166"/>
      <c r="J2851" s="31">
        <f>РЕАЛИЗАЦИЯ[[#This Row],[СОНИ]]*РЕАЛИЗАЦИЯ[[#This Row],[ТАННАРХ]]</f>
        <v>0</v>
      </c>
      <c r="K2851" s="31">
        <f>РЕАЛИЗАЦИЯ[[#This Row],[ЖАМИ]]-РЕАЛИЗАЦИЯ[[#This Row],[ЖАМИ2]]</f>
        <v>0</v>
      </c>
      <c r="L2851" s="31"/>
    </row>
    <row r="2852" spans="3:12" x14ac:dyDescent="0.3">
      <c r="C2852" s="219"/>
      <c r="D2852" s="219"/>
      <c r="G2852" s="50">
        <f>РЕАЛИЗАЦИЯ[[#This Row],[СОНИ]]*РЕАЛИЗАЦИЯ[[#This Row],[НАРХИ]]</f>
        <v>0</v>
      </c>
      <c r="I2852" s="166"/>
      <c r="J2852" s="31">
        <f>РЕАЛИЗАЦИЯ[[#This Row],[СОНИ]]*РЕАЛИЗАЦИЯ[[#This Row],[ТАННАРХ]]</f>
        <v>0</v>
      </c>
      <c r="K2852" s="31">
        <f>РЕАЛИЗАЦИЯ[[#This Row],[ЖАМИ]]-РЕАЛИЗАЦИЯ[[#This Row],[ЖАМИ2]]</f>
        <v>0</v>
      </c>
      <c r="L2852" s="31"/>
    </row>
    <row r="2853" spans="3:12" x14ac:dyDescent="0.3">
      <c r="C2853" s="219"/>
      <c r="D2853" s="219"/>
      <c r="G2853" s="50">
        <f>РЕАЛИЗАЦИЯ[[#This Row],[СОНИ]]*РЕАЛИЗАЦИЯ[[#This Row],[НАРХИ]]</f>
        <v>0</v>
      </c>
      <c r="I2853" s="166"/>
      <c r="J2853" s="31">
        <f>РЕАЛИЗАЦИЯ[[#This Row],[СОНИ]]*РЕАЛИЗАЦИЯ[[#This Row],[ТАННАРХ]]</f>
        <v>0</v>
      </c>
      <c r="K2853" s="31">
        <f>РЕАЛИЗАЦИЯ[[#This Row],[ЖАМИ]]-РЕАЛИЗАЦИЯ[[#This Row],[ЖАМИ2]]</f>
        <v>0</v>
      </c>
      <c r="L2853" s="31"/>
    </row>
    <row r="2854" spans="3:12" x14ac:dyDescent="0.3">
      <c r="C2854" s="219"/>
      <c r="D2854" s="219"/>
      <c r="G2854" s="50">
        <f>РЕАЛИЗАЦИЯ[[#This Row],[СОНИ]]*РЕАЛИЗАЦИЯ[[#This Row],[НАРХИ]]</f>
        <v>0</v>
      </c>
      <c r="I2854" s="166"/>
      <c r="J2854" s="31">
        <f>РЕАЛИЗАЦИЯ[[#This Row],[СОНИ]]*РЕАЛИЗАЦИЯ[[#This Row],[ТАННАРХ]]</f>
        <v>0</v>
      </c>
      <c r="K2854" s="31">
        <f>РЕАЛИЗАЦИЯ[[#This Row],[ЖАМИ]]-РЕАЛИЗАЦИЯ[[#This Row],[ЖАМИ2]]</f>
        <v>0</v>
      </c>
      <c r="L2854" s="31"/>
    </row>
    <row r="2855" spans="3:12" x14ac:dyDescent="0.3">
      <c r="C2855" s="219"/>
      <c r="D2855" s="219"/>
      <c r="G2855" s="50">
        <f>РЕАЛИЗАЦИЯ[[#This Row],[СОНИ]]*РЕАЛИЗАЦИЯ[[#This Row],[НАРХИ]]</f>
        <v>0</v>
      </c>
      <c r="I2855" s="166"/>
      <c r="J2855" s="31">
        <f>РЕАЛИЗАЦИЯ[[#This Row],[СОНИ]]*РЕАЛИЗАЦИЯ[[#This Row],[ТАННАРХ]]</f>
        <v>0</v>
      </c>
      <c r="K2855" s="31">
        <f>РЕАЛИЗАЦИЯ[[#This Row],[ЖАМИ]]-РЕАЛИЗАЦИЯ[[#This Row],[ЖАМИ2]]</f>
        <v>0</v>
      </c>
      <c r="L2855" s="31"/>
    </row>
    <row r="2856" spans="3:12" x14ac:dyDescent="0.3">
      <c r="C2856" s="219"/>
      <c r="D2856" s="219"/>
      <c r="G2856" s="50">
        <f>РЕАЛИЗАЦИЯ[[#This Row],[СОНИ]]*РЕАЛИЗАЦИЯ[[#This Row],[НАРХИ]]</f>
        <v>0</v>
      </c>
      <c r="I2856" s="166"/>
      <c r="J2856" s="31">
        <f>РЕАЛИЗАЦИЯ[[#This Row],[СОНИ]]*РЕАЛИЗАЦИЯ[[#This Row],[ТАННАРХ]]</f>
        <v>0</v>
      </c>
      <c r="K2856" s="31">
        <f>РЕАЛИЗАЦИЯ[[#This Row],[ЖАМИ]]-РЕАЛИЗАЦИЯ[[#This Row],[ЖАМИ2]]</f>
        <v>0</v>
      </c>
      <c r="L2856" s="31"/>
    </row>
    <row r="2857" spans="3:12" x14ac:dyDescent="0.3">
      <c r="C2857" s="219"/>
      <c r="D2857" s="219"/>
      <c r="G2857" s="50">
        <f>РЕАЛИЗАЦИЯ[[#This Row],[СОНИ]]*РЕАЛИЗАЦИЯ[[#This Row],[НАРХИ]]</f>
        <v>0</v>
      </c>
      <c r="I2857" s="166"/>
      <c r="J2857" s="31">
        <f>РЕАЛИЗАЦИЯ[[#This Row],[СОНИ]]*РЕАЛИЗАЦИЯ[[#This Row],[ТАННАРХ]]</f>
        <v>0</v>
      </c>
      <c r="K2857" s="31">
        <f>РЕАЛИЗАЦИЯ[[#This Row],[ЖАМИ]]-РЕАЛИЗАЦИЯ[[#This Row],[ЖАМИ2]]</f>
        <v>0</v>
      </c>
      <c r="L2857" s="31"/>
    </row>
    <row r="2858" spans="3:12" x14ac:dyDescent="0.3">
      <c r="C2858" s="219"/>
      <c r="D2858" s="219"/>
      <c r="G2858" s="50">
        <f>РЕАЛИЗАЦИЯ[[#This Row],[СОНИ]]*РЕАЛИЗАЦИЯ[[#This Row],[НАРХИ]]</f>
        <v>0</v>
      </c>
      <c r="I2858" s="166"/>
      <c r="J2858" s="31">
        <f>РЕАЛИЗАЦИЯ[[#This Row],[СОНИ]]*РЕАЛИЗАЦИЯ[[#This Row],[ТАННАРХ]]</f>
        <v>0</v>
      </c>
      <c r="K2858" s="31">
        <f>РЕАЛИЗАЦИЯ[[#This Row],[ЖАМИ]]-РЕАЛИЗАЦИЯ[[#This Row],[ЖАМИ2]]</f>
        <v>0</v>
      </c>
      <c r="L2858" s="31"/>
    </row>
    <row r="2859" spans="3:12" x14ac:dyDescent="0.3">
      <c r="C2859" s="219"/>
      <c r="D2859" s="219"/>
      <c r="G2859" s="50">
        <f>РЕАЛИЗАЦИЯ[[#This Row],[СОНИ]]*РЕАЛИЗАЦИЯ[[#This Row],[НАРХИ]]</f>
        <v>0</v>
      </c>
      <c r="I2859" s="166"/>
      <c r="J2859" s="31">
        <f>РЕАЛИЗАЦИЯ[[#This Row],[СОНИ]]*РЕАЛИЗАЦИЯ[[#This Row],[ТАННАРХ]]</f>
        <v>0</v>
      </c>
      <c r="K2859" s="31">
        <f>РЕАЛИЗАЦИЯ[[#This Row],[ЖАМИ]]-РЕАЛИЗАЦИЯ[[#This Row],[ЖАМИ2]]</f>
        <v>0</v>
      </c>
      <c r="L2859" s="31"/>
    </row>
    <row r="2860" spans="3:12" x14ac:dyDescent="0.3">
      <c r="C2860" s="219"/>
      <c r="D2860" s="219"/>
      <c r="G2860" s="50">
        <f>РЕАЛИЗАЦИЯ[[#This Row],[СОНИ]]*РЕАЛИЗАЦИЯ[[#This Row],[НАРХИ]]</f>
        <v>0</v>
      </c>
      <c r="I2860" s="166"/>
      <c r="J2860" s="31">
        <f>РЕАЛИЗАЦИЯ[[#This Row],[СОНИ]]*РЕАЛИЗАЦИЯ[[#This Row],[ТАННАРХ]]</f>
        <v>0</v>
      </c>
      <c r="K2860" s="31">
        <f>РЕАЛИЗАЦИЯ[[#This Row],[ЖАМИ]]-РЕАЛИЗАЦИЯ[[#This Row],[ЖАМИ2]]</f>
        <v>0</v>
      </c>
      <c r="L2860" s="31"/>
    </row>
    <row r="2861" spans="3:12" x14ac:dyDescent="0.3">
      <c r="C2861" s="219"/>
      <c r="D2861" s="219"/>
      <c r="G2861" s="50">
        <f>РЕАЛИЗАЦИЯ[[#This Row],[СОНИ]]*РЕАЛИЗАЦИЯ[[#This Row],[НАРХИ]]</f>
        <v>0</v>
      </c>
      <c r="I2861" s="166"/>
      <c r="J2861" s="31">
        <f>РЕАЛИЗАЦИЯ[[#This Row],[СОНИ]]*РЕАЛИЗАЦИЯ[[#This Row],[ТАННАРХ]]</f>
        <v>0</v>
      </c>
      <c r="K2861" s="31">
        <f>РЕАЛИЗАЦИЯ[[#This Row],[ЖАМИ]]-РЕАЛИЗАЦИЯ[[#This Row],[ЖАМИ2]]</f>
        <v>0</v>
      </c>
      <c r="L2861" s="31"/>
    </row>
    <row r="2862" spans="3:12" x14ac:dyDescent="0.3">
      <c r="C2862" s="219"/>
      <c r="D2862" s="219"/>
      <c r="G2862" s="50">
        <f>РЕАЛИЗАЦИЯ[[#This Row],[СОНИ]]*РЕАЛИЗАЦИЯ[[#This Row],[НАРХИ]]</f>
        <v>0</v>
      </c>
      <c r="I2862" s="166"/>
      <c r="J2862" s="31">
        <f>РЕАЛИЗАЦИЯ[[#This Row],[СОНИ]]*РЕАЛИЗАЦИЯ[[#This Row],[ТАННАРХ]]</f>
        <v>0</v>
      </c>
      <c r="K2862" s="31">
        <f>РЕАЛИЗАЦИЯ[[#This Row],[ЖАМИ]]-РЕАЛИЗАЦИЯ[[#This Row],[ЖАМИ2]]</f>
        <v>0</v>
      </c>
      <c r="L2862" s="31"/>
    </row>
    <row r="2863" spans="3:12" x14ac:dyDescent="0.3">
      <c r="C2863" s="219"/>
      <c r="D2863" s="219"/>
      <c r="G2863" s="50">
        <f>РЕАЛИЗАЦИЯ[[#This Row],[СОНИ]]*РЕАЛИЗАЦИЯ[[#This Row],[НАРХИ]]</f>
        <v>0</v>
      </c>
      <c r="I2863" s="166"/>
      <c r="J2863" s="31">
        <f>РЕАЛИЗАЦИЯ[[#This Row],[СОНИ]]*РЕАЛИЗАЦИЯ[[#This Row],[ТАННАРХ]]</f>
        <v>0</v>
      </c>
      <c r="K2863" s="31">
        <f>РЕАЛИЗАЦИЯ[[#This Row],[ЖАМИ]]-РЕАЛИЗАЦИЯ[[#This Row],[ЖАМИ2]]</f>
        <v>0</v>
      </c>
      <c r="L2863" s="31"/>
    </row>
    <row r="2864" spans="3:12" x14ac:dyDescent="0.3">
      <c r="C2864" s="219"/>
      <c r="D2864" s="219"/>
      <c r="G2864" s="50">
        <f>РЕАЛИЗАЦИЯ[[#This Row],[СОНИ]]*РЕАЛИЗАЦИЯ[[#This Row],[НАРХИ]]</f>
        <v>0</v>
      </c>
      <c r="I2864" s="166"/>
      <c r="J2864" s="31">
        <f>РЕАЛИЗАЦИЯ[[#This Row],[СОНИ]]*РЕАЛИЗАЦИЯ[[#This Row],[ТАННАРХ]]</f>
        <v>0</v>
      </c>
      <c r="K2864" s="31">
        <f>РЕАЛИЗАЦИЯ[[#This Row],[ЖАМИ]]-РЕАЛИЗАЦИЯ[[#This Row],[ЖАМИ2]]</f>
        <v>0</v>
      </c>
      <c r="L2864" s="31"/>
    </row>
    <row r="2865" spans="3:12" x14ac:dyDescent="0.3">
      <c r="C2865" s="219"/>
      <c r="D2865" s="219"/>
      <c r="G2865" s="50">
        <f>РЕАЛИЗАЦИЯ[[#This Row],[СОНИ]]*РЕАЛИЗАЦИЯ[[#This Row],[НАРХИ]]</f>
        <v>0</v>
      </c>
      <c r="I2865" s="166"/>
      <c r="J2865" s="31">
        <f>РЕАЛИЗАЦИЯ[[#This Row],[СОНИ]]*РЕАЛИЗАЦИЯ[[#This Row],[ТАННАРХ]]</f>
        <v>0</v>
      </c>
      <c r="K2865" s="31">
        <f>РЕАЛИЗАЦИЯ[[#This Row],[ЖАМИ]]-РЕАЛИЗАЦИЯ[[#This Row],[ЖАМИ2]]</f>
        <v>0</v>
      </c>
      <c r="L2865" s="31"/>
    </row>
    <row r="2866" spans="3:12" x14ac:dyDescent="0.3">
      <c r="C2866" s="219"/>
      <c r="D2866" s="219"/>
      <c r="G2866" s="50">
        <f>РЕАЛИЗАЦИЯ[[#This Row],[СОНИ]]*РЕАЛИЗАЦИЯ[[#This Row],[НАРХИ]]</f>
        <v>0</v>
      </c>
      <c r="I2866" s="166"/>
      <c r="J2866" s="31">
        <f>РЕАЛИЗАЦИЯ[[#This Row],[СОНИ]]*РЕАЛИЗАЦИЯ[[#This Row],[ТАННАРХ]]</f>
        <v>0</v>
      </c>
      <c r="K2866" s="31">
        <f>РЕАЛИЗАЦИЯ[[#This Row],[ЖАМИ]]-РЕАЛИЗАЦИЯ[[#This Row],[ЖАМИ2]]</f>
        <v>0</v>
      </c>
      <c r="L2866" s="31"/>
    </row>
    <row r="2867" spans="3:12" x14ac:dyDescent="0.3">
      <c r="C2867" s="219"/>
      <c r="D2867" s="219"/>
      <c r="G2867" s="50">
        <f>РЕАЛИЗАЦИЯ[[#This Row],[СОНИ]]*РЕАЛИЗАЦИЯ[[#This Row],[НАРХИ]]</f>
        <v>0</v>
      </c>
      <c r="I2867" s="166"/>
      <c r="J2867" s="31">
        <f>РЕАЛИЗАЦИЯ[[#This Row],[СОНИ]]*РЕАЛИЗАЦИЯ[[#This Row],[ТАННАРХ]]</f>
        <v>0</v>
      </c>
      <c r="K2867" s="31">
        <f>РЕАЛИЗАЦИЯ[[#This Row],[ЖАМИ]]-РЕАЛИЗАЦИЯ[[#This Row],[ЖАМИ2]]</f>
        <v>0</v>
      </c>
      <c r="L2867" s="31"/>
    </row>
    <row r="2868" spans="3:12" x14ac:dyDescent="0.3">
      <c r="C2868" s="219"/>
      <c r="D2868" s="219"/>
      <c r="G2868" s="50">
        <f>РЕАЛИЗАЦИЯ[[#This Row],[СОНИ]]*РЕАЛИЗАЦИЯ[[#This Row],[НАРХИ]]</f>
        <v>0</v>
      </c>
      <c r="I2868" s="166"/>
      <c r="J2868" s="31">
        <f>РЕАЛИЗАЦИЯ[[#This Row],[СОНИ]]*РЕАЛИЗАЦИЯ[[#This Row],[ТАННАРХ]]</f>
        <v>0</v>
      </c>
      <c r="K2868" s="31">
        <f>РЕАЛИЗАЦИЯ[[#This Row],[ЖАМИ]]-РЕАЛИЗАЦИЯ[[#This Row],[ЖАМИ2]]</f>
        <v>0</v>
      </c>
      <c r="L2868" s="31"/>
    </row>
    <row r="2869" spans="3:12" x14ac:dyDescent="0.3">
      <c r="C2869" s="219"/>
      <c r="D2869" s="219"/>
      <c r="G2869" s="50">
        <f>РЕАЛИЗАЦИЯ[[#This Row],[СОНИ]]*РЕАЛИЗАЦИЯ[[#This Row],[НАРХИ]]</f>
        <v>0</v>
      </c>
      <c r="I2869" s="166"/>
      <c r="J2869" s="31">
        <f>РЕАЛИЗАЦИЯ[[#This Row],[СОНИ]]*РЕАЛИЗАЦИЯ[[#This Row],[ТАННАРХ]]</f>
        <v>0</v>
      </c>
      <c r="K2869" s="31">
        <f>РЕАЛИЗАЦИЯ[[#This Row],[ЖАМИ]]-РЕАЛИЗАЦИЯ[[#This Row],[ЖАМИ2]]</f>
        <v>0</v>
      </c>
      <c r="L2869" s="31"/>
    </row>
    <row r="2870" spans="3:12" x14ac:dyDescent="0.3">
      <c r="C2870" s="219"/>
      <c r="D2870" s="219"/>
      <c r="G2870" s="50">
        <f>РЕАЛИЗАЦИЯ[[#This Row],[СОНИ]]*РЕАЛИЗАЦИЯ[[#This Row],[НАРХИ]]</f>
        <v>0</v>
      </c>
      <c r="I2870" s="166"/>
      <c r="J2870" s="31">
        <f>РЕАЛИЗАЦИЯ[[#This Row],[СОНИ]]*РЕАЛИЗАЦИЯ[[#This Row],[ТАННАРХ]]</f>
        <v>0</v>
      </c>
      <c r="K2870" s="31">
        <f>РЕАЛИЗАЦИЯ[[#This Row],[ЖАМИ]]-РЕАЛИЗАЦИЯ[[#This Row],[ЖАМИ2]]</f>
        <v>0</v>
      </c>
      <c r="L2870" s="31"/>
    </row>
    <row r="2871" spans="3:12" x14ac:dyDescent="0.3">
      <c r="C2871" s="219"/>
      <c r="D2871" s="219"/>
      <c r="G2871" s="50">
        <f>РЕАЛИЗАЦИЯ[[#This Row],[СОНИ]]*РЕАЛИЗАЦИЯ[[#This Row],[НАРХИ]]</f>
        <v>0</v>
      </c>
      <c r="I2871" s="166"/>
      <c r="J2871" s="31">
        <f>РЕАЛИЗАЦИЯ[[#This Row],[СОНИ]]*РЕАЛИЗАЦИЯ[[#This Row],[ТАННАРХ]]</f>
        <v>0</v>
      </c>
      <c r="K2871" s="31">
        <f>РЕАЛИЗАЦИЯ[[#This Row],[ЖАМИ]]-РЕАЛИЗАЦИЯ[[#This Row],[ЖАМИ2]]</f>
        <v>0</v>
      </c>
      <c r="L2871" s="31"/>
    </row>
    <row r="2872" spans="3:12" x14ac:dyDescent="0.3">
      <c r="C2872" s="219"/>
      <c r="D2872" s="219"/>
      <c r="G2872" s="50">
        <f>РЕАЛИЗАЦИЯ[[#This Row],[СОНИ]]*РЕАЛИЗАЦИЯ[[#This Row],[НАРХИ]]</f>
        <v>0</v>
      </c>
      <c r="I2872" s="166"/>
      <c r="J2872" s="31">
        <f>РЕАЛИЗАЦИЯ[[#This Row],[СОНИ]]*РЕАЛИЗАЦИЯ[[#This Row],[ТАННАРХ]]</f>
        <v>0</v>
      </c>
      <c r="K2872" s="31">
        <f>РЕАЛИЗАЦИЯ[[#This Row],[ЖАМИ]]-РЕАЛИЗАЦИЯ[[#This Row],[ЖАМИ2]]</f>
        <v>0</v>
      </c>
      <c r="L2872" s="31"/>
    </row>
    <row r="2873" spans="3:12" x14ac:dyDescent="0.3">
      <c r="C2873" s="219"/>
      <c r="D2873" s="219"/>
      <c r="G2873" s="50">
        <f>РЕАЛИЗАЦИЯ[[#This Row],[СОНИ]]*РЕАЛИЗАЦИЯ[[#This Row],[НАРХИ]]</f>
        <v>0</v>
      </c>
      <c r="I2873" s="166"/>
      <c r="J2873" s="31">
        <f>РЕАЛИЗАЦИЯ[[#This Row],[СОНИ]]*РЕАЛИЗАЦИЯ[[#This Row],[ТАННАРХ]]</f>
        <v>0</v>
      </c>
      <c r="K2873" s="31">
        <f>РЕАЛИЗАЦИЯ[[#This Row],[ЖАМИ]]-РЕАЛИЗАЦИЯ[[#This Row],[ЖАМИ2]]</f>
        <v>0</v>
      </c>
      <c r="L2873" s="31"/>
    </row>
    <row r="2874" spans="3:12" x14ac:dyDescent="0.3">
      <c r="C2874" s="219"/>
      <c r="D2874" s="219"/>
      <c r="G2874" s="50">
        <f>РЕАЛИЗАЦИЯ[[#This Row],[СОНИ]]*РЕАЛИЗАЦИЯ[[#This Row],[НАРХИ]]</f>
        <v>0</v>
      </c>
      <c r="I2874" s="166"/>
      <c r="J2874" s="31">
        <f>РЕАЛИЗАЦИЯ[[#This Row],[СОНИ]]*РЕАЛИЗАЦИЯ[[#This Row],[ТАННАРХ]]</f>
        <v>0</v>
      </c>
      <c r="K2874" s="31">
        <f>РЕАЛИЗАЦИЯ[[#This Row],[ЖАМИ]]-РЕАЛИЗАЦИЯ[[#This Row],[ЖАМИ2]]</f>
        <v>0</v>
      </c>
      <c r="L2874" s="31"/>
    </row>
    <row r="2875" spans="3:12" x14ac:dyDescent="0.3">
      <c r="C2875" s="219"/>
      <c r="D2875" s="219"/>
      <c r="G2875" s="50">
        <f>РЕАЛИЗАЦИЯ[[#This Row],[СОНИ]]*РЕАЛИЗАЦИЯ[[#This Row],[НАРХИ]]</f>
        <v>0</v>
      </c>
      <c r="I2875" s="166"/>
      <c r="J2875" s="31">
        <f>РЕАЛИЗАЦИЯ[[#This Row],[СОНИ]]*РЕАЛИЗАЦИЯ[[#This Row],[ТАННАРХ]]</f>
        <v>0</v>
      </c>
      <c r="K2875" s="31">
        <f>РЕАЛИЗАЦИЯ[[#This Row],[ЖАМИ]]-РЕАЛИЗАЦИЯ[[#This Row],[ЖАМИ2]]</f>
        <v>0</v>
      </c>
      <c r="L2875" s="31"/>
    </row>
    <row r="2876" spans="3:12" x14ac:dyDescent="0.3">
      <c r="C2876" s="219"/>
      <c r="D2876" s="219"/>
      <c r="G2876" s="50">
        <f>РЕАЛИЗАЦИЯ[[#This Row],[СОНИ]]*РЕАЛИЗАЦИЯ[[#This Row],[НАРХИ]]</f>
        <v>0</v>
      </c>
      <c r="I2876" s="166"/>
      <c r="J2876" s="31">
        <f>РЕАЛИЗАЦИЯ[[#This Row],[СОНИ]]*РЕАЛИЗАЦИЯ[[#This Row],[ТАННАРХ]]</f>
        <v>0</v>
      </c>
      <c r="K2876" s="31">
        <f>РЕАЛИЗАЦИЯ[[#This Row],[ЖАМИ]]-РЕАЛИЗАЦИЯ[[#This Row],[ЖАМИ2]]</f>
        <v>0</v>
      </c>
      <c r="L2876" s="31"/>
    </row>
    <row r="2877" spans="3:12" x14ac:dyDescent="0.3">
      <c r="C2877" s="219"/>
      <c r="D2877" s="219"/>
      <c r="G2877" s="50">
        <f>РЕАЛИЗАЦИЯ[[#This Row],[СОНИ]]*РЕАЛИЗАЦИЯ[[#This Row],[НАРХИ]]</f>
        <v>0</v>
      </c>
      <c r="I2877" s="166"/>
      <c r="J2877" s="31">
        <f>РЕАЛИЗАЦИЯ[[#This Row],[СОНИ]]*РЕАЛИЗАЦИЯ[[#This Row],[ТАННАРХ]]</f>
        <v>0</v>
      </c>
      <c r="K2877" s="31">
        <f>РЕАЛИЗАЦИЯ[[#This Row],[ЖАМИ]]-РЕАЛИЗАЦИЯ[[#This Row],[ЖАМИ2]]</f>
        <v>0</v>
      </c>
      <c r="L2877" s="31"/>
    </row>
    <row r="2878" spans="3:12" x14ac:dyDescent="0.3">
      <c r="C2878" s="219"/>
      <c r="D2878" s="219"/>
      <c r="G2878" s="50">
        <f>РЕАЛИЗАЦИЯ[[#This Row],[СОНИ]]*РЕАЛИЗАЦИЯ[[#This Row],[НАРХИ]]</f>
        <v>0</v>
      </c>
      <c r="I2878" s="166"/>
      <c r="J2878" s="31">
        <f>РЕАЛИЗАЦИЯ[[#This Row],[СОНИ]]*РЕАЛИЗАЦИЯ[[#This Row],[ТАННАРХ]]</f>
        <v>0</v>
      </c>
      <c r="K2878" s="31">
        <f>РЕАЛИЗАЦИЯ[[#This Row],[ЖАМИ]]-РЕАЛИЗАЦИЯ[[#This Row],[ЖАМИ2]]</f>
        <v>0</v>
      </c>
      <c r="L2878" s="31"/>
    </row>
    <row r="2879" spans="3:12" x14ac:dyDescent="0.3">
      <c r="C2879" s="219"/>
      <c r="D2879" s="219"/>
      <c r="G2879" s="50">
        <f>РЕАЛИЗАЦИЯ[[#This Row],[СОНИ]]*РЕАЛИЗАЦИЯ[[#This Row],[НАРХИ]]</f>
        <v>0</v>
      </c>
      <c r="I2879" s="166"/>
      <c r="J2879" s="31">
        <f>РЕАЛИЗАЦИЯ[[#This Row],[СОНИ]]*РЕАЛИЗАЦИЯ[[#This Row],[ТАННАРХ]]</f>
        <v>0</v>
      </c>
      <c r="K2879" s="31">
        <f>РЕАЛИЗАЦИЯ[[#This Row],[ЖАМИ]]-РЕАЛИЗАЦИЯ[[#This Row],[ЖАМИ2]]</f>
        <v>0</v>
      </c>
      <c r="L2879" s="31"/>
    </row>
    <row r="2880" spans="3:12" x14ac:dyDescent="0.3">
      <c r="C2880" s="219"/>
      <c r="D2880" s="219"/>
      <c r="G2880" s="50">
        <f>РЕАЛИЗАЦИЯ[[#This Row],[СОНИ]]*РЕАЛИЗАЦИЯ[[#This Row],[НАРХИ]]</f>
        <v>0</v>
      </c>
      <c r="I2880" s="166"/>
      <c r="J2880" s="31">
        <f>РЕАЛИЗАЦИЯ[[#This Row],[СОНИ]]*РЕАЛИЗАЦИЯ[[#This Row],[ТАННАРХ]]</f>
        <v>0</v>
      </c>
      <c r="K2880" s="31">
        <f>РЕАЛИЗАЦИЯ[[#This Row],[ЖАМИ]]-РЕАЛИЗАЦИЯ[[#This Row],[ЖАМИ2]]</f>
        <v>0</v>
      </c>
      <c r="L2880" s="31"/>
    </row>
    <row r="2881" spans="3:12" x14ac:dyDescent="0.3">
      <c r="C2881" s="219"/>
      <c r="D2881" s="219"/>
      <c r="G2881" s="50">
        <f>РЕАЛИЗАЦИЯ[[#This Row],[СОНИ]]*РЕАЛИЗАЦИЯ[[#This Row],[НАРХИ]]</f>
        <v>0</v>
      </c>
      <c r="I2881" s="166"/>
      <c r="J2881" s="31">
        <f>РЕАЛИЗАЦИЯ[[#This Row],[СОНИ]]*РЕАЛИЗАЦИЯ[[#This Row],[ТАННАРХ]]</f>
        <v>0</v>
      </c>
      <c r="K2881" s="31">
        <f>РЕАЛИЗАЦИЯ[[#This Row],[ЖАМИ]]-РЕАЛИЗАЦИЯ[[#This Row],[ЖАМИ2]]</f>
        <v>0</v>
      </c>
      <c r="L2881" s="31"/>
    </row>
    <row r="2882" spans="3:12" x14ac:dyDescent="0.3">
      <c r="C2882" s="219"/>
      <c r="D2882" s="219"/>
      <c r="G2882" s="50">
        <f>РЕАЛИЗАЦИЯ[[#This Row],[СОНИ]]*РЕАЛИЗАЦИЯ[[#This Row],[НАРХИ]]</f>
        <v>0</v>
      </c>
      <c r="I2882" s="166"/>
      <c r="J2882" s="31">
        <f>РЕАЛИЗАЦИЯ[[#This Row],[СОНИ]]*РЕАЛИЗАЦИЯ[[#This Row],[ТАННАРХ]]</f>
        <v>0</v>
      </c>
      <c r="K2882" s="31">
        <f>РЕАЛИЗАЦИЯ[[#This Row],[ЖАМИ]]-РЕАЛИЗАЦИЯ[[#This Row],[ЖАМИ2]]</f>
        <v>0</v>
      </c>
      <c r="L2882" s="31"/>
    </row>
    <row r="2883" spans="3:12" x14ac:dyDescent="0.3">
      <c r="C2883" s="219"/>
      <c r="D2883" s="219"/>
      <c r="G2883" s="50">
        <f>РЕАЛИЗАЦИЯ[[#This Row],[СОНИ]]*РЕАЛИЗАЦИЯ[[#This Row],[НАРХИ]]</f>
        <v>0</v>
      </c>
      <c r="I2883" s="166"/>
      <c r="J2883" s="31">
        <f>РЕАЛИЗАЦИЯ[[#This Row],[СОНИ]]*РЕАЛИЗАЦИЯ[[#This Row],[ТАННАРХ]]</f>
        <v>0</v>
      </c>
      <c r="K2883" s="31">
        <f>РЕАЛИЗАЦИЯ[[#This Row],[ЖАМИ]]-РЕАЛИЗАЦИЯ[[#This Row],[ЖАМИ2]]</f>
        <v>0</v>
      </c>
      <c r="L2883" s="31"/>
    </row>
    <row r="2884" spans="3:12" x14ac:dyDescent="0.3">
      <c r="C2884" s="219"/>
      <c r="D2884" s="219"/>
      <c r="G2884" s="50">
        <f>РЕАЛИЗАЦИЯ[[#This Row],[СОНИ]]*РЕАЛИЗАЦИЯ[[#This Row],[НАРХИ]]</f>
        <v>0</v>
      </c>
      <c r="I2884" s="166"/>
      <c r="J2884" s="31">
        <f>РЕАЛИЗАЦИЯ[[#This Row],[СОНИ]]*РЕАЛИЗАЦИЯ[[#This Row],[ТАННАРХ]]</f>
        <v>0</v>
      </c>
      <c r="K2884" s="31">
        <f>РЕАЛИЗАЦИЯ[[#This Row],[ЖАМИ]]-РЕАЛИЗАЦИЯ[[#This Row],[ЖАМИ2]]</f>
        <v>0</v>
      </c>
      <c r="L2884" s="31"/>
    </row>
    <row r="2885" spans="3:12" x14ac:dyDescent="0.3">
      <c r="C2885" s="219"/>
      <c r="D2885" s="219"/>
      <c r="G2885" s="50">
        <f>РЕАЛИЗАЦИЯ[[#This Row],[СОНИ]]*РЕАЛИЗАЦИЯ[[#This Row],[НАРХИ]]</f>
        <v>0</v>
      </c>
      <c r="I2885" s="166"/>
      <c r="J2885" s="31">
        <f>РЕАЛИЗАЦИЯ[[#This Row],[СОНИ]]*РЕАЛИЗАЦИЯ[[#This Row],[ТАННАРХ]]</f>
        <v>0</v>
      </c>
      <c r="K2885" s="31">
        <f>РЕАЛИЗАЦИЯ[[#This Row],[ЖАМИ]]-РЕАЛИЗАЦИЯ[[#This Row],[ЖАМИ2]]</f>
        <v>0</v>
      </c>
      <c r="L2885" s="31"/>
    </row>
    <row r="2886" spans="3:12" x14ac:dyDescent="0.3">
      <c r="C2886" s="219"/>
      <c r="D2886" s="219"/>
      <c r="G2886" s="50">
        <f>РЕАЛИЗАЦИЯ[[#This Row],[СОНИ]]*РЕАЛИЗАЦИЯ[[#This Row],[НАРХИ]]</f>
        <v>0</v>
      </c>
      <c r="I2886" s="166"/>
      <c r="J2886" s="31">
        <f>РЕАЛИЗАЦИЯ[[#This Row],[СОНИ]]*РЕАЛИЗАЦИЯ[[#This Row],[ТАННАРХ]]</f>
        <v>0</v>
      </c>
      <c r="K2886" s="31">
        <f>РЕАЛИЗАЦИЯ[[#This Row],[ЖАМИ]]-РЕАЛИЗАЦИЯ[[#This Row],[ЖАМИ2]]</f>
        <v>0</v>
      </c>
      <c r="L2886" s="31"/>
    </row>
    <row r="2887" spans="3:12" x14ac:dyDescent="0.3">
      <c r="C2887" s="219"/>
      <c r="D2887" s="219"/>
      <c r="G2887" s="50">
        <f>РЕАЛИЗАЦИЯ[[#This Row],[СОНИ]]*РЕАЛИЗАЦИЯ[[#This Row],[НАРХИ]]</f>
        <v>0</v>
      </c>
      <c r="I2887" s="166"/>
      <c r="J2887" s="31">
        <f>РЕАЛИЗАЦИЯ[[#This Row],[СОНИ]]*РЕАЛИЗАЦИЯ[[#This Row],[ТАННАРХ]]</f>
        <v>0</v>
      </c>
      <c r="K2887" s="31">
        <f>РЕАЛИЗАЦИЯ[[#This Row],[ЖАМИ]]-РЕАЛИЗАЦИЯ[[#This Row],[ЖАМИ2]]</f>
        <v>0</v>
      </c>
      <c r="L2887" s="31"/>
    </row>
    <row r="2888" spans="3:12" x14ac:dyDescent="0.3">
      <c r="C2888" s="219"/>
      <c r="D2888" s="219"/>
      <c r="G2888" s="50">
        <f>РЕАЛИЗАЦИЯ[[#This Row],[СОНИ]]*РЕАЛИЗАЦИЯ[[#This Row],[НАРХИ]]</f>
        <v>0</v>
      </c>
      <c r="I2888" s="166"/>
      <c r="J2888" s="31">
        <f>РЕАЛИЗАЦИЯ[[#This Row],[СОНИ]]*РЕАЛИЗАЦИЯ[[#This Row],[ТАННАРХ]]</f>
        <v>0</v>
      </c>
      <c r="K2888" s="31">
        <f>РЕАЛИЗАЦИЯ[[#This Row],[ЖАМИ]]-РЕАЛИЗАЦИЯ[[#This Row],[ЖАМИ2]]</f>
        <v>0</v>
      </c>
      <c r="L2888" s="31"/>
    </row>
    <row r="2889" spans="3:12" x14ac:dyDescent="0.3">
      <c r="C2889" s="219"/>
      <c r="D2889" s="219"/>
      <c r="G2889" s="50">
        <f>РЕАЛИЗАЦИЯ[[#This Row],[СОНИ]]*РЕАЛИЗАЦИЯ[[#This Row],[НАРХИ]]</f>
        <v>0</v>
      </c>
      <c r="I2889" s="166"/>
      <c r="J2889" s="31">
        <f>РЕАЛИЗАЦИЯ[[#This Row],[СОНИ]]*РЕАЛИЗАЦИЯ[[#This Row],[ТАННАРХ]]</f>
        <v>0</v>
      </c>
      <c r="K2889" s="31">
        <f>РЕАЛИЗАЦИЯ[[#This Row],[ЖАМИ]]-РЕАЛИЗАЦИЯ[[#This Row],[ЖАМИ2]]</f>
        <v>0</v>
      </c>
      <c r="L2889" s="31"/>
    </row>
    <row r="2890" spans="3:12" x14ac:dyDescent="0.3">
      <c r="C2890" s="219"/>
      <c r="D2890" s="219"/>
      <c r="G2890" s="50">
        <f>РЕАЛИЗАЦИЯ[[#This Row],[СОНИ]]*РЕАЛИЗАЦИЯ[[#This Row],[НАРХИ]]</f>
        <v>0</v>
      </c>
      <c r="I2890" s="166"/>
      <c r="J2890" s="31">
        <f>РЕАЛИЗАЦИЯ[[#This Row],[СОНИ]]*РЕАЛИЗАЦИЯ[[#This Row],[ТАННАРХ]]</f>
        <v>0</v>
      </c>
      <c r="K2890" s="31">
        <f>РЕАЛИЗАЦИЯ[[#This Row],[ЖАМИ]]-РЕАЛИЗАЦИЯ[[#This Row],[ЖАМИ2]]</f>
        <v>0</v>
      </c>
      <c r="L2890" s="31"/>
    </row>
    <row r="2891" spans="3:12" x14ac:dyDescent="0.3">
      <c r="C2891" s="219"/>
      <c r="D2891" s="219"/>
      <c r="G2891" s="50">
        <f>РЕАЛИЗАЦИЯ[[#This Row],[СОНИ]]*РЕАЛИЗАЦИЯ[[#This Row],[НАРХИ]]</f>
        <v>0</v>
      </c>
      <c r="I2891" s="166"/>
      <c r="J2891" s="31">
        <f>РЕАЛИЗАЦИЯ[[#This Row],[СОНИ]]*РЕАЛИЗАЦИЯ[[#This Row],[ТАННАРХ]]</f>
        <v>0</v>
      </c>
      <c r="K2891" s="31">
        <f>РЕАЛИЗАЦИЯ[[#This Row],[ЖАМИ]]-РЕАЛИЗАЦИЯ[[#This Row],[ЖАМИ2]]</f>
        <v>0</v>
      </c>
      <c r="L2891" s="31"/>
    </row>
    <row r="2892" spans="3:12" x14ac:dyDescent="0.3">
      <c r="C2892" s="219"/>
      <c r="D2892" s="219"/>
      <c r="G2892" s="50">
        <f>РЕАЛИЗАЦИЯ[[#This Row],[СОНИ]]*РЕАЛИЗАЦИЯ[[#This Row],[НАРХИ]]</f>
        <v>0</v>
      </c>
      <c r="I2892" s="166"/>
      <c r="J2892" s="31">
        <f>РЕАЛИЗАЦИЯ[[#This Row],[СОНИ]]*РЕАЛИЗАЦИЯ[[#This Row],[ТАННАРХ]]</f>
        <v>0</v>
      </c>
      <c r="K2892" s="31">
        <f>РЕАЛИЗАЦИЯ[[#This Row],[ЖАМИ]]-РЕАЛИЗАЦИЯ[[#This Row],[ЖАМИ2]]</f>
        <v>0</v>
      </c>
      <c r="L2892" s="31"/>
    </row>
    <row r="2893" spans="3:12" x14ac:dyDescent="0.3">
      <c r="C2893" s="219"/>
      <c r="D2893" s="219"/>
      <c r="G2893" s="50">
        <f>РЕАЛИЗАЦИЯ[[#This Row],[СОНИ]]*РЕАЛИЗАЦИЯ[[#This Row],[НАРХИ]]</f>
        <v>0</v>
      </c>
      <c r="I2893" s="166"/>
      <c r="J2893" s="31">
        <f>РЕАЛИЗАЦИЯ[[#This Row],[СОНИ]]*РЕАЛИЗАЦИЯ[[#This Row],[ТАННАРХ]]</f>
        <v>0</v>
      </c>
      <c r="K2893" s="31">
        <f>РЕАЛИЗАЦИЯ[[#This Row],[ЖАМИ]]-РЕАЛИЗАЦИЯ[[#This Row],[ЖАМИ2]]</f>
        <v>0</v>
      </c>
      <c r="L2893" s="31"/>
    </row>
    <row r="2894" spans="3:12" x14ac:dyDescent="0.3">
      <c r="C2894" s="219"/>
      <c r="D2894" s="219"/>
      <c r="G2894" s="50">
        <f>РЕАЛИЗАЦИЯ[[#This Row],[СОНИ]]*РЕАЛИЗАЦИЯ[[#This Row],[НАРХИ]]</f>
        <v>0</v>
      </c>
      <c r="I2894" s="166"/>
      <c r="J2894" s="31">
        <f>РЕАЛИЗАЦИЯ[[#This Row],[СОНИ]]*РЕАЛИЗАЦИЯ[[#This Row],[ТАННАРХ]]</f>
        <v>0</v>
      </c>
      <c r="K2894" s="31">
        <f>РЕАЛИЗАЦИЯ[[#This Row],[ЖАМИ]]-РЕАЛИЗАЦИЯ[[#This Row],[ЖАМИ2]]</f>
        <v>0</v>
      </c>
      <c r="L2894" s="31"/>
    </row>
    <row r="2895" spans="3:12" x14ac:dyDescent="0.3">
      <c r="C2895" s="219"/>
      <c r="D2895" s="219"/>
      <c r="G2895" s="50">
        <f>РЕАЛИЗАЦИЯ[[#This Row],[СОНИ]]*РЕАЛИЗАЦИЯ[[#This Row],[НАРХИ]]</f>
        <v>0</v>
      </c>
      <c r="I2895" s="166"/>
      <c r="J2895" s="31">
        <f>РЕАЛИЗАЦИЯ[[#This Row],[СОНИ]]*РЕАЛИЗАЦИЯ[[#This Row],[ТАННАРХ]]</f>
        <v>0</v>
      </c>
      <c r="K2895" s="31">
        <f>РЕАЛИЗАЦИЯ[[#This Row],[ЖАМИ]]-РЕАЛИЗАЦИЯ[[#This Row],[ЖАМИ2]]</f>
        <v>0</v>
      </c>
      <c r="L2895" s="31"/>
    </row>
    <row r="2896" spans="3:12" x14ac:dyDescent="0.3">
      <c r="C2896" s="219"/>
      <c r="D2896" s="219"/>
      <c r="G2896" s="50">
        <f>РЕАЛИЗАЦИЯ[[#This Row],[СОНИ]]*РЕАЛИЗАЦИЯ[[#This Row],[НАРХИ]]</f>
        <v>0</v>
      </c>
      <c r="I2896" s="166"/>
      <c r="J2896" s="31">
        <f>РЕАЛИЗАЦИЯ[[#This Row],[СОНИ]]*РЕАЛИЗАЦИЯ[[#This Row],[ТАННАРХ]]</f>
        <v>0</v>
      </c>
      <c r="K2896" s="31">
        <f>РЕАЛИЗАЦИЯ[[#This Row],[ЖАМИ]]-РЕАЛИЗАЦИЯ[[#This Row],[ЖАМИ2]]</f>
        <v>0</v>
      </c>
      <c r="L2896" s="31"/>
    </row>
    <row r="2897" spans="1:12" x14ac:dyDescent="0.3">
      <c r="C2897" s="219"/>
      <c r="D2897" s="219"/>
      <c r="G2897" s="50">
        <f>РЕАЛИЗАЦИЯ[[#This Row],[СОНИ]]*РЕАЛИЗАЦИЯ[[#This Row],[НАРХИ]]</f>
        <v>0</v>
      </c>
      <c r="I2897" s="166"/>
      <c r="J2897" s="31">
        <f>РЕАЛИЗАЦИЯ[[#This Row],[СОНИ]]*РЕАЛИЗАЦИЯ[[#This Row],[ТАННАРХ]]</f>
        <v>0</v>
      </c>
      <c r="K2897" s="31">
        <f>РЕАЛИЗАЦИЯ[[#This Row],[ЖАМИ]]-РЕАЛИЗАЦИЯ[[#This Row],[ЖАМИ2]]</f>
        <v>0</v>
      </c>
      <c r="L2897" s="31"/>
    </row>
    <row r="2898" spans="1:12" x14ac:dyDescent="0.3">
      <c r="C2898" s="219"/>
      <c r="D2898" s="219"/>
      <c r="G2898" s="50">
        <f>РЕАЛИЗАЦИЯ[[#This Row],[СОНИ]]*РЕАЛИЗАЦИЯ[[#This Row],[НАРХИ]]</f>
        <v>0</v>
      </c>
      <c r="I2898" s="166"/>
      <c r="J2898" s="31">
        <f>РЕАЛИЗАЦИЯ[[#This Row],[СОНИ]]*РЕАЛИЗАЦИЯ[[#This Row],[ТАННАРХ]]</f>
        <v>0</v>
      </c>
      <c r="K2898" s="31">
        <f>РЕАЛИЗАЦИЯ[[#This Row],[ЖАМИ]]-РЕАЛИЗАЦИЯ[[#This Row],[ЖАМИ2]]</f>
        <v>0</v>
      </c>
      <c r="L2898" s="31"/>
    </row>
    <row r="2899" spans="1:12" x14ac:dyDescent="0.3">
      <c r="C2899" s="230"/>
      <c r="D2899" s="230"/>
      <c r="G2899" s="50">
        <f>РЕАЛИЗАЦИЯ[[#This Row],[СОНИ]]*РЕАЛИЗАЦИЯ[[#This Row],[НАРХИ]]</f>
        <v>0</v>
      </c>
      <c r="I2899" s="166"/>
      <c r="J2899" s="31">
        <f>РЕАЛИЗАЦИЯ[[#This Row],[СОНИ]]*РЕАЛИЗАЦИЯ[[#This Row],[ТАННАРХ]]</f>
        <v>0</v>
      </c>
      <c r="K2899" s="31">
        <f>РЕАЛИЗАЦИЯ[[#This Row],[ЖАМИ]]-РЕАЛИЗАЦИЯ[[#This Row],[ЖАМИ2]]</f>
        <v>0</v>
      </c>
      <c r="L2899" s="31"/>
    </row>
    <row r="2900" spans="1:12" x14ac:dyDescent="0.3">
      <c r="C2900" s="230"/>
      <c r="D2900" s="230"/>
      <c r="G2900" s="50">
        <f>РЕАЛИЗАЦИЯ[[#This Row],[СОНИ]]*РЕАЛИЗАЦИЯ[[#This Row],[НАРХИ]]</f>
        <v>0</v>
      </c>
      <c r="I2900" s="166"/>
      <c r="J2900" s="31">
        <f>РЕАЛИЗАЦИЯ[[#This Row],[СОНИ]]*РЕАЛИЗАЦИЯ[[#This Row],[ТАННАРХ]]</f>
        <v>0</v>
      </c>
      <c r="K2900" s="31">
        <f>РЕАЛИЗАЦИЯ[[#This Row],[ЖАМИ]]-РЕАЛИЗАЦИЯ[[#This Row],[ЖАМИ2]]</f>
        <v>0</v>
      </c>
      <c r="L2900" s="31"/>
    </row>
    <row r="2901" spans="1:12" x14ac:dyDescent="0.3">
      <c r="C2901" s="219"/>
      <c r="D2901" s="219"/>
      <c r="G2901" s="50">
        <f>РЕАЛИЗАЦИЯ[[#This Row],[СОНИ]]*РЕАЛИЗАЦИЯ[[#This Row],[НАРХИ]]</f>
        <v>0</v>
      </c>
      <c r="I2901" s="166"/>
      <c r="J2901" s="31">
        <f>РЕАЛИЗАЦИЯ[[#This Row],[СОНИ]]*РЕАЛИЗАЦИЯ[[#This Row],[ТАННАРХ]]</f>
        <v>0</v>
      </c>
      <c r="K2901" s="31">
        <f>РЕАЛИЗАЦИЯ[[#This Row],[ЖАМИ]]-РЕАЛИЗАЦИЯ[[#This Row],[ЖАМИ2]]</f>
        <v>0</v>
      </c>
      <c r="L2901" s="31"/>
    </row>
    <row r="2902" spans="1:12" x14ac:dyDescent="0.3">
      <c r="C2902" s="219"/>
      <c r="D2902" s="219"/>
      <c r="F2902" s="3"/>
      <c r="G2902" s="50">
        <f>РЕАЛИЗАЦИЯ[[#This Row],[СОНИ]]*РЕАЛИЗАЦИЯ[[#This Row],[НАРХИ]]</f>
        <v>0</v>
      </c>
      <c r="I2902" s="166"/>
      <c r="J2902" s="31">
        <f>РЕАЛИЗАЦИЯ[[#This Row],[СОНИ]]*РЕАЛИЗАЦИЯ[[#This Row],[ТАННАРХ]]</f>
        <v>0</v>
      </c>
      <c r="K2902" s="31">
        <f>РЕАЛИЗАЦИЯ[[#This Row],[ЖАМИ]]-РЕАЛИЗАЦИЯ[[#This Row],[ЖАМИ2]]</f>
        <v>0</v>
      </c>
      <c r="L2902" s="31"/>
    </row>
    <row r="2903" spans="1:12" x14ac:dyDescent="0.3">
      <c r="C2903" s="219"/>
      <c r="D2903" s="219"/>
      <c r="G2903" s="50">
        <f>РЕАЛИЗАЦИЯ[[#This Row],[СОНИ]]*РЕАЛИЗАЦИЯ[[#This Row],[НАРХИ]]</f>
        <v>0</v>
      </c>
      <c r="I2903" s="166"/>
      <c r="J2903" s="31">
        <f>РЕАЛИЗАЦИЯ[[#This Row],[СОНИ]]*РЕАЛИЗАЦИЯ[[#This Row],[ТАННАРХ]]</f>
        <v>0</v>
      </c>
      <c r="K2903" s="31">
        <f>РЕАЛИЗАЦИЯ[[#This Row],[ЖАМИ]]-РЕАЛИЗАЦИЯ[[#This Row],[ЖАМИ2]]</f>
        <v>0</v>
      </c>
      <c r="L2903" s="31"/>
    </row>
    <row r="2904" spans="1:12" x14ac:dyDescent="0.3">
      <c r="C2904" s="219"/>
      <c r="D2904" s="219"/>
      <c r="G2904" s="50">
        <f>РЕАЛИЗАЦИЯ[[#This Row],[СОНИ]]*РЕАЛИЗАЦИЯ[[#This Row],[НАРХИ]]</f>
        <v>0</v>
      </c>
      <c r="I2904" s="166"/>
      <c r="J2904" s="31">
        <f>РЕАЛИЗАЦИЯ[[#This Row],[СОНИ]]*РЕАЛИЗАЦИЯ[[#This Row],[ТАННАРХ]]</f>
        <v>0</v>
      </c>
      <c r="K2904" s="31">
        <f>РЕАЛИЗАЦИЯ[[#This Row],[ЖАМИ]]-РЕАЛИЗАЦИЯ[[#This Row],[ЖАМИ2]]</f>
        <v>0</v>
      </c>
      <c r="L2904" s="31"/>
    </row>
    <row r="2905" spans="1:12" x14ac:dyDescent="0.3">
      <c r="C2905" s="219"/>
      <c r="D2905" s="219"/>
      <c r="G2905" s="50">
        <f>РЕАЛИЗАЦИЯ[[#This Row],[СОНИ]]*РЕАЛИЗАЦИЯ[[#This Row],[НАРХИ]]</f>
        <v>0</v>
      </c>
      <c r="I2905" s="166"/>
      <c r="J2905" s="31">
        <f>РЕАЛИЗАЦИЯ[[#This Row],[СОНИ]]*РЕАЛИЗАЦИЯ[[#This Row],[ТАННАРХ]]</f>
        <v>0</v>
      </c>
      <c r="K2905" s="31">
        <f>РЕАЛИЗАЦИЯ[[#This Row],[ЖАМИ]]-РЕАЛИЗАЦИЯ[[#This Row],[ЖАМИ2]]</f>
        <v>0</v>
      </c>
      <c r="L2905" s="31"/>
    </row>
    <row r="2906" spans="1:12" x14ac:dyDescent="0.3">
      <c r="C2906" s="219"/>
      <c r="D2906" s="219"/>
      <c r="G2906" s="50">
        <f>РЕАЛИЗАЦИЯ[[#This Row],[СОНИ]]*РЕАЛИЗАЦИЯ[[#This Row],[НАРХИ]]</f>
        <v>0</v>
      </c>
      <c r="I2906" s="166"/>
      <c r="J2906" s="31">
        <f>РЕАЛИЗАЦИЯ[[#This Row],[СОНИ]]*РЕАЛИЗАЦИЯ[[#This Row],[ТАННАРХ]]</f>
        <v>0</v>
      </c>
      <c r="K2906" s="31">
        <f>РЕАЛИЗАЦИЯ[[#This Row],[ЖАМИ]]-РЕАЛИЗАЦИЯ[[#This Row],[ЖАМИ2]]</f>
        <v>0</v>
      </c>
      <c r="L2906" s="31"/>
    </row>
    <row r="2907" spans="1:12" s="4" customFormat="1" x14ac:dyDescent="0.3">
      <c r="A2907" s="3"/>
      <c r="C2907" s="219"/>
      <c r="D2907" s="219"/>
      <c r="E2907" s="31"/>
      <c r="F2907" s="31"/>
      <c r="G2907" s="50">
        <f>РЕАЛИЗАЦИЯ[[#This Row],[СОНИ]]*РЕАЛИЗАЦИЯ[[#This Row],[НАРХИ]]</f>
        <v>0</v>
      </c>
      <c r="H2907" s="31"/>
      <c r="I2907" s="166"/>
      <c r="J2907" s="31">
        <f>РЕАЛИЗАЦИЯ[[#This Row],[СОНИ]]*РЕАЛИЗАЦИЯ[[#This Row],[ТАННАРХ]]</f>
        <v>0</v>
      </c>
      <c r="K2907" s="31">
        <f>РЕАЛИЗАЦИЯ[[#This Row],[ЖАМИ]]-РЕАЛИЗАЦИЯ[[#This Row],[ЖАМИ2]]</f>
        <v>0</v>
      </c>
      <c r="L2907" s="31"/>
    </row>
    <row r="2908" spans="1:12" s="4" customFormat="1" x14ac:dyDescent="0.3">
      <c r="A2908" s="3"/>
      <c r="C2908" s="219"/>
      <c r="D2908" s="219"/>
      <c r="E2908" s="31"/>
      <c r="F2908" s="31"/>
      <c r="G2908" s="50">
        <f>РЕАЛИЗАЦИЯ[[#This Row],[СОНИ]]*РЕАЛИЗАЦИЯ[[#This Row],[НАРХИ]]</f>
        <v>0</v>
      </c>
      <c r="H2908" s="31"/>
      <c r="I2908" s="166"/>
      <c r="J2908" s="31">
        <f>РЕАЛИЗАЦИЯ[[#This Row],[СОНИ]]*РЕАЛИЗАЦИЯ[[#This Row],[ТАННАРХ]]</f>
        <v>0</v>
      </c>
      <c r="K2908" s="31">
        <f>РЕАЛИЗАЦИЯ[[#This Row],[ЖАМИ]]-РЕАЛИЗАЦИЯ[[#This Row],[ЖАМИ2]]</f>
        <v>0</v>
      </c>
      <c r="L2908" s="31"/>
    </row>
    <row r="2909" spans="1:12" s="4" customFormat="1" x14ac:dyDescent="0.3">
      <c r="A2909" s="3"/>
      <c r="C2909" s="219"/>
      <c r="D2909" s="219"/>
      <c r="E2909" s="31"/>
      <c r="F2909" s="31"/>
      <c r="G2909" s="50">
        <f>РЕАЛИЗАЦИЯ[[#This Row],[СОНИ]]*РЕАЛИЗАЦИЯ[[#This Row],[НАРХИ]]</f>
        <v>0</v>
      </c>
      <c r="H2909" s="31"/>
      <c r="I2909" s="166"/>
      <c r="J2909" s="31">
        <f>РЕАЛИЗАЦИЯ[[#This Row],[СОНИ]]*РЕАЛИЗАЦИЯ[[#This Row],[ТАННАРХ]]</f>
        <v>0</v>
      </c>
      <c r="K2909" s="31">
        <f>РЕАЛИЗАЦИЯ[[#This Row],[ЖАМИ]]-РЕАЛИЗАЦИЯ[[#This Row],[ЖАМИ2]]</f>
        <v>0</v>
      </c>
      <c r="L2909" s="31"/>
    </row>
    <row r="2910" spans="1:12" x14ac:dyDescent="0.3">
      <c r="C2910" s="219"/>
      <c r="D2910" s="219"/>
      <c r="G2910" s="50">
        <f>РЕАЛИЗАЦИЯ[[#This Row],[СОНИ]]*РЕАЛИЗАЦИЯ[[#This Row],[НАРХИ]]</f>
        <v>0</v>
      </c>
      <c r="I2910" s="166"/>
      <c r="J2910" s="31">
        <f>РЕАЛИЗАЦИЯ[[#This Row],[СОНИ]]*РЕАЛИЗАЦИЯ[[#This Row],[ТАННАРХ]]</f>
        <v>0</v>
      </c>
      <c r="K2910" s="31">
        <f>РЕАЛИЗАЦИЯ[[#This Row],[ЖАМИ]]-РЕАЛИЗАЦИЯ[[#This Row],[ЖАМИ2]]</f>
        <v>0</v>
      </c>
      <c r="L2910" s="31"/>
    </row>
    <row r="2911" spans="1:12" x14ac:dyDescent="0.3">
      <c r="C2911" s="219"/>
      <c r="D2911" s="219"/>
      <c r="G2911" s="50">
        <f>РЕАЛИЗАЦИЯ[[#This Row],[СОНИ]]*РЕАЛИЗАЦИЯ[[#This Row],[НАРХИ]]</f>
        <v>0</v>
      </c>
      <c r="I2911" s="166"/>
      <c r="J2911" s="31">
        <f>РЕАЛИЗАЦИЯ[[#This Row],[СОНИ]]*РЕАЛИЗАЦИЯ[[#This Row],[ТАННАРХ]]</f>
        <v>0</v>
      </c>
      <c r="K2911" s="31">
        <f>РЕАЛИЗАЦИЯ[[#This Row],[ЖАМИ]]-РЕАЛИЗАЦИЯ[[#This Row],[ЖАМИ2]]</f>
        <v>0</v>
      </c>
      <c r="L2911" s="31"/>
    </row>
    <row r="2912" spans="1:12" x14ac:dyDescent="0.3">
      <c r="C2912" s="219"/>
      <c r="D2912" s="219"/>
      <c r="G2912" s="50">
        <f>РЕАЛИЗАЦИЯ[[#This Row],[СОНИ]]*РЕАЛИЗАЦИЯ[[#This Row],[НАРХИ]]</f>
        <v>0</v>
      </c>
      <c r="I2912" s="166"/>
      <c r="J2912" s="31">
        <f>РЕАЛИЗАЦИЯ[[#This Row],[СОНИ]]*РЕАЛИЗАЦИЯ[[#This Row],[ТАННАРХ]]</f>
        <v>0</v>
      </c>
      <c r="K2912" s="31">
        <f>РЕАЛИЗАЦИЯ[[#This Row],[ЖАМИ]]-РЕАЛИЗАЦИЯ[[#This Row],[ЖАМИ2]]</f>
        <v>0</v>
      </c>
      <c r="L2912" s="31"/>
    </row>
    <row r="2913" spans="3:12" x14ac:dyDescent="0.3">
      <c r="C2913" s="219"/>
      <c r="D2913" s="219"/>
      <c r="G2913" s="50">
        <f>РЕАЛИЗАЦИЯ[[#This Row],[СОНИ]]*РЕАЛИЗАЦИЯ[[#This Row],[НАРХИ]]</f>
        <v>0</v>
      </c>
      <c r="I2913" s="166"/>
      <c r="J2913" s="31">
        <f>РЕАЛИЗАЦИЯ[[#This Row],[СОНИ]]*РЕАЛИЗАЦИЯ[[#This Row],[ТАННАРХ]]</f>
        <v>0</v>
      </c>
      <c r="K2913" s="31">
        <f>РЕАЛИЗАЦИЯ[[#This Row],[ЖАМИ]]-РЕАЛИЗАЦИЯ[[#This Row],[ЖАМИ2]]</f>
        <v>0</v>
      </c>
      <c r="L2913" s="31"/>
    </row>
    <row r="2914" spans="3:12" x14ac:dyDescent="0.3">
      <c r="C2914" s="219"/>
      <c r="D2914" s="219"/>
      <c r="G2914" s="50">
        <f>РЕАЛИЗАЦИЯ[[#This Row],[СОНИ]]*РЕАЛИЗАЦИЯ[[#This Row],[НАРХИ]]</f>
        <v>0</v>
      </c>
      <c r="I2914" s="166"/>
      <c r="J2914" s="31">
        <f>РЕАЛИЗАЦИЯ[[#This Row],[СОНИ]]*РЕАЛИЗАЦИЯ[[#This Row],[ТАННАРХ]]</f>
        <v>0</v>
      </c>
      <c r="K2914" s="31">
        <f>РЕАЛИЗАЦИЯ[[#This Row],[ЖАМИ]]-РЕАЛИЗАЦИЯ[[#This Row],[ЖАМИ2]]</f>
        <v>0</v>
      </c>
      <c r="L2914" s="31"/>
    </row>
    <row r="2915" spans="3:12" x14ac:dyDescent="0.3">
      <c r="C2915" s="219"/>
      <c r="D2915" s="219"/>
      <c r="G2915" s="50">
        <f>РЕАЛИЗАЦИЯ[[#This Row],[СОНИ]]*РЕАЛИЗАЦИЯ[[#This Row],[НАРХИ]]</f>
        <v>0</v>
      </c>
      <c r="I2915" s="166"/>
      <c r="J2915" s="31">
        <f>РЕАЛИЗАЦИЯ[[#This Row],[СОНИ]]*РЕАЛИЗАЦИЯ[[#This Row],[ТАННАРХ]]</f>
        <v>0</v>
      </c>
      <c r="K2915" s="31">
        <f>РЕАЛИЗАЦИЯ[[#This Row],[ЖАМИ]]-РЕАЛИЗАЦИЯ[[#This Row],[ЖАМИ2]]</f>
        <v>0</v>
      </c>
      <c r="L2915" s="31"/>
    </row>
    <row r="2916" spans="3:12" x14ac:dyDescent="0.3">
      <c r="C2916" s="219"/>
      <c r="D2916" s="219"/>
      <c r="G2916" s="50">
        <f>РЕАЛИЗАЦИЯ[[#This Row],[СОНИ]]*РЕАЛИЗАЦИЯ[[#This Row],[НАРХИ]]</f>
        <v>0</v>
      </c>
      <c r="I2916" s="166"/>
      <c r="J2916" s="31">
        <f>РЕАЛИЗАЦИЯ[[#This Row],[СОНИ]]*РЕАЛИЗАЦИЯ[[#This Row],[ТАННАРХ]]</f>
        <v>0</v>
      </c>
      <c r="K2916" s="31">
        <f>РЕАЛИЗАЦИЯ[[#This Row],[ЖАМИ]]-РЕАЛИЗАЦИЯ[[#This Row],[ЖАМИ2]]</f>
        <v>0</v>
      </c>
      <c r="L2916" s="31"/>
    </row>
    <row r="2917" spans="3:12" x14ac:dyDescent="0.3">
      <c r="C2917" s="219"/>
      <c r="D2917" s="219"/>
      <c r="G2917" s="50">
        <f>РЕАЛИЗАЦИЯ[[#This Row],[СОНИ]]*РЕАЛИЗАЦИЯ[[#This Row],[НАРХИ]]</f>
        <v>0</v>
      </c>
      <c r="I2917" s="166"/>
      <c r="J2917" s="31">
        <f>РЕАЛИЗАЦИЯ[[#This Row],[СОНИ]]*РЕАЛИЗАЦИЯ[[#This Row],[ТАННАРХ]]</f>
        <v>0</v>
      </c>
      <c r="K2917" s="31">
        <f>РЕАЛИЗАЦИЯ[[#This Row],[ЖАМИ]]-РЕАЛИЗАЦИЯ[[#This Row],[ЖАМИ2]]</f>
        <v>0</v>
      </c>
      <c r="L2917" s="31"/>
    </row>
    <row r="2918" spans="3:12" x14ac:dyDescent="0.3">
      <c r="C2918" s="219"/>
      <c r="D2918" s="219"/>
      <c r="G2918" s="50">
        <f>РЕАЛИЗАЦИЯ[[#This Row],[СОНИ]]*РЕАЛИЗАЦИЯ[[#This Row],[НАРХИ]]</f>
        <v>0</v>
      </c>
      <c r="I2918" s="166"/>
      <c r="J2918" s="31">
        <f>РЕАЛИЗАЦИЯ[[#This Row],[СОНИ]]*РЕАЛИЗАЦИЯ[[#This Row],[ТАННАРХ]]</f>
        <v>0</v>
      </c>
      <c r="K2918" s="31">
        <f>РЕАЛИЗАЦИЯ[[#This Row],[ЖАМИ]]-РЕАЛИЗАЦИЯ[[#This Row],[ЖАМИ2]]</f>
        <v>0</v>
      </c>
      <c r="L2918" s="31"/>
    </row>
    <row r="2919" spans="3:12" x14ac:dyDescent="0.3">
      <c r="C2919" s="219"/>
      <c r="D2919" s="219"/>
      <c r="G2919" s="50">
        <f>РЕАЛИЗАЦИЯ[[#This Row],[СОНИ]]*РЕАЛИЗАЦИЯ[[#This Row],[НАРХИ]]</f>
        <v>0</v>
      </c>
      <c r="I2919" s="166"/>
      <c r="J2919" s="31">
        <f>РЕАЛИЗАЦИЯ[[#This Row],[СОНИ]]*РЕАЛИЗАЦИЯ[[#This Row],[ТАННАРХ]]</f>
        <v>0</v>
      </c>
      <c r="K2919" s="31">
        <f>РЕАЛИЗАЦИЯ[[#This Row],[ЖАМИ]]-РЕАЛИЗАЦИЯ[[#This Row],[ЖАМИ2]]</f>
        <v>0</v>
      </c>
      <c r="L2919" s="31"/>
    </row>
    <row r="2920" spans="3:12" x14ac:dyDescent="0.3">
      <c r="C2920" s="219"/>
      <c r="D2920" s="219"/>
      <c r="G2920" s="50">
        <f>РЕАЛИЗАЦИЯ[[#This Row],[СОНИ]]*РЕАЛИЗАЦИЯ[[#This Row],[НАРХИ]]</f>
        <v>0</v>
      </c>
      <c r="I2920" s="166"/>
      <c r="J2920" s="31">
        <f>РЕАЛИЗАЦИЯ[[#This Row],[СОНИ]]*РЕАЛИЗАЦИЯ[[#This Row],[ТАННАРХ]]</f>
        <v>0</v>
      </c>
      <c r="K2920" s="31">
        <f>РЕАЛИЗАЦИЯ[[#This Row],[ЖАМИ]]-РЕАЛИЗАЦИЯ[[#This Row],[ЖАМИ2]]</f>
        <v>0</v>
      </c>
      <c r="L2920" s="31"/>
    </row>
    <row r="2921" spans="3:12" x14ac:dyDescent="0.3">
      <c r="C2921" s="219"/>
      <c r="D2921" s="219"/>
      <c r="G2921" s="50">
        <f>РЕАЛИЗАЦИЯ[[#This Row],[СОНИ]]*РЕАЛИЗАЦИЯ[[#This Row],[НАРХИ]]</f>
        <v>0</v>
      </c>
      <c r="I2921" s="166"/>
      <c r="J2921" s="31">
        <f>РЕАЛИЗАЦИЯ[[#This Row],[СОНИ]]*РЕАЛИЗАЦИЯ[[#This Row],[ТАННАРХ]]</f>
        <v>0</v>
      </c>
      <c r="K2921" s="31">
        <f>РЕАЛИЗАЦИЯ[[#This Row],[ЖАМИ]]-РЕАЛИЗАЦИЯ[[#This Row],[ЖАМИ2]]</f>
        <v>0</v>
      </c>
      <c r="L2921" s="31"/>
    </row>
    <row r="2922" spans="3:12" x14ac:dyDescent="0.3">
      <c r="C2922" s="219"/>
      <c r="D2922" s="219"/>
      <c r="G2922" s="50">
        <f>РЕАЛИЗАЦИЯ[[#This Row],[СОНИ]]*РЕАЛИЗАЦИЯ[[#This Row],[НАРХИ]]</f>
        <v>0</v>
      </c>
      <c r="I2922" s="166"/>
      <c r="J2922" s="31">
        <f>РЕАЛИЗАЦИЯ[[#This Row],[СОНИ]]*РЕАЛИЗАЦИЯ[[#This Row],[ТАННАРХ]]</f>
        <v>0</v>
      </c>
      <c r="K2922" s="31">
        <f>РЕАЛИЗАЦИЯ[[#This Row],[ЖАМИ]]-РЕАЛИЗАЦИЯ[[#This Row],[ЖАМИ2]]</f>
        <v>0</v>
      </c>
      <c r="L2922" s="31"/>
    </row>
    <row r="2923" spans="3:12" x14ac:dyDescent="0.3">
      <c r="C2923" s="219"/>
      <c r="D2923" s="219"/>
      <c r="G2923" s="50">
        <f>РЕАЛИЗАЦИЯ[[#This Row],[СОНИ]]*РЕАЛИЗАЦИЯ[[#This Row],[НАРХИ]]</f>
        <v>0</v>
      </c>
      <c r="I2923" s="166"/>
      <c r="J2923" s="31">
        <f>РЕАЛИЗАЦИЯ[[#This Row],[СОНИ]]*РЕАЛИЗАЦИЯ[[#This Row],[ТАННАРХ]]</f>
        <v>0</v>
      </c>
      <c r="K2923" s="31">
        <f>РЕАЛИЗАЦИЯ[[#This Row],[ЖАМИ]]-РЕАЛИЗАЦИЯ[[#This Row],[ЖАМИ2]]</f>
        <v>0</v>
      </c>
      <c r="L2923" s="31"/>
    </row>
    <row r="2924" spans="3:12" x14ac:dyDescent="0.3">
      <c r="C2924" s="219"/>
      <c r="D2924" s="219"/>
      <c r="G2924" s="50">
        <f>РЕАЛИЗАЦИЯ[[#This Row],[СОНИ]]*РЕАЛИЗАЦИЯ[[#This Row],[НАРХИ]]</f>
        <v>0</v>
      </c>
      <c r="I2924" s="166"/>
      <c r="J2924" s="31">
        <f>РЕАЛИЗАЦИЯ[[#This Row],[СОНИ]]*РЕАЛИЗАЦИЯ[[#This Row],[ТАННАРХ]]</f>
        <v>0</v>
      </c>
      <c r="K2924" s="31">
        <f>РЕАЛИЗАЦИЯ[[#This Row],[ЖАМИ]]-РЕАЛИЗАЦИЯ[[#This Row],[ЖАМИ2]]</f>
        <v>0</v>
      </c>
      <c r="L2924" s="31"/>
    </row>
    <row r="2925" spans="3:12" x14ac:dyDescent="0.3">
      <c r="C2925" s="219"/>
      <c r="D2925" s="219"/>
      <c r="G2925" s="50">
        <f>РЕАЛИЗАЦИЯ[[#This Row],[СОНИ]]*РЕАЛИЗАЦИЯ[[#This Row],[НАРХИ]]</f>
        <v>0</v>
      </c>
      <c r="I2925" s="166"/>
      <c r="J2925" s="31">
        <f>РЕАЛИЗАЦИЯ[[#This Row],[СОНИ]]*РЕАЛИЗАЦИЯ[[#This Row],[ТАННАРХ]]</f>
        <v>0</v>
      </c>
      <c r="K2925" s="31">
        <f>РЕАЛИЗАЦИЯ[[#This Row],[ЖАМИ]]-РЕАЛИЗАЦИЯ[[#This Row],[ЖАМИ2]]</f>
        <v>0</v>
      </c>
      <c r="L2925" s="31"/>
    </row>
    <row r="2926" spans="3:12" x14ac:dyDescent="0.3">
      <c r="C2926" s="219"/>
      <c r="D2926" s="219"/>
      <c r="G2926" s="50">
        <f>РЕАЛИЗАЦИЯ[[#This Row],[СОНИ]]*РЕАЛИЗАЦИЯ[[#This Row],[НАРХИ]]</f>
        <v>0</v>
      </c>
      <c r="I2926" s="166"/>
      <c r="J2926" s="31">
        <f>РЕАЛИЗАЦИЯ[[#This Row],[СОНИ]]*РЕАЛИЗАЦИЯ[[#This Row],[ТАННАРХ]]</f>
        <v>0</v>
      </c>
      <c r="K2926" s="31">
        <f>РЕАЛИЗАЦИЯ[[#This Row],[ЖАМИ]]-РЕАЛИЗАЦИЯ[[#This Row],[ЖАМИ2]]</f>
        <v>0</v>
      </c>
      <c r="L2926" s="31"/>
    </row>
    <row r="2927" spans="3:12" x14ac:dyDescent="0.3">
      <c r="C2927" s="219"/>
      <c r="D2927" s="219"/>
      <c r="G2927" s="50">
        <f>РЕАЛИЗАЦИЯ[[#This Row],[СОНИ]]*РЕАЛИЗАЦИЯ[[#This Row],[НАРХИ]]</f>
        <v>0</v>
      </c>
      <c r="I2927" s="166"/>
      <c r="J2927" s="31">
        <f>РЕАЛИЗАЦИЯ[[#This Row],[СОНИ]]*РЕАЛИЗАЦИЯ[[#This Row],[ТАННАРХ]]</f>
        <v>0</v>
      </c>
      <c r="K2927" s="31">
        <f>РЕАЛИЗАЦИЯ[[#This Row],[ЖАМИ]]-РЕАЛИЗАЦИЯ[[#This Row],[ЖАМИ2]]</f>
        <v>0</v>
      </c>
      <c r="L2927" s="31"/>
    </row>
    <row r="2928" spans="3:12" x14ac:dyDescent="0.3">
      <c r="C2928" s="219"/>
      <c r="D2928" s="219"/>
      <c r="G2928" s="50">
        <f>РЕАЛИЗАЦИЯ[[#This Row],[СОНИ]]*РЕАЛИЗАЦИЯ[[#This Row],[НАРХИ]]</f>
        <v>0</v>
      </c>
      <c r="I2928" s="166"/>
      <c r="J2928" s="31">
        <f>РЕАЛИЗАЦИЯ[[#This Row],[СОНИ]]*РЕАЛИЗАЦИЯ[[#This Row],[ТАННАРХ]]</f>
        <v>0</v>
      </c>
      <c r="K2928" s="31">
        <f>РЕАЛИЗАЦИЯ[[#This Row],[ЖАМИ]]-РЕАЛИЗАЦИЯ[[#This Row],[ЖАМИ2]]</f>
        <v>0</v>
      </c>
      <c r="L2928" s="31"/>
    </row>
    <row r="2929" spans="3:12" x14ac:dyDescent="0.3">
      <c r="C2929" s="219"/>
      <c r="D2929" s="219"/>
      <c r="G2929" s="50">
        <f>РЕАЛИЗАЦИЯ[[#This Row],[СОНИ]]*РЕАЛИЗАЦИЯ[[#This Row],[НАРХИ]]</f>
        <v>0</v>
      </c>
      <c r="I2929" s="166"/>
      <c r="J2929" s="31">
        <f>РЕАЛИЗАЦИЯ[[#This Row],[СОНИ]]*РЕАЛИЗАЦИЯ[[#This Row],[ТАННАРХ]]</f>
        <v>0</v>
      </c>
      <c r="K2929" s="31">
        <f>РЕАЛИЗАЦИЯ[[#This Row],[ЖАМИ]]-РЕАЛИЗАЦИЯ[[#This Row],[ЖАМИ2]]</f>
        <v>0</v>
      </c>
      <c r="L2929" s="31"/>
    </row>
    <row r="2930" spans="3:12" x14ac:dyDescent="0.3">
      <c r="C2930" s="219"/>
      <c r="D2930" s="219"/>
      <c r="G2930" s="50">
        <f>РЕАЛИЗАЦИЯ[[#This Row],[СОНИ]]*РЕАЛИЗАЦИЯ[[#This Row],[НАРХИ]]</f>
        <v>0</v>
      </c>
      <c r="I2930" s="166"/>
      <c r="J2930" s="31">
        <f>РЕАЛИЗАЦИЯ[[#This Row],[СОНИ]]*РЕАЛИЗАЦИЯ[[#This Row],[ТАННАРХ]]</f>
        <v>0</v>
      </c>
      <c r="K2930" s="31">
        <f>РЕАЛИЗАЦИЯ[[#This Row],[ЖАМИ]]-РЕАЛИЗАЦИЯ[[#This Row],[ЖАМИ2]]</f>
        <v>0</v>
      </c>
      <c r="L2930" s="31"/>
    </row>
    <row r="2931" spans="3:12" x14ac:dyDescent="0.3">
      <c r="C2931" s="219"/>
      <c r="D2931" s="219"/>
      <c r="G2931" s="50">
        <f>РЕАЛИЗАЦИЯ[[#This Row],[СОНИ]]*РЕАЛИЗАЦИЯ[[#This Row],[НАРХИ]]</f>
        <v>0</v>
      </c>
      <c r="I2931" s="166"/>
      <c r="J2931" s="31">
        <f>РЕАЛИЗАЦИЯ[[#This Row],[СОНИ]]*РЕАЛИЗАЦИЯ[[#This Row],[ТАННАРХ]]</f>
        <v>0</v>
      </c>
      <c r="K2931" s="31">
        <f>РЕАЛИЗАЦИЯ[[#This Row],[ЖАМИ]]-РЕАЛИЗАЦИЯ[[#This Row],[ЖАМИ2]]</f>
        <v>0</v>
      </c>
      <c r="L2931" s="31"/>
    </row>
    <row r="2932" spans="3:12" x14ac:dyDescent="0.3">
      <c r="C2932" s="219"/>
      <c r="D2932" s="219"/>
      <c r="G2932" s="50">
        <f>РЕАЛИЗАЦИЯ[[#This Row],[СОНИ]]*РЕАЛИЗАЦИЯ[[#This Row],[НАРХИ]]</f>
        <v>0</v>
      </c>
      <c r="I2932" s="166"/>
      <c r="J2932" s="31">
        <f>РЕАЛИЗАЦИЯ[[#This Row],[СОНИ]]*РЕАЛИЗАЦИЯ[[#This Row],[ТАННАРХ]]</f>
        <v>0</v>
      </c>
      <c r="K2932" s="31">
        <f>РЕАЛИЗАЦИЯ[[#This Row],[ЖАМИ]]-РЕАЛИЗАЦИЯ[[#This Row],[ЖАМИ2]]</f>
        <v>0</v>
      </c>
      <c r="L2932" s="31"/>
    </row>
    <row r="2933" spans="3:12" x14ac:dyDescent="0.3">
      <c r="C2933" s="219"/>
      <c r="D2933" s="219"/>
      <c r="G2933" s="50">
        <f>РЕАЛИЗАЦИЯ[[#This Row],[СОНИ]]*РЕАЛИЗАЦИЯ[[#This Row],[НАРХИ]]</f>
        <v>0</v>
      </c>
      <c r="I2933" s="166"/>
      <c r="J2933" s="31">
        <f>РЕАЛИЗАЦИЯ[[#This Row],[СОНИ]]*РЕАЛИЗАЦИЯ[[#This Row],[ТАННАРХ]]</f>
        <v>0</v>
      </c>
      <c r="K2933" s="31">
        <f>РЕАЛИЗАЦИЯ[[#This Row],[ЖАМИ]]-РЕАЛИЗАЦИЯ[[#This Row],[ЖАМИ2]]</f>
        <v>0</v>
      </c>
      <c r="L2933" s="31"/>
    </row>
    <row r="2934" spans="3:12" x14ac:dyDescent="0.3">
      <c r="C2934" s="219"/>
      <c r="D2934" s="219"/>
      <c r="G2934" s="50">
        <f>РЕАЛИЗАЦИЯ[[#This Row],[СОНИ]]*РЕАЛИЗАЦИЯ[[#This Row],[НАРХИ]]</f>
        <v>0</v>
      </c>
      <c r="I2934" s="166"/>
      <c r="J2934" s="31">
        <f>РЕАЛИЗАЦИЯ[[#This Row],[СОНИ]]*РЕАЛИЗАЦИЯ[[#This Row],[ТАННАРХ]]</f>
        <v>0</v>
      </c>
      <c r="K2934" s="31">
        <f>РЕАЛИЗАЦИЯ[[#This Row],[ЖАМИ]]-РЕАЛИЗАЦИЯ[[#This Row],[ЖАМИ2]]</f>
        <v>0</v>
      </c>
      <c r="L2934" s="31"/>
    </row>
    <row r="2935" spans="3:12" x14ac:dyDescent="0.3">
      <c r="C2935" s="219"/>
      <c r="D2935" s="219"/>
      <c r="G2935" s="50">
        <f>РЕАЛИЗАЦИЯ[[#This Row],[СОНИ]]*РЕАЛИЗАЦИЯ[[#This Row],[НАРХИ]]</f>
        <v>0</v>
      </c>
      <c r="I2935" s="166"/>
      <c r="J2935" s="31">
        <f>РЕАЛИЗАЦИЯ[[#This Row],[СОНИ]]*РЕАЛИЗАЦИЯ[[#This Row],[ТАННАРХ]]</f>
        <v>0</v>
      </c>
      <c r="K2935" s="31">
        <f>РЕАЛИЗАЦИЯ[[#This Row],[ЖАМИ]]-РЕАЛИЗАЦИЯ[[#This Row],[ЖАМИ2]]</f>
        <v>0</v>
      </c>
      <c r="L2935" s="31"/>
    </row>
    <row r="2936" spans="3:12" x14ac:dyDescent="0.3">
      <c r="C2936" s="219"/>
      <c r="D2936" s="219"/>
      <c r="G2936" s="50">
        <f>РЕАЛИЗАЦИЯ[[#This Row],[СОНИ]]*РЕАЛИЗАЦИЯ[[#This Row],[НАРХИ]]</f>
        <v>0</v>
      </c>
      <c r="I2936" s="166"/>
      <c r="J2936" s="31">
        <f>РЕАЛИЗАЦИЯ[[#This Row],[СОНИ]]*РЕАЛИЗАЦИЯ[[#This Row],[ТАННАРХ]]</f>
        <v>0</v>
      </c>
      <c r="K2936" s="31">
        <f>РЕАЛИЗАЦИЯ[[#This Row],[ЖАМИ]]-РЕАЛИЗАЦИЯ[[#This Row],[ЖАМИ2]]</f>
        <v>0</v>
      </c>
      <c r="L2936" s="31"/>
    </row>
    <row r="2937" spans="3:12" x14ac:dyDescent="0.3">
      <c r="C2937" s="219"/>
      <c r="D2937" s="219"/>
      <c r="G2937" s="50">
        <f>РЕАЛИЗАЦИЯ[[#This Row],[СОНИ]]*РЕАЛИЗАЦИЯ[[#This Row],[НАРХИ]]</f>
        <v>0</v>
      </c>
      <c r="I2937" s="166"/>
      <c r="J2937" s="31">
        <f>РЕАЛИЗАЦИЯ[[#This Row],[СОНИ]]*РЕАЛИЗАЦИЯ[[#This Row],[ТАННАРХ]]</f>
        <v>0</v>
      </c>
      <c r="K2937" s="31">
        <f>РЕАЛИЗАЦИЯ[[#This Row],[ЖАМИ]]-РЕАЛИЗАЦИЯ[[#This Row],[ЖАМИ2]]</f>
        <v>0</v>
      </c>
      <c r="L2937" s="31"/>
    </row>
    <row r="2938" spans="3:12" x14ac:dyDescent="0.3">
      <c r="C2938" s="219"/>
      <c r="D2938" s="219"/>
      <c r="G2938" s="50">
        <f>РЕАЛИЗАЦИЯ[[#This Row],[СОНИ]]*РЕАЛИЗАЦИЯ[[#This Row],[НАРХИ]]</f>
        <v>0</v>
      </c>
      <c r="I2938" s="166"/>
      <c r="J2938" s="31">
        <f>РЕАЛИЗАЦИЯ[[#This Row],[СОНИ]]*РЕАЛИЗАЦИЯ[[#This Row],[ТАННАРХ]]</f>
        <v>0</v>
      </c>
      <c r="K2938" s="31">
        <f>РЕАЛИЗАЦИЯ[[#This Row],[ЖАМИ]]-РЕАЛИЗАЦИЯ[[#This Row],[ЖАМИ2]]</f>
        <v>0</v>
      </c>
      <c r="L2938" s="31"/>
    </row>
    <row r="2939" spans="3:12" x14ac:dyDescent="0.3">
      <c r="C2939" s="219"/>
      <c r="D2939" s="219"/>
      <c r="G2939" s="50">
        <f>РЕАЛИЗАЦИЯ[[#This Row],[СОНИ]]*РЕАЛИЗАЦИЯ[[#This Row],[НАРХИ]]</f>
        <v>0</v>
      </c>
      <c r="I2939" s="166"/>
      <c r="J2939" s="31">
        <f>РЕАЛИЗАЦИЯ[[#This Row],[СОНИ]]*РЕАЛИЗАЦИЯ[[#This Row],[ТАННАРХ]]</f>
        <v>0</v>
      </c>
      <c r="K2939" s="31">
        <f>РЕАЛИЗАЦИЯ[[#This Row],[ЖАМИ]]-РЕАЛИЗАЦИЯ[[#This Row],[ЖАМИ2]]</f>
        <v>0</v>
      </c>
      <c r="L2939" s="31"/>
    </row>
    <row r="2940" spans="3:12" x14ac:dyDescent="0.3">
      <c r="C2940" s="219"/>
      <c r="D2940" s="219"/>
      <c r="G2940" s="50">
        <f>РЕАЛИЗАЦИЯ[[#This Row],[СОНИ]]*РЕАЛИЗАЦИЯ[[#This Row],[НАРХИ]]</f>
        <v>0</v>
      </c>
      <c r="I2940" s="166"/>
      <c r="J2940" s="31">
        <f>РЕАЛИЗАЦИЯ[[#This Row],[СОНИ]]*РЕАЛИЗАЦИЯ[[#This Row],[ТАННАРХ]]</f>
        <v>0</v>
      </c>
      <c r="K2940" s="31">
        <f>РЕАЛИЗАЦИЯ[[#This Row],[ЖАМИ]]-РЕАЛИЗАЦИЯ[[#This Row],[ЖАМИ2]]</f>
        <v>0</v>
      </c>
      <c r="L2940" s="31"/>
    </row>
    <row r="2941" spans="3:12" x14ac:dyDescent="0.3">
      <c r="C2941" s="219"/>
      <c r="D2941" s="219"/>
      <c r="G2941" s="50">
        <f>РЕАЛИЗАЦИЯ[[#This Row],[СОНИ]]*РЕАЛИЗАЦИЯ[[#This Row],[НАРХИ]]</f>
        <v>0</v>
      </c>
      <c r="I2941" s="166"/>
      <c r="J2941" s="31">
        <f>РЕАЛИЗАЦИЯ[[#This Row],[СОНИ]]*РЕАЛИЗАЦИЯ[[#This Row],[ТАННАРХ]]</f>
        <v>0</v>
      </c>
      <c r="K2941" s="31">
        <f>РЕАЛИЗАЦИЯ[[#This Row],[ЖАМИ]]-РЕАЛИЗАЦИЯ[[#This Row],[ЖАМИ2]]</f>
        <v>0</v>
      </c>
      <c r="L2941" s="31"/>
    </row>
    <row r="2942" spans="3:12" x14ac:dyDescent="0.3">
      <c r="C2942" s="219"/>
      <c r="D2942" s="219"/>
      <c r="G2942" s="50">
        <f>РЕАЛИЗАЦИЯ[[#This Row],[СОНИ]]*РЕАЛИЗАЦИЯ[[#This Row],[НАРХИ]]</f>
        <v>0</v>
      </c>
      <c r="I2942" s="166"/>
      <c r="J2942" s="31">
        <f>РЕАЛИЗАЦИЯ[[#This Row],[СОНИ]]*РЕАЛИЗАЦИЯ[[#This Row],[ТАННАРХ]]</f>
        <v>0</v>
      </c>
      <c r="K2942" s="31">
        <f>РЕАЛИЗАЦИЯ[[#This Row],[ЖАМИ]]-РЕАЛИЗАЦИЯ[[#This Row],[ЖАМИ2]]</f>
        <v>0</v>
      </c>
      <c r="L2942" s="31"/>
    </row>
    <row r="2943" spans="3:12" x14ac:dyDescent="0.3">
      <c r="C2943" s="219"/>
      <c r="D2943" s="219"/>
      <c r="G2943" s="50">
        <f>РЕАЛИЗАЦИЯ[[#This Row],[СОНИ]]*РЕАЛИЗАЦИЯ[[#This Row],[НАРХИ]]</f>
        <v>0</v>
      </c>
      <c r="I2943" s="166"/>
      <c r="J2943" s="31">
        <f>РЕАЛИЗАЦИЯ[[#This Row],[СОНИ]]*РЕАЛИЗАЦИЯ[[#This Row],[ТАННАРХ]]</f>
        <v>0</v>
      </c>
      <c r="K2943" s="31">
        <f>РЕАЛИЗАЦИЯ[[#This Row],[ЖАМИ]]-РЕАЛИЗАЦИЯ[[#This Row],[ЖАМИ2]]</f>
        <v>0</v>
      </c>
      <c r="L2943" s="31"/>
    </row>
    <row r="2944" spans="3:12" x14ac:dyDescent="0.3">
      <c r="C2944" s="219"/>
      <c r="D2944" s="219"/>
      <c r="G2944" s="50">
        <f>РЕАЛИЗАЦИЯ[[#This Row],[СОНИ]]*РЕАЛИЗАЦИЯ[[#This Row],[НАРХИ]]</f>
        <v>0</v>
      </c>
      <c r="I2944" s="166"/>
      <c r="J2944" s="31">
        <f>РЕАЛИЗАЦИЯ[[#This Row],[СОНИ]]*РЕАЛИЗАЦИЯ[[#This Row],[ТАННАРХ]]</f>
        <v>0</v>
      </c>
      <c r="K2944" s="31">
        <f>РЕАЛИЗАЦИЯ[[#This Row],[ЖАМИ]]-РЕАЛИЗАЦИЯ[[#This Row],[ЖАМИ2]]</f>
        <v>0</v>
      </c>
      <c r="L2944" s="31"/>
    </row>
    <row r="2945" spans="3:12" x14ac:dyDescent="0.3">
      <c r="C2945" s="219"/>
      <c r="D2945" s="219"/>
      <c r="G2945" s="50">
        <f>РЕАЛИЗАЦИЯ[[#This Row],[СОНИ]]*РЕАЛИЗАЦИЯ[[#This Row],[НАРХИ]]</f>
        <v>0</v>
      </c>
      <c r="I2945" s="166"/>
      <c r="J2945" s="31">
        <f>РЕАЛИЗАЦИЯ[[#This Row],[СОНИ]]*РЕАЛИЗАЦИЯ[[#This Row],[ТАННАРХ]]</f>
        <v>0</v>
      </c>
      <c r="K2945" s="31">
        <f>РЕАЛИЗАЦИЯ[[#This Row],[ЖАМИ]]-РЕАЛИЗАЦИЯ[[#This Row],[ЖАМИ2]]</f>
        <v>0</v>
      </c>
      <c r="L2945" s="31"/>
    </row>
    <row r="2946" spans="3:12" x14ac:dyDescent="0.3">
      <c r="C2946" s="219"/>
      <c r="D2946" s="219"/>
      <c r="G2946" s="50">
        <f>РЕАЛИЗАЦИЯ[[#This Row],[СОНИ]]*РЕАЛИЗАЦИЯ[[#This Row],[НАРХИ]]</f>
        <v>0</v>
      </c>
      <c r="I2946" s="166"/>
      <c r="J2946" s="31">
        <f>РЕАЛИЗАЦИЯ[[#This Row],[СОНИ]]*РЕАЛИЗАЦИЯ[[#This Row],[ТАННАРХ]]</f>
        <v>0</v>
      </c>
      <c r="K2946" s="31">
        <f>РЕАЛИЗАЦИЯ[[#This Row],[ЖАМИ]]-РЕАЛИЗАЦИЯ[[#This Row],[ЖАМИ2]]</f>
        <v>0</v>
      </c>
      <c r="L2946" s="31"/>
    </row>
    <row r="2947" spans="3:12" x14ac:dyDescent="0.3">
      <c r="C2947" s="226"/>
      <c r="D2947" s="226"/>
      <c r="G2947" s="50">
        <f>РЕАЛИЗАЦИЯ[[#This Row],[СОНИ]]*РЕАЛИЗАЦИЯ[[#This Row],[НАРХИ]]</f>
        <v>0</v>
      </c>
      <c r="I2947" s="166"/>
      <c r="J2947" s="31">
        <f>РЕАЛИЗАЦИЯ[[#This Row],[СОНИ]]*РЕАЛИЗАЦИЯ[[#This Row],[ТАННАРХ]]</f>
        <v>0</v>
      </c>
      <c r="K2947" s="31">
        <f>РЕАЛИЗАЦИЯ[[#This Row],[ЖАМИ]]-РЕАЛИЗАЦИЯ[[#This Row],[ЖАМИ2]]</f>
        <v>0</v>
      </c>
      <c r="L2947" s="31"/>
    </row>
    <row r="2948" spans="3:12" x14ac:dyDescent="0.3">
      <c r="C2948" s="226"/>
      <c r="D2948" s="226"/>
      <c r="G2948" s="50">
        <f>РЕАЛИЗАЦИЯ[[#This Row],[СОНИ]]*РЕАЛИЗАЦИЯ[[#This Row],[НАРХИ]]</f>
        <v>0</v>
      </c>
      <c r="I2948" s="166"/>
      <c r="J2948" s="31">
        <f>РЕАЛИЗАЦИЯ[[#This Row],[СОНИ]]*РЕАЛИЗАЦИЯ[[#This Row],[ТАННАРХ]]</f>
        <v>0</v>
      </c>
      <c r="K2948" s="31">
        <f>РЕАЛИЗАЦИЯ[[#This Row],[ЖАМИ]]-РЕАЛИЗАЦИЯ[[#This Row],[ЖАМИ2]]</f>
        <v>0</v>
      </c>
      <c r="L2948" s="31"/>
    </row>
    <row r="2949" spans="3:12" x14ac:dyDescent="0.3">
      <c r="C2949" s="226"/>
      <c r="D2949" s="226"/>
      <c r="G2949" s="50">
        <f>РЕАЛИЗАЦИЯ[[#This Row],[СОНИ]]*РЕАЛИЗАЦИЯ[[#This Row],[НАРХИ]]</f>
        <v>0</v>
      </c>
      <c r="I2949" s="166"/>
      <c r="J2949" s="31">
        <f>РЕАЛИЗАЦИЯ[[#This Row],[СОНИ]]*РЕАЛИЗАЦИЯ[[#This Row],[ТАННАРХ]]</f>
        <v>0</v>
      </c>
      <c r="K2949" s="31">
        <f>РЕАЛИЗАЦИЯ[[#This Row],[ЖАМИ]]-РЕАЛИЗАЦИЯ[[#This Row],[ЖАМИ2]]</f>
        <v>0</v>
      </c>
      <c r="L2949" s="31"/>
    </row>
    <row r="2950" spans="3:12" x14ac:dyDescent="0.3">
      <c r="C2950" s="226"/>
      <c r="D2950" s="226"/>
      <c r="G2950" s="50">
        <f>РЕАЛИЗАЦИЯ[[#This Row],[СОНИ]]*РЕАЛИЗАЦИЯ[[#This Row],[НАРХИ]]</f>
        <v>0</v>
      </c>
      <c r="I2950" s="166"/>
      <c r="J2950" s="31">
        <f>РЕАЛИЗАЦИЯ[[#This Row],[СОНИ]]*РЕАЛИЗАЦИЯ[[#This Row],[ТАННАРХ]]</f>
        <v>0</v>
      </c>
      <c r="K2950" s="31">
        <f>РЕАЛИЗАЦИЯ[[#This Row],[ЖАМИ]]-РЕАЛИЗАЦИЯ[[#This Row],[ЖАМИ2]]</f>
        <v>0</v>
      </c>
      <c r="L2950" s="31"/>
    </row>
    <row r="2951" spans="3:12" x14ac:dyDescent="0.3">
      <c r="C2951" s="226"/>
      <c r="D2951" s="226"/>
      <c r="G2951" s="50">
        <f>РЕАЛИЗАЦИЯ[[#This Row],[СОНИ]]*РЕАЛИЗАЦИЯ[[#This Row],[НАРХИ]]</f>
        <v>0</v>
      </c>
      <c r="I2951" s="166"/>
      <c r="J2951" s="31">
        <f>РЕАЛИЗАЦИЯ[[#This Row],[СОНИ]]*РЕАЛИЗАЦИЯ[[#This Row],[ТАННАРХ]]</f>
        <v>0</v>
      </c>
      <c r="K2951" s="31">
        <f>РЕАЛИЗАЦИЯ[[#This Row],[ЖАМИ]]-РЕАЛИЗАЦИЯ[[#This Row],[ЖАМИ2]]</f>
        <v>0</v>
      </c>
      <c r="L2951" s="31"/>
    </row>
    <row r="2952" spans="3:12" x14ac:dyDescent="0.3">
      <c r="C2952" s="236"/>
      <c r="D2952" s="236"/>
      <c r="G2952" s="50">
        <f>РЕАЛИЗАЦИЯ[[#This Row],[СОНИ]]*РЕАЛИЗАЦИЯ[[#This Row],[НАРХИ]]</f>
        <v>0</v>
      </c>
      <c r="I2952" s="166"/>
      <c r="J2952" s="31">
        <f>РЕАЛИЗАЦИЯ[[#This Row],[СОНИ]]*РЕАЛИЗАЦИЯ[[#This Row],[ТАННАРХ]]</f>
        <v>0</v>
      </c>
      <c r="K2952" s="31">
        <f>РЕАЛИЗАЦИЯ[[#This Row],[ЖАМИ]]-РЕАЛИЗАЦИЯ[[#This Row],[ЖАМИ2]]</f>
        <v>0</v>
      </c>
      <c r="L2952" s="31"/>
    </row>
    <row r="2953" spans="3:12" x14ac:dyDescent="0.3">
      <c r="C2953" s="236"/>
      <c r="D2953" s="236"/>
      <c r="G2953" s="50">
        <f>РЕАЛИЗАЦИЯ[[#This Row],[СОНИ]]*РЕАЛИЗАЦИЯ[[#This Row],[НАРХИ]]</f>
        <v>0</v>
      </c>
      <c r="I2953" s="166"/>
      <c r="J2953" s="31">
        <f>РЕАЛИЗАЦИЯ[[#This Row],[СОНИ]]*РЕАЛИЗАЦИЯ[[#This Row],[ТАННАРХ]]</f>
        <v>0</v>
      </c>
      <c r="K2953" s="31">
        <f>РЕАЛИЗАЦИЯ[[#This Row],[ЖАМИ]]-РЕАЛИЗАЦИЯ[[#This Row],[ЖАМИ2]]</f>
        <v>0</v>
      </c>
      <c r="L2953" s="31"/>
    </row>
    <row r="2954" spans="3:12" x14ac:dyDescent="0.3">
      <c r="C2954" s="236"/>
      <c r="D2954" s="236"/>
      <c r="G2954" s="50">
        <f>РЕАЛИЗАЦИЯ[[#This Row],[СОНИ]]*РЕАЛИЗАЦИЯ[[#This Row],[НАРХИ]]</f>
        <v>0</v>
      </c>
      <c r="I2954" s="166"/>
      <c r="J2954" s="31">
        <f>РЕАЛИЗАЦИЯ[[#This Row],[СОНИ]]*РЕАЛИЗАЦИЯ[[#This Row],[ТАННАРХ]]</f>
        <v>0</v>
      </c>
      <c r="K2954" s="31">
        <f>РЕАЛИЗАЦИЯ[[#This Row],[ЖАМИ]]-РЕАЛИЗАЦИЯ[[#This Row],[ЖАМИ2]]</f>
        <v>0</v>
      </c>
      <c r="L2954" s="31"/>
    </row>
    <row r="2955" spans="3:12" x14ac:dyDescent="0.3">
      <c r="C2955" s="236"/>
      <c r="D2955" s="236"/>
      <c r="G2955" s="50">
        <f>РЕАЛИЗАЦИЯ[[#This Row],[СОНИ]]*РЕАЛИЗАЦИЯ[[#This Row],[НАРХИ]]</f>
        <v>0</v>
      </c>
      <c r="I2955" s="166"/>
      <c r="J2955" s="31">
        <f>РЕАЛИЗАЦИЯ[[#This Row],[СОНИ]]*РЕАЛИЗАЦИЯ[[#This Row],[ТАННАРХ]]</f>
        <v>0</v>
      </c>
      <c r="K2955" s="31">
        <f>РЕАЛИЗАЦИЯ[[#This Row],[ЖАМИ]]-РЕАЛИЗАЦИЯ[[#This Row],[ЖАМИ2]]</f>
        <v>0</v>
      </c>
      <c r="L2955" s="31"/>
    </row>
    <row r="2956" spans="3:12" x14ac:dyDescent="0.3">
      <c r="C2956" s="236"/>
      <c r="D2956" s="236"/>
      <c r="G2956" s="50">
        <f>РЕАЛИЗАЦИЯ[[#This Row],[СОНИ]]*РЕАЛИЗАЦИЯ[[#This Row],[НАРХИ]]</f>
        <v>0</v>
      </c>
      <c r="I2956" s="166"/>
      <c r="J2956" s="31">
        <f>РЕАЛИЗАЦИЯ[[#This Row],[СОНИ]]*РЕАЛИЗАЦИЯ[[#This Row],[ТАННАРХ]]</f>
        <v>0</v>
      </c>
      <c r="K2956" s="31">
        <f>РЕАЛИЗАЦИЯ[[#This Row],[ЖАМИ]]-РЕАЛИЗАЦИЯ[[#This Row],[ЖАМИ2]]</f>
        <v>0</v>
      </c>
      <c r="L2956" s="31"/>
    </row>
    <row r="2957" spans="3:12" x14ac:dyDescent="0.3">
      <c r="C2957" s="236"/>
      <c r="D2957" s="236"/>
      <c r="G2957" s="50">
        <f>РЕАЛИЗАЦИЯ[[#This Row],[СОНИ]]*РЕАЛИЗАЦИЯ[[#This Row],[НАРХИ]]</f>
        <v>0</v>
      </c>
      <c r="I2957" s="166"/>
      <c r="J2957" s="31">
        <f>РЕАЛИЗАЦИЯ[[#This Row],[СОНИ]]*РЕАЛИЗАЦИЯ[[#This Row],[ТАННАРХ]]</f>
        <v>0</v>
      </c>
      <c r="K2957" s="31">
        <f>РЕАЛИЗАЦИЯ[[#This Row],[ЖАМИ]]-РЕАЛИЗАЦИЯ[[#This Row],[ЖАМИ2]]</f>
        <v>0</v>
      </c>
      <c r="L2957" s="31"/>
    </row>
    <row r="2958" spans="3:12" x14ac:dyDescent="0.3">
      <c r="C2958" s="236"/>
      <c r="D2958" s="236"/>
      <c r="G2958" s="50">
        <f>РЕАЛИЗАЦИЯ[[#This Row],[СОНИ]]*РЕАЛИЗАЦИЯ[[#This Row],[НАРХИ]]</f>
        <v>0</v>
      </c>
      <c r="I2958" s="166"/>
      <c r="J2958" s="31">
        <f>РЕАЛИЗАЦИЯ[[#This Row],[СОНИ]]*РЕАЛИЗАЦИЯ[[#This Row],[ТАННАРХ]]</f>
        <v>0</v>
      </c>
      <c r="K2958" s="31">
        <f>РЕАЛИЗАЦИЯ[[#This Row],[ЖАМИ]]-РЕАЛИЗАЦИЯ[[#This Row],[ЖАМИ2]]</f>
        <v>0</v>
      </c>
      <c r="L2958" s="31"/>
    </row>
    <row r="2959" spans="3:12" x14ac:dyDescent="0.3">
      <c r="C2959" s="236"/>
      <c r="D2959" s="236"/>
      <c r="G2959" s="50">
        <f>РЕАЛИЗАЦИЯ[[#This Row],[СОНИ]]*РЕАЛИЗАЦИЯ[[#This Row],[НАРХИ]]</f>
        <v>0</v>
      </c>
      <c r="I2959" s="166"/>
      <c r="J2959" s="31">
        <f>РЕАЛИЗАЦИЯ[[#This Row],[СОНИ]]*РЕАЛИЗАЦИЯ[[#This Row],[ТАННАРХ]]</f>
        <v>0</v>
      </c>
      <c r="K2959" s="31">
        <f>РЕАЛИЗАЦИЯ[[#This Row],[ЖАМИ]]-РЕАЛИЗАЦИЯ[[#This Row],[ЖАМИ2]]</f>
        <v>0</v>
      </c>
      <c r="L2959" s="31"/>
    </row>
    <row r="2960" spans="3:12" x14ac:dyDescent="0.3">
      <c r="C2960" s="236"/>
      <c r="D2960" s="236"/>
      <c r="G2960" s="50">
        <f>РЕАЛИЗАЦИЯ[[#This Row],[СОНИ]]*РЕАЛИЗАЦИЯ[[#This Row],[НАРХИ]]</f>
        <v>0</v>
      </c>
      <c r="I2960" s="166"/>
      <c r="J2960" s="31">
        <f>РЕАЛИЗАЦИЯ[[#This Row],[СОНИ]]*РЕАЛИЗАЦИЯ[[#This Row],[ТАННАРХ]]</f>
        <v>0</v>
      </c>
      <c r="K2960" s="31">
        <f>РЕАЛИЗАЦИЯ[[#This Row],[ЖАМИ]]-РЕАЛИЗАЦИЯ[[#This Row],[ЖАМИ2]]</f>
        <v>0</v>
      </c>
      <c r="L2960" s="31"/>
    </row>
    <row r="2961" spans="1:12" x14ac:dyDescent="0.3">
      <c r="C2961" s="236"/>
      <c r="D2961" s="236"/>
      <c r="G2961" s="50">
        <f>РЕАЛИЗАЦИЯ[[#This Row],[СОНИ]]*РЕАЛИЗАЦИЯ[[#This Row],[НАРХИ]]</f>
        <v>0</v>
      </c>
      <c r="I2961" s="166"/>
      <c r="J2961" s="31">
        <f>РЕАЛИЗАЦИЯ[[#This Row],[СОНИ]]*РЕАЛИЗАЦИЯ[[#This Row],[ТАННАРХ]]</f>
        <v>0</v>
      </c>
      <c r="K2961" s="31">
        <f>РЕАЛИЗАЦИЯ[[#This Row],[ЖАМИ]]-РЕАЛИЗАЦИЯ[[#This Row],[ЖАМИ2]]</f>
        <v>0</v>
      </c>
      <c r="L2961" s="31"/>
    </row>
    <row r="2962" spans="1:12" x14ac:dyDescent="0.3">
      <c r="C2962" s="236"/>
      <c r="D2962" s="236"/>
      <c r="G2962" s="50">
        <f>РЕАЛИЗАЦИЯ[[#This Row],[СОНИ]]*РЕАЛИЗАЦИЯ[[#This Row],[НАРХИ]]</f>
        <v>0</v>
      </c>
      <c r="I2962" s="166"/>
      <c r="J2962" s="31">
        <f>РЕАЛИЗАЦИЯ[[#This Row],[СОНИ]]*РЕАЛИЗАЦИЯ[[#This Row],[ТАННАРХ]]</f>
        <v>0</v>
      </c>
      <c r="K2962" s="31">
        <f>РЕАЛИЗАЦИЯ[[#This Row],[ЖАМИ]]-РЕАЛИЗАЦИЯ[[#This Row],[ЖАМИ2]]</f>
        <v>0</v>
      </c>
      <c r="L2962" s="31"/>
    </row>
    <row r="2963" spans="1:12" x14ac:dyDescent="0.3">
      <c r="C2963" s="236"/>
      <c r="D2963" s="236"/>
      <c r="G2963" s="50">
        <f>РЕАЛИЗАЦИЯ[[#This Row],[СОНИ]]*РЕАЛИЗАЦИЯ[[#This Row],[НАРХИ]]</f>
        <v>0</v>
      </c>
      <c r="I2963" s="166"/>
      <c r="J2963" s="31">
        <f>РЕАЛИЗАЦИЯ[[#This Row],[СОНИ]]*РЕАЛИЗАЦИЯ[[#This Row],[ТАННАРХ]]</f>
        <v>0</v>
      </c>
      <c r="K2963" s="31">
        <f>РЕАЛИЗАЦИЯ[[#This Row],[ЖАМИ]]-РЕАЛИЗАЦИЯ[[#This Row],[ЖАМИ2]]</f>
        <v>0</v>
      </c>
      <c r="L2963" s="31"/>
    </row>
    <row r="2964" spans="1:12" ht="14.25" customHeight="1" x14ac:dyDescent="0.3">
      <c r="C2964" s="236"/>
      <c r="D2964" s="236"/>
      <c r="G2964" s="50">
        <f>РЕАЛИЗАЦИЯ[[#This Row],[СОНИ]]*РЕАЛИЗАЦИЯ[[#This Row],[НАРХИ]]</f>
        <v>0</v>
      </c>
      <c r="I2964" s="166"/>
      <c r="J2964" s="31">
        <f>РЕАЛИЗАЦИЯ[[#This Row],[СОНИ]]*РЕАЛИЗАЦИЯ[[#This Row],[ТАННАРХ]]</f>
        <v>0</v>
      </c>
      <c r="K2964" s="31">
        <f>РЕАЛИЗАЦИЯ[[#This Row],[ЖАМИ]]-РЕАЛИЗАЦИЯ[[#This Row],[ЖАМИ2]]</f>
        <v>0</v>
      </c>
      <c r="L2964" s="31"/>
    </row>
    <row r="2965" spans="1:12" x14ac:dyDescent="0.3">
      <c r="C2965" s="236"/>
      <c r="D2965" s="236"/>
      <c r="G2965" s="50">
        <f>РЕАЛИЗАЦИЯ[[#This Row],[СОНИ]]*РЕАЛИЗАЦИЯ[[#This Row],[НАРХИ]]</f>
        <v>0</v>
      </c>
      <c r="I2965" s="166"/>
      <c r="J2965" s="31">
        <f>РЕАЛИЗАЦИЯ[[#This Row],[СОНИ]]*РЕАЛИЗАЦИЯ[[#This Row],[ТАННАРХ]]</f>
        <v>0</v>
      </c>
      <c r="K2965" s="31">
        <f>РЕАЛИЗАЦИЯ[[#This Row],[ЖАМИ]]-РЕАЛИЗАЦИЯ[[#This Row],[ЖАМИ2]]</f>
        <v>0</v>
      </c>
      <c r="L2965" s="31"/>
    </row>
    <row r="2966" spans="1:12" x14ac:dyDescent="0.3">
      <c r="C2966" s="236"/>
      <c r="D2966" s="236"/>
      <c r="G2966" s="50">
        <f>РЕАЛИЗАЦИЯ[[#This Row],[СОНИ]]*РЕАЛИЗАЦИЯ[[#This Row],[НАРХИ]]</f>
        <v>0</v>
      </c>
      <c r="I2966" s="166"/>
      <c r="J2966" s="31">
        <f>РЕАЛИЗАЦИЯ[[#This Row],[СОНИ]]*РЕАЛИЗАЦИЯ[[#This Row],[ТАННАРХ]]</f>
        <v>0</v>
      </c>
      <c r="K2966" s="31">
        <f>РЕАЛИЗАЦИЯ[[#This Row],[ЖАМИ]]-РЕАЛИЗАЦИЯ[[#This Row],[ЖАМИ2]]</f>
        <v>0</v>
      </c>
      <c r="L2966" s="31"/>
    </row>
    <row r="2967" spans="1:12" x14ac:dyDescent="0.3">
      <c r="C2967" s="239"/>
      <c r="D2967" s="239"/>
      <c r="G2967" s="50">
        <f>РЕАЛИЗАЦИЯ[[#This Row],[СОНИ]]*РЕАЛИЗАЦИЯ[[#This Row],[НАРХИ]]</f>
        <v>0</v>
      </c>
      <c r="I2967" s="166"/>
      <c r="J2967" s="31">
        <f>РЕАЛИЗАЦИЯ[[#This Row],[СОНИ]]*РЕАЛИЗАЦИЯ[[#This Row],[ТАННАРХ]]</f>
        <v>0</v>
      </c>
      <c r="K2967" s="31">
        <f>РЕАЛИЗАЦИЯ[[#This Row],[ЖАМИ]]-РЕАЛИЗАЦИЯ[[#This Row],[ЖАМИ2]]</f>
        <v>0</v>
      </c>
      <c r="L2967" s="31"/>
    </row>
    <row r="2968" spans="1:12" x14ac:dyDescent="0.3">
      <c r="C2968" s="236"/>
      <c r="D2968" s="236"/>
      <c r="G2968" s="50">
        <f>РЕАЛИЗАЦИЯ[[#This Row],[СОНИ]]*РЕАЛИЗАЦИЯ[[#This Row],[НАРХИ]]</f>
        <v>0</v>
      </c>
      <c r="I2968" s="166"/>
      <c r="J2968" s="31">
        <f>РЕАЛИЗАЦИЯ[[#This Row],[СОНИ]]*РЕАЛИЗАЦИЯ[[#This Row],[ТАННАРХ]]</f>
        <v>0</v>
      </c>
      <c r="K2968" s="31">
        <f>РЕАЛИЗАЦИЯ[[#This Row],[ЖАМИ]]-РЕАЛИЗАЦИЯ[[#This Row],[ЖАМИ2]]</f>
        <v>0</v>
      </c>
      <c r="L2968" s="31"/>
    </row>
    <row r="2969" spans="1:12" x14ac:dyDescent="0.3">
      <c r="C2969" s="236"/>
      <c r="D2969" s="236"/>
      <c r="G2969" s="50">
        <f>РЕАЛИЗАЦИЯ[[#This Row],[СОНИ]]*РЕАЛИЗАЦИЯ[[#This Row],[НАРХИ]]</f>
        <v>0</v>
      </c>
      <c r="I2969" s="166"/>
      <c r="J2969" s="31">
        <f>РЕАЛИЗАЦИЯ[[#This Row],[СОНИ]]*РЕАЛИЗАЦИЯ[[#This Row],[ТАННАРХ]]</f>
        <v>0</v>
      </c>
      <c r="K2969" s="31">
        <f>РЕАЛИЗАЦИЯ[[#This Row],[ЖАМИ]]-РЕАЛИЗАЦИЯ[[#This Row],[ЖАМИ2]]</f>
        <v>0</v>
      </c>
      <c r="L2969" s="31"/>
    </row>
    <row r="2970" spans="1:12" x14ac:dyDescent="0.3">
      <c r="C2970" s="236"/>
      <c r="D2970" s="236"/>
      <c r="G2970" s="50">
        <f>РЕАЛИЗАЦИЯ[[#This Row],[СОНИ]]*РЕАЛИЗАЦИЯ[[#This Row],[НАРХИ]]</f>
        <v>0</v>
      </c>
      <c r="I2970" s="166"/>
      <c r="J2970" s="31">
        <f>РЕАЛИЗАЦИЯ[[#This Row],[СОНИ]]*РЕАЛИЗАЦИЯ[[#This Row],[ТАННАРХ]]</f>
        <v>0</v>
      </c>
      <c r="K2970" s="31">
        <f>РЕАЛИЗАЦИЯ[[#This Row],[ЖАМИ]]-РЕАЛИЗАЦИЯ[[#This Row],[ЖАМИ2]]</f>
        <v>0</v>
      </c>
      <c r="L2970" s="31"/>
    </row>
    <row r="2971" spans="1:12" x14ac:dyDescent="0.3">
      <c r="C2971" s="236"/>
      <c r="D2971" s="236"/>
      <c r="G2971" s="50">
        <f>РЕАЛИЗАЦИЯ[[#This Row],[СОНИ]]*РЕАЛИЗАЦИЯ[[#This Row],[НАРХИ]]</f>
        <v>0</v>
      </c>
      <c r="I2971" s="166"/>
      <c r="J2971" s="31">
        <f>РЕАЛИЗАЦИЯ[[#This Row],[СОНИ]]*РЕАЛИЗАЦИЯ[[#This Row],[ТАННАРХ]]</f>
        <v>0</v>
      </c>
      <c r="K2971" s="31">
        <f>РЕАЛИЗАЦИЯ[[#This Row],[ЖАМИ]]-РЕАЛИЗАЦИЯ[[#This Row],[ЖАМИ2]]</f>
        <v>0</v>
      </c>
      <c r="L2971" s="31"/>
    </row>
    <row r="2972" spans="1:12" x14ac:dyDescent="0.3">
      <c r="C2972" s="239"/>
      <c r="D2972" s="239"/>
      <c r="G2972" s="50">
        <f>РЕАЛИЗАЦИЯ[[#This Row],[СОНИ]]*РЕАЛИЗАЦИЯ[[#This Row],[НАРХИ]]</f>
        <v>0</v>
      </c>
      <c r="I2972" s="166"/>
      <c r="J2972" s="31">
        <f>РЕАЛИЗАЦИЯ[[#This Row],[СОНИ]]*РЕАЛИЗАЦИЯ[[#This Row],[ТАННАРХ]]</f>
        <v>0</v>
      </c>
      <c r="K2972" s="31">
        <f>РЕАЛИЗАЦИЯ[[#This Row],[ЖАМИ]]-РЕАЛИЗАЦИЯ[[#This Row],[ЖАМИ2]]</f>
        <v>0</v>
      </c>
      <c r="L2972" s="31"/>
    </row>
    <row r="2973" spans="1:12" x14ac:dyDescent="0.3">
      <c r="C2973" s="239"/>
      <c r="D2973" s="239"/>
      <c r="G2973" s="50">
        <f>РЕАЛИЗАЦИЯ[[#This Row],[СОНИ]]*РЕАЛИЗАЦИЯ[[#This Row],[НАРХИ]]</f>
        <v>0</v>
      </c>
      <c r="I2973" s="166"/>
      <c r="J2973" s="31">
        <f>РЕАЛИЗАЦИЯ[[#This Row],[СОНИ]]*РЕАЛИЗАЦИЯ[[#This Row],[ТАННАРХ]]</f>
        <v>0</v>
      </c>
      <c r="K2973" s="31">
        <f>РЕАЛИЗАЦИЯ[[#This Row],[ЖАМИ]]-РЕАЛИЗАЦИЯ[[#This Row],[ЖАМИ2]]</f>
        <v>0</v>
      </c>
      <c r="L2973" s="31"/>
    </row>
    <row r="2974" spans="1:12" x14ac:dyDescent="0.3">
      <c r="C2974" s="239"/>
      <c r="D2974" s="239"/>
      <c r="G2974" s="50">
        <f>РЕАЛИЗАЦИЯ[[#This Row],[СОНИ]]*РЕАЛИЗАЦИЯ[[#This Row],[НАРХИ]]</f>
        <v>0</v>
      </c>
      <c r="I2974" s="166"/>
      <c r="J2974" s="31">
        <f>РЕАЛИЗАЦИЯ[[#This Row],[СОНИ]]*РЕАЛИЗАЦИЯ[[#This Row],[ТАННАРХ]]</f>
        <v>0</v>
      </c>
      <c r="K2974" s="31">
        <f>РЕАЛИЗАЦИЯ[[#This Row],[ЖАМИ]]-РЕАЛИЗАЦИЯ[[#This Row],[ЖАМИ2]]</f>
        <v>0</v>
      </c>
      <c r="L2974" s="31"/>
    </row>
    <row r="2975" spans="1:12" x14ac:dyDescent="0.3">
      <c r="C2975" s="239"/>
      <c r="D2975" s="239"/>
      <c r="G2975" s="50">
        <f>РЕАЛИЗАЦИЯ[[#This Row],[СОНИ]]*РЕАЛИЗАЦИЯ[[#This Row],[НАРХИ]]</f>
        <v>0</v>
      </c>
      <c r="I2975" s="166"/>
      <c r="J2975" s="31">
        <f>РЕАЛИЗАЦИЯ[[#This Row],[СОНИ]]*РЕАЛИЗАЦИЯ[[#This Row],[ТАННАРХ]]</f>
        <v>0</v>
      </c>
      <c r="K2975" s="31">
        <f>РЕАЛИЗАЦИЯ[[#This Row],[ЖАМИ]]-РЕАЛИЗАЦИЯ[[#This Row],[ЖАМИ2]]</f>
        <v>0</v>
      </c>
      <c r="L2975" s="31"/>
    </row>
    <row r="2976" spans="1:12" s="239" customFormat="1" x14ac:dyDescent="0.3">
      <c r="A2976" s="3"/>
      <c r="B2976" s="4"/>
      <c r="E2976" s="31"/>
      <c r="F2976" s="31"/>
      <c r="G2976" s="50">
        <f>РЕАЛИЗАЦИЯ[[#This Row],[СОНИ]]*РЕАЛИЗАЦИЯ[[#This Row],[НАРХИ]]</f>
        <v>0</v>
      </c>
      <c r="H2976" s="31"/>
      <c r="I2976" s="166"/>
      <c r="J2976" s="31">
        <f>РЕАЛИЗАЦИЯ[[#This Row],[СОНИ]]*РЕАЛИЗАЦИЯ[[#This Row],[ТАННАРХ]]</f>
        <v>0</v>
      </c>
      <c r="K2976" s="31">
        <f>РЕАЛИЗАЦИЯ[[#This Row],[ЖАМИ]]-РЕАЛИЗАЦИЯ[[#This Row],[ЖАМИ2]]</f>
        <v>0</v>
      </c>
      <c r="L2976" s="31"/>
    </row>
    <row r="2977" spans="1:12" x14ac:dyDescent="0.3">
      <c r="C2977" s="239"/>
      <c r="D2977" s="239"/>
      <c r="G2977" s="50">
        <f>РЕАЛИЗАЦИЯ[[#This Row],[СОНИ]]*РЕАЛИЗАЦИЯ[[#This Row],[НАРХИ]]</f>
        <v>0</v>
      </c>
      <c r="I2977" s="166"/>
      <c r="J2977" s="31">
        <f>РЕАЛИЗАЦИЯ[[#This Row],[СОНИ]]*РЕАЛИЗАЦИЯ[[#This Row],[ТАННАРХ]]</f>
        <v>0</v>
      </c>
      <c r="K2977" s="31">
        <f>РЕАЛИЗАЦИЯ[[#This Row],[ЖАМИ]]-РЕАЛИЗАЦИЯ[[#This Row],[ЖАМИ2]]</f>
        <v>0</v>
      </c>
      <c r="L2977" s="31"/>
    </row>
    <row r="2978" spans="1:12" x14ac:dyDescent="0.3">
      <c r="C2978" s="239"/>
      <c r="D2978" s="239"/>
      <c r="G2978" s="50">
        <f>РЕАЛИЗАЦИЯ[[#This Row],[СОНИ]]*РЕАЛИЗАЦИЯ[[#This Row],[НАРХИ]]</f>
        <v>0</v>
      </c>
      <c r="I2978" s="166"/>
      <c r="J2978" s="31">
        <f>РЕАЛИЗАЦИЯ[[#This Row],[СОНИ]]*РЕАЛИЗАЦИЯ[[#This Row],[ТАННАРХ]]</f>
        <v>0</v>
      </c>
      <c r="K2978" s="31">
        <f>РЕАЛИЗАЦИЯ[[#This Row],[ЖАМИ]]-РЕАЛИЗАЦИЯ[[#This Row],[ЖАМИ2]]</f>
        <v>0</v>
      </c>
      <c r="L2978" s="31"/>
    </row>
    <row r="2979" spans="1:12" x14ac:dyDescent="0.3">
      <c r="C2979" s="239"/>
      <c r="D2979" s="239"/>
      <c r="G2979" s="50">
        <f>РЕАЛИЗАЦИЯ[[#This Row],[СОНИ]]*РЕАЛИЗАЦИЯ[[#This Row],[НАРХИ]]</f>
        <v>0</v>
      </c>
      <c r="I2979" s="166"/>
      <c r="J2979" s="31">
        <f>РЕАЛИЗАЦИЯ[[#This Row],[СОНИ]]*РЕАЛИЗАЦИЯ[[#This Row],[ТАННАРХ]]</f>
        <v>0</v>
      </c>
      <c r="K2979" s="31">
        <f>РЕАЛИЗАЦИЯ[[#This Row],[ЖАМИ]]-РЕАЛИЗАЦИЯ[[#This Row],[ЖАМИ2]]</f>
        <v>0</v>
      </c>
      <c r="L2979" s="31"/>
    </row>
    <row r="2980" spans="1:12" x14ac:dyDescent="0.3">
      <c r="C2980" s="239"/>
      <c r="D2980" s="239"/>
      <c r="G2980" s="50">
        <f>РЕАЛИЗАЦИЯ[[#This Row],[СОНИ]]*РЕАЛИЗАЦИЯ[[#This Row],[НАРХИ]]</f>
        <v>0</v>
      </c>
      <c r="I2980" s="166"/>
      <c r="J2980" s="31">
        <f>РЕАЛИЗАЦИЯ[[#This Row],[СОНИ]]*РЕАЛИЗАЦИЯ[[#This Row],[ТАННАРХ]]</f>
        <v>0</v>
      </c>
      <c r="K2980" s="31">
        <f>РЕАЛИЗАЦИЯ[[#This Row],[ЖАМИ]]-РЕАЛИЗАЦИЯ[[#This Row],[ЖАМИ2]]</f>
        <v>0</v>
      </c>
      <c r="L2980" s="31"/>
    </row>
    <row r="2981" spans="1:12" x14ac:dyDescent="0.3">
      <c r="C2981" s="239"/>
      <c r="D2981" s="239"/>
      <c r="G2981" s="50">
        <f>РЕАЛИЗАЦИЯ[[#This Row],[СОНИ]]*РЕАЛИЗАЦИЯ[[#This Row],[НАРХИ]]</f>
        <v>0</v>
      </c>
      <c r="I2981" s="166"/>
      <c r="J2981" s="31">
        <f>РЕАЛИЗАЦИЯ[[#This Row],[СОНИ]]*РЕАЛИЗАЦИЯ[[#This Row],[ТАННАРХ]]</f>
        <v>0</v>
      </c>
      <c r="K2981" s="31">
        <f>РЕАЛИЗАЦИЯ[[#This Row],[ЖАМИ]]-РЕАЛИЗАЦИЯ[[#This Row],[ЖАМИ2]]</f>
        <v>0</v>
      </c>
      <c r="L2981" s="31"/>
    </row>
    <row r="2982" spans="1:12" s="239" customFormat="1" x14ac:dyDescent="0.3">
      <c r="A2982" s="3"/>
      <c r="B2982" s="4"/>
      <c r="E2982" s="31"/>
      <c r="F2982" s="31"/>
      <c r="G2982" s="50">
        <f>РЕАЛИЗАЦИЯ[[#This Row],[СОНИ]]*РЕАЛИЗАЦИЯ[[#This Row],[НАРХИ]]</f>
        <v>0</v>
      </c>
      <c r="H2982" s="31"/>
      <c r="I2982" s="166"/>
      <c r="J2982" s="31">
        <f>РЕАЛИЗАЦИЯ[[#This Row],[СОНИ]]*РЕАЛИЗАЦИЯ[[#This Row],[ТАННАРХ]]</f>
        <v>0</v>
      </c>
      <c r="K2982" s="31">
        <f>РЕАЛИЗАЦИЯ[[#This Row],[ЖАМИ]]-РЕАЛИЗАЦИЯ[[#This Row],[ЖАМИ2]]</f>
        <v>0</v>
      </c>
      <c r="L2982" s="31"/>
    </row>
    <row r="2983" spans="1:12" x14ac:dyDescent="0.3">
      <c r="C2983" s="239"/>
      <c r="D2983" s="239"/>
      <c r="G2983" s="50">
        <f>РЕАЛИЗАЦИЯ[[#This Row],[СОНИ]]*РЕАЛИЗАЦИЯ[[#This Row],[НАРХИ]]</f>
        <v>0</v>
      </c>
      <c r="I2983" s="166"/>
      <c r="J2983" s="31">
        <f>РЕАЛИЗАЦИЯ[[#This Row],[СОНИ]]*РЕАЛИЗАЦИЯ[[#This Row],[ТАННАРХ]]</f>
        <v>0</v>
      </c>
      <c r="K2983" s="31">
        <f>РЕАЛИЗАЦИЯ[[#This Row],[ЖАМИ]]-РЕАЛИЗАЦИЯ[[#This Row],[ЖАМИ2]]</f>
        <v>0</v>
      </c>
      <c r="L2983" s="31"/>
    </row>
    <row r="2984" spans="1:12" x14ac:dyDescent="0.3">
      <c r="C2984" s="239"/>
      <c r="D2984" s="239"/>
      <c r="G2984" s="50">
        <f>РЕАЛИЗАЦИЯ[[#This Row],[СОНИ]]*РЕАЛИЗАЦИЯ[[#This Row],[НАРХИ]]</f>
        <v>0</v>
      </c>
      <c r="I2984" s="166"/>
      <c r="J2984" s="31">
        <f>РЕАЛИЗАЦИЯ[[#This Row],[СОНИ]]*РЕАЛИЗАЦИЯ[[#This Row],[ТАННАРХ]]</f>
        <v>0</v>
      </c>
      <c r="K2984" s="31">
        <f>РЕАЛИЗАЦИЯ[[#This Row],[ЖАМИ]]-РЕАЛИЗАЦИЯ[[#This Row],[ЖАМИ2]]</f>
        <v>0</v>
      </c>
      <c r="L2984" s="31"/>
    </row>
    <row r="2985" spans="1:12" s="250" customFormat="1" x14ac:dyDescent="0.3">
      <c r="A2985" s="3"/>
      <c r="B2985" s="4"/>
      <c r="C2985" s="239"/>
      <c r="D2985" s="239"/>
      <c r="E2985" s="31"/>
      <c r="F2985" s="31"/>
      <c r="G2985" s="50">
        <f>РЕАЛИЗАЦИЯ[[#This Row],[СОНИ]]*РЕАЛИЗАЦИЯ[[#This Row],[НАРХИ]]</f>
        <v>0</v>
      </c>
      <c r="H2985" s="31"/>
      <c r="I2985" s="166"/>
      <c r="J2985" s="31">
        <f>РЕАЛИЗАЦИЯ[[#This Row],[СОНИ]]*РЕАЛИЗАЦИЯ[[#This Row],[ТАННАРХ]]</f>
        <v>0</v>
      </c>
      <c r="K2985" s="31">
        <f>РЕАЛИЗАЦИЯ[[#This Row],[ЖАМИ]]-РЕАЛИЗАЦИЯ[[#This Row],[ЖАМИ2]]</f>
        <v>0</v>
      </c>
      <c r="L2985" s="31"/>
    </row>
    <row r="2986" spans="1:12" x14ac:dyDescent="0.3">
      <c r="C2986" s="239"/>
      <c r="D2986" s="239"/>
      <c r="G2986" s="50">
        <f>РЕАЛИЗАЦИЯ[[#This Row],[СОНИ]]*РЕАЛИЗАЦИЯ[[#This Row],[НАРХИ]]</f>
        <v>0</v>
      </c>
      <c r="I2986" s="166"/>
      <c r="J2986" s="31">
        <f>РЕАЛИЗАЦИЯ[[#This Row],[СОНИ]]*РЕАЛИЗАЦИЯ[[#This Row],[ТАННАРХ]]</f>
        <v>0</v>
      </c>
      <c r="K2986" s="31">
        <f>РЕАЛИЗАЦИЯ[[#This Row],[ЖАМИ]]-РЕАЛИЗАЦИЯ[[#This Row],[ЖАМИ2]]</f>
        <v>0</v>
      </c>
      <c r="L2986" s="31"/>
    </row>
    <row r="2987" spans="1:12" x14ac:dyDescent="0.3">
      <c r="C2987" s="239"/>
      <c r="D2987" s="239"/>
      <c r="G2987" s="50">
        <f>РЕАЛИЗАЦИЯ[[#This Row],[СОНИ]]*РЕАЛИЗАЦИЯ[[#This Row],[НАРХИ]]</f>
        <v>0</v>
      </c>
      <c r="I2987" s="166"/>
      <c r="J2987" s="31">
        <f>РЕАЛИЗАЦИЯ[[#This Row],[СОНИ]]*РЕАЛИЗАЦИЯ[[#This Row],[ТАННАРХ]]</f>
        <v>0</v>
      </c>
      <c r="K2987" s="31">
        <f>РЕАЛИЗАЦИЯ[[#This Row],[ЖАМИ]]-РЕАЛИЗАЦИЯ[[#This Row],[ЖАМИ2]]</f>
        <v>0</v>
      </c>
      <c r="L2987" s="31"/>
    </row>
    <row r="2988" spans="1:12" x14ac:dyDescent="0.3">
      <c r="C2988" s="239"/>
      <c r="D2988" s="239"/>
      <c r="G2988" s="50">
        <f>РЕАЛИЗАЦИЯ[[#This Row],[СОНИ]]*РЕАЛИЗАЦИЯ[[#This Row],[НАРХИ]]</f>
        <v>0</v>
      </c>
      <c r="I2988" s="166"/>
      <c r="J2988" s="31">
        <f>РЕАЛИЗАЦИЯ[[#This Row],[СОНИ]]*РЕАЛИЗАЦИЯ[[#This Row],[ТАННАРХ]]</f>
        <v>0</v>
      </c>
      <c r="K2988" s="31">
        <f>РЕАЛИЗАЦИЯ[[#This Row],[ЖАМИ]]-РЕАЛИЗАЦИЯ[[#This Row],[ЖАМИ2]]</f>
        <v>0</v>
      </c>
      <c r="L2988" s="31"/>
    </row>
    <row r="2989" spans="1:12" x14ac:dyDescent="0.3">
      <c r="C2989" s="239"/>
      <c r="D2989" s="239"/>
      <c r="G2989" s="50">
        <f>РЕАЛИЗАЦИЯ[[#This Row],[СОНИ]]*РЕАЛИЗАЦИЯ[[#This Row],[НАРХИ]]</f>
        <v>0</v>
      </c>
      <c r="I2989" s="166"/>
      <c r="J2989" s="31">
        <f>РЕАЛИЗАЦИЯ[[#This Row],[СОНИ]]*РЕАЛИЗАЦИЯ[[#This Row],[ТАННАРХ]]</f>
        <v>0</v>
      </c>
      <c r="K2989" s="31">
        <f>РЕАЛИЗАЦИЯ[[#This Row],[ЖАМИ]]-РЕАЛИЗАЦИЯ[[#This Row],[ЖАМИ2]]</f>
        <v>0</v>
      </c>
      <c r="L2989" s="31"/>
    </row>
    <row r="2990" spans="1:12" x14ac:dyDescent="0.3">
      <c r="C2990" s="239"/>
      <c r="D2990" s="239"/>
      <c r="G2990" s="50">
        <f>РЕАЛИЗАЦИЯ[[#This Row],[СОНИ]]*РЕАЛИЗАЦИЯ[[#This Row],[НАРХИ]]</f>
        <v>0</v>
      </c>
      <c r="I2990" s="166"/>
      <c r="J2990" s="31">
        <f>РЕАЛИЗАЦИЯ[[#This Row],[СОНИ]]*РЕАЛИЗАЦИЯ[[#This Row],[ТАННАРХ]]</f>
        <v>0</v>
      </c>
      <c r="K2990" s="31">
        <f>РЕАЛИЗАЦИЯ[[#This Row],[ЖАМИ]]-РЕАЛИЗАЦИЯ[[#This Row],[ЖАМИ2]]</f>
        <v>0</v>
      </c>
      <c r="L2990" s="31"/>
    </row>
    <row r="2991" spans="1:12" x14ac:dyDescent="0.3">
      <c r="C2991" s="239"/>
      <c r="D2991" s="239"/>
      <c r="G2991" s="50">
        <f>РЕАЛИЗАЦИЯ[[#This Row],[СОНИ]]*РЕАЛИЗАЦИЯ[[#This Row],[НАРХИ]]</f>
        <v>0</v>
      </c>
      <c r="I2991" s="166"/>
      <c r="J2991" s="31">
        <f>РЕАЛИЗАЦИЯ[[#This Row],[СОНИ]]*РЕАЛИЗАЦИЯ[[#This Row],[ТАННАРХ]]</f>
        <v>0</v>
      </c>
      <c r="K2991" s="31">
        <f>РЕАЛИЗАЦИЯ[[#This Row],[ЖАМИ]]-РЕАЛИЗАЦИЯ[[#This Row],[ЖАМИ2]]</f>
        <v>0</v>
      </c>
      <c r="L2991" s="31"/>
    </row>
    <row r="2992" spans="1:12" x14ac:dyDescent="0.3">
      <c r="C2992" s="239"/>
      <c r="D2992" s="239"/>
      <c r="G2992" s="50">
        <f>РЕАЛИЗАЦИЯ[[#This Row],[СОНИ]]*РЕАЛИЗАЦИЯ[[#This Row],[НАРХИ]]</f>
        <v>0</v>
      </c>
      <c r="I2992" s="166"/>
      <c r="J2992" s="31">
        <f>РЕАЛИЗАЦИЯ[[#This Row],[СОНИ]]*РЕАЛИЗАЦИЯ[[#This Row],[ТАННАРХ]]</f>
        <v>0</v>
      </c>
      <c r="K2992" s="31">
        <f>РЕАЛИЗАЦИЯ[[#This Row],[ЖАМИ]]-РЕАЛИЗАЦИЯ[[#This Row],[ЖАМИ2]]</f>
        <v>0</v>
      </c>
      <c r="L2992" s="31"/>
    </row>
    <row r="2993" spans="3:12" x14ac:dyDescent="0.3">
      <c r="C2993" s="239"/>
      <c r="D2993" s="239"/>
      <c r="G2993" s="50">
        <f>РЕАЛИЗАЦИЯ[[#This Row],[СОНИ]]*РЕАЛИЗАЦИЯ[[#This Row],[НАРХИ]]</f>
        <v>0</v>
      </c>
      <c r="I2993" s="166"/>
      <c r="J2993" s="31">
        <f>РЕАЛИЗАЦИЯ[[#This Row],[СОНИ]]*РЕАЛИЗАЦИЯ[[#This Row],[ТАННАРХ]]</f>
        <v>0</v>
      </c>
      <c r="K2993" s="31">
        <f>РЕАЛИЗАЦИЯ[[#This Row],[ЖАМИ]]-РЕАЛИЗАЦИЯ[[#This Row],[ЖАМИ2]]</f>
        <v>0</v>
      </c>
      <c r="L2993" s="31"/>
    </row>
    <row r="2994" spans="3:12" x14ac:dyDescent="0.3">
      <c r="C2994" s="239"/>
      <c r="D2994" s="239"/>
      <c r="G2994" s="50">
        <f>РЕАЛИЗАЦИЯ[[#This Row],[СОНИ]]*РЕАЛИЗАЦИЯ[[#This Row],[НАРХИ]]</f>
        <v>0</v>
      </c>
      <c r="I2994" s="166"/>
      <c r="J2994" s="31">
        <f>РЕАЛИЗАЦИЯ[[#This Row],[СОНИ]]*РЕАЛИЗАЦИЯ[[#This Row],[ТАННАРХ]]</f>
        <v>0</v>
      </c>
      <c r="K2994" s="31">
        <f>РЕАЛИЗАЦИЯ[[#This Row],[ЖАМИ]]-РЕАЛИЗАЦИЯ[[#This Row],[ЖАМИ2]]</f>
        <v>0</v>
      </c>
      <c r="L2994" s="31"/>
    </row>
    <row r="2995" spans="3:12" x14ac:dyDescent="0.3">
      <c r="C2995" s="239"/>
      <c r="D2995" s="239"/>
      <c r="G2995" s="50">
        <f>РЕАЛИЗАЦИЯ[[#This Row],[СОНИ]]*РЕАЛИЗАЦИЯ[[#This Row],[НАРХИ]]</f>
        <v>0</v>
      </c>
      <c r="I2995" s="166"/>
      <c r="J2995" s="31">
        <f>РЕАЛИЗАЦИЯ[[#This Row],[СОНИ]]*РЕАЛИЗАЦИЯ[[#This Row],[ТАННАРХ]]</f>
        <v>0</v>
      </c>
      <c r="K2995" s="31">
        <f>РЕАЛИЗАЦИЯ[[#This Row],[ЖАМИ]]-РЕАЛИЗАЦИЯ[[#This Row],[ЖАМИ2]]</f>
        <v>0</v>
      </c>
      <c r="L2995" s="31"/>
    </row>
    <row r="2996" spans="3:12" x14ac:dyDescent="0.3">
      <c r="C2996" s="239"/>
      <c r="D2996" s="239"/>
      <c r="G2996" s="50">
        <f>РЕАЛИЗАЦИЯ[[#This Row],[СОНИ]]*РЕАЛИЗАЦИЯ[[#This Row],[НАРХИ]]</f>
        <v>0</v>
      </c>
      <c r="I2996" s="166"/>
      <c r="J2996" s="31">
        <f>РЕАЛИЗАЦИЯ[[#This Row],[СОНИ]]*РЕАЛИЗАЦИЯ[[#This Row],[ТАННАРХ]]</f>
        <v>0</v>
      </c>
      <c r="K2996" s="31">
        <f>РЕАЛИЗАЦИЯ[[#This Row],[ЖАМИ]]-РЕАЛИЗАЦИЯ[[#This Row],[ЖАМИ2]]</f>
        <v>0</v>
      </c>
      <c r="L2996" s="31"/>
    </row>
    <row r="2997" spans="3:12" x14ac:dyDescent="0.3">
      <c r="C2997" s="239"/>
      <c r="D2997" s="239"/>
      <c r="G2997" s="50">
        <f>РЕАЛИЗАЦИЯ[[#This Row],[СОНИ]]*РЕАЛИЗАЦИЯ[[#This Row],[НАРХИ]]</f>
        <v>0</v>
      </c>
      <c r="I2997" s="166"/>
      <c r="J2997" s="31">
        <f>РЕАЛИЗАЦИЯ[[#This Row],[СОНИ]]*РЕАЛИЗАЦИЯ[[#This Row],[ТАННАРХ]]</f>
        <v>0</v>
      </c>
      <c r="K2997" s="31">
        <f>РЕАЛИЗАЦИЯ[[#This Row],[ЖАМИ]]-РЕАЛИЗАЦИЯ[[#This Row],[ЖАМИ2]]</f>
        <v>0</v>
      </c>
      <c r="L2997" s="31"/>
    </row>
    <row r="2998" spans="3:12" x14ac:dyDescent="0.3">
      <c r="C2998" s="239"/>
      <c r="D2998" s="239"/>
      <c r="G2998" s="50">
        <f>РЕАЛИЗАЦИЯ[[#This Row],[СОНИ]]*РЕАЛИЗАЦИЯ[[#This Row],[НАРХИ]]</f>
        <v>0</v>
      </c>
      <c r="I2998" s="166"/>
      <c r="J2998" s="31">
        <f>РЕАЛИЗАЦИЯ[[#This Row],[СОНИ]]*РЕАЛИЗАЦИЯ[[#This Row],[ТАННАРХ]]</f>
        <v>0</v>
      </c>
      <c r="K2998" s="31">
        <f>РЕАЛИЗАЦИЯ[[#This Row],[ЖАМИ]]-РЕАЛИЗАЦИЯ[[#This Row],[ЖАМИ2]]</f>
        <v>0</v>
      </c>
      <c r="L2998" s="31"/>
    </row>
    <row r="2999" spans="3:12" x14ac:dyDescent="0.3">
      <c r="C2999" s="239"/>
      <c r="D2999" s="239"/>
      <c r="G2999" s="50">
        <f>РЕАЛИЗАЦИЯ[[#This Row],[СОНИ]]*РЕАЛИЗАЦИЯ[[#This Row],[НАРХИ]]</f>
        <v>0</v>
      </c>
      <c r="I2999" s="166"/>
      <c r="J2999" s="31">
        <f>РЕАЛИЗАЦИЯ[[#This Row],[СОНИ]]*РЕАЛИЗАЦИЯ[[#This Row],[ТАННАРХ]]</f>
        <v>0</v>
      </c>
      <c r="K2999" s="31">
        <f>РЕАЛИЗАЦИЯ[[#This Row],[ЖАМИ]]-РЕАЛИЗАЦИЯ[[#This Row],[ЖАМИ2]]</f>
        <v>0</v>
      </c>
      <c r="L2999" s="31"/>
    </row>
    <row r="3000" spans="3:12" x14ac:dyDescent="0.3">
      <c r="C3000" s="239"/>
      <c r="D3000" s="239"/>
      <c r="G3000" s="50">
        <f>РЕАЛИЗАЦИЯ[[#This Row],[СОНИ]]*РЕАЛИЗАЦИЯ[[#This Row],[НАРХИ]]</f>
        <v>0</v>
      </c>
      <c r="I3000" s="166"/>
      <c r="J3000" s="31">
        <f>РЕАЛИЗАЦИЯ[[#This Row],[СОНИ]]*РЕАЛИЗАЦИЯ[[#This Row],[ТАННАРХ]]</f>
        <v>0</v>
      </c>
      <c r="K3000" s="31">
        <f>РЕАЛИЗАЦИЯ[[#This Row],[ЖАМИ]]-РЕАЛИЗАЦИЯ[[#This Row],[ЖАМИ2]]</f>
        <v>0</v>
      </c>
      <c r="L3000" s="31"/>
    </row>
    <row r="3001" spans="3:12" x14ac:dyDescent="0.3">
      <c r="C3001" s="239"/>
      <c r="D3001" s="239"/>
      <c r="G3001" s="50">
        <f>РЕАЛИЗАЦИЯ[[#This Row],[СОНИ]]*РЕАЛИЗАЦИЯ[[#This Row],[НАРХИ]]</f>
        <v>0</v>
      </c>
      <c r="I3001" s="166"/>
      <c r="J3001" s="31">
        <f>РЕАЛИЗАЦИЯ[[#This Row],[СОНИ]]*РЕАЛИЗАЦИЯ[[#This Row],[ТАННАРХ]]</f>
        <v>0</v>
      </c>
      <c r="K3001" s="31">
        <f>РЕАЛИЗАЦИЯ[[#This Row],[ЖАМИ]]-РЕАЛИЗАЦИЯ[[#This Row],[ЖАМИ2]]</f>
        <v>0</v>
      </c>
      <c r="L3001" s="31"/>
    </row>
    <row r="3002" spans="3:12" x14ac:dyDescent="0.3">
      <c r="C3002" s="239"/>
      <c r="D3002" s="239"/>
      <c r="G3002" s="50">
        <f>РЕАЛИЗАЦИЯ[[#This Row],[СОНИ]]*РЕАЛИЗАЦИЯ[[#This Row],[НАРХИ]]</f>
        <v>0</v>
      </c>
      <c r="I3002" s="166"/>
      <c r="J3002" s="31">
        <f>РЕАЛИЗАЦИЯ[[#This Row],[СОНИ]]*РЕАЛИЗАЦИЯ[[#This Row],[ТАННАРХ]]</f>
        <v>0</v>
      </c>
      <c r="K3002" s="31">
        <f>РЕАЛИЗАЦИЯ[[#This Row],[ЖАМИ]]-РЕАЛИЗАЦИЯ[[#This Row],[ЖАМИ2]]</f>
        <v>0</v>
      </c>
      <c r="L3002" s="31"/>
    </row>
    <row r="3003" spans="3:12" x14ac:dyDescent="0.3">
      <c r="C3003" s="239"/>
      <c r="D3003" s="239"/>
      <c r="G3003" s="50">
        <f>РЕАЛИЗАЦИЯ[[#This Row],[СОНИ]]*РЕАЛИЗАЦИЯ[[#This Row],[НАРХИ]]</f>
        <v>0</v>
      </c>
      <c r="I3003" s="166"/>
      <c r="J3003" s="31">
        <f>РЕАЛИЗАЦИЯ[[#This Row],[СОНИ]]*РЕАЛИЗАЦИЯ[[#This Row],[ТАННАРХ]]</f>
        <v>0</v>
      </c>
      <c r="K3003" s="31">
        <f>РЕАЛИЗАЦИЯ[[#This Row],[ЖАМИ]]-РЕАЛИЗАЦИЯ[[#This Row],[ЖАМИ2]]</f>
        <v>0</v>
      </c>
      <c r="L3003" s="31"/>
    </row>
    <row r="3004" spans="3:12" x14ac:dyDescent="0.3">
      <c r="C3004" s="239"/>
      <c r="D3004" s="239"/>
      <c r="G3004" s="50">
        <f>РЕАЛИЗАЦИЯ[[#This Row],[СОНИ]]*РЕАЛИЗАЦИЯ[[#This Row],[НАРХИ]]</f>
        <v>0</v>
      </c>
      <c r="I3004" s="166"/>
      <c r="J3004" s="31">
        <f>РЕАЛИЗАЦИЯ[[#This Row],[СОНИ]]*РЕАЛИЗАЦИЯ[[#This Row],[ТАННАРХ]]</f>
        <v>0</v>
      </c>
      <c r="K3004" s="31">
        <f>РЕАЛИЗАЦИЯ[[#This Row],[ЖАМИ]]-РЕАЛИЗАЦИЯ[[#This Row],[ЖАМИ2]]</f>
        <v>0</v>
      </c>
      <c r="L3004" s="31"/>
    </row>
    <row r="3005" spans="3:12" x14ac:dyDescent="0.3">
      <c r="C3005" s="239"/>
      <c r="D3005" s="239"/>
      <c r="G3005" s="50">
        <f>РЕАЛИЗАЦИЯ[[#This Row],[СОНИ]]*РЕАЛИЗАЦИЯ[[#This Row],[НАРХИ]]</f>
        <v>0</v>
      </c>
      <c r="I3005" s="166"/>
      <c r="J3005" s="31">
        <f>РЕАЛИЗАЦИЯ[[#This Row],[СОНИ]]*РЕАЛИЗАЦИЯ[[#This Row],[ТАННАРХ]]</f>
        <v>0</v>
      </c>
      <c r="K3005" s="31">
        <f>РЕАЛИЗАЦИЯ[[#This Row],[ЖАМИ]]-РЕАЛИЗАЦИЯ[[#This Row],[ЖАМИ2]]</f>
        <v>0</v>
      </c>
      <c r="L3005" s="31"/>
    </row>
    <row r="3006" spans="3:12" x14ac:dyDescent="0.3">
      <c r="C3006" s="239"/>
      <c r="D3006" s="239"/>
      <c r="G3006" s="50">
        <f>РЕАЛИЗАЦИЯ[[#This Row],[СОНИ]]*РЕАЛИЗАЦИЯ[[#This Row],[НАРХИ]]</f>
        <v>0</v>
      </c>
      <c r="I3006" s="166"/>
      <c r="J3006" s="31">
        <f>РЕАЛИЗАЦИЯ[[#This Row],[СОНИ]]*РЕАЛИЗАЦИЯ[[#This Row],[ТАННАРХ]]</f>
        <v>0</v>
      </c>
      <c r="K3006" s="31">
        <f>РЕАЛИЗАЦИЯ[[#This Row],[ЖАМИ]]-РЕАЛИЗАЦИЯ[[#This Row],[ЖАМИ2]]</f>
        <v>0</v>
      </c>
      <c r="L3006" s="31"/>
    </row>
    <row r="3007" spans="3:12" x14ac:dyDescent="0.3">
      <c r="C3007" s="240"/>
      <c r="D3007" s="240"/>
      <c r="G3007" s="50">
        <f>РЕАЛИЗАЦИЯ[[#This Row],[СОНИ]]*РЕАЛИЗАЦИЯ[[#This Row],[НАРХИ]]</f>
        <v>0</v>
      </c>
      <c r="I3007" s="166"/>
      <c r="J3007" s="31">
        <f>РЕАЛИЗАЦИЯ[[#This Row],[СОНИ]]*РЕАЛИЗАЦИЯ[[#This Row],[ТАННАРХ]]</f>
        <v>0</v>
      </c>
      <c r="K3007" s="31">
        <f>РЕАЛИЗАЦИЯ[[#This Row],[ЖАМИ]]-РЕАЛИЗАЦИЯ[[#This Row],[ЖАМИ2]]</f>
        <v>0</v>
      </c>
      <c r="L3007" s="31"/>
    </row>
    <row r="3008" spans="3:12" x14ac:dyDescent="0.3">
      <c r="C3008" s="240"/>
      <c r="D3008" s="240"/>
      <c r="G3008" s="50">
        <f>РЕАЛИЗАЦИЯ[[#This Row],[СОНИ]]*РЕАЛИЗАЦИЯ[[#This Row],[НАРХИ]]</f>
        <v>0</v>
      </c>
      <c r="I3008" s="166"/>
      <c r="J3008" s="31">
        <f>РЕАЛИЗАЦИЯ[[#This Row],[СОНИ]]*РЕАЛИЗАЦИЯ[[#This Row],[ТАННАРХ]]</f>
        <v>0</v>
      </c>
      <c r="K3008" s="31">
        <f>РЕАЛИЗАЦИЯ[[#This Row],[ЖАМИ]]-РЕАЛИЗАЦИЯ[[#This Row],[ЖАМИ2]]</f>
        <v>0</v>
      </c>
      <c r="L3008" s="31"/>
    </row>
    <row r="3009" spans="3:12" x14ac:dyDescent="0.3">
      <c r="C3009" s="240"/>
      <c r="D3009" s="240"/>
      <c r="G3009" s="50">
        <f>РЕАЛИЗАЦИЯ[[#This Row],[СОНИ]]*РЕАЛИЗАЦИЯ[[#This Row],[НАРХИ]]</f>
        <v>0</v>
      </c>
      <c r="I3009" s="166"/>
      <c r="J3009" s="31">
        <f>РЕАЛИЗАЦИЯ[[#This Row],[СОНИ]]*РЕАЛИЗАЦИЯ[[#This Row],[ТАННАРХ]]</f>
        <v>0</v>
      </c>
      <c r="K3009" s="31">
        <f>РЕАЛИЗАЦИЯ[[#This Row],[ЖАМИ]]-РЕАЛИЗАЦИЯ[[#This Row],[ЖАМИ2]]</f>
        <v>0</v>
      </c>
      <c r="L3009" s="31"/>
    </row>
    <row r="3010" spans="3:12" x14ac:dyDescent="0.3">
      <c r="C3010" s="240"/>
      <c r="D3010" s="240"/>
      <c r="G3010" s="50">
        <f>РЕАЛИЗАЦИЯ[[#This Row],[СОНИ]]*РЕАЛИЗАЦИЯ[[#This Row],[НАРХИ]]</f>
        <v>0</v>
      </c>
      <c r="I3010" s="166"/>
      <c r="J3010" s="31">
        <f>РЕАЛИЗАЦИЯ[[#This Row],[СОНИ]]*РЕАЛИЗАЦИЯ[[#This Row],[ТАННАРХ]]</f>
        <v>0</v>
      </c>
      <c r="K3010" s="31">
        <f>РЕАЛИЗАЦИЯ[[#This Row],[ЖАМИ]]-РЕАЛИЗАЦИЯ[[#This Row],[ЖАМИ2]]</f>
        <v>0</v>
      </c>
      <c r="L3010" s="31"/>
    </row>
    <row r="3011" spans="3:12" x14ac:dyDescent="0.3">
      <c r="C3011" s="240"/>
      <c r="D3011" s="240"/>
      <c r="G3011" s="50">
        <f>РЕАЛИЗАЦИЯ[[#This Row],[СОНИ]]*РЕАЛИЗАЦИЯ[[#This Row],[НАРХИ]]</f>
        <v>0</v>
      </c>
      <c r="I3011" s="166"/>
      <c r="J3011" s="31">
        <f>РЕАЛИЗАЦИЯ[[#This Row],[СОНИ]]*РЕАЛИЗАЦИЯ[[#This Row],[ТАННАРХ]]</f>
        <v>0</v>
      </c>
      <c r="K3011" s="31">
        <f>РЕАЛИЗАЦИЯ[[#This Row],[ЖАМИ]]-РЕАЛИЗАЦИЯ[[#This Row],[ЖАМИ2]]</f>
        <v>0</v>
      </c>
      <c r="L3011" s="31"/>
    </row>
    <row r="3012" spans="3:12" x14ac:dyDescent="0.3">
      <c r="C3012" s="240"/>
      <c r="D3012" s="240"/>
      <c r="G3012" s="50">
        <f>РЕАЛИЗАЦИЯ[[#This Row],[СОНИ]]*РЕАЛИЗАЦИЯ[[#This Row],[НАРХИ]]</f>
        <v>0</v>
      </c>
      <c r="I3012" s="166"/>
      <c r="J3012" s="31">
        <f>РЕАЛИЗАЦИЯ[[#This Row],[СОНИ]]*РЕАЛИЗАЦИЯ[[#This Row],[ТАННАРХ]]</f>
        <v>0</v>
      </c>
      <c r="K3012" s="31">
        <f>РЕАЛИЗАЦИЯ[[#This Row],[ЖАМИ]]-РЕАЛИЗАЦИЯ[[#This Row],[ЖАМИ2]]</f>
        <v>0</v>
      </c>
      <c r="L3012" s="31"/>
    </row>
    <row r="3013" spans="3:12" x14ac:dyDescent="0.3">
      <c r="C3013" s="240"/>
      <c r="D3013" s="240"/>
      <c r="G3013" s="50">
        <f>РЕАЛИЗАЦИЯ[[#This Row],[СОНИ]]*РЕАЛИЗАЦИЯ[[#This Row],[НАРХИ]]</f>
        <v>0</v>
      </c>
      <c r="I3013" s="166"/>
      <c r="J3013" s="31">
        <f>РЕАЛИЗАЦИЯ[[#This Row],[СОНИ]]*РЕАЛИЗАЦИЯ[[#This Row],[ТАННАРХ]]</f>
        <v>0</v>
      </c>
      <c r="K3013" s="31">
        <f>РЕАЛИЗАЦИЯ[[#This Row],[ЖАМИ]]-РЕАЛИЗАЦИЯ[[#This Row],[ЖАМИ2]]</f>
        <v>0</v>
      </c>
      <c r="L3013" s="31"/>
    </row>
    <row r="3014" spans="3:12" x14ac:dyDescent="0.3">
      <c r="C3014" s="240"/>
      <c r="D3014" s="240"/>
      <c r="G3014" s="50">
        <f>РЕАЛИЗАЦИЯ[[#This Row],[СОНИ]]*РЕАЛИЗАЦИЯ[[#This Row],[НАРХИ]]</f>
        <v>0</v>
      </c>
      <c r="I3014" s="166"/>
      <c r="J3014" s="31">
        <f>РЕАЛИЗАЦИЯ[[#This Row],[СОНИ]]*РЕАЛИЗАЦИЯ[[#This Row],[ТАННАРХ]]</f>
        <v>0</v>
      </c>
      <c r="K3014" s="31">
        <f>РЕАЛИЗАЦИЯ[[#This Row],[ЖАМИ]]-РЕАЛИЗАЦИЯ[[#This Row],[ЖАМИ2]]</f>
        <v>0</v>
      </c>
      <c r="L3014" s="31"/>
    </row>
    <row r="3015" spans="3:12" x14ac:dyDescent="0.3">
      <c r="C3015" s="240"/>
      <c r="D3015" s="240"/>
      <c r="G3015" s="50">
        <f>РЕАЛИЗАЦИЯ[[#This Row],[СОНИ]]*РЕАЛИЗАЦИЯ[[#This Row],[НАРХИ]]</f>
        <v>0</v>
      </c>
      <c r="I3015" s="166"/>
      <c r="J3015" s="31">
        <f>РЕАЛИЗАЦИЯ[[#This Row],[СОНИ]]*РЕАЛИЗАЦИЯ[[#This Row],[ТАННАРХ]]</f>
        <v>0</v>
      </c>
      <c r="K3015" s="31">
        <f>РЕАЛИЗАЦИЯ[[#This Row],[ЖАМИ]]-РЕАЛИЗАЦИЯ[[#This Row],[ЖАМИ2]]</f>
        <v>0</v>
      </c>
      <c r="L3015" s="31"/>
    </row>
    <row r="3016" spans="3:12" x14ac:dyDescent="0.3">
      <c r="C3016" s="240"/>
      <c r="D3016" s="240"/>
      <c r="G3016" s="50">
        <f>РЕАЛИЗАЦИЯ[[#This Row],[СОНИ]]*РЕАЛИЗАЦИЯ[[#This Row],[НАРХИ]]</f>
        <v>0</v>
      </c>
      <c r="I3016" s="166"/>
      <c r="J3016" s="31">
        <f>РЕАЛИЗАЦИЯ[[#This Row],[СОНИ]]*РЕАЛИЗАЦИЯ[[#This Row],[ТАННАРХ]]</f>
        <v>0</v>
      </c>
      <c r="K3016" s="31">
        <f>РЕАЛИЗАЦИЯ[[#This Row],[ЖАМИ]]-РЕАЛИЗАЦИЯ[[#This Row],[ЖАМИ2]]</f>
        <v>0</v>
      </c>
      <c r="L3016" s="31"/>
    </row>
    <row r="3017" spans="3:12" x14ac:dyDescent="0.3">
      <c r="C3017" s="240"/>
      <c r="D3017" s="240"/>
      <c r="G3017" s="50">
        <f>РЕАЛИЗАЦИЯ[[#This Row],[СОНИ]]*РЕАЛИЗАЦИЯ[[#This Row],[НАРХИ]]</f>
        <v>0</v>
      </c>
      <c r="I3017" s="166"/>
      <c r="J3017" s="31">
        <f>РЕАЛИЗАЦИЯ[[#This Row],[СОНИ]]*РЕАЛИЗАЦИЯ[[#This Row],[ТАННАРХ]]</f>
        <v>0</v>
      </c>
      <c r="K3017" s="31">
        <f>РЕАЛИЗАЦИЯ[[#This Row],[ЖАМИ]]-РЕАЛИЗАЦИЯ[[#This Row],[ЖАМИ2]]</f>
        <v>0</v>
      </c>
      <c r="L3017" s="31"/>
    </row>
    <row r="3018" spans="3:12" x14ac:dyDescent="0.3">
      <c r="C3018" s="244"/>
      <c r="D3018" s="244"/>
      <c r="G3018" s="50">
        <f>РЕАЛИЗАЦИЯ[[#This Row],[СОНИ]]*РЕАЛИЗАЦИЯ[[#This Row],[НАРХИ]]</f>
        <v>0</v>
      </c>
      <c r="I3018" s="166"/>
      <c r="J3018" s="31">
        <f>РЕАЛИЗАЦИЯ[[#This Row],[СОНИ]]*РЕАЛИЗАЦИЯ[[#This Row],[ТАННАРХ]]</f>
        <v>0</v>
      </c>
      <c r="K3018" s="31">
        <f>РЕАЛИЗАЦИЯ[[#This Row],[ЖАМИ]]-РЕАЛИЗАЦИЯ[[#This Row],[ЖАМИ2]]</f>
        <v>0</v>
      </c>
      <c r="L3018" s="31"/>
    </row>
    <row r="3019" spans="3:12" x14ac:dyDescent="0.3">
      <c r="C3019" s="240"/>
      <c r="D3019" s="240"/>
      <c r="G3019" s="50">
        <f>РЕАЛИЗАЦИЯ[[#This Row],[СОНИ]]*РЕАЛИЗАЦИЯ[[#This Row],[НАРХИ]]</f>
        <v>0</v>
      </c>
      <c r="I3019" s="166"/>
      <c r="J3019" s="31">
        <f>РЕАЛИЗАЦИЯ[[#This Row],[СОНИ]]*РЕАЛИЗАЦИЯ[[#This Row],[ТАННАРХ]]</f>
        <v>0</v>
      </c>
      <c r="K3019" s="31">
        <f>РЕАЛИЗАЦИЯ[[#This Row],[ЖАМИ]]-РЕАЛИЗАЦИЯ[[#This Row],[ЖАМИ2]]</f>
        <v>0</v>
      </c>
      <c r="L3019" s="31"/>
    </row>
    <row r="3020" spans="3:12" x14ac:dyDescent="0.3">
      <c r="C3020" s="240"/>
      <c r="D3020" s="240"/>
      <c r="G3020" s="50">
        <f>РЕАЛИЗАЦИЯ[[#This Row],[СОНИ]]*РЕАЛИЗАЦИЯ[[#This Row],[НАРХИ]]</f>
        <v>0</v>
      </c>
      <c r="I3020" s="166"/>
      <c r="J3020" s="31">
        <f>РЕАЛИЗАЦИЯ[[#This Row],[СОНИ]]*РЕАЛИЗАЦИЯ[[#This Row],[ТАННАРХ]]</f>
        <v>0</v>
      </c>
      <c r="K3020" s="31">
        <f>РЕАЛИЗАЦИЯ[[#This Row],[ЖАМИ]]-РЕАЛИЗАЦИЯ[[#This Row],[ЖАМИ2]]</f>
        <v>0</v>
      </c>
      <c r="L3020" s="31"/>
    </row>
    <row r="3021" spans="3:12" x14ac:dyDescent="0.3">
      <c r="C3021" s="240"/>
      <c r="D3021" s="240"/>
      <c r="G3021" s="50">
        <f>РЕАЛИЗАЦИЯ[[#This Row],[СОНИ]]*РЕАЛИЗАЦИЯ[[#This Row],[НАРХИ]]</f>
        <v>0</v>
      </c>
      <c r="I3021" s="166"/>
      <c r="J3021" s="31">
        <f>РЕАЛИЗАЦИЯ[[#This Row],[СОНИ]]*РЕАЛИЗАЦИЯ[[#This Row],[ТАННАРХ]]</f>
        <v>0</v>
      </c>
      <c r="K3021" s="31">
        <f>РЕАЛИЗАЦИЯ[[#This Row],[ЖАМИ]]-РЕАЛИЗАЦИЯ[[#This Row],[ЖАМИ2]]</f>
        <v>0</v>
      </c>
      <c r="L3021" s="31"/>
    </row>
    <row r="3022" spans="3:12" x14ac:dyDescent="0.3">
      <c r="C3022" s="240"/>
      <c r="D3022" s="240"/>
      <c r="G3022" s="50">
        <f>РЕАЛИЗАЦИЯ[[#This Row],[СОНИ]]*РЕАЛИЗАЦИЯ[[#This Row],[НАРХИ]]</f>
        <v>0</v>
      </c>
      <c r="I3022" s="166"/>
      <c r="J3022" s="31">
        <f>РЕАЛИЗАЦИЯ[[#This Row],[СОНИ]]*РЕАЛИЗАЦИЯ[[#This Row],[ТАННАРХ]]</f>
        <v>0</v>
      </c>
      <c r="K3022" s="31">
        <f>РЕАЛИЗАЦИЯ[[#This Row],[ЖАМИ]]-РЕАЛИЗАЦИЯ[[#This Row],[ЖАМИ2]]</f>
        <v>0</v>
      </c>
      <c r="L3022" s="31"/>
    </row>
    <row r="3023" spans="3:12" x14ac:dyDescent="0.3">
      <c r="C3023" s="240"/>
      <c r="D3023" s="240"/>
      <c r="G3023" s="50">
        <f>РЕАЛИЗАЦИЯ[[#This Row],[СОНИ]]*РЕАЛИЗАЦИЯ[[#This Row],[НАРХИ]]</f>
        <v>0</v>
      </c>
      <c r="I3023" s="166"/>
      <c r="J3023" s="31">
        <f>РЕАЛИЗАЦИЯ[[#This Row],[СОНИ]]*РЕАЛИЗАЦИЯ[[#This Row],[ТАННАРХ]]</f>
        <v>0</v>
      </c>
      <c r="K3023" s="31">
        <f>РЕАЛИЗАЦИЯ[[#This Row],[ЖАМИ]]-РЕАЛИЗАЦИЯ[[#This Row],[ЖАМИ2]]</f>
        <v>0</v>
      </c>
      <c r="L3023" s="31"/>
    </row>
    <row r="3024" spans="3:12" x14ac:dyDescent="0.3">
      <c r="C3024" s="240"/>
      <c r="D3024" s="240"/>
      <c r="G3024" s="50">
        <f>РЕАЛИЗАЦИЯ[[#This Row],[СОНИ]]*РЕАЛИЗАЦИЯ[[#This Row],[НАРХИ]]</f>
        <v>0</v>
      </c>
      <c r="I3024" s="166"/>
      <c r="J3024" s="31">
        <f>РЕАЛИЗАЦИЯ[[#This Row],[СОНИ]]*РЕАЛИЗАЦИЯ[[#This Row],[ТАННАРХ]]</f>
        <v>0</v>
      </c>
      <c r="K3024" s="31">
        <f>РЕАЛИЗАЦИЯ[[#This Row],[ЖАМИ]]-РЕАЛИЗАЦИЯ[[#This Row],[ЖАМИ2]]</f>
        <v>0</v>
      </c>
      <c r="L3024" s="31"/>
    </row>
    <row r="3025" spans="1:12" x14ac:dyDescent="0.3">
      <c r="C3025" s="240"/>
      <c r="D3025" s="240"/>
      <c r="G3025" s="50">
        <f>РЕАЛИЗАЦИЯ[[#This Row],[СОНИ]]*РЕАЛИЗАЦИЯ[[#This Row],[НАРХИ]]</f>
        <v>0</v>
      </c>
      <c r="I3025" s="166"/>
      <c r="J3025" s="31">
        <f>РЕАЛИЗАЦИЯ[[#This Row],[СОНИ]]*РЕАЛИЗАЦИЯ[[#This Row],[ТАННАРХ]]</f>
        <v>0</v>
      </c>
      <c r="K3025" s="31">
        <f>РЕАЛИЗАЦИЯ[[#This Row],[ЖАМИ]]-РЕАЛИЗАЦИЯ[[#This Row],[ЖАМИ2]]</f>
        <v>0</v>
      </c>
      <c r="L3025" s="31"/>
    </row>
    <row r="3026" spans="1:12" x14ac:dyDescent="0.3">
      <c r="C3026" s="240"/>
      <c r="D3026" s="240"/>
      <c r="G3026" s="50">
        <f>РЕАЛИЗАЦИЯ[[#This Row],[СОНИ]]*РЕАЛИЗАЦИЯ[[#This Row],[НАРХИ]]</f>
        <v>0</v>
      </c>
      <c r="I3026" s="166"/>
      <c r="J3026" s="31">
        <f>РЕАЛИЗАЦИЯ[[#This Row],[СОНИ]]*РЕАЛИЗАЦИЯ[[#This Row],[ТАННАРХ]]</f>
        <v>0</v>
      </c>
      <c r="K3026" s="31">
        <f>РЕАЛИЗАЦИЯ[[#This Row],[ЖАМИ]]-РЕАЛИЗАЦИЯ[[#This Row],[ЖАМИ2]]</f>
        <v>0</v>
      </c>
      <c r="L3026" s="31"/>
    </row>
    <row r="3027" spans="1:12" x14ac:dyDescent="0.3">
      <c r="C3027" s="240"/>
      <c r="D3027" s="240"/>
      <c r="G3027" s="50">
        <f>РЕАЛИЗАЦИЯ[[#This Row],[СОНИ]]*РЕАЛИЗАЦИЯ[[#This Row],[НАРХИ]]</f>
        <v>0</v>
      </c>
      <c r="I3027" s="166"/>
      <c r="J3027" s="31">
        <f>РЕАЛИЗАЦИЯ[[#This Row],[СОНИ]]*РЕАЛИЗАЦИЯ[[#This Row],[ТАННАРХ]]</f>
        <v>0</v>
      </c>
      <c r="K3027" s="31">
        <f>РЕАЛИЗАЦИЯ[[#This Row],[ЖАМИ]]-РЕАЛИЗАЦИЯ[[#This Row],[ЖАМИ2]]</f>
        <v>0</v>
      </c>
      <c r="L3027" s="31"/>
    </row>
    <row r="3028" spans="1:12" s="244" customFormat="1" x14ac:dyDescent="0.3">
      <c r="A3028" s="3"/>
      <c r="B3028" s="4"/>
      <c r="C3028" s="240"/>
      <c r="D3028" s="240"/>
      <c r="E3028" s="31"/>
      <c r="F3028" s="31"/>
      <c r="G3028" s="50">
        <f>РЕАЛИЗАЦИЯ[[#This Row],[СОНИ]]*РЕАЛИЗАЦИЯ[[#This Row],[НАРХИ]]</f>
        <v>0</v>
      </c>
      <c r="H3028" s="31"/>
      <c r="I3028" s="166"/>
      <c r="J3028" s="31">
        <f>РЕАЛИЗАЦИЯ[[#This Row],[СОНИ]]*РЕАЛИЗАЦИЯ[[#This Row],[ТАННАРХ]]</f>
        <v>0</v>
      </c>
      <c r="K3028" s="31">
        <f>РЕАЛИЗАЦИЯ[[#This Row],[ЖАМИ]]-РЕАЛИЗАЦИЯ[[#This Row],[ЖАМИ2]]</f>
        <v>0</v>
      </c>
      <c r="L3028" s="31"/>
    </row>
    <row r="3029" spans="1:12" x14ac:dyDescent="0.3">
      <c r="C3029" s="240"/>
      <c r="D3029" s="240"/>
      <c r="G3029" s="50">
        <f>РЕАЛИЗАЦИЯ[[#This Row],[СОНИ]]*РЕАЛИЗАЦИЯ[[#This Row],[НАРХИ]]</f>
        <v>0</v>
      </c>
      <c r="I3029" s="166"/>
      <c r="J3029" s="31">
        <f>РЕАЛИЗАЦИЯ[[#This Row],[СОНИ]]*РЕАЛИЗАЦИЯ[[#This Row],[ТАННАРХ]]</f>
        <v>0</v>
      </c>
      <c r="K3029" s="31">
        <f>РЕАЛИЗАЦИЯ[[#This Row],[ЖАМИ]]-РЕАЛИЗАЦИЯ[[#This Row],[ЖАМИ2]]</f>
        <v>0</v>
      </c>
      <c r="L3029" s="31"/>
    </row>
    <row r="3030" spans="1:12" x14ac:dyDescent="0.3">
      <c r="C3030" s="240"/>
      <c r="D3030" s="240"/>
      <c r="G3030" s="50">
        <f>РЕАЛИЗАЦИЯ[[#This Row],[СОНИ]]*РЕАЛИЗАЦИЯ[[#This Row],[НАРХИ]]</f>
        <v>0</v>
      </c>
      <c r="I3030" s="166"/>
      <c r="J3030" s="31">
        <f>РЕАЛИЗАЦИЯ[[#This Row],[СОНИ]]*РЕАЛИЗАЦИЯ[[#This Row],[ТАННАРХ]]</f>
        <v>0</v>
      </c>
      <c r="K3030" s="31">
        <f>РЕАЛИЗАЦИЯ[[#This Row],[ЖАМИ]]-РЕАЛИЗАЦИЯ[[#This Row],[ЖАМИ2]]</f>
        <v>0</v>
      </c>
      <c r="L3030" s="31"/>
    </row>
    <row r="3031" spans="1:12" x14ac:dyDescent="0.3">
      <c r="C3031" s="240"/>
      <c r="D3031" s="240"/>
      <c r="G3031" s="50">
        <f>РЕАЛИЗАЦИЯ[[#This Row],[СОНИ]]*РЕАЛИЗАЦИЯ[[#This Row],[НАРХИ]]</f>
        <v>0</v>
      </c>
      <c r="I3031" s="166"/>
      <c r="J3031" s="31">
        <f>РЕАЛИЗАЦИЯ[[#This Row],[СОНИ]]*РЕАЛИЗАЦИЯ[[#This Row],[ТАННАРХ]]</f>
        <v>0</v>
      </c>
      <c r="K3031" s="31">
        <f>РЕАЛИЗАЦИЯ[[#This Row],[ЖАМИ]]-РЕАЛИЗАЦИЯ[[#This Row],[ЖАМИ2]]</f>
        <v>0</v>
      </c>
      <c r="L3031" s="31"/>
    </row>
    <row r="3032" spans="1:12" x14ac:dyDescent="0.3">
      <c r="C3032" s="240"/>
      <c r="D3032" s="240"/>
      <c r="G3032" s="50">
        <f>РЕАЛИЗАЦИЯ[[#This Row],[СОНИ]]*РЕАЛИЗАЦИЯ[[#This Row],[НАРХИ]]</f>
        <v>0</v>
      </c>
      <c r="I3032" s="166"/>
      <c r="J3032" s="31">
        <f>РЕАЛИЗАЦИЯ[[#This Row],[СОНИ]]*РЕАЛИЗАЦИЯ[[#This Row],[ТАННАРХ]]</f>
        <v>0</v>
      </c>
      <c r="K3032" s="31">
        <f>РЕАЛИЗАЦИЯ[[#This Row],[ЖАМИ]]-РЕАЛИЗАЦИЯ[[#This Row],[ЖАМИ2]]</f>
        <v>0</v>
      </c>
      <c r="L3032" s="31"/>
    </row>
    <row r="3033" spans="1:12" x14ac:dyDescent="0.3">
      <c r="C3033" s="240"/>
      <c r="D3033" s="240"/>
      <c r="G3033" s="50">
        <f>РЕАЛИЗАЦИЯ[[#This Row],[СОНИ]]*РЕАЛИЗАЦИЯ[[#This Row],[НАРХИ]]</f>
        <v>0</v>
      </c>
      <c r="I3033" s="166"/>
      <c r="J3033" s="31">
        <f>РЕАЛИЗАЦИЯ[[#This Row],[СОНИ]]*РЕАЛИЗАЦИЯ[[#This Row],[ТАННАРХ]]</f>
        <v>0</v>
      </c>
      <c r="K3033" s="31">
        <f>РЕАЛИЗАЦИЯ[[#This Row],[ЖАМИ]]-РЕАЛИЗАЦИЯ[[#This Row],[ЖАМИ2]]</f>
        <v>0</v>
      </c>
      <c r="L3033" s="31"/>
    </row>
    <row r="3034" spans="1:12" x14ac:dyDescent="0.3">
      <c r="C3034" s="240"/>
      <c r="D3034" s="240"/>
      <c r="G3034" s="50">
        <f>РЕАЛИЗАЦИЯ[[#This Row],[СОНИ]]*РЕАЛИЗАЦИЯ[[#This Row],[НАРХИ]]</f>
        <v>0</v>
      </c>
      <c r="I3034" s="166"/>
      <c r="J3034" s="31">
        <f>РЕАЛИЗАЦИЯ[[#This Row],[СОНИ]]*РЕАЛИЗАЦИЯ[[#This Row],[ТАННАРХ]]</f>
        <v>0</v>
      </c>
      <c r="K3034" s="31">
        <f>РЕАЛИЗАЦИЯ[[#This Row],[ЖАМИ]]-РЕАЛИЗАЦИЯ[[#This Row],[ЖАМИ2]]</f>
        <v>0</v>
      </c>
      <c r="L3034" s="31"/>
    </row>
    <row r="3035" spans="1:12" x14ac:dyDescent="0.3">
      <c r="C3035" s="240"/>
      <c r="D3035" s="240"/>
      <c r="G3035" s="50">
        <f>РЕАЛИЗАЦИЯ[[#This Row],[СОНИ]]*РЕАЛИЗАЦИЯ[[#This Row],[НАРХИ]]</f>
        <v>0</v>
      </c>
      <c r="I3035" s="166"/>
      <c r="J3035" s="31">
        <f>РЕАЛИЗАЦИЯ[[#This Row],[СОНИ]]*РЕАЛИЗАЦИЯ[[#This Row],[ТАННАРХ]]</f>
        <v>0</v>
      </c>
      <c r="K3035" s="31">
        <f>РЕАЛИЗАЦИЯ[[#This Row],[ЖАМИ]]-РЕАЛИЗАЦИЯ[[#This Row],[ЖАМИ2]]</f>
        <v>0</v>
      </c>
      <c r="L3035" s="31"/>
    </row>
    <row r="3036" spans="1:12" x14ac:dyDescent="0.3">
      <c r="C3036" s="240"/>
      <c r="D3036" s="240"/>
      <c r="G3036" s="50">
        <f>РЕАЛИЗАЦИЯ[[#This Row],[СОНИ]]*РЕАЛИЗАЦИЯ[[#This Row],[НАРХИ]]</f>
        <v>0</v>
      </c>
      <c r="I3036" s="166"/>
      <c r="J3036" s="31">
        <f>РЕАЛИЗАЦИЯ[[#This Row],[СОНИ]]*РЕАЛИЗАЦИЯ[[#This Row],[ТАННАРХ]]</f>
        <v>0</v>
      </c>
      <c r="K3036" s="31">
        <f>РЕАЛИЗАЦИЯ[[#This Row],[ЖАМИ]]-РЕАЛИЗАЦИЯ[[#This Row],[ЖАМИ2]]</f>
        <v>0</v>
      </c>
      <c r="L3036" s="31"/>
    </row>
    <row r="3037" spans="1:12" x14ac:dyDescent="0.3">
      <c r="C3037" s="240"/>
      <c r="D3037" s="240"/>
      <c r="G3037" s="50">
        <f>РЕАЛИЗАЦИЯ[[#This Row],[СОНИ]]*РЕАЛИЗАЦИЯ[[#This Row],[НАРХИ]]</f>
        <v>0</v>
      </c>
      <c r="I3037" s="166"/>
      <c r="J3037" s="31">
        <f>РЕАЛИЗАЦИЯ[[#This Row],[СОНИ]]*РЕАЛИЗАЦИЯ[[#This Row],[ТАННАРХ]]</f>
        <v>0</v>
      </c>
      <c r="K3037" s="31">
        <f>РЕАЛИЗАЦИЯ[[#This Row],[ЖАМИ]]-РЕАЛИЗАЦИЯ[[#This Row],[ЖАМИ2]]</f>
        <v>0</v>
      </c>
      <c r="L3037" s="31"/>
    </row>
    <row r="3038" spans="1:12" x14ac:dyDescent="0.3">
      <c r="C3038" s="240"/>
      <c r="D3038" s="240"/>
      <c r="G3038" s="50">
        <f>РЕАЛИЗАЦИЯ[[#This Row],[СОНИ]]*РЕАЛИЗАЦИЯ[[#This Row],[НАРХИ]]</f>
        <v>0</v>
      </c>
      <c r="I3038" s="166"/>
      <c r="J3038" s="31">
        <f>РЕАЛИЗАЦИЯ[[#This Row],[СОНИ]]*РЕАЛИЗАЦИЯ[[#This Row],[ТАННАРХ]]</f>
        <v>0</v>
      </c>
      <c r="K3038" s="31">
        <f>РЕАЛИЗАЦИЯ[[#This Row],[ЖАМИ]]-РЕАЛИЗАЦИЯ[[#This Row],[ЖАМИ2]]</f>
        <v>0</v>
      </c>
      <c r="L3038" s="31"/>
    </row>
    <row r="3039" spans="1:12" x14ac:dyDescent="0.3">
      <c r="C3039" s="240"/>
      <c r="D3039" s="240"/>
      <c r="G3039" s="50">
        <f>РЕАЛИЗАЦИЯ[[#This Row],[СОНИ]]*РЕАЛИЗАЦИЯ[[#This Row],[НАРХИ]]</f>
        <v>0</v>
      </c>
      <c r="I3039" s="166"/>
      <c r="J3039" s="31">
        <f>РЕАЛИЗАЦИЯ[[#This Row],[СОНИ]]*РЕАЛИЗАЦИЯ[[#This Row],[ТАННАРХ]]</f>
        <v>0</v>
      </c>
      <c r="K3039" s="31">
        <f>РЕАЛИЗАЦИЯ[[#This Row],[ЖАМИ]]-РЕАЛИЗАЦИЯ[[#This Row],[ЖАМИ2]]</f>
        <v>0</v>
      </c>
      <c r="L3039" s="31"/>
    </row>
    <row r="3040" spans="1:12" x14ac:dyDescent="0.3">
      <c r="C3040" s="240"/>
      <c r="D3040" s="240"/>
      <c r="G3040" s="50">
        <f>РЕАЛИЗАЦИЯ[[#This Row],[СОНИ]]*РЕАЛИЗАЦИЯ[[#This Row],[НАРХИ]]</f>
        <v>0</v>
      </c>
      <c r="I3040" s="166"/>
      <c r="J3040" s="31">
        <f>РЕАЛИЗАЦИЯ[[#This Row],[СОНИ]]*РЕАЛИЗАЦИЯ[[#This Row],[ТАННАРХ]]</f>
        <v>0</v>
      </c>
      <c r="K3040" s="31">
        <f>РЕАЛИЗАЦИЯ[[#This Row],[ЖАМИ]]-РЕАЛИЗАЦИЯ[[#This Row],[ЖАМИ2]]</f>
        <v>0</v>
      </c>
      <c r="L3040" s="31"/>
    </row>
    <row r="3041" spans="3:12" x14ac:dyDescent="0.3">
      <c r="C3041" s="240"/>
      <c r="D3041" s="240"/>
      <c r="G3041" s="50">
        <f>РЕАЛИЗАЦИЯ[[#This Row],[СОНИ]]*РЕАЛИЗАЦИЯ[[#This Row],[НАРХИ]]</f>
        <v>0</v>
      </c>
      <c r="I3041" s="166"/>
      <c r="J3041" s="31">
        <f>РЕАЛИЗАЦИЯ[[#This Row],[СОНИ]]*РЕАЛИЗАЦИЯ[[#This Row],[ТАННАРХ]]</f>
        <v>0</v>
      </c>
      <c r="K3041" s="31">
        <f>РЕАЛИЗАЦИЯ[[#This Row],[ЖАМИ]]-РЕАЛИЗАЦИЯ[[#This Row],[ЖАМИ2]]</f>
        <v>0</v>
      </c>
      <c r="L3041" s="31"/>
    </row>
    <row r="3042" spans="3:12" x14ac:dyDescent="0.3">
      <c r="C3042" s="240"/>
      <c r="D3042" s="240"/>
      <c r="G3042" s="50">
        <f>РЕАЛИЗАЦИЯ[[#This Row],[СОНИ]]*РЕАЛИЗАЦИЯ[[#This Row],[НАРХИ]]</f>
        <v>0</v>
      </c>
      <c r="I3042" s="166"/>
      <c r="J3042" s="31">
        <f>РЕАЛИЗАЦИЯ[[#This Row],[СОНИ]]*РЕАЛИЗАЦИЯ[[#This Row],[ТАННАРХ]]</f>
        <v>0</v>
      </c>
      <c r="K3042" s="31">
        <f>РЕАЛИЗАЦИЯ[[#This Row],[ЖАМИ]]-РЕАЛИЗАЦИЯ[[#This Row],[ЖАМИ2]]</f>
        <v>0</v>
      </c>
      <c r="L3042" s="31"/>
    </row>
    <row r="3043" spans="3:12" x14ac:dyDescent="0.3">
      <c r="C3043" s="240"/>
      <c r="D3043" s="240"/>
      <c r="G3043" s="50">
        <f>РЕАЛИЗАЦИЯ[[#This Row],[СОНИ]]*РЕАЛИЗАЦИЯ[[#This Row],[НАРХИ]]</f>
        <v>0</v>
      </c>
      <c r="I3043" s="166"/>
      <c r="J3043" s="31">
        <f>РЕАЛИЗАЦИЯ[[#This Row],[СОНИ]]*РЕАЛИЗАЦИЯ[[#This Row],[ТАННАРХ]]</f>
        <v>0</v>
      </c>
      <c r="K3043" s="31">
        <f>РЕАЛИЗАЦИЯ[[#This Row],[ЖАМИ]]-РЕАЛИЗАЦИЯ[[#This Row],[ЖАМИ2]]</f>
        <v>0</v>
      </c>
      <c r="L3043" s="31"/>
    </row>
    <row r="3044" spans="3:12" x14ac:dyDescent="0.3">
      <c r="C3044" s="240"/>
      <c r="D3044" s="240"/>
      <c r="G3044" s="50">
        <f>РЕАЛИЗАЦИЯ[[#This Row],[СОНИ]]*РЕАЛИЗАЦИЯ[[#This Row],[НАРХИ]]</f>
        <v>0</v>
      </c>
      <c r="I3044" s="166"/>
      <c r="J3044" s="31">
        <f>РЕАЛИЗАЦИЯ[[#This Row],[СОНИ]]*РЕАЛИЗАЦИЯ[[#This Row],[ТАННАРХ]]</f>
        <v>0</v>
      </c>
      <c r="K3044" s="31">
        <f>РЕАЛИЗАЦИЯ[[#This Row],[ЖАМИ]]-РЕАЛИЗАЦИЯ[[#This Row],[ЖАМИ2]]</f>
        <v>0</v>
      </c>
      <c r="L3044" s="31"/>
    </row>
    <row r="3045" spans="3:12" x14ac:dyDescent="0.3">
      <c r="C3045" s="240"/>
      <c r="D3045" s="240"/>
      <c r="G3045" s="50">
        <f>РЕАЛИЗАЦИЯ[[#This Row],[СОНИ]]*РЕАЛИЗАЦИЯ[[#This Row],[НАРХИ]]</f>
        <v>0</v>
      </c>
      <c r="I3045" s="166"/>
      <c r="J3045" s="31">
        <f>РЕАЛИЗАЦИЯ[[#This Row],[СОНИ]]*РЕАЛИЗАЦИЯ[[#This Row],[ТАННАРХ]]</f>
        <v>0</v>
      </c>
      <c r="K3045" s="31">
        <f>РЕАЛИЗАЦИЯ[[#This Row],[ЖАМИ]]-РЕАЛИЗАЦИЯ[[#This Row],[ЖАМИ2]]</f>
        <v>0</v>
      </c>
      <c r="L3045" s="31"/>
    </row>
    <row r="3046" spans="3:12" x14ac:dyDescent="0.3">
      <c r="C3046" s="240"/>
      <c r="D3046" s="240"/>
      <c r="G3046" s="50">
        <f>РЕАЛИЗАЦИЯ[[#This Row],[СОНИ]]*РЕАЛИЗАЦИЯ[[#This Row],[НАРХИ]]</f>
        <v>0</v>
      </c>
      <c r="I3046" s="166"/>
      <c r="J3046" s="31">
        <f>РЕАЛИЗАЦИЯ[[#This Row],[СОНИ]]*РЕАЛИЗАЦИЯ[[#This Row],[ТАННАРХ]]</f>
        <v>0</v>
      </c>
      <c r="K3046" s="31">
        <f>РЕАЛИЗАЦИЯ[[#This Row],[ЖАМИ]]-РЕАЛИЗАЦИЯ[[#This Row],[ЖАМИ2]]</f>
        <v>0</v>
      </c>
      <c r="L3046" s="31"/>
    </row>
    <row r="3047" spans="3:12" x14ac:dyDescent="0.3">
      <c r="C3047" s="240"/>
      <c r="D3047" s="240"/>
      <c r="G3047" s="50">
        <f>РЕАЛИЗАЦИЯ[[#This Row],[СОНИ]]*РЕАЛИЗАЦИЯ[[#This Row],[НАРХИ]]</f>
        <v>0</v>
      </c>
      <c r="I3047" s="166"/>
      <c r="J3047" s="31">
        <f>РЕАЛИЗАЦИЯ[[#This Row],[СОНИ]]*РЕАЛИЗАЦИЯ[[#This Row],[ТАННАРХ]]</f>
        <v>0</v>
      </c>
      <c r="K3047" s="31">
        <f>РЕАЛИЗАЦИЯ[[#This Row],[ЖАМИ]]-РЕАЛИЗАЦИЯ[[#This Row],[ЖАМИ2]]</f>
        <v>0</v>
      </c>
      <c r="L3047" s="31"/>
    </row>
    <row r="3048" spans="3:12" x14ac:dyDescent="0.3">
      <c r="C3048" s="240"/>
      <c r="D3048" s="240"/>
      <c r="G3048" s="50">
        <f>РЕАЛИЗАЦИЯ[[#This Row],[СОНИ]]*РЕАЛИЗАЦИЯ[[#This Row],[НАРХИ]]</f>
        <v>0</v>
      </c>
      <c r="I3048" s="166"/>
      <c r="J3048" s="31">
        <f>РЕАЛИЗАЦИЯ[[#This Row],[СОНИ]]*РЕАЛИЗАЦИЯ[[#This Row],[ТАННАРХ]]</f>
        <v>0</v>
      </c>
      <c r="K3048" s="31">
        <f>РЕАЛИЗАЦИЯ[[#This Row],[ЖАМИ]]-РЕАЛИЗАЦИЯ[[#This Row],[ЖАМИ2]]</f>
        <v>0</v>
      </c>
      <c r="L3048" s="31"/>
    </row>
    <row r="3049" spans="3:12" x14ac:dyDescent="0.3">
      <c r="C3049" s="240"/>
      <c r="D3049" s="240"/>
      <c r="G3049" s="50">
        <f>РЕАЛИЗАЦИЯ[[#This Row],[СОНИ]]*РЕАЛИЗАЦИЯ[[#This Row],[НАРХИ]]</f>
        <v>0</v>
      </c>
      <c r="I3049" s="166"/>
      <c r="J3049" s="31">
        <f>РЕАЛИЗАЦИЯ[[#This Row],[СОНИ]]*РЕАЛИЗАЦИЯ[[#This Row],[ТАННАРХ]]</f>
        <v>0</v>
      </c>
      <c r="K3049" s="31">
        <f>РЕАЛИЗАЦИЯ[[#This Row],[ЖАМИ]]-РЕАЛИЗАЦИЯ[[#This Row],[ЖАМИ2]]</f>
        <v>0</v>
      </c>
      <c r="L3049" s="31"/>
    </row>
    <row r="3050" spans="3:12" x14ac:dyDescent="0.3">
      <c r="C3050" s="240"/>
      <c r="D3050" s="240"/>
      <c r="G3050" s="50">
        <f>РЕАЛИЗАЦИЯ[[#This Row],[СОНИ]]*РЕАЛИЗАЦИЯ[[#This Row],[НАРХИ]]</f>
        <v>0</v>
      </c>
      <c r="I3050" s="166"/>
      <c r="J3050" s="31">
        <f>РЕАЛИЗАЦИЯ[[#This Row],[СОНИ]]*РЕАЛИЗАЦИЯ[[#This Row],[ТАННАРХ]]</f>
        <v>0</v>
      </c>
      <c r="K3050" s="31">
        <f>РЕАЛИЗАЦИЯ[[#This Row],[ЖАМИ]]-РЕАЛИЗАЦИЯ[[#This Row],[ЖАМИ2]]</f>
        <v>0</v>
      </c>
      <c r="L3050" s="31"/>
    </row>
    <row r="3051" spans="3:12" x14ac:dyDescent="0.3">
      <c r="C3051" s="240"/>
      <c r="D3051" s="240"/>
      <c r="G3051" s="50">
        <f>РЕАЛИЗАЦИЯ[[#This Row],[СОНИ]]*РЕАЛИЗАЦИЯ[[#This Row],[НАРХИ]]</f>
        <v>0</v>
      </c>
      <c r="I3051" s="166"/>
      <c r="J3051" s="31">
        <f>РЕАЛИЗАЦИЯ[[#This Row],[СОНИ]]*РЕАЛИЗАЦИЯ[[#This Row],[ТАННАРХ]]</f>
        <v>0</v>
      </c>
      <c r="K3051" s="31">
        <f>РЕАЛИЗАЦИЯ[[#This Row],[ЖАМИ]]-РЕАЛИЗАЦИЯ[[#This Row],[ЖАМИ2]]</f>
        <v>0</v>
      </c>
      <c r="L3051" s="31"/>
    </row>
    <row r="3052" spans="3:12" x14ac:dyDescent="0.3">
      <c r="C3052" s="240"/>
      <c r="D3052" s="240"/>
      <c r="G3052" s="50">
        <f>РЕАЛИЗАЦИЯ[[#This Row],[СОНИ]]*РЕАЛИЗАЦИЯ[[#This Row],[НАРХИ]]</f>
        <v>0</v>
      </c>
      <c r="I3052" s="166"/>
      <c r="J3052" s="31">
        <f>РЕАЛИЗАЦИЯ[[#This Row],[СОНИ]]*РЕАЛИЗАЦИЯ[[#This Row],[ТАННАРХ]]</f>
        <v>0</v>
      </c>
      <c r="K3052" s="31">
        <f>РЕАЛИЗАЦИЯ[[#This Row],[ЖАМИ]]-РЕАЛИЗАЦИЯ[[#This Row],[ЖАМИ2]]</f>
        <v>0</v>
      </c>
      <c r="L3052" s="31"/>
    </row>
    <row r="3053" spans="3:12" x14ac:dyDescent="0.3">
      <c r="C3053" s="240"/>
      <c r="D3053" s="240"/>
      <c r="G3053" s="50">
        <f>РЕАЛИЗАЦИЯ[[#This Row],[СОНИ]]*РЕАЛИЗАЦИЯ[[#This Row],[НАРХИ]]</f>
        <v>0</v>
      </c>
      <c r="I3053" s="166"/>
      <c r="J3053" s="31">
        <f>РЕАЛИЗАЦИЯ[[#This Row],[СОНИ]]*РЕАЛИЗАЦИЯ[[#This Row],[ТАННАРХ]]</f>
        <v>0</v>
      </c>
      <c r="K3053" s="31">
        <f>РЕАЛИЗАЦИЯ[[#This Row],[ЖАМИ]]-РЕАЛИЗАЦИЯ[[#This Row],[ЖАМИ2]]</f>
        <v>0</v>
      </c>
      <c r="L3053" s="31"/>
    </row>
    <row r="3054" spans="3:12" x14ac:dyDescent="0.3">
      <c r="C3054" s="240"/>
      <c r="D3054" s="240"/>
      <c r="G3054" s="50">
        <f>РЕАЛИЗАЦИЯ[[#This Row],[СОНИ]]*РЕАЛИЗАЦИЯ[[#This Row],[НАРХИ]]</f>
        <v>0</v>
      </c>
      <c r="I3054" s="166"/>
      <c r="J3054" s="31">
        <f>РЕАЛИЗАЦИЯ[[#This Row],[СОНИ]]*РЕАЛИЗАЦИЯ[[#This Row],[ТАННАРХ]]</f>
        <v>0</v>
      </c>
      <c r="K3054" s="31">
        <f>РЕАЛИЗАЦИЯ[[#This Row],[ЖАМИ]]-РЕАЛИЗАЦИЯ[[#This Row],[ЖАМИ2]]</f>
        <v>0</v>
      </c>
      <c r="L3054" s="31"/>
    </row>
    <row r="3055" spans="3:12" x14ac:dyDescent="0.3">
      <c r="C3055" s="240"/>
      <c r="D3055" s="240"/>
      <c r="G3055" s="50">
        <f>РЕАЛИЗАЦИЯ[[#This Row],[СОНИ]]*РЕАЛИЗАЦИЯ[[#This Row],[НАРХИ]]</f>
        <v>0</v>
      </c>
      <c r="I3055" s="166"/>
      <c r="J3055" s="31">
        <f>РЕАЛИЗАЦИЯ[[#This Row],[СОНИ]]*РЕАЛИЗАЦИЯ[[#This Row],[ТАННАРХ]]</f>
        <v>0</v>
      </c>
      <c r="K3055" s="31">
        <f>РЕАЛИЗАЦИЯ[[#This Row],[ЖАМИ]]-РЕАЛИЗАЦИЯ[[#This Row],[ЖАМИ2]]</f>
        <v>0</v>
      </c>
      <c r="L3055" s="31"/>
    </row>
    <row r="3056" spans="3:12" x14ac:dyDescent="0.3">
      <c r="C3056" s="240"/>
      <c r="D3056" s="240"/>
      <c r="G3056" s="50">
        <f>РЕАЛИЗАЦИЯ[[#This Row],[СОНИ]]*РЕАЛИЗАЦИЯ[[#This Row],[НАРХИ]]</f>
        <v>0</v>
      </c>
      <c r="I3056" s="166"/>
      <c r="J3056" s="31">
        <f>РЕАЛИЗАЦИЯ[[#This Row],[СОНИ]]*РЕАЛИЗАЦИЯ[[#This Row],[ТАННАРХ]]</f>
        <v>0</v>
      </c>
      <c r="K3056" s="31">
        <f>РЕАЛИЗАЦИЯ[[#This Row],[ЖАМИ]]-РЕАЛИЗАЦИЯ[[#This Row],[ЖАМИ2]]</f>
        <v>0</v>
      </c>
      <c r="L3056" s="31"/>
    </row>
    <row r="3057" spans="3:12" x14ac:dyDescent="0.3">
      <c r="C3057" s="240"/>
      <c r="D3057" s="240"/>
      <c r="G3057" s="50">
        <f>РЕАЛИЗАЦИЯ[[#This Row],[СОНИ]]*РЕАЛИЗАЦИЯ[[#This Row],[НАРХИ]]</f>
        <v>0</v>
      </c>
      <c r="I3057" s="166"/>
      <c r="J3057" s="31">
        <f>РЕАЛИЗАЦИЯ[[#This Row],[СОНИ]]*РЕАЛИЗАЦИЯ[[#This Row],[ТАННАРХ]]</f>
        <v>0</v>
      </c>
      <c r="K3057" s="31">
        <f>РЕАЛИЗАЦИЯ[[#This Row],[ЖАМИ]]-РЕАЛИЗАЦИЯ[[#This Row],[ЖАМИ2]]</f>
        <v>0</v>
      </c>
      <c r="L3057" s="31"/>
    </row>
    <row r="3058" spans="3:12" x14ac:dyDescent="0.3">
      <c r="C3058" s="240"/>
      <c r="D3058" s="240"/>
      <c r="G3058" s="50">
        <f>РЕАЛИЗАЦИЯ[[#This Row],[СОНИ]]*РЕАЛИЗАЦИЯ[[#This Row],[НАРХИ]]</f>
        <v>0</v>
      </c>
      <c r="I3058" s="166"/>
      <c r="J3058" s="31">
        <f>РЕАЛИЗАЦИЯ[[#This Row],[СОНИ]]*РЕАЛИЗАЦИЯ[[#This Row],[ТАННАРХ]]</f>
        <v>0</v>
      </c>
      <c r="K3058" s="31">
        <f>РЕАЛИЗАЦИЯ[[#This Row],[ЖАМИ]]-РЕАЛИЗАЦИЯ[[#This Row],[ЖАМИ2]]</f>
        <v>0</v>
      </c>
      <c r="L3058" s="31"/>
    </row>
    <row r="3059" spans="3:12" x14ac:dyDescent="0.3">
      <c r="C3059" s="240"/>
      <c r="D3059" s="240"/>
      <c r="G3059" s="50">
        <f>РЕАЛИЗАЦИЯ[[#This Row],[СОНИ]]*РЕАЛИЗАЦИЯ[[#This Row],[НАРХИ]]</f>
        <v>0</v>
      </c>
      <c r="I3059" s="166"/>
      <c r="J3059" s="31">
        <f>РЕАЛИЗАЦИЯ[[#This Row],[СОНИ]]*РЕАЛИЗАЦИЯ[[#This Row],[ТАННАРХ]]</f>
        <v>0</v>
      </c>
      <c r="K3059" s="31">
        <f>РЕАЛИЗАЦИЯ[[#This Row],[ЖАМИ]]-РЕАЛИЗАЦИЯ[[#This Row],[ЖАМИ2]]</f>
        <v>0</v>
      </c>
      <c r="L3059" s="31"/>
    </row>
    <row r="3060" spans="3:12" x14ac:dyDescent="0.3">
      <c r="C3060" s="240"/>
      <c r="D3060" s="240"/>
      <c r="G3060" s="50">
        <f>РЕАЛИЗАЦИЯ[[#This Row],[СОНИ]]*РЕАЛИЗАЦИЯ[[#This Row],[НАРХИ]]</f>
        <v>0</v>
      </c>
      <c r="I3060" s="166"/>
      <c r="J3060" s="31">
        <f>РЕАЛИЗАЦИЯ[[#This Row],[СОНИ]]*РЕАЛИЗАЦИЯ[[#This Row],[ТАННАРХ]]</f>
        <v>0</v>
      </c>
      <c r="K3060" s="31">
        <f>РЕАЛИЗАЦИЯ[[#This Row],[ЖАМИ]]-РЕАЛИЗАЦИЯ[[#This Row],[ЖАМИ2]]</f>
        <v>0</v>
      </c>
      <c r="L3060" s="31"/>
    </row>
    <row r="3061" spans="3:12" x14ac:dyDescent="0.3">
      <c r="C3061" s="241"/>
      <c r="D3061" s="241"/>
      <c r="G3061" s="50">
        <f>РЕАЛИЗАЦИЯ[[#This Row],[СОНИ]]*РЕАЛИЗАЦИЯ[[#This Row],[НАРХИ]]</f>
        <v>0</v>
      </c>
      <c r="I3061" s="166"/>
      <c r="J3061" s="31">
        <f>РЕАЛИЗАЦИЯ[[#This Row],[СОНИ]]*РЕАЛИЗАЦИЯ[[#This Row],[ТАННАРХ]]</f>
        <v>0</v>
      </c>
      <c r="K3061" s="31">
        <f>РЕАЛИЗАЦИЯ[[#This Row],[ЖАМИ]]-РЕАЛИЗАЦИЯ[[#This Row],[ЖАМИ2]]</f>
        <v>0</v>
      </c>
      <c r="L3061" s="31"/>
    </row>
    <row r="3062" spans="3:12" x14ac:dyDescent="0.3">
      <c r="C3062" s="241"/>
      <c r="D3062" s="241"/>
      <c r="G3062" s="50">
        <f>РЕАЛИЗАЦИЯ[[#This Row],[СОНИ]]*РЕАЛИЗАЦИЯ[[#This Row],[НАРХИ]]</f>
        <v>0</v>
      </c>
      <c r="I3062" s="166"/>
      <c r="J3062" s="31">
        <f>РЕАЛИЗАЦИЯ[[#This Row],[СОНИ]]*РЕАЛИЗАЦИЯ[[#This Row],[ТАННАРХ]]</f>
        <v>0</v>
      </c>
      <c r="K3062" s="31">
        <f>РЕАЛИЗАЦИЯ[[#This Row],[ЖАМИ]]-РЕАЛИЗАЦИЯ[[#This Row],[ЖАМИ2]]</f>
        <v>0</v>
      </c>
      <c r="L3062" s="31"/>
    </row>
    <row r="3063" spans="3:12" x14ac:dyDescent="0.3">
      <c r="C3063" s="241"/>
      <c r="D3063" s="241"/>
      <c r="G3063" s="50">
        <f>РЕАЛИЗАЦИЯ[[#This Row],[СОНИ]]*РЕАЛИЗАЦИЯ[[#This Row],[НАРХИ]]</f>
        <v>0</v>
      </c>
      <c r="I3063" s="166"/>
      <c r="J3063" s="31">
        <f>РЕАЛИЗАЦИЯ[[#This Row],[СОНИ]]*РЕАЛИЗАЦИЯ[[#This Row],[ТАННАРХ]]</f>
        <v>0</v>
      </c>
      <c r="K3063" s="31">
        <f>РЕАЛИЗАЦИЯ[[#This Row],[ЖАМИ]]-РЕАЛИЗАЦИЯ[[#This Row],[ЖАМИ2]]</f>
        <v>0</v>
      </c>
      <c r="L3063" s="31"/>
    </row>
    <row r="3064" spans="3:12" x14ac:dyDescent="0.3">
      <c r="C3064" s="241"/>
      <c r="D3064" s="241"/>
      <c r="G3064" s="50">
        <f>РЕАЛИЗАЦИЯ[[#This Row],[СОНИ]]*РЕАЛИЗАЦИЯ[[#This Row],[НАРХИ]]</f>
        <v>0</v>
      </c>
      <c r="I3064" s="166"/>
      <c r="J3064" s="31">
        <f>РЕАЛИЗАЦИЯ[[#This Row],[СОНИ]]*РЕАЛИЗАЦИЯ[[#This Row],[ТАННАРХ]]</f>
        <v>0</v>
      </c>
      <c r="K3064" s="31">
        <f>РЕАЛИЗАЦИЯ[[#This Row],[ЖАМИ]]-РЕАЛИЗАЦИЯ[[#This Row],[ЖАМИ2]]</f>
        <v>0</v>
      </c>
      <c r="L3064" s="31"/>
    </row>
    <row r="3065" spans="3:12" x14ac:dyDescent="0.3">
      <c r="C3065" s="241"/>
      <c r="D3065" s="241"/>
      <c r="G3065" s="50">
        <f>РЕАЛИЗАЦИЯ[[#This Row],[СОНИ]]*РЕАЛИЗАЦИЯ[[#This Row],[НАРХИ]]</f>
        <v>0</v>
      </c>
      <c r="I3065" s="166"/>
      <c r="J3065" s="31">
        <f>РЕАЛИЗАЦИЯ[[#This Row],[СОНИ]]*РЕАЛИЗАЦИЯ[[#This Row],[ТАННАРХ]]</f>
        <v>0</v>
      </c>
      <c r="K3065" s="31">
        <f>РЕАЛИЗАЦИЯ[[#This Row],[ЖАМИ]]-РЕАЛИЗАЦИЯ[[#This Row],[ЖАМИ2]]</f>
        <v>0</v>
      </c>
      <c r="L3065" s="31"/>
    </row>
    <row r="3066" spans="3:12" x14ac:dyDescent="0.3">
      <c r="C3066" s="241"/>
      <c r="D3066" s="241"/>
      <c r="G3066" s="50">
        <f>РЕАЛИЗАЦИЯ[[#This Row],[СОНИ]]*РЕАЛИЗАЦИЯ[[#This Row],[НАРХИ]]</f>
        <v>0</v>
      </c>
      <c r="I3066" s="166"/>
      <c r="J3066" s="31">
        <f>РЕАЛИЗАЦИЯ[[#This Row],[СОНИ]]*РЕАЛИЗАЦИЯ[[#This Row],[ТАННАРХ]]</f>
        <v>0</v>
      </c>
      <c r="K3066" s="31">
        <f>РЕАЛИЗАЦИЯ[[#This Row],[ЖАМИ]]-РЕАЛИЗАЦИЯ[[#This Row],[ЖАМИ2]]</f>
        <v>0</v>
      </c>
      <c r="L3066" s="31"/>
    </row>
    <row r="3067" spans="3:12" x14ac:dyDescent="0.3">
      <c r="C3067" s="241"/>
      <c r="D3067" s="241"/>
      <c r="G3067" s="50">
        <f>РЕАЛИЗАЦИЯ[[#This Row],[СОНИ]]*РЕАЛИЗАЦИЯ[[#This Row],[НАРХИ]]</f>
        <v>0</v>
      </c>
      <c r="I3067" s="166"/>
      <c r="J3067" s="31">
        <f>РЕАЛИЗАЦИЯ[[#This Row],[СОНИ]]*РЕАЛИЗАЦИЯ[[#This Row],[ТАННАРХ]]</f>
        <v>0</v>
      </c>
      <c r="K3067" s="31">
        <f>РЕАЛИЗАЦИЯ[[#This Row],[ЖАМИ]]-РЕАЛИЗАЦИЯ[[#This Row],[ЖАМИ2]]</f>
        <v>0</v>
      </c>
      <c r="L3067" s="31"/>
    </row>
    <row r="3068" spans="3:12" x14ac:dyDescent="0.3">
      <c r="C3068" s="241"/>
      <c r="D3068" s="241"/>
      <c r="G3068" s="50">
        <f>РЕАЛИЗАЦИЯ[[#This Row],[СОНИ]]*РЕАЛИЗАЦИЯ[[#This Row],[НАРХИ]]</f>
        <v>0</v>
      </c>
      <c r="I3068" s="166"/>
      <c r="J3068" s="31">
        <f>РЕАЛИЗАЦИЯ[[#This Row],[СОНИ]]*РЕАЛИЗАЦИЯ[[#This Row],[ТАННАРХ]]</f>
        <v>0</v>
      </c>
      <c r="K3068" s="31">
        <f>РЕАЛИЗАЦИЯ[[#This Row],[ЖАМИ]]-РЕАЛИЗАЦИЯ[[#This Row],[ЖАМИ2]]</f>
        <v>0</v>
      </c>
      <c r="L3068" s="31"/>
    </row>
    <row r="3069" spans="3:12" x14ac:dyDescent="0.3">
      <c r="C3069" s="241"/>
      <c r="D3069" s="241"/>
      <c r="G3069" s="50">
        <f>РЕАЛИЗАЦИЯ[[#This Row],[СОНИ]]*РЕАЛИЗАЦИЯ[[#This Row],[НАРХИ]]</f>
        <v>0</v>
      </c>
      <c r="I3069" s="166"/>
      <c r="J3069" s="31">
        <f>РЕАЛИЗАЦИЯ[[#This Row],[СОНИ]]*РЕАЛИЗАЦИЯ[[#This Row],[ТАННАРХ]]</f>
        <v>0</v>
      </c>
      <c r="K3069" s="31">
        <f>РЕАЛИЗАЦИЯ[[#This Row],[ЖАМИ]]-РЕАЛИЗАЦИЯ[[#This Row],[ЖАМИ2]]</f>
        <v>0</v>
      </c>
      <c r="L3069" s="31"/>
    </row>
    <row r="3070" spans="3:12" x14ac:dyDescent="0.3">
      <c r="C3070" s="241"/>
      <c r="D3070" s="241"/>
      <c r="G3070" s="50">
        <f>РЕАЛИЗАЦИЯ[[#This Row],[СОНИ]]*РЕАЛИЗАЦИЯ[[#This Row],[НАРХИ]]</f>
        <v>0</v>
      </c>
      <c r="I3070" s="166"/>
      <c r="J3070" s="31">
        <f>РЕАЛИЗАЦИЯ[[#This Row],[СОНИ]]*РЕАЛИЗАЦИЯ[[#This Row],[ТАННАРХ]]</f>
        <v>0</v>
      </c>
      <c r="K3070" s="31">
        <f>РЕАЛИЗАЦИЯ[[#This Row],[ЖАМИ]]-РЕАЛИЗАЦИЯ[[#This Row],[ЖАМИ2]]</f>
        <v>0</v>
      </c>
      <c r="L3070" s="31"/>
    </row>
    <row r="3071" spans="3:12" x14ac:dyDescent="0.3">
      <c r="C3071" s="241"/>
      <c r="D3071" s="241"/>
      <c r="G3071" s="50">
        <f>РЕАЛИЗАЦИЯ[[#This Row],[СОНИ]]*РЕАЛИЗАЦИЯ[[#This Row],[НАРХИ]]</f>
        <v>0</v>
      </c>
      <c r="I3071" s="166"/>
      <c r="J3071" s="31">
        <f>РЕАЛИЗАЦИЯ[[#This Row],[СОНИ]]*РЕАЛИЗАЦИЯ[[#This Row],[ТАННАРХ]]</f>
        <v>0</v>
      </c>
      <c r="K3071" s="31">
        <f>РЕАЛИЗАЦИЯ[[#This Row],[ЖАМИ]]-РЕАЛИЗАЦИЯ[[#This Row],[ЖАМИ2]]</f>
        <v>0</v>
      </c>
      <c r="L3071" s="31"/>
    </row>
    <row r="3072" spans="3:12" x14ac:dyDescent="0.3">
      <c r="C3072" s="241"/>
      <c r="D3072" s="241"/>
      <c r="G3072" s="50">
        <f>РЕАЛИЗАЦИЯ[[#This Row],[СОНИ]]*РЕАЛИЗАЦИЯ[[#This Row],[НАРХИ]]</f>
        <v>0</v>
      </c>
      <c r="I3072" s="166"/>
      <c r="J3072" s="31">
        <f>РЕАЛИЗАЦИЯ[[#This Row],[СОНИ]]*РЕАЛИЗАЦИЯ[[#This Row],[ТАННАРХ]]</f>
        <v>0</v>
      </c>
      <c r="K3072" s="31">
        <f>РЕАЛИЗАЦИЯ[[#This Row],[ЖАМИ]]-РЕАЛИЗАЦИЯ[[#This Row],[ЖАМИ2]]</f>
        <v>0</v>
      </c>
      <c r="L3072" s="31"/>
    </row>
    <row r="3073" spans="3:12" x14ac:dyDescent="0.3">
      <c r="C3073" s="243"/>
      <c r="D3073" s="243"/>
      <c r="G3073" s="50">
        <f>РЕАЛИЗАЦИЯ[[#This Row],[СОНИ]]*РЕАЛИЗАЦИЯ[[#This Row],[НАРХИ]]</f>
        <v>0</v>
      </c>
      <c r="I3073" s="166"/>
      <c r="J3073" s="31">
        <f>РЕАЛИЗАЦИЯ[[#This Row],[СОНИ]]*РЕАЛИЗАЦИЯ[[#This Row],[ТАННАРХ]]</f>
        <v>0</v>
      </c>
      <c r="K3073" s="31">
        <f>РЕАЛИЗАЦИЯ[[#This Row],[ЖАМИ]]-РЕАЛИЗАЦИЯ[[#This Row],[ЖАМИ2]]</f>
        <v>0</v>
      </c>
      <c r="L3073" s="31"/>
    </row>
    <row r="3074" spans="3:12" x14ac:dyDescent="0.3">
      <c r="C3074" s="243"/>
      <c r="D3074" s="243"/>
      <c r="G3074" s="50">
        <f>РЕАЛИЗАЦИЯ[[#This Row],[СОНИ]]*РЕАЛИЗАЦИЯ[[#This Row],[НАРХИ]]</f>
        <v>0</v>
      </c>
      <c r="I3074" s="166"/>
      <c r="J3074" s="31">
        <f>РЕАЛИЗАЦИЯ[[#This Row],[СОНИ]]*РЕАЛИЗАЦИЯ[[#This Row],[ТАННАРХ]]</f>
        <v>0</v>
      </c>
      <c r="K3074" s="31">
        <f>РЕАЛИЗАЦИЯ[[#This Row],[ЖАМИ]]-РЕАЛИЗАЦИЯ[[#This Row],[ЖАМИ2]]</f>
        <v>0</v>
      </c>
      <c r="L3074" s="31"/>
    </row>
    <row r="3075" spans="3:12" x14ac:dyDescent="0.3">
      <c r="C3075" s="243"/>
      <c r="D3075" s="243"/>
      <c r="G3075" s="50">
        <f>РЕАЛИЗАЦИЯ[[#This Row],[СОНИ]]*РЕАЛИЗАЦИЯ[[#This Row],[НАРХИ]]</f>
        <v>0</v>
      </c>
      <c r="I3075" s="166"/>
      <c r="J3075" s="31">
        <f>РЕАЛИЗАЦИЯ[[#This Row],[СОНИ]]*РЕАЛИЗАЦИЯ[[#This Row],[ТАННАРХ]]</f>
        <v>0</v>
      </c>
      <c r="K3075" s="31">
        <f>РЕАЛИЗАЦИЯ[[#This Row],[ЖАМИ]]-РЕАЛИЗАЦИЯ[[#This Row],[ЖАМИ2]]</f>
        <v>0</v>
      </c>
      <c r="L3075" s="31"/>
    </row>
    <row r="3076" spans="3:12" x14ac:dyDescent="0.3">
      <c r="C3076" s="243"/>
      <c r="D3076" s="243"/>
      <c r="G3076" s="50">
        <f>РЕАЛИЗАЦИЯ[[#This Row],[СОНИ]]*РЕАЛИЗАЦИЯ[[#This Row],[НАРХИ]]</f>
        <v>0</v>
      </c>
      <c r="I3076" s="166"/>
      <c r="J3076" s="31">
        <f>РЕАЛИЗАЦИЯ[[#This Row],[СОНИ]]*РЕАЛИЗАЦИЯ[[#This Row],[ТАННАРХ]]</f>
        <v>0</v>
      </c>
      <c r="K3076" s="31">
        <f>РЕАЛИЗАЦИЯ[[#This Row],[ЖАМИ]]-РЕАЛИЗАЦИЯ[[#This Row],[ЖАМИ2]]</f>
        <v>0</v>
      </c>
      <c r="L3076" s="31"/>
    </row>
    <row r="3077" spans="3:12" x14ac:dyDescent="0.3">
      <c r="C3077" s="243"/>
      <c r="D3077" s="243"/>
      <c r="G3077" s="50">
        <f>РЕАЛИЗАЦИЯ[[#This Row],[СОНИ]]*РЕАЛИЗАЦИЯ[[#This Row],[НАРХИ]]</f>
        <v>0</v>
      </c>
      <c r="I3077" s="166"/>
      <c r="J3077" s="31">
        <f>РЕАЛИЗАЦИЯ[[#This Row],[СОНИ]]*РЕАЛИЗАЦИЯ[[#This Row],[ТАННАРХ]]</f>
        <v>0</v>
      </c>
      <c r="K3077" s="31">
        <f>РЕАЛИЗАЦИЯ[[#This Row],[ЖАМИ]]-РЕАЛИЗАЦИЯ[[#This Row],[ЖАМИ2]]</f>
        <v>0</v>
      </c>
      <c r="L3077" s="31"/>
    </row>
    <row r="3078" spans="3:12" x14ac:dyDescent="0.3">
      <c r="C3078" s="243"/>
      <c r="D3078" s="243"/>
      <c r="G3078" s="50">
        <f>РЕАЛИЗАЦИЯ[[#This Row],[СОНИ]]*РЕАЛИЗАЦИЯ[[#This Row],[НАРХИ]]</f>
        <v>0</v>
      </c>
      <c r="I3078" s="166"/>
      <c r="J3078" s="31">
        <f>РЕАЛИЗАЦИЯ[[#This Row],[СОНИ]]*РЕАЛИЗАЦИЯ[[#This Row],[ТАННАРХ]]</f>
        <v>0</v>
      </c>
      <c r="K3078" s="31">
        <f>РЕАЛИЗАЦИЯ[[#This Row],[ЖАМИ]]-РЕАЛИЗАЦИЯ[[#This Row],[ЖАМИ2]]</f>
        <v>0</v>
      </c>
      <c r="L3078" s="31"/>
    </row>
    <row r="3079" spans="3:12" x14ac:dyDescent="0.3">
      <c r="C3079" s="243"/>
      <c r="D3079" s="243"/>
      <c r="G3079" s="50">
        <f>РЕАЛИЗАЦИЯ[[#This Row],[СОНИ]]*РЕАЛИЗАЦИЯ[[#This Row],[НАРХИ]]</f>
        <v>0</v>
      </c>
      <c r="I3079" s="166"/>
      <c r="J3079" s="31">
        <f>РЕАЛИЗАЦИЯ[[#This Row],[СОНИ]]*РЕАЛИЗАЦИЯ[[#This Row],[ТАННАРХ]]</f>
        <v>0</v>
      </c>
      <c r="K3079" s="31">
        <f>РЕАЛИЗАЦИЯ[[#This Row],[ЖАМИ]]-РЕАЛИЗАЦИЯ[[#This Row],[ЖАМИ2]]</f>
        <v>0</v>
      </c>
      <c r="L3079" s="31"/>
    </row>
    <row r="3080" spans="3:12" x14ac:dyDescent="0.3">
      <c r="C3080" s="243"/>
      <c r="D3080" s="243"/>
      <c r="G3080" s="50">
        <f>РЕАЛИЗАЦИЯ[[#This Row],[СОНИ]]*РЕАЛИЗАЦИЯ[[#This Row],[НАРХИ]]</f>
        <v>0</v>
      </c>
      <c r="I3080" s="166"/>
      <c r="J3080" s="31">
        <f>РЕАЛИЗАЦИЯ[[#This Row],[СОНИ]]*РЕАЛИЗАЦИЯ[[#This Row],[ТАННАРХ]]</f>
        <v>0</v>
      </c>
      <c r="K3080" s="31">
        <f>РЕАЛИЗАЦИЯ[[#This Row],[ЖАМИ]]-РЕАЛИЗАЦИЯ[[#This Row],[ЖАМИ2]]</f>
        <v>0</v>
      </c>
      <c r="L3080" s="31"/>
    </row>
    <row r="3081" spans="3:12" x14ac:dyDescent="0.3">
      <c r="C3081" s="243"/>
      <c r="D3081" s="243"/>
      <c r="G3081" s="50">
        <f>РЕАЛИЗАЦИЯ[[#This Row],[СОНИ]]*РЕАЛИЗАЦИЯ[[#This Row],[НАРХИ]]</f>
        <v>0</v>
      </c>
      <c r="I3081" s="166"/>
      <c r="J3081" s="31">
        <f>РЕАЛИЗАЦИЯ[[#This Row],[СОНИ]]*РЕАЛИЗАЦИЯ[[#This Row],[ТАННАРХ]]</f>
        <v>0</v>
      </c>
      <c r="K3081" s="31">
        <f>РЕАЛИЗАЦИЯ[[#This Row],[ЖАМИ]]-РЕАЛИЗАЦИЯ[[#This Row],[ЖАМИ2]]</f>
        <v>0</v>
      </c>
      <c r="L3081" s="31"/>
    </row>
    <row r="3082" spans="3:12" x14ac:dyDescent="0.3">
      <c r="C3082" s="243"/>
      <c r="D3082" s="243"/>
      <c r="G3082" s="50">
        <f>РЕАЛИЗАЦИЯ[[#This Row],[СОНИ]]*РЕАЛИЗАЦИЯ[[#This Row],[НАРХИ]]</f>
        <v>0</v>
      </c>
      <c r="I3082" s="166"/>
      <c r="J3082" s="31">
        <f>РЕАЛИЗАЦИЯ[[#This Row],[СОНИ]]*РЕАЛИЗАЦИЯ[[#This Row],[ТАННАРХ]]</f>
        <v>0</v>
      </c>
      <c r="K3082" s="31">
        <f>РЕАЛИЗАЦИЯ[[#This Row],[ЖАМИ]]-РЕАЛИЗАЦИЯ[[#This Row],[ЖАМИ2]]</f>
        <v>0</v>
      </c>
      <c r="L3082" s="31"/>
    </row>
    <row r="3083" spans="3:12" x14ac:dyDescent="0.3">
      <c r="C3083" s="243"/>
      <c r="D3083" s="243"/>
      <c r="G3083" s="50">
        <f>РЕАЛИЗАЦИЯ[[#This Row],[СОНИ]]*РЕАЛИЗАЦИЯ[[#This Row],[НАРХИ]]</f>
        <v>0</v>
      </c>
      <c r="I3083" s="166"/>
      <c r="J3083" s="31">
        <f>РЕАЛИЗАЦИЯ[[#This Row],[СОНИ]]*РЕАЛИЗАЦИЯ[[#This Row],[ТАННАРХ]]</f>
        <v>0</v>
      </c>
      <c r="K3083" s="31">
        <f>РЕАЛИЗАЦИЯ[[#This Row],[ЖАМИ]]-РЕАЛИЗАЦИЯ[[#This Row],[ЖАМИ2]]</f>
        <v>0</v>
      </c>
      <c r="L3083" s="31"/>
    </row>
    <row r="3084" spans="3:12" x14ac:dyDescent="0.3">
      <c r="C3084" s="243"/>
      <c r="D3084" s="243"/>
      <c r="G3084" s="50">
        <f>РЕАЛИЗАЦИЯ[[#This Row],[СОНИ]]*РЕАЛИЗАЦИЯ[[#This Row],[НАРХИ]]</f>
        <v>0</v>
      </c>
      <c r="I3084" s="166"/>
      <c r="J3084" s="31">
        <f>РЕАЛИЗАЦИЯ[[#This Row],[СОНИ]]*РЕАЛИЗАЦИЯ[[#This Row],[ТАННАРХ]]</f>
        <v>0</v>
      </c>
      <c r="K3084" s="31">
        <f>РЕАЛИЗАЦИЯ[[#This Row],[ЖАМИ]]-РЕАЛИЗАЦИЯ[[#This Row],[ЖАМИ2]]</f>
        <v>0</v>
      </c>
      <c r="L3084" s="31"/>
    </row>
    <row r="3085" spans="3:12" x14ac:dyDescent="0.3">
      <c r="C3085" s="243"/>
      <c r="D3085" s="243"/>
      <c r="G3085" s="50">
        <f>РЕАЛИЗАЦИЯ[[#This Row],[СОНИ]]*РЕАЛИЗАЦИЯ[[#This Row],[НАРХИ]]</f>
        <v>0</v>
      </c>
      <c r="I3085" s="166"/>
      <c r="J3085" s="31">
        <f>РЕАЛИЗАЦИЯ[[#This Row],[СОНИ]]*РЕАЛИЗАЦИЯ[[#This Row],[ТАННАРХ]]</f>
        <v>0</v>
      </c>
      <c r="K3085" s="31">
        <f>РЕАЛИЗАЦИЯ[[#This Row],[ЖАМИ]]-РЕАЛИЗАЦИЯ[[#This Row],[ЖАМИ2]]</f>
        <v>0</v>
      </c>
      <c r="L3085" s="31"/>
    </row>
    <row r="3086" spans="3:12" x14ac:dyDescent="0.3">
      <c r="C3086" s="243"/>
      <c r="D3086" s="243"/>
      <c r="G3086" s="50">
        <f>РЕАЛИЗАЦИЯ[[#This Row],[СОНИ]]*РЕАЛИЗАЦИЯ[[#This Row],[НАРХИ]]</f>
        <v>0</v>
      </c>
      <c r="I3086" s="166"/>
      <c r="J3086" s="31">
        <f>РЕАЛИЗАЦИЯ[[#This Row],[СОНИ]]*РЕАЛИЗАЦИЯ[[#This Row],[ТАННАРХ]]</f>
        <v>0</v>
      </c>
      <c r="K3086" s="31">
        <f>РЕАЛИЗАЦИЯ[[#This Row],[ЖАМИ]]-РЕАЛИЗАЦИЯ[[#This Row],[ЖАМИ2]]</f>
        <v>0</v>
      </c>
      <c r="L3086" s="31"/>
    </row>
    <row r="3087" spans="3:12" x14ac:dyDescent="0.3">
      <c r="C3087" s="243"/>
      <c r="D3087" s="243"/>
      <c r="G3087" s="50">
        <f>РЕАЛИЗАЦИЯ[[#This Row],[СОНИ]]*РЕАЛИЗАЦИЯ[[#This Row],[НАРХИ]]</f>
        <v>0</v>
      </c>
      <c r="I3087" s="166"/>
      <c r="J3087" s="31">
        <f>РЕАЛИЗАЦИЯ[[#This Row],[СОНИ]]*РЕАЛИЗАЦИЯ[[#This Row],[ТАННАРХ]]</f>
        <v>0</v>
      </c>
      <c r="K3087" s="31">
        <f>РЕАЛИЗАЦИЯ[[#This Row],[ЖАМИ]]-РЕАЛИЗАЦИЯ[[#This Row],[ЖАМИ2]]</f>
        <v>0</v>
      </c>
      <c r="L3087" s="31"/>
    </row>
    <row r="3088" spans="3:12" x14ac:dyDescent="0.3">
      <c r="C3088" s="243"/>
      <c r="D3088" s="243"/>
      <c r="G3088" s="50">
        <f>РЕАЛИЗАЦИЯ[[#This Row],[СОНИ]]*РЕАЛИЗАЦИЯ[[#This Row],[НАРХИ]]</f>
        <v>0</v>
      </c>
      <c r="I3088" s="166"/>
      <c r="J3088" s="31">
        <f>РЕАЛИЗАЦИЯ[[#This Row],[СОНИ]]*РЕАЛИЗАЦИЯ[[#This Row],[ТАННАРХ]]</f>
        <v>0</v>
      </c>
      <c r="K3088" s="31">
        <f>РЕАЛИЗАЦИЯ[[#This Row],[ЖАМИ]]-РЕАЛИЗАЦИЯ[[#This Row],[ЖАМИ2]]</f>
        <v>0</v>
      </c>
      <c r="L3088" s="31"/>
    </row>
    <row r="3089" spans="1:12" x14ac:dyDescent="0.3">
      <c r="C3089" s="243"/>
      <c r="D3089" s="243"/>
      <c r="G3089" s="50">
        <f>РЕАЛИЗАЦИЯ[[#This Row],[СОНИ]]*РЕАЛИЗАЦИЯ[[#This Row],[НАРХИ]]</f>
        <v>0</v>
      </c>
      <c r="I3089" s="166"/>
      <c r="J3089" s="31">
        <f>РЕАЛИЗАЦИЯ[[#This Row],[СОНИ]]*РЕАЛИЗАЦИЯ[[#This Row],[ТАННАРХ]]</f>
        <v>0</v>
      </c>
      <c r="K3089" s="31">
        <f>РЕАЛИЗАЦИЯ[[#This Row],[ЖАМИ]]-РЕАЛИЗАЦИЯ[[#This Row],[ЖАМИ2]]</f>
        <v>0</v>
      </c>
      <c r="L3089" s="31"/>
    </row>
    <row r="3090" spans="1:12" x14ac:dyDescent="0.3">
      <c r="C3090" s="243"/>
      <c r="D3090" s="243"/>
      <c r="G3090" s="50">
        <f>РЕАЛИЗАЦИЯ[[#This Row],[СОНИ]]*РЕАЛИЗАЦИЯ[[#This Row],[НАРХИ]]</f>
        <v>0</v>
      </c>
      <c r="I3090" s="166"/>
      <c r="J3090" s="31">
        <f>РЕАЛИЗАЦИЯ[[#This Row],[СОНИ]]*РЕАЛИЗАЦИЯ[[#This Row],[ТАННАРХ]]</f>
        <v>0</v>
      </c>
      <c r="K3090" s="31">
        <f>РЕАЛИЗАЦИЯ[[#This Row],[ЖАМИ]]-РЕАЛИЗАЦИЯ[[#This Row],[ЖАМИ2]]</f>
        <v>0</v>
      </c>
      <c r="L3090" s="31"/>
    </row>
    <row r="3091" spans="1:12" x14ac:dyDescent="0.3">
      <c r="C3091" s="243"/>
      <c r="D3091" s="243"/>
      <c r="G3091" s="50">
        <f>РЕАЛИЗАЦИЯ[[#This Row],[СОНИ]]*РЕАЛИЗАЦИЯ[[#This Row],[НАРХИ]]</f>
        <v>0</v>
      </c>
      <c r="I3091" s="166"/>
      <c r="J3091" s="31">
        <f>РЕАЛИЗАЦИЯ[[#This Row],[СОНИ]]*РЕАЛИЗАЦИЯ[[#This Row],[ТАННАРХ]]</f>
        <v>0</v>
      </c>
      <c r="K3091" s="31">
        <f>РЕАЛИЗАЦИЯ[[#This Row],[ЖАМИ]]-РЕАЛИЗАЦИЯ[[#This Row],[ЖАМИ2]]</f>
        <v>0</v>
      </c>
      <c r="L3091" s="31"/>
    </row>
    <row r="3092" spans="1:12" x14ac:dyDescent="0.3">
      <c r="C3092" s="245"/>
      <c r="D3092" s="245"/>
      <c r="G3092" s="50">
        <f>РЕАЛИЗАЦИЯ[[#This Row],[СОНИ]]*РЕАЛИЗАЦИЯ[[#This Row],[НАРХИ]]</f>
        <v>0</v>
      </c>
      <c r="I3092" s="166"/>
      <c r="J3092" s="31">
        <f>РЕАЛИЗАЦИЯ[[#This Row],[СОНИ]]*РЕАЛИЗАЦИЯ[[#This Row],[ТАННАРХ]]</f>
        <v>0</v>
      </c>
      <c r="K3092" s="31">
        <f>РЕАЛИЗАЦИЯ[[#This Row],[ЖАМИ]]-РЕАЛИЗАЦИЯ[[#This Row],[ЖАМИ2]]</f>
        <v>0</v>
      </c>
      <c r="L3092" s="31"/>
    </row>
    <row r="3093" spans="1:12" x14ac:dyDescent="0.3">
      <c r="C3093" s="243"/>
      <c r="D3093" s="243"/>
      <c r="G3093" s="50">
        <f>РЕАЛИЗАЦИЯ[[#This Row],[СОНИ]]*РЕАЛИЗАЦИЯ[[#This Row],[НАРХИ]]</f>
        <v>0</v>
      </c>
      <c r="I3093" s="166"/>
      <c r="J3093" s="31">
        <f>РЕАЛИЗАЦИЯ[[#This Row],[СОНИ]]*РЕАЛИЗАЦИЯ[[#This Row],[ТАННАРХ]]</f>
        <v>0</v>
      </c>
      <c r="K3093" s="31">
        <f>РЕАЛИЗАЦИЯ[[#This Row],[ЖАМИ]]-РЕАЛИЗАЦИЯ[[#This Row],[ЖАМИ2]]</f>
        <v>0</v>
      </c>
      <c r="L3093" s="31"/>
    </row>
    <row r="3094" spans="1:12" x14ac:dyDescent="0.3">
      <c r="C3094" s="243"/>
      <c r="D3094" s="243"/>
      <c r="G3094" s="50">
        <f>РЕАЛИЗАЦИЯ[[#This Row],[СОНИ]]*РЕАЛИЗАЦИЯ[[#This Row],[НАРХИ]]</f>
        <v>0</v>
      </c>
      <c r="I3094" s="166"/>
      <c r="J3094" s="31">
        <f>РЕАЛИЗАЦИЯ[[#This Row],[СОНИ]]*РЕАЛИЗАЦИЯ[[#This Row],[ТАННАРХ]]</f>
        <v>0</v>
      </c>
      <c r="K3094" s="31">
        <f>РЕАЛИЗАЦИЯ[[#This Row],[ЖАМИ]]-РЕАЛИЗАЦИЯ[[#This Row],[ЖАМИ2]]</f>
        <v>0</v>
      </c>
      <c r="L3094" s="31"/>
    </row>
    <row r="3095" spans="1:12" x14ac:dyDescent="0.3">
      <c r="C3095" s="243"/>
      <c r="D3095" s="243"/>
      <c r="G3095" s="50">
        <f>РЕАЛИЗАЦИЯ[[#This Row],[СОНИ]]*РЕАЛИЗАЦИЯ[[#This Row],[НАРХИ]]</f>
        <v>0</v>
      </c>
      <c r="I3095" s="166"/>
      <c r="J3095" s="31">
        <f>РЕАЛИЗАЦИЯ[[#This Row],[СОНИ]]*РЕАЛИЗАЦИЯ[[#This Row],[ТАННАРХ]]</f>
        <v>0</v>
      </c>
      <c r="K3095" s="31">
        <f>РЕАЛИЗАЦИЯ[[#This Row],[ЖАМИ]]-РЕАЛИЗАЦИЯ[[#This Row],[ЖАМИ2]]</f>
        <v>0</v>
      </c>
      <c r="L3095" s="31"/>
    </row>
    <row r="3096" spans="1:12" x14ac:dyDescent="0.3">
      <c r="C3096" s="243"/>
      <c r="D3096" s="243"/>
      <c r="G3096" s="50">
        <f>РЕАЛИЗАЦИЯ[[#This Row],[СОНИ]]*РЕАЛИЗАЦИЯ[[#This Row],[НАРХИ]]</f>
        <v>0</v>
      </c>
      <c r="I3096" s="166"/>
      <c r="J3096" s="31">
        <f>РЕАЛИЗАЦИЯ[[#This Row],[СОНИ]]*РЕАЛИЗАЦИЯ[[#This Row],[ТАННАРХ]]</f>
        <v>0</v>
      </c>
      <c r="K3096" s="31">
        <f>РЕАЛИЗАЦИЯ[[#This Row],[ЖАМИ]]-РЕАЛИЗАЦИЯ[[#This Row],[ЖАМИ2]]</f>
        <v>0</v>
      </c>
      <c r="L3096" s="31"/>
    </row>
    <row r="3097" spans="1:12" x14ac:dyDescent="0.3">
      <c r="C3097" s="243"/>
      <c r="D3097" s="243"/>
      <c r="G3097" s="50">
        <f>РЕАЛИЗАЦИЯ[[#This Row],[СОНИ]]*РЕАЛИЗАЦИЯ[[#This Row],[НАРХИ]]</f>
        <v>0</v>
      </c>
      <c r="I3097" s="166"/>
      <c r="J3097" s="31">
        <f>РЕАЛИЗАЦИЯ[[#This Row],[СОНИ]]*РЕАЛИЗАЦИЯ[[#This Row],[ТАННАРХ]]</f>
        <v>0</v>
      </c>
      <c r="K3097" s="31">
        <f>РЕАЛИЗАЦИЯ[[#This Row],[ЖАМИ]]-РЕАЛИЗАЦИЯ[[#This Row],[ЖАМИ2]]</f>
        <v>0</v>
      </c>
      <c r="L3097" s="31"/>
    </row>
    <row r="3098" spans="1:12" x14ac:dyDescent="0.3">
      <c r="C3098" s="243"/>
      <c r="D3098" s="243"/>
      <c r="G3098" s="50">
        <f>РЕАЛИЗАЦИЯ[[#This Row],[СОНИ]]*РЕАЛИЗАЦИЯ[[#This Row],[НАРХИ]]</f>
        <v>0</v>
      </c>
      <c r="I3098" s="166"/>
      <c r="J3098" s="31">
        <f>РЕАЛИЗАЦИЯ[[#This Row],[СОНИ]]*РЕАЛИЗАЦИЯ[[#This Row],[ТАННАРХ]]</f>
        <v>0</v>
      </c>
      <c r="K3098" s="31">
        <f>РЕАЛИЗАЦИЯ[[#This Row],[ЖАМИ]]-РЕАЛИЗАЦИЯ[[#This Row],[ЖАМИ2]]</f>
        <v>0</v>
      </c>
      <c r="L3098" s="31"/>
    </row>
    <row r="3099" spans="1:12" x14ac:dyDescent="0.3">
      <c r="C3099" s="243"/>
      <c r="D3099" s="243"/>
      <c r="G3099" s="50">
        <f>РЕАЛИЗАЦИЯ[[#This Row],[СОНИ]]*РЕАЛИЗАЦИЯ[[#This Row],[НАРХИ]]</f>
        <v>0</v>
      </c>
      <c r="I3099" s="166"/>
      <c r="J3099" s="31">
        <f>РЕАЛИЗАЦИЯ[[#This Row],[СОНИ]]*РЕАЛИЗАЦИЯ[[#This Row],[ТАННАРХ]]</f>
        <v>0</v>
      </c>
      <c r="K3099" s="31">
        <f>РЕАЛИЗАЦИЯ[[#This Row],[ЖАМИ]]-РЕАЛИЗАЦИЯ[[#This Row],[ЖАМИ2]]</f>
        <v>0</v>
      </c>
      <c r="L3099" s="31"/>
    </row>
    <row r="3100" spans="1:12" x14ac:dyDescent="0.3">
      <c r="C3100" s="243"/>
      <c r="D3100" s="243"/>
      <c r="G3100" s="50">
        <f>РЕАЛИЗАЦИЯ[[#This Row],[СОНИ]]*РЕАЛИЗАЦИЯ[[#This Row],[НАРХИ]]</f>
        <v>0</v>
      </c>
      <c r="I3100" s="166"/>
      <c r="J3100" s="31">
        <f>РЕАЛИЗАЦИЯ[[#This Row],[СОНИ]]*РЕАЛИЗАЦИЯ[[#This Row],[ТАННАРХ]]</f>
        <v>0</v>
      </c>
      <c r="K3100" s="31">
        <f>РЕАЛИЗАЦИЯ[[#This Row],[ЖАМИ]]-РЕАЛИЗАЦИЯ[[#This Row],[ЖАМИ2]]</f>
        <v>0</v>
      </c>
      <c r="L3100" s="31"/>
    </row>
    <row r="3101" spans="1:12" x14ac:dyDescent="0.3">
      <c r="C3101" s="243"/>
      <c r="D3101" s="243"/>
      <c r="G3101" s="50">
        <f>РЕАЛИЗАЦИЯ[[#This Row],[СОНИ]]*РЕАЛИЗАЦИЯ[[#This Row],[НАРХИ]]</f>
        <v>0</v>
      </c>
      <c r="I3101" s="166"/>
      <c r="J3101" s="31">
        <f>РЕАЛИЗАЦИЯ[[#This Row],[СОНИ]]*РЕАЛИЗАЦИЯ[[#This Row],[ТАННАРХ]]</f>
        <v>0</v>
      </c>
      <c r="K3101" s="31">
        <f>РЕАЛИЗАЦИЯ[[#This Row],[ЖАМИ]]-РЕАЛИЗАЦИЯ[[#This Row],[ЖАМИ2]]</f>
        <v>0</v>
      </c>
      <c r="L3101" s="31"/>
    </row>
    <row r="3102" spans="1:12" x14ac:dyDescent="0.3">
      <c r="C3102" s="243"/>
      <c r="D3102" s="243"/>
      <c r="G3102" s="50">
        <f>РЕАЛИЗАЦИЯ[[#This Row],[СОНИ]]*РЕАЛИЗАЦИЯ[[#This Row],[НАРХИ]]</f>
        <v>0</v>
      </c>
      <c r="I3102" s="166"/>
      <c r="J3102" s="31">
        <f>РЕАЛИЗАЦИЯ[[#This Row],[СОНИ]]*РЕАЛИЗАЦИЯ[[#This Row],[ТАННАРХ]]</f>
        <v>0</v>
      </c>
      <c r="K3102" s="31">
        <f>РЕАЛИЗАЦИЯ[[#This Row],[ЖАМИ]]-РЕАЛИЗАЦИЯ[[#This Row],[ЖАМИ2]]</f>
        <v>0</v>
      </c>
      <c r="L3102" s="31"/>
    </row>
    <row r="3103" spans="1:12" s="245" customFormat="1" x14ac:dyDescent="0.3">
      <c r="A3103" s="3"/>
      <c r="B3103" s="4"/>
      <c r="C3103" s="243"/>
      <c r="D3103" s="243"/>
      <c r="E3103" s="31"/>
      <c r="F3103" s="31"/>
      <c r="G3103" s="50">
        <f>РЕАЛИЗАЦИЯ[[#This Row],[СОНИ]]*РЕАЛИЗАЦИЯ[[#This Row],[НАРХИ]]</f>
        <v>0</v>
      </c>
      <c r="H3103" s="31"/>
      <c r="I3103" s="166"/>
      <c r="J3103" s="31">
        <f>РЕАЛИЗАЦИЯ[[#This Row],[СОНИ]]*РЕАЛИЗАЦИЯ[[#This Row],[ТАННАРХ]]</f>
        <v>0</v>
      </c>
      <c r="K3103" s="31">
        <f>РЕАЛИЗАЦИЯ[[#This Row],[ЖАМИ]]-РЕАЛИЗАЦИЯ[[#This Row],[ЖАМИ2]]</f>
        <v>0</v>
      </c>
      <c r="L3103" s="31"/>
    </row>
    <row r="3104" spans="1:12" x14ac:dyDescent="0.3">
      <c r="C3104" s="243"/>
      <c r="D3104" s="243"/>
      <c r="G3104" s="50">
        <f>РЕАЛИЗАЦИЯ[[#This Row],[СОНИ]]*РЕАЛИЗАЦИЯ[[#This Row],[НАРХИ]]</f>
        <v>0</v>
      </c>
      <c r="I3104" s="166"/>
      <c r="J3104" s="31">
        <f>РЕАЛИЗАЦИЯ[[#This Row],[СОНИ]]*РЕАЛИЗАЦИЯ[[#This Row],[ТАННАРХ]]</f>
        <v>0</v>
      </c>
      <c r="K3104" s="31">
        <f>РЕАЛИЗАЦИЯ[[#This Row],[ЖАМИ]]-РЕАЛИЗАЦИЯ[[#This Row],[ЖАМИ2]]</f>
        <v>0</v>
      </c>
      <c r="L3104" s="31"/>
    </row>
    <row r="3105" spans="3:12" x14ac:dyDescent="0.3">
      <c r="C3105" s="243"/>
      <c r="D3105" s="243"/>
      <c r="G3105" s="50">
        <f>РЕАЛИЗАЦИЯ[[#This Row],[СОНИ]]*РЕАЛИЗАЦИЯ[[#This Row],[НАРХИ]]</f>
        <v>0</v>
      </c>
      <c r="I3105" s="166"/>
      <c r="J3105" s="31">
        <f>РЕАЛИЗАЦИЯ[[#This Row],[СОНИ]]*РЕАЛИЗАЦИЯ[[#This Row],[ТАННАРХ]]</f>
        <v>0</v>
      </c>
      <c r="K3105" s="31">
        <f>РЕАЛИЗАЦИЯ[[#This Row],[ЖАМИ]]-РЕАЛИЗАЦИЯ[[#This Row],[ЖАМИ2]]</f>
        <v>0</v>
      </c>
      <c r="L3105" s="31"/>
    </row>
    <row r="3106" spans="3:12" x14ac:dyDescent="0.3">
      <c r="C3106" s="245"/>
      <c r="D3106" s="245"/>
      <c r="G3106" s="50">
        <f>РЕАЛИЗАЦИЯ[[#This Row],[СОНИ]]*РЕАЛИЗАЦИЯ[[#This Row],[НАРХИ]]</f>
        <v>0</v>
      </c>
      <c r="I3106" s="166"/>
      <c r="J3106" s="31">
        <f>РЕАЛИЗАЦИЯ[[#This Row],[СОНИ]]*РЕАЛИЗАЦИЯ[[#This Row],[ТАННАРХ]]</f>
        <v>0</v>
      </c>
      <c r="K3106" s="31">
        <f>РЕАЛИЗАЦИЯ[[#This Row],[ЖАМИ]]-РЕАЛИЗАЦИЯ[[#This Row],[ЖАМИ2]]</f>
        <v>0</v>
      </c>
      <c r="L3106" s="31"/>
    </row>
    <row r="3107" spans="3:12" x14ac:dyDescent="0.3">
      <c r="C3107" s="245"/>
      <c r="D3107" s="245"/>
      <c r="G3107" s="50">
        <f>РЕАЛИЗАЦИЯ[[#This Row],[СОНИ]]*РЕАЛИЗАЦИЯ[[#This Row],[НАРХИ]]</f>
        <v>0</v>
      </c>
      <c r="I3107" s="166"/>
      <c r="J3107" s="31">
        <f>РЕАЛИЗАЦИЯ[[#This Row],[СОНИ]]*РЕАЛИЗАЦИЯ[[#This Row],[ТАННАРХ]]</f>
        <v>0</v>
      </c>
      <c r="K3107" s="31">
        <f>РЕАЛИЗАЦИЯ[[#This Row],[ЖАМИ]]-РЕАЛИЗАЦИЯ[[#This Row],[ЖАМИ2]]</f>
        <v>0</v>
      </c>
      <c r="L3107" s="31"/>
    </row>
    <row r="3108" spans="3:12" x14ac:dyDescent="0.3">
      <c r="C3108" s="245"/>
      <c r="D3108" s="245"/>
      <c r="G3108" s="50">
        <f>РЕАЛИЗАЦИЯ[[#This Row],[СОНИ]]*РЕАЛИЗАЦИЯ[[#This Row],[НАРХИ]]</f>
        <v>0</v>
      </c>
      <c r="I3108" s="166"/>
      <c r="J3108" s="31">
        <f>РЕАЛИЗАЦИЯ[[#This Row],[СОНИ]]*РЕАЛИЗАЦИЯ[[#This Row],[ТАННАРХ]]</f>
        <v>0</v>
      </c>
      <c r="K3108" s="31">
        <f>РЕАЛИЗАЦИЯ[[#This Row],[ЖАМИ]]-РЕАЛИЗАЦИЯ[[#This Row],[ЖАМИ2]]</f>
        <v>0</v>
      </c>
      <c r="L3108" s="31"/>
    </row>
    <row r="3109" spans="3:12" x14ac:dyDescent="0.3">
      <c r="C3109" s="245"/>
      <c r="D3109" s="245"/>
      <c r="G3109" s="50">
        <f>РЕАЛИЗАЦИЯ[[#This Row],[СОНИ]]*РЕАЛИЗАЦИЯ[[#This Row],[НАРХИ]]</f>
        <v>0</v>
      </c>
      <c r="I3109" s="166"/>
      <c r="J3109" s="31">
        <f>РЕАЛИЗАЦИЯ[[#This Row],[СОНИ]]*РЕАЛИЗАЦИЯ[[#This Row],[ТАННАРХ]]</f>
        <v>0</v>
      </c>
      <c r="K3109" s="31">
        <f>РЕАЛИЗАЦИЯ[[#This Row],[ЖАМИ]]-РЕАЛИЗАЦИЯ[[#This Row],[ЖАМИ2]]</f>
        <v>0</v>
      </c>
      <c r="L3109" s="31"/>
    </row>
    <row r="3110" spans="3:12" x14ac:dyDescent="0.3">
      <c r="C3110" s="245"/>
      <c r="D3110" s="245"/>
      <c r="G3110" s="50">
        <f>РЕАЛИЗАЦИЯ[[#This Row],[СОНИ]]*РЕАЛИЗАЦИЯ[[#This Row],[НАРХИ]]</f>
        <v>0</v>
      </c>
      <c r="I3110" s="166"/>
      <c r="J3110" s="31">
        <f>РЕАЛИЗАЦИЯ[[#This Row],[СОНИ]]*РЕАЛИЗАЦИЯ[[#This Row],[ТАННАРХ]]</f>
        <v>0</v>
      </c>
      <c r="K3110" s="31">
        <f>РЕАЛИЗАЦИЯ[[#This Row],[ЖАМИ]]-РЕАЛИЗАЦИЯ[[#This Row],[ЖАМИ2]]</f>
        <v>0</v>
      </c>
      <c r="L3110" s="31"/>
    </row>
    <row r="3111" spans="3:12" x14ac:dyDescent="0.3">
      <c r="C3111" s="245"/>
      <c r="D3111" s="245"/>
      <c r="G3111" s="50">
        <f>РЕАЛИЗАЦИЯ[[#This Row],[СОНИ]]*РЕАЛИЗАЦИЯ[[#This Row],[НАРХИ]]</f>
        <v>0</v>
      </c>
      <c r="I3111" s="166"/>
      <c r="J3111" s="31">
        <f>РЕАЛИЗАЦИЯ[[#This Row],[СОНИ]]*РЕАЛИЗАЦИЯ[[#This Row],[ТАННАРХ]]</f>
        <v>0</v>
      </c>
      <c r="K3111" s="31">
        <f>РЕАЛИЗАЦИЯ[[#This Row],[ЖАМИ]]-РЕАЛИЗАЦИЯ[[#This Row],[ЖАМИ2]]</f>
        <v>0</v>
      </c>
      <c r="L3111" s="31"/>
    </row>
    <row r="3112" spans="3:12" x14ac:dyDescent="0.3">
      <c r="C3112" s="245"/>
      <c r="D3112" s="245"/>
      <c r="G3112" s="50">
        <f>РЕАЛИЗАЦИЯ[[#This Row],[СОНИ]]*РЕАЛИЗАЦИЯ[[#This Row],[НАРХИ]]</f>
        <v>0</v>
      </c>
      <c r="I3112" s="166"/>
      <c r="J3112" s="31">
        <f>РЕАЛИЗАЦИЯ[[#This Row],[СОНИ]]*РЕАЛИЗАЦИЯ[[#This Row],[ТАННАРХ]]</f>
        <v>0</v>
      </c>
      <c r="K3112" s="31">
        <f>РЕАЛИЗАЦИЯ[[#This Row],[ЖАМИ]]-РЕАЛИЗАЦИЯ[[#This Row],[ЖАМИ2]]</f>
        <v>0</v>
      </c>
      <c r="L3112" s="31"/>
    </row>
    <row r="3113" spans="3:12" x14ac:dyDescent="0.3">
      <c r="C3113" s="245"/>
      <c r="D3113" s="245"/>
      <c r="G3113" s="50">
        <f>РЕАЛИЗАЦИЯ[[#This Row],[СОНИ]]*РЕАЛИЗАЦИЯ[[#This Row],[НАРХИ]]</f>
        <v>0</v>
      </c>
      <c r="I3113" s="166"/>
      <c r="J3113" s="31">
        <f>РЕАЛИЗАЦИЯ[[#This Row],[СОНИ]]*РЕАЛИЗАЦИЯ[[#This Row],[ТАННАРХ]]</f>
        <v>0</v>
      </c>
      <c r="K3113" s="31">
        <f>РЕАЛИЗАЦИЯ[[#This Row],[ЖАМИ]]-РЕАЛИЗАЦИЯ[[#This Row],[ЖАМИ2]]</f>
        <v>0</v>
      </c>
      <c r="L3113" s="31"/>
    </row>
    <row r="3114" spans="3:12" x14ac:dyDescent="0.3">
      <c r="C3114" s="245"/>
      <c r="D3114" s="245"/>
      <c r="G3114" s="50">
        <f>РЕАЛИЗАЦИЯ[[#This Row],[СОНИ]]*РЕАЛИЗАЦИЯ[[#This Row],[НАРХИ]]</f>
        <v>0</v>
      </c>
      <c r="I3114" s="166"/>
      <c r="J3114" s="31">
        <f>РЕАЛИЗАЦИЯ[[#This Row],[СОНИ]]*РЕАЛИЗАЦИЯ[[#This Row],[ТАННАРХ]]</f>
        <v>0</v>
      </c>
      <c r="K3114" s="31">
        <f>РЕАЛИЗАЦИЯ[[#This Row],[ЖАМИ]]-РЕАЛИЗАЦИЯ[[#This Row],[ЖАМИ2]]</f>
        <v>0</v>
      </c>
      <c r="L3114" s="31"/>
    </row>
    <row r="3115" spans="3:12" x14ac:dyDescent="0.3">
      <c r="C3115" s="245"/>
      <c r="D3115" s="245"/>
      <c r="G3115" s="50">
        <f>РЕАЛИЗАЦИЯ[[#This Row],[СОНИ]]*РЕАЛИЗАЦИЯ[[#This Row],[НАРХИ]]</f>
        <v>0</v>
      </c>
      <c r="I3115" s="166"/>
      <c r="J3115" s="31">
        <f>РЕАЛИЗАЦИЯ[[#This Row],[СОНИ]]*РЕАЛИЗАЦИЯ[[#This Row],[ТАННАРХ]]</f>
        <v>0</v>
      </c>
      <c r="K3115" s="31">
        <f>РЕАЛИЗАЦИЯ[[#This Row],[ЖАМИ]]-РЕАЛИЗАЦИЯ[[#This Row],[ЖАМИ2]]</f>
        <v>0</v>
      </c>
      <c r="L3115" s="31"/>
    </row>
    <row r="3116" spans="3:12" x14ac:dyDescent="0.3">
      <c r="C3116" s="245"/>
      <c r="D3116" s="245"/>
      <c r="G3116" s="50">
        <f>РЕАЛИЗАЦИЯ[[#This Row],[СОНИ]]*РЕАЛИЗАЦИЯ[[#This Row],[НАРХИ]]</f>
        <v>0</v>
      </c>
      <c r="I3116" s="166"/>
      <c r="J3116" s="31">
        <f>РЕАЛИЗАЦИЯ[[#This Row],[СОНИ]]*РЕАЛИЗАЦИЯ[[#This Row],[ТАННАРХ]]</f>
        <v>0</v>
      </c>
      <c r="K3116" s="31">
        <f>РЕАЛИЗАЦИЯ[[#This Row],[ЖАМИ]]-РЕАЛИЗАЦИЯ[[#This Row],[ЖАМИ2]]</f>
        <v>0</v>
      </c>
      <c r="L3116" s="31"/>
    </row>
    <row r="3117" spans="3:12" x14ac:dyDescent="0.3">
      <c r="C3117" s="245"/>
      <c r="D3117" s="245"/>
      <c r="G3117" s="50">
        <f>РЕАЛИЗАЦИЯ[[#This Row],[СОНИ]]*РЕАЛИЗАЦИЯ[[#This Row],[НАРХИ]]</f>
        <v>0</v>
      </c>
      <c r="I3117" s="166"/>
      <c r="J3117" s="31">
        <f>РЕАЛИЗАЦИЯ[[#This Row],[СОНИ]]*РЕАЛИЗАЦИЯ[[#This Row],[ТАННАРХ]]</f>
        <v>0</v>
      </c>
      <c r="K3117" s="31">
        <f>РЕАЛИЗАЦИЯ[[#This Row],[ЖАМИ]]-РЕАЛИЗАЦИЯ[[#This Row],[ЖАМИ2]]</f>
        <v>0</v>
      </c>
      <c r="L3117" s="31"/>
    </row>
    <row r="3118" spans="3:12" x14ac:dyDescent="0.3">
      <c r="C3118" s="245"/>
      <c r="D3118" s="245"/>
      <c r="G3118" s="50">
        <f>РЕАЛИЗАЦИЯ[[#This Row],[СОНИ]]*РЕАЛИЗАЦИЯ[[#This Row],[НАРХИ]]</f>
        <v>0</v>
      </c>
      <c r="I3118" s="166"/>
      <c r="J3118" s="31">
        <f>РЕАЛИЗАЦИЯ[[#This Row],[СОНИ]]*РЕАЛИЗАЦИЯ[[#This Row],[ТАННАРХ]]</f>
        <v>0</v>
      </c>
      <c r="K3118" s="31">
        <f>РЕАЛИЗАЦИЯ[[#This Row],[ЖАМИ]]-РЕАЛИЗАЦИЯ[[#This Row],[ЖАМИ2]]</f>
        <v>0</v>
      </c>
      <c r="L3118" s="31"/>
    </row>
    <row r="3119" spans="3:12" x14ac:dyDescent="0.3">
      <c r="C3119" s="250"/>
      <c r="D3119" s="250"/>
      <c r="G3119" s="50">
        <f>РЕАЛИЗАЦИЯ[[#This Row],[СОНИ]]*РЕАЛИЗАЦИЯ[[#This Row],[НАРХИ]]</f>
        <v>0</v>
      </c>
      <c r="I3119" s="166"/>
      <c r="J3119" s="31">
        <f>РЕАЛИЗАЦИЯ[[#This Row],[СОНИ]]*РЕАЛИЗАЦИЯ[[#This Row],[ТАННАРХ]]</f>
        <v>0</v>
      </c>
      <c r="K3119" s="31">
        <f>РЕАЛИЗАЦИЯ[[#This Row],[ЖАМИ]]-РЕАЛИЗАЦИЯ[[#This Row],[ЖАМИ2]]</f>
        <v>0</v>
      </c>
      <c r="L3119" s="31"/>
    </row>
    <row r="3120" spans="3:12" x14ac:dyDescent="0.3">
      <c r="C3120" s="245"/>
      <c r="D3120" s="245"/>
      <c r="G3120" s="50">
        <f>РЕАЛИЗАЦИЯ[[#This Row],[СОНИ]]*РЕАЛИЗАЦИЯ[[#This Row],[НАРХИ]]</f>
        <v>0</v>
      </c>
      <c r="I3120" s="166"/>
      <c r="J3120" s="31">
        <f>РЕАЛИЗАЦИЯ[[#This Row],[СОНИ]]*РЕАЛИЗАЦИЯ[[#This Row],[ТАННАРХ]]</f>
        <v>0</v>
      </c>
      <c r="K3120" s="31">
        <f>РЕАЛИЗАЦИЯ[[#This Row],[ЖАМИ]]-РЕАЛИЗАЦИЯ[[#This Row],[ЖАМИ2]]</f>
        <v>0</v>
      </c>
      <c r="L3120" s="31"/>
    </row>
    <row r="3121" spans="1:12" x14ac:dyDescent="0.3">
      <c r="C3121" s="245"/>
      <c r="D3121" s="245"/>
      <c r="G3121" s="50">
        <f>РЕАЛИЗАЦИЯ[[#This Row],[СОНИ]]*РЕАЛИЗАЦИЯ[[#This Row],[НАРХИ]]</f>
        <v>0</v>
      </c>
      <c r="I3121" s="166"/>
      <c r="J3121" s="31">
        <f>РЕАЛИЗАЦИЯ[[#This Row],[СОНИ]]*РЕАЛИЗАЦИЯ[[#This Row],[ТАННАРХ]]</f>
        <v>0</v>
      </c>
      <c r="K3121" s="31">
        <f>РЕАЛИЗАЦИЯ[[#This Row],[ЖАМИ]]-РЕАЛИЗАЦИЯ[[#This Row],[ЖАМИ2]]</f>
        <v>0</v>
      </c>
      <c r="L3121" s="31"/>
    </row>
    <row r="3122" spans="1:12" x14ac:dyDescent="0.3">
      <c r="C3122" s="245"/>
      <c r="D3122" s="245"/>
      <c r="G3122" s="50">
        <f>РЕАЛИЗАЦИЯ[[#This Row],[СОНИ]]*РЕАЛИЗАЦИЯ[[#This Row],[НАРХИ]]</f>
        <v>0</v>
      </c>
      <c r="I3122" s="166"/>
      <c r="J3122" s="31">
        <f>РЕАЛИЗАЦИЯ[[#This Row],[СОНИ]]*РЕАЛИЗАЦИЯ[[#This Row],[ТАННАРХ]]</f>
        <v>0</v>
      </c>
      <c r="K3122" s="31">
        <f>РЕАЛИЗАЦИЯ[[#This Row],[ЖАМИ]]-РЕАЛИЗАЦИЯ[[#This Row],[ЖАМИ2]]</f>
        <v>0</v>
      </c>
      <c r="L3122" s="31"/>
    </row>
    <row r="3123" spans="1:12" x14ac:dyDescent="0.3">
      <c r="C3123" s="245"/>
      <c r="D3123" s="245"/>
      <c r="G3123" s="50">
        <f>РЕАЛИЗАЦИЯ[[#This Row],[СОНИ]]*РЕАЛИЗАЦИЯ[[#This Row],[НАРХИ]]</f>
        <v>0</v>
      </c>
      <c r="I3123" s="166"/>
      <c r="J3123" s="31">
        <f>РЕАЛИЗАЦИЯ[[#This Row],[СОНИ]]*РЕАЛИЗАЦИЯ[[#This Row],[ТАННАРХ]]</f>
        <v>0</v>
      </c>
      <c r="K3123" s="31">
        <f>РЕАЛИЗАЦИЯ[[#This Row],[ЖАМИ]]-РЕАЛИЗАЦИЯ[[#This Row],[ЖАМИ2]]</f>
        <v>0</v>
      </c>
      <c r="L3123" s="31"/>
    </row>
    <row r="3124" spans="1:12" x14ac:dyDescent="0.3">
      <c r="C3124" s="245"/>
      <c r="D3124" s="245"/>
      <c r="G3124" s="50">
        <f>РЕАЛИЗАЦИЯ[[#This Row],[СОНИ]]*РЕАЛИЗАЦИЯ[[#This Row],[НАРХИ]]</f>
        <v>0</v>
      </c>
      <c r="I3124" s="166"/>
      <c r="J3124" s="31">
        <f>РЕАЛИЗАЦИЯ[[#This Row],[СОНИ]]*РЕАЛИЗАЦИЯ[[#This Row],[ТАННАРХ]]</f>
        <v>0</v>
      </c>
      <c r="K3124" s="31">
        <f>РЕАЛИЗАЦИЯ[[#This Row],[ЖАМИ]]-РЕАЛИЗАЦИЯ[[#This Row],[ЖАМИ2]]</f>
        <v>0</v>
      </c>
      <c r="L3124" s="31"/>
    </row>
    <row r="3125" spans="1:12" x14ac:dyDescent="0.3">
      <c r="C3125" s="245"/>
      <c r="D3125" s="245"/>
      <c r="G3125" s="50">
        <f>РЕАЛИЗАЦИЯ[[#This Row],[СОНИ]]*РЕАЛИЗАЦИЯ[[#This Row],[НАРХИ]]</f>
        <v>0</v>
      </c>
      <c r="I3125" s="166"/>
      <c r="J3125" s="31">
        <f>РЕАЛИЗАЦИЯ[[#This Row],[СОНИ]]*РЕАЛИЗАЦИЯ[[#This Row],[ТАННАРХ]]</f>
        <v>0</v>
      </c>
      <c r="K3125" s="31">
        <f>РЕАЛИЗАЦИЯ[[#This Row],[ЖАМИ]]-РЕАЛИЗАЦИЯ[[#This Row],[ЖАМИ2]]</f>
        <v>0</v>
      </c>
      <c r="L3125" s="31"/>
    </row>
    <row r="3126" spans="1:12" x14ac:dyDescent="0.3">
      <c r="C3126" s="245"/>
      <c r="D3126" s="245"/>
      <c r="G3126" s="50">
        <f>РЕАЛИЗАЦИЯ[[#This Row],[СОНИ]]*РЕАЛИЗАЦИЯ[[#This Row],[НАРХИ]]</f>
        <v>0</v>
      </c>
      <c r="I3126" s="166"/>
      <c r="J3126" s="31">
        <f>РЕАЛИЗАЦИЯ[[#This Row],[СОНИ]]*РЕАЛИЗАЦИЯ[[#This Row],[ТАННАРХ]]</f>
        <v>0</v>
      </c>
      <c r="K3126" s="31">
        <f>РЕАЛИЗАЦИЯ[[#This Row],[ЖАМИ]]-РЕАЛИЗАЦИЯ[[#This Row],[ЖАМИ2]]</f>
        <v>0</v>
      </c>
      <c r="L3126" s="31"/>
    </row>
    <row r="3127" spans="1:12" x14ac:dyDescent="0.3">
      <c r="C3127" s="245"/>
      <c r="D3127" s="245"/>
      <c r="G3127" s="50">
        <f>РЕАЛИЗАЦИЯ[[#This Row],[СОНИ]]*РЕАЛИЗАЦИЯ[[#This Row],[НАРХИ]]</f>
        <v>0</v>
      </c>
      <c r="I3127" s="166"/>
      <c r="J3127" s="31">
        <f>РЕАЛИЗАЦИЯ[[#This Row],[СОНИ]]*РЕАЛИЗАЦИЯ[[#This Row],[ТАННАРХ]]</f>
        <v>0</v>
      </c>
      <c r="K3127" s="31">
        <f>РЕАЛИЗАЦИЯ[[#This Row],[ЖАМИ]]-РЕАЛИЗАЦИЯ[[#This Row],[ЖАМИ2]]</f>
        <v>0</v>
      </c>
      <c r="L3127" s="31"/>
    </row>
    <row r="3128" spans="1:12" s="250" customFormat="1" x14ac:dyDescent="0.3">
      <c r="A3128" s="3"/>
      <c r="B3128" s="4"/>
      <c r="C3128" s="245"/>
      <c r="D3128" s="245"/>
      <c r="E3128" s="31"/>
      <c r="F3128" s="31"/>
      <c r="G3128" s="50">
        <f>РЕАЛИЗАЦИЯ[[#This Row],[СОНИ]]*РЕАЛИЗАЦИЯ[[#This Row],[НАРХИ]]</f>
        <v>0</v>
      </c>
      <c r="H3128" s="31"/>
      <c r="I3128" s="166"/>
      <c r="J3128" s="31">
        <f>РЕАЛИЗАЦИЯ[[#This Row],[СОНИ]]*РЕАЛИЗАЦИЯ[[#This Row],[ТАННАРХ]]</f>
        <v>0</v>
      </c>
      <c r="K3128" s="31">
        <f>РЕАЛИЗАЦИЯ[[#This Row],[ЖАМИ]]-РЕАЛИЗАЦИЯ[[#This Row],[ЖАМИ2]]</f>
        <v>0</v>
      </c>
      <c r="L3128" s="31"/>
    </row>
    <row r="3129" spans="1:12" x14ac:dyDescent="0.3">
      <c r="C3129" s="245"/>
      <c r="D3129" s="245"/>
      <c r="G3129" s="50">
        <f>РЕАЛИЗАЦИЯ[[#This Row],[СОНИ]]*РЕАЛИЗАЦИЯ[[#This Row],[НАРХИ]]</f>
        <v>0</v>
      </c>
      <c r="I3129" s="166"/>
      <c r="J3129" s="31">
        <f>РЕАЛИЗАЦИЯ[[#This Row],[СОНИ]]*РЕАЛИЗАЦИЯ[[#This Row],[ТАННАРХ]]</f>
        <v>0</v>
      </c>
      <c r="K3129" s="31">
        <f>РЕАЛИЗАЦИЯ[[#This Row],[ЖАМИ]]-РЕАЛИЗАЦИЯ[[#This Row],[ЖАМИ2]]</f>
        <v>0</v>
      </c>
      <c r="L3129" s="31"/>
    </row>
    <row r="3130" spans="1:12" x14ac:dyDescent="0.3">
      <c r="C3130" s="245"/>
      <c r="D3130" s="245"/>
      <c r="G3130" s="50">
        <f>РЕАЛИЗАЦИЯ[[#This Row],[СОНИ]]*РЕАЛИЗАЦИЯ[[#This Row],[НАРХИ]]</f>
        <v>0</v>
      </c>
      <c r="I3130" s="166"/>
      <c r="J3130" s="31">
        <f>РЕАЛИЗАЦИЯ[[#This Row],[СОНИ]]*РЕАЛИЗАЦИЯ[[#This Row],[ТАННАРХ]]</f>
        <v>0</v>
      </c>
      <c r="K3130" s="31">
        <f>РЕАЛИЗАЦИЯ[[#This Row],[ЖАМИ]]-РЕАЛИЗАЦИЯ[[#This Row],[ЖАМИ2]]</f>
        <v>0</v>
      </c>
      <c r="L3130" s="31"/>
    </row>
    <row r="3131" spans="1:12" x14ac:dyDescent="0.3">
      <c r="C3131" s="245"/>
      <c r="D3131" s="245"/>
      <c r="G3131" s="50">
        <f>РЕАЛИЗАЦИЯ[[#This Row],[СОНИ]]*РЕАЛИЗАЦИЯ[[#This Row],[НАРХИ]]</f>
        <v>0</v>
      </c>
      <c r="I3131" s="166"/>
      <c r="J3131" s="31">
        <f>РЕАЛИЗАЦИЯ[[#This Row],[СОНИ]]*РЕАЛИЗАЦИЯ[[#This Row],[ТАННАРХ]]</f>
        <v>0</v>
      </c>
      <c r="K3131" s="31">
        <f>РЕАЛИЗАЦИЯ[[#This Row],[ЖАМИ]]-РЕАЛИЗАЦИЯ[[#This Row],[ЖАМИ2]]</f>
        <v>0</v>
      </c>
      <c r="L3131" s="31"/>
    </row>
    <row r="3132" spans="1:12" x14ac:dyDescent="0.3">
      <c r="C3132" s="245"/>
      <c r="D3132" s="245"/>
      <c r="G3132" s="50">
        <f>РЕАЛИЗАЦИЯ[[#This Row],[СОНИ]]*РЕАЛИЗАЦИЯ[[#This Row],[НАРХИ]]</f>
        <v>0</v>
      </c>
      <c r="I3132" s="166"/>
      <c r="J3132" s="31">
        <f>РЕАЛИЗАЦИЯ[[#This Row],[СОНИ]]*РЕАЛИЗАЦИЯ[[#This Row],[ТАННАРХ]]</f>
        <v>0</v>
      </c>
      <c r="K3132" s="31">
        <f>РЕАЛИЗАЦИЯ[[#This Row],[ЖАМИ]]-РЕАЛИЗАЦИЯ[[#This Row],[ЖАМИ2]]</f>
        <v>0</v>
      </c>
      <c r="L3132" s="31"/>
    </row>
    <row r="3133" spans="1:12" x14ac:dyDescent="0.3">
      <c r="C3133" s="245"/>
      <c r="D3133" s="245"/>
      <c r="G3133" s="50">
        <f>РЕАЛИЗАЦИЯ[[#This Row],[СОНИ]]*РЕАЛИЗАЦИЯ[[#This Row],[НАРХИ]]</f>
        <v>0</v>
      </c>
      <c r="I3133" s="166"/>
      <c r="J3133" s="31">
        <f>РЕАЛИЗАЦИЯ[[#This Row],[СОНИ]]*РЕАЛИЗАЦИЯ[[#This Row],[ТАННАРХ]]</f>
        <v>0</v>
      </c>
      <c r="K3133" s="31">
        <f>РЕАЛИЗАЦИЯ[[#This Row],[ЖАМИ]]-РЕАЛИЗАЦИЯ[[#This Row],[ЖАМИ2]]</f>
        <v>0</v>
      </c>
      <c r="L3133" s="31"/>
    </row>
    <row r="3134" spans="1:12" x14ac:dyDescent="0.3">
      <c r="C3134" s="245"/>
      <c r="D3134" s="245"/>
      <c r="G3134" s="50">
        <f>РЕАЛИЗАЦИЯ[[#This Row],[СОНИ]]*РЕАЛИЗАЦИЯ[[#This Row],[НАРХИ]]</f>
        <v>0</v>
      </c>
      <c r="I3134" s="166"/>
      <c r="J3134" s="31">
        <f>РЕАЛИЗАЦИЯ[[#This Row],[СОНИ]]*РЕАЛИЗАЦИЯ[[#This Row],[ТАННАРХ]]</f>
        <v>0</v>
      </c>
      <c r="K3134" s="31">
        <f>РЕАЛИЗАЦИЯ[[#This Row],[ЖАМИ]]-РЕАЛИЗАЦИЯ[[#This Row],[ЖАМИ2]]</f>
        <v>0</v>
      </c>
      <c r="L3134" s="31"/>
    </row>
    <row r="3135" spans="1:12" x14ac:dyDescent="0.3">
      <c r="C3135" s="245"/>
      <c r="D3135" s="245"/>
      <c r="G3135" s="50">
        <f>РЕАЛИЗАЦИЯ[[#This Row],[СОНИ]]*РЕАЛИЗАЦИЯ[[#This Row],[НАРХИ]]</f>
        <v>0</v>
      </c>
      <c r="I3135" s="166"/>
      <c r="J3135" s="31">
        <f>РЕАЛИЗАЦИЯ[[#This Row],[СОНИ]]*РЕАЛИЗАЦИЯ[[#This Row],[ТАННАРХ]]</f>
        <v>0</v>
      </c>
      <c r="K3135" s="31">
        <f>РЕАЛИЗАЦИЯ[[#This Row],[ЖАМИ]]-РЕАЛИЗАЦИЯ[[#This Row],[ЖАМИ2]]</f>
        <v>0</v>
      </c>
      <c r="L3135" s="31"/>
    </row>
    <row r="3136" spans="1:12" x14ac:dyDescent="0.3">
      <c r="C3136" s="245"/>
      <c r="D3136" s="245"/>
      <c r="G3136" s="50">
        <f>РЕАЛИЗАЦИЯ[[#This Row],[СОНИ]]*РЕАЛИЗАЦИЯ[[#This Row],[НАРХИ]]</f>
        <v>0</v>
      </c>
      <c r="I3136" s="166"/>
      <c r="J3136" s="31">
        <f>РЕАЛИЗАЦИЯ[[#This Row],[СОНИ]]*РЕАЛИЗАЦИЯ[[#This Row],[ТАННАРХ]]</f>
        <v>0</v>
      </c>
      <c r="K3136" s="31">
        <f>РЕАЛИЗАЦИЯ[[#This Row],[ЖАМИ]]-РЕАЛИЗАЦИЯ[[#This Row],[ЖАМИ2]]</f>
        <v>0</v>
      </c>
      <c r="L3136" s="31"/>
    </row>
    <row r="3137" spans="3:12" x14ac:dyDescent="0.3">
      <c r="C3137" s="245"/>
      <c r="D3137" s="245"/>
      <c r="G3137" s="50">
        <f>РЕАЛИЗАЦИЯ[[#This Row],[СОНИ]]*РЕАЛИЗАЦИЯ[[#This Row],[НАРХИ]]</f>
        <v>0</v>
      </c>
      <c r="I3137" s="166"/>
      <c r="J3137" s="31">
        <f>РЕАЛИЗАЦИЯ[[#This Row],[СОНИ]]*РЕАЛИЗАЦИЯ[[#This Row],[ТАННАРХ]]</f>
        <v>0</v>
      </c>
      <c r="K3137" s="31">
        <f>РЕАЛИЗАЦИЯ[[#This Row],[ЖАМИ]]-РЕАЛИЗАЦИЯ[[#This Row],[ЖАМИ2]]</f>
        <v>0</v>
      </c>
      <c r="L3137" s="31"/>
    </row>
    <row r="3138" spans="3:12" x14ac:dyDescent="0.3">
      <c r="C3138" s="245"/>
      <c r="D3138" s="245"/>
      <c r="G3138" s="50">
        <f>РЕАЛИЗАЦИЯ[[#This Row],[СОНИ]]*РЕАЛИЗАЦИЯ[[#This Row],[НАРХИ]]</f>
        <v>0</v>
      </c>
      <c r="I3138" s="166"/>
      <c r="J3138" s="31">
        <f>РЕАЛИЗАЦИЯ[[#This Row],[СОНИ]]*РЕАЛИЗАЦИЯ[[#This Row],[ТАННАРХ]]</f>
        <v>0</v>
      </c>
      <c r="K3138" s="31">
        <f>РЕАЛИЗАЦИЯ[[#This Row],[ЖАМИ]]-РЕАЛИЗАЦИЯ[[#This Row],[ЖАМИ2]]</f>
        <v>0</v>
      </c>
      <c r="L3138" s="31"/>
    </row>
    <row r="3139" spans="3:12" x14ac:dyDescent="0.3">
      <c r="C3139" s="245"/>
      <c r="D3139" s="245"/>
      <c r="G3139" s="50">
        <f>РЕАЛИЗАЦИЯ[[#This Row],[СОНИ]]*РЕАЛИЗАЦИЯ[[#This Row],[НАРХИ]]</f>
        <v>0</v>
      </c>
      <c r="I3139" s="166"/>
      <c r="J3139" s="31">
        <f>РЕАЛИЗАЦИЯ[[#This Row],[СОНИ]]*РЕАЛИЗАЦИЯ[[#This Row],[ТАННАРХ]]</f>
        <v>0</v>
      </c>
      <c r="K3139" s="31">
        <f>РЕАЛИЗАЦИЯ[[#This Row],[ЖАМИ]]-РЕАЛИЗАЦИЯ[[#This Row],[ЖАМИ2]]</f>
        <v>0</v>
      </c>
      <c r="L3139" s="31"/>
    </row>
    <row r="3140" spans="3:12" x14ac:dyDescent="0.3">
      <c r="C3140" s="245"/>
      <c r="D3140" s="245"/>
      <c r="G3140" s="50">
        <f>РЕАЛИЗАЦИЯ[[#This Row],[СОНИ]]*РЕАЛИЗАЦИЯ[[#This Row],[НАРХИ]]</f>
        <v>0</v>
      </c>
      <c r="I3140" s="166"/>
      <c r="J3140" s="31">
        <f>РЕАЛИЗАЦИЯ[[#This Row],[СОНИ]]*РЕАЛИЗАЦИЯ[[#This Row],[ТАННАРХ]]</f>
        <v>0</v>
      </c>
      <c r="K3140" s="31">
        <f>РЕАЛИЗАЦИЯ[[#This Row],[ЖАМИ]]-РЕАЛИЗАЦИЯ[[#This Row],[ЖАМИ2]]</f>
        <v>0</v>
      </c>
      <c r="L3140" s="31"/>
    </row>
    <row r="3141" spans="3:12" x14ac:dyDescent="0.3">
      <c r="C3141" s="245"/>
      <c r="D3141" s="245"/>
      <c r="G3141" s="50">
        <f>РЕАЛИЗАЦИЯ[[#This Row],[СОНИ]]*РЕАЛИЗАЦИЯ[[#This Row],[НАРХИ]]</f>
        <v>0</v>
      </c>
      <c r="I3141" s="166"/>
      <c r="J3141" s="31">
        <f>РЕАЛИЗАЦИЯ[[#This Row],[СОНИ]]*РЕАЛИЗАЦИЯ[[#This Row],[ТАННАРХ]]</f>
        <v>0</v>
      </c>
      <c r="K3141" s="31">
        <f>РЕАЛИЗАЦИЯ[[#This Row],[ЖАМИ]]-РЕАЛИЗАЦИЯ[[#This Row],[ЖАМИ2]]</f>
        <v>0</v>
      </c>
      <c r="L3141" s="31"/>
    </row>
    <row r="3142" spans="3:12" x14ac:dyDescent="0.3">
      <c r="C3142" s="245"/>
      <c r="D3142" s="245"/>
      <c r="G3142" s="50">
        <f>РЕАЛИЗАЦИЯ[[#This Row],[СОНИ]]*РЕАЛИЗАЦИЯ[[#This Row],[НАРХИ]]</f>
        <v>0</v>
      </c>
      <c r="I3142" s="166"/>
      <c r="J3142" s="31">
        <f>РЕАЛИЗАЦИЯ[[#This Row],[СОНИ]]*РЕАЛИЗАЦИЯ[[#This Row],[ТАННАРХ]]</f>
        <v>0</v>
      </c>
      <c r="K3142" s="31">
        <f>РЕАЛИЗАЦИЯ[[#This Row],[ЖАМИ]]-РЕАЛИЗАЦИЯ[[#This Row],[ЖАМИ2]]</f>
        <v>0</v>
      </c>
      <c r="L3142" s="31"/>
    </row>
    <row r="3143" spans="3:12" x14ac:dyDescent="0.3">
      <c r="C3143" s="245"/>
      <c r="D3143" s="245"/>
      <c r="G3143" s="50">
        <f>РЕАЛИЗАЦИЯ[[#This Row],[СОНИ]]*РЕАЛИЗАЦИЯ[[#This Row],[НАРХИ]]</f>
        <v>0</v>
      </c>
      <c r="I3143" s="166"/>
      <c r="J3143" s="31">
        <f>РЕАЛИЗАЦИЯ[[#This Row],[СОНИ]]*РЕАЛИЗАЦИЯ[[#This Row],[ТАННАРХ]]</f>
        <v>0</v>
      </c>
      <c r="K3143" s="31">
        <f>РЕАЛИЗАЦИЯ[[#This Row],[ЖАМИ]]-РЕАЛИЗАЦИЯ[[#This Row],[ЖАМИ2]]</f>
        <v>0</v>
      </c>
      <c r="L3143" s="31"/>
    </row>
    <row r="3144" spans="3:12" x14ac:dyDescent="0.3">
      <c r="C3144" s="245"/>
      <c r="D3144" s="245"/>
      <c r="G3144" s="50">
        <f>РЕАЛИЗАЦИЯ[[#This Row],[СОНИ]]*РЕАЛИЗАЦИЯ[[#This Row],[НАРХИ]]</f>
        <v>0</v>
      </c>
      <c r="I3144" s="166"/>
      <c r="J3144" s="31">
        <f>РЕАЛИЗАЦИЯ[[#This Row],[СОНИ]]*РЕАЛИЗАЦИЯ[[#This Row],[ТАННАРХ]]</f>
        <v>0</v>
      </c>
      <c r="K3144" s="31">
        <f>РЕАЛИЗАЦИЯ[[#This Row],[ЖАМИ]]-РЕАЛИЗАЦИЯ[[#This Row],[ЖАМИ2]]</f>
        <v>0</v>
      </c>
      <c r="L3144" s="31"/>
    </row>
    <row r="3145" spans="3:12" x14ac:dyDescent="0.3">
      <c r="C3145" s="245"/>
      <c r="D3145" s="245"/>
      <c r="G3145" s="50">
        <f>РЕАЛИЗАЦИЯ[[#This Row],[СОНИ]]*РЕАЛИЗАЦИЯ[[#This Row],[НАРХИ]]</f>
        <v>0</v>
      </c>
      <c r="I3145" s="166"/>
      <c r="J3145" s="31">
        <f>РЕАЛИЗАЦИЯ[[#This Row],[СОНИ]]*РЕАЛИЗАЦИЯ[[#This Row],[ТАННАРХ]]</f>
        <v>0</v>
      </c>
      <c r="K3145" s="31">
        <f>РЕАЛИЗАЦИЯ[[#This Row],[ЖАМИ]]-РЕАЛИЗАЦИЯ[[#This Row],[ЖАМИ2]]</f>
        <v>0</v>
      </c>
      <c r="L3145" s="31"/>
    </row>
    <row r="3146" spans="3:12" x14ac:dyDescent="0.3">
      <c r="C3146" s="245"/>
      <c r="D3146" s="245"/>
      <c r="G3146" s="50">
        <f>РЕАЛИЗАЦИЯ[[#This Row],[СОНИ]]*РЕАЛИЗАЦИЯ[[#This Row],[НАРХИ]]</f>
        <v>0</v>
      </c>
      <c r="I3146" s="166"/>
      <c r="J3146" s="31">
        <f>РЕАЛИЗАЦИЯ[[#This Row],[СОНИ]]*РЕАЛИЗАЦИЯ[[#This Row],[ТАННАРХ]]</f>
        <v>0</v>
      </c>
      <c r="K3146" s="31">
        <f>РЕАЛИЗАЦИЯ[[#This Row],[ЖАМИ]]-РЕАЛИЗАЦИЯ[[#This Row],[ЖАМИ2]]</f>
        <v>0</v>
      </c>
      <c r="L3146" s="31"/>
    </row>
    <row r="3147" spans="3:12" x14ac:dyDescent="0.3">
      <c r="C3147" s="245"/>
      <c r="D3147" s="245"/>
      <c r="G3147" s="50">
        <f>РЕАЛИЗАЦИЯ[[#This Row],[СОНИ]]*РЕАЛИЗАЦИЯ[[#This Row],[НАРХИ]]</f>
        <v>0</v>
      </c>
      <c r="I3147" s="166"/>
      <c r="J3147" s="31">
        <f>РЕАЛИЗАЦИЯ[[#This Row],[СОНИ]]*РЕАЛИЗАЦИЯ[[#This Row],[ТАННАРХ]]</f>
        <v>0</v>
      </c>
      <c r="K3147" s="31">
        <f>РЕАЛИЗАЦИЯ[[#This Row],[ЖАМИ]]-РЕАЛИЗАЦИЯ[[#This Row],[ЖАМИ2]]</f>
        <v>0</v>
      </c>
      <c r="L3147" s="31"/>
    </row>
    <row r="3148" spans="3:12" x14ac:dyDescent="0.3">
      <c r="C3148" s="245"/>
      <c r="D3148" s="245"/>
      <c r="G3148" s="50">
        <f>РЕАЛИЗАЦИЯ[[#This Row],[СОНИ]]*РЕАЛИЗАЦИЯ[[#This Row],[НАРХИ]]</f>
        <v>0</v>
      </c>
      <c r="I3148" s="166"/>
      <c r="J3148" s="31">
        <f>РЕАЛИЗАЦИЯ[[#This Row],[СОНИ]]*РЕАЛИЗАЦИЯ[[#This Row],[ТАННАРХ]]</f>
        <v>0</v>
      </c>
      <c r="K3148" s="31">
        <f>РЕАЛИЗАЦИЯ[[#This Row],[ЖАМИ]]-РЕАЛИЗАЦИЯ[[#This Row],[ЖАМИ2]]</f>
        <v>0</v>
      </c>
      <c r="L3148" s="31"/>
    </row>
    <row r="3149" spans="3:12" x14ac:dyDescent="0.3">
      <c r="C3149" s="245"/>
      <c r="D3149" s="245"/>
      <c r="G3149" s="50">
        <f>РЕАЛИЗАЦИЯ[[#This Row],[СОНИ]]*РЕАЛИЗАЦИЯ[[#This Row],[НАРХИ]]</f>
        <v>0</v>
      </c>
      <c r="I3149" s="166"/>
      <c r="J3149" s="31">
        <f>РЕАЛИЗАЦИЯ[[#This Row],[СОНИ]]*РЕАЛИЗАЦИЯ[[#This Row],[ТАННАРХ]]</f>
        <v>0</v>
      </c>
      <c r="K3149" s="31">
        <f>РЕАЛИЗАЦИЯ[[#This Row],[ЖАМИ]]-РЕАЛИЗАЦИЯ[[#This Row],[ЖАМИ2]]</f>
        <v>0</v>
      </c>
      <c r="L3149" s="31"/>
    </row>
    <row r="3150" spans="3:12" x14ac:dyDescent="0.3">
      <c r="C3150" s="245"/>
      <c r="D3150" s="245"/>
      <c r="G3150" s="50">
        <f>РЕАЛИЗАЦИЯ[[#This Row],[СОНИ]]*РЕАЛИЗАЦИЯ[[#This Row],[НАРХИ]]</f>
        <v>0</v>
      </c>
      <c r="I3150" s="166"/>
      <c r="J3150" s="31">
        <f>РЕАЛИЗАЦИЯ[[#This Row],[СОНИ]]*РЕАЛИЗАЦИЯ[[#This Row],[ТАННАРХ]]</f>
        <v>0</v>
      </c>
      <c r="K3150" s="31">
        <f>РЕАЛИЗАЦИЯ[[#This Row],[ЖАМИ]]-РЕАЛИЗАЦИЯ[[#This Row],[ЖАМИ2]]</f>
        <v>0</v>
      </c>
      <c r="L3150" s="31"/>
    </row>
    <row r="3151" spans="3:12" x14ac:dyDescent="0.3">
      <c r="C3151" s="245"/>
      <c r="D3151" s="245"/>
      <c r="G3151" s="50">
        <f>РЕАЛИЗАЦИЯ[[#This Row],[СОНИ]]*РЕАЛИЗАЦИЯ[[#This Row],[НАРХИ]]</f>
        <v>0</v>
      </c>
      <c r="I3151" s="166"/>
      <c r="J3151" s="31">
        <f>РЕАЛИЗАЦИЯ[[#This Row],[СОНИ]]*РЕАЛИЗАЦИЯ[[#This Row],[ТАННАРХ]]</f>
        <v>0</v>
      </c>
      <c r="K3151" s="31">
        <f>РЕАЛИЗАЦИЯ[[#This Row],[ЖАМИ]]-РЕАЛИЗАЦИЯ[[#This Row],[ЖАМИ2]]</f>
        <v>0</v>
      </c>
      <c r="L3151" s="31"/>
    </row>
    <row r="3152" spans="3:12" x14ac:dyDescent="0.3">
      <c r="C3152" s="245"/>
      <c r="D3152" s="245"/>
      <c r="G3152" s="50">
        <f>РЕАЛИЗАЦИЯ[[#This Row],[СОНИ]]*РЕАЛИЗАЦИЯ[[#This Row],[НАРХИ]]</f>
        <v>0</v>
      </c>
      <c r="I3152" s="166"/>
      <c r="J3152" s="31">
        <f>РЕАЛИЗАЦИЯ[[#This Row],[СОНИ]]*РЕАЛИЗАЦИЯ[[#This Row],[ТАННАРХ]]</f>
        <v>0</v>
      </c>
      <c r="K3152" s="31">
        <f>РЕАЛИЗАЦИЯ[[#This Row],[ЖАМИ]]-РЕАЛИЗАЦИЯ[[#This Row],[ЖАМИ2]]</f>
        <v>0</v>
      </c>
      <c r="L3152" s="31"/>
    </row>
    <row r="3153" spans="3:12" x14ac:dyDescent="0.3">
      <c r="C3153" s="245"/>
      <c r="D3153" s="245"/>
      <c r="G3153" s="50">
        <f>РЕАЛИЗАЦИЯ[[#This Row],[СОНИ]]*РЕАЛИЗАЦИЯ[[#This Row],[НАРХИ]]</f>
        <v>0</v>
      </c>
      <c r="I3153" s="166"/>
      <c r="J3153" s="31">
        <f>РЕАЛИЗАЦИЯ[[#This Row],[СОНИ]]*РЕАЛИЗАЦИЯ[[#This Row],[ТАННАРХ]]</f>
        <v>0</v>
      </c>
      <c r="K3153" s="31">
        <f>РЕАЛИЗАЦИЯ[[#This Row],[ЖАМИ]]-РЕАЛИЗАЦИЯ[[#This Row],[ЖАМИ2]]</f>
        <v>0</v>
      </c>
      <c r="L3153" s="31"/>
    </row>
    <row r="3154" spans="3:12" x14ac:dyDescent="0.3">
      <c r="C3154" s="245"/>
      <c r="D3154" s="245"/>
      <c r="G3154" s="50">
        <f>РЕАЛИЗАЦИЯ[[#This Row],[СОНИ]]*РЕАЛИЗАЦИЯ[[#This Row],[НАРХИ]]</f>
        <v>0</v>
      </c>
      <c r="I3154" s="166"/>
      <c r="J3154" s="31">
        <f>РЕАЛИЗАЦИЯ[[#This Row],[СОНИ]]*РЕАЛИЗАЦИЯ[[#This Row],[ТАННАРХ]]</f>
        <v>0</v>
      </c>
      <c r="K3154" s="31">
        <f>РЕАЛИЗАЦИЯ[[#This Row],[ЖАМИ]]-РЕАЛИЗАЦИЯ[[#This Row],[ЖАМИ2]]</f>
        <v>0</v>
      </c>
      <c r="L3154" s="31"/>
    </row>
    <row r="3155" spans="3:12" x14ac:dyDescent="0.3">
      <c r="C3155" s="245"/>
      <c r="D3155" s="245"/>
      <c r="G3155" s="50">
        <f>РЕАЛИЗАЦИЯ[[#This Row],[СОНИ]]*РЕАЛИЗАЦИЯ[[#This Row],[НАРХИ]]</f>
        <v>0</v>
      </c>
      <c r="I3155" s="166"/>
      <c r="J3155" s="31">
        <f>РЕАЛИЗАЦИЯ[[#This Row],[СОНИ]]*РЕАЛИЗАЦИЯ[[#This Row],[ТАННАРХ]]</f>
        <v>0</v>
      </c>
      <c r="K3155" s="31">
        <f>РЕАЛИЗАЦИЯ[[#This Row],[ЖАМИ]]-РЕАЛИЗАЦИЯ[[#This Row],[ЖАМИ2]]</f>
        <v>0</v>
      </c>
      <c r="L3155" s="31"/>
    </row>
    <row r="3156" spans="3:12" x14ac:dyDescent="0.3">
      <c r="C3156" s="245"/>
      <c r="D3156" s="245"/>
      <c r="G3156" s="50">
        <f>РЕАЛИЗАЦИЯ[[#This Row],[СОНИ]]*РЕАЛИЗАЦИЯ[[#This Row],[НАРХИ]]</f>
        <v>0</v>
      </c>
      <c r="I3156" s="166"/>
      <c r="J3156" s="31">
        <f>РЕАЛИЗАЦИЯ[[#This Row],[СОНИ]]*РЕАЛИЗАЦИЯ[[#This Row],[ТАННАРХ]]</f>
        <v>0</v>
      </c>
      <c r="K3156" s="31">
        <f>РЕАЛИЗАЦИЯ[[#This Row],[ЖАМИ]]-РЕАЛИЗАЦИЯ[[#This Row],[ЖАМИ2]]</f>
        <v>0</v>
      </c>
      <c r="L3156" s="31"/>
    </row>
    <row r="3157" spans="3:12" x14ac:dyDescent="0.3">
      <c r="C3157" s="245"/>
      <c r="D3157" s="245"/>
      <c r="G3157" s="50">
        <f>РЕАЛИЗАЦИЯ[[#This Row],[СОНИ]]*РЕАЛИЗАЦИЯ[[#This Row],[НАРХИ]]</f>
        <v>0</v>
      </c>
      <c r="I3157" s="166"/>
      <c r="J3157" s="31">
        <f>РЕАЛИЗАЦИЯ[[#This Row],[СОНИ]]*РЕАЛИЗАЦИЯ[[#This Row],[ТАННАРХ]]</f>
        <v>0</v>
      </c>
      <c r="K3157" s="31">
        <f>РЕАЛИЗАЦИЯ[[#This Row],[ЖАМИ]]-РЕАЛИЗАЦИЯ[[#This Row],[ЖАМИ2]]</f>
        <v>0</v>
      </c>
      <c r="L3157" s="31"/>
    </row>
    <row r="3158" spans="3:12" x14ac:dyDescent="0.3">
      <c r="C3158" s="245"/>
      <c r="D3158" s="245"/>
      <c r="G3158" s="50">
        <f>РЕАЛИЗАЦИЯ[[#This Row],[СОНИ]]*РЕАЛИЗАЦИЯ[[#This Row],[НАРХИ]]</f>
        <v>0</v>
      </c>
      <c r="I3158" s="166"/>
      <c r="J3158" s="31">
        <f>РЕАЛИЗАЦИЯ[[#This Row],[СОНИ]]*РЕАЛИЗАЦИЯ[[#This Row],[ТАННАРХ]]</f>
        <v>0</v>
      </c>
      <c r="K3158" s="31">
        <f>РЕАЛИЗАЦИЯ[[#This Row],[ЖАМИ]]-РЕАЛИЗАЦИЯ[[#This Row],[ЖАМИ2]]</f>
        <v>0</v>
      </c>
      <c r="L3158" s="31"/>
    </row>
    <row r="3159" spans="3:12" x14ac:dyDescent="0.3">
      <c r="C3159" s="245"/>
      <c r="D3159" s="245"/>
      <c r="G3159" s="50">
        <f>РЕАЛИЗАЦИЯ[[#This Row],[СОНИ]]*РЕАЛИЗАЦИЯ[[#This Row],[НАРХИ]]</f>
        <v>0</v>
      </c>
      <c r="I3159" s="166"/>
      <c r="J3159" s="31">
        <f>РЕАЛИЗАЦИЯ[[#This Row],[СОНИ]]*РЕАЛИЗАЦИЯ[[#This Row],[ТАННАРХ]]</f>
        <v>0</v>
      </c>
      <c r="K3159" s="31">
        <f>РЕАЛИЗАЦИЯ[[#This Row],[ЖАМИ]]-РЕАЛИЗАЦИЯ[[#This Row],[ЖАМИ2]]</f>
        <v>0</v>
      </c>
      <c r="L3159" s="31"/>
    </row>
    <row r="3160" spans="3:12" x14ac:dyDescent="0.3">
      <c r="C3160" s="245"/>
      <c r="D3160" s="245"/>
      <c r="G3160" s="50">
        <f>РЕАЛИЗАЦИЯ[[#This Row],[СОНИ]]*РЕАЛИЗАЦИЯ[[#This Row],[НАРХИ]]</f>
        <v>0</v>
      </c>
      <c r="I3160" s="166"/>
      <c r="J3160" s="31">
        <f>РЕАЛИЗАЦИЯ[[#This Row],[СОНИ]]*РЕАЛИЗАЦИЯ[[#This Row],[ТАННАРХ]]</f>
        <v>0</v>
      </c>
      <c r="K3160" s="31">
        <f>РЕАЛИЗАЦИЯ[[#This Row],[ЖАМИ]]-РЕАЛИЗАЦИЯ[[#This Row],[ЖАМИ2]]</f>
        <v>0</v>
      </c>
      <c r="L3160" s="31"/>
    </row>
    <row r="3161" spans="3:12" x14ac:dyDescent="0.3">
      <c r="C3161" s="245"/>
      <c r="D3161" s="245"/>
      <c r="G3161" s="50">
        <f>РЕАЛИЗАЦИЯ[[#This Row],[СОНИ]]*РЕАЛИЗАЦИЯ[[#This Row],[НАРХИ]]</f>
        <v>0</v>
      </c>
      <c r="I3161" s="166"/>
      <c r="J3161" s="31">
        <f>РЕАЛИЗАЦИЯ[[#This Row],[СОНИ]]*РЕАЛИЗАЦИЯ[[#This Row],[ТАННАРХ]]</f>
        <v>0</v>
      </c>
      <c r="K3161" s="31">
        <f>РЕАЛИЗАЦИЯ[[#This Row],[ЖАМИ]]-РЕАЛИЗАЦИЯ[[#This Row],[ЖАМИ2]]</f>
        <v>0</v>
      </c>
      <c r="L3161" s="31"/>
    </row>
    <row r="3162" spans="3:12" x14ac:dyDescent="0.3">
      <c r="C3162" s="245"/>
      <c r="D3162" s="245"/>
      <c r="G3162" s="50">
        <f>РЕАЛИЗАЦИЯ[[#This Row],[СОНИ]]*РЕАЛИЗАЦИЯ[[#This Row],[НАРХИ]]</f>
        <v>0</v>
      </c>
      <c r="I3162" s="166"/>
      <c r="J3162" s="31">
        <f>РЕАЛИЗАЦИЯ[[#This Row],[СОНИ]]*РЕАЛИЗАЦИЯ[[#This Row],[ТАННАРХ]]</f>
        <v>0</v>
      </c>
      <c r="K3162" s="31">
        <f>РЕАЛИЗАЦИЯ[[#This Row],[ЖАМИ]]-РЕАЛИЗАЦИЯ[[#This Row],[ЖАМИ2]]</f>
        <v>0</v>
      </c>
      <c r="L3162" s="31"/>
    </row>
    <row r="3163" spans="3:12" x14ac:dyDescent="0.3">
      <c r="C3163" s="245"/>
      <c r="D3163" s="245"/>
      <c r="G3163" s="50">
        <f>РЕАЛИЗАЦИЯ[[#This Row],[СОНИ]]*РЕАЛИЗАЦИЯ[[#This Row],[НАРХИ]]</f>
        <v>0</v>
      </c>
      <c r="I3163" s="166"/>
      <c r="J3163" s="31">
        <f>РЕАЛИЗАЦИЯ[[#This Row],[СОНИ]]*РЕАЛИЗАЦИЯ[[#This Row],[ТАННАРХ]]</f>
        <v>0</v>
      </c>
      <c r="K3163" s="31">
        <f>РЕАЛИЗАЦИЯ[[#This Row],[ЖАМИ]]-РЕАЛИЗАЦИЯ[[#This Row],[ЖАМИ2]]</f>
        <v>0</v>
      </c>
      <c r="L3163" s="31"/>
    </row>
    <row r="3164" spans="3:12" x14ac:dyDescent="0.3">
      <c r="C3164" s="245"/>
      <c r="D3164" s="245"/>
      <c r="G3164" s="50">
        <f>РЕАЛИЗАЦИЯ[[#This Row],[СОНИ]]*РЕАЛИЗАЦИЯ[[#This Row],[НАРХИ]]</f>
        <v>0</v>
      </c>
      <c r="I3164" s="166"/>
      <c r="J3164" s="31">
        <f>РЕАЛИЗАЦИЯ[[#This Row],[СОНИ]]*РЕАЛИЗАЦИЯ[[#This Row],[ТАННАРХ]]</f>
        <v>0</v>
      </c>
      <c r="K3164" s="31">
        <f>РЕАЛИЗАЦИЯ[[#This Row],[ЖАМИ]]-РЕАЛИЗАЦИЯ[[#This Row],[ЖАМИ2]]</f>
        <v>0</v>
      </c>
      <c r="L3164" s="31"/>
    </row>
    <row r="3165" spans="3:12" x14ac:dyDescent="0.3">
      <c r="C3165" s="245"/>
      <c r="D3165" s="245"/>
      <c r="G3165" s="50">
        <f>РЕАЛИЗАЦИЯ[[#This Row],[СОНИ]]*РЕАЛИЗАЦИЯ[[#This Row],[НАРХИ]]</f>
        <v>0</v>
      </c>
      <c r="I3165" s="166"/>
      <c r="J3165" s="31">
        <f>РЕАЛИЗАЦИЯ[[#This Row],[СОНИ]]*РЕАЛИЗАЦИЯ[[#This Row],[ТАННАРХ]]</f>
        <v>0</v>
      </c>
      <c r="K3165" s="31">
        <f>РЕАЛИЗАЦИЯ[[#This Row],[ЖАМИ]]-РЕАЛИЗАЦИЯ[[#This Row],[ЖАМИ2]]</f>
        <v>0</v>
      </c>
      <c r="L3165" s="31"/>
    </row>
    <row r="3166" spans="3:12" x14ac:dyDescent="0.3">
      <c r="C3166" s="245"/>
      <c r="D3166" s="245"/>
      <c r="G3166" s="50">
        <f>РЕАЛИЗАЦИЯ[[#This Row],[СОНИ]]*РЕАЛИЗАЦИЯ[[#This Row],[НАРХИ]]</f>
        <v>0</v>
      </c>
      <c r="I3166" s="166"/>
      <c r="J3166" s="31">
        <f>РЕАЛИЗАЦИЯ[[#This Row],[СОНИ]]*РЕАЛИЗАЦИЯ[[#This Row],[ТАННАРХ]]</f>
        <v>0</v>
      </c>
      <c r="K3166" s="31">
        <f>РЕАЛИЗАЦИЯ[[#This Row],[ЖАМИ]]-РЕАЛИЗАЦИЯ[[#This Row],[ЖАМИ2]]</f>
        <v>0</v>
      </c>
      <c r="L3166" s="31"/>
    </row>
    <row r="3167" spans="3:12" x14ac:dyDescent="0.3">
      <c r="C3167" s="245"/>
      <c r="D3167" s="245"/>
      <c r="G3167" s="50">
        <f>РЕАЛИЗАЦИЯ[[#This Row],[СОНИ]]*РЕАЛИЗАЦИЯ[[#This Row],[НАРХИ]]</f>
        <v>0</v>
      </c>
      <c r="I3167" s="166"/>
      <c r="J3167" s="31">
        <f>РЕАЛИЗАЦИЯ[[#This Row],[СОНИ]]*РЕАЛИЗАЦИЯ[[#This Row],[ТАННАРХ]]</f>
        <v>0</v>
      </c>
      <c r="K3167" s="31">
        <f>РЕАЛИЗАЦИЯ[[#This Row],[ЖАМИ]]-РЕАЛИЗАЦИЯ[[#This Row],[ЖАМИ2]]</f>
        <v>0</v>
      </c>
      <c r="L3167" s="31"/>
    </row>
    <row r="3168" spans="3:12" x14ac:dyDescent="0.3">
      <c r="C3168" s="245"/>
      <c r="D3168" s="245"/>
      <c r="G3168" s="50">
        <f>РЕАЛИЗАЦИЯ[[#This Row],[СОНИ]]*РЕАЛИЗАЦИЯ[[#This Row],[НАРХИ]]</f>
        <v>0</v>
      </c>
      <c r="I3168" s="166"/>
      <c r="J3168" s="31">
        <f>РЕАЛИЗАЦИЯ[[#This Row],[СОНИ]]*РЕАЛИЗАЦИЯ[[#This Row],[ТАННАРХ]]</f>
        <v>0</v>
      </c>
      <c r="K3168" s="31">
        <f>РЕАЛИЗАЦИЯ[[#This Row],[ЖАМИ]]-РЕАЛИЗАЦИЯ[[#This Row],[ЖАМИ2]]</f>
        <v>0</v>
      </c>
      <c r="L3168" s="31"/>
    </row>
    <row r="3169" spans="3:12" x14ac:dyDescent="0.3">
      <c r="C3169" s="245"/>
      <c r="D3169" s="245"/>
      <c r="G3169" s="50">
        <f>РЕАЛИЗАЦИЯ[[#This Row],[СОНИ]]*РЕАЛИЗАЦИЯ[[#This Row],[НАРХИ]]</f>
        <v>0</v>
      </c>
      <c r="I3169" s="166"/>
      <c r="J3169" s="31">
        <f>РЕАЛИЗАЦИЯ[[#This Row],[СОНИ]]*РЕАЛИЗАЦИЯ[[#This Row],[ТАННАРХ]]</f>
        <v>0</v>
      </c>
      <c r="K3169" s="31">
        <f>РЕАЛИЗАЦИЯ[[#This Row],[ЖАМИ]]-РЕАЛИЗАЦИЯ[[#This Row],[ЖАМИ2]]</f>
        <v>0</v>
      </c>
      <c r="L3169" s="31"/>
    </row>
    <row r="3170" spans="3:12" x14ac:dyDescent="0.3">
      <c r="C3170" s="245"/>
      <c r="D3170" s="245"/>
      <c r="G3170" s="50">
        <f>РЕАЛИЗАЦИЯ[[#This Row],[СОНИ]]*РЕАЛИЗАЦИЯ[[#This Row],[НАРХИ]]</f>
        <v>0</v>
      </c>
      <c r="I3170" s="166"/>
      <c r="J3170" s="31">
        <f>РЕАЛИЗАЦИЯ[[#This Row],[СОНИ]]*РЕАЛИЗАЦИЯ[[#This Row],[ТАННАРХ]]</f>
        <v>0</v>
      </c>
      <c r="K3170" s="31">
        <f>РЕАЛИЗАЦИЯ[[#This Row],[ЖАМИ]]-РЕАЛИЗАЦИЯ[[#This Row],[ЖАМИ2]]</f>
        <v>0</v>
      </c>
      <c r="L3170" s="31"/>
    </row>
    <row r="3171" spans="3:12" x14ac:dyDescent="0.3">
      <c r="C3171" s="245"/>
      <c r="D3171" s="245"/>
      <c r="G3171" s="50">
        <f>РЕАЛИЗАЦИЯ[[#This Row],[СОНИ]]*РЕАЛИЗАЦИЯ[[#This Row],[НАРХИ]]</f>
        <v>0</v>
      </c>
      <c r="I3171" s="166"/>
      <c r="J3171" s="31">
        <f>РЕАЛИЗАЦИЯ[[#This Row],[СОНИ]]*РЕАЛИЗАЦИЯ[[#This Row],[ТАННАРХ]]</f>
        <v>0</v>
      </c>
      <c r="K3171" s="31">
        <f>РЕАЛИЗАЦИЯ[[#This Row],[ЖАМИ]]-РЕАЛИЗАЦИЯ[[#This Row],[ЖАМИ2]]</f>
        <v>0</v>
      </c>
      <c r="L3171" s="31"/>
    </row>
    <row r="3172" spans="3:12" x14ac:dyDescent="0.3">
      <c r="C3172" s="245"/>
      <c r="D3172" s="245"/>
      <c r="G3172" s="50">
        <f>РЕАЛИЗАЦИЯ[[#This Row],[СОНИ]]*РЕАЛИЗАЦИЯ[[#This Row],[НАРХИ]]</f>
        <v>0</v>
      </c>
      <c r="I3172" s="166"/>
      <c r="J3172" s="31">
        <f>РЕАЛИЗАЦИЯ[[#This Row],[СОНИ]]*РЕАЛИЗАЦИЯ[[#This Row],[ТАННАРХ]]</f>
        <v>0</v>
      </c>
      <c r="K3172" s="31">
        <f>РЕАЛИЗАЦИЯ[[#This Row],[ЖАМИ]]-РЕАЛИЗАЦИЯ[[#This Row],[ЖАМИ2]]</f>
        <v>0</v>
      </c>
      <c r="L3172" s="31"/>
    </row>
    <row r="3173" spans="3:12" x14ac:dyDescent="0.3">
      <c r="C3173" s="245"/>
      <c r="D3173" s="245"/>
      <c r="G3173" s="50">
        <f>РЕАЛИЗАЦИЯ[[#This Row],[СОНИ]]*РЕАЛИЗАЦИЯ[[#This Row],[НАРХИ]]</f>
        <v>0</v>
      </c>
      <c r="I3173" s="166"/>
      <c r="J3173" s="31">
        <f>РЕАЛИЗАЦИЯ[[#This Row],[СОНИ]]*РЕАЛИЗАЦИЯ[[#This Row],[ТАННАРХ]]</f>
        <v>0</v>
      </c>
      <c r="K3173" s="31">
        <f>РЕАЛИЗАЦИЯ[[#This Row],[ЖАМИ]]-РЕАЛИЗАЦИЯ[[#This Row],[ЖАМИ2]]</f>
        <v>0</v>
      </c>
      <c r="L3173" s="31"/>
    </row>
    <row r="3174" spans="3:12" x14ac:dyDescent="0.3">
      <c r="C3174" s="245"/>
      <c r="D3174" s="245"/>
      <c r="G3174" s="50">
        <f>РЕАЛИЗАЦИЯ[[#This Row],[СОНИ]]*РЕАЛИЗАЦИЯ[[#This Row],[НАРХИ]]</f>
        <v>0</v>
      </c>
      <c r="I3174" s="166"/>
      <c r="J3174" s="31">
        <f>РЕАЛИЗАЦИЯ[[#This Row],[СОНИ]]*РЕАЛИЗАЦИЯ[[#This Row],[ТАННАРХ]]</f>
        <v>0</v>
      </c>
      <c r="K3174" s="31">
        <f>РЕАЛИЗАЦИЯ[[#This Row],[ЖАМИ]]-РЕАЛИЗАЦИЯ[[#This Row],[ЖАМИ2]]</f>
        <v>0</v>
      </c>
      <c r="L3174" s="31"/>
    </row>
    <row r="3175" spans="3:12" x14ac:dyDescent="0.3">
      <c r="C3175" s="245"/>
      <c r="D3175" s="245"/>
      <c r="G3175" s="50">
        <f>РЕАЛИЗАЦИЯ[[#This Row],[СОНИ]]*РЕАЛИЗАЦИЯ[[#This Row],[НАРХИ]]</f>
        <v>0</v>
      </c>
      <c r="I3175" s="166"/>
      <c r="J3175" s="31">
        <f>РЕАЛИЗАЦИЯ[[#This Row],[СОНИ]]*РЕАЛИЗАЦИЯ[[#This Row],[ТАННАРХ]]</f>
        <v>0</v>
      </c>
      <c r="K3175" s="31">
        <f>РЕАЛИЗАЦИЯ[[#This Row],[ЖАМИ]]-РЕАЛИЗАЦИЯ[[#This Row],[ЖАМИ2]]</f>
        <v>0</v>
      </c>
      <c r="L3175" s="31"/>
    </row>
    <row r="3176" spans="3:12" x14ac:dyDescent="0.3">
      <c r="C3176" s="245"/>
      <c r="D3176" s="245"/>
      <c r="G3176" s="50">
        <f>РЕАЛИЗАЦИЯ[[#This Row],[СОНИ]]*РЕАЛИЗАЦИЯ[[#This Row],[НАРХИ]]</f>
        <v>0</v>
      </c>
      <c r="I3176" s="166"/>
      <c r="J3176" s="31">
        <f>РЕАЛИЗАЦИЯ[[#This Row],[СОНИ]]*РЕАЛИЗАЦИЯ[[#This Row],[ТАННАРХ]]</f>
        <v>0</v>
      </c>
      <c r="K3176" s="31">
        <f>РЕАЛИЗАЦИЯ[[#This Row],[ЖАМИ]]-РЕАЛИЗАЦИЯ[[#This Row],[ЖАМИ2]]</f>
        <v>0</v>
      </c>
      <c r="L3176" s="31"/>
    </row>
    <row r="3177" spans="3:12" x14ac:dyDescent="0.3">
      <c r="C3177" s="245"/>
      <c r="D3177" s="245"/>
      <c r="G3177" s="50">
        <f>РЕАЛИЗАЦИЯ[[#This Row],[СОНИ]]*РЕАЛИЗАЦИЯ[[#This Row],[НАРХИ]]</f>
        <v>0</v>
      </c>
      <c r="I3177" s="166"/>
      <c r="J3177" s="31">
        <f>РЕАЛИЗАЦИЯ[[#This Row],[СОНИ]]*РЕАЛИЗАЦИЯ[[#This Row],[ТАННАРХ]]</f>
        <v>0</v>
      </c>
      <c r="K3177" s="31">
        <f>РЕАЛИЗАЦИЯ[[#This Row],[ЖАМИ]]-РЕАЛИЗАЦИЯ[[#This Row],[ЖАМИ2]]</f>
        <v>0</v>
      </c>
      <c r="L3177" s="31"/>
    </row>
    <row r="3178" spans="3:12" x14ac:dyDescent="0.3">
      <c r="C3178" s="245"/>
      <c r="D3178" s="245"/>
      <c r="G3178" s="50">
        <f>РЕАЛИЗАЦИЯ[[#This Row],[СОНИ]]*РЕАЛИЗАЦИЯ[[#This Row],[НАРХИ]]</f>
        <v>0</v>
      </c>
      <c r="I3178" s="166"/>
      <c r="J3178" s="31">
        <f>РЕАЛИЗАЦИЯ[[#This Row],[СОНИ]]*РЕАЛИЗАЦИЯ[[#This Row],[ТАННАРХ]]</f>
        <v>0</v>
      </c>
      <c r="K3178" s="31">
        <f>РЕАЛИЗАЦИЯ[[#This Row],[ЖАМИ]]-РЕАЛИЗАЦИЯ[[#This Row],[ЖАМИ2]]</f>
        <v>0</v>
      </c>
      <c r="L3178" s="31"/>
    </row>
    <row r="3179" spans="3:12" x14ac:dyDescent="0.3">
      <c r="C3179" s="245"/>
      <c r="D3179" s="245"/>
      <c r="G3179" s="50">
        <f>РЕАЛИЗАЦИЯ[[#This Row],[СОНИ]]*РЕАЛИЗАЦИЯ[[#This Row],[НАРХИ]]</f>
        <v>0</v>
      </c>
      <c r="I3179" s="166"/>
      <c r="J3179" s="31">
        <f>РЕАЛИЗАЦИЯ[[#This Row],[СОНИ]]*РЕАЛИЗАЦИЯ[[#This Row],[ТАННАРХ]]</f>
        <v>0</v>
      </c>
      <c r="K3179" s="31">
        <f>РЕАЛИЗАЦИЯ[[#This Row],[ЖАМИ]]-РЕАЛИЗАЦИЯ[[#This Row],[ЖАМИ2]]</f>
        <v>0</v>
      </c>
      <c r="L3179" s="31"/>
    </row>
    <row r="3180" spans="3:12" x14ac:dyDescent="0.3">
      <c r="C3180" s="245"/>
      <c r="D3180" s="245"/>
      <c r="G3180" s="50">
        <f>РЕАЛИЗАЦИЯ[[#This Row],[СОНИ]]*РЕАЛИЗАЦИЯ[[#This Row],[НАРХИ]]</f>
        <v>0</v>
      </c>
      <c r="I3180" s="166"/>
      <c r="J3180" s="31">
        <f>РЕАЛИЗАЦИЯ[[#This Row],[СОНИ]]*РЕАЛИЗАЦИЯ[[#This Row],[ТАННАРХ]]</f>
        <v>0</v>
      </c>
      <c r="K3180" s="31">
        <f>РЕАЛИЗАЦИЯ[[#This Row],[ЖАМИ]]-РЕАЛИЗАЦИЯ[[#This Row],[ЖАМИ2]]</f>
        <v>0</v>
      </c>
      <c r="L3180" s="31"/>
    </row>
    <row r="3181" spans="3:12" x14ac:dyDescent="0.3">
      <c r="C3181" s="245"/>
      <c r="D3181" s="245"/>
      <c r="G3181" s="50">
        <f>РЕАЛИЗАЦИЯ[[#This Row],[СОНИ]]*РЕАЛИЗАЦИЯ[[#This Row],[НАРХИ]]</f>
        <v>0</v>
      </c>
      <c r="I3181" s="166"/>
      <c r="J3181" s="31">
        <f>РЕАЛИЗАЦИЯ[[#This Row],[СОНИ]]*РЕАЛИЗАЦИЯ[[#This Row],[ТАННАРХ]]</f>
        <v>0</v>
      </c>
      <c r="K3181" s="31">
        <f>РЕАЛИЗАЦИЯ[[#This Row],[ЖАМИ]]-РЕАЛИЗАЦИЯ[[#This Row],[ЖАМИ2]]</f>
        <v>0</v>
      </c>
      <c r="L3181" s="31"/>
    </row>
    <row r="3182" spans="3:12" x14ac:dyDescent="0.3">
      <c r="C3182" s="249"/>
      <c r="D3182" s="249"/>
      <c r="G3182" s="50">
        <f>РЕАЛИЗАЦИЯ[[#This Row],[СОНИ]]*РЕАЛИЗАЦИЯ[[#This Row],[НАРХИ]]</f>
        <v>0</v>
      </c>
      <c r="I3182" s="166"/>
      <c r="J3182" s="31">
        <f>РЕАЛИЗАЦИЯ[[#This Row],[СОНИ]]*РЕАЛИЗАЦИЯ[[#This Row],[ТАННАРХ]]</f>
        <v>0</v>
      </c>
      <c r="K3182" s="31">
        <f>РЕАЛИЗАЦИЯ[[#This Row],[ЖАМИ]]-РЕАЛИЗАЦИЯ[[#This Row],[ЖАМИ2]]</f>
        <v>0</v>
      </c>
      <c r="L3182" s="31"/>
    </row>
    <row r="3183" spans="3:12" x14ac:dyDescent="0.3">
      <c r="C3183" s="249"/>
      <c r="D3183" s="249"/>
      <c r="G3183" s="50">
        <f>РЕАЛИЗАЦИЯ[[#This Row],[СОНИ]]*РЕАЛИЗАЦИЯ[[#This Row],[НАРХИ]]</f>
        <v>0</v>
      </c>
      <c r="I3183" s="166"/>
      <c r="J3183" s="31">
        <f>РЕАЛИЗАЦИЯ[[#This Row],[СОНИ]]*РЕАЛИЗАЦИЯ[[#This Row],[ТАННАРХ]]</f>
        <v>0</v>
      </c>
      <c r="K3183" s="31">
        <f>РЕАЛИЗАЦИЯ[[#This Row],[ЖАМИ]]-РЕАЛИЗАЦИЯ[[#This Row],[ЖАМИ2]]</f>
        <v>0</v>
      </c>
      <c r="L3183" s="31"/>
    </row>
    <row r="3184" spans="3:12" x14ac:dyDescent="0.3">
      <c r="C3184" s="249"/>
      <c r="D3184" s="249"/>
      <c r="G3184" s="50">
        <f>РЕАЛИЗАЦИЯ[[#This Row],[СОНИ]]*РЕАЛИЗАЦИЯ[[#This Row],[НАРХИ]]</f>
        <v>0</v>
      </c>
      <c r="I3184" s="166"/>
      <c r="J3184" s="31">
        <f>РЕАЛИЗАЦИЯ[[#This Row],[СОНИ]]*РЕАЛИЗАЦИЯ[[#This Row],[ТАННАРХ]]</f>
        <v>0</v>
      </c>
      <c r="K3184" s="31">
        <f>РЕАЛИЗАЦИЯ[[#This Row],[ЖАМИ]]-РЕАЛИЗАЦИЯ[[#This Row],[ЖАМИ2]]</f>
        <v>0</v>
      </c>
      <c r="L3184" s="31"/>
    </row>
    <row r="3185" spans="3:12" x14ac:dyDescent="0.3">
      <c r="C3185" s="249"/>
      <c r="D3185" s="249"/>
      <c r="G3185" s="50">
        <f>РЕАЛИЗАЦИЯ[[#This Row],[СОНИ]]*РЕАЛИЗАЦИЯ[[#This Row],[НАРХИ]]</f>
        <v>0</v>
      </c>
      <c r="I3185" s="166"/>
      <c r="J3185" s="31">
        <f>РЕАЛИЗАЦИЯ[[#This Row],[СОНИ]]*РЕАЛИЗАЦИЯ[[#This Row],[ТАННАРХ]]</f>
        <v>0</v>
      </c>
      <c r="K3185" s="31">
        <f>РЕАЛИЗАЦИЯ[[#This Row],[ЖАМИ]]-РЕАЛИЗАЦИЯ[[#This Row],[ЖАМИ2]]</f>
        <v>0</v>
      </c>
      <c r="L3185" s="31"/>
    </row>
    <row r="3186" spans="3:12" x14ac:dyDescent="0.3">
      <c r="C3186" s="249"/>
      <c r="D3186" s="249"/>
      <c r="G3186" s="50">
        <f>РЕАЛИЗАЦИЯ[[#This Row],[СОНИ]]*РЕАЛИЗАЦИЯ[[#This Row],[НАРХИ]]</f>
        <v>0</v>
      </c>
      <c r="I3186" s="166"/>
      <c r="J3186" s="31">
        <f>РЕАЛИЗАЦИЯ[[#This Row],[СОНИ]]*РЕАЛИЗАЦИЯ[[#This Row],[ТАННАРХ]]</f>
        <v>0</v>
      </c>
      <c r="K3186" s="31">
        <f>РЕАЛИЗАЦИЯ[[#This Row],[ЖАМИ]]-РЕАЛИЗАЦИЯ[[#This Row],[ЖАМИ2]]</f>
        <v>0</v>
      </c>
      <c r="L3186" s="31"/>
    </row>
    <row r="3187" spans="3:12" x14ac:dyDescent="0.3">
      <c r="C3187" s="249"/>
      <c r="D3187" s="249"/>
      <c r="G3187" s="50">
        <f>РЕАЛИЗАЦИЯ[[#This Row],[СОНИ]]*РЕАЛИЗАЦИЯ[[#This Row],[НАРХИ]]</f>
        <v>0</v>
      </c>
      <c r="I3187" s="166"/>
      <c r="J3187" s="31">
        <f>РЕАЛИЗАЦИЯ[[#This Row],[СОНИ]]*РЕАЛИЗАЦИЯ[[#This Row],[ТАННАРХ]]</f>
        <v>0</v>
      </c>
      <c r="K3187" s="31">
        <f>РЕАЛИЗАЦИЯ[[#This Row],[ЖАМИ]]-РЕАЛИЗАЦИЯ[[#This Row],[ЖАМИ2]]</f>
        <v>0</v>
      </c>
      <c r="L3187" s="31"/>
    </row>
    <row r="3188" spans="3:12" x14ac:dyDescent="0.3">
      <c r="C3188" s="249"/>
      <c r="D3188" s="249"/>
      <c r="G3188" s="50">
        <f>РЕАЛИЗАЦИЯ[[#This Row],[СОНИ]]*РЕАЛИЗАЦИЯ[[#This Row],[НАРХИ]]</f>
        <v>0</v>
      </c>
      <c r="I3188" s="166"/>
      <c r="J3188" s="31">
        <f>РЕАЛИЗАЦИЯ[[#This Row],[СОНИ]]*РЕАЛИЗАЦИЯ[[#This Row],[ТАННАРХ]]</f>
        <v>0</v>
      </c>
      <c r="K3188" s="31">
        <f>РЕАЛИЗАЦИЯ[[#This Row],[ЖАМИ]]-РЕАЛИЗАЦИЯ[[#This Row],[ЖАМИ2]]</f>
        <v>0</v>
      </c>
      <c r="L3188" s="31"/>
    </row>
    <row r="3189" spans="3:12" x14ac:dyDescent="0.3">
      <c r="C3189" s="249"/>
      <c r="D3189" s="249"/>
      <c r="G3189" s="50">
        <f>РЕАЛИЗАЦИЯ[[#This Row],[СОНИ]]*РЕАЛИЗАЦИЯ[[#This Row],[НАРХИ]]</f>
        <v>0</v>
      </c>
      <c r="I3189" s="166"/>
      <c r="J3189" s="31">
        <f>РЕАЛИЗАЦИЯ[[#This Row],[СОНИ]]*РЕАЛИЗАЦИЯ[[#This Row],[ТАННАРХ]]</f>
        <v>0</v>
      </c>
      <c r="K3189" s="31">
        <f>РЕАЛИЗАЦИЯ[[#This Row],[ЖАМИ]]-РЕАЛИЗАЦИЯ[[#This Row],[ЖАМИ2]]</f>
        <v>0</v>
      </c>
      <c r="L3189" s="31"/>
    </row>
    <row r="3190" spans="3:12" x14ac:dyDescent="0.3">
      <c r="C3190" s="249"/>
      <c r="D3190" s="249"/>
      <c r="G3190" s="50">
        <f>РЕАЛИЗАЦИЯ[[#This Row],[СОНИ]]*РЕАЛИЗАЦИЯ[[#This Row],[НАРХИ]]</f>
        <v>0</v>
      </c>
      <c r="I3190" s="166"/>
      <c r="J3190" s="31">
        <f>РЕАЛИЗАЦИЯ[[#This Row],[СОНИ]]*РЕАЛИЗАЦИЯ[[#This Row],[ТАННАРХ]]</f>
        <v>0</v>
      </c>
      <c r="K3190" s="31">
        <f>РЕАЛИЗАЦИЯ[[#This Row],[ЖАМИ]]-РЕАЛИЗАЦИЯ[[#This Row],[ЖАМИ2]]</f>
        <v>0</v>
      </c>
      <c r="L3190" s="31"/>
    </row>
    <row r="3191" spans="3:12" x14ac:dyDescent="0.3">
      <c r="C3191" s="249"/>
      <c r="D3191" s="249"/>
      <c r="G3191" s="50">
        <f>РЕАЛИЗАЦИЯ[[#This Row],[СОНИ]]*РЕАЛИЗАЦИЯ[[#This Row],[НАРХИ]]</f>
        <v>0</v>
      </c>
      <c r="I3191" s="166"/>
      <c r="J3191" s="31">
        <f>РЕАЛИЗАЦИЯ[[#This Row],[СОНИ]]*РЕАЛИЗАЦИЯ[[#This Row],[ТАННАРХ]]</f>
        <v>0</v>
      </c>
      <c r="K3191" s="31">
        <f>РЕАЛИЗАЦИЯ[[#This Row],[ЖАМИ]]-РЕАЛИЗАЦИЯ[[#This Row],[ЖАМИ2]]</f>
        <v>0</v>
      </c>
      <c r="L3191" s="31"/>
    </row>
    <row r="3192" spans="3:12" x14ac:dyDescent="0.3">
      <c r="C3192" s="249"/>
      <c r="D3192" s="249"/>
      <c r="G3192" s="50">
        <f>РЕАЛИЗАЦИЯ[[#This Row],[СОНИ]]*РЕАЛИЗАЦИЯ[[#This Row],[НАРХИ]]</f>
        <v>0</v>
      </c>
      <c r="I3192" s="166"/>
      <c r="J3192" s="31">
        <f>РЕАЛИЗАЦИЯ[[#This Row],[СОНИ]]*РЕАЛИЗАЦИЯ[[#This Row],[ТАННАРХ]]</f>
        <v>0</v>
      </c>
      <c r="K3192" s="31">
        <f>РЕАЛИЗАЦИЯ[[#This Row],[ЖАМИ]]-РЕАЛИЗАЦИЯ[[#This Row],[ЖАМИ2]]</f>
        <v>0</v>
      </c>
      <c r="L3192" s="31"/>
    </row>
    <row r="3193" spans="3:12" x14ac:dyDescent="0.3">
      <c r="C3193" s="249"/>
      <c r="D3193" s="249"/>
      <c r="G3193" s="50">
        <f>РЕАЛИЗАЦИЯ[[#This Row],[СОНИ]]*РЕАЛИЗАЦИЯ[[#This Row],[НАРХИ]]</f>
        <v>0</v>
      </c>
      <c r="I3193" s="166"/>
      <c r="J3193" s="31">
        <f>РЕАЛИЗАЦИЯ[[#This Row],[СОНИ]]*РЕАЛИЗАЦИЯ[[#This Row],[ТАННАРХ]]</f>
        <v>0</v>
      </c>
      <c r="K3193" s="31">
        <f>РЕАЛИЗАЦИЯ[[#This Row],[ЖАМИ]]-РЕАЛИЗАЦИЯ[[#This Row],[ЖАМИ2]]</f>
        <v>0</v>
      </c>
      <c r="L3193" s="31"/>
    </row>
    <row r="3194" spans="3:12" x14ac:dyDescent="0.3">
      <c r="C3194" s="249"/>
      <c r="D3194" s="249"/>
      <c r="G3194" s="50">
        <f>РЕАЛИЗАЦИЯ[[#This Row],[СОНИ]]*РЕАЛИЗАЦИЯ[[#This Row],[НАРХИ]]</f>
        <v>0</v>
      </c>
      <c r="I3194" s="166"/>
      <c r="J3194" s="31">
        <f>РЕАЛИЗАЦИЯ[[#This Row],[СОНИ]]*РЕАЛИЗАЦИЯ[[#This Row],[ТАННАРХ]]</f>
        <v>0</v>
      </c>
      <c r="K3194" s="31">
        <f>РЕАЛИЗАЦИЯ[[#This Row],[ЖАМИ]]-РЕАЛИЗАЦИЯ[[#This Row],[ЖАМИ2]]</f>
        <v>0</v>
      </c>
      <c r="L3194" s="31"/>
    </row>
    <row r="3195" spans="3:12" x14ac:dyDescent="0.3">
      <c r="C3195" s="249"/>
      <c r="D3195" s="249"/>
      <c r="G3195" s="50">
        <f>РЕАЛИЗАЦИЯ[[#This Row],[СОНИ]]*РЕАЛИЗАЦИЯ[[#This Row],[НАРХИ]]</f>
        <v>0</v>
      </c>
      <c r="I3195" s="166"/>
      <c r="J3195" s="31">
        <f>РЕАЛИЗАЦИЯ[[#This Row],[СОНИ]]*РЕАЛИЗАЦИЯ[[#This Row],[ТАННАРХ]]</f>
        <v>0</v>
      </c>
      <c r="K3195" s="31">
        <f>РЕАЛИЗАЦИЯ[[#This Row],[ЖАМИ]]-РЕАЛИЗАЦИЯ[[#This Row],[ЖАМИ2]]</f>
        <v>0</v>
      </c>
      <c r="L3195" s="31"/>
    </row>
    <row r="3196" spans="3:12" x14ac:dyDescent="0.3">
      <c r="C3196" s="249"/>
      <c r="D3196" s="249"/>
      <c r="G3196" s="50">
        <f>РЕАЛИЗАЦИЯ[[#This Row],[СОНИ]]*РЕАЛИЗАЦИЯ[[#This Row],[НАРХИ]]</f>
        <v>0</v>
      </c>
      <c r="I3196" s="166"/>
      <c r="J3196" s="31">
        <f>РЕАЛИЗАЦИЯ[[#This Row],[СОНИ]]*РЕАЛИЗАЦИЯ[[#This Row],[ТАННАРХ]]</f>
        <v>0</v>
      </c>
      <c r="K3196" s="31">
        <f>РЕАЛИЗАЦИЯ[[#This Row],[ЖАМИ]]-РЕАЛИЗАЦИЯ[[#This Row],[ЖАМИ2]]</f>
        <v>0</v>
      </c>
      <c r="L3196" s="31"/>
    </row>
    <row r="3197" spans="3:12" x14ac:dyDescent="0.3">
      <c r="C3197" s="249"/>
      <c r="D3197" s="249"/>
      <c r="G3197" s="50">
        <f>РЕАЛИЗАЦИЯ[[#This Row],[СОНИ]]*РЕАЛИЗАЦИЯ[[#This Row],[НАРХИ]]</f>
        <v>0</v>
      </c>
      <c r="I3197" s="166"/>
      <c r="J3197" s="31">
        <f>РЕАЛИЗАЦИЯ[[#This Row],[СОНИ]]*РЕАЛИЗАЦИЯ[[#This Row],[ТАННАРХ]]</f>
        <v>0</v>
      </c>
      <c r="K3197" s="31">
        <f>РЕАЛИЗАЦИЯ[[#This Row],[ЖАМИ]]-РЕАЛИЗАЦИЯ[[#This Row],[ЖАМИ2]]</f>
        <v>0</v>
      </c>
      <c r="L3197" s="31"/>
    </row>
    <row r="3198" spans="3:12" x14ac:dyDescent="0.3">
      <c r="C3198" s="249"/>
      <c r="D3198" s="249"/>
      <c r="G3198" s="50">
        <f>РЕАЛИЗАЦИЯ[[#This Row],[СОНИ]]*РЕАЛИЗАЦИЯ[[#This Row],[НАРХИ]]</f>
        <v>0</v>
      </c>
      <c r="I3198" s="166"/>
      <c r="J3198" s="31">
        <f>РЕАЛИЗАЦИЯ[[#This Row],[СОНИ]]*РЕАЛИЗАЦИЯ[[#This Row],[ТАННАРХ]]</f>
        <v>0</v>
      </c>
      <c r="K3198" s="31">
        <f>РЕАЛИЗАЦИЯ[[#This Row],[ЖАМИ]]-РЕАЛИЗАЦИЯ[[#This Row],[ЖАМИ2]]</f>
        <v>0</v>
      </c>
      <c r="L3198" s="31"/>
    </row>
    <row r="3199" spans="3:12" x14ac:dyDescent="0.3">
      <c r="C3199" s="249"/>
      <c r="D3199" s="249"/>
      <c r="G3199" s="50">
        <f>РЕАЛИЗАЦИЯ[[#This Row],[СОНИ]]*РЕАЛИЗАЦИЯ[[#This Row],[НАРХИ]]</f>
        <v>0</v>
      </c>
      <c r="I3199" s="166"/>
      <c r="J3199" s="31">
        <f>РЕАЛИЗАЦИЯ[[#This Row],[СОНИ]]*РЕАЛИЗАЦИЯ[[#This Row],[ТАННАРХ]]</f>
        <v>0</v>
      </c>
      <c r="K3199" s="31">
        <f>РЕАЛИЗАЦИЯ[[#This Row],[ЖАМИ]]-РЕАЛИЗАЦИЯ[[#This Row],[ЖАМИ2]]</f>
        <v>0</v>
      </c>
      <c r="L3199" s="31"/>
    </row>
    <row r="3200" spans="3:12" x14ac:dyDescent="0.3">
      <c r="C3200" s="249"/>
      <c r="D3200" s="249"/>
      <c r="G3200" s="50">
        <f>РЕАЛИЗАЦИЯ[[#This Row],[СОНИ]]*РЕАЛИЗАЦИЯ[[#This Row],[НАРХИ]]</f>
        <v>0</v>
      </c>
      <c r="I3200" s="166"/>
      <c r="J3200" s="31">
        <f>РЕАЛИЗАЦИЯ[[#This Row],[СОНИ]]*РЕАЛИЗАЦИЯ[[#This Row],[ТАННАРХ]]</f>
        <v>0</v>
      </c>
      <c r="K3200" s="31">
        <f>РЕАЛИЗАЦИЯ[[#This Row],[ЖАМИ]]-РЕАЛИЗАЦИЯ[[#This Row],[ЖАМИ2]]</f>
        <v>0</v>
      </c>
      <c r="L3200" s="31"/>
    </row>
    <row r="3201" spans="3:12" x14ac:dyDescent="0.3">
      <c r="C3201" s="249"/>
      <c r="D3201" s="249"/>
      <c r="G3201" s="50">
        <f>РЕАЛИЗАЦИЯ[[#This Row],[СОНИ]]*РЕАЛИЗАЦИЯ[[#This Row],[НАРХИ]]</f>
        <v>0</v>
      </c>
      <c r="I3201" s="166"/>
      <c r="J3201" s="31">
        <f>РЕАЛИЗАЦИЯ[[#This Row],[СОНИ]]*РЕАЛИЗАЦИЯ[[#This Row],[ТАННАРХ]]</f>
        <v>0</v>
      </c>
      <c r="K3201" s="31">
        <f>РЕАЛИЗАЦИЯ[[#This Row],[ЖАМИ]]-РЕАЛИЗАЦИЯ[[#This Row],[ЖАМИ2]]</f>
        <v>0</v>
      </c>
      <c r="L3201" s="31"/>
    </row>
    <row r="3202" spans="3:12" x14ac:dyDescent="0.3">
      <c r="C3202" s="249"/>
      <c r="D3202" s="249"/>
      <c r="G3202" s="50">
        <f>РЕАЛИЗАЦИЯ[[#This Row],[СОНИ]]*РЕАЛИЗАЦИЯ[[#This Row],[НАРХИ]]</f>
        <v>0</v>
      </c>
      <c r="I3202" s="166"/>
      <c r="J3202" s="31">
        <f>РЕАЛИЗАЦИЯ[[#This Row],[СОНИ]]*РЕАЛИЗАЦИЯ[[#This Row],[ТАННАРХ]]</f>
        <v>0</v>
      </c>
      <c r="K3202" s="31">
        <f>РЕАЛИЗАЦИЯ[[#This Row],[ЖАМИ]]-РЕАЛИЗАЦИЯ[[#This Row],[ЖАМИ2]]</f>
        <v>0</v>
      </c>
      <c r="L3202" s="31"/>
    </row>
    <row r="3203" spans="3:12" x14ac:dyDescent="0.3">
      <c r="C3203" s="251"/>
      <c r="D3203" s="251"/>
      <c r="G3203" s="50">
        <f>РЕАЛИЗАЦИЯ[[#This Row],[СОНИ]]*РЕАЛИЗАЦИЯ[[#This Row],[НАРХИ]]</f>
        <v>0</v>
      </c>
      <c r="I3203" s="166"/>
      <c r="J3203" s="31">
        <f>РЕАЛИЗАЦИЯ[[#This Row],[СОНИ]]*РЕАЛИЗАЦИЯ[[#This Row],[ТАННАРХ]]</f>
        <v>0</v>
      </c>
      <c r="K3203" s="31">
        <f>РЕАЛИЗАЦИЯ[[#This Row],[ЖАМИ]]-РЕАЛИЗАЦИЯ[[#This Row],[ЖАМИ2]]</f>
        <v>0</v>
      </c>
      <c r="L3203" s="31"/>
    </row>
    <row r="3204" spans="3:12" x14ac:dyDescent="0.3">
      <c r="C3204" s="251"/>
      <c r="D3204" s="251"/>
      <c r="G3204" s="50">
        <f>РЕАЛИЗАЦИЯ[[#This Row],[СОНИ]]*РЕАЛИЗАЦИЯ[[#This Row],[НАРХИ]]</f>
        <v>0</v>
      </c>
      <c r="I3204" s="166"/>
      <c r="J3204" s="31">
        <f>РЕАЛИЗАЦИЯ[[#This Row],[СОНИ]]*РЕАЛИЗАЦИЯ[[#This Row],[ТАННАРХ]]</f>
        <v>0</v>
      </c>
      <c r="K3204" s="31">
        <f>РЕАЛИЗАЦИЯ[[#This Row],[ЖАМИ]]-РЕАЛИЗАЦИЯ[[#This Row],[ЖАМИ2]]</f>
        <v>0</v>
      </c>
      <c r="L3204" s="31"/>
    </row>
    <row r="3205" spans="3:12" x14ac:dyDescent="0.3">
      <c r="C3205" s="251"/>
      <c r="D3205" s="251"/>
      <c r="G3205" s="50">
        <f>РЕАЛИЗАЦИЯ[[#This Row],[СОНИ]]*РЕАЛИЗАЦИЯ[[#This Row],[НАРХИ]]</f>
        <v>0</v>
      </c>
      <c r="I3205" s="166"/>
      <c r="J3205" s="31">
        <f>РЕАЛИЗАЦИЯ[[#This Row],[СОНИ]]*РЕАЛИЗАЦИЯ[[#This Row],[ТАННАРХ]]</f>
        <v>0</v>
      </c>
      <c r="K3205" s="31">
        <f>РЕАЛИЗАЦИЯ[[#This Row],[ЖАМИ]]-РЕАЛИЗАЦИЯ[[#This Row],[ЖАМИ2]]</f>
        <v>0</v>
      </c>
      <c r="L3205" s="31"/>
    </row>
    <row r="3206" spans="3:12" x14ac:dyDescent="0.3">
      <c r="C3206" s="251"/>
      <c r="D3206" s="251"/>
      <c r="G3206" s="50">
        <f>РЕАЛИЗАЦИЯ[[#This Row],[СОНИ]]*РЕАЛИЗАЦИЯ[[#This Row],[НАРХИ]]</f>
        <v>0</v>
      </c>
      <c r="I3206" s="166"/>
      <c r="J3206" s="31">
        <f>РЕАЛИЗАЦИЯ[[#This Row],[СОНИ]]*РЕАЛИЗАЦИЯ[[#This Row],[ТАННАРХ]]</f>
        <v>0</v>
      </c>
      <c r="K3206" s="31">
        <f>РЕАЛИЗАЦИЯ[[#This Row],[ЖАМИ]]-РЕАЛИЗАЦИЯ[[#This Row],[ЖАМИ2]]</f>
        <v>0</v>
      </c>
      <c r="L3206" s="31"/>
    </row>
    <row r="3207" spans="3:12" x14ac:dyDescent="0.3">
      <c r="C3207" s="251"/>
      <c r="D3207" s="251"/>
      <c r="G3207" s="50">
        <f>РЕАЛИЗАЦИЯ[[#This Row],[СОНИ]]*РЕАЛИЗАЦИЯ[[#This Row],[НАРХИ]]</f>
        <v>0</v>
      </c>
      <c r="I3207" s="166"/>
      <c r="J3207" s="31">
        <f>РЕАЛИЗАЦИЯ[[#This Row],[СОНИ]]*РЕАЛИЗАЦИЯ[[#This Row],[ТАННАРХ]]</f>
        <v>0</v>
      </c>
      <c r="K3207" s="31">
        <f>РЕАЛИЗАЦИЯ[[#This Row],[ЖАМИ]]-РЕАЛИЗАЦИЯ[[#This Row],[ЖАМИ2]]</f>
        <v>0</v>
      </c>
      <c r="L3207" s="31"/>
    </row>
    <row r="3208" spans="3:12" x14ac:dyDescent="0.3">
      <c r="C3208" s="251"/>
      <c r="D3208" s="251"/>
      <c r="G3208" s="50">
        <f>РЕАЛИЗАЦИЯ[[#This Row],[СОНИ]]*РЕАЛИЗАЦИЯ[[#This Row],[НАРХИ]]</f>
        <v>0</v>
      </c>
      <c r="I3208" s="166"/>
      <c r="J3208" s="31">
        <f>РЕАЛИЗАЦИЯ[[#This Row],[СОНИ]]*РЕАЛИЗАЦИЯ[[#This Row],[ТАННАРХ]]</f>
        <v>0</v>
      </c>
      <c r="K3208" s="31">
        <f>РЕАЛИЗАЦИЯ[[#This Row],[ЖАМИ]]-РЕАЛИЗАЦИЯ[[#This Row],[ЖАМИ2]]</f>
        <v>0</v>
      </c>
      <c r="L3208" s="31"/>
    </row>
    <row r="3209" spans="3:12" x14ac:dyDescent="0.3">
      <c r="C3209" s="251"/>
      <c r="D3209" s="251"/>
      <c r="G3209" s="50">
        <f>РЕАЛИЗАЦИЯ[[#This Row],[СОНИ]]*РЕАЛИЗАЦИЯ[[#This Row],[НАРХИ]]</f>
        <v>0</v>
      </c>
      <c r="I3209" s="166"/>
      <c r="J3209" s="31">
        <f>РЕАЛИЗАЦИЯ[[#This Row],[СОНИ]]*РЕАЛИЗАЦИЯ[[#This Row],[ТАННАРХ]]</f>
        <v>0</v>
      </c>
      <c r="K3209" s="31">
        <f>РЕАЛИЗАЦИЯ[[#This Row],[ЖАМИ]]-РЕАЛИЗАЦИЯ[[#This Row],[ЖАМИ2]]</f>
        <v>0</v>
      </c>
      <c r="L3209" s="31"/>
    </row>
    <row r="3210" spans="3:12" x14ac:dyDescent="0.3">
      <c r="C3210" s="251"/>
      <c r="D3210" s="251"/>
      <c r="G3210" s="50">
        <f>РЕАЛИЗАЦИЯ[[#This Row],[СОНИ]]*РЕАЛИЗАЦИЯ[[#This Row],[НАРХИ]]</f>
        <v>0</v>
      </c>
      <c r="I3210" s="166"/>
      <c r="J3210" s="31">
        <f>РЕАЛИЗАЦИЯ[[#This Row],[СОНИ]]*РЕАЛИЗАЦИЯ[[#This Row],[ТАННАРХ]]</f>
        <v>0</v>
      </c>
      <c r="K3210" s="31">
        <f>РЕАЛИЗАЦИЯ[[#This Row],[ЖАМИ]]-РЕАЛИЗАЦИЯ[[#This Row],[ЖАМИ2]]</f>
        <v>0</v>
      </c>
      <c r="L3210" s="31"/>
    </row>
    <row r="3211" spans="3:12" x14ac:dyDescent="0.3">
      <c r="C3211" s="251"/>
      <c r="D3211" s="251"/>
      <c r="G3211" s="50">
        <f>РЕАЛИЗАЦИЯ[[#This Row],[СОНИ]]*РЕАЛИЗАЦИЯ[[#This Row],[НАРХИ]]</f>
        <v>0</v>
      </c>
      <c r="I3211" s="166"/>
      <c r="J3211" s="31">
        <f>РЕАЛИЗАЦИЯ[[#This Row],[СОНИ]]*РЕАЛИЗАЦИЯ[[#This Row],[ТАННАРХ]]</f>
        <v>0</v>
      </c>
      <c r="K3211" s="31">
        <f>РЕАЛИЗАЦИЯ[[#This Row],[ЖАМИ]]-РЕАЛИЗАЦИЯ[[#This Row],[ЖАМИ2]]</f>
        <v>0</v>
      </c>
      <c r="L3211" s="31"/>
    </row>
    <row r="3212" spans="3:12" x14ac:dyDescent="0.3">
      <c r="C3212" s="251"/>
      <c r="D3212" s="251"/>
      <c r="G3212" s="50">
        <f>РЕАЛИЗАЦИЯ[[#This Row],[СОНИ]]*РЕАЛИЗАЦИЯ[[#This Row],[НАРХИ]]</f>
        <v>0</v>
      </c>
      <c r="I3212" s="166"/>
      <c r="J3212" s="31">
        <f>РЕАЛИЗАЦИЯ[[#This Row],[СОНИ]]*РЕАЛИЗАЦИЯ[[#This Row],[ТАННАРХ]]</f>
        <v>0</v>
      </c>
      <c r="K3212" s="31">
        <f>РЕАЛИЗАЦИЯ[[#This Row],[ЖАМИ]]-РЕАЛИЗАЦИЯ[[#This Row],[ЖАМИ2]]</f>
        <v>0</v>
      </c>
      <c r="L3212" s="31"/>
    </row>
    <row r="3213" spans="3:12" x14ac:dyDescent="0.3">
      <c r="C3213" s="251"/>
      <c r="D3213" s="251"/>
      <c r="G3213" s="50">
        <f>РЕАЛИЗАЦИЯ[[#This Row],[СОНИ]]*РЕАЛИЗАЦИЯ[[#This Row],[НАРХИ]]</f>
        <v>0</v>
      </c>
      <c r="I3213" s="166"/>
      <c r="J3213" s="31">
        <f>РЕАЛИЗАЦИЯ[[#This Row],[СОНИ]]*РЕАЛИЗАЦИЯ[[#This Row],[ТАННАРХ]]</f>
        <v>0</v>
      </c>
      <c r="K3213" s="31">
        <f>РЕАЛИЗАЦИЯ[[#This Row],[ЖАМИ]]-РЕАЛИЗАЦИЯ[[#This Row],[ЖАМИ2]]</f>
        <v>0</v>
      </c>
      <c r="L3213" s="31"/>
    </row>
    <row r="3214" spans="3:12" x14ac:dyDescent="0.3">
      <c r="C3214" s="251"/>
      <c r="D3214" s="251"/>
      <c r="G3214" s="50">
        <f>РЕАЛИЗАЦИЯ[[#This Row],[СОНИ]]*РЕАЛИЗАЦИЯ[[#This Row],[НАРХИ]]</f>
        <v>0</v>
      </c>
      <c r="I3214" s="166"/>
      <c r="J3214" s="31">
        <f>РЕАЛИЗАЦИЯ[[#This Row],[СОНИ]]*РЕАЛИЗАЦИЯ[[#This Row],[ТАННАРХ]]</f>
        <v>0</v>
      </c>
      <c r="K3214" s="31">
        <f>РЕАЛИЗАЦИЯ[[#This Row],[ЖАМИ]]-РЕАЛИЗАЦИЯ[[#This Row],[ЖАМИ2]]</f>
        <v>0</v>
      </c>
      <c r="L3214" s="31"/>
    </row>
    <row r="3215" spans="3:12" x14ac:dyDescent="0.3">
      <c r="C3215" s="251"/>
      <c r="D3215" s="251"/>
      <c r="G3215" s="50">
        <f>РЕАЛИЗАЦИЯ[[#This Row],[СОНИ]]*РЕАЛИЗАЦИЯ[[#This Row],[НАРХИ]]</f>
        <v>0</v>
      </c>
      <c r="I3215" s="166"/>
      <c r="J3215" s="31">
        <f>РЕАЛИЗАЦИЯ[[#This Row],[СОНИ]]*РЕАЛИЗАЦИЯ[[#This Row],[ТАННАРХ]]</f>
        <v>0</v>
      </c>
      <c r="K3215" s="31">
        <f>РЕАЛИЗАЦИЯ[[#This Row],[ЖАМИ]]-РЕАЛИЗАЦИЯ[[#This Row],[ЖАМИ2]]</f>
        <v>0</v>
      </c>
      <c r="L3215" s="31"/>
    </row>
    <row r="3216" spans="3:12" x14ac:dyDescent="0.3">
      <c r="C3216" s="251"/>
      <c r="D3216" s="251"/>
      <c r="G3216" s="50">
        <f>РЕАЛИЗАЦИЯ[[#This Row],[СОНИ]]*РЕАЛИЗАЦИЯ[[#This Row],[НАРХИ]]</f>
        <v>0</v>
      </c>
      <c r="I3216" s="166"/>
      <c r="J3216" s="31">
        <f>РЕАЛИЗАЦИЯ[[#This Row],[СОНИ]]*РЕАЛИЗАЦИЯ[[#This Row],[ТАННАРХ]]</f>
        <v>0</v>
      </c>
      <c r="K3216" s="31">
        <f>РЕАЛИЗАЦИЯ[[#This Row],[ЖАМИ]]-РЕАЛИЗАЦИЯ[[#This Row],[ЖАМИ2]]</f>
        <v>0</v>
      </c>
      <c r="L3216" s="31"/>
    </row>
    <row r="3217" spans="3:12" x14ac:dyDescent="0.3">
      <c r="C3217" s="251"/>
      <c r="D3217" s="251"/>
      <c r="G3217" s="50">
        <f>РЕАЛИЗАЦИЯ[[#This Row],[СОНИ]]*РЕАЛИЗАЦИЯ[[#This Row],[НАРХИ]]</f>
        <v>0</v>
      </c>
      <c r="I3217" s="166"/>
      <c r="J3217" s="31">
        <f>РЕАЛИЗАЦИЯ[[#This Row],[СОНИ]]*РЕАЛИЗАЦИЯ[[#This Row],[ТАННАРХ]]</f>
        <v>0</v>
      </c>
      <c r="K3217" s="31">
        <f>РЕАЛИЗАЦИЯ[[#This Row],[ЖАМИ]]-РЕАЛИЗАЦИЯ[[#This Row],[ЖАМИ2]]</f>
        <v>0</v>
      </c>
      <c r="L3217" s="31"/>
    </row>
    <row r="3218" spans="3:12" x14ac:dyDescent="0.3">
      <c r="C3218" s="251"/>
      <c r="D3218" s="251"/>
      <c r="G3218" s="50">
        <f>РЕАЛИЗАЦИЯ[[#This Row],[СОНИ]]*РЕАЛИЗАЦИЯ[[#This Row],[НАРХИ]]</f>
        <v>0</v>
      </c>
      <c r="I3218" s="166"/>
      <c r="J3218" s="31">
        <f>РЕАЛИЗАЦИЯ[[#This Row],[СОНИ]]*РЕАЛИЗАЦИЯ[[#This Row],[ТАННАРХ]]</f>
        <v>0</v>
      </c>
      <c r="K3218" s="31">
        <f>РЕАЛИЗАЦИЯ[[#This Row],[ЖАМИ]]-РЕАЛИЗАЦИЯ[[#This Row],[ЖАМИ2]]</f>
        <v>0</v>
      </c>
      <c r="L3218" s="31"/>
    </row>
    <row r="3219" spans="3:12" x14ac:dyDescent="0.3">
      <c r="C3219" s="251"/>
      <c r="D3219" s="251"/>
      <c r="G3219" s="50">
        <f>РЕАЛИЗАЦИЯ[[#This Row],[СОНИ]]*РЕАЛИЗАЦИЯ[[#This Row],[НАРХИ]]</f>
        <v>0</v>
      </c>
      <c r="I3219" s="166"/>
      <c r="J3219" s="31">
        <f>РЕАЛИЗАЦИЯ[[#This Row],[СОНИ]]*РЕАЛИЗАЦИЯ[[#This Row],[ТАННАРХ]]</f>
        <v>0</v>
      </c>
      <c r="K3219" s="31">
        <f>РЕАЛИЗАЦИЯ[[#This Row],[ЖАМИ]]-РЕАЛИЗАЦИЯ[[#This Row],[ЖАМИ2]]</f>
        <v>0</v>
      </c>
      <c r="L3219" s="31"/>
    </row>
    <row r="3220" spans="3:12" x14ac:dyDescent="0.3">
      <c r="C3220" s="251"/>
      <c r="D3220" s="251"/>
      <c r="G3220" s="50">
        <f>РЕАЛИЗАЦИЯ[[#This Row],[СОНИ]]*РЕАЛИЗАЦИЯ[[#This Row],[НАРХИ]]</f>
        <v>0</v>
      </c>
      <c r="I3220" s="166"/>
      <c r="J3220" s="31">
        <f>РЕАЛИЗАЦИЯ[[#This Row],[СОНИ]]*РЕАЛИЗАЦИЯ[[#This Row],[ТАННАРХ]]</f>
        <v>0</v>
      </c>
      <c r="K3220" s="31">
        <f>РЕАЛИЗАЦИЯ[[#This Row],[ЖАМИ]]-РЕАЛИЗАЦИЯ[[#This Row],[ЖАМИ2]]</f>
        <v>0</v>
      </c>
      <c r="L3220" s="31"/>
    </row>
    <row r="3221" spans="3:12" x14ac:dyDescent="0.3">
      <c r="C3221" s="251"/>
      <c r="D3221" s="251"/>
      <c r="G3221" s="50">
        <f>РЕАЛИЗАЦИЯ[[#This Row],[СОНИ]]*РЕАЛИЗАЦИЯ[[#This Row],[НАРХИ]]</f>
        <v>0</v>
      </c>
      <c r="I3221" s="166"/>
      <c r="J3221" s="31">
        <f>РЕАЛИЗАЦИЯ[[#This Row],[СОНИ]]*РЕАЛИЗАЦИЯ[[#This Row],[ТАННАРХ]]</f>
        <v>0</v>
      </c>
      <c r="K3221" s="31">
        <f>РЕАЛИЗАЦИЯ[[#This Row],[ЖАМИ]]-РЕАЛИЗАЦИЯ[[#This Row],[ЖАМИ2]]</f>
        <v>0</v>
      </c>
      <c r="L3221" s="31"/>
    </row>
    <row r="3222" spans="3:12" x14ac:dyDescent="0.3">
      <c r="C3222" s="251"/>
      <c r="D3222" s="251"/>
      <c r="G3222" s="50">
        <f>РЕАЛИЗАЦИЯ[[#This Row],[СОНИ]]*РЕАЛИЗАЦИЯ[[#This Row],[НАРХИ]]</f>
        <v>0</v>
      </c>
      <c r="I3222" s="166"/>
      <c r="J3222" s="31">
        <f>РЕАЛИЗАЦИЯ[[#This Row],[СОНИ]]*РЕАЛИЗАЦИЯ[[#This Row],[ТАННАРХ]]</f>
        <v>0</v>
      </c>
      <c r="K3222" s="31">
        <f>РЕАЛИЗАЦИЯ[[#This Row],[ЖАМИ]]-РЕАЛИЗАЦИЯ[[#This Row],[ЖАМИ2]]</f>
        <v>0</v>
      </c>
      <c r="L3222" s="31"/>
    </row>
    <row r="3223" spans="3:12" x14ac:dyDescent="0.3">
      <c r="C3223" s="251"/>
      <c r="D3223" s="251"/>
      <c r="G3223" s="50">
        <f>РЕАЛИЗАЦИЯ[[#This Row],[СОНИ]]*РЕАЛИЗАЦИЯ[[#This Row],[НАРХИ]]</f>
        <v>0</v>
      </c>
      <c r="I3223" s="166"/>
      <c r="J3223" s="31">
        <f>РЕАЛИЗАЦИЯ[[#This Row],[СОНИ]]*РЕАЛИЗАЦИЯ[[#This Row],[ТАННАРХ]]</f>
        <v>0</v>
      </c>
      <c r="K3223" s="31">
        <f>РЕАЛИЗАЦИЯ[[#This Row],[ЖАМИ]]-РЕАЛИЗАЦИЯ[[#This Row],[ЖАМИ2]]</f>
        <v>0</v>
      </c>
      <c r="L3223" s="31"/>
    </row>
    <row r="3224" spans="3:12" x14ac:dyDescent="0.3">
      <c r="C3224" s="253"/>
      <c r="D3224" s="253"/>
      <c r="G3224" s="50">
        <f>РЕАЛИЗАЦИЯ[[#This Row],[СОНИ]]*РЕАЛИЗАЦИЯ[[#This Row],[НАРХИ]]</f>
        <v>0</v>
      </c>
      <c r="I3224" s="166"/>
      <c r="J3224" s="31">
        <f>РЕАЛИЗАЦИЯ[[#This Row],[СОНИ]]*РЕАЛИЗАЦИЯ[[#This Row],[ТАННАРХ]]</f>
        <v>0</v>
      </c>
      <c r="K3224" s="31">
        <f>РЕАЛИЗАЦИЯ[[#This Row],[ЖАМИ]]-РЕАЛИЗАЦИЯ[[#This Row],[ЖАМИ2]]</f>
        <v>0</v>
      </c>
      <c r="L3224" s="31"/>
    </row>
    <row r="3225" spans="3:12" x14ac:dyDescent="0.3">
      <c r="C3225" s="253"/>
      <c r="D3225" s="253"/>
      <c r="G3225" s="50">
        <f>РЕАЛИЗАЦИЯ[[#This Row],[СОНИ]]*РЕАЛИЗАЦИЯ[[#This Row],[НАРХИ]]</f>
        <v>0</v>
      </c>
      <c r="I3225" s="166"/>
      <c r="J3225" s="31">
        <f>РЕАЛИЗАЦИЯ[[#This Row],[СОНИ]]*РЕАЛИЗАЦИЯ[[#This Row],[ТАННАРХ]]</f>
        <v>0</v>
      </c>
      <c r="K3225" s="31">
        <f>РЕАЛИЗАЦИЯ[[#This Row],[ЖАМИ]]-РЕАЛИЗАЦИЯ[[#This Row],[ЖАМИ2]]</f>
        <v>0</v>
      </c>
      <c r="L3225" s="31"/>
    </row>
    <row r="3226" spans="3:12" x14ac:dyDescent="0.3">
      <c r="C3226" s="253"/>
      <c r="D3226" s="253"/>
      <c r="G3226" s="50">
        <f>РЕАЛИЗАЦИЯ[[#This Row],[СОНИ]]*РЕАЛИЗАЦИЯ[[#This Row],[НАРХИ]]</f>
        <v>0</v>
      </c>
      <c r="I3226" s="166"/>
      <c r="J3226" s="31">
        <f>РЕАЛИЗАЦИЯ[[#This Row],[СОНИ]]*РЕАЛИЗАЦИЯ[[#This Row],[ТАННАРХ]]</f>
        <v>0</v>
      </c>
      <c r="K3226" s="31">
        <f>РЕАЛИЗАЦИЯ[[#This Row],[ЖАМИ]]-РЕАЛИЗАЦИЯ[[#This Row],[ЖАМИ2]]</f>
        <v>0</v>
      </c>
      <c r="L3226" s="31"/>
    </row>
    <row r="3227" spans="3:12" x14ac:dyDescent="0.3">
      <c r="C3227" s="253"/>
      <c r="D3227" s="253"/>
      <c r="G3227" s="50">
        <f>РЕАЛИЗАЦИЯ[[#This Row],[СОНИ]]*РЕАЛИЗАЦИЯ[[#This Row],[НАРХИ]]</f>
        <v>0</v>
      </c>
      <c r="I3227" s="166"/>
      <c r="J3227" s="31">
        <f>РЕАЛИЗАЦИЯ[[#This Row],[СОНИ]]*РЕАЛИЗАЦИЯ[[#This Row],[ТАННАРХ]]</f>
        <v>0</v>
      </c>
      <c r="K3227" s="31">
        <f>РЕАЛИЗАЦИЯ[[#This Row],[ЖАМИ]]-РЕАЛИЗАЦИЯ[[#This Row],[ЖАМИ2]]</f>
        <v>0</v>
      </c>
      <c r="L3227" s="31"/>
    </row>
    <row r="3228" spans="3:12" x14ac:dyDescent="0.3">
      <c r="C3228" s="253"/>
      <c r="D3228" s="253"/>
      <c r="G3228" s="50">
        <f>РЕАЛИЗАЦИЯ[[#This Row],[СОНИ]]*РЕАЛИЗАЦИЯ[[#This Row],[НАРХИ]]</f>
        <v>0</v>
      </c>
      <c r="I3228" s="166"/>
      <c r="J3228" s="31">
        <f>РЕАЛИЗАЦИЯ[[#This Row],[СОНИ]]*РЕАЛИЗАЦИЯ[[#This Row],[ТАННАРХ]]</f>
        <v>0</v>
      </c>
      <c r="K3228" s="31">
        <f>РЕАЛИЗАЦИЯ[[#This Row],[ЖАМИ]]-РЕАЛИЗАЦИЯ[[#This Row],[ЖАМИ2]]</f>
        <v>0</v>
      </c>
      <c r="L3228" s="31"/>
    </row>
    <row r="3229" spans="3:12" x14ac:dyDescent="0.3">
      <c r="C3229" s="253"/>
      <c r="D3229" s="253"/>
      <c r="G3229" s="50">
        <f>РЕАЛИЗАЦИЯ[[#This Row],[СОНИ]]*РЕАЛИЗАЦИЯ[[#This Row],[НАРХИ]]</f>
        <v>0</v>
      </c>
      <c r="I3229" s="166"/>
      <c r="J3229" s="31">
        <f>РЕАЛИЗАЦИЯ[[#This Row],[СОНИ]]*РЕАЛИЗАЦИЯ[[#This Row],[ТАННАРХ]]</f>
        <v>0</v>
      </c>
      <c r="K3229" s="31">
        <f>РЕАЛИЗАЦИЯ[[#This Row],[ЖАМИ]]-РЕАЛИЗАЦИЯ[[#This Row],[ЖАМИ2]]</f>
        <v>0</v>
      </c>
      <c r="L3229" s="31"/>
    </row>
    <row r="3230" spans="3:12" x14ac:dyDescent="0.3">
      <c r="C3230" s="253"/>
      <c r="D3230" s="253"/>
      <c r="G3230" s="50">
        <f>РЕАЛИЗАЦИЯ[[#This Row],[СОНИ]]*РЕАЛИЗАЦИЯ[[#This Row],[НАРХИ]]</f>
        <v>0</v>
      </c>
      <c r="I3230" s="166"/>
      <c r="J3230" s="31">
        <f>РЕАЛИЗАЦИЯ[[#This Row],[СОНИ]]*РЕАЛИЗАЦИЯ[[#This Row],[ТАННАРХ]]</f>
        <v>0</v>
      </c>
      <c r="K3230" s="31">
        <f>РЕАЛИЗАЦИЯ[[#This Row],[ЖАМИ]]-РЕАЛИЗАЦИЯ[[#This Row],[ЖАМИ2]]</f>
        <v>0</v>
      </c>
      <c r="L3230" s="31"/>
    </row>
    <row r="3231" spans="3:12" x14ac:dyDescent="0.3">
      <c r="C3231" s="253"/>
      <c r="D3231" s="253"/>
      <c r="G3231" s="50">
        <f>РЕАЛИЗАЦИЯ[[#This Row],[СОНИ]]*РЕАЛИЗАЦИЯ[[#This Row],[НАРХИ]]</f>
        <v>0</v>
      </c>
      <c r="I3231" s="166"/>
      <c r="J3231" s="31">
        <f>РЕАЛИЗАЦИЯ[[#This Row],[СОНИ]]*РЕАЛИЗАЦИЯ[[#This Row],[ТАННАРХ]]</f>
        <v>0</v>
      </c>
      <c r="K3231" s="31">
        <f>РЕАЛИЗАЦИЯ[[#This Row],[ЖАМИ]]-РЕАЛИЗАЦИЯ[[#This Row],[ЖАМИ2]]</f>
        <v>0</v>
      </c>
      <c r="L3231" s="31"/>
    </row>
    <row r="3232" spans="3:12" x14ac:dyDescent="0.3">
      <c r="C3232" s="253"/>
      <c r="D3232" s="253"/>
      <c r="G3232" s="50">
        <f>РЕАЛИЗАЦИЯ[[#This Row],[СОНИ]]*РЕАЛИЗАЦИЯ[[#This Row],[НАРХИ]]</f>
        <v>0</v>
      </c>
      <c r="I3232" s="166"/>
      <c r="J3232" s="31">
        <f>РЕАЛИЗАЦИЯ[[#This Row],[СОНИ]]*РЕАЛИЗАЦИЯ[[#This Row],[ТАННАРХ]]</f>
        <v>0</v>
      </c>
      <c r="K3232" s="31">
        <f>РЕАЛИЗАЦИЯ[[#This Row],[ЖАМИ]]-РЕАЛИЗАЦИЯ[[#This Row],[ЖАМИ2]]</f>
        <v>0</v>
      </c>
      <c r="L3232" s="31"/>
    </row>
    <row r="3233" spans="3:12" x14ac:dyDescent="0.3">
      <c r="C3233" s="253"/>
      <c r="D3233" s="253"/>
      <c r="G3233" s="50">
        <f>РЕАЛИЗАЦИЯ[[#This Row],[СОНИ]]*РЕАЛИЗАЦИЯ[[#This Row],[НАРХИ]]</f>
        <v>0</v>
      </c>
      <c r="I3233" s="166"/>
      <c r="J3233" s="31">
        <f>РЕАЛИЗАЦИЯ[[#This Row],[СОНИ]]*РЕАЛИЗАЦИЯ[[#This Row],[ТАННАРХ]]</f>
        <v>0</v>
      </c>
      <c r="K3233" s="31">
        <f>РЕАЛИЗАЦИЯ[[#This Row],[ЖАМИ]]-РЕАЛИЗАЦИЯ[[#This Row],[ЖАМИ2]]</f>
        <v>0</v>
      </c>
      <c r="L3233" s="31"/>
    </row>
    <row r="3234" spans="3:12" x14ac:dyDescent="0.3">
      <c r="C3234" s="253"/>
      <c r="D3234" s="253"/>
      <c r="G3234" s="50">
        <f>РЕАЛИЗАЦИЯ[[#This Row],[СОНИ]]*РЕАЛИЗАЦИЯ[[#This Row],[НАРХИ]]</f>
        <v>0</v>
      </c>
      <c r="I3234" s="166"/>
      <c r="J3234" s="31">
        <f>РЕАЛИЗАЦИЯ[[#This Row],[СОНИ]]*РЕАЛИЗАЦИЯ[[#This Row],[ТАННАРХ]]</f>
        <v>0</v>
      </c>
      <c r="K3234" s="31">
        <f>РЕАЛИЗАЦИЯ[[#This Row],[ЖАМИ]]-РЕАЛИЗАЦИЯ[[#This Row],[ЖАМИ2]]</f>
        <v>0</v>
      </c>
      <c r="L3234" s="31"/>
    </row>
    <row r="3235" spans="3:12" x14ac:dyDescent="0.3">
      <c r="C3235" s="253"/>
      <c r="D3235" s="253"/>
      <c r="G3235" s="50">
        <f>РЕАЛИЗАЦИЯ[[#This Row],[СОНИ]]*РЕАЛИЗАЦИЯ[[#This Row],[НАРХИ]]</f>
        <v>0</v>
      </c>
      <c r="I3235" s="166"/>
      <c r="J3235" s="31">
        <f>РЕАЛИЗАЦИЯ[[#This Row],[СОНИ]]*РЕАЛИЗАЦИЯ[[#This Row],[ТАННАРХ]]</f>
        <v>0</v>
      </c>
      <c r="K3235" s="31">
        <f>РЕАЛИЗАЦИЯ[[#This Row],[ЖАМИ]]-РЕАЛИЗАЦИЯ[[#This Row],[ЖАМИ2]]</f>
        <v>0</v>
      </c>
      <c r="L3235" s="31"/>
    </row>
    <row r="3236" spans="3:12" x14ac:dyDescent="0.3">
      <c r="C3236" s="253"/>
      <c r="D3236" s="253"/>
      <c r="G3236" s="50">
        <f>РЕАЛИЗАЦИЯ[[#This Row],[СОНИ]]*РЕАЛИЗАЦИЯ[[#This Row],[НАРХИ]]</f>
        <v>0</v>
      </c>
      <c r="I3236" s="166"/>
      <c r="J3236" s="31">
        <f>РЕАЛИЗАЦИЯ[[#This Row],[СОНИ]]*РЕАЛИЗАЦИЯ[[#This Row],[ТАННАРХ]]</f>
        <v>0</v>
      </c>
      <c r="K3236" s="31">
        <f>РЕАЛИЗАЦИЯ[[#This Row],[ЖАМИ]]-РЕАЛИЗАЦИЯ[[#This Row],[ЖАМИ2]]</f>
        <v>0</v>
      </c>
      <c r="L3236" s="31"/>
    </row>
    <row r="3237" spans="3:12" x14ac:dyDescent="0.3">
      <c r="C3237" s="253"/>
      <c r="D3237" s="253"/>
      <c r="G3237" s="50">
        <f>РЕАЛИЗАЦИЯ[[#This Row],[СОНИ]]*РЕАЛИЗАЦИЯ[[#This Row],[НАРХИ]]</f>
        <v>0</v>
      </c>
      <c r="I3237" s="166"/>
      <c r="J3237" s="31">
        <f>РЕАЛИЗАЦИЯ[[#This Row],[СОНИ]]*РЕАЛИЗАЦИЯ[[#This Row],[ТАННАРХ]]</f>
        <v>0</v>
      </c>
      <c r="K3237" s="31">
        <f>РЕАЛИЗАЦИЯ[[#This Row],[ЖАМИ]]-РЕАЛИЗАЦИЯ[[#This Row],[ЖАМИ2]]</f>
        <v>0</v>
      </c>
      <c r="L3237" s="31"/>
    </row>
    <row r="3238" spans="3:12" x14ac:dyDescent="0.3">
      <c r="C3238" s="253"/>
      <c r="D3238" s="253"/>
      <c r="G3238" s="50">
        <f>РЕАЛИЗАЦИЯ[[#This Row],[СОНИ]]*РЕАЛИЗАЦИЯ[[#This Row],[НАРХИ]]</f>
        <v>0</v>
      </c>
      <c r="I3238" s="166"/>
      <c r="J3238" s="31">
        <f>РЕАЛИЗАЦИЯ[[#This Row],[СОНИ]]*РЕАЛИЗАЦИЯ[[#This Row],[ТАННАРХ]]</f>
        <v>0</v>
      </c>
      <c r="K3238" s="31">
        <f>РЕАЛИЗАЦИЯ[[#This Row],[ЖАМИ]]-РЕАЛИЗАЦИЯ[[#This Row],[ЖАМИ2]]</f>
        <v>0</v>
      </c>
      <c r="L3238" s="31"/>
    </row>
    <row r="3239" spans="3:12" x14ac:dyDescent="0.3">
      <c r="C3239" s="254"/>
      <c r="D3239" s="254"/>
      <c r="G3239" s="50">
        <f>РЕАЛИЗАЦИЯ[[#This Row],[СОНИ]]*РЕАЛИЗАЦИЯ[[#This Row],[НАРХИ]]</f>
        <v>0</v>
      </c>
      <c r="I3239" s="166"/>
      <c r="J3239" s="31">
        <f>РЕАЛИЗАЦИЯ[[#This Row],[СОНИ]]*РЕАЛИЗАЦИЯ[[#This Row],[ТАННАРХ]]</f>
        <v>0</v>
      </c>
      <c r="K3239" s="31">
        <f>РЕАЛИЗАЦИЯ[[#This Row],[ЖАМИ]]-РЕАЛИЗАЦИЯ[[#This Row],[ЖАМИ2]]</f>
        <v>0</v>
      </c>
      <c r="L3239" s="31"/>
    </row>
    <row r="3240" spans="3:12" x14ac:dyDescent="0.3">
      <c r="C3240" s="254"/>
      <c r="D3240" s="254"/>
      <c r="G3240" s="50">
        <f>РЕАЛИЗАЦИЯ[[#This Row],[СОНИ]]*РЕАЛИЗАЦИЯ[[#This Row],[НАРХИ]]</f>
        <v>0</v>
      </c>
      <c r="I3240" s="166"/>
      <c r="J3240" s="31">
        <f>РЕАЛИЗАЦИЯ[[#This Row],[СОНИ]]*РЕАЛИЗАЦИЯ[[#This Row],[ТАННАРХ]]</f>
        <v>0</v>
      </c>
      <c r="K3240" s="31">
        <f>РЕАЛИЗАЦИЯ[[#This Row],[ЖАМИ]]-РЕАЛИЗАЦИЯ[[#This Row],[ЖАМИ2]]</f>
        <v>0</v>
      </c>
      <c r="L3240" s="31"/>
    </row>
    <row r="3241" spans="3:12" x14ac:dyDescent="0.3">
      <c r="C3241" s="254"/>
      <c r="D3241" s="254"/>
      <c r="G3241" s="50">
        <f>РЕАЛИЗАЦИЯ[[#This Row],[СОНИ]]*РЕАЛИЗАЦИЯ[[#This Row],[НАРХИ]]</f>
        <v>0</v>
      </c>
      <c r="I3241" s="166"/>
      <c r="J3241" s="31">
        <f>РЕАЛИЗАЦИЯ[[#This Row],[СОНИ]]*РЕАЛИЗАЦИЯ[[#This Row],[ТАННАРХ]]</f>
        <v>0</v>
      </c>
      <c r="K3241" s="31">
        <f>РЕАЛИЗАЦИЯ[[#This Row],[ЖАМИ]]-РЕАЛИЗАЦИЯ[[#This Row],[ЖАМИ2]]</f>
        <v>0</v>
      </c>
      <c r="L3241" s="31"/>
    </row>
    <row r="3242" spans="3:12" x14ac:dyDescent="0.3">
      <c r="C3242" s="254"/>
      <c r="D3242" s="254"/>
      <c r="G3242" s="50">
        <f>РЕАЛИЗАЦИЯ[[#This Row],[СОНИ]]*РЕАЛИЗАЦИЯ[[#This Row],[НАРХИ]]</f>
        <v>0</v>
      </c>
      <c r="I3242" s="166"/>
      <c r="J3242" s="31">
        <f>РЕАЛИЗАЦИЯ[[#This Row],[СОНИ]]*РЕАЛИЗАЦИЯ[[#This Row],[ТАННАРХ]]</f>
        <v>0</v>
      </c>
      <c r="K3242" s="31">
        <f>РЕАЛИЗАЦИЯ[[#This Row],[ЖАМИ]]-РЕАЛИЗАЦИЯ[[#This Row],[ЖАМИ2]]</f>
        <v>0</v>
      </c>
      <c r="L3242" s="31"/>
    </row>
    <row r="3243" spans="3:12" x14ac:dyDescent="0.3">
      <c r="C3243" s="255"/>
      <c r="D3243" s="254"/>
      <c r="G3243" s="50">
        <f>РЕАЛИЗАЦИЯ[[#This Row],[СОНИ]]*РЕАЛИЗАЦИЯ[[#This Row],[НАРХИ]]</f>
        <v>0</v>
      </c>
      <c r="I3243" s="166"/>
      <c r="J3243" s="31">
        <f>РЕАЛИЗАЦИЯ[[#This Row],[СОНИ]]*РЕАЛИЗАЦИЯ[[#This Row],[ТАННАРХ]]</f>
        <v>0</v>
      </c>
      <c r="K3243" s="31">
        <f>РЕАЛИЗАЦИЯ[[#This Row],[ЖАМИ]]-РЕАЛИЗАЦИЯ[[#This Row],[ЖАМИ2]]</f>
        <v>0</v>
      </c>
      <c r="L3243" s="31"/>
    </row>
    <row r="3244" spans="3:12" x14ac:dyDescent="0.3">
      <c r="C3244" s="254"/>
      <c r="D3244" s="254"/>
      <c r="G3244" s="50">
        <f>РЕАЛИЗАЦИЯ[[#This Row],[СОНИ]]*РЕАЛИЗАЦИЯ[[#This Row],[НАРХИ]]</f>
        <v>0</v>
      </c>
      <c r="I3244" s="166"/>
      <c r="J3244" s="31">
        <f>РЕАЛИЗАЦИЯ[[#This Row],[СОНИ]]*РЕАЛИЗАЦИЯ[[#This Row],[ТАННАРХ]]</f>
        <v>0</v>
      </c>
      <c r="K3244" s="31">
        <f>РЕАЛИЗАЦИЯ[[#This Row],[ЖАМИ]]-РЕАЛИЗАЦИЯ[[#This Row],[ЖАМИ2]]</f>
        <v>0</v>
      </c>
      <c r="L3244" s="31"/>
    </row>
    <row r="3245" spans="3:12" x14ac:dyDescent="0.3">
      <c r="C3245" s="254"/>
      <c r="D3245" s="254"/>
      <c r="G3245" s="50">
        <f>РЕАЛИЗАЦИЯ[[#This Row],[СОНИ]]*РЕАЛИЗАЦИЯ[[#This Row],[НАРХИ]]</f>
        <v>0</v>
      </c>
      <c r="I3245" s="166"/>
      <c r="J3245" s="31">
        <f>РЕАЛИЗАЦИЯ[[#This Row],[СОНИ]]*РЕАЛИЗАЦИЯ[[#This Row],[ТАННАРХ]]</f>
        <v>0</v>
      </c>
      <c r="K3245" s="31">
        <f>РЕАЛИЗАЦИЯ[[#This Row],[ЖАМИ]]-РЕАЛИЗАЦИЯ[[#This Row],[ЖАМИ2]]</f>
        <v>0</v>
      </c>
      <c r="L3245" s="31"/>
    </row>
    <row r="3246" spans="3:12" x14ac:dyDescent="0.3">
      <c r="C3246" s="266"/>
      <c r="D3246" s="266"/>
      <c r="G3246" s="50">
        <f>РЕАЛИЗАЦИЯ[[#This Row],[СОНИ]]*РЕАЛИЗАЦИЯ[[#This Row],[НАРХИ]]</f>
        <v>0</v>
      </c>
      <c r="I3246" s="166"/>
      <c r="J3246" s="31">
        <f>РЕАЛИЗАЦИЯ[[#This Row],[СОНИ]]*РЕАЛИЗАЦИЯ[[#This Row],[ТАННАРХ]]</f>
        <v>0</v>
      </c>
      <c r="K3246" s="31">
        <f>РЕАЛИЗАЦИЯ[[#This Row],[ЖАМИ]]-РЕАЛИЗАЦИЯ[[#This Row],[ЖАМИ2]]</f>
        <v>0</v>
      </c>
      <c r="L3246" s="31"/>
    </row>
    <row r="3247" spans="3:12" x14ac:dyDescent="0.3">
      <c r="C3247" s="266"/>
      <c r="D3247" s="266"/>
      <c r="G3247" s="50">
        <f>РЕАЛИЗАЦИЯ[[#This Row],[СОНИ]]*РЕАЛИЗАЦИЯ[[#This Row],[НАРХИ]]</f>
        <v>0</v>
      </c>
      <c r="I3247" s="166"/>
      <c r="J3247" s="31">
        <f>РЕАЛИЗАЦИЯ[[#This Row],[СОНИ]]*РЕАЛИЗАЦИЯ[[#This Row],[ТАННАРХ]]</f>
        <v>0</v>
      </c>
      <c r="K3247" s="31">
        <f>РЕАЛИЗАЦИЯ[[#This Row],[ЖАМИ]]-РЕАЛИЗАЦИЯ[[#This Row],[ЖАМИ2]]</f>
        <v>0</v>
      </c>
      <c r="L3247" s="31"/>
    </row>
    <row r="3248" spans="3:12" x14ac:dyDescent="0.3">
      <c r="C3248" s="254"/>
      <c r="D3248" s="254"/>
      <c r="G3248" s="50">
        <f>РЕАЛИЗАЦИЯ[[#This Row],[СОНИ]]*РЕАЛИЗАЦИЯ[[#This Row],[НАРХИ]]</f>
        <v>0</v>
      </c>
      <c r="I3248" s="166"/>
      <c r="J3248" s="31">
        <f>РЕАЛИЗАЦИЯ[[#This Row],[СОНИ]]*РЕАЛИЗАЦИЯ[[#This Row],[ТАННАРХ]]</f>
        <v>0</v>
      </c>
      <c r="K3248" s="31">
        <f>РЕАЛИЗАЦИЯ[[#This Row],[ЖАМИ]]-РЕАЛИЗАЦИЯ[[#This Row],[ЖАМИ2]]</f>
        <v>0</v>
      </c>
      <c r="L3248" s="31"/>
    </row>
    <row r="3249" spans="1:12" x14ac:dyDescent="0.3">
      <c r="C3249" s="254"/>
      <c r="D3249" s="254"/>
      <c r="G3249" s="50">
        <f>РЕАЛИЗАЦИЯ[[#This Row],[СОНИ]]*РЕАЛИЗАЦИЯ[[#This Row],[НАРХИ]]</f>
        <v>0</v>
      </c>
      <c r="I3249" s="166"/>
      <c r="J3249" s="31">
        <f>РЕАЛИЗАЦИЯ[[#This Row],[СОНИ]]*РЕАЛИЗАЦИЯ[[#This Row],[ТАННАРХ]]</f>
        <v>0</v>
      </c>
      <c r="K3249" s="31">
        <f>РЕАЛИЗАЦИЯ[[#This Row],[ЖАМИ]]-РЕАЛИЗАЦИЯ[[#This Row],[ЖАМИ2]]</f>
        <v>0</v>
      </c>
      <c r="L3249" s="31"/>
    </row>
    <row r="3250" spans="1:12" x14ac:dyDescent="0.3">
      <c r="C3250" s="257"/>
      <c r="D3250" s="257"/>
      <c r="G3250" s="50">
        <f>РЕАЛИЗАЦИЯ[[#This Row],[СОНИ]]*РЕАЛИЗАЦИЯ[[#This Row],[НАРХИ]]</f>
        <v>0</v>
      </c>
      <c r="I3250" s="166"/>
      <c r="J3250" s="31">
        <f>РЕАЛИЗАЦИЯ[[#This Row],[СОНИ]]*РЕАЛИЗАЦИЯ[[#This Row],[ТАННАРХ]]</f>
        <v>0</v>
      </c>
      <c r="K3250" s="31">
        <f>РЕАЛИЗАЦИЯ[[#This Row],[ЖАМИ]]-РЕАЛИЗАЦИЯ[[#This Row],[ЖАМИ2]]</f>
        <v>0</v>
      </c>
      <c r="L3250" s="31"/>
    </row>
    <row r="3251" spans="1:12" x14ac:dyDescent="0.3">
      <c r="C3251" s="254"/>
      <c r="D3251" s="254"/>
      <c r="G3251" s="50">
        <f>РЕАЛИЗАЦИЯ[[#This Row],[СОНИ]]*РЕАЛИЗАЦИЯ[[#This Row],[НАРХИ]]</f>
        <v>0</v>
      </c>
      <c r="I3251" s="166"/>
      <c r="J3251" s="31">
        <f>РЕАЛИЗАЦИЯ[[#This Row],[СОНИ]]*РЕАЛИЗАЦИЯ[[#This Row],[ТАННАРХ]]</f>
        <v>0</v>
      </c>
      <c r="K3251" s="31">
        <f>РЕАЛИЗАЦИЯ[[#This Row],[ЖАМИ]]-РЕАЛИЗАЦИЯ[[#This Row],[ЖАМИ2]]</f>
        <v>0</v>
      </c>
      <c r="L3251" s="31"/>
    </row>
    <row r="3252" spans="1:12" x14ac:dyDescent="0.3">
      <c r="C3252" s="254"/>
      <c r="D3252" s="254"/>
      <c r="G3252" s="50">
        <f>РЕАЛИЗАЦИЯ[[#This Row],[СОНИ]]*РЕАЛИЗАЦИЯ[[#This Row],[НАРХИ]]</f>
        <v>0</v>
      </c>
      <c r="I3252" s="166"/>
      <c r="J3252" s="31">
        <f>РЕАЛИЗАЦИЯ[[#This Row],[СОНИ]]*РЕАЛИЗАЦИЯ[[#This Row],[ТАННАРХ]]</f>
        <v>0</v>
      </c>
      <c r="K3252" s="31">
        <f>РЕАЛИЗАЦИЯ[[#This Row],[ЖАМИ]]-РЕАЛИЗАЦИЯ[[#This Row],[ЖАМИ2]]</f>
        <v>0</v>
      </c>
      <c r="L3252" s="31"/>
    </row>
    <row r="3253" spans="1:12" x14ac:dyDescent="0.3">
      <c r="C3253" s="254"/>
      <c r="D3253" s="254"/>
      <c r="G3253" s="50">
        <f>РЕАЛИЗАЦИЯ[[#This Row],[СОНИ]]*РЕАЛИЗАЦИЯ[[#This Row],[НАРХИ]]</f>
        <v>0</v>
      </c>
      <c r="I3253" s="166"/>
      <c r="J3253" s="31">
        <f>РЕАЛИЗАЦИЯ[[#This Row],[СОНИ]]*РЕАЛИЗАЦИЯ[[#This Row],[ТАННАРХ]]</f>
        <v>0</v>
      </c>
      <c r="K3253" s="31">
        <f>РЕАЛИЗАЦИЯ[[#This Row],[ЖАМИ]]-РЕАЛИЗАЦИЯ[[#This Row],[ЖАМИ2]]</f>
        <v>0</v>
      </c>
      <c r="L3253" s="31"/>
    </row>
    <row r="3254" spans="1:12" x14ac:dyDescent="0.3">
      <c r="C3254" s="254"/>
      <c r="D3254" s="254"/>
      <c r="G3254" s="50">
        <f>РЕАЛИЗАЦИЯ[[#This Row],[СОНИ]]*РЕАЛИЗАЦИЯ[[#This Row],[НАРХИ]]</f>
        <v>0</v>
      </c>
      <c r="I3254" s="166"/>
      <c r="J3254" s="31">
        <f>РЕАЛИЗАЦИЯ[[#This Row],[СОНИ]]*РЕАЛИЗАЦИЯ[[#This Row],[ТАННАРХ]]</f>
        <v>0</v>
      </c>
      <c r="K3254" s="31">
        <f>РЕАЛИЗАЦИЯ[[#This Row],[ЖАМИ]]-РЕАЛИЗАЦИЯ[[#This Row],[ЖАМИ2]]</f>
        <v>0</v>
      </c>
      <c r="L3254" s="31"/>
    </row>
    <row r="3255" spans="1:12" s="266" customFormat="1" x14ac:dyDescent="0.3">
      <c r="A3255" s="3"/>
      <c r="B3255" s="4"/>
      <c r="C3255" s="254"/>
      <c r="D3255" s="254"/>
      <c r="E3255" s="31"/>
      <c r="F3255" s="31"/>
      <c r="G3255" s="50">
        <f>РЕАЛИЗАЦИЯ[[#This Row],[СОНИ]]*РЕАЛИЗАЦИЯ[[#This Row],[НАРХИ]]</f>
        <v>0</v>
      </c>
      <c r="H3255" s="31"/>
      <c r="I3255" s="166"/>
      <c r="J3255" s="31">
        <f>РЕАЛИЗАЦИЯ[[#This Row],[СОНИ]]*РЕАЛИЗАЦИЯ[[#This Row],[ТАННАРХ]]</f>
        <v>0</v>
      </c>
      <c r="K3255" s="31">
        <f>РЕАЛИЗАЦИЯ[[#This Row],[ЖАМИ]]-РЕАЛИЗАЦИЯ[[#This Row],[ЖАМИ2]]</f>
        <v>0</v>
      </c>
      <c r="L3255" s="31"/>
    </row>
    <row r="3256" spans="1:12" s="266" customFormat="1" x14ac:dyDescent="0.3">
      <c r="A3256" s="3"/>
      <c r="B3256" s="4"/>
      <c r="C3256" s="254"/>
      <c r="D3256" s="254"/>
      <c r="E3256" s="31"/>
      <c r="F3256" s="31"/>
      <c r="G3256" s="50">
        <f>РЕАЛИЗАЦИЯ[[#This Row],[СОНИ]]*РЕАЛИЗАЦИЯ[[#This Row],[НАРХИ]]</f>
        <v>0</v>
      </c>
      <c r="H3256" s="31"/>
      <c r="I3256" s="166"/>
      <c r="J3256" s="31">
        <f>РЕАЛИЗАЦИЯ[[#This Row],[СОНИ]]*РЕАЛИЗАЦИЯ[[#This Row],[ТАННАРХ]]</f>
        <v>0</v>
      </c>
      <c r="K3256" s="31">
        <f>РЕАЛИЗАЦИЯ[[#This Row],[ЖАМИ]]-РЕАЛИЗАЦИЯ[[#This Row],[ЖАМИ2]]</f>
        <v>0</v>
      </c>
      <c r="L3256" s="31"/>
    </row>
    <row r="3257" spans="1:12" x14ac:dyDescent="0.3">
      <c r="C3257" s="254"/>
      <c r="D3257" s="254"/>
      <c r="G3257" s="50">
        <f>РЕАЛИЗАЦИЯ[[#This Row],[СОНИ]]*РЕАЛИЗАЦИЯ[[#This Row],[НАРХИ]]</f>
        <v>0</v>
      </c>
      <c r="I3257" s="166"/>
      <c r="J3257" s="31">
        <f>РЕАЛИЗАЦИЯ[[#This Row],[СОНИ]]*РЕАЛИЗАЦИЯ[[#This Row],[ТАННАРХ]]</f>
        <v>0</v>
      </c>
      <c r="K3257" s="31">
        <f>РЕАЛИЗАЦИЯ[[#This Row],[ЖАМИ]]-РЕАЛИЗАЦИЯ[[#This Row],[ЖАМИ2]]</f>
        <v>0</v>
      </c>
      <c r="L3257" s="31"/>
    </row>
    <row r="3258" spans="1:12" x14ac:dyDescent="0.3">
      <c r="C3258" s="255"/>
      <c r="D3258" s="255"/>
      <c r="G3258" s="50">
        <f>РЕАЛИЗАЦИЯ[[#This Row],[СОНИ]]*РЕАЛИЗАЦИЯ[[#This Row],[НАРХИ]]</f>
        <v>0</v>
      </c>
      <c r="I3258" s="166"/>
      <c r="J3258" s="31">
        <f>РЕАЛИЗАЦИЯ[[#This Row],[СОНИ]]*РЕАЛИЗАЦИЯ[[#This Row],[ТАННАРХ]]</f>
        <v>0</v>
      </c>
      <c r="K3258" s="31">
        <f>РЕАЛИЗАЦИЯ[[#This Row],[ЖАМИ]]-РЕАЛИЗАЦИЯ[[#This Row],[ЖАМИ2]]</f>
        <v>0</v>
      </c>
      <c r="L3258" s="31"/>
    </row>
    <row r="3259" spans="1:12" s="257" customFormat="1" x14ac:dyDescent="0.3">
      <c r="A3259" s="3"/>
      <c r="B3259" s="4"/>
      <c r="C3259" s="255"/>
      <c r="D3259" s="255"/>
      <c r="E3259" s="31"/>
      <c r="F3259" s="31"/>
      <c r="G3259" s="50">
        <f>РЕАЛИЗАЦИЯ[[#This Row],[СОНИ]]*РЕАЛИЗАЦИЯ[[#This Row],[НАРХИ]]</f>
        <v>0</v>
      </c>
      <c r="H3259" s="31"/>
      <c r="I3259" s="166"/>
      <c r="J3259" s="31">
        <f>РЕАЛИЗАЦИЯ[[#This Row],[СОНИ]]*РЕАЛИЗАЦИЯ[[#This Row],[ТАННАРХ]]</f>
        <v>0</v>
      </c>
      <c r="K3259" s="31">
        <f>РЕАЛИЗАЦИЯ[[#This Row],[ЖАМИ]]-РЕАЛИЗАЦИЯ[[#This Row],[ЖАМИ2]]</f>
        <v>0</v>
      </c>
      <c r="L3259" s="31"/>
    </row>
    <row r="3260" spans="1:12" x14ac:dyDescent="0.3">
      <c r="C3260" s="255"/>
      <c r="D3260" s="255"/>
      <c r="G3260" s="50">
        <f>РЕАЛИЗАЦИЯ[[#This Row],[СОНИ]]*РЕАЛИЗАЦИЯ[[#This Row],[НАРХИ]]</f>
        <v>0</v>
      </c>
      <c r="I3260" s="166"/>
      <c r="J3260" s="31">
        <f>РЕАЛИЗАЦИЯ[[#This Row],[СОНИ]]*РЕАЛИЗАЦИЯ[[#This Row],[ТАННАРХ]]</f>
        <v>0</v>
      </c>
      <c r="K3260" s="31">
        <f>РЕАЛИЗАЦИЯ[[#This Row],[ЖАМИ]]-РЕАЛИЗАЦИЯ[[#This Row],[ЖАМИ2]]</f>
        <v>0</v>
      </c>
      <c r="L3260" s="31"/>
    </row>
    <row r="3261" spans="1:12" x14ac:dyDescent="0.3">
      <c r="C3261" s="255"/>
      <c r="D3261" s="255"/>
      <c r="G3261" s="50">
        <f>РЕАЛИЗАЦИЯ[[#This Row],[СОНИ]]*РЕАЛИЗАЦИЯ[[#This Row],[НАРХИ]]</f>
        <v>0</v>
      </c>
      <c r="I3261" s="166"/>
      <c r="J3261" s="31">
        <f>РЕАЛИЗАЦИЯ[[#This Row],[СОНИ]]*РЕАЛИЗАЦИЯ[[#This Row],[ТАННАРХ]]</f>
        <v>0</v>
      </c>
      <c r="K3261" s="31">
        <f>РЕАЛИЗАЦИЯ[[#This Row],[ЖАМИ]]-РЕАЛИЗАЦИЯ[[#This Row],[ЖАМИ2]]</f>
        <v>0</v>
      </c>
      <c r="L3261" s="31"/>
    </row>
    <row r="3262" spans="1:12" x14ac:dyDescent="0.3">
      <c r="C3262" s="255"/>
      <c r="D3262" s="255"/>
      <c r="G3262" s="50">
        <f>РЕАЛИЗАЦИЯ[[#This Row],[СОНИ]]*РЕАЛИЗАЦИЯ[[#This Row],[НАРХИ]]</f>
        <v>0</v>
      </c>
      <c r="I3262" s="166"/>
      <c r="J3262" s="31">
        <f>РЕАЛИЗАЦИЯ[[#This Row],[СОНИ]]*РЕАЛИЗАЦИЯ[[#This Row],[ТАННАРХ]]</f>
        <v>0</v>
      </c>
      <c r="K3262" s="31">
        <f>РЕАЛИЗАЦИЯ[[#This Row],[ЖАМИ]]-РЕАЛИЗАЦИЯ[[#This Row],[ЖАМИ2]]</f>
        <v>0</v>
      </c>
      <c r="L3262" s="31"/>
    </row>
    <row r="3263" spans="1:12" x14ac:dyDescent="0.3">
      <c r="C3263" s="255"/>
      <c r="D3263" s="255"/>
      <c r="G3263" s="50">
        <f>РЕАЛИЗАЦИЯ[[#This Row],[СОНИ]]*РЕАЛИЗАЦИЯ[[#This Row],[НАРХИ]]</f>
        <v>0</v>
      </c>
      <c r="I3263" s="166"/>
      <c r="J3263" s="31">
        <f>РЕАЛИЗАЦИЯ[[#This Row],[СОНИ]]*РЕАЛИЗАЦИЯ[[#This Row],[ТАННАРХ]]</f>
        <v>0</v>
      </c>
      <c r="K3263" s="31">
        <f>РЕАЛИЗАЦИЯ[[#This Row],[ЖАМИ]]-РЕАЛИЗАЦИЯ[[#This Row],[ЖАМИ2]]</f>
        <v>0</v>
      </c>
      <c r="L3263" s="31"/>
    </row>
    <row r="3264" spans="1:12" x14ac:dyDescent="0.3">
      <c r="C3264" s="255"/>
      <c r="D3264" s="255"/>
      <c r="G3264" s="50">
        <f>РЕАЛИЗАЦИЯ[[#This Row],[СОНИ]]*РЕАЛИЗАЦИЯ[[#This Row],[НАРХИ]]</f>
        <v>0</v>
      </c>
      <c r="I3264" s="166"/>
      <c r="J3264" s="31">
        <f>РЕАЛИЗАЦИЯ[[#This Row],[СОНИ]]*РЕАЛИЗАЦИЯ[[#This Row],[ТАННАРХ]]</f>
        <v>0</v>
      </c>
      <c r="K3264" s="31">
        <f>РЕАЛИЗАЦИЯ[[#This Row],[ЖАМИ]]-РЕАЛИЗАЦИЯ[[#This Row],[ЖАМИ2]]</f>
        <v>0</v>
      </c>
      <c r="L3264" s="31"/>
    </row>
    <row r="3265" spans="1:12" x14ac:dyDescent="0.3">
      <c r="C3265" s="255"/>
      <c r="D3265" s="255"/>
      <c r="G3265" s="50">
        <f>РЕАЛИЗАЦИЯ[[#This Row],[СОНИ]]*РЕАЛИЗАЦИЯ[[#This Row],[НАРХИ]]</f>
        <v>0</v>
      </c>
      <c r="I3265" s="166"/>
      <c r="J3265" s="31">
        <f>РЕАЛИЗАЦИЯ[[#This Row],[СОНИ]]*РЕАЛИЗАЦИЯ[[#This Row],[ТАННАРХ]]</f>
        <v>0</v>
      </c>
      <c r="K3265" s="31">
        <f>РЕАЛИЗАЦИЯ[[#This Row],[ЖАМИ]]-РЕАЛИЗАЦИЯ[[#This Row],[ЖАМИ2]]</f>
        <v>0</v>
      </c>
      <c r="L3265" s="31"/>
    </row>
    <row r="3266" spans="1:12" x14ac:dyDescent="0.3">
      <c r="C3266" s="255"/>
      <c r="D3266" s="255"/>
      <c r="G3266" s="50">
        <f>РЕАЛИЗАЦИЯ[[#This Row],[СОНИ]]*РЕАЛИЗАЦИЯ[[#This Row],[НАРХИ]]</f>
        <v>0</v>
      </c>
      <c r="I3266" s="166"/>
      <c r="J3266" s="31">
        <f>РЕАЛИЗАЦИЯ[[#This Row],[СОНИ]]*РЕАЛИЗАЦИЯ[[#This Row],[ТАННАРХ]]</f>
        <v>0</v>
      </c>
      <c r="K3266" s="31">
        <f>РЕАЛИЗАЦИЯ[[#This Row],[ЖАМИ]]-РЕАЛИЗАЦИЯ[[#This Row],[ЖАМИ2]]</f>
        <v>0</v>
      </c>
      <c r="L3266" s="31"/>
    </row>
    <row r="3267" spans="1:12" x14ac:dyDescent="0.3">
      <c r="C3267" s="255"/>
      <c r="D3267" s="255"/>
      <c r="G3267" s="50">
        <f>РЕАЛИЗАЦИЯ[[#This Row],[СОНИ]]*РЕАЛИЗАЦИЯ[[#This Row],[НАРХИ]]</f>
        <v>0</v>
      </c>
      <c r="I3267" s="166"/>
      <c r="J3267" s="31">
        <f>РЕАЛИЗАЦИЯ[[#This Row],[СОНИ]]*РЕАЛИЗАЦИЯ[[#This Row],[ТАННАРХ]]</f>
        <v>0</v>
      </c>
      <c r="K3267" s="31">
        <f>РЕАЛИЗАЦИЯ[[#This Row],[ЖАМИ]]-РЕАЛИЗАЦИЯ[[#This Row],[ЖАМИ2]]</f>
        <v>0</v>
      </c>
      <c r="L3267" s="31"/>
    </row>
    <row r="3268" spans="1:12" x14ac:dyDescent="0.3">
      <c r="C3268" s="255"/>
      <c r="D3268" s="255"/>
      <c r="G3268" s="50">
        <f>РЕАЛИЗАЦИЯ[[#This Row],[СОНИ]]*РЕАЛИЗАЦИЯ[[#This Row],[НАРХИ]]</f>
        <v>0</v>
      </c>
      <c r="I3268" s="166"/>
      <c r="J3268" s="31">
        <f>РЕАЛИЗАЦИЯ[[#This Row],[СОНИ]]*РЕАЛИЗАЦИЯ[[#This Row],[ТАННАРХ]]</f>
        <v>0</v>
      </c>
      <c r="K3268" s="31">
        <f>РЕАЛИЗАЦИЯ[[#This Row],[ЖАМИ]]-РЕАЛИЗАЦИЯ[[#This Row],[ЖАМИ2]]</f>
        <v>0</v>
      </c>
      <c r="L3268" s="31"/>
    </row>
    <row r="3269" spans="1:12" x14ac:dyDescent="0.3">
      <c r="C3269" s="255"/>
      <c r="D3269" s="255"/>
      <c r="G3269" s="50">
        <f>РЕАЛИЗАЦИЯ[[#This Row],[СОНИ]]*РЕАЛИЗАЦИЯ[[#This Row],[НАРХИ]]</f>
        <v>0</v>
      </c>
      <c r="I3269" s="166"/>
      <c r="J3269" s="31">
        <f>РЕАЛИЗАЦИЯ[[#This Row],[СОНИ]]*РЕАЛИЗАЦИЯ[[#This Row],[ТАННАРХ]]</f>
        <v>0</v>
      </c>
      <c r="K3269" s="31">
        <f>РЕАЛИЗАЦИЯ[[#This Row],[ЖАМИ]]-РЕАЛИЗАЦИЯ[[#This Row],[ЖАМИ2]]</f>
        <v>0</v>
      </c>
      <c r="L3269" s="31"/>
    </row>
    <row r="3270" spans="1:12" x14ac:dyDescent="0.3">
      <c r="C3270" s="255"/>
      <c r="D3270" s="255"/>
      <c r="G3270" s="50">
        <f>РЕАЛИЗАЦИЯ[[#This Row],[СОНИ]]*РЕАЛИЗАЦИЯ[[#This Row],[НАРХИ]]</f>
        <v>0</v>
      </c>
      <c r="I3270" s="166"/>
      <c r="J3270" s="31">
        <f>РЕАЛИЗАЦИЯ[[#This Row],[СОНИ]]*РЕАЛИЗАЦИЯ[[#This Row],[ТАННАРХ]]</f>
        <v>0</v>
      </c>
      <c r="K3270" s="31">
        <f>РЕАЛИЗАЦИЯ[[#This Row],[ЖАМИ]]-РЕАЛИЗАЦИЯ[[#This Row],[ЖАМИ2]]</f>
        <v>0</v>
      </c>
      <c r="L3270" s="31"/>
    </row>
    <row r="3271" spans="1:12" x14ac:dyDescent="0.3">
      <c r="C3271" s="255"/>
      <c r="D3271" s="255"/>
      <c r="G3271" s="50">
        <f>РЕАЛИЗАЦИЯ[[#This Row],[СОНИ]]*РЕАЛИЗАЦИЯ[[#This Row],[НАРХИ]]</f>
        <v>0</v>
      </c>
      <c r="I3271" s="166"/>
      <c r="J3271" s="31">
        <f>РЕАЛИЗАЦИЯ[[#This Row],[СОНИ]]*РЕАЛИЗАЦИЯ[[#This Row],[ТАННАРХ]]</f>
        <v>0</v>
      </c>
      <c r="K3271" s="31">
        <f>РЕАЛИЗАЦИЯ[[#This Row],[ЖАМИ]]-РЕАЛИЗАЦИЯ[[#This Row],[ЖАМИ2]]</f>
        <v>0</v>
      </c>
      <c r="L3271" s="31"/>
    </row>
    <row r="3272" spans="1:12" x14ac:dyDescent="0.3">
      <c r="C3272" s="255"/>
      <c r="D3272" s="255"/>
      <c r="G3272" s="50">
        <f>РЕАЛИЗАЦИЯ[[#This Row],[СОНИ]]*РЕАЛИЗАЦИЯ[[#This Row],[НАРХИ]]</f>
        <v>0</v>
      </c>
      <c r="I3272" s="166"/>
      <c r="J3272" s="31">
        <f>РЕАЛИЗАЦИЯ[[#This Row],[СОНИ]]*РЕАЛИЗАЦИЯ[[#This Row],[ТАННАРХ]]</f>
        <v>0</v>
      </c>
      <c r="K3272" s="31">
        <f>РЕАЛИЗАЦИЯ[[#This Row],[ЖАМИ]]-РЕАЛИЗАЦИЯ[[#This Row],[ЖАМИ2]]</f>
        <v>0</v>
      </c>
      <c r="L3272" s="31"/>
    </row>
    <row r="3273" spans="1:12" x14ac:dyDescent="0.3">
      <c r="C3273" s="256"/>
      <c r="D3273" s="256"/>
      <c r="G3273" s="50">
        <f>РЕАЛИЗАЦИЯ[[#This Row],[СОНИ]]*РЕАЛИЗАЦИЯ[[#This Row],[НАРХИ]]</f>
        <v>0</v>
      </c>
      <c r="I3273" s="166"/>
      <c r="J3273" s="31">
        <f>РЕАЛИЗАЦИЯ[[#This Row],[СОНИ]]*РЕАЛИЗАЦИЯ[[#This Row],[ТАННАРХ]]</f>
        <v>0</v>
      </c>
      <c r="K3273" s="31">
        <f>РЕАЛИЗАЦИЯ[[#This Row],[ЖАМИ]]-РЕАЛИЗАЦИЯ[[#This Row],[ЖАМИ2]]</f>
        <v>0</v>
      </c>
      <c r="L3273" s="31"/>
    </row>
    <row r="3274" spans="1:12" x14ac:dyDescent="0.3">
      <c r="C3274" s="256"/>
      <c r="D3274" s="256"/>
      <c r="G3274" s="50">
        <f>РЕАЛИЗАЦИЯ[[#This Row],[СОНИ]]*РЕАЛИЗАЦИЯ[[#This Row],[НАРХИ]]</f>
        <v>0</v>
      </c>
      <c r="I3274" s="166"/>
      <c r="J3274" s="31">
        <f>РЕАЛИЗАЦИЯ[[#This Row],[СОНИ]]*РЕАЛИЗАЦИЯ[[#This Row],[ТАННАРХ]]</f>
        <v>0</v>
      </c>
      <c r="K3274" s="31">
        <f>РЕАЛИЗАЦИЯ[[#This Row],[ЖАМИ]]-РЕАЛИЗАЦИЯ[[#This Row],[ЖАМИ2]]</f>
        <v>0</v>
      </c>
      <c r="L3274" s="31"/>
    </row>
    <row r="3275" spans="1:12" x14ac:dyDescent="0.3">
      <c r="C3275" s="256"/>
      <c r="D3275" s="256"/>
      <c r="G3275" s="50">
        <f>РЕАЛИЗАЦИЯ[[#This Row],[СОНИ]]*РЕАЛИЗАЦИЯ[[#This Row],[НАРХИ]]</f>
        <v>0</v>
      </c>
      <c r="I3275" s="166"/>
      <c r="J3275" s="31">
        <f>РЕАЛИЗАЦИЯ[[#This Row],[СОНИ]]*РЕАЛИЗАЦИЯ[[#This Row],[ТАННАРХ]]</f>
        <v>0</v>
      </c>
      <c r="K3275" s="31">
        <f>РЕАЛИЗАЦИЯ[[#This Row],[ЖАМИ]]-РЕАЛИЗАЦИЯ[[#This Row],[ЖАМИ2]]</f>
        <v>0</v>
      </c>
      <c r="L3275" s="31"/>
    </row>
    <row r="3276" spans="1:12" x14ac:dyDescent="0.3">
      <c r="C3276" s="256"/>
      <c r="D3276" s="256"/>
      <c r="G3276" s="50">
        <f>РЕАЛИЗАЦИЯ[[#This Row],[СОНИ]]*РЕАЛИЗАЦИЯ[[#This Row],[НАРХИ]]</f>
        <v>0</v>
      </c>
      <c r="I3276" s="166"/>
      <c r="J3276" s="31">
        <f>РЕАЛИЗАЦИЯ[[#This Row],[СОНИ]]*РЕАЛИЗАЦИЯ[[#This Row],[ТАННАРХ]]</f>
        <v>0</v>
      </c>
      <c r="K3276" s="31">
        <f>РЕАЛИЗАЦИЯ[[#This Row],[ЖАМИ]]-РЕАЛИЗАЦИЯ[[#This Row],[ЖАМИ2]]</f>
        <v>0</v>
      </c>
      <c r="L3276" s="31"/>
    </row>
    <row r="3277" spans="1:12" x14ac:dyDescent="0.3">
      <c r="C3277" s="256"/>
      <c r="D3277" s="256"/>
      <c r="G3277" s="50">
        <f>РЕАЛИЗАЦИЯ[[#This Row],[СОНИ]]*РЕАЛИЗАЦИЯ[[#This Row],[НАРХИ]]</f>
        <v>0</v>
      </c>
      <c r="I3277" s="166"/>
      <c r="J3277" s="31">
        <f>РЕАЛИЗАЦИЯ[[#This Row],[СОНИ]]*РЕАЛИЗАЦИЯ[[#This Row],[ТАННАРХ]]</f>
        <v>0</v>
      </c>
      <c r="K3277" s="31">
        <f>РЕАЛИЗАЦИЯ[[#This Row],[ЖАМИ]]-РЕАЛИЗАЦИЯ[[#This Row],[ЖАМИ2]]</f>
        <v>0</v>
      </c>
      <c r="L3277" s="31"/>
    </row>
    <row r="3278" spans="1:12" x14ac:dyDescent="0.3">
      <c r="C3278" s="256"/>
      <c r="D3278" s="256"/>
      <c r="G3278" s="50">
        <f>РЕАЛИЗАЦИЯ[[#This Row],[СОНИ]]*РЕАЛИЗАЦИЯ[[#This Row],[НАРХИ]]</f>
        <v>0</v>
      </c>
      <c r="I3278" s="166"/>
      <c r="J3278" s="31">
        <f>РЕАЛИЗАЦИЯ[[#This Row],[СОНИ]]*РЕАЛИЗАЦИЯ[[#This Row],[ТАННАРХ]]</f>
        <v>0</v>
      </c>
      <c r="K3278" s="31">
        <f>РЕАЛИЗАЦИЯ[[#This Row],[ЖАМИ]]-РЕАЛИЗАЦИЯ[[#This Row],[ЖАМИ2]]</f>
        <v>0</v>
      </c>
      <c r="L3278" s="31"/>
    </row>
    <row r="3279" spans="1:12" s="266" customFormat="1" x14ac:dyDescent="0.3">
      <c r="A3279" s="3"/>
      <c r="B3279" s="4"/>
      <c r="C3279" s="256"/>
      <c r="D3279" s="256"/>
      <c r="E3279" s="31"/>
      <c r="F3279" s="31"/>
      <c r="G3279" s="50">
        <f>РЕАЛИЗАЦИЯ[[#This Row],[СОНИ]]*РЕАЛИЗАЦИЯ[[#This Row],[НАРХИ]]</f>
        <v>0</v>
      </c>
      <c r="H3279" s="31"/>
      <c r="I3279" s="166"/>
      <c r="J3279" s="31">
        <f>РЕАЛИЗАЦИЯ[[#This Row],[СОНИ]]*РЕАЛИЗАЦИЯ[[#This Row],[ТАННАРХ]]</f>
        <v>0</v>
      </c>
      <c r="K3279" s="31">
        <f>РЕАЛИЗАЦИЯ[[#This Row],[ЖАМИ]]-РЕАЛИЗАЦИЯ[[#This Row],[ЖАМИ2]]</f>
        <v>0</v>
      </c>
      <c r="L3279" s="31"/>
    </row>
    <row r="3280" spans="1:12" x14ac:dyDescent="0.3">
      <c r="C3280" s="256"/>
      <c r="D3280" s="256"/>
      <c r="G3280" s="50">
        <f>РЕАЛИЗАЦИЯ[[#This Row],[СОНИ]]*РЕАЛИЗАЦИЯ[[#This Row],[НАРХИ]]</f>
        <v>0</v>
      </c>
      <c r="I3280" s="166"/>
      <c r="J3280" s="31">
        <f>РЕАЛИЗАЦИЯ[[#This Row],[СОНИ]]*РЕАЛИЗАЦИЯ[[#This Row],[ТАННАРХ]]</f>
        <v>0</v>
      </c>
      <c r="K3280" s="31">
        <f>РЕАЛИЗАЦИЯ[[#This Row],[ЖАМИ]]-РЕАЛИЗАЦИЯ[[#This Row],[ЖАМИ2]]</f>
        <v>0</v>
      </c>
      <c r="L3280" s="31"/>
    </row>
    <row r="3281" spans="3:12" x14ac:dyDescent="0.3">
      <c r="C3281" s="256"/>
      <c r="D3281" s="256"/>
      <c r="G3281" s="50">
        <f>РЕАЛИЗАЦИЯ[[#This Row],[СОНИ]]*РЕАЛИЗАЦИЯ[[#This Row],[НАРХИ]]</f>
        <v>0</v>
      </c>
      <c r="I3281" s="166"/>
      <c r="J3281" s="31">
        <f>РЕАЛИЗАЦИЯ[[#This Row],[СОНИ]]*РЕАЛИЗАЦИЯ[[#This Row],[ТАННАРХ]]</f>
        <v>0</v>
      </c>
      <c r="K3281" s="31">
        <f>РЕАЛИЗАЦИЯ[[#This Row],[ЖАМИ]]-РЕАЛИЗАЦИЯ[[#This Row],[ЖАМИ2]]</f>
        <v>0</v>
      </c>
      <c r="L3281" s="31"/>
    </row>
    <row r="3282" spans="3:12" x14ac:dyDescent="0.3">
      <c r="C3282" s="256"/>
      <c r="D3282" s="256"/>
      <c r="G3282" s="50">
        <f>РЕАЛИЗАЦИЯ[[#This Row],[СОНИ]]*РЕАЛИЗАЦИЯ[[#This Row],[НАРХИ]]</f>
        <v>0</v>
      </c>
      <c r="I3282" s="166"/>
      <c r="J3282" s="31">
        <f>РЕАЛИЗАЦИЯ[[#This Row],[СОНИ]]*РЕАЛИЗАЦИЯ[[#This Row],[ТАННАРХ]]</f>
        <v>0</v>
      </c>
      <c r="K3282" s="31">
        <f>РЕАЛИЗАЦИЯ[[#This Row],[ЖАМИ]]-РЕАЛИЗАЦИЯ[[#This Row],[ЖАМИ2]]</f>
        <v>0</v>
      </c>
      <c r="L3282" s="31"/>
    </row>
    <row r="3283" spans="3:12" x14ac:dyDescent="0.3">
      <c r="C3283" s="256"/>
      <c r="D3283" s="256"/>
      <c r="G3283" s="50">
        <f>РЕАЛИЗАЦИЯ[[#This Row],[СОНИ]]*РЕАЛИЗАЦИЯ[[#This Row],[НАРХИ]]</f>
        <v>0</v>
      </c>
      <c r="I3283" s="166"/>
      <c r="J3283" s="31">
        <f>РЕАЛИЗАЦИЯ[[#This Row],[СОНИ]]*РЕАЛИЗАЦИЯ[[#This Row],[ТАННАРХ]]</f>
        <v>0</v>
      </c>
      <c r="K3283" s="31">
        <f>РЕАЛИЗАЦИЯ[[#This Row],[ЖАМИ]]-РЕАЛИЗАЦИЯ[[#This Row],[ЖАМИ2]]</f>
        <v>0</v>
      </c>
      <c r="L3283" s="31"/>
    </row>
    <row r="3284" spans="3:12" x14ac:dyDescent="0.3">
      <c r="C3284" s="256"/>
      <c r="D3284" s="256"/>
      <c r="G3284" s="50">
        <f>РЕАЛИЗАЦИЯ[[#This Row],[СОНИ]]*РЕАЛИЗАЦИЯ[[#This Row],[НАРХИ]]</f>
        <v>0</v>
      </c>
      <c r="I3284" s="166"/>
      <c r="J3284" s="31">
        <f>РЕАЛИЗАЦИЯ[[#This Row],[СОНИ]]*РЕАЛИЗАЦИЯ[[#This Row],[ТАННАРХ]]</f>
        <v>0</v>
      </c>
      <c r="K3284" s="31">
        <f>РЕАЛИЗАЦИЯ[[#This Row],[ЖАМИ]]-РЕАЛИЗАЦИЯ[[#This Row],[ЖАМИ2]]</f>
        <v>0</v>
      </c>
      <c r="L3284" s="31"/>
    </row>
    <row r="3285" spans="3:12" x14ac:dyDescent="0.3">
      <c r="C3285" s="256"/>
      <c r="D3285" s="256"/>
      <c r="G3285" s="50">
        <f>РЕАЛИЗАЦИЯ[[#This Row],[СОНИ]]*РЕАЛИЗАЦИЯ[[#This Row],[НАРХИ]]</f>
        <v>0</v>
      </c>
      <c r="I3285" s="166"/>
      <c r="J3285" s="31">
        <f>РЕАЛИЗАЦИЯ[[#This Row],[СОНИ]]*РЕАЛИЗАЦИЯ[[#This Row],[ТАННАРХ]]</f>
        <v>0</v>
      </c>
      <c r="K3285" s="31">
        <f>РЕАЛИЗАЦИЯ[[#This Row],[ЖАМИ]]-РЕАЛИЗАЦИЯ[[#This Row],[ЖАМИ2]]</f>
        <v>0</v>
      </c>
      <c r="L3285" s="31"/>
    </row>
    <row r="3286" spans="3:12" x14ac:dyDescent="0.3">
      <c r="C3286" s="256"/>
      <c r="D3286" s="256"/>
      <c r="G3286" s="50">
        <f>РЕАЛИЗАЦИЯ[[#This Row],[СОНИ]]*РЕАЛИЗАЦИЯ[[#This Row],[НАРХИ]]</f>
        <v>0</v>
      </c>
      <c r="I3286" s="166"/>
      <c r="J3286" s="31">
        <f>РЕАЛИЗАЦИЯ[[#This Row],[СОНИ]]*РЕАЛИЗАЦИЯ[[#This Row],[ТАННАРХ]]</f>
        <v>0</v>
      </c>
      <c r="K3286" s="31">
        <f>РЕАЛИЗАЦИЯ[[#This Row],[ЖАМИ]]-РЕАЛИЗАЦИЯ[[#This Row],[ЖАМИ2]]</f>
        <v>0</v>
      </c>
      <c r="L3286" s="31"/>
    </row>
    <row r="3287" spans="3:12" x14ac:dyDescent="0.3">
      <c r="C3287" s="256"/>
      <c r="D3287" s="256"/>
      <c r="G3287" s="50">
        <f>РЕАЛИЗАЦИЯ[[#This Row],[СОНИ]]*РЕАЛИЗАЦИЯ[[#This Row],[НАРХИ]]</f>
        <v>0</v>
      </c>
      <c r="I3287" s="166"/>
      <c r="J3287" s="31">
        <f>РЕАЛИЗАЦИЯ[[#This Row],[СОНИ]]*РЕАЛИЗАЦИЯ[[#This Row],[ТАННАРХ]]</f>
        <v>0</v>
      </c>
      <c r="K3287" s="31">
        <f>РЕАЛИЗАЦИЯ[[#This Row],[ЖАМИ]]-РЕАЛИЗАЦИЯ[[#This Row],[ЖАМИ2]]</f>
        <v>0</v>
      </c>
      <c r="L3287" s="31"/>
    </row>
    <row r="3288" spans="3:12" x14ac:dyDescent="0.3">
      <c r="C3288" s="256"/>
      <c r="D3288" s="256"/>
      <c r="G3288" s="50">
        <f>РЕАЛИЗАЦИЯ[[#This Row],[СОНИ]]*РЕАЛИЗАЦИЯ[[#This Row],[НАРХИ]]</f>
        <v>0</v>
      </c>
      <c r="I3288" s="166"/>
      <c r="J3288" s="31">
        <f>РЕАЛИЗАЦИЯ[[#This Row],[СОНИ]]*РЕАЛИЗАЦИЯ[[#This Row],[ТАННАРХ]]</f>
        <v>0</v>
      </c>
      <c r="K3288" s="31">
        <f>РЕАЛИЗАЦИЯ[[#This Row],[ЖАМИ]]-РЕАЛИЗАЦИЯ[[#This Row],[ЖАМИ2]]</f>
        <v>0</v>
      </c>
      <c r="L3288" s="31"/>
    </row>
    <row r="3289" spans="3:12" x14ac:dyDescent="0.3">
      <c r="C3289" s="256"/>
      <c r="D3289" s="256"/>
      <c r="G3289" s="50">
        <f>РЕАЛИЗАЦИЯ[[#This Row],[СОНИ]]*РЕАЛИЗАЦИЯ[[#This Row],[НАРХИ]]</f>
        <v>0</v>
      </c>
      <c r="I3289" s="166"/>
      <c r="J3289" s="31">
        <f>РЕАЛИЗАЦИЯ[[#This Row],[СОНИ]]*РЕАЛИЗАЦИЯ[[#This Row],[ТАННАРХ]]</f>
        <v>0</v>
      </c>
      <c r="K3289" s="31">
        <f>РЕАЛИЗАЦИЯ[[#This Row],[ЖАМИ]]-РЕАЛИЗАЦИЯ[[#This Row],[ЖАМИ2]]</f>
        <v>0</v>
      </c>
      <c r="L3289" s="31"/>
    </row>
    <row r="3290" spans="3:12" x14ac:dyDescent="0.3">
      <c r="C3290" s="256"/>
      <c r="D3290" s="256"/>
      <c r="G3290" s="50">
        <f>РЕАЛИЗАЦИЯ[[#This Row],[СОНИ]]*РЕАЛИЗАЦИЯ[[#This Row],[НАРХИ]]</f>
        <v>0</v>
      </c>
      <c r="I3290" s="166"/>
      <c r="J3290" s="31">
        <f>РЕАЛИЗАЦИЯ[[#This Row],[СОНИ]]*РЕАЛИЗАЦИЯ[[#This Row],[ТАННАРХ]]</f>
        <v>0</v>
      </c>
      <c r="K3290" s="31">
        <f>РЕАЛИЗАЦИЯ[[#This Row],[ЖАМИ]]-РЕАЛИЗАЦИЯ[[#This Row],[ЖАМИ2]]</f>
        <v>0</v>
      </c>
      <c r="L3290" s="31"/>
    </row>
    <row r="3291" spans="3:12" x14ac:dyDescent="0.3">
      <c r="C3291" s="256"/>
      <c r="D3291" s="256"/>
      <c r="G3291" s="50">
        <f>РЕАЛИЗАЦИЯ[[#This Row],[СОНИ]]*РЕАЛИЗАЦИЯ[[#This Row],[НАРХИ]]</f>
        <v>0</v>
      </c>
      <c r="I3291" s="166"/>
      <c r="J3291" s="31">
        <f>РЕАЛИЗАЦИЯ[[#This Row],[СОНИ]]*РЕАЛИЗАЦИЯ[[#This Row],[ТАННАРХ]]</f>
        <v>0</v>
      </c>
      <c r="K3291" s="31">
        <f>РЕАЛИЗАЦИЯ[[#This Row],[ЖАМИ]]-РЕАЛИЗАЦИЯ[[#This Row],[ЖАМИ2]]</f>
        <v>0</v>
      </c>
      <c r="L3291" s="31"/>
    </row>
    <row r="3292" spans="3:12" x14ac:dyDescent="0.3">
      <c r="C3292" s="256"/>
      <c r="D3292" s="256"/>
      <c r="G3292" s="50">
        <f>РЕАЛИЗАЦИЯ[[#This Row],[СОНИ]]*РЕАЛИЗАЦИЯ[[#This Row],[НАРХИ]]</f>
        <v>0</v>
      </c>
      <c r="I3292" s="166"/>
      <c r="J3292" s="31">
        <f>РЕАЛИЗАЦИЯ[[#This Row],[СОНИ]]*РЕАЛИЗАЦИЯ[[#This Row],[ТАННАРХ]]</f>
        <v>0</v>
      </c>
      <c r="K3292" s="31">
        <f>РЕАЛИЗАЦИЯ[[#This Row],[ЖАМИ]]-РЕАЛИЗАЦИЯ[[#This Row],[ЖАМИ2]]</f>
        <v>0</v>
      </c>
      <c r="L3292" s="31"/>
    </row>
    <row r="3293" spans="3:12" x14ac:dyDescent="0.3">
      <c r="C3293" s="256"/>
      <c r="D3293" s="256"/>
      <c r="G3293" s="50">
        <f>РЕАЛИЗАЦИЯ[[#This Row],[СОНИ]]*РЕАЛИЗАЦИЯ[[#This Row],[НАРХИ]]</f>
        <v>0</v>
      </c>
      <c r="I3293" s="166"/>
      <c r="J3293" s="31">
        <f>РЕАЛИЗАЦИЯ[[#This Row],[СОНИ]]*РЕАЛИЗАЦИЯ[[#This Row],[ТАННАРХ]]</f>
        <v>0</v>
      </c>
      <c r="K3293" s="31">
        <f>РЕАЛИЗАЦИЯ[[#This Row],[ЖАМИ]]-РЕАЛИЗАЦИЯ[[#This Row],[ЖАМИ2]]</f>
        <v>0</v>
      </c>
      <c r="L3293" s="31"/>
    </row>
    <row r="3294" spans="3:12" x14ac:dyDescent="0.3">
      <c r="C3294" s="256"/>
      <c r="D3294" s="256"/>
      <c r="G3294" s="50">
        <f>РЕАЛИЗАЦИЯ[[#This Row],[СОНИ]]*РЕАЛИЗАЦИЯ[[#This Row],[НАРХИ]]</f>
        <v>0</v>
      </c>
      <c r="I3294" s="166"/>
      <c r="J3294" s="31">
        <f>РЕАЛИЗАЦИЯ[[#This Row],[СОНИ]]*РЕАЛИЗАЦИЯ[[#This Row],[ТАННАРХ]]</f>
        <v>0</v>
      </c>
      <c r="K3294" s="31">
        <f>РЕАЛИЗАЦИЯ[[#This Row],[ЖАМИ]]-РЕАЛИЗАЦИЯ[[#This Row],[ЖАМИ2]]</f>
        <v>0</v>
      </c>
      <c r="L3294" s="31"/>
    </row>
    <row r="3295" spans="3:12" x14ac:dyDescent="0.3">
      <c r="C3295" s="258"/>
      <c r="D3295" s="258"/>
      <c r="G3295" s="50">
        <f>РЕАЛИЗАЦИЯ[[#This Row],[СОНИ]]*РЕАЛИЗАЦИЯ[[#This Row],[НАРХИ]]</f>
        <v>0</v>
      </c>
      <c r="I3295" s="166"/>
      <c r="J3295" s="31">
        <f>РЕАЛИЗАЦИЯ[[#This Row],[СОНИ]]*РЕАЛИЗАЦИЯ[[#This Row],[ТАННАРХ]]</f>
        <v>0</v>
      </c>
      <c r="K3295" s="31">
        <f>РЕАЛИЗАЦИЯ[[#This Row],[ЖАМИ]]-РЕАЛИЗАЦИЯ[[#This Row],[ЖАМИ2]]</f>
        <v>0</v>
      </c>
      <c r="L3295" s="31"/>
    </row>
    <row r="3296" spans="3:12" x14ac:dyDescent="0.3">
      <c r="C3296" s="256"/>
      <c r="D3296" s="256"/>
      <c r="G3296" s="50">
        <f>РЕАЛИЗАЦИЯ[[#This Row],[СОНИ]]*РЕАЛИЗАЦИЯ[[#This Row],[НАРХИ]]</f>
        <v>0</v>
      </c>
      <c r="I3296" s="166"/>
      <c r="J3296" s="31">
        <f>РЕАЛИЗАЦИЯ[[#This Row],[СОНИ]]*РЕАЛИЗАЦИЯ[[#This Row],[ТАННАРХ]]</f>
        <v>0</v>
      </c>
      <c r="K3296" s="31">
        <f>РЕАЛИЗАЦИЯ[[#This Row],[ЖАМИ]]-РЕАЛИЗАЦИЯ[[#This Row],[ЖАМИ2]]</f>
        <v>0</v>
      </c>
      <c r="L3296" s="31"/>
    </row>
    <row r="3297" spans="1:12" x14ac:dyDescent="0.3">
      <c r="C3297" s="256"/>
      <c r="D3297" s="256"/>
      <c r="G3297" s="50">
        <f>РЕАЛИЗАЦИЯ[[#This Row],[СОНИ]]*РЕАЛИЗАЦИЯ[[#This Row],[НАРХИ]]</f>
        <v>0</v>
      </c>
      <c r="I3297" s="166"/>
      <c r="J3297" s="31">
        <f>РЕАЛИЗАЦИЯ[[#This Row],[СОНИ]]*РЕАЛИЗАЦИЯ[[#This Row],[ТАННАРХ]]</f>
        <v>0</v>
      </c>
      <c r="K3297" s="31">
        <f>РЕАЛИЗАЦИЯ[[#This Row],[ЖАМИ]]-РЕАЛИЗАЦИЯ[[#This Row],[ЖАМИ2]]</f>
        <v>0</v>
      </c>
      <c r="L3297" s="31"/>
    </row>
    <row r="3298" spans="1:12" x14ac:dyDescent="0.3">
      <c r="C3298" s="256"/>
      <c r="D3298" s="256"/>
      <c r="G3298" s="50">
        <f>РЕАЛИЗАЦИЯ[[#This Row],[СОНИ]]*РЕАЛИЗАЦИЯ[[#This Row],[НАРХИ]]</f>
        <v>0</v>
      </c>
      <c r="I3298" s="166"/>
      <c r="J3298" s="31">
        <f>РЕАЛИЗАЦИЯ[[#This Row],[СОНИ]]*РЕАЛИЗАЦИЯ[[#This Row],[ТАННАРХ]]</f>
        <v>0</v>
      </c>
      <c r="K3298" s="31">
        <f>РЕАЛИЗАЦИЯ[[#This Row],[ЖАМИ]]-РЕАЛИЗАЦИЯ[[#This Row],[ЖАМИ2]]</f>
        <v>0</v>
      </c>
      <c r="L3298" s="31"/>
    </row>
    <row r="3299" spans="1:12" x14ac:dyDescent="0.3">
      <c r="C3299" s="256"/>
      <c r="D3299" s="256"/>
      <c r="G3299" s="50">
        <f>РЕАЛИЗАЦИЯ[[#This Row],[СОНИ]]*РЕАЛИЗАЦИЯ[[#This Row],[НАРХИ]]</f>
        <v>0</v>
      </c>
      <c r="I3299" s="166"/>
      <c r="J3299" s="31">
        <f>РЕАЛИЗАЦИЯ[[#This Row],[СОНИ]]*РЕАЛИЗАЦИЯ[[#This Row],[ТАННАРХ]]</f>
        <v>0</v>
      </c>
      <c r="K3299" s="31">
        <f>РЕАЛИЗАЦИЯ[[#This Row],[ЖАМИ]]-РЕАЛИЗАЦИЯ[[#This Row],[ЖАМИ2]]</f>
        <v>0</v>
      </c>
      <c r="L3299" s="31"/>
    </row>
    <row r="3300" spans="1:12" x14ac:dyDescent="0.3">
      <c r="C3300" s="256"/>
      <c r="D3300" s="256"/>
      <c r="G3300" s="50">
        <f>РЕАЛИЗАЦИЯ[[#This Row],[СОНИ]]*РЕАЛИЗАЦИЯ[[#This Row],[НАРХИ]]</f>
        <v>0</v>
      </c>
      <c r="I3300" s="166"/>
      <c r="J3300" s="31">
        <f>РЕАЛИЗАЦИЯ[[#This Row],[СОНИ]]*РЕАЛИЗАЦИЯ[[#This Row],[ТАННАРХ]]</f>
        <v>0</v>
      </c>
      <c r="K3300" s="31">
        <f>РЕАЛИЗАЦИЯ[[#This Row],[ЖАМИ]]-РЕАЛИЗАЦИЯ[[#This Row],[ЖАМИ2]]</f>
        <v>0</v>
      </c>
      <c r="L3300" s="31"/>
    </row>
    <row r="3301" spans="1:12" x14ac:dyDescent="0.3">
      <c r="C3301" s="256"/>
      <c r="D3301" s="256"/>
      <c r="G3301" s="50">
        <f>РЕАЛИЗАЦИЯ[[#This Row],[СОНИ]]*РЕАЛИЗАЦИЯ[[#This Row],[НАРХИ]]</f>
        <v>0</v>
      </c>
      <c r="I3301" s="166"/>
      <c r="J3301" s="31">
        <f>РЕАЛИЗАЦИЯ[[#This Row],[СОНИ]]*РЕАЛИЗАЦИЯ[[#This Row],[ТАННАРХ]]</f>
        <v>0</v>
      </c>
      <c r="K3301" s="31">
        <f>РЕАЛИЗАЦИЯ[[#This Row],[ЖАМИ]]-РЕАЛИЗАЦИЯ[[#This Row],[ЖАМИ2]]</f>
        <v>0</v>
      </c>
      <c r="L3301" s="31"/>
    </row>
    <row r="3302" spans="1:12" x14ac:dyDescent="0.3">
      <c r="C3302" s="256"/>
      <c r="D3302" s="256"/>
      <c r="G3302" s="50">
        <f>РЕАЛИЗАЦИЯ[[#This Row],[СОНИ]]*РЕАЛИЗАЦИЯ[[#This Row],[НАРХИ]]</f>
        <v>0</v>
      </c>
      <c r="I3302" s="166"/>
      <c r="J3302" s="31">
        <f>РЕАЛИЗАЦИЯ[[#This Row],[СОНИ]]*РЕАЛИЗАЦИЯ[[#This Row],[ТАННАРХ]]</f>
        <v>0</v>
      </c>
      <c r="K3302" s="31">
        <f>РЕАЛИЗАЦИЯ[[#This Row],[ЖАМИ]]-РЕАЛИЗАЦИЯ[[#This Row],[ЖАМИ2]]</f>
        <v>0</v>
      </c>
      <c r="L3302" s="31"/>
    </row>
    <row r="3303" spans="1:12" x14ac:dyDescent="0.3">
      <c r="C3303" s="256"/>
      <c r="D3303" s="256"/>
      <c r="G3303" s="50">
        <f>РЕАЛИЗАЦИЯ[[#This Row],[СОНИ]]*РЕАЛИЗАЦИЯ[[#This Row],[НАРХИ]]</f>
        <v>0</v>
      </c>
      <c r="I3303" s="166"/>
      <c r="J3303" s="31">
        <f>РЕАЛИЗАЦИЯ[[#This Row],[СОНИ]]*РЕАЛИЗАЦИЯ[[#This Row],[ТАННАРХ]]</f>
        <v>0</v>
      </c>
      <c r="K3303" s="31">
        <f>РЕАЛИЗАЦИЯ[[#This Row],[ЖАМИ]]-РЕАЛИЗАЦИЯ[[#This Row],[ЖАМИ2]]</f>
        <v>0</v>
      </c>
      <c r="L3303" s="31"/>
    </row>
    <row r="3304" spans="1:12" x14ac:dyDescent="0.3">
      <c r="C3304" s="256"/>
      <c r="D3304" s="256"/>
      <c r="G3304" s="50">
        <f>РЕАЛИЗАЦИЯ[[#This Row],[СОНИ]]*РЕАЛИЗАЦИЯ[[#This Row],[НАРХИ]]</f>
        <v>0</v>
      </c>
      <c r="I3304" s="166"/>
      <c r="J3304" s="31">
        <f>РЕАЛИЗАЦИЯ[[#This Row],[СОНИ]]*РЕАЛИЗАЦИЯ[[#This Row],[ТАННАРХ]]</f>
        <v>0</v>
      </c>
      <c r="K3304" s="31">
        <f>РЕАЛИЗАЦИЯ[[#This Row],[ЖАМИ]]-РЕАЛИЗАЦИЯ[[#This Row],[ЖАМИ2]]</f>
        <v>0</v>
      </c>
      <c r="L3304" s="31"/>
    </row>
    <row r="3305" spans="1:12" s="258" customFormat="1" x14ac:dyDescent="0.3">
      <c r="A3305" s="3"/>
      <c r="B3305" s="4"/>
      <c r="C3305" s="256"/>
      <c r="D3305" s="256"/>
      <c r="E3305" s="31"/>
      <c r="F3305" s="31"/>
      <c r="G3305" s="50">
        <f>РЕАЛИЗАЦИЯ[[#This Row],[СОНИ]]*РЕАЛИЗАЦИЯ[[#This Row],[НАРХИ]]</f>
        <v>0</v>
      </c>
      <c r="H3305" s="31"/>
      <c r="I3305" s="166"/>
      <c r="J3305" s="31">
        <f>РЕАЛИЗАЦИЯ[[#This Row],[СОНИ]]*РЕАЛИЗАЦИЯ[[#This Row],[ТАННАРХ]]</f>
        <v>0</v>
      </c>
      <c r="K3305" s="31">
        <f>РЕАЛИЗАЦИЯ[[#This Row],[ЖАМИ]]-РЕАЛИЗАЦИЯ[[#This Row],[ЖАМИ2]]</f>
        <v>0</v>
      </c>
      <c r="L3305" s="31"/>
    </row>
    <row r="3306" spans="1:12" x14ac:dyDescent="0.3">
      <c r="C3306" s="256"/>
      <c r="D3306" s="256"/>
      <c r="G3306" s="50">
        <f>РЕАЛИЗАЦИЯ[[#This Row],[СОНИ]]*РЕАЛИЗАЦИЯ[[#This Row],[НАРХИ]]</f>
        <v>0</v>
      </c>
      <c r="I3306" s="166"/>
      <c r="J3306" s="31">
        <f>РЕАЛИЗАЦИЯ[[#This Row],[СОНИ]]*РЕАЛИЗАЦИЯ[[#This Row],[ТАННАРХ]]</f>
        <v>0</v>
      </c>
      <c r="K3306" s="31">
        <f>РЕАЛИЗАЦИЯ[[#This Row],[ЖАМИ]]-РЕАЛИЗАЦИЯ[[#This Row],[ЖАМИ2]]</f>
        <v>0</v>
      </c>
      <c r="L3306" s="31"/>
    </row>
    <row r="3307" spans="1:12" x14ac:dyDescent="0.3">
      <c r="C3307" s="256"/>
      <c r="D3307" s="256"/>
      <c r="G3307" s="50">
        <f>РЕАЛИЗАЦИЯ[[#This Row],[СОНИ]]*РЕАЛИЗАЦИЯ[[#This Row],[НАРХИ]]</f>
        <v>0</v>
      </c>
      <c r="I3307" s="166"/>
      <c r="J3307" s="31">
        <f>РЕАЛИЗАЦИЯ[[#This Row],[СОНИ]]*РЕАЛИЗАЦИЯ[[#This Row],[ТАННАРХ]]</f>
        <v>0</v>
      </c>
      <c r="K3307" s="31">
        <f>РЕАЛИЗАЦИЯ[[#This Row],[ЖАМИ]]-РЕАЛИЗАЦИЯ[[#This Row],[ЖАМИ2]]</f>
        <v>0</v>
      </c>
      <c r="L3307" s="31"/>
    </row>
    <row r="3308" spans="1:12" x14ac:dyDescent="0.3">
      <c r="C3308" s="256"/>
      <c r="D3308" s="256"/>
      <c r="G3308" s="50">
        <f>РЕАЛИЗАЦИЯ[[#This Row],[СОНИ]]*РЕАЛИЗАЦИЯ[[#This Row],[НАРХИ]]</f>
        <v>0</v>
      </c>
      <c r="I3308" s="166"/>
      <c r="J3308" s="31">
        <f>РЕАЛИЗАЦИЯ[[#This Row],[СОНИ]]*РЕАЛИЗАЦИЯ[[#This Row],[ТАННАРХ]]</f>
        <v>0</v>
      </c>
      <c r="K3308" s="31">
        <f>РЕАЛИЗАЦИЯ[[#This Row],[ЖАМИ]]-РЕАЛИЗАЦИЯ[[#This Row],[ЖАМИ2]]</f>
        <v>0</v>
      </c>
      <c r="L3308" s="31"/>
    </row>
    <row r="3309" spans="1:12" x14ac:dyDescent="0.3">
      <c r="C3309" s="256"/>
      <c r="D3309" s="256"/>
      <c r="G3309" s="50">
        <f>РЕАЛИЗАЦИЯ[[#This Row],[СОНИ]]*РЕАЛИЗАЦИЯ[[#This Row],[НАРХИ]]</f>
        <v>0</v>
      </c>
      <c r="I3309" s="166"/>
      <c r="J3309" s="31">
        <f>РЕАЛИЗАЦИЯ[[#This Row],[СОНИ]]*РЕАЛИЗАЦИЯ[[#This Row],[ТАННАРХ]]</f>
        <v>0</v>
      </c>
      <c r="K3309" s="31">
        <f>РЕАЛИЗАЦИЯ[[#This Row],[ЖАМИ]]-РЕАЛИЗАЦИЯ[[#This Row],[ЖАМИ2]]</f>
        <v>0</v>
      </c>
      <c r="L3309" s="31"/>
    </row>
    <row r="3310" spans="1:12" x14ac:dyDescent="0.3">
      <c r="C3310" s="256"/>
      <c r="D3310" s="256"/>
      <c r="G3310" s="50">
        <f>РЕАЛИЗАЦИЯ[[#This Row],[СОНИ]]*РЕАЛИЗАЦИЯ[[#This Row],[НАРХИ]]</f>
        <v>0</v>
      </c>
      <c r="I3310" s="166"/>
      <c r="J3310" s="31">
        <f>РЕАЛИЗАЦИЯ[[#This Row],[СОНИ]]*РЕАЛИЗАЦИЯ[[#This Row],[ТАННАРХ]]</f>
        <v>0</v>
      </c>
      <c r="K3310" s="31">
        <f>РЕАЛИЗАЦИЯ[[#This Row],[ЖАМИ]]-РЕАЛИЗАЦИЯ[[#This Row],[ЖАМИ2]]</f>
        <v>0</v>
      </c>
      <c r="L3310" s="31"/>
    </row>
    <row r="3311" spans="1:12" x14ac:dyDescent="0.3">
      <c r="C3311" s="256"/>
      <c r="D3311" s="256"/>
      <c r="G3311" s="50">
        <f>РЕАЛИЗАЦИЯ[[#This Row],[СОНИ]]*РЕАЛИЗАЦИЯ[[#This Row],[НАРХИ]]</f>
        <v>0</v>
      </c>
      <c r="I3311" s="166"/>
      <c r="J3311" s="31">
        <f>РЕАЛИЗАЦИЯ[[#This Row],[СОНИ]]*РЕАЛИЗАЦИЯ[[#This Row],[ТАННАРХ]]</f>
        <v>0</v>
      </c>
      <c r="K3311" s="31">
        <f>РЕАЛИЗАЦИЯ[[#This Row],[ЖАМИ]]-РЕАЛИЗАЦИЯ[[#This Row],[ЖАМИ2]]</f>
        <v>0</v>
      </c>
      <c r="L3311" s="31"/>
    </row>
    <row r="3312" spans="1:12" x14ac:dyDescent="0.3">
      <c r="C3312" s="256"/>
      <c r="D3312" s="256"/>
      <c r="G3312" s="50">
        <f>РЕАЛИЗАЦИЯ[[#This Row],[СОНИ]]*РЕАЛИЗАЦИЯ[[#This Row],[НАРХИ]]</f>
        <v>0</v>
      </c>
      <c r="I3312" s="166"/>
      <c r="J3312" s="31">
        <f>РЕАЛИЗАЦИЯ[[#This Row],[СОНИ]]*РЕАЛИЗАЦИЯ[[#This Row],[ТАННАРХ]]</f>
        <v>0</v>
      </c>
      <c r="K3312" s="31">
        <f>РЕАЛИЗАЦИЯ[[#This Row],[ЖАМИ]]-РЕАЛИЗАЦИЯ[[#This Row],[ЖАМИ2]]</f>
        <v>0</v>
      </c>
      <c r="L3312" s="31"/>
    </row>
    <row r="3313" spans="3:12" x14ac:dyDescent="0.3">
      <c r="C3313" s="256"/>
      <c r="D3313" s="256"/>
      <c r="G3313" s="50">
        <f>РЕАЛИЗАЦИЯ[[#This Row],[СОНИ]]*РЕАЛИЗАЦИЯ[[#This Row],[НАРХИ]]</f>
        <v>0</v>
      </c>
      <c r="I3313" s="166"/>
      <c r="J3313" s="31">
        <f>РЕАЛИЗАЦИЯ[[#This Row],[СОНИ]]*РЕАЛИЗАЦИЯ[[#This Row],[ТАННАРХ]]</f>
        <v>0</v>
      </c>
      <c r="K3313" s="31">
        <f>РЕАЛИЗАЦИЯ[[#This Row],[ЖАМИ]]-РЕАЛИЗАЦИЯ[[#This Row],[ЖАМИ2]]</f>
        <v>0</v>
      </c>
      <c r="L3313" s="31"/>
    </row>
    <row r="3314" spans="3:12" x14ac:dyDescent="0.3">
      <c r="C3314" s="256"/>
      <c r="D3314" s="256"/>
      <c r="G3314" s="50">
        <f>РЕАЛИЗАЦИЯ[[#This Row],[СОНИ]]*РЕАЛИЗАЦИЯ[[#This Row],[НАРХИ]]</f>
        <v>0</v>
      </c>
      <c r="I3314" s="166"/>
      <c r="J3314" s="31">
        <f>РЕАЛИЗАЦИЯ[[#This Row],[СОНИ]]*РЕАЛИЗАЦИЯ[[#This Row],[ТАННАРХ]]</f>
        <v>0</v>
      </c>
      <c r="K3314" s="31">
        <f>РЕАЛИЗАЦИЯ[[#This Row],[ЖАМИ]]-РЕАЛИЗАЦИЯ[[#This Row],[ЖАМИ2]]</f>
        <v>0</v>
      </c>
      <c r="L3314" s="31"/>
    </row>
    <row r="3315" spans="3:12" x14ac:dyDescent="0.3">
      <c r="C3315" s="256"/>
      <c r="D3315" s="256"/>
      <c r="G3315" s="50">
        <f>РЕАЛИЗАЦИЯ[[#This Row],[СОНИ]]*РЕАЛИЗАЦИЯ[[#This Row],[НАРХИ]]</f>
        <v>0</v>
      </c>
      <c r="I3315" s="166"/>
      <c r="J3315" s="31">
        <f>РЕАЛИЗАЦИЯ[[#This Row],[СОНИ]]*РЕАЛИЗАЦИЯ[[#This Row],[ТАННАРХ]]</f>
        <v>0</v>
      </c>
      <c r="K3315" s="31">
        <f>РЕАЛИЗАЦИЯ[[#This Row],[ЖАМИ]]-РЕАЛИЗАЦИЯ[[#This Row],[ЖАМИ2]]</f>
        <v>0</v>
      </c>
      <c r="L3315" s="31"/>
    </row>
    <row r="3316" spans="3:12" x14ac:dyDescent="0.3">
      <c r="C3316" s="256"/>
      <c r="D3316" s="256"/>
      <c r="G3316" s="50">
        <f>РЕАЛИЗАЦИЯ[[#This Row],[СОНИ]]*РЕАЛИЗАЦИЯ[[#This Row],[НАРХИ]]</f>
        <v>0</v>
      </c>
      <c r="I3316" s="166"/>
      <c r="J3316" s="31">
        <f>РЕАЛИЗАЦИЯ[[#This Row],[СОНИ]]*РЕАЛИЗАЦИЯ[[#This Row],[ТАННАРХ]]</f>
        <v>0</v>
      </c>
      <c r="K3316" s="31">
        <f>РЕАЛИЗАЦИЯ[[#This Row],[ЖАМИ]]-РЕАЛИЗАЦИЯ[[#This Row],[ЖАМИ2]]</f>
        <v>0</v>
      </c>
      <c r="L3316" s="31"/>
    </row>
    <row r="3317" spans="3:12" x14ac:dyDescent="0.3">
      <c r="C3317" s="256"/>
      <c r="D3317" s="256"/>
      <c r="G3317" s="50">
        <f>РЕАЛИЗАЦИЯ[[#This Row],[СОНИ]]*РЕАЛИЗАЦИЯ[[#This Row],[НАРХИ]]</f>
        <v>0</v>
      </c>
      <c r="I3317" s="166"/>
      <c r="J3317" s="31">
        <f>РЕАЛИЗАЦИЯ[[#This Row],[СОНИ]]*РЕАЛИЗАЦИЯ[[#This Row],[ТАННАРХ]]</f>
        <v>0</v>
      </c>
      <c r="K3317" s="31">
        <f>РЕАЛИЗАЦИЯ[[#This Row],[ЖАМИ]]-РЕАЛИЗАЦИЯ[[#This Row],[ЖАМИ2]]</f>
        <v>0</v>
      </c>
      <c r="L3317" s="31"/>
    </row>
    <row r="3318" spans="3:12" x14ac:dyDescent="0.3">
      <c r="C3318" s="256"/>
      <c r="D3318" s="256"/>
      <c r="G3318" s="50">
        <f>РЕАЛИЗАЦИЯ[[#This Row],[СОНИ]]*РЕАЛИЗАЦИЯ[[#This Row],[НАРХИ]]</f>
        <v>0</v>
      </c>
      <c r="I3318" s="166"/>
      <c r="J3318" s="31">
        <f>РЕАЛИЗАЦИЯ[[#This Row],[СОНИ]]*РЕАЛИЗАЦИЯ[[#This Row],[ТАННАРХ]]</f>
        <v>0</v>
      </c>
      <c r="K3318" s="31">
        <f>РЕАЛИЗАЦИЯ[[#This Row],[ЖАМИ]]-РЕАЛИЗАЦИЯ[[#This Row],[ЖАМИ2]]</f>
        <v>0</v>
      </c>
      <c r="L3318" s="31"/>
    </row>
    <row r="3319" spans="3:12" x14ac:dyDescent="0.3">
      <c r="C3319" s="256"/>
      <c r="D3319" s="256"/>
      <c r="G3319" s="50">
        <f>РЕАЛИЗАЦИЯ[[#This Row],[СОНИ]]*РЕАЛИЗАЦИЯ[[#This Row],[НАРХИ]]</f>
        <v>0</v>
      </c>
      <c r="I3319" s="166"/>
      <c r="J3319" s="31">
        <f>РЕАЛИЗАЦИЯ[[#This Row],[СОНИ]]*РЕАЛИЗАЦИЯ[[#This Row],[ТАННАРХ]]</f>
        <v>0</v>
      </c>
      <c r="K3319" s="31">
        <f>РЕАЛИЗАЦИЯ[[#This Row],[ЖАМИ]]-РЕАЛИЗАЦИЯ[[#This Row],[ЖАМИ2]]</f>
        <v>0</v>
      </c>
      <c r="L3319" s="31"/>
    </row>
    <row r="3320" spans="3:12" x14ac:dyDescent="0.3">
      <c r="C3320" s="256"/>
      <c r="D3320" s="256"/>
      <c r="G3320" s="50">
        <f>РЕАЛИЗАЦИЯ[[#This Row],[СОНИ]]*РЕАЛИЗАЦИЯ[[#This Row],[НАРХИ]]</f>
        <v>0</v>
      </c>
      <c r="I3320" s="166"/>
      <c r="J3320" s="31">
        <f>РЕАЛИЗАЦИЯ[[#This Row],[СОНИ]]*РЕАЛИЗАЦИЯ[[#This Row],[ТАННАРХ]]</f>
        <v>0</v>
      </c>
      <c r="K3320" s="31">
        <f>РЕАЛИЗАЦИЯ[[#This Row],[ЖАМИ]]-РЕАЛИЗАЦИЯ[[#This Row],[ЖАМИ2]]</f>
        <v>0</v>
      </c>
      <c r="L3320" s="31"/>
    </row>
    <row r="3321" spans="3:12" x14ac:dyDescent="0.3">
      <c r="C3321" s="256"/>
      <c r="D3321" s="256"/>
      <c r="G3321" s="50">
        <f>РЕАЛИЗАЦИЯ[[#This Row],[СОНИ]]*РЕАЛИЗАЦИЯ[[#This Row],[НАРХИ]]</f>
        <v>0</v>
      </c>
      <c r="I3321" s="166"/>
      <c r="J3321" s="31">
        <f>РЕАЛИЗАЦИЯ[[#This Row],[СОНИ]]*РЕАЛИЗАЦИЯ[[#This Row],[ТАННАРХ]]</f>
        <v>0</v>
      </c>
      <c r="K3321" s="31">
        <f>РЕАЛИЗАЦИЯ[[#This Row],[ЖАМИ]]-РЕАЛИЗАЦИЯ[[#This Row],[ЖАМИ2]]</f>
        <v>0</v>
      </c>
      <c r="L3321" s="31"/>
    </row>
    <row r="3322" spans="3:12" x14ac:dyDescent="0.3">
      <c r="C3322" s="256"/>
      <c r="D3322" s="256"/>
      <c r="G3322" s="50">
        <f>РЕАЛИЗАЦИЯ[[#This Row],[СОНИ]]*РЕАЛИЗАЦИЯ[[#This Row],[НАРХИ]]</f>
        <v>0</v>
      </c>
      <c r="I3322" s="166"/>
      <c r="J3322" s="31">
        <f>РЕАЛИЗАЦИЯ[[#This Row],[СОНИ]]*РЕАЛИЗАЦИЯ[[#This Row],[ТАННАРХ]]</f>
        <v>0</v>
      </c>
      <c r="K3322" s="31">
        <f>РЕАЛИЗАЦИЯ[[#This Row],[ЖАМИ]]-РЕАЛИЗАЦИЯ[[#This Row],[ЖАМИ2]]</f>
        <v>0</v>
      </c>
      <c r="L3322" s="31"/>
    </row>
    <row r="3323" spans="3:12" x14ac:dyDescent="0.3">
      <c r="C3323" s="256"/>
      <c r="D3323" s="256"/>
      <c r="G3323" s="50">
        <f>РЕАЛИЗАЦИЯ[[#This Row],[СОНИ]]*РЕАЛИЗАЦИЯ[[#This Row],[НАРХИ]]</f>
        <v>0</v>
      </c>
      <c r="I3323" s="166"/>
      <c r="J3323" s="31">
        <f>РЕАЛИЗАЦИЯ[[#This Row],[СОНИ]]*РЕАЛИЗАЦИЯ[[#This Row],[ТАННАРХ]]</f>
        <v>0</v>
      </c>
      <c r="K3323" s="31">
        <f>РЕАЛИЗАЦИЯ[[#This Row],[ЖАМИ]]-РЕАЛИЗАЦИЯ[[#This Row],[ЖАМИ2]]</f>
        <v>0</v>
      </c>
      <c r="L3323" s="31"/>
    </row>
    <row r="3324" spans="3:12" x14ac:dyDescent="0.3">
      <c r="C3324" s="258"/>
      <c r="D3324" s="258"/>
      <c r="G3324" s="50">
        <f>РЕАЛИЗАЦИЯ[[#This Row],[СОНИ]]*РЕАЛИЗАЦИЯ[[#This Row],[НАРХИ]]</f>
        <v>0</v>
      </c>
      <c r="I3324" s="166"/>
      <c r="J3324" s="31">
        <f>РЕАЛИЗАЦИЯ[[#This Row],[СОНИ]]*РЕАЛИЗАЦИЯ[[#This Row],[ТАННАРХ]]</f>
        <v>0</v>
      </c>
      <c r="K3324" s="31">
        <f>РЕАЛИЗАЦИЯ[[#This Row],[ЖАМИ]]-РЕАЛИЗАЦИЯ[[#This Row],[ЖАМИ2]]</f>
        <v>0</v>
      </c>
      <c r="L3324" s="31"/>
    </row>
    <row r="3325" spans="3:12" x14ac:dyDescent="0.3">
      <c r="C3325" s="258"/>
      <c r="D3325" s="258"/>
      <c r="G3325" s="50">
        <f>РЕАЛИЗАЦИЯ[[#This Row],[СОНИ]]*РЕАЛИЗАЦИЯ[[#This Row],[НАРХИ]]</f>
        <v>0</v>
      </c>
      <c r="I3325" s="166"/>
      <c r="J3325" s="31">
        <f>РЕАЛИЗАЦИЯ[[#This Row],[СОНИ]]*РЕАЛИЗАЦИЯ[[#This Row],[ТАННАРХ]]</f>
        <v>0</v>
      </c>
      <c r="K3325" s="31">
        <f>РЕАЛИЗАЦИЯ[[#This Row],[ЖАМИ]]-РЕАЛИЗАЦИЯ[[#This Row],[ЖАМИ2]]</f>
        <v>0</v>
      </c>
      <c r="L3325" s="31"/>
    </row>
    <row r="3326" spans="3:12" x14ac:dyDescent="0.3">
      <c r="C3326" s="258"/>
      <c r="D3326" s="258"/>
      <c r="G3326" s="50">
        <f>РЕАЛИЗАЦИЯ[[#This Row],[СОНИ]]*РЕАЛИЗАЦИЯ[[#This Row],[НАРХИ]]</f>
        <v>0</v>
      </c>
      <c r="I3326" s="166"/>
      <c r="J3326" s="31">
        <f>РЕАЛИЗАЦИЯ[[#This Row],[СОНИ]]*РЕАЛИЗАЦИЯ[[#This Row],[ТАННАРХ]]</f>
        <v>0</v>
      </c>
      <c r="K3326" s="31">
        <f>РЕАЛИЗАЦИЯ[[#This Row],[ЖАМИ]]-РЕАЛИЗАЦИЯ[[#This Row],[ЖАМИ2]]</f>
        <v>0</v>
      </c>
      <c r="L3326" s="31"/>
    </row>
    <row r="3327" spans="3:12" x14ac:dyDescent="0.3">
      <c r="C3327" s="258"/>
      <c r="D3327" s="258"/>
      <c r="G3327" s="50">
        <f>РЕАЛИЗАЦИЯ[[#This Row],[СОНИ]]*РЕАЛИЗАЦИЯ[[#This Row],[НАРХИ]]</f>
        <v>0</v>
      </c>
      <c r="I3327" s="166"/>
      <c r="J3327" s="31">
        <f>РЕАЛИЗАЦИЯ[[#This Row],[СОНИ]]*РЕАЛИЗАЦИЯ[[#This Row],[ТАННАРХ]]</f>
        <v>0</v>
      </c>
      <c r="K3327" s="31">
        <f>РЕАЛИЗАЦИЯ[[#This Row],[ЖАМИ]]-РЕАЛИЗАЦИЯ[[#This Row],[ЖАМИ2]]</f>
        <v>0</v>
      </c>
      <c r="L3327" s="31"/>
    </row>
    <row r="3328" spans="3:12" x14ac:dyDescent="0.3">
      <c r="C3328" s="258"/>
      <c r="D3328" s="258"/>
      <c r="G3328" s="50">
        <f>РЕАЛИЗАЦИЯ[[#This Row],[СОНИ]]*РЕАЛИЗАЦИЯ[[#This Row],[НАРХИ]]</f>
        <v>0</v>
      </c>
      <c r="I3328" s="166"/>
      <c r="J3328" s="31">
        <f>РЕАЛИЗАЦИЯ[[#This Row],[СОНИ]]*РЕАЛИЗАЦИЯ[[#This Row],[ТАННАРХ]]</f>
        <v>0</v>
      </c>
      <c r="K3328" s="31">
        <f>РЕАЛИЗАЦИЯ[[#This Row],[ЖАМИ]]-РЕАЛИЗАЦИЯ[[#This Row],[ЖАМИ2]]</f>
        <v>0</v>
      </c>
      <c r="L3328" s="31"/>
    </row>
    <row r="3329" spans="3:12" x14ac:dyDescent="0.3">
      <c r="C3329" s="258"/>
      <c r="D3329" s="258"/>
      <c r="G3329" s="50">
        <f>РЕАЛИЗАЦИЯ[[#This Row],[СОНИ]]*РЕАЛИЗАЦИЯ[[#This Row],[НАРХИ]]</f>
        <v>0</v>
      </c>
      <c r="I3329" s="166"/>
      <c r="J3329" s="31">
        <f>РЕАЛИЗАЦИЯ[[#This Row],[СОНИ]]*РЕАЛИЗАЦИЯ[[#This Row],[ТАННАРХ]]</f>
        <v>0</v>
      </c>
      <c r="K3329" s="31">
        <f>РЕАЛИЗАЦИЯ[[#This Row],[ЖАМИ]]-РЕАЛИЗАЦИЯ[[#This Row],[ЖАМИ2]]</f>
        <v>0</v>
      </c>
      <c r="L3329" s="31"/>
    </row>
    <row r="3330" spans="3:12" x14ac:dyDescent="0.3">
      <c r="C3330" s="258"/>
      <c r="D3330" s="258"/>
      <c r="G3330" s="50">
        <f>РЕАЛИЗАЦИЯ[[#This Row],[СОНИ]]*РЕАЛИЗАЦИЯ[[#This Row],[НАРХИ]]</f>
        <v>0</v>
      </c>
      <c r="I3330" s="166"/>
      <c r="J3330" s="31">
        <f>РЕАЛИЗАЦИЯ[[#This Row],[СОНИ]]*РЕАЛИЗАЦИЯ[[#This Row],[ТАННАРХ]]</f>
        <v>0</v>
      </c>
      <c r="K3330" s="31">
        <f>РЕАЛИЗАЦИЯ[[#This Row],[ЖАМИ]]-РЕАЛИЗАЦИЯ[[#This Row],[ЖАМИ2]]</f>
        <v>0</v>
      </c>
      <c r="L3330" s="31"/>
    </row>
    <row r="3331" spans="3:12" x14ac:dyDescent="0.3">
      <c r="C3331" s="258"/>
      <c r="D3331" s="258"/>
      <c r="G3331" s="50">
        <f>РЕАЛИЗАЦИЯ[[#This Row],[СОНИ]]*РЕАЛИЗАЦИЯ[[#This Row],[НАРХИ]]</f>
        <v>0</v>
      </c>
      <c r="I3331" s="166"/>
      <c r="J3331" s="31">
        <f>РЕАЛИЗАЦИЯ[[#This Row],[СОНИ]]*РЕАЛИЗАЦИЯ[[#This Row],[ТАННАРХ]]</f>
        <v>0</v>
      </c>
      <c r="K3331" s="31">
        <f>РЕАЛИЗАЦИЯ[[#This Row],[ЖАМИ]]-РЕАЛИЗАЦИЯ[[#This Row],[ЖАМИ2]]</f>
        <v>0</v>
      </c>
      <c r="L3331" s="31"/>
    </row>
    <row r="3332" spans="3:12" x14ac:dyDescent="0.3">
      <c r="C3332" s="258"/>
      <c r="D3332" s="258"/>
      <c r="G3332" s="50">
        <f>РЕАЛИЗАЦИЯ[[#This Row],[СОНИ]]*РЕАЛИЗАЦИЯ[[#This Row],[НАРХИ]]</f>
        <v>0</v>
      </c>
      <c r="I3332" s="166"/>
      <c r="J3332" s="31">
        <f>РЕАЛИЗАЦИЯ[[#This Row],[СОНИ]]*РЕАЛИЗАЦИЯ[[#This Row],[ТАННАРХ]]</f>
        <v>0</v>
      </c>
      <c r="K3332" s="31">
        <f>РЕАЛИЗАЦИЯ[[#This Row],[ЖАМИ]]-РЕАЛИЗАЦИЯ[[#This Row],[ЖАМИ2]]</f>
        <v>0</v>
      </c>
      <c r="L3332" s="31"/>
    </row>
    <row r="3333" spans="3:12" x14ac:dyDescent="0.3">
      <c r="C3333" s="258"/>
      <c r="D3333" s="258"/>
      <c r="G3333" s="50">
        <f>РЕАЛИЗАЦИЯ[[#This Row],[СОНИ]]*РЕАЛИЗАЦИЯ[[#This Row],[НАРХИ]]</f>
        <v>0</v>
      </c>
      <c r="I3333" s="166"/>
      <c r="J3333" s="31">
        <f>РЕАЛИЗАЦИЯ[[#This Row],[СОНИ]]*РЕАЛИЗАЦИЯ[[#This Row],[ТАННАРХ]]</f>
        <v>0</v>
      </c>
      <c r="K3333" s="31">
        <f>РЕАЛИЗАЦИЯ[[#This Row],[ЖАМИ]]-РЕАЛИЗАЦИЯ[[#This Row],[ЖАМИ2]]</f>
        <v>0</v>
      </c>
      <c r="L3333" s="31"/>
    </row>
    <row r="3334" spans="3:12" x14ac:dyDescent="0.3">
      <c r="C3334" s="258"/>
      <c r="D3334" s="258"/>
      <c r="G3334" s="50">
        <f>РЕАЛИЗАЦИЯ[[#This Row],[СОНИ]]*РЕАЛИЗАЦИЯ[[#This Row],[НАРХИ]]</f>
        <v>0</v>
      </c>
      <c r="I3334" s="166"/>
      <c r="J3334" s="31">
        <f>РЕАЛИЗАЦИЯ[[#This Row],[СОНИ]]*РЕАЛИЗАЦИЯ[[#This Row],[ТАННАРХ]]</f>
        <v>0</v>
      </c>
      <c r="K3334" s="31">
        <f>РЕАЛИЗАЦИЯ[[#This Row],[ЖАМИ]]-РЕАЛИЗАЦИЯ[[#This Row],[ЖАМИ2]]</f>
        <v>0</v>
      </c>
      <c r="L3334" s="31"/>
    </row>
    <row r="3335" spans="3:12" x14ac:dyDescent="0.3">
      <c r="C3335" s="258"/>
      <c r="D3335" s="258"/>
      <c r="G3335" s="50">
        <f>РЕАЛИЗАЦИЯ[[#This Row],[СОНИ]]*РЕАЛИЗАЦИЯ[[#This Row],[НАРХИ]]</f>
        <v>0</v>
      </c>
      <c r="I3335" s="166"/>
      <c r="J3335" s="31">
        <f>РЕАЛИЗАЦИЯ[[#This Row],[СОНИ]]*РЕАЛИЗАЦИЯ[[#This Row],[ТАННАРХ]]</f>
        <v>0</v>
      </c>
      <c r="K3335" s="31">
        <f>РЕАЛИЗАЦИЯ[[#This Row],[ЖАМИ]]-РЕАЛИЗАЦИЯ[[#This Row],[ЖАМИ2]]</f>
        <v>0</v>
      </c>
      <c r="L3335" s="31"/>
    </row>
    <row r="3336" spans="3:12" x14ac:dyDescent="0.3">
      <c r="C3336" s="258"/>
      <c r="D3336" s="258"/>
      <c r="G3336" s="50">
        <f>РЕАЛИЗАЦИЯ[[#This Row],[СОНИ]]*РЕАЛИЗАЦИЯ[[#This Row],[НАРХИ]]</f>
        <v>0</v>
      </c>
      <c r="I3336" s="166"/>
      <c r="J3336" s="31">
        <f>РЕАЛИЗАЦИЯ[[#This Row],[СОНИ]]*РЕАЛИЗАЦИЯ[[#This Row],[ТАННАРХ]]</f>
        <v>0</v>
      </c>
      <c r="K3336" s="31">
        <f>РЕАЛИЗАЦИЯ[[#This Row],[ЖАМИ]]-РЕАЛИЗАЦИЯ[[#This Row],[ЖАМИ2]]</f>
        <v>0</v>
      </c>
      <c r="L3336" s="31"/>
    </row>
    <row r="3337" spans="3:12" x14ac:dyDescent="0.3">
      <c r="C3337" s="258"/>
      <c r="D3337" s="258"/>
      <c r="G3337" s="50">
        <f>РЕАЛИЗАЦИЯ[[#This Row],[СОНИ]]*РЕАЛИЗАЦИЯ[[#This Row],[НАРХИ]]</f>
        <v>0</v>
      </c>
      <c r="I3337" s="166"/>
      <c r="J3337" s="31">
        <f>РЕАЛИЗАЦИЯ[[#This Row],[СОНИ]]*РЕАЛИЗАЦИЯ[[#This Row],[ТАННАРХ]]</f>
        <v>0</v>
      </c>
      <c r="K3337" s="31">
        <f>РЕАЛИЗАЦИЯ[[#This Row],[ЖАМИ]]-РЕАЛИЗАЦИЯ[[#This Row],[ЖАМИ2]]</f>
        <v>0</v>
      </c>
      <c r="L3337" s="31"/>
    </row>
    <row r="3338" spans="3:12" x14ac:dyDescent="0.3">
      <c r="C3338" s="258"/>
      <c r="D3338" s="258"/>
      <c r="G3338" s="50">
        <f>РЕАЛИЗАЦИЯ[[#This Row],[СОНИ]]*РЕАЛИЗАЦИЯ[[#This Row],[НАРХИ]]</f>
        <v>0</v>
      </c>
      <c r="I3338" s="166"/>
      <c r="J3338" s="31">
        <f>РЕАЛИЗАЦИЯ[[#This Row],[СОНИ]]*РЕАЛИЗАЦИЯ[[#This Row],[ТАННАРХ]]</f>
        <v>0</v>
      </c>
      <c r="K3338" s="31">
        <f>РЕАЛИЗАЦИЯ[[#This Row],[ЖАМИ]]-РЕАЛИЗАЦИЯ[[#This Row],[ЖАМИ2]]</f>
        <v>0</v>
      </c>
      <c r="L3338" s="31"/>
    </row>
    <row r="3339" spans="3:12" x14ac:dyDescent="0.3">
      <c r="C3339" s="258"/>
      <c r="D3339" s="258"/>
      <c r="G3339" s="50">
        <f>РЕАЛИЗАЦИЯ[[#This Row],[СОНИ]]*РЕАЛИЗАЦИЯ[[#This Row],[НАРХИ]]</f>
        <v>0</v>
      </c>
      <c r="I3339" s="166"/>
      <c r="J3339" s="31">
        <f>РЕАЛИЗАЦИЯ[[#This Row],[СОНИ]]*РЕАЛИЗАЦИЯ[[#This Row],[ТАННАРХ]]</f>
        <v>0</v>
      </c>
      <c r="K3339" s="31">
        <f>РЕАЛИЗАЦИЯ[[#This Row],[ЖАМИ]]-РЕАЛИЗАЦИЯ[[#This Row],[ЖАМИ2]]</f>
        <v>0</v>
      </c>
      <c r="L3339" s="31"/>
    </row>
    <row r="3340" spans="3:12" x14ac:dyDescent="0.3">
      <c r="C3340" s="258"/>
      <c r="D3340" s="258"/>
      <c r="G3340" s="50">
        <f>РЕАЛИЗАЦИЯ[[#This Row],[СОНИ]]*РЕАЛИЗАЦИЯ[[#This Row],[НАРХИ]]</f>
        <v>0</v>
      </c>
      <c r="I3340" s="166"/>
      <c r="J3340" s="31">
        <f>РЕАЛИЗАЦИЯ[[#This Row],[СОНИ]]*РЕАЛИЗАЦИЯ[[#This Row],[ТАННАРХ]]</f>
        <v>0</v>
      </c>
      <c r="K3340" s="31">
        <f>РЕАЛИЗАЦИЯ[[#This Row],[ЖАМИ]]-РЕАЛИЗАЦИЯ[[#This Row],[ЖАМИ2]]</f>
        <v>0</v>
      </c>
      <c r="L3340" s="31"/>
    </row>
    <row r="3341" spans="3:12" x14ac:dyDescent="0.3">
      <c r="C3341" s="258"/>
      <c r="D3341" s="258"/>
      <c r="G3341" s="50">
        <f>РЕАЛИЗАЦИЯ[[#This Row],[СОНИ]]*РЕАЛИЗАЦИЯ[[#This Row],[НАРХИ]]</f>
        <v>0</v>
      </c>
      <c r="I3341" s="166"/>
      <c r="J3341" s="31">
        <f>РЕАЛИЗАЦИЯ[[#This Row],[СОНИ]]*РЕАЛИЗАЦИЯ[[#This Row],[ТАННАРХ]]</f>
        <v>0</v>
      </c>
      <c r="K3341" s="31">
        <f>РЕАЛИЗАЦИЯ[[#This Row],[ЖАМИ]]-РЕАЛИЗАЦИЯ[[#This Row],[ЖАМИ2]]</f>
        <v>0</v>
      </c>
      <c r="L3341" s="31"/>
    </row>
    <row r="3342" spans="3:12" x14ac:dyDescent="0.3">
      <c r="C3342" s="258"/>
      <c r="D3342" s="258"/>
      <c r="G3342" s="50">
        <f>РЕАЛИЗАЦИЯ[[#This Row],[СОНИ]]*РЕАЛИЗАЦИЯ[[#This Row],[НАРХИ]]</f>
        <v>0</v>
      </c>
      <c r="I3342" s="166"/>
      <c r="J3342" s="31">
        <f>РЕАЛИЗАЦИЯ[[#This Row],[СОНИ]]*РЕАЛИЗАЦИЯ[[#This Row],[ТАННАРХ]]</f>
        <v>0</v>
      </c>
      <c r="K3342" s="31">
        <f>РЕАЛИЗАЦИЯ[[#This Row],[ЖАМИ]]-РЕАЛИЗАЦИЯ[[#This Row],[ЖАМИ2]]</f>
        <v>0</v>
      </c>
      <c r="L3342" s="31"/>
    </row>
    <row r="3343" spans="3:12" x14ac:dyDescent="0.3">
      <c r="C3343" s="258"/>
      <c r="D3343" s="258"/>
      <c r="G3343" s="50">
        <f>РЕАЛИЗАЦИЯ[[#This Row],[СОНИ]]*РЕАЛИЗАЦИЯ[[#This Row],[НАРХИ]]</f>
        <v>0</v>
      </c>
      <c r="I3343" s="166"/>
      <c r="J3343" s="31">
        <f>РЕАЛИЗАЦИЯ[[#This Row],[СОНИ]]*РЕАЛИЗАЦИЯ[[#This Row],[ТАННАРХ]]</f>
        <v>0</v>
      </c>
      <c r="K3343" s="31">
        <f>РЕАЛИЗАЦИЯ[[#This Row],[ЖАМИ]]-РЕАЛИЗАЦИЯ[[#This Row],[ЖАМИ2]]</f>
        <v>0</v>
      </c>
      <c r="L3343" s="31"/>
    </row>
    <row r="3344" spans="3:12" x14ac:dyDescent="0.3">
      <c r="C3344" s="258"/>
      <c r="D3344" s="258"/>
      <c r="G3344" s="50">
        <f>РЕАЛИЗАЦИЯ[[#This Row],[СОНИ]]*РЕАЛИЗАЦИЯ[[#This Row],[НАРХИ]]</f>
        <v>0</v>
      </c>
      <c r="I3344" s="166"/>
      <c r="J3344" s="31">
        <f>РЕАЛИЗАЦИЯ[[#This Row],[СОНИ]]*РЕАЛИЗАЦИЯ[[#This Row],[ТАННАРХ]]</f>
        <v>0</v>
      </c>
      <c r="K3344" s="31">
        <f>РЕАЛИЗАЦИЯ[[#This Row],[ЖАМИ]]-РЕАЛИЗАЦИЯ[[#This Row],[ЖАМИ2]]</f>
        <v>0</v>
      </c>
      <c r="L3344" s="31"/>
    </row>
    <row r="3345" spans="3:12" x14ac:dyDescent="0.3">
      <c r="C3345" s="258"/>
      <c r="D3345" s="258"/>
      <c r="G3345" s="50">
        <f>РЕАЛИЗАЦИЯ[[#This Row],[СОНИ]]*РЕАЛИЗАЦИЯ[[#This Row],[НАРХИ]]</f>
        <v>0</v>
      </c>
      <c r="I3345" s="166"/>
      <c r="J3345" s="31">
        <f>РЕАЛИЗАЦИЯ[[#This Row],[СОНИ]]*РЕАЛИЗАЦИЯ[[#This Row],[ТАННАРХ]]</f>
        <v>0</v>
      </c>
      <c r="K3345" s="31">
        <f>РЕАЛИЗАЦИЯ[[#This Row],[ЖАМИ]]-РЕАЛИЗАЦИЯ[[#This Row],[ЖАМИ2]]</f>
        <v>0</v>
      </c>
      <c r="L3345" s="31"/>
    </row>
    <row r="3346" spans="3:12" x14ac:dyDescent="0.3">
      <c r="C3346" s="258"/>
      <c r="D3346" s="258"/>
      <c r="G3346" s="50">
        <f>РЕАЛИЗАЦИЯ[[#This Row],[СОНИ]]*РЕАЛИЗАЦИЯ[[#This Row],[НАРХИ]]</f>
        <v>0</v>
      </c>
      <c r="I3346" s="166"/>
      <c r="J3346" s="31">
        <f>РЕАЛИЗАЦИЯ[[#This Row],[СОНИ]]*РЕАЛИЗАЦИЯ[[#This Row],[ТАННАРХ]]</f>
        <v>0</v>
      </c>
      <c r="K3346" s="31">
        <f>РЕАЛИЗАЦИЯ[[#This Row],[ЖАМИ]]-РЕАЛИЗАЦИЯ[[#This Row],[ЖАМИ2]]</f>
        <v>0</v>
      </c>
      <c r="L3346" s="31"/>
    </row>
    <row r="3347" spans="3:12" x14ac:dyDescent="0.3">
      <c r="C3347" s="258"/>
      <c r="D3347" s="258"/>
      <c r="G3347" s="50">
        <f>РЕАЛИЗАЦИЯ[[#This Row],[СОНИ]]*РЕАЛИЗАЦИЯ[[#This Row],[НАРХИ]]</f>
        <v>0</v>
      </c>
      <c r="I3347" s="166"/>
      <c r="J3347" s="31">
        <f>РЕАЛИЗАЦИЯ[[#This Row],[СОНИ]]*РЕАЛИЗАЦИЯ[[#This Row],[ТАННАРХ]]</f>
        <v>0</v>
      </c>
      <c r="K3347" s="31">
        <f>РЕАЛИЗАЦИЯ[[#This Row],[ЖАМИ]]-РЕАЛИЗАЦИЯ[[#This Row],[ЖАМИ2]]</f>
        <v>0</v>
      </c>
      <c r="L3347" s="31"/>
    </row>
    <row r="3348" spans="3:12" x14ac:dyDescent="0.3">
      <c r="C3348" s="258"/>
      <c r="D3348" s="258"/>
      <c r="G3348" s="50">
        <f>РЕАЛИЗАЦИЯ[[#This Row],[СОНИ]]*РЕАЛИЗАЦИЯ[[#This Row],[НАРХИ]]</f>
        <v>0</v>
      </c>
      <c r="I3348" s="166"/>
      <c r="J3348" s="31">
        <f>РЕАЛИЗАЦИЯ[[#This Row],[СОНИ]]*РЕАЛИЗАЦИЯ[[#This Row],[ТАННАРХ]]</f>
        <v>0</v>
      </c>
      <c r="K3348" s="31">
        <f>РЕАЛИЗАЦИЯ[[#This Row],[ЖАМИ]]-РЕАЛИЗАЦИЯ[[#This Row],[ЖАМИ2]]</f>
        <v>0</v>
      </c>
      <c r="L3348" s="31"/>
    </row>
    <row r="3349" spans="3:12" x14ac:dyDescent="0.3">
      <c r="C3349" s="258"/>
      <c r="D3349" s="258"/>
      <c r="G3349" s="50">
        <f>РЕАЛИЗАЦИЯ[[#This Row],[СОНИ]]*РЕАЛИЗАЦИЯ[[#This Row],[НАРХИ]]</f>
        <v>0</v>
      </c>
      <c r="I3349" s="166"/>
      <c r="J3349" s="31">
        <f>РЕАЛИЗАЦИЯ[[#This Row],[СОНИ]]*РЕАЛИЗАЦИЯ[[#This Row],[ТАННАРХ]]</f>
        <v>0</v>
      </c>
      <c r="K3349" s="31">
        <f>РЕАЛИЗАЦИЯ[[#This Row],[ЖАМИ]]-РЕАЛИЗАЦИЯ[[#This Row],[ЖАМИ2]]</f>
        <v>0</v>
      </c>
      <c r="L3349" s="31"/>
    </row>
    <row r="3350" spans="3:12" x14ac:dyDescent="0.3">
      <c r="C3350" s="258"/>
      <c r="D3350" s="258"/>
      <c r="G3350" s="50">
        <f>РЕАЛИЗАЦИЯ[[#This Row],[СОНИ]]*РЕАЛИЗАЦИЯ[[#This Row],[НАРХИ]]</f>
        <v>0</v>
      </c>
      <c r="I3350" s="166"/>
      <c r="J3350" s="31">
        <f>РЕАЛИЗАЦИЯ[[#This Row],[СОНИ]]*РЕАЛИЗАЦИЯ[[#This Row],[ТАННАРХ]]</f>
        <v>0</v>
      </c>
      <c r="K3350" s="31">
        <f>РЕАЛИЗАЦИЯ[[#This Row],[ЖАМИ]]-РЕАЛИЗАЦИЯ[[#This Row],[ЖАМИ2]]</f>
        <v>0</v>
      </c>
      <c r="L3350" s="31"/>
    </row>
    <row r="3351" spans="3:12" x14ac:dyDescent="0.3">
      <c r="C3351" s="258"/>
      <c r="D3351" s="258"/>
      <c r="G3351" s="50">
        <f>РЕАЛИЗАЦИЯ[[#This Row],[СОНИ]]*РЕАЛИЗАЦИЯ[[#This Row],[НАРХИ]]</f>
        <v>0</v>
      </c>
      <c r="I3351" s="166"/>
      <c r="J3351" s="31">
        <f>РЕАЛИЗАЦИЯ[[#This Row],[СОНИ]]*РЕАЛИЗАЦИЯ[[#This Row],[ТАННАРХ]]</f>
        <v>0</v>
      </c>
      <c r="K3351" s="31">
        <f>РЕАЛИЗАЦИЯ[[#This Row],[ЖАМИ]]-РЕАЛИЗАЦИЯ[[#This Row],[ЖАМИ2]]</f>
        <v>0</v>
      </c>
      <c r="L3351" s="31"/>
    </row>
    <row r="3352" spans="3:12" x14ac:dyDescent="0.3">
      <c r="C3352" s="258"/>
      <c r="D3352" s="258"/>
      <c r="G3352" s="50">
        <f>РЕАЛИЗАЦИЯ[[#This Row],[СОНИ]]*РЕАЛИЗАЦИЯ[[#This Row],[НАРХИ]]</f>
        <v>0</v>
      </c>
      <c r="I3352" s="166"/>
      <c r="J3352" s="31">
        <f>РЕАЛИЗАЦИЯ[[#This Row],[СОНИ]]*РЕАЛИЗАЦИЯ[[#This Row],[ТАННАРХ]]</f>
        <v>0</v>
      </c>
      <c r="K3352" s="31">
        <f>РЕАЛИЗАЦИЯ[[#This Row],[ЖАМИ]]-РЕАЛИЗАЦИЯ[[#This Row],[ЖАМИ2]]</f>
        <v>0</v>
      </c>
      <c r="L3352" s="31"/>
    </row>
    <row r="3353" spans="3:12" x14ac:dyDescent="0.3">
      <c r="C3353" s="258"/>
      <c r="D3353" s="258"/>
      <c r="G3353" s="50">
        <f>РЕАЛИЗАЦИЯ[[#This Row],[СОНИ]]*РЕАЛИЗАЦИЯ[[#This Row],[НАРХИ]]</f>
        <v>0</v>
      </c>
      <c r="I3353" s="166"/>
      <c r="J3353" s="31">
        <f>РЕАЛИЗАЦИЯ[[#This Row],[СОНИ]]*РЕАЛИЗАЦИЯ[[#This Row],[ТАННАРХ]]</f>
        <v>0</v>
      </c>
      <c r="K3353" s="31">
        <f>РЕАЛИЗАЦИЯ[[#This Row],[ЖАМИ]]-РЕАЛИЗАЦИЯ[[#This Row],[ЖАМИ2]]</f>
        <v>0</v>
      </c>
      <c r="L3353" s="31"/>
    </row>
    <row r="3354" spans="3:12" x14ac:dyDescent="0.3">
      <c r="C3354" s="258"/>
      <c r="D3354" s="258"/>
      <c r="G3354" s="50">
        <f>РЕАЛИЗАЦИЯ[[#This Row],[СОНИ]]*РЕАЛИЗАЦИЯ[[#This Row],[НАРХИ]]</f>
        <v>0</v>
      </c>
      <c r="I3354" s="166"/>
      <c r="J3354" s="31">
        <f>РЕАЛИЗАЦИЯ[[#This Row],[СОНИ]]*РЕАЛИЗАЦИЯ[[#This Row],[ТАННАРХ]]</f>
        <v>0</v>
      </c>
      <c r="K3354" s="31">
        <f>РЕАЛИЗАЦИЯ[[#This Row],[ЖАМИ]]-РЕАЛИЗАЦИЯ[[#This Row],[ЖАМИ2]]</f>
        <v>0</v>
      </c>
      <c r="L3354" s="31"/>
    </row>
    <row r="3355" spans="3:12" x14ac:dyDescent="0.3">
      <c r="C3355" s="258"/>
      <c r="D3355" s="258"/>
      <c r="G3355" s="50">
        <f>РЕАЛИЗАЦИЯ[[#This Row],[СОНИ]]*РЕАЛИЗАЦИЯ[[#This Row],[НАРХИ]]</f>
        <v>0</v>
      </c>
      <c r="I3355" s="166"/>
      <c r="J3355" s="31">
        <f>РЕАЛИЗАЦИЯ[[#This Row],[СОНИ]]*РЕАЛИЗАЦИЯ[[#This Row],[ТАННАРХ]]</f>
        <v>0</v>
      </c>
      <c r="K3355" s="31">
        <f>РЕАЛИЗАЦИЯ[[#This Row],[ЖАМИ]]-РЕАЛИЗАЦИЯ[[#This Row],[ЖАМИ2]]</f>
        <v>0</v>
      </c>
      <c r="L3355" s="31"/>
    </row>
    <row r="3356" spans="3:12" x14ac:dyDescent="0.3">
      <c r="C3356" s="258"/>
      <c r="D3356" s="258"/>
      <c r="G3356" s="50">
        <f>РЕАЛИЗАЦИЯ[[#This Row],[СОНИ]]*РЕАЛИЗАЦИЯ[[#This Row],[НАРХИ]]</f>
        <v>0</v>
      </c>
      <c r="I3356" s="166"/>
      <c r="J3356" s="31">
        <f>РЕАЛИЗАЦИЯ[[#This Row],[СОНИ]]*РЕАЛИЗАЦИЯ[[#This Row],[ТАННАРХ]]</f>
        <v>0</v>
      </c>
      <c r="K3356" s="31">
        <f>РЕАЛИЗАЦИЯ[[#This Row],[ЖАМИ]]-РЕАЛИЗАЦИЯ[[#This Row],[ЖАМИ2]]</f>
        <v>0</v>
      </c>
      <c r="L3356" s="31"/>
    </row>
    <row r="3357" spans="3:12" x14ac:dyDescent="0.3">
      <c r="C3357" s="258"/>
      <c r="D3357" s="258"/>
      <c r="G3357" s="50">
        <f>РЕАЛИЗАЦИЯ[[#This Row],[СОНИ]]*РЕАЛИЗАЦИЯ[[#This Row],[НАРХИ]]</f>
        <v>0</v>
      </c>
      <c r="I3357" s="166"/>
      <c r="J3357" s="31">
        <f>РЕАЛИЗАЦИЯ[[#This Row],[СОНИ]]*РЕАЛИЗАЦИЯ[[#This Row],[ТАННАРХ]]</f>
        <v>0</v>
      </c>
      <c r="K3357" s="31">
        <f>РЕАЛИЗАЦИЯ[[#This Row],[ЖАМИ]]-РЕАЛИЗАЦИЯ[[#This Row],[ЖАМИ2]]</f>
        <v>0</v>
      </c>
      <c r="L3357" s="31"/>
    </row>
    <row r="3358" spans="3:12" x14ac:dyDescent="0.3">
      <c r="C3358" s="262"/>
      <c r="D3358" s="262"/>
      <c r="G3358" s="50">
        <f>РЕАЛИЗАЦИЯ[[#This Row],[СОНИ]]*РЕАЛИЗАЦИЯ[[#This Row],[НАРХИ]]</f>
        <v>0</v>
      </c>
      <c r="I3358" s="166"/>
      <c r="J3358" s="31">
        <f>РЕАЛИЗАЦИЯ[[#This Row],[СОНИ]]*РЕАЛИЗАЦИЯ[[#This Row],[ТАННАРХ]]</f>
        <v>0</v>
      </c>
      <c r="K3358" s="31">
        <f>РЕАЛИЗАЦИЯ[[#This Row],[ЖАМИ]]-РЕАЛИЗАЦИЯ[[#This Row],[ЖАМИ2]]</f>
        <v>0</v>
      </c>
      <c r="L3358" s="31"/>
    </row>
    <row r="3359" spans="3:12" x14ac:dyDescent="0.3">
      <c r="C3359" s="258"/>
      <c r="D3359" s="258"/>
      <c r="G3359" s="50">
        <f>РЕАЛИЗАЦИЯ[[#This Row],[СОНИ]]*РЕАЛИЗАЦИЯ[[#This Row],[НАРХИ]]</f>
        <v>0</v>
      </c>
      <c r="I3359" s="166"/>
      <c r="J3359" s="31">
        <f>РЕАЛИЗАЦИЯ[[#This Row],[СОНИ]]*РЕАЛИЗАЦИЯ[[#This Row],[ТАННАРХ]]</f>
        <v>0</v>
      </c>
      <c r="K3359" s="31">
        <f>РЕАЛИЗАЦИЯ[[#This Row],[ЖАМИ]]-РЕАЛИЗАЦИЯ[[#This Row],[ЖАМИ2]]</f>
        <v>0</v>
      </c>
      <c r="L3359" s="31"/>
    </row>
    <row r="3360" spans="3:12" x14ac:dyDescent="0.3">
      <c r="C3360" s="258"/>
      <c r="D3360" s="258"/>
      <c r="G3360" s="50">
        <f>РЕАЛИЗАЦИЯ[[#This Row],[СОНИ]]*РЕАЛИЗАЦИЯ[[#This Row],[НАРХИ]]</f>
        <v>0</v>
      </c>
      <c r="I3360" s="166"/>
      <c r="J3360" s="31">
        <f>РЕАЛИЗАЦИЯ[[#This Row],[СОНИ]]*РЕАЛИЗАЦИЯ[[#This Row],[ТАННАРХ]]</f>
        <v>0</v>
      </c>
      <c r="K3360" s="31">
        <f>РЕАЛИЗАЦИЯ[[#This Row],[ЖАМИ]]-РЕАЛИЗАЦИЯ[[#This Row],[ЖАМИ2]]</f>
        <v>0</v>
      </c>
      <c r="L3360" s="31"/>
    </row>
    <row r="3361" spans="1:12" x14ac:dyDescent="0.3">
      <c r="C3361" s="258"/>
      <c r="D3361" s="258"/>
      <c r="G3361" s="50">
        <f>РЕАЛИЗАЦИЯ[[#This Row],[СОНИ]]*РЕАЛИЗАЦИЯ[[#This Row],[НАРХИ]]</f>
        <v>0</v>
      </c>
      <c r="I3361" s="166"/>
      <c r="J3361" s="31">
        <f>РЕАЛИЗАЦИЯ[[#This Row],[СОНИ]]*РЕАЛИЗАЦИЯ[[#This Row],[ТАННАРХ]]</f>
        <v>0</v>
      </c>
      <c r="K3361" s="31">
        <f>РЕАЛИЗАЦИЯ[[#This Row],[ЖАМИ]]-РЕАЛИЗАЦИЯ[[#This Row],[ЖАМИ2]]</f>
        <v>0</v>
      </c>
      <c r="L3361" s="31"/>
    </row>
    <row r="3362" spans="1:12" x14ac:dyDescent="0.3">
      <c r="C3362" s="258"/>
      <c r="D3362" s="258"/>
      <c r="G3362" s="50">
        <f>РЕАЛИЗАЦИЯ[[#This Row],[СОНИ]]*РЕАЛИЗАЦИЯ[[#This Row],[НАРХИ]]</f>
        <v>0</v>
      </c>
      <c r="I3362" s="166"/>
      <c r="J3362" s="31">
        <f>РЕАЛИЗАЦИЯ[[#This Row],[СОНИ]]*РЕАЛИЗАЦИЯ[[#This Row],[ТАННАРХ]]</f>
        <v>0</v>
      </c>
      <c r="K3362" s="31">
        <f>РЕАЛИЗАЦИЯ[[#This Row],[ЖАМИ]]-РЕАЛИЗАЦИЯ[[#This Row],[ЖАМИ2]]</f>
        <v>0</v>
      </c>
      <c r="L3362" s="31"/>
    </row>
    <row r="3363" spans="1:12" x14ac:dyDescent="0.3">
      <c r="C3363" s="258"/>
      <c r="D3363" s="258"/>
      <c r="G3363" s="50">
        <f>РЕАЛИЗАЦИЯ[[#This Row],[СОНИ]]*РЕАЛИЗАЦИЯ[[#This Row],[НАРХИ]]</f>
        <v>0</v>
      </c>
      <c r="I3363" s="166"/>
      <c r="J3363" s="31">
        <f>РЕАЛИЗАЦИЯ[[#This Row],[СОНИ]]*РЕАЛИЗАЦИЯ[[#This Row],[ТАННАРХ]]</f>
        <v>0</v>
      </c>
      <c r="K3363" s="31">
        <f>РЕАЛИЗАЦИЯ[[#This Row],[ЖАМИ]]-РЕАЛИЗАЦИЯ[[#This Row],[ЖАМИ2]]</f>
        <v>0</v>
      </c>
      <c r="L3363" s="31"/>
    </row>
    <row r="3364" spans="1:12" x14ac:dyDescent="0.3">
      <c r="C3364" s="258"/>
      <c r="D3364" s="258"/>
      <c r="G3364" s="50">
        <f>РЕАЛИЗАЦИЯ[[#This Row],[СОНИ]]*РЕАЛИЗАЦИЯ[[#This Row],[НАРХИ]]</f>
        <v>0</v>
      </c>
      <c r="I3364" s="166"/>
      <c r="J3364" s="31">
        <f>РЕАЛИЗАЦИЯ[[#This Row],[СОНИ]]*РЕАЛИЗАЦИЯ[[#This Row],[ТАННАРХ]]</f>
        <v>0</v>
      </c>
      <c r="K3364" s="31">
        <f>РЕАЛИЗАЦИЯ[[#This Row],[ЖАМИ]]-РЕАЛИЗАЦИЯ[[#This Row],[ЖАМИ2]]</f>
        <v>0</v>
      </c>
      <c r="L3364" s="31"/>
    </row>
    <row r="3365" spans="1:12" x14ac:dyDescent="0.3">
      <c r="C3365" s="258"/>
      <c r="D3365" s="258"/>
      <c r="G3365" s="50">
        <f>РЕАЛИЗАЦИЯ[[#This Row],[СОНИ]]*РЕАЛИЗАЦИЯ[[#This Row],[НАРХИ]]</f>
        <v>0</v>
      </c>
      <c r="I3365" s="166"/>
      <c r="J3365" s="31">
        <f>РЕАЛИЗАЦИЯ[[#This Row],[СОНИ]]*РЕАЛИЗАЦИЯ[[#This Row],[ТАННАРХ]]</f>
        <v>0</v>
      </c>
      <c r="K3365" s="31">
        <f>РЕАЛИЗАЦИЯ[[#This Row],[ЖАМИ]]-РЕАЛИЗАЦИЯ[[#This Row],[ЖАМИ2]]</f>
        <v>0</v>
      </c>
      <c r="L3365" s="31"/>
    </row>
    <row r="3366" spans="1:12" x14ac:dyDescent="0.3">
      <c r="C3366" s="258"/>
      <c r="D3366" s="258"/>
      <c r="G3366" s="50">
        <f>РЕАЛИЗАЦИЯ[[#This Row],[СОНИ]]*РЕАЛИЗАЦИЯ[[#This Row],[НАРХИ]]</f>
        <v>0</v>
      </c>
      <c r="I3366" s="166"/>
      <c r="J3366" s="31">
        <f>РЕАЛИЗАЦИЯ[[#This Row],[СОНИ]]*РЕАЛИЗАЦИЯ[[#This Row],[ТАННАРХ]]</f>
        <v>0</v>
      </c>
      <c r="K3366" s="31">
        <f>РЕАЛИЗАЦИЯ[[#This Row],[ЖАМИ]]-РЕАЛИЗАЦИЯ[[#This Row],[ЖАМИ2]]</f>
        <v>0</v>
      </c>
      <c r="L3366" s="31"/>
    </row>
    <row r="3367" spans="1:12" x14ac:dyDescent="0.3">
      <c r="C3367" s="259"/>
      <c r="D3367" s="259"/>
      <c r="G3367" s="50">
        <f>РЕАЛИЗАЦИЯ[[#This Row],[СОНИ]]*РЕАЛИЗАЦИЯ[[#This Row],[НАРХИ]]</f>
        <v>0</v>
      </c>
      <c r="I3367" s="166"/>
      <c r="J3367" s="31">
        <f>РЕАЛИЗАЦИЯ[[#This Row],[СОНИ]]*РЕАЛИЗАЦИЯ[[#This Row],[ТАННАРХ]]</f>
        <v>0</v>
      </c>
      <c r="K3367" s="31">
        <f>РЕАЛИЗАЦИЯ[[#This Row],[ЖАМИ]]-РЕАЛИЗАЦИЯ[[#This Row],[ЖАМИ2]]</f>
        <v>0</v>
      </c>
      <c r="L3367" s="31"/>
    </row>
    <row r="3368" spans="1:12" s="262" customFormat="1" x14ac:dyDescent="0.3">
      <c r="A3368" s="3"/>
      <c r="B3368" s="4"/>
      <c r="C3368" s="259"/>
      <c r="D3368" s="259"/>
      <c r="E3368" s="31"/>
      <c r="F3368" s="31"/>
      <c r="G3368" s="50">
        <f>РЕАЛИЗАЦИЯ[[#This Row],[СОНИ]]*РЕАЛИЗАЦИЯ[[#This Row],[НАРХИ]]</f>
        <v>0</v>
      </c>
      <c r="H3368" s="31"/>
      <c r="I3368" s="166"/>
      <c r="J3368" s="31">
        <f>РЕАЛИЗАЦИЯ[[#This Row],[СОНИ]]*РЕАЛИЗАЦИЯ[[#This Row],[ТАННАРХ]]</f>
        <v>0</v>
      </c>
      <c r="K3368" s="31">
        <f>РЕАЛИЗАЦИЯ[[#This Row],[ЖАМИ]]-РЕАЛИЗАЦИЯ[[#This Row],[ЖАМИ2]]</f>
        <v>0</v>
      </c>
      <c r="L3368" s="31"/>
    </row>
    <row r="3369" spans="1:12" x14ac:dyDescent="0.3">
      <c r="C3369" s="259"/>
      <c r="D3369" s="259"/>
      <c r="G3369" s="50">
        <f>РЕАЛИЗАЦИЯ[[#This Row],[СОНИ]]*РЕАЛИЗАЦИЯ[[#This Row],[НАРХИ]]</f>
        <v>0</v>
      </c>
      <c r="I3369" s="166"/>
      <c r="J3369" s="31">
        <f>РЕАЛИЗАЦИЯ[[#This Row],[СОНИ]]*РЕАЛИЗАЦИЯ[[#This Row],[ТАННАРХ]]</f>
        <v>0</v>
      </c>
      <c r="K3369" s="31">
        <f>РЕАЛИЗАЦИЯ[[#This Row],[ЖАМИ]]-РЕАЛИЗАЦИЯ[[#This Row],[ЖАМИ2]]</f>
        <v>0</v>
      </c>
      <c r="L3369" s="31"/>
    </row>
    <row r="3370" spans="1:12" x14ac:dyDescent="0.3">
      <c r="C3370" s="259"/>
      <c r="D3370" s="259"/>
      <c r="G3370" s="50">
        <f>РЕАЛИЗАЦИЯ[[#This Row],[СОНИ]]*РЕАЛИЗАЦИЯ[[#This Row],[НАРХИ]]</f>
        <v>0</v>
      </c>
      <c r="I3370" s="166"/>
      <c r="J3370" s="31">
        <f>РЕАЛИЗАЦИЯ[[#This Row],[СОНИ]]*РЕАЛИЗАЦИЯ[[#This Row],[ТАННАРХ]]</f>
        <v>0</v>
      </c>
      <c r="K3370" s="31">
        <f>РЕАЛИЗАЦИЯ[[#This Row],[ЖАМИ]]-РЕАЛИЗАЦИЯ[[#This Row],[ЖАМИ2]]</f>
        <v>0</v>
      </c>
      <c r="L3370" s="31"/>
    </row>
    <row r="3371" spans="1:12" x14ac:dyDescent="0.3">
      <c r="C3371" s="260"/>
      <c r="D3371" s="260"/>
      <c r="G3371" s="50">
        <f>РЕАЛИЗАЦИЯ[[#This Row],[СОНИ]]*РЕАЛИЗАЦИЯ[[#This Row],[НАРХИ]]</f>
        <v>0</v>
      </c>
      <c r="I3371" s="166"/>
      <c r="J3371" s="31">
        <f>РЕАЛИЗАЦИЯ[[#This Row],[СОНИ]]*РЕАЛИЗАЦИЯ[[#This Row],[ТАННАРХ]]</f>
        <v>0</v>
      </c>
      <c r="K3371" s="31">
        <f>РЕАЛИЗАЦИЯ[[#This Row],[ЖАМИ]]-РЕАЛИЗАЦИЯ[[#This Row],[ЖАМИ2]]</f>
        <v>0</v>
      </c>
      <c r="L3371" s="31"/>
    </row>
    <row r="3372" spans="1:12" x14ac:dyDescent="0.3">
      <c r="C3372" s="259"/>
      <c r="D3372" s="259"/>
      <c r="G3372" s="50">
        <f>РЕАЛИЗАЦИЯ[[#This Row],[СОНИ]]*РЕАЛИЗАЦИЯ[[#This Row],[НАРХИ]]</f>
        <v>0</v>
      </c>
      <c r="I3372" s="166"/>
      <c r="J3372" s="31">
        <f>РЕАЛИЗАЦИЯ[[#This Row],[СОНИ]]*РЕАЛИЗАЦИЯ[[#This Row],[ТАННАРХ]]</f>
        <v>0</v>
      </c>
      <c r="K3372" s="31">
        <f>РЕАЛИЗАЦИЯ[[#This Row],[ЖАМИ]]-РЕАЛИЗАЦИЯ[[#This Row],[ЖАМИ2]]</f>
        <v>0</v>
      </c>
      <c r="L3372" s="31"/>
    </row>
    <row r="3373" spans="1:12" x14ac:dyDescent="0.3">
      <c r="C3373" s="259"/>
      <c r="D3373" s="259"/>
      <c r="G3373" s="50">
        <f>РЕАЛИЗАЦИЯ[[#This Row],[СОНИ]]*РЕАЛИЗАЦИЯ[[#This Row],[НАРХИ]]</f>
        <v>0</v>
      </c>
      <c r="I3373" s="166"/>
      <c r="J3373" s="31">
        <f>РЕАЛИЗАЦИЯ[[#This Row],[СОНИ]]*РЕАЛИЗАЦИЯ[[#This Row],[ТАННАРХ]]</f>
        <v>0</v>
      </c>
      <c r="K3373" s="31">
        <f>РЕАЛИЗАЦИЯ[[#This Row],[ЖАМИ]]-РЕАЛИЗАЦИЯ[[#This Row],[ЖАМИ2]]</f>
        <v>0</v>
      </c>
      <c r="L3373" s="31"/>
    </row>
    <row r="3374" spans="1:12" x14ac:dyDescent="0.3">
      <c r="C3374" s="259"/>
      <c r="D3374" s="259"/>
      <c r="G3374" s="50">
        <f>РЕАЛИЗАЦИЯ[[#This Row],[СОНИ]]*РЕАЛИЗАЦИЯ[[#This Row],[НАРХИ]]</f>
        <v>0</v>
      </c>
      <c r="I3374" s="166"/>
      <c r="J3374" s="31">
        <f>РЕАЛИЗАЦИЯ[[#This Row],[СОНИ]]*РЕАЛИЗАЦИЯ[[#This Row],[ТАННАРХ]]</f>
        <v>0</v>
      </c>
      <c r="K3374" s="31">
        <f>РЕАЛИЗАЦИЯ[[#This Row],[ЖАМИ]]-РЕАЛИЗАЦИЯ[[#This Row],[ЖАМИ2]]</f>
        <v>0</v>
      </c>
      <c r="L3374" s="31"/>
    </row>
    <row r="3375" spans="1:12" x14ac:dyDescent="0.3">
      <c r="C3375" s="259"/>
      <c r="D3375" s="259"/>
      <c r="G3375" s="50">
        <f>РЕАЛИЗАЦИЯ[[#This Row],[СОНИ]]*РЕАЛИЗАЦИЯ[[#This Row],[НАРХИ]]</f>
        <v>0</v>
      </c>
      <c r="I3375" s="166"/>
      <c r="J3375" s="31">
        <f>РЕАЛИЗАЦИЯ[[#This Row],[СОНИ]]*РЕАЛИЗАЦИЯ[[#This Row],[ТАННАРХ]]</f>
        <v>0</v>
      </c>
      <c r="K3375" s="31">
        <f>РЕАЛИЗАЦИЯ[[#This Row],[ЖАМИ]]-РЕАЛИЗАЦИЯ[[#This Row],[ЖАМИ2]]</f>
        <v>0</v>
      </c>
      <c r="L3375" s="31"/>
    </row>
    <row r="3376" spans="1:12" x14ac:dyDescent="0.3">
      <c r="C3376" s="259"/>
      <c r="D3376" s="259"/>
      <c r="G3376" s="50">
        <f>РЕАЛИЗАЦИЯ[[#This Row],[СОНИ]]*РЕАЛИЗАЦИЯ[[#This Row],[НАРХИ]]</f>
        <v>0</v>
      </c>
      <c r="I3376" s="166"/>
      <c r="J3376" s="31">
        <f>РЕАЛИЗАЦИЯ[[#This Row],[СОНИ]]*РЕАЛИЗАЦИЯ[[#This Row],[ТАННАРХ]]</f>
        <v>0</v>
      </c>
      <c r="K3376" s="31">
        <f>РЕАЛИЗАЦИЯ[[#This Row],[ЖАМИ]]-РЕАЛИЗАЦИЯ[[#This Row],[ЖАМИ2]]</f>
        <v>0</v>
      </c>
      <c r="L3376" s="31"/>
    </row>
    <row r="3377" spans="1:12" x14ac:dyDescent="0.3">
      <c r="C3377" s="259"/>
      <c r="D3377" s="259"/>
      <c r="G3377" s="50">
        <f>РЕАЛИЗАЦИЯ[[#This Row],[СОНИ]]*РЕАЛИЗАЦИЯ[[#This Row],[НАРХИ]]</f>
        <v>0</v>
      </c>
      <c r="I3377" s="166"/>
      <c r="J3377" s="31">
        <f>РЕАЛИЗАЦИЯ[[#This Row],[СОНИ]]*РЕАЛИЗАЦИЯ[[#This Row],[ТАННАРХ]]</f>
        <v>0</v>
      </c>
      <c r="K3377" s="31">
        <f>РЕАЛИЗАЦИЯ[[#This Row],[ЖАМИ]]-РЕАЛИЗАЦИЯ[[#This Row],[ЖАМИ2]]</f>
        <v>0</v>
      </c>
      <c r="L3377" s="31"/>
    </row>
    <row r="3378" spans="1:12" x14ac:dyDescent="0.3">
      <c r="C3378" s="259"/>
      <c r="D3378" s="259"/>
      <c r="G3378" s="50">
        <f>РЕАЛИЗАЦИЯ[[#This Row],[СОНИ]]*РЕАЛИЗАЦИЯ[[#This Row],[НАРХИ]]</f>
        <v>0</v>
      </c>
      <c r="I3378" s="166"/>
      <c r="J3378" s="31">
        <f>РЕАЛИЗАЦИЯ[[#This Row],[СОНИ]]*РЕАЛИЗАЦИЯ[[#This Row],[ТАННАРХ]]</f>
        <v>0</v>
      </c>
      <c r="K3378" s="31">
        <f>РЕАЛИЗАЦИЯ[[#This Row],[ЖАМИ]]-РЕАЛИЗАЦИЯ[[#This Row],[ЖАМИ2]]</f>
        <v>0</v>
      </c>
      <c r="L3378" s="31"/>
    </row>
    <row r="3379" spans="1:12" x14ac:dyDescent="0.3">
      <c r="C3379" s="259"/>
      <c r="D3379" s="259"/>
      <c r="G3379" s="50">
        <f>РЕАЛИЗАЦИЯ[[#This Row],[СОНИ]]*РЕАЛИЗАЦИЯ[[#This Row],[НАРХИ]]</f>
        <v>0</v>
      </c>
      <c r="I3379" s="166"/>
      <c r="J3379" s="31">
        <f>РЕАЛИЗАЦИЯ[[#This Row],[СОНИ]]*РЕАЛИЗАЦИЯ[[#This Row],[ТАННАРХ]]</f>
        <v>0</v>
      </c>
      <c r="K3379" s="31">
        <f>РЕАЛИЗАЦИЯ[[#This Row],[ЖАМИ]]-РЕАЛИЗАЦИЯ[[#This Row],[ЖАМИ2]]</f>
        <v>0</v>
      </c>
      <c r="L3379" s="31"/>
    </row>
    <row r="3380" spans="1:12" x14ac:dyDescent="0.3">
      <c r="C3380" s="259"/>
      <c r="D3380" s="259"/>
      <c r="G3380" s="50">
        <f>РЕАЛИЗАЦИЯ[[#This Row],[СОНИ]]*РЕАЛИЗАЦИЯ[[#This Row],[НАРХИ]]</f>
        <v>0</v>
      </c>
      <c r="I3380" s="166"/>
      <c r="J3380" s="31">
        <f>РЕАЛИЗАЦИЯ[[#This Row],[СОНИ]]*РЕАЛИЗАЦИЯ[[#This Row],[ТАННАРХ]]</f>
        <v>0</v>
      </c>
      <c r="K3380" s="31">
        <f>РЕАЛИЗАЦИЯ[[#This Row],[ЖАМИ]]-РЕАЛИЗАЦИЯ[[#This Row],[ЖАМИ2]]</f>
        <v>0</v>
      </c>
      <c r="L3380" s="31"/>
    </row>
    <row r="3381" spans="1:12" s="260" customFormat="1" x14ac:dyDescent="0.3">
      <c r="A3381" s="3"/>
      <c r="B3381" s="4"/>
      <c r="C3381" s="259"/>
      <c r="D3381" s="259"/>
      <c r="E3381" s="31"/>
      <c r="F3381" s="31"/>
      <c r="G3381" s="50">
        <f>РЕАЛИЗАЦИЯ[[#This Row],[СОНИ]]*РЕАЛИЗАЦИЯ[[#This Row],[НАРХИ]]</f>
        <v>0</v>
      </c>
      <c r="H3381" s="31"/>
      <c r="I3381" s="166"/>
      <c r="J3381" s="31">
        <f>РЕАЛИЗАЦИЯ[[#This Row],[СОНИ]]*РЕАЛИЗАЦИЯ[[#This Row],[ТАННАРХ]]</f>
        <v>0</v>
      </c>
      <c r="K3381" s="31">
        <f>РЕАЛИЗАЦИЯ[[#This Row],[ЖАМИ]]-РЕАЛИЗАЦИЯ[[#This Row],[ЖАМИ2]]</f>
        <v>0</v>
      </c>
      <c r="L3381" s="31"/>
    </row>
    <row r="3382" spans="1:12" x14ac:dyDescent="0.3">
      <c r="C3382" s="260"/>
      <c r="D3382" s="260"/>
      <c r="G3382" s="50">
        <f>РЕАЛИЗАЦИЯ[[#This Row],[СОНИ]]*РЕАЛИЗАЦИЯ[[#This Row],[НАРХИ]]</f>
        <v>0</v>
      </c>
      <c r="I3382" s="166"/>
      <c r="J3382" s="31">
        <f>РЕАЛИЗАЦИЯ[[#This Row],[СОНИ]]*РЕАЛИЗАЦИЯ[[#This Row],[ТАННАРХ]]</f>
        <v>0</v>
      </c>
      <c r="K3382" s="31">
        <f>РЕАЛИЗАЦИЯ[[#This Row],[ЖАМИ]]-РЕАЛИЗАЦИЯ[[#This Row],[ЖАМИ2]]</f>
        <v>0</v>
      </c>
      <c r="L3382" s="31"/>
    </row>
    <row r="3383" spans="1:12" x14ac:dyDescent="0.3">
      <c r="C3383" s="260"/>
      <c r="D3383" s="260"/>
      <c r="G3383" s="50">
        <f>РЕАЛИЗАЦИЯ[[#This Row],[СОНИ]]*РЕАЛИЗАЦИЯ[[#This Row],[НАРХИ]]</f>
        <v>0</v>
      </c>
      <c r="I3383" s="166"/>
      <c r="J3383" s="31">
        <f>РЕАЛИЗАЦИЯ[[#This Row],[СОНИ]]*РЕАЛИЗАЦИЯ[[#This Row],[ТАННАРХ]]</f>
        <v>0</v>
      </c>
      <c r="K3383" s="31">
        <f>РЕАЛИЗАЦИЯ[[#This Row],[ЖАМИ]]-РЕАЛИЗАЦИЯ[[#This Row],[ЖАМИ2]]</f>
        <v>0</v>
      </c>
      <c r="L3383" s="31"/>
    </row>
    <row r="3384" spans="1:12" x14ac:dyDescent="0.3">
      <c r="C3384" s="260"/>
      <c r="D3384" s="260"/>
      <c r="G3384" s="50">
        <f>РЕАЛИЗАЦИЯ[[#This Row],[СОНИ]]*РЕАЛИЗАЦИЯ[[#This Row],[НАРХИ]]</f>
        <v>0</v>
      </c>
      <c r="I3384" s="166"/>
      <c r="J3384" s="31">
        <f>РЕАЛИЗАЦИЯ[[#This Row],[СОНИ]]*РЕАЛИЗАЦИЯ[[#This Row],[ТАННАРХ]]</f>
        <v>0</v>
      </c>
      <c r="K3384" s="31">
        <f>РЕАЛИЗАЦИЯ[[#This Row],[ЖАМИ]]-РЕАЛИЗАЦИЯ[[#This Row],[ЖАМИ2]]</f>
        <v>0</v>
      </c>
      <c r="L3384" s="31"/>
    </row>
    <row r="3385" spans="1:12" x14ac:dyDescent="0.3">
      <c r="C3385" s="260"/>
      <c r="D3385" s="260"/>
      <c r="G3385" s="50">
        <f>РЕАЛИЗАЦИЯ[[#This Row],[СОНИ]]*РЕАЛИЗАЦИЯ[[#This Row],[НАРХИ]]</f>
        <v>0</v>
      </c>
      <c r="I3385" s="166"/>
      <c r="J3385" s="31">
        <f>РЕАЛИЗАЦИЯ[[#This Row],[СОНИ]]*РЕАЛИЗАЦИЯ[[#This Row],[ТАННАРХ]]</f>
        <v>0</v>
      </c>
      <c r="K3385" s="31">
        <f>РЕАЛИЗАЦИЯ[[#This Row],[ЖАМИ]]-РЕАЛИЗАЦИЯ[[#This Row],[ЖАМИ2]]</f>
        <v>0</v>
      </c>
      <c r="L3385" s="31"/>
    </row>
    <row r="3386" spans="1:12" x14ac:dyDescent="0.3">
      <c r="C3386" s="260"/>
      <c r="D3386" s="260"/>
      <c r="G3386" s="50">
        <f>РЕАЛИЗАЦИЯ[[#This Row],[СОНИ]]*РЕАЛИЗАЦИЯ[[#This Row],[НАРХИ]]</f>
        <v>0</v>
      </c>
      <c r="I3386" s="166"/>
      <c r="J3386" s="31">
        <f>РЕАЛИЗАЦИЯ[[#This Row],[СОНИ]]*РЕАЛИЗАЦИЯ[[#This Row],[ТАННАРХ]]</f>
        <v>0</v>
      </c>
      <c r="K3386" s="31">
        <f>РЕАЛИЗАЦИЯ[[#This Row],[ЖАМИ]]-РЕАЛИЗАЦИЯ[[#This Row],[ЖАМИ2]]</f>
        <v>0</v>
      </c>
      <c r="L3386" s="31"/>
    </row>
    <row r="3387" spans="1:12" x14ac:dyDescent="0.3">
      <c r="C3387" s="260"/>
      <c r="D3387" s="260"/>
      <c r="G3387" s="50">
        <f>РЕАЛИЗАЦИЯ[[#This Row],[СОНИ]]*РЕАЛИЗАЦИЯ[[#This Row],[НАРХИ]]</f>
        <v>0</v>
      </c>
      <c r="I3387" s="166"/>
      <c r="J3387" s="31">
        <f>РЕАЛИЗАЦИЯ[[#This Row],[СОНИ]]*РЕАЛИЗАЦИЯ[[#This Row],[ТАННАРХ]]</f>
        <v>0</v>
      </c>
      <c r="K3387" s="31">
        <f>РЕАЛИЗАЦИЯ[[#This Row],[ЖАМИ]]-РЕАЛИЗАЦИЯ[[#This Row],[ЖАМИ2]]</f>
        <v>0</v>
      </c>
      <c r="L3387" s="31"/>
    </row>
    <row r="3388" spans="1:12" x14ac:dyDescent="0.3">
      <c r="C3388" s="260"/>
      <c r="D3388" s="260"/>
      <c r="G3388" s="50">
        <f>РЕАЛИЗАЦИЯ[[#This Row],[СОНИ]]*РЕАЛИЗАЦИЯ[[#This Row],[НАРХИ]]</f>
        <v>0</v>
      </c>
      <c r="I3388" s="166"/>
      <c r="J3388" s="31">
        <f>РЕАЛИЗАЦИЯ[[#This Row],[СОНИ]]*РЕАЛИЗАЦИЯ[[#This Row],[ТАННАРХ]]</f>
        <v>0</v>
      </c>
      <c r="K3388" s="31">
        <f>РЕАЛИЗАЦИЯ[[#This Row],[ЖАМИ]]-РЕАЛИЗАЦИЯ[[#This Row],[ЖАМИ2]]</f>
        <v>0</v>
      </c>
      <c r="L3388" s="31"/>
    </row>
    <row r="3389" spans="1:12" x14ac:dyDescent="0.3">
      <c r="C3389" s="260"/>
      <c r="D3389" s="260"/>
      <c r="G3389" s="50">
        <f>РЕАЛИЗАЦИЯ[[#This Row],[СОНИ]]*РЕАЛИЗАЦИЯ[[#This Row],[НАРХИ]]</f>
        <v>0</v>
      </c>
      <c r="I3389" s="166"/>
      <c r="J3389" s="31">
        <f>РЕАЛИЗАЦИЯ[[#This Row],[СОНИ]]*РЕАЛИЗАЦИЯ[[#This Row],[ТАННАРХ]]</f>
        <v>0</v>
      </c>
      <c r="K3389" s="31">
        <f>РЕАЛИЗАЦИЯ[[#This Row],[ЖАМИ]]-РЕАЛИЗАЦИЯ[[#This Row],[ЖАМИ2]]</f>
        <v>0</v>
      </c>
      <c r="L3389" s="31"/>
    </row>
    <row r="3390" spans="1:12" x14ac:dyDescent="0.3">
      <c r="C3390" s="260"/>
      <c r="D3390" s="260"/>
      <c r="G3390" s="50">
        <f>РЕАЛИЗАЦИЯ[[#This Row],[СОНИ]]*РЕАЛИЗАЦИЯ[[#This Row],[НАРХИ]]</f>
        <v>0</v>
      </c>
      <c r="I3390" s="166"/>
      <c r="J3390" s="31">
        <f>РЕАЛИЗАЦИЯ[[#This Row],[СОНИ]]*РЕАЛИЗАЦИЯ[[#This Row],[ТАННАРХ]]</f>
        <v>0</v>
      </c>
      <c r="K3390" s="31">
        <f>РЕАЛИЗАЦИЯ[[#This Row],[ЖАМИ]]-РЕАЛИЗАЦИЯ[[#This Row],[ЖАМИ2]]</f>
        <v>0</v>
      </c>
      <c r="L3390" s="31"/>
    </row>
    <row r="3391" spans="1:12" x14ac:dyDescent="0.3">
      <c r="C3391" s="260"/>
      <c r="D3391" s="260"/>
      <c r="G3391" s="50">
        <f>РЕАЛИЗАЦИЯ[[#This Row],[СОНИ]]*РЕАЛИЗАЦИЯ[[#This Row],[НАРХИ]]</f>
        <v>0</v>
      </c>
      <c r="I3391" s="166"/>
      <c r="J3391" s="31">
        <f>РЕАЛИЗАЦИЯ[[#This Row],[СОНИ]]*РЕАЛИЗАЦИЯ[[#This Row],[ТАННАРХ]]</f>
        <v>0</v>
      </c>
      <c r="K3391" s="31">
        <f>РЕАЛИЗАЦИЯ[[#This Row],[ЖАМИ]]-РЕАЛИЗАЦИЯ[[#This Row],[ЖАМИ2]]</f>
        <v>0</v>
      </c>
      <c r="L3391" s="31"/>
    </row>
    <row r="3392" spans="1:12" x14ac:dyDescent="0.3">
      <c r="C3392" s="261"/>
      <c r="D3392" s="261"/>
      <c r="G3392" s="50">
        <f>РЕАЛИЗАЦИЯ[[#This Row],[СОНИ]]*РЕАЛИЗАЦИЯ[[#This Row],[НАРХИ]]</f>
        <v>0</v>
      </c>
      <c r="I3392" s="166"/>
      <c r="J3392" s="31">
        <f>РЕАЛИЗАЦИЯ[[#This Row],[СОНИ]]*РЕАЛИЗАЦИЯ[[#This Row],[ТАННАРХ]]</f>
        <v>0</v>
      </c>
      <c r="K3392" s="31">
        <f>РЕАЛИЗАЦИЯ[[#This Row],[ЖАМИ]]-РЕАЛИЗАЦИЯ[[#This Row],[ЖАМИ2]]</f>
        <v>0</v>
      </c>
      <c r="L3392" s="31"/>
    </row>
    <row r="3393" spans="1:12" x14ac:dyDescent="0.3">
      <c r="C3393" s="261"/>
      <c r="D3393" s="261"/>
      <c r="G3393" s="50">
        <f>РЕАЛИЗАЦИЯ[[#This Row],[СОНИ]]*РЕАЛИЗАЦИЯ[[#This Row],[НАРХИ]]</f>
        <v>0</v>
      </c>
      <c r="I3393" s="166"/>
      <c r="J3393" s="31">
        <f>РЕАЛИЗАЦИЯ[[#This Row],[СОНИ]]*РЕАЛИЗАЦИЯ[[#This Row],[ТАННАРХ]]</f>
        <v>0</v>
      </c>
      <c r="K3393" s="31">
        <f>РЕАЛИЗАЦИЯ[[#This Row],[ЖАМИ]]-РЕАЛИЗАЦИЯ[[#This Row],[ЖАМИ2]]</f>
        <v>0</v>
      </c>
      <c r="L3393" s="31"/>
    </row>
    <row r="3394" spans="1:12" x14ac:dyDescent="0.3">
      <c r="C3394" s="261"/>
      <c r="D3394" s="261"/>
      <c r="G3394" s="50">
        <f>РЕАЛИЗАЦИЯ[[#This Row],[СОНИ]]*РЕАЛИЗАЦИЯ[[#This Row],[НАРХИ]]</f>
        <v>0</v>
      </c>
      <c r="I3394" s="166"/>
      <c r="J3394" s="31">
        <f>РЕАЛИЗАЦИЯ[[#This Row],[СОНИ]]*РЕАЛИЗАЦИЯ[[#This Row],[ТАННАРХ]]</f>
        <v>0</v>
      </c>
      <c r="K3394" s="31">
        <f>РЕАЛИЗАЦИЯ[[#This Row],[ЖАМИ]]-РЕАЛИЗАЦИЯ[[#This Row],[ЖАМИ2]]</f>
        <v>0</v>
      </c>
      <c r="L3394" s="31"/>
    </row>
    <row r="3395" spans="1:12" x14ac:dyDescent="0.3">
      <c r="C3395" s="261"/>
      <c r="D3395" s="261"/>
      <c r="G3395" s="50">
        <f>РЕАЛИЗАЦИЯ[[#This Row],[СОНИ]]*РЕАЛИЗАЦИЯ[[#This Row],[НАРХИ]]</f>
        <v>0</v>
      </c>
      <c r="I3395" s="166"/>
      <c r="J3395" s="31">
        <f>РЕАЛИЗАЦИЯ[[#This Row],[СОНИ]]*РЕАЛИЗАЦИЯ[[#This Row],[ТАННАРХ]]</f>
        <v>0</v>
      </c>
      <c r="K3395" s="31">
        <f>РЕАЛИЗАЦИЯ[[#This Row],[ЖАМИ]]-РЕАЛИЗАЦИЯ[[#This Row],[ЖАМИ2]]</f>
        <v>0</v>
      </c>
      <c r="L3395" s="31"/>
    </row>
    <row r="3396" spans="1:12" x14ac:dyDescent="0.3">
      <c r="C3396" s="261"/>
      <c r="D3396" s="261"/>
      <c r="G3396" s="50">
        <f>РЕАЛИЗАЦИЯ[[#This Row],[СОНИ]]*РЕАЛИЗАЦИЯ[[#This Row],[НАРХИ]]</f>
        <v>0</v>
      </c>
      <c r="I3396" s="166"/>
      <c r="J3396" s="31">
        <f>РЕАЛИЗАЦИЯ[[#This Row],[СОНИ]]*РЕАЛИЗАЦИЯ[[#This Row],[ТАННАРХ]]</f>
        <v>0</v>
      </c>
      <c r="K3396" s="31">
        <f>РЕАЛИЗАЦИЯ[[#This Row],[ЖАМИ]]-РЕАЛИЗАЦИЯ[[#This Row],[ЖАМИ2]]</f>
        <v>0</v>
      </c>
      <c r="L3396" s="31"/>
    </row>
    <row r="3397" spans="1:12" x14ac:dyDescent="0.3">
      <c r="C3397" s="261"/>
      <c r="D3397" s="261"/>
      <c r="G3397" s="50">
        <f>РЕАЛИЗАЦИЯ[[#This Row],[СОНИ]]*РЕАЛИЗАЦИЯ[[#This Row],[НАРХИ]]</f>
        <v>0</v>
      </c>
      <c r="I3397" s="166"/>
      <c r="J3397" s="31">
        <f>РЕАЛИЗАЦИЯ[[#This Row],[СОНИ]]*РЕАЛИЗАЦИЯ[[#This Row],[ТАННАРХ]]</f>
        <v>0</v>
      </c>
      <c r="K3397" s="31">
        <f>РЕАЛИЗАЦИЯ[[#This Row],[ЖАМИ]]-РЕАЛИЗАЦИЯ[[#This Row],[ЖАМИ2]]</f>
        <v>0</v>
      </c>
      <c r="L3397" s="31"/>
    </row>
    <row r="3398" spans="1:12" x14ac:dyDescent="0.3">
      <c r="C3398" s="261"/>
      <c r="D3398" s="261"/>
      <c r="G3398" s="50">
        <f>РЕАЛИЗАЦИЯ[[#This Row],[СОНИ]]*РЕАЛИЗАЦИЯ[[#This Row],[НАРХИ]]</f>
        <v>0</v>
      </c>
      <c r="I3398" s="166"/>
      <c r="J3398" s="31">
        <f>РЕАЛИЗАЦИЯ[[#This Row],[СОНИ]]*РЕАЛИЗАЦИЯ[[#This Row],[ТАННАРХ]]</f>
        <v>0</v>
      </c>
      <c r="K3398" s="31">
        <f>РЕАЛИЗАЦИЯ[[#This Row],[ЖАМИ]]-РЕАЛИЗАЦИЯ[[#This Row],[ЖАМИ2]]</f>
        <v>0</v>
      </c>
      <c r="L3398" s="31"/>
    </row>
    <row r="3399" spans="1:12" x14ac:dyDescent="0.3">
      <c r="C3399" s="260"/>
      <c r="D3399" s="260"/>
      <c r="G3399" s="50">
        <f>РЕАЛИЗАЦИЯ[[#This Row],[СОНИ]]*РЕАЛИЗАЦИЯ[[#This Row],[НАРХИ]]</f>
        <v>0</v>
      </c>
      <c r="I3399" s="166"/>
      <c r="J3399" s="31">
        <f>РЕАЛИЗАЦИЯ[[#This Row],[СОНИ]]*РЕАЛИЗАЦИЯ[[#This Row],[ТАННАРХ]]</f>
        <v>0</v>
      </c>
      <c r="K3399" s="31">
        <f>РЕАЛИЗАЦИЯ[[#This Row],[ЖАМИ]]-РЕАЛИЗАЦИЯ[[#This Row],[ЖАМИ2]]</f>
        <v>0</v>
      </c>
      <c r="L3399" s="31"/>
    </row>
    <row r="3400" spans="1:12" x14ac:dyDescent="0.3">
      <c r="C3400" s="260"/>
      <c r="D3400" s="260"/>
      <c r="G3400" s="50">
        <f>РЕАЛИЗАЦИЯ[[#This Row],[СОНИ]]*РЕАЛИЗАЦИЯ[[#This Row],[НАРХИ]]</f>
        <v>0</v>
      </c>
      <c r="I3400" s="166"/>
      <c r="J3400" s="31">
        <f>РЕАЛИЗАЦИЯ[[#This Row],[СОНИ]]*РЕАЛИЗАЦИЯ[[#This Row],[ТАННАРХ]]</f>
        <v>0</v>
      </c>
      <c r="K3400" s="31">
        <f>РЕАЛИЗАЦИЯ[[#This Row],[ЖАМИ]]-РЕАЛИЗАЦИЯ[[#This Row],[ЖАМИ2]]</f>
        <v>0</v>
      </c>
      <c r="L3400" s="31"/>
    </row>
    <row r="3401" spans="1:12" x14ac:dyDescent="0.3">
      <c r="C3401" s="260"/>
      <c r="D3401" s="260"/>
      <c r="G3401" s="50">
        <f>РЕАЛИЗАЦИЯ[[#This Row],[СОНИ]]*РЕАЛИЗАЦИЯ[[#This Row],[НАРХИ]]</f>
        <v>0</v>
      </c>
      <c r="I3401" s="166"/>
      <c r="J3401" s="31">
        <f>РЕАЛИЗАЦИЯ[[#This Row],[СОНИ]]*РЕАЛИЗАЦИЯ[[#This Row],[ТАННАРХ]]</f>
        <v>0</v>
      </c>
      <c r="K3401" s="31">
        <f>РЕАЛИЗАЦИЯ[[#This Row],[ЖАМИ]]-РЕАЛИЗАЦИЯ[[#This Row],[ЖАМИ2]]</f>
        <v>0</v>
      </c>
      <c r="L3401" s="31"/>
    </row>
    <row r="3402" spans="1:12" s="261" customFormat="1" x14ac:dyDescent="0.3">
      <c r="A3402" s="3"/>
      <c r="B3402" s="4"/>
      <c r="C3402" s="260"/>
      <c r="D3402" s="260"/>
      <c r="E3402" s="31"/>
      <c r="F3402" s="31"/>
      <c r="G3402" s="50">
        <f>РЕАЛИЗАЦИЯ[[#This Row],[СОНИ]]*РЕАЛИЗАЦИЯ[[#This Row],[НАРХИ]]</f>
        <v>0</v>
      </c>
      <c r="H3402" s="31"/>
      <c r="I3402" s="166"/>
      <c r="J3402" s="31">
        <f>РЕАЛИЗАЦИЯ[[#This Row],[СОНИ]]*РЕАЛИЗАЦИЯ[[#This Row],[ТАННАРХ]]</f>
        <v>0</v>
      </c>
      <c r="K3402" s="31">
        <f>РЕАЛИЗАЦИЯ[[#This Row],[ЖАМИ]]-РЕАЛИЗАЦИЯ[[#This Row],[ЖАМИ2]]</f>
        <v>0</v>
      </c>
      <c r="L3402" s="31"/>
    </row>
    <row r="3403" spans="1:12" s="261" customFormat="1" x14ac:dyDescent="0.3">
      <c r="A3403" s="3"/>
      <c r="B3403" s="4"/>
      <c r="C3403" s="260"/>
      <c r="D3403" s="260"/>
      <c r="E3403" s="31"/>
      <c r="F3403" s="31"/>
      <c r="G3403" s="50">
        <f>РЕАЛИЗАЦИЯ[[#This Row],[СОНИ]]*РЕАЛИЗАЦИЯ[[#This Row],[НАРХИ]]</f>
        <v>0</v>
      </c>
      <c r="H3403" s="31"/>
      <c r="I3403" s="166"/>
      <c r="J3403" s="31">
        <f>РЕАЛИЗАЦИЯ[[#This Row],[СОНИ]]*РЕАЛИЗАЦИЯ[[#This Row],[ТАННАРХ]]</f>
        <v>0</v>
      </c>
      <c r="K3403" s="31">
        <f>РЕАЛИЗАЦИЯ[[#This Row],[ЖАМИ]]-РЕАЛИЗАЦИЯ[[#This Row],[ЖАМИ2]]</f>
        <v>0</v>
      </c>
      <c r="L3403" s="31"/>
    </row>
    <row r="3404" spans="1:12" s="261" customFormat="1" x14ac:dyDescent="0.3">
      <c r="A3404" s="3"/>
      <c r="B3404" s="4"/>
      <c r="C3404" s="268"/>
      <c r="D3404" s="268"/>
      <c r="E3404" s="31"/>
      <c r="F3404" s="31"/>
      <c r="G3404" s="50">
        <f>РЕАЛИЗАЦИЯ[[#This Row],[СОНИ]]*РЕАЛИЗАЦИЯ[[#This Row],[НАРХИ]]</f>
        <v>0</v>
      </c>
      <c r="H3404" s="31"/>
      <c r="I3404" s="166"/>
      <c r="J3404" s="31">
        <f>РЕАЛИЗАЦИЯ[[#This Row],[СОНИ]]*РЕАЛИЗАЦИЯ[[#This Row],[ТАННАРХ]]</f>
        <v>0</v>
      </c>
      <c r="K3404" s="31">
        <f>РЕАЛИЗАЦИЯ[[#This Row],[ЖАМИ]]-РЕАЛИЗАЦИЯ[[#This Row],[ЖАМИ2]]</f>
        <v>0</v>
      </c>
      <c r="L3404" s="31"/>
    </row>
    <row r="3405" spans="1:12" s="261" customFormat="1" x14ac:dyDescent="0.3">
      <c r="A3405" s="3"/>
      <c r="B3405" s="4"/>
      <c r="E3405" s="31"/>
      <c r="F3405" s="31"/>
      <c r="G3405" s="50">
        <f>РЕАЛИЗАЦИЯ[[#This Row],[СОНИ]]*РЕАЛИЗАЦИЯ[[#This Row],[НАРХИ]]</f>
        <v>0</v>
      </c>
      <c r="H3405" s="31"/>
      <c r="I3405" s="166"/>
      <c r="J3405" s="31">
        <f>РЕАЛИЗАЦИЯ[[#This Row],[СОНИ]]*РЕАЛИЗАЦИЯ[[#This Row],[ТАННАРХ]]</f>
        <v>0</v>
      </c>
      <c r="K3405" s="31">
        <f>РЕАЛИЗАЦИЯ[[#This Row],[ЖАМИ]]-РЕАЛИЗАЦИЯ[[#This Row],[ЖАМИ2]]</f>
        <v>0</v>
      </c>
      <c r="L3405" s="31"/>
    </row>
    <row r="3406" spans="1:12" s="261" customFormat="1" x14ac:dyDescent="0.3">
      <c r="A3406" s="3"/>
      <c r="B3406" s="4"/>
      <c r="E3406" s="31"/>
      <c r="F3406" s="31"/>
      <c r="G3406" s="50">
        <f>РЕАЛИЗАЦИЯ[[#This Row],[СОНИ]]*РЕАЛИЗАЦИЯ[[#This Row],[НАРХИ]]</f>
        <v>0</v>
      </c>
      <c r="H3406" s="31"/>
      <c r="I3406" s="166"/>
      <c r="J3406" s="31">
        <f>РЕАЛИЗАЦИЯ[[#This Row],[СОНИ]]*РЕАЛИЗАЦИЯ[[#This Row],[ТАННАРХ]]</f>
        <v>0</v>
      </c>
      <c r="K3406" s="31">
        <f>РЕАЛИЗАЦИЯ[[#This Row],[ЖАМИ]]-РЕАЛИЗАЦИЯ[[#This Row],[ЖАМИ2]]</f>
        <v>0</v>
      </c>
      <c r="L3406" s="31"/>
    </row>
    <row r="3407" spans="1:12" s="261" customFormat="1" x14ac:dyDescent="0.3">
      <c r="A3407" s="3"/>
      <c r="B3407" s="4"/>
      <c r="E3407" s="31"/>
      <c r="F3407" s="31"/>
      <c r="G3407" s="50">
        <f>РЕАЛИЗАЦИЯ[[#This Row],[СОНИ]]*РЕАЛИЗАЦИЯ[[#This Row],[НАРХИ]]</f>
        <v>0</v>
      </c>
      <c r="H3407" s="31"/>
      <c r="I3407" s="166"/>
      <c r="J3407" s="31">
        <f>РЕАЛИЗАЦИЯ[[#This Row],[СОНИ]]*РЕАЛИЗАЦИЯ[[#This Row],[ТАННАРХ]]</f>
        <v>0</v>
      </c>
      <c r="K3407" s="31">
        <f>РЕАЛИЗАЦИЯ[[#This Row],[ЖАМИ]]-РЕАЛИЗАЦИЯ[[#This Row],[ЖАМИ2]]</f>
        <v>0</v>
      </c>
      <c r="L3407" s="31"/>
    </row>
    <row r="3408" spans="1:12" s="261" customFormat="1" x14ac:dyDescent="0.3">
      <c r="A3408" s="3"/>
      <c r="B3408" s="4"/>
      <c r="E3408" s="31"/>
      <c r="F3408" s="31"/>
      <c r="G3408" s="50">
        <f>РЕАЛИЗАЦИЯ[[#This Row],[СОНИ]]*РЕАЛИЗАЦИЯ[[#This Row],[НАРХИ]]</f>
        <v>0</v>
      </c>
      <c r="H3408" s="31"/>
      <c r="I3408" s="166"/>
      <c r="J3408" s="31">
        <f>РЕАЛИЗАЦИЯ[[#This Row],[СОНИ]]*РЕАЛИЗАЦИЯ[[#This Row],[ТАННАРХ]]</f>
        <v>0</v>
      </c>
      <c r="K3408" s="31">
        <f>РЕАЛИЗАЦИЯ[[#This Row],[ЖАМИ]]-РЕАЛИЗАЦИЯ[[#This Row],[ЖАМИ2]]</f>
        <v>0</v>
      </c>
      <c r="L3408" s="31"/>
    </row>
    <row r="3409" spans="1:12" x14ac:dyDescent="0.3">
      <c r="C3409" s="261"/>
      <c r="D3409" s="261"/>
      <c r="G3409" s="50">
        <f>РЕАЛИЗАЦИЯ[[#This Row],[СОНИ]]*РЕАЛИЗАЦИЯ[[#This Row],[НАРХИ]]</f>
        <v>0</v>
      </c>
      <c r="I3409" s="166"/>
      <c r="J3409" s="31">
        <f>РЕАЛИЗАЦИЯ[[#This Row],[СОНИ]]*РЕАЛИЗАЦИЯ[[#This Row],[ТАННАРХ]]</f>
        <v>0</v>
      </c>
      <c r="K3409" s="31">
        <f>РЕАЛИЗАЦИЯ[[#This Row],[ЖАМИ]]-РЕАЛИЗАЦИЯ[[#This Row],[ЖАМИ2]]</f>
        <v>0</v>
      </c>
      <c r="L3409" s="31"/>
    </row>
    <row r="3410" spans="1:12" x14ac:dyDescent="0.3">
      <c r="C3410" s="261"/>
      <c r="D3410" s="261"/>
      <c r="G3410" s="50">
        <f>РЕАЛИЗАЦИЯ[[#This Row],[СОНИ]]*РЕАЛИЗАЦИЯ[[#This Row],[НАРХИ]]</f>
        <v>0</v>
      </c>
      <c r="I3410" s="166"/>
      <c r="J3410" s="31">
        <f>РЕАЛИЗАЦИЯ[[#This Row],[СОНИ]]*РЕАЛИЗАЦИЯ[[#This Row],[ТАННАРХ]]</f>
        <v>0</v>
      </c>
      <c r="K3410" s="31">
        <f>РЕАЛИЗАЦИЯ[[#This Row],[ЖАМИ]]-РЕАЛИЗАЦИЯ[[#This Row],[ЖАМИ2]]</f>
        <v>0</v>
      </c>
      <c r="L3410" s="31"/>
    </row>
    <row r="3411" spans="1:12" x14ac:dyDescent="0.3">
      <c r="C3411" s="261"/>
      <c r="D3411" s="261"/>
      <c r="G3411" s="50">
        <f>РЕАЛИЗАЦИЯ[[#This Row],[СОНИ]]*РЕАЛИЗАЦИЯ[[#This Row],[НАРХИ]]</f>
        <v>0</v>
      </c>
      <c r="I3411" s="166"/>
      <c r="J3411" s="31">
        <f>РЕАЛИЗАЦИЯ[[#This Row],[СОНИ]]*РЕАЛИЗАЦИЯ[[#This Row],[ТАННАРХ]]</f>
        <v>0</v>
      </c>
      <c r="K3411" s="31">
        <f>РЕАЛИЗАЦИЯ[[#This Row],[ЖАМИ]]-РЕАЛИЗАЦИЯ[[#This Row],[ЖАМИ2]]</f>
        <v>0</v>
      </c>
      <c r="L3411" s="31"/>
    </row>
    <row r="3412" spans="1:12" x14ac:dyDescent="0.3">
      <c r="C3412" s="261"/>
      <c r="D3412" s="261"/>
      <c r="G3412" s="50">
        <f>РЕАЛИЗАЦИЯ[[#This Row],[СОНИ]]*РЕАЛИЗАЦИЯ[[#This Row],[НАРХИ]]</f>
        <v>0</v>
      </c>
      <c r="I3412" s="166"/>
      <c r="J3412" s="31">
        <f>РЕАЛИЗАЦИЯ[[#This Row],[СОНИ]]*РЕАЛИЗАЦИЯ[[#This Row],[ТАННАРХ]]</f>
        <v>0</v>
      </c>
      <c r="K3412" s="31">
        <f>РЕАЛИЗАЦИЯ[[#This Row],[ЖАМИ]]-РЕАЛИЗАЦИЯ[[#This Row],[ЖАМИ2]]</f>
        <v>0</v>
      </c>
      <c r="L3412" s="31"/>
    </row>
    <row r="3413" spans="1:12" s="268" customFormat="1" x14ac:dyDescent="0.3">
      <c r="A3413" s="3"/>
      <c r="B3413" s="4"/>
      <c r="C3413" s="261"/>
      <c r="D3413" s="261"/>
      <c r="E3413" s="31"/>
      <c r="F3413" s="31"/>
      <c r="G3413" s="50">
        <f>РЕАЛИЗАЦИЯ[[#This Row],[СОНИ]]*РЕАЛИЗАЦИЯ[[#This Row],[НАРХИ]]</f>
        <v>0</v>
      </c>
      <c r="H3413" s="31"/>
      <c r="I3413" s="166"/>
      <c r="J3413" s="31">
        <f>РЕАЛИЗАЦИЯ[[#This Row],[СОНИ]]*РЕАЛИЗАЦИЯ[[#This Row],[ТАННАРХ]]</f>
        <v>0</v>
      </c>
      <c r="K3413" s="31">
        <f>РЕАЛИЗАЦИЯ[[#This Row],[ЖАМИ]]-РЕАЛИЗАЦИЯ[[#This Row],[ЖАМИ2]]</f>
        <v>0</v>
      </c>
      <c r="L3413" s="31"/>
    </row>
    <row r="3414" spans="1:12" x14ac:dyDescent="0.3">
      <c r="C3414" s="261"/>
      <c r="D3414" s="261"/>
      <c r="G3414" s="50">
        <f>РЕАЛИЗАЦИЯ[[#This Row],[СОНИ]]*РЕАЛИЗАЦИЯ[[#This Row],[НАРХИ]]</f>
        <v>0</v>
      </c>
      <c r="I3414" s="166"/>
      <c r="J3414" s="31">
        <f>РЕАЛИЗАЦИЯ[[#This Row],[СОНИ]]*РЕАЛИЗАЦИЯ[[#This Row],[ТАННАРХ]]</f>
        <v>0</v>
      </c>
      <c r="K3414" s="31">
        <f>РЕАЛИЗАЦИЯ[[#This Row],[ЖАМИ]]-РЕАЛИЗАЦИЯ[[#This Row],[ЖАМИ2]]</f>
        <v>0</v>
      </c>
      <c r="L3414" s="31"/>
    </row>
    <row r="3415" spans="1:12" x14ac:dyDescent="0.3">
      <c r="C3415" s="261"/>
      <c r="D3415" s="261"/>
      <c r="G3415" s="50">
        <f>РЕАЛИЗАЦИЯ[[#This Row],[СОНИ]]*РЕАЛИЗАЦИЯ[[#This Row],[НАРХИ]]</f>
        <v>0</v>
      </c>
      <c r="I3415" s="166"/>
      <c r="J3415" s="31">
        <f>РЕАЛИЗАЦИЯ[[#This Row],[СОНИ]]*РЕАЛИЗАЦИЯ[[#This Row],[ТАННАРХ]]</f>
        <v>0</v>
      </c>
      <c r="K3415" s="31">
        <f>РЕАЛИЗАЦИЯ[[#This Row],[ЖАМИ]]-РЕАЛИЗАЦИЯ[[#This Row],[ЖАМИ2]]</f>
        <v>0</v>
      </c>
      <c r="L3415" s="31"/>
    </row>
    <row r="3416" spans="1:12" x14ac:dyDescent="0.3">
      <c r="C3416" s="261"/>
      <c r="D3416" s="261"/>
      <c r="G3416" s="50">
        <f>РЕАЛИЗАЦИЯ[[#This Row],[СОНИ]]*РЕАЛИЗАЦИЯ[[#This Row],[НАРХИ]]</f>
        <v>0</v>
      </c>
      <c r="I3416" s="166"/>
      <c r="J3416" s="31">
        <f>РЕАЛИЗАЦИЯ[[#This Row],[СОНИ]]*РЕАЛИЗАЦИЯ[[#This Row],[ТАННАРХ]]</f>
        <v>0</v>
      </c>
      <c r="K3416" s="31">
        <f>РЕАЛИЗАЦИЯ[[#This Row],[ЖАМИ]]-РЕАЛИЗАЦИЯ[[#This Row],[ЖАМИ2]]</f>
        <v>0</v>
      </c>
      <c r="L3416" s="31"/>
    </row>
    <row r="3417" spans="1:12" x14ac:dyDescent="0.3">
      <c r="C3417" s="261"/>
      <c r="D3417" s="261"/>
      <c r="G3417" s="50">
        <f>РЕАЛИЗАЦИЯ[[#This Row],[СОНИ]]*РЕАЛИЗАЦИЯ[[#This Row],[НАРХИ]]</f>
        <v>0</v>
      </c>
      <c r="I3417" s="166"/>
      <c r="J3417" s="31">
        <f>РЕАЛИЗАЦИЯ[[#This Row],[СОНИ]]*РЕАЛИЗАЦИЯ[[#This Row],[ТАННАРХ]]</f>
        <v>0</v>
      </c>
      <c r="K3417" s="31">
        <f>РЕАЛИЗАЦИЯ[[#This Row],[ЖАМИ]]-РЕАЛИЗАЦИЯ[[#This Row],[ЖАМИ2]]</f>
        <v>0</v>
      </c>
      <c r="L3417" s="31"/>
    </row>
    <row r="3418" spans="1:12" x14ac:dyDescent="0.3">
      <c r="C3418" s="261"/>
      <c r="D3418" s="261"/>
      <c r="G3418" s="50">
        <f>РЕАЛИЗАЦИЯ[[#This Row],[СОНИ]]*РЕАЛИЗАЦИЯ[[#This Row],[НАРХИ]]</f>
        <v>0</v>
      </c>
      <c r="I3418" s="166"/>
      <c r="J3418" s="31">
        <f>РЕАЛИЗАЦИЯ[[#This Row],[СОНИ]]*РЕАЛИЗАЦИЯ[[#This Row],[ТАННАРХ]]</f>
        <v>0</v>
      </c>
      <c r="K3418" s="31">
        <f>РЕАЛИЗАЦИЯ[[#This Row],[ЖАМИ]]-РЕАЛИЗАЦИЯ[[#This Row],[ЖАМИ2]]</f>
        <v>0</v>
      </c>
      <c r="L3418" s="31"/>
    </row>
    <row r="3419" spans="1:12" x14ac:dyDescent="0.3">
      <c r="C3419" s="261"/>
      <c r="D3419" s="261"/>
      <c r="G3419" s="50">
        <f>РЕАЛИЗАЦИЯ[[#This Row],[СОНИ]]*РЕАЛИЗАЦИЯ[[#This Row],[НАРХИ]]</f>
        <v>0</v>
      </c>
      <c r="I3419" s="166"/>
      <c r="J3419" s="31">
        <f>РЕАЛИЗАЦИЯ[[#This Row],[СОНИ]]*РЕАЛИЗАЦИЯ[[#This Row],[ТАННАРХ]]</f>
        <v>0</v>
      </c>
      <c r="K3419" s="31">
        <f>РЕАЛИЗАЦИЯ[[#This Row],[ЖАМИ]]-РЕАЛИЗАЦИЯ[[#This Row],[ЖАМИ2]]</f>
        <v>0</v>
      </c>
      <c r="L3419" s="31"/>
    </row>
    <row r="3420" spans="1:12" x14ac:dyDescent="0.3">
      <c r="C3420" s="261"/>
      <c r="D3420" s="261"/>
      <c r="G3420" s="50">
        <f>РЕАЛИЗАЦИЯ[[#This Row],[СОНИ]]*РЕАЛИЗАЦИЯ[[#This Row],[НАРХИ]]</f>
        <v>0</v>
      </c>
      <c r="I3420" s="166"/>
      <c r="J3420" s="31">
        <f>РЕАЛИЗАЦИЯ[[#This Row],[СОНИ]]*РЕАЛИЗАЦИЯ[[#This Row],[ТАННАРХ]]</f>
        <v>0</v>
      </c>
      <c r="K3420" s="31">
        <f>РЕАЛИЗАЦИЯ[[#This Row],[ЖАМИ]]-РЕАЛИЗАЦИЯ[[#This Row],[ЖАМИ2]]</f>
        <v>0</v>
      </c>
      <c r="L3420" s="31"/>
    </row>
    <row r="3421" spans="1:12" x14ac:dyDescent="0.3">
      <c r="C3421" s="261"/>
      <c r="D3421" s="261"/>
      <c r="G3421" s="50">
        <f>РЕАЛИЗАЦИЯ[[#This Row],[СОНИ]]*РЕАЛИЗАЦИЯ[[#This Row],[НАРХИ]]</f>
        <v>0</v>
      </c>
      <c r="I3421" s="166"/>
      <c r="J3421" s="31">
        <f>РЕАЛИЗАЦИЯ[[#This Row],[СОНИ]]*РЕАЛИЗАЦИЯ[[#This Row],[ТАННАРХ]]</f>
        <v>0</v>
      </c>
      <c r="K3421" s="31">
        <f>РЕАЛИЗАЦИЯ[[#This Row],[ЖАМИ]]-РЕАЛИЗАЦИЯ[[#This Row],[ЖАМИ2]]</f>
        <v>0</v>
      </c>
      <c r="L3421" s="31"/>
    </row>
    <row r="3422" spans="1:12" x14ac:dyDescent="0.3">
      <c r="C3422" s="261"/>
      <c r="D3422" s="261"/>
      <c r="G3422" s="50">
        <f>РЕАЛИЗАЦИЯ[[#This Row],[СОНИ]]*РЕАЛИЗАЦИЯ[[#This Row],[НАРХИ]]</f>
        <v>0</v>
      </c>
      <c r="I3422" s="166"/>
      <c r="J3422" s="31">
        <f>РЕАЛИЗАЦИЯ[[#This Row],[СОНИ]]*РЕАЛИЗАЦИЯ[[#This Row],[ТАННАРХ]]</f>
        <v>0</v>
      </c>
      <c r="K3422" s="31">
        <f>РЕАЛИЗАЦИЯ[[#This Row],[ЖАМИ]]-РЕАЛИЗАЦИЯ[[#This Row],[ЖАМИ2]]</f>
        <v>0</v>
      </c>
      <c r="L3422" s="31"/>
    </row>
    <row r="3423" spans="1:12" x14ac:dyDescent="0.3">
      <c r="C3423" s="261"/>
      <c r="D3423" s="261"/>
      <c r="G3423" s="50">
        <f>РЕАЛИЗАЦИЯ[[#This Row],[СОНИ]]*РЕАЛИЗАЦИЯ[[#This Row],[НАРХИ]]</f>
        <v>0</v>
      </c>
      <c r="I3423" s="166"/>
      <c r="J3423" s="31">
        <f>РЕАЛИЗАЦИЯ[[#This Row],[СОНИ]]*РЕАЛИЗАЦИЯ[[#This Row],[ТАННАРХ]]</f>
        <v>0</v>
      </c>
      <c r="K3423" s="31">
        <f>РЕАЛИЗАЦИЯ[[#This Row],[ЖАМИ]]-РЕАЛИЗАЦИЯ[[#This Row],[ЖАМИ2]]</f>
        <v>0</v>
      </c>
      <c r="L3423" s="31"/>
    </row>
    <row r="3424" spans="1:12" x14ac:dyDescent="0.3">
      <c r="C3424" s="261"/>
      <c r="D3424" s="261"/>
      <c r="G3424" s="50">
        <f>РЕАЛИЗАЦИЯ[[#This Row],[СОНИ]]*РЕАЛИЗАЦИЯ[[#This Row],[НАРХИ]]</f>
        <v>0</v>
      </c>
      <c r="I3424" s="166"/>
      <c r="J3424" s="31">
        <f>РЕАЛИЗАЦИЯ[[#This Row],[СОНИ]]*РЕАЛИЗАЦИЯ[[#This Row],[ТАННАРХ]]</f>
        <v>0</v>
      </c>
      <c r="K3424" s="31">
        <f>РЕАЛИЗАЦИЯ[[#This Row],[ЖАМИ]]-РЕАЛИЗАЦИЯ[[#This Row],[ЖАМИ2]]</f>
        <v>0</v>
      </c>
      <c r="L3424" s="31"/>
    </row>
    <row r="3425" spans="3:12" x14ac:dyDescent="0.3">
      <c r="C3425" s="261"/>
      <c r="D3425" s="261"/>
      <c r="G3425" s="50">
        <f>РЕАЛИЗАЦИЯ[[#This Row],[СОНИ]]*РЕАЛИЗАЦИЯ[[#This Row],[НАРХИ]]</f>
        <v>0</v>
      </c>
      <c r="I3425" s="166"/>
      <c r="J3425" s="31">
        <f>РЕАЛИЗАЦИЯ[[#This Row],[СОНИ]]*РЕАЛИЗАЦИЯ[[#This Row],[ТАННАРХ]]</f>
        <v>0</v>
      </c>
      <c r="K3425" s="31">
        <f>РЕАЛИЗАЦИЯ[[#This Row],[ЖАМИ]]-РЕАЛИЗАЦИЯ[[#This Row],[ЖАМИ2]]</f>
        <v>0</v>
      </c>
      <c r="L3425" s="31"/>
    </row>
    <row r="3426" spans="3:12" x14ac:dyDescent="0.3">
      <c r="C3426" s="261"/>
      <c r="D3426" s="261"/>
      <c r="G3426" s="50">
        <f>РЕАЛИЗАЦИЯ[[#This Row],[СОНИ]]*РЕАЛИЗАЦИЯ[[#This Row],[НАРХИ]]</f>
        <v>0</v>
      </c>
      <c r="I3426" s="166"/>
      <c r="J3426" s="31">
        <f>РЕАЛИЗАЦИЯ[[#This Row],[СОНИ]]*РЕАЛИЗАЦИЯ[[#This Row],[ТАННАРХ]]</f>
        <v>0</v>
      </c>
      <c r="K3426" s="31">
        <f>РЕАЛИЗАЦИЯ[[#This Row],[ЖАМИ]]-РЕАЛИЗАЦИЯ[[#This Row],[ЖАМИ2]]</f>
        <v>0</v>
      </c>
      <c r="L3426" s="31"/>
    </row>
    <row r="3427" spans="3:12" x14ac:dyDescent="0.3">
      <c r="C3427" s="261"/>
      <c r="D3427" s="261"/>
      <c r="G3427" s="50">
        <f>РЕАЛИЗАЦИЯ[[#This Row],[СОНИ]]*РЕАЛИЗАЦИЯ[[#This Row],[НАРХИ]]</f>
        <v>0</v>
      </c>
      <c r="I3427" s="166"/>
      <c r="J3427" s="31">
        <f>РЕАЛИЗАЦИЯ[[#This Row],[СОНИ]]*РЕАЛИЗАЦИЯ[[#This Row],[ТАННАРХ]]</f>
        <v>0</v>
      </c>
      <c r="K3427" s="31">
        <f>РЕАЛИЗАЦИЯ[[#This Row],[ЖАМИ]]-РЕАЛИЗАЦИЯ[[#This Row],[ЖАМИ2]]</f>
        <v>0</v>
      </c>
      <c r="L3427" s="31"/>
    </row>
    <row r="3428" spans="3:12" x14ac:dyDescent="0.3">
      <c r="C3428" s="261"/>
      <c r="D3428" s="261"/>
      <c r="G3428" s="50">
        <f>РЕАЛИЗАЦИЯ[[#This Row],[СОНИ]]*РЕАЛИЗАЦИЯ[[#This Row],[НАРХИ]]</f>
        <v>0</v>
      </c>
      <c r="I3428" s="166"/>
      <c r="J3428" s="31">
        <f>РЕАЛИЗАЦИЯ[[#This Row],[СОНИ]]*РЕАЛИЗАЦИЯ[[#This Row],[ТАННАРХ]]</f>
        <v>0</v>
      </c>
      <c r="K3428" s="31">
        <f>РЕАЛИЗАЦИЯ[[#This Row],[ЖАМИ]]-РЕАЛИЗАЦИЯ[[#This Row],[ЖАМИ2]]</f>
        <v>0</v>
      </c>
      <c r="L3428" s="31"/>
    </row>
    <row r="3429" spans="3:12" x14ac:dyDescent="0.3">
      <c r="C3429" s="261"/>
      <c r="D3429" s="261"/>
      <c r="G3429" s="50">
        <f>РЕАЛИЗАЦИЯ[[#This Row],[СОНИ]]*РЕАЛИЗАЦИЯ[[#This Row],[НАРХИ]]</f>
        <v>0</v>
      </c>
      <c r="I3429" s="166"/>
      <c r="J3429" s="31">
        <f>РЕАЛИЗАЦИЯ[[#This Row],[СОНИ]]*РЕАЛИЗАЦИЯ[[#This Row],[ТАННАРХ]]</f>
        <v>0</v>
      </c>
      <c r="K3429" s="31">
        <f>РЕАЛИЗАЦИЯ[[#This Row],[ЖАМИ]]-РЕАЛИЗАЦИЯ[[#This Row],[ЖАМИ2]]</f>
        <v>0</v>
      </c>
      <c r="L3429" s="31"/>
    </row>
    <row r="3430" spans="3:12" x14ac:dyDescent="0.3">
      <c r="C3430" s="261"/>
      <c r="D3430" s="261"/>
      <c r="G3430" s="50">
        <f>РЕАЛИЗАЦИЯ[[#This Row],[СОНИ]]*РЕАЛИЗАЦИЯ[[#This Row],[НАРХИ]]</f>
        <v>0</v>
      </c>
      <c r="I3430" s="166"/>
      <c r="J3430" s="31">
        <f>РЕАЛИЗАЦИЯ[[#This Row],[СОНИ]]*РЕАЛИЗАЦИЯ[[#This Row],[ТАННАРХ]]</f>
        <v>0</v>
      </c>
      <c r="K3430" s="31">
        <f>РЕАЛИЗАЦИЯ[[#This Row],[ЖАМИ]]-РЕАЛИЗАЦИЯ[[#This Row],[ЖАМИ2]]</f>
        <v>0</v>
      </c>
      <c r="L3430" s="31"/>
    </row>
    <row r="3431" spans="3:12" x14ac:dyDescent="0.3">
      <c r="C3431" s="261"/>
      <c r="D3431" s="261"/>
      <c r="G3431" s="50">
        <f>РЕАЛИЗАЦИЯ[[#This Row],[СОНИ]]*РЕАЛИЗАЦИЯ[[#This Row],[НАРХИ]]</f>
        <v>0</v>
      </c>
      <c r="I3431" s="166"/>
      <c r="J3431" s="31">
        <f>РЕАЛИЗАЦИЯ[[#This Row],[СОНИ]]*РЕАЛИЗАЦИЯ[[#This Row],[ТАННАРХ]]</f>
        <v>0</v>
      </c>
      <c r="K3431" s="31">
        <f>РЕАЛИЗАЦИЯ[[#This Row],[ЖАМИ]]-РЕАЛИЗАЦИЯ[[#This Row],[ЖАМИ2]]</f>
        <v>0</v>
      </c>
      <c r="L3431" s="31"/>
    </row>
    <row r="3432" spans="3:12" x14ac:dyDescent="0.3">
      <c r="C3432" s="261"/>
      <c r="D3432" s="261"/>
      <c r="G3432" s="50">
        <f>РЕАЛИЗАЦИЯ[[#This Row],[СОНИ]]*РЕАЛИЗАЦИЯ[[#This Row],[НАРХИ]]</f>
        <v>0</v>
      </c>
      <c r="I3432" s="166"/>
      <c r="J3432" s="31">
        <f>РЕАЛИЗАЦИЯ[[#This Row],[СОНИ]]*РЕАЛИЗАЦИЯ[[#This Row],[ТАННАРХ]]</f>
        <v>0</v>
      </c>
      <c r="K3432" s="31">
        <f>РЕАЛИЗАЦИЯ[[#This Row],[ЖАМИ]]-РЕАЛИЗАЦИЯ[[#This Row],[ЖАМИ2]]</f>
        <v>0</v>
      </c>
      <c r="L3432" s="31"/>
    </row>
    <row r="3433" spans="3:12" x14ac:dyDescent="0.3">
      <c r="C3433" s="261"/>
      <c r="D3433" s="261"/>
      <c r="G3433" s="50">
        <f>РЕАЛИЗАЦИЯ[[#This Row],[СОНИ]]*РЕАЛИЗАЦИЯ[[#This Row],[НАРХИ]]</f>
        <v>0</v>
      </c>
      <c r="I3433" s="166"/>
      <c r="J3433" s="31">
        <f>РЕАЛИЗАЦИЯ[[#This Row],[СОНИ]]*РЕАЛИЗАЦИЯ[[#This Row],[ТАННАРХ]]</f>
        <v>0</v>
      </c>
      <c r="K3433" s="31">
        <f>РЕАЛИЗАЦИЯ[[#This Row],[ЖАМИ]]-РЕАЛИЗАЦИЯ[[#This Row],[ЖАМИ2]]</f>
        <v>0</v>
      </c>
      <c r="L3433" s="31"/>
    </row>
    <row r="3434" spans="3:12" x14ac:dyDescent="0.3">
      <c r="C3434" s="261"/>
      <c r="D3434" s="261"/>
      <c r="G3434" s="50">
        <f>РЕАЛИЗАЦИЯ[[#This Row],[СОНИ]]*РЕАЛИЗАЦИЯ[[#This Row],[НАРХИ]]</f>
        <v>0</v>
      </c>
      <c r="I3434" s="166"/>
      <c r="J3434" s="31">
        <f>РЕАЛИЗАЦИЯ[[#This Row],[СОНИ]]*РЕАЛИЗАЦИЯ[[#This Row],[ТАННАРХ]]</f>
        <v>0</v>
      </c>
      <c r="K3434" s="31">
        <f>РЕАЛИЗАЦИЯ[[#This Row],[ЖАМИ]]-РЕАЛИЗАЦИЯ[[#This Row],[ЖАМИ2]]</f>
        <v>0</v>
      </c>
      <c r="L3434" s="31"/>
    </row>
    <row r="3435" spans="3:12" x14ac:dyDescent="0.3">
      <c r="C3435" s="261"/>
      <c r="D3435" s="261"/>
      <c r="G3435" s="50">
        <f>РЕАЛИЗАЦИЯ[[#This Row],[СОНИ]]*РЕАЛИЗАЦИЯ[[#This Row],[НАРХИ]]</f>
        <v>0</v>
      </c>
      <c r="I3435" s="166"/>
      <c r="J3435" s="31">
        <f>РЕАЛИЗАЦИЯ[[#This Row],[СОНИ]]*РЕАЛИЗАЦИЯ[[#This Row],[ТАННАРХ]]</f>
        <v>0</v>
      </c>
      <c r="K3435" s="31">
        <f>РЕАЛИЗАЦИЯ[[#This Row],[ЖАМИ]]-РЕАЛИЗАЦИЯ[[#This Row],[ЖАМИ2]]</f>
        <v>0</v>
      </c>
      <c r="L3435" s="31"/>
    </row>
    <row r="3436" spans="3:12" x14ac:dyDescent="0.3">
      <c r="C3436" s="261"/>
      <c r="D3436" s="261"/>
      <c r="G3436" s="50">
        <f>РЕАЛИЗАЦИЯ[[#This Row],[СОНИ]]*РЕАЛИЗАЦИЯ[[#This Row],[НАРХИ]]</f>
        <v>0</v>
      </c>
      <c r="I3436" s="166"/>
      <c r="J3436" s="31">
        <f>РЕАЛИЗАЦИЯ[[#This Row],[СОНИ]]*РЕАЛИЗАЦИЯ[[#This Row],[ТАННАРХ]]</f>
        <v>0</v>
      </c>
      <c r="K3436" s="31">
        <f>РЕАЛИЗАЦИЯ[[#This Row],[ЖАМИ]]-РЕАЛИЗАЦИЯ[[#This Row],[ЖАМИ2]]</f>
        <v>0</v>
      </c>
      <c r="L3436" s="31"/>
    </row>
    <row r="3437" spans="3:12" x14ac:dyDescent="0.3">
      <c r="C3437" s="261"/>
      <c r="D3437" s="261"/>
      <c r="G3437" s="50">
        <f>РЕАЛИЗАЦИЯ[[#This Row],[СОНИ]]*РЕАЛИЗАЦИЯ[[#This Row],[НАРХИ]]</f>
        <v>0</v>
      </c>
      <c r="I3437" s="166"/>
      <c r="J3437" s="31">
        <f>РЕАЛИЗАЦИЯ[[#This Row],[СОНИ]]*РЕАЛИЗАЦИЯ[[#This Row],[ТАННАРХ]]</f>
        <v>0</v>
      </c>
      <c r="K3437" s="31">
        <f>РЕАЛИЗАЦИЯ[[#This Row],[ЖАМИ]]-РЕАЛИЗАЦИЯ[[#This Row],[ЖАМИ2]]</f>
        <v>0</v>
      </c>
      <c r="L3437" s="31"/>
    </row>
    <row r="3438" spans="3:12" x14ac:dyDescent="0.3">
      <c r="C3438" s="261"/>
      <c r="D3438" s="261"/>
      <c r="G3438" s="50">
        <f>РЕАЛИЗАЦИЯ[[#This Row],[СОНИ]]*РЕАЛИЗАЦИЯ[[#This Row],[НАРХИ]]</f>
        <v>0</v>
      </c>
      <c r="I3438" s="166"/>
      <c r="J3438" s="31">
        <f>РЕАЛИЗАЦИЯ[[#This Row],[СОНИ]]*РЕАЛИЗАЦИЯ[[#This Row],[ТАННАРХ]]</f>
        <v>0</v>
      </c>
      <c r="K3438" s="31">
        <f>РЕАЛИЗАЦИЯ[[#This Row],[ЖАМИ]]-РЕАЛИЗАЦИЯ[[#This Row],[ЖАМИ2]]</f>
        <v>0</v>
      </c>
      <c r="L3438" s="31"/>
    </row>
    <row r="3439" spans="3:12" x14ac:dyDescent="0.3">
      <c r="C3439" s="261"/>
      <c r="D3439" s="261"/>
      <c r="G3439" s="50">
        <f>РЕАЛИЗАЦИЯ[[#This Row],[СОНИ]]*РЕАЛИЗАЦИЯ[[#This Row],[НАРХИ]]</f>
        <v>0</v>
      </c>
      <c r="I3439" s="166"/>
      <c r="J3439" s="31">
        <f>РЕАЛИЗАЦИЯ[[#This Row],[СОНИ]]*РЕАЛИЗАЦИЯ[[#This Row],[ТАННАРХ]]</f>
        <v>0</v>
      </c>
      <c r="K3439" s="31">
        <f>РЕАЛИЗАЦИЯ[[#This Row],[ЖАМИ]]-РЕАЛИЗАЦИЯ[[#This Row],[ЖАМИ2]]</f>
        <v>0</v>
      </c>
      <c r="L3439" s="31"/>
    </row>
    <row r="3440" spans="3:12" x14ac:dyDescent="0.3">
      <c r="C3440" s="261"/>
      <c r="D3440" s="261"/>
      <c r="G3440" s="50">
        <f>РЕАЛИЗАЦИЯ[[#This Row],[СОНИ]]*РЕАЛИЗАЦИЯ[[#This Row],[НАРХИ]]</f>
        <v>0</v>
      </c>
      <c r="I3440" s="166"/>
      <c r="J3440" s="31">
        <f>РЕАЛИЗАЦИЯ[[#This Row],[СОНИ]]*РЕАЛИЗАЦИЯ[[#This Row],[ТАННАРХ]]</f>
        <v>0</v>
      </c>
      <c r="K3440" s="31">
        <f>РЕАЛИЗАЦИЯ[[#This Row],[ЖАМИ]]-РЕАЛИЗАЦИЯ[[#This Row],[ЖАМИ2]]</f>
        <v>0</v>
      </c>
      <c r="L3440" s="31"/>
    </row>
    <row r="3441" spans="3:12" x14ac:dyDescent="0.3">
      <c r="C3441" s="263"/>
      <c r="D3441" s="263"/>
      <c r="G3441" s="50">
        <f>РЕАЛИЗАЦИЯ[[#This Row],[СОНИ]]*РЕАЛИЗАЦИЯ[[#This Row],[НАРХИ]]</f>
        <v>0</v>
      </c>
      <c r="I3441" s="166"/>
      <c r="J3441" s="31">
        <f>РЕАЛИЗАЦИЯ[[#This Row],[СОНИ]]*РЕАЛИЗАЦИЯ[[#This Row],[ТАННАРХ]]</f>
        <v>0</v>
      </c>
      <c r="K3441" s="31">
        <f>РЕАЛИЗАЦИЯ[[#This Row],[ЖАМИ]]-РЕАЛИЗАЦИЯ[[#This Row],[ЖАМИ2]]</f>
        <v>0</v>
      </c>
      <c r="L3441" s="31"/>
    </row>
    <row r="3442" spans="3:12" x14ac:dyDescent="0.3">
      <c r="C3442" s="263"/>
      <c r="D3442" s="263"/>
      <c r="G3442" s="50">
        <f>РЕАЛИЗАЦИЯ[[#This Row],[СОНИ]]*РЕАЛИЗАЦИЯ[[#This Row],[НАРХИ]]</f>
        <v>0</v>
      </c>
      <c r="I3442" s="166"/>
      <c r="J3442" s="31">
        <f>РЕАЛИЗАЦИЯ[[#This Row],[СОНИ]]*РЕАЛИЗАЦИЯ[[#This Row],[ТАННАРХ]]</f>
        <v>0</v>
      </c>
      <c r="K3442" s="31">
        <f>РЕАЛИЗАЦИЯ[[#This Row],[ЖАМИ]]-РЕАЛИЗАЦИЯ[[#This Row],[ЖАМИ2]]</f>
        <v>0</v>
      </c>
      <c r="L3442" s="31"/>
    </row>
    <row r="3443" spans="3:12" x14ac:dyDescent="0.3">
      <c r="C3443" s="263"/>
      <c r="D3443" s="263"/>
      <c r="G3443" s="50">
        <f>РЕАЛИЗАЦИЯ[[#This Row],[СОНИ]]*РЕАЛИЗАЦИЯ[[#This Row],[НАРХИ]]</f>
        <v>0</v>
      </c>
      <c r="I3443" s="166"/>
      <c r="J3443" s="31">
        <f>РЕАЛИЗАЦИЯ[[#This Row],[СОНИ]]*РЕАЛИЗАЦИЯ[[#This Row],[ТАННАРХ]]</f>
        <v>0</v>
      </c>
      <c r="K3443" s="31">
        <f>РЕАЛИЗАЦИЯ[[#This Row],[ЖАМИ]]-РЕАЛИЗАЦИЯ[[#This Row],[ЖАМИ2]]</f>
        <v>0</v>
      </c>
      <c r="L3443" s="31"/>
    </row>
    <row r="3444" spans="3:12" x14ac:dyDescent="0.3">
      <c r="C3444" s="263"/>
      <c r="D3444" s="263"/>
      <c r="G3444" s="50">
        <f>РЕАЛИЗАЦИЯ[[#This Row],[СОНИ]]*РЕАЛИЗАЦИЯ[[#This Row],[НАРХИ]]</f>
        <v>0</v>
      </c>
      <c r="I3444" s="166"/>
      <c r="J3444" s="31">
        <f>РЕАЛИЗАЦИЯ[[#This Row],[СОНИ]]*РЕАЛИЗАЦИЯ[[#This Row],[ТАННАРХ]]</f>
        <v>0</v>
      </c>
      <c r="K3444" s="31">
        <f>РЕАЛИЗАЦИЯ[[#This Row],[ЖАМИ]]-РЕАЛИЗАЦИЯ[[#This Row],[ЖАМИ2]]</f>
        <v>0</v>
      </c>
      <c r="L3444" s="31"/>
    </row>
    <row r="3445" spans="3:12" x14ac:dyDescent="0.3">
      <c r="C3445" s="263"/>
      <c r="D3445" s="263"/>
      <c r="G3445" s="50">
        <f>РЕАЛИЗАЦИЯ[[#This Row],[СОНИ]]*РЕАЛИЗАЦИЯ[[#This Row],[НАРХИ]]</f>
        <v>0</v>
      </c>
      <c r="I3445" s="166"/>
      <c r="J3445" s="31">
        <f>РЕАЛИЗАЦИЯ[[#This Row],[СОНИ]]*РЕАЛИЗАЦИЯ[[#This Row],[ТАННАРХ]]</f>
        <v>0</v>
      </c>
      <c r="K3445" s="31">
        <f>РЕАЛИЗАЦИЯ[[#This Row],[ЖАМИ]]-РЕАЛИЗАЦИЯ[[#This Row],[ЖАМИ2]]</f>
        <v>0</v>
      </c>
      <c r="L3445" s="31"/>
    </row>
    <row r="3446" spans="3:12" x14ac:dyDescent="0.3">
      <c r="C3446" s="263"/>
      <c r="D3446" s="263"/>
      <c r="G3446" s="50">
        <f>РЕАЛИЗАЦИЯ[[#This Row],[СОНИ]]*РЕАЛИЗАЦИЯ[[#This Row],[НАРХИ]]</f>
        <v>0</v>
      </c>
      <c r="I3446" s="166"/>
      <c r="J3446" s="31">
        <f>РЕАЛИЗАЦИЯ[[#This Row],[СОНИ]]*РЕАЛИЗАЦИЯ[[#This Row],[ТАННАРХ]]</f>
        <v>0</v>
      </c>
      <c r="K3446" s="31">
        <f>РЕАЛИЗАЦИЯ[[#This Row],[ЖАМИ]]-РЕАЛИЗАЦИЯ[[#This Row],[ЖАМИ2]]</f>
        <v>0</v>
      </c>
      <c r="L3446" s="31"/>
    </row>
    <row r="3447" spans="3:12" x14ac:dyDescent="0.3">
      <c r="C3447" s="263"/>
      <c r="D3447" s="263"/>
      <c r="G3447" s="50">
        <f>РЕАЛИЗАЦИЯ[[#This Row],[СОНИ]]*РЕАЛИЗАЦИЯ[[#This Row],[НАРХИ]]</f>
        <v>0</v>
      </c>
      <c r="I3447" s="166"/>
      <c r="J3447" s="31">
        <f>РЕАЛИЗАЦИЯ[[#This Row],[СОНИ]]*РЕАЛИЗАЦИЯ[[#This Row],[ТАННАРХ]]</f>
        <v>0</v>
      </c>
      <c r="K3447" s="31">
        <f>РЕАЛИЗАЦИЯ[[#This Row],[ЖАМИ]]-РЕАЛИЗАЦИЯ[[#This Row],[ЖАМИ2]]</f>
        <v>0</v>
      </c>
      <c r="L3447" s="31"/>
    </row>
    <row r="3448" spans="3:12" x14ac:dyDescent="0.3">
      <c r="C3448" s="263"/>
      <c r="D3448" s="263"/>
      <c r="G3448" s="50">
        <f>РЕАЛИЗАЦИЯ[[#This Row],[СОНИ]]*РЕАЛИЗАЦИЯ[[#This Row],[НАРХИ]]</f>
        <v>0</v>
      </c>
      <c r="I3448" s="166"/>
      <c r="J3448" s="31">
        <f>РЕАЛИЗАЦИЯ[[#This Row],[СОНИ]]*РЕАЛИЗАЦИЯ[[#This Row],[ТАННАРХ]]</f>
        <v>0</v>
      </c>
      <c r="K3448" s="31">
        <f>РЕАЛИЗАЦИЯ[[#This Row],[ЖАМИ]]-РЕАЛИЗАЦИЯ[[#This Row],[ЖАМИ2]]</f>
        <v>0</v>
      </c>
      <c r="L3448" s="31"/>
    </row>
    <row r="3449" spans="3:12" x14ac:dyDescent="0.3">
      <c r="C3449" s="263"/>
      <c r="D3449" s="263"/>
      <c r="G3449" s="50">
        <f>РЕАЛИЗАЦИЯ[[#This Row],[СОНИ]]*РЕАЛИЗАЦИЯ[[#This Row],[НАРХИ]]</f>
        <v>0</v>
      </c>
      <c r="I3449" s="166"/>
      <c r="J3449" s="31">
        <f>РЕАЛИЗАЦИЯ[[#This Row],[СОНИ]]*РЕАЛИЗАЦИЯ[[#This Row],[ТАННАРХ]]</f>
        <v>0</v>
      </c>
      <c r="K3449" s="31">
        <f>РЕАЛИЗАЦИЯ[[#This Row],[ЖАМИ]]-РЕАЛИЗАЦИЯ[[#This Row],[ЖАМИ2]]</f>
        <v>0</v>
      </c>
      <c r="L3449" s="31"/>
    </row>
    <row r="3450" spans="3:12" x14ac:dyDescent="0.3">
      <c r="C3450" s="263"/>
      <c r="D3450" s="263"/>
      <c r="G3450" s="50">
        <f>РЕАЛИЗАЦИЯ[[#This Row],[СОНИ]]*РЕАЛИЗАЦИЯ[[#This Row],[НАРХИ]]</f>
        <v>0</v>
      </c>
      <c r="I3450" s="166"/>
      <c r="J3450" s="31">
        <f>РЕАЛИЗАЦИЯ[[#This Row],[СОНИ]]*РЕАЛИЗАЦИЯ[[#This Row],[ТАННАРХ]]</f>
        <v>0</v>
      </c>
      <c r="K3450" s="31">
        <f>РЕАЛИЗАЦИЯ[[#This Row],[ЖАМИ]]-РЕАЛИЗАЦИЯ[[#This Row],[ЖАМИ2]]</f>
        <v>0</v>
      </c>
      <c r="L3450" s="31"/>
    </row>
    <row r="3451" spans="3:12" x14ac:dyDescent="0.3">
      <c r="C3451" s="263"/>
      <c r="D3451" s="263"/>
      <c r="G3451" s="50">
        <f>РЕАЛИЗАЦИЯ[[#This Row],[СОНИ]]*РЕАЛИЗАЦИЯ[[#This Row],[НАРХИ]]</f>
        <v>0</v>
      </c>
      <c r="I3451" s="166"/>
      <c r="J3451" s="31">
        <f>РЕАЛИЗАЦИЯ[[#This Row],[СОНИ]]*РЕАЛИЗАЦИЯ[[#This Row],[ТАННАРХ]]</f>
        <v>0</v>
      </c>
      <c r="K3451" s="31">
        <f>РЕАЛИЗАЦИЯ[[#This Row],[ЖАМИ]]-РЕАЛИЗАЦИЯ[[#This Row],[ЖАМИ2]]</f>
        <v>0</v>
      </c>
      <c r="L3451" s="31"/>
    </row>
    <row r="3452" spans="3:12" x14ac:dyDescent="0.3">
      <c r="C3452" s="263"/>
      <c r="D3452" s="263"/>
      <c r="G3452" s="50">
        <f>РЕАЛИЗАЦИЯ[[#This Row],[СОНИ]]*РЕАЛИЗАЦИЯ[[#This Row],[НАРХИ]]</f>
        <v>0</v>
      </c>
      <c r="I3452" s="166"/>
      <c r="J3452" s="31">
        <f>РЕАЛИЗАЦИЯ[[#This Row],[СОНИ]]*РЕАЛИЗАЦИЯ[[#This Row],[ТАННАРХ]]</f>
        <v>0</v>
      </c>
      <c r="K3452" s="31">
        <f>РЕАЛИЗАЦИЯ[[#This Row],[ЖАМИ]]-РЕАЛИЗАЦИЯ[[#This Row],[ЖАМИ2]]</f>
        <v>0</v>
      </c>
      <c r="L3452" s="31"/>
    </row>
    <row r="3453" spans="3:12" x14ac:dyDescent="0.3">
      <c r="C3453" s="263"/>
      <c r="D3453" s="263"/>
      <c r="G3453" s="50">
        <f>РЕАЛИЗАЦИЯ[[#This Row],[СОНИ]]*РЕАЛИЗАЦИЯ[[#This Row],[НАРХИ]]</f>
        <v>0</v>
      </c>
      <c r="I3453" s="166"/>
      <c r="J3453" s="31">
        <f>РЕАЛИЗАЦИЯ[[#This Row],[СОНИ]]*РЕАЛИЗАЦИЯ[[#This Row],[ТАННАРХ]]</f>
        <v>0</v>
      </c>
      <c r="K3453" s="31">
        <f>РЕАЛИЗАЦИЯ[[#This Row],[ЖАМИ]]-РЕАЛИЗАЦИЯ[[#This Row],[ЖАМИ2]]</f>
        <v>0</v>
      </c>
      <c r="L3453" s="31"/>
    </row>
    <row r="3454" spans="3:12" x14ac:dyDescent="0.3">
      <c r="C3454" s="263"/>
      <c r="D3454" s="263"/>
      <c r="G3454" s="50">
        <f>РЕАЛИЗАЦИЯ[[#This Row],[СОНИ]]*РЕАЛИЗАЦИЯ[[#This Row],[НАРХИ]]</f>
        <v>0</v>
      </c>
      <c r="I3454" s="166"/>
      <c r="J3454" s="31">
        <f>РЕАЛИЗАЦИЯ[[#This Row],[СОНИ]]*РЕАЛИЗАЦИЯ[[#This Row],[ТАННАРХ]]</f>
        <v>0</v>
      </c>
      <c r="K3454" s="31">
        <f>РЕАЛИЗАЦИЯ[[#This Row],[ЖАМИ]]-РЕАЛИЗАЦИЯ[[#This Row],[ЖАМИ2]]</f>
        <v>0</v>
      </c>
      <c r="L3454" s="31"/>
    </row>
    <row r="3455" spans="3:12" x14ac:dyDescent="0.3">
      <c r="C3455" s="263"/>
      <c r="D3455" s="263"/>
      <c r="G3455" s="50">
        <f>РЕАЛИЗАЦИЯ[[#This Row],[СОНИ]]*РЕАЛИЗАЦИЯ[[#This Row],[НАРХИ]]</f>
        <v>0</v>
      </c>
      <c r="I3455" s="166"/>
      <c r="J3455" s="31">
        <f>РЕАЛИЗАЦИЯ[[#This Row],[СОНИ]]*РЕАЛИЗАЦИЯ[[#This Row],[ТАННАРХ]]</f>
        <v>0</v>
      </c>
      <c r="K3455" s="31">
        <f>РЕАЛИЗАЦИЯ[[#This Row],[ЖАМИ]]-РЕАЛИЗАЦИЯ[[#This Row],[ЖАМИ2]]</f>
        <v>0</v>
      </c>
      <c r="L3455" s="31"/>
    </row>
    <row r="3456" spans="3:12" x14ac:dyDescent="0.3">
      <c r="C3456" s="263"/>
      <c r="D3456" s="263"/>
      <c r="G3456" s="50">
        <f>РЕАЛИЗАЦИЯ[[#This Row],[СОНИ]]*РЕАЛИЗАЦИЯ[[#This Row],[НАРХИ]]</f>
        <v>0</v>
      </c>
      <c r="I3456" s="166"/>
      <c r="J3456" s="31">
        <f>РЕАЛИЗАЦИЯ[[#This Row],[СОНИ]]*РЕАЛИЗАЦИЯ[[#This Row],[ТАННАРХ]]</f>
        <v>0</v>
      </c>
      <c r="K3456" s="31">
        <f>РЕАЛИЗАЦИЯ[[#This Row],[ЖАМИ]]-РЕАЛИЗАЦИЯ[[#This Row],[ЖАМИ2]]</f>
        <v>0</v>
      </c>
      <c r="L3456" s="31"/>
    </row>
    <row r="3457" spans="3:12" x14ac:dyDescent="0.3">
      <c r="C3457" s="263"/>
      <c r="D3457" s="263"/>
      <c r="G3457" s="50">
        <f>РЕАЛИЗАЦИЯ[[#This Row],[СОНИ]]*РЕАЛИЗАЦИЯ[[#This Row],[НАРХИ]]</f>
        <v>0</v>
      </c>
      <c r="I3457" s="166"/>
      <c r="J3457" s="31">
        <f>РЕАЛИЗАЦИЯ[[#This Row],[СОНИ]]*РЕАЛИЗАЦИЯ[[#This Row],[ТАННАРХ]]</f>
        <v>0</v>
      </c>
      <c r="K3457" s="31">
        <f>РЕАЛИЗАЦИЯ[[#This Row],[ЖАМИ]]-РЕАЛИЗАЦИЯ[[#This Row],[ЖАМИ2]]</f>
        <v>0</v>
      </c>
      <c r="L3457" s="31"/>
    </row>
    <row r="3458" spans="3:12" x14ac:dyDescent="0.3">
      <c r="C3458" s="263"/>
      <c r="D3458" s="263"/>
      <c r="G3458" s="50">
        <f>РЕАЛИЗАЦИЯ[[#This Row],[СОНИ]]*РЕАЛИЗАЦИЯ[[#This Row],[НАРХИ]]</f>
        <v>0</v>
      </c>
      <c r="I3458" s="166"/>
      <c r="J3458" s="31">
        <f>РЕАЛИЗАЦИЯ[[#This Row],[СОНИ]]*РЕАЛИЗАЦИЯ[[#This Row],[ТАННАРХ]]</f>
        <v>0</v>
      </c>
      <c r="K3458" s="31">
        <f>РЕАЛИЗАЦИЯ[[#This Row],[ЖАМИ]]-РЕАЛИЗАЦИЯ[[#This Row],[ЖАМИ2]]</f>
        <v>0</v>
      </c>
      <c r="L3458" s="31"/>
    </row>
    <row r="3459" spans="3:12" x14ac:dyDescent="0.3">
      <c r="C3459" s="263"/>
      <c r="D3459" s="263"/>
      <c r="G3459" s="50">
        <f>РЕАЛИЗАЦИЯ[[#This Row],[СОНИ]]*РЕАЛИЗАЦИЯ[[#This Row],[НАРХИ]]</f>
        <v>0</v>
      </c>
      <c r="I3459" s="166"/>
      <c r="J3459" s="31">
        <f>РЕАЛИЗАЦИЯ[[#This Row],[СОНИ]]*РЕАЛИЗАЦИЯ[[#This Row],[ТАННАРХ]]</f>
        <v>0</v>
      </c>
      <c r="K3459" s="31">
        <f>РЕАЛИЗАЦИЯ[[#This Row],[ЖАМИ]]-РЕАЛИЗАЦИЯ[[#This Row],[ЖАМИ2]]</f>
        <v>0</v>
      </c>
      <c r="L3459" s="31"/>
    </row>
    <row r="3460" spans="3:12" x14ac:dyDescent="0.3">
      <c r="C3460" s="263"/>
      <c r="D3460" s="263"/>
      <c r="G3460" s="50">
        <f>РЕАЛИЗАЦИЯ[[#This Row],[СОНИ]]*РЕАЛИЗАЦИЯ[[#This Row],[НАРХИ]]</f>
        <v>0</v>
      </c>
      <c r="I3460" s="166"/>
      <c r="J3460" s="31">
        <f>РЕАЛИЗАЦИЯ[[#This Row],[СОНИ]]*РЕАЛИЗАЦИЯ[[#This Row],[ТАННАРХ]]</f>
        <v>0</v>
      </c>
      <c r="K3460" s="31">
        <f>РЕАЛИЗАЦИЯ[[#This Row],[ЖАМИ]]-РЕАЛИЗАЦИЯ[[#This Row],[ЖАМИ2]]</f>
        <v>0</v>
      </c>
      <c r="L3460" s="31"/>
    </row>
    <row r="3461" spans="3:12" x14ac:dyDescent="0.3">
      <c r="C3461" s="263"/>
      <c r="D3461" s="263"/>
      <c r="G3461" s="50">
        <f>РЕАЛИЗАЦИЯ[[#This Row],[СОНИ]]*РЕАЛИЗАЦИЯ[[#This Row],[НАРХИ]]</f>
        <v>0</v>
      </c>
      <c r="I3461" s="166"/>
      <c r="J3461" s="31">
        <f>РЕАЛИЗАЦИЯ[[#This Row],[СОНИ]]*РЕАЛИЗАЦИЯ[[#This Row],[ТАННАРХ]]</f>
        <v>0</v>
      </c>
      <c r="K3461" s="31">
        <f>РЕАЛИЗАЦИЯ[[#This Row],[ЖАМИ]]-РЕАЛИЗАЦИЯ[[#This Row],[ЖАМИ2]]</f>
        <v>0</v>
      </c>
      <c r="L3461" s="31"/>
    </row>
    <row r="3462" spans="3:12" x14ac:dyDescent="0.3">
      <c r="C3462" s="263"/>
      <c r="D3462" s="263"/>
      <c r="G3462" s="50">
        <f>РЕАЛИЗАЦИЯ[[#This Row],[СОНИ]]*РЕАЛИЗАЦИЯ[[#This Row],[НАРХИ]]</f>
        <v>0</v>
      </c>
      <c r="I3462" s="166"/>
      <c r="J3462" s="31">
        <f>РЕАЛИЗАЦИЯ[[#This Row],[СОНИ]]*РЕАЛИЗАЦИЯ[[#This Row],[ТАННАРХ]]</f>
        <v>0</v>
      </c>
      <c r="K3462" s="31">
        <f>РЕАЛИЗАЦИЯ[[#This Row],[ЖАМИ]]-РЕАЛИЗАЦИЯ[[#This Row],[ЖАМИ2]]</f>
        <v>0</v>
      </c>
      <c r="L3462" s="31"/>
    </row>
    <row r="3463" spans="3:12" x14ac:dyDescent="0.3">
      <c r="C3463" s="263"/>
      <c r="D3463" s="263"/>
      <c r="G3463" s="50">
        <f>РЕАЛИЗАЦИЯ[[#This Row],[СОНИ]]*РЕАЛИЗАЦИЯ[[#This Row],[НАРХИ]]</f>
        <v>0</v>
      </c>
      <c r="I3463" s="166"/>
      <c r="J3463" s="31">
        <f>РЕАЛИЗАЦИЯ[[#This Row],[СОНИ]]*РЕАЛИЗАЦИЯ[[#This Row],[ТАННАРХ]]</f>
        <v>0</v>
      </c>
      <c r="K3463" s="31">
        <f>РЕАЛИЗАЦИЯ[[#This Row],[ЖАМИ]]-РЕАЛИЗАЦИЯ[[#This Row],[ЖАМИ2]]</f>
        <v>0</v>
      </c>
      <c r="L3463" s="31"/>
    </row>
    <row r="3464" spans="3:12" x14ac:dyDescent="0.3">
      <c r="C3464" s="263"/>
      <c r="D3464" s="263"/>
      <c r="G3464" s="50">
        <f>РЕАЛИЗАЦИЯ[[#This Row],[СОНИ]]*РЕАЛИЗАЦИЯ[[#This Row],[НАРХИ]]</f>
        <v>0</v>
      </c>
      <c r="I3464" s="166"/>
      <c r="J3464" s="31">
        <f>РЕАЛИЗАЦИЯ[[#This Row],[СОНИ]]*РЕАЛИЗАЦИЯ[[#This Row],[ТАННАРХ]]</f>
        <v>0</v>
      </c>
      <c r="K3464" s="31">
        <f>РЕАЛИЗАЦИЯ[[#This Row],[ЖАМИ]]-РЕАЛИЗАЦИЯ[[#This Row],[ЖАМИ2]]</f>
        <v>0</v>
      </c>
      <c r="L3464" s="31"/>
    </row>
    <row r="3465" spans="3:12" x14ac:dyDescent="0.3">
      <c r="C3465" s="263"/>
      <c r="D3465" s="263"/>
      <c r="G3465" s="50">
        <f>РЕАЛИЗАЦИЯ[[#This Row],[СОНИ]]*РЕАЛИЗАЦИЯ[[#This Row],[НАРХИ]]</f>
        <v>0</v>
      </c>
      <c r="I3465" s="166"/>
      <c r="J3465" s="31">
        <f>РЕАЛИЗАЦИЯ[[#This Row],[СОНИ]]*РЕАЛИЗАЦИЯ[[#This Row],[ТАННАРХ]]</f>
        <v>0</v>
      </c>
      <c r="K3465" s="31">
        <f>РЕАЛИЗАЦИЯ[[#This Row],[ЖАМИ]]-РЕАЛИЗАЦИЯ[[#This Row],[ЖАМИ2]]</f>
        <v>0</v>
      </c>
      <c r="L3465" s="31"/>
    </row>
    <row r="3466" spans="3:12" x14ac:dyDescent="0.3">
      <c r="C3466" s="263"/>
      <c r="D3466" s="263"/>
      <c r="G3466" s="50">
        <f>РЕАЛИЗАЦИЯ[[#This Row],[СОНИ]]*РЕАЛИЗАЦИЯ[[#This Row],[НАРХИ]]</f>
        <v>0</v>
      </c>
      <c r="I3466" s="166"/>
      <c r="J3466" s="31">
        <f>РЕАЛИЗАЦИЯ[[#This Row],[СОНИ]]*РЕАЛИЗАЦИЯ[[#This Row],[ТАННАРХ]]</f>
        <v>0</v>
      </c>
      <c r="K3466" s="31">
        <f>РЕАЛИЗАЦИЯ[[#This Row],[ЖАМИ]]-РЕАЛИЗАЦИЯ[[#This Row],[ЖАМИ2]]</f>
        <v>0</v>
      </c>
      <c r="L3466" s="31"/>
    </row>
    <row r="3467" spans="3:12" x14ac:dyDescent="0.3">
      <c r="C3467" s="263"/>
      <c r="D3467" s="263"/>
      <c r="G3467" s="50">
        <f>РЕАЛИЗАЦИЯ[[#This Row],[СОНИ]]*РЕАЛИЗАЦИЯ[[#This Row],[НАРХИ]]</f>
        <v>0</v>
      </c>
      <c r="I3467" s="166"/>
      <c r="J3467" s="31">
        <f>РЕАЛИЗАЦИЯ[[#This Row],[СОНИ]]*РЕАЛИЗАЦИЯ[[#This Row],[ТАННАРХ]]</f>
        <v>0</v>
      </c>
      <c r="K3467" s="31">
        <f>РЕАЛИЗАЦИЯ[[#This Row],[ЖАМИ]]-РЕАЛИЗАЦИЯ[[#This Row],[ЖАМИ2]]</f>
        <v>0</v>
      </c>
      <c r="L3467" s="31"/>
    </row>
    <row r="3468" spans="3:12" x14ac:dyDescent="0.3">
      <c r="C3468" s="263"/>
      <c r="D3468" s="263"/>
      <c r="G3468" s="50">
        <f>РЕАЛИЗАЦИЯ[[#This Row],[СОНИ]]*РЕАЛИЗАЦИЯ[[#This Row],[НАРХИ]]</f>
        <v>0</v>
      </c>
      <c r="I3468" s="166"/>
      <c r="J3468" s="31">
        <f>РЕАЛИЗАЦИЯ[[#This Row],[СОНИ]]*РЕАЛИЗАЦИЯ[[#This Row],[ТАННАРХ]]</f>
        <v>0</v>
      </c>
      <c r="K3468" s="31">
        <f>РЕАЛИЗАЦИЯ[[#This Row],[ЖАМИ]]-РЕАЛИЗАЦИЯ[[#This Row],[ЖАМИ2]]</f>
        <v>0</v>
      </c>
      <c r="L3468" s="31"/>
    </row>
    <row r="3469" spans="3:12" x14ac:dyDescent="0.3">
      <c r="C3469" s="268"/>
      <c r="D3469" s="268"/>
      <c r="G3469" s="50">
        <f>РЕАЛИЗАЦИЯ[[#This Row],[СОНИ]]*РЕАЛИЗАЦИЯ[[#This Row],[НАРХИ]]</f>
        <v>0</v>
      </c>
      <c r="I3469" s="166"/>
      <c r="J3469" s="31">
        <f>РЕАЛИЗАЦИЯ[[#This Row],[СОНИ]]*РЕАЛИЗАЦИЯ[[#This Row],[ТАННАРХ]]</f>
        <v>0</v>
      </c>
      <c r="K3469" s="31">
        <f>РЕАЛИЗАЦИЯ[[#This Row],[ЖАМИ]]-РЕАЛИЗАЦИЯ[[#This Row],[ЖАМИ2]]</f>
        <v>0</v>
      </c>
      <c r="L3469" s="31"/>
    </row>
    <row r="3470" spans="3:12" x14ac:dyDescent="0.3">
      <c r="C3470" s="263"/>
      <c r="D3470" s="263"/>
      <c r="G3470" s="50">
        <f>РЕАЛИЗАЦИЯ[[#This Row],[СОНИ]]*РЕАЛИЗАЦИЯ[[#This Row],[НАРХИ]]</f>
        <v>0</v>
      </c>
      <c r="I3470" s="166"/>
      <c r="J3470" s="31">
        <f>РЕАЛИЗАЦИЯ[[#This Row],[СОНИ]]*РЕАЛИЗАЦИЯ[[#This Row],[ТАННАРХ]]</f>
        <v>0</v>
      </c>
      <c r="K3470" s="31">
        <f>РЕАЛИЗАЦИЯ[[#This Row],[ЖАМИ]]-РЕАЛИЗАЦИЯ[[#This Row],[ЖАМИ2]]</f>
        <v>0</v>
      </c>
      <c r="L3470" s="31"/>
    </row>
    <row r="3471" spans="3:12" x14ac:dyDescent="0.3">
      <c r="C3471" s="263"/>
      <c r="D3471" s="263"/>
      <c r="G3471" s="50">
        <f>РЕАЛИЗАЦИЯ[[#This Row],[СОНИ]]*РЕАЛИЗАЦИЯ[[#This Row],[НАРХИ]]</f>
        <v>0</v>
      </c>
      <c r="I3471" s="166"/>
      <c r="J3471" s="31">
        <f>РЕАЛИЗАЦИЯ[[#This Row],[СОНИ]]*РЕАЛИЗАЦИЯ[[#This Row],[ТАННАРХ]]</f>
        <v>0</v>
      </c>
      <c r="K3471" s="31">
        <f>РЕАЛИЗАЦИЯ[[#This Row],[ЖАМИ]]-РЕАЛИЗАЦИЯ[[#This Row],[ЖАМИ2]]</f>
        <v>0</v>
      </c>
      <c r="L3471" s="31"/>
    </row>
    <row r="3472" spans="3:12" x14ac:dyDescent="0.3">
      <c r="C3472" s="263"/>
      <c r="D3472" s="263"/>
      <c r="G3472" s="50">
        <f>РЕАЛИЗАЦИЯ[[#This Row],[СОНИ]]*РЕАЛИЗАЦИЯ[[#This Row],[НАРХИ]]</f>
        <v>0</v>
      </c>
      <c r="I3472" s="166"/>
      <c r="J3472" s="31">
        <f>РЕАЛИЗАЦИЯ[[#This Row],[СОНИ]]*РЕАЛИЗАЦИЯ[[#This Row],[ТАННАРХ]]</f>
        <v>0</v>
      </c>
      <c r="K3472" s="31">
        <f>РЕАЛИЗАЦИЯ[[#This Row],[ЖАМИ]]-РЕАЛИЗАЦИЯ[[#This Row],[ЖАМИ2]]</f>
        <v>0</v>
      </c>
      <c r="L3472" s="31"/>
    </row>
    <row r="3473" spans="1:12" x14ac:dyDescent="0.3">
      <c r="C3473" s="263"/>
      <c r="D3473" s="263"/>
      <c r="G3473" s="50">
        <f>РЕАЛИЗАЦИЯ[[#This Row],[СОНИ]]*РЕАЛИЗАЦИЯ[[#This Row],[НАРХИ]]</f>
        <v>0</v>
      </c>
      <c r="I3473" s="166"/>
      <c r="J3473" s="31">
        <f>РЕАЛИЗАЦИЯ[[#This Row],[СОНИ]]*РЕАЛИЗАЦИЯ[[#This Row],[ТАННАРХ]]</f>
        <v>0</v>
      </c>
      <c r="K3473" s="31">
        <f>РЕАЛИЗАЦИЯ[[#This Row],[ЖАМИ]]-РЕАЛИЗАЦИЯ[[#This Row],[ЖАМИ2]]</f>
        <v>0</v>
      </c>
      <c r="L3473" s="31"/>
    </row>
    <row r="3474" spans="1:12" x14ac:dyDescent="0.3">
      <c r="C3474" s="263"/>
      <c r="D3474" s="263"/>
      <c r="G3474" s="50">
        <f>РЕАЛИЗАЦИЯ[[#This Row],[СОНИ]]*РЕАЛИЗАЦИЯ[[#This Row],[НАРХИ]]</f>
        <v>0</v>
      </c>
      <c r="I3474" s="166"/>
      <c r="J3474" s="31">
        <f>РЕАЛИЗАЦИЯ[[#This Row],[СОНИ]]*РЕАЛИЗАЦИЯ[[#This Row],[ТАННАРХ]]</f>
        <v>0</v>
      </c>
      <c r="K3474" s="31">
        <f>РЕАЛИЗАЦИЯ[[#This Row],[ЖАМИ]]-РЕАЛИЗАЦИЯ[[#This Row],[ЖАМИ2]]</f>
        <v>0</v>
      </c>
      <c r="L3474" s="31"/>
    </row>
    <row r="3475" spans="1:12" x14ac:dyDescent="0.3">
      <c r="C3475" s="263"/>
      <c r="D3475" s="263"/>
      <c r="G3475" s="50">
        <f>РЕАЛИЗАЦИЯ[[#This Row],[СОНИ]]*РЕАЛИЗАЦИЯ[[#This Row],[НАРХИ]]</f>
        <v>0</v>
      </c>
      <c r="I3475" s="166"/>
      <c r="J3475" s="31">
        <f>РЕАЛИЗАЦИЯ[[#This Row],[СОНИ]]*РЕАЛИЗАЦИЯ[[#This Row],[ТАННАРХ]]</f>
        <v>0</v>
      </c>
      <c r="K3475" s="31">
        <f>РЕАЛИЗАЦИЯ[[#This Row],[ЖАМИ]]-РЕАЛИЗАЦИЯ[[#This Row],[ЖАМИ2]]</f>
        <v>0</v>
      </c>
      <c r="L3475" s="31"/>
    </row>
    <row r="3476" spans="1:12" x14ac:dyDescent="0.3">
      <c r="C3476" s="263"/>
      <c r="D3476" s="263"/>
      <c r="G3476" s="50">
        <f>РЕАЛИЗАЦИЯ[[#This Row],[СОНИ]]*РЕАЛИЗАЦИЯ[[#This Row],[НАРХИ]]</f>
        <v>0</v>
      </c>
      <c r="I3476" s="166"/>
      <c r="J3476" s="31">
        <f>РЕАЛИЗАЦИЯ[[#This Row],[СОНИ]]*РЕАЛИЗАЦИЯ[[#This Row],[ТАННАРХ]]</f>
        <v>0</v>
      </c>
      <c r="K3476" s="31">
        <f>РЕАЛИЗАЦИЯ[[#This Row],[ЖАМИ]]-РЕАЛИЗАЦИЯ[[#This Row],[ЖАМИ2]]</f>
        <v>0</v>
      </c>
      <c r="L3476" s="31"/>
    </row>
    <row r="3477" spans="1:12" x14ac:dyDescent="0.3">
      <c r="C3477" s="263"/>
      <c r="D3477" s="263"/>
      <c r="G3477" s="50">
        <f>РЕАЛИЗАЦИЯ[[#This Row],[СОНИ]]*РЕАЛИЗАЦИЯ[[#This Row],[НАРХИ]]</f>
        <v>0</v>
      </c>
      <c r="I3477" s="166"/>
      <c r="J3477" s="31">
        <f>РЕАЛИЗАЦИЯ[[#This Row],[СОНИ]]*РЕАЛИЗАЦИЯ[[#This Row],[ТАННАРХ]]</f>
        <v>0</v>
      </c>
      <c r="K3477" s="31">
        <f>РЕАЛИЗАЦИЯ[[#This Row],[ЖАМИ]]-РЕАЛИЗАЦИЯ[[#This Row],[ЖАМИ2]]</f>
        <v>0</v>
      </c>
      <c r="L3477" s="31"/>
    </row>
    <row r="3478" spans="1:12" s="268" customFormat="1" x14ac:dyDescent="0.3">
      <c r="A3478" s="3"/>
      <c r="B3478" s="4"/>
      <c r="C3478" s="263"/>
      <c r="D3478" s="263"/>
      <c r="E3478" s="31"/>
      <c r="F3478" s="31"/>
      <c r="G3478" s="50">
        <f>РЕАЛИЗАЦИЯ[[#This Row],[СОНИ]]*РЕАЛИЗАЦИЯ[[#This Row],[НАРХИ]]</f>
        <v>0</v>
      </c>
      <c r="H3478" s="31"/>
      <c r="I3478" s="166"/>
      <c r="J3478" s="31">
        <f>РЕАЛИЗАЦИЯ[[#This Row],[СОНИ]]*РЕАЛИЗАЦИЯ[[#This Row],[ТАННАРХ]]</f>
        <v>0</v>
      </c>
      <c r="K3478" s="31">
        <f>РЕАЛИЗАЦИЯ[[#This Row],[ЖАМИ]]-РЕАЛИЗАЦИЯ[[#This Row],[ЖАМИ2]]</f>
        <v>0</v>
      </c>
      <c r="L3478" s="31"/>
    </row>
    <row r="3479" spans="1:12" x14ac:dyDescent="0.3">
      <c r="C3479" s="263"/>
      <c r="D3479" s="263"/>
      <c r="G3479" s="50">
        <f>РЕАЛИЗАЦИЯ[[#This Row],[СОНИ]]*РЕАЛИЗАЦИЯ[[#This Row],[НАРХИ]]</f>
        <v>0</v>
      </c>
      <c r="I3479" s="166"/>
      <c r="J3479" s="31">
        <f>РЕАЛИЗАЦИЯ[[#This Row],[СОНИ]]*РЕАЛИЗАЦИЯ[[#This Row],[ТАННАРХ]]</f>
        <v>0</v>
      </c>
      <c r="K3479" s="31">
        <f>РЕАЛИЗАЦИЯ[[#This Row],[ЖАМИ]]-РЕАЛИЗАЦИЯ[[#This Row],[ЖАМИ2]]</f>
        <v>0</v>
      </c>
      <c r="L3479" s="31"/>
    </row>
    <row r="3480" spans="1:12" x14ac:dyDescent="0.3">
      <c r="C3480" s="264"/>
      <c r="D3480" s="264"/>
      <c r="G3480" s="50">
        <f>РЕАЛИЗАЦИЯ[[#This Row],[СОНИ]]*РЕАЛИЗАЦИЯ[[#This Row],[НАРХИ]]</f>
        <v>0</v>
      </c>
      <c r="I3480" s="166"/>
      <c r="J3480" s="31">
        <f>РЕАЛИЗАЦИЯ[[#This Row],[СОНИ]]*РЕАЛИЗАЦИЯ[[#This Row],[ТАННАРХ]]</f>
        <v>0</v>
      </c>
      <c r="K3480" s="31">
        <f>РЕАЛИЗАЦИЯ[[#This Row],[ЖАМИ]]-РЕАЛИЗАЦИЯ[[#This Row],[ЖАМИ2]]</f>
        <v>0</v>
      </c>
      <c r="L3480" s="31"/>
    </row>
    <row r="3481" spans="1:12" x14ac:dyDescent="0.3">
      <c r="C3481" s="264"/>
      <c r="D3481" s="264"/>
      <c r="G3481" s="50">
        <f>РЕАЛИЗАЦИЯ[[#This Row],[СОНИ]]*РЕАЛИЗАЦИЯ[[#This Row],[НАРХИ]]</f>
        <v>0</v>
      </c>
      <c r="I3481" s="166"/>
      <c r="J3481" s="31">
        <f>РЕАЛИЗАЦИЯ[[#This Row],[СОНИ]]*РЕАЛИЗАЦИЯ[[#This Row],[ТАННАРХ]]</f>
        <v>0</v>
      </c>
      <c r="K3481" s="31">
        <f>РЕАЛИЗАЦИЯ[[#This Row],[ЖАМИ]]-РЕАЛИЗАЦИЯ[[#This Row],[ЖАМИ2]]</f>
        <v>0</v>
      </c>
      <c r="L3481" s="31"/>
    </row>
    <row r="3482" spans="1:12" x14ac:dyDescent="0.3">
      <c r="C3482" s="264"/>
      <c r="D3482" s="264"/>
      <c r="G3482" s="50">
        <f>РЕАЛИЗАЦИЯ[[#This Row],[СОНИ]]*РЕАЛИЗАЦИЯ[[#This Row],[НАРХИ]]</f>
        <v>0</v>
      </c>
      <c r="I3482" s="166"/>
      <c r="J3482" s="31">
        <f>РЕАЛИЗАЦИЯ[[#This Row],[СОНИ]]*РЕАЛИЗАЦИЯ[[#This Row],[ТАННАРХ]]</f>
        <v>0</v>
      </c>
      <c r="K3482" s="31">
        <f>РЕАЛИЗАЦИЯ[[#This Row],[ЖАМИ]]-РЕАЛИЗАЦИЯ[[#This Row],[ЖАМИ2]]</f>
        <v>0</v>
      </c>
      <c r="L3482" s="31"/>
    </row>
    <row r="3483" spans="1:12" x14ac:dyDescent="0.3">
      <c r="C3483" s="264"/>
      <c r="D3483" s="264"/>
      <c r="G3483" s="50">
        <f>РЕАЛИЗАЦИЯ[[#This Row],[СОНИ]]*РЕАЛИЗАЦИЯ[[#This Row],[НАРХИ]]</f>
        <v>0</v>
      </c>
      <c r="I3483" s="166"/>
      <c r="J3483" s="31">
        <f>РЕАЛИЗАЦИЯ[[#This Row],[СОНИ]]*РЕАЛИЗАЦИЯ[[#This Row],[ТАННАРХ]]</f>
        <v>0</v>
      </c>
      <c r="K3483" s="31">
        <f>РЕАЛИЗАЦИЯ[[#This Row],[ЖАМИ]]-РЕАЛИЗАЦИЯ[[#This Row],[ЖАМИ2]]</f>
        <v>0</v>
      </c>
      <c r="L3483" s="31"/>
    </row>
    <row r="3484" spans="1:12" x14ac:dyDescent="0.3">
      <c r="C3484" s="264"/>
      <c r="D3484" s="264"/>
      <c r="G3484" s="50">
        <f>РЕАЛИЗАЦИЯ[[#This Row],[СОНИ]]*РЕАЛИЗАЦИЯ[[#This Row],[НАРХИ]]</f>
        <v>0</v>
      </c>
      <c r="I3484" s="166"/>
      <c r="J3484" s="31">
        <f>РЕАЛИЗАЦИЯ[[#This Row],[СОНИ]]*РЕАЛИЗАЦИЯ[[#This Row],[ТАННАРХ]]</f>
        <v>0</v>
      </c>
      <c r="K3484" s="31">
        <f>РЕАЛИЗАЦИЯ[[#This Row],[ЖАМИ]]-РЕАЛИЗАЦИЯ[[#This Row],[ЖАМИ2]]</f>
        <v>0</v>
      </c>
      <c r="L3484" s="31"/>
    </row>
    <row r="3485" spans="1:12" x14ac:dyDescent="0.3">
      <c r="C3485" s="264"/>
      <c r="D3485" s="264"/>
      <c r="G3485" s="50">
        <f>РЕАЛИЗАЦИЯ[[#This Row],[СОНИ]]*РЕАЛИЗАЦИЯ[[#This Row],[НАРХИ]]</f>
        <v>0</v>
      </c>
      <c r="I3485" s="166"/>
      <c r="J3485" s="31">
        <f>РЕАЛИЗАЦИЯ[[#This Row],[СОНИ]]*РЕАЛИЗАЦИЯ[[#This Row],[ТАННАРХ]]</f>
        <v>0</v>
      </c>
      <c r="K3485" s="31">
        <f>РЕАЛИЗАЦИЯ[[#This Row],[ЖАМИ]]-РЕАЛИЗАЦИЯ[[#This Row],[ЖАМИ2]]</f>
        <v>0</v>
      </c>
      <c r="L3485" s="31"/>
    </row>
    <row r="3486" spans="1:12" x14ac:dyDescent="0.3">
      <c r="C3486" s="264"/>
      <c r="D3486" s="264"/>
      <c r="G3486" s="50">
        <f>РЕАЛИЗАЦИЯ[[#This Row],[СОНИ]]*РЕАЛИЗАЦИЯ[[#This Row],[НАРХИ]]</f>
        <v>0</v>
      </c>
      <c r="I3486" s="166"/>
      <c r="J3486" s="31">
        <f>РЕАЛИЗАЦИЯ[[#This Row],[СОНИ]]*РЕАЛИЗАЦИЯ[[#This Row],[ТАННАРХ]]</f>
        <v>0</v>
      </c>
      <c r="K3486" s="31">
        <f>РЕАЛИЗАЦИЯ[[#This Row],[ЖАМИ]]-РЕАЛИЗАЦИЯ[[#This Row],[ЖАМИ2]]</f>
        <v>0</v>
      </c>
      <c r="L3486" s="31"/>
    </row>
    <row r="3487" spans="1:12" x14ac:dyDescent="0.3">
      <c r="C3487" s="264"/>
      <c r="D3487" s="264"/>
      <c r="G3487" s="50">
        <f>РЕАЛИЗАЦИЯ[[#This Row],[СОНИ]]*РЕАЛИЗАЦИЯ[[#This Row],[НАРХИ]]</f>
        <v>0</v>
      </c>
      <c r="I3487" s="166"/>
      <c r="J3487" s="31">
        <f>РЕАЛИЗАЦИЯ[[#This Row],[СОНИ]]*РЕАЛИЗАЦИЯ[[#This Row],[ТАННАРХ]]</f>
        <v>0</v>
      </c>
      <c r="K3487" s="31">
        <f>РЕАЛИЗАЦИЯ[[#This Row],[ЖАМИ]]-РЕАЛИЗАЦИЯ[[#This Row],[ЖАМИ2]]</f>
        <v>0</v>
      </c>
      <c r="L3487" s="31"/>
    </row>
    <row r="3488" spans="1:12" x14ac:dyDescent="0.3">
      <c r="C3488" s="264"/>
      <c r="D3488" s="264"/>
      <c r="G3488" s="50">
        <f>РЕАЛИЗАЦИЯ[[#This Row],[СОНИ]]*РЕАЛИЗАЦИЯ[[#This Row],[НАРХИ]]</f>
        <v>0</v>
      </c>
      <c r="I3488" s="166"/>
      <c r="J3488" s="31">
        <f>РЕАЛИЗАЦИЯ[[#This Row],[СОНИ]]*РЕАЛИЗАЦИЯ[[#This Row],[ТАННАРХ]]</f>
        <v>0</v>
      </c>
      <c r="K3488" s="31">
        <f>РЕАЛИЗАЦИЯ[[#This Row],[ЖАМИ]]-РЕАЛИЗАЦИЯ[[#This Row],[ЖАМИ2]]</f>
        <v>0</v>
      </c>
      <c r="L3488" s="31"/>
    </row>
    <row r="3489" spans="3:12" x14ac:dyDescent="0.3">
      <c r="C3489" s="264"/>
      <c r="D3489" s="264"/>
      <c r="G3489" s="50">
        <f>РЕАЛИЗАЦИЯ[[#This Row],[СОНИ]]*РЕАЛИЗАЦИЯ[[#This Row],[НАРХИ]]</f>
        <v>0</v>
      </c>
      <c r="I3489" s="166"/>
      <c r="J3489" s="31">
        <f>РЕАЛИЗАЦИЯ[[#This Row],[СОНИ]]*РЕАЛИЗАЦИЯ[[#This Row],[ТАННАРХ]]</f>
        <v>0</v>
      </c>
      <c r="K3489" s="31">
        <f>РЕАЛИЗАЦИЯ[[#This Row],[ЖАМИ]]-РЕАЛИЗАЦИЯ[[#This Row],[ЖАМИ2]]</f>
        <v>0</v>
      </c>
      <c r="L3489" s="31"/>
    </row>
    <row r="3490" spans="3:12" x14ac:dyDescent="0.3">
      <c r="C3490" s="264"/>
      <c r="D3490" s="264"/>
      <c r="G3490" s="50">
        <f>РЕАЛИЗАЦИЯ[[#This Row],[СОНИ]]*РЕАЛИЗАЦИЯ[[#This Row],[НАРХИ]]</f>
        <v>0</v>
      </c>
      <c r="I3490" s="166"/>
      <c r="J3490" s="31">
        <f>РЕАЛИЗАЦИЯ[[#This Row],[СОНИ]]*РЕАЛИЗАЦИЯ[[#This Row],[ТАННАРХ]]</f>
        <v>0</v>
      </c>
      <c r="K3490" s="31">
        <f>РЕАЛИЗАЦИЯ[[#This Row],[ЖАМИ]]-РЕАЛИЗАЦИЯ[[#This Row],[ЖАМИ2]]</f>
        <v>0</v>
      </c>
      <c r="L3490" s="31"/>
    </row>
    <row r="3491" spans="3:12" x14ac:dyDescent="0.3">
      <c r="C3491" s="264"/>
      <c r="D3491" s="264"/>
      <c r="G3491" s="50">
        <f>РЕАЛИЗАЦИЯ[[#This Row],[СОНИ]]*РЕАЛИЗАЦИЯ[[#This Row],[НАРХИ]]</f>
        <v>0</v>
      </c>
      <c r="I3491" s="166"/>
      <c r="J3491" s="31">
        <f>РЕАЛИЗАЦИЯ[[#This Row],[СОНИ]]*РЕАЛИЗАЦИЯ[[#This Row],[ТАННАРХ]]</f>
        <v>0</v>
      </c>
      <c r="K3491" s="31">
        <f>РЕАЛИЗАЦИЯ[[#This Row],[ЖАМИ]]-РЕАЛИЗАЦИЯ[[#This Row],[ЖАМИ2]]</f>
        <v>0</v>
      </c>
      <c r="L3491" s="31"/>
    </row>
    <row r="3492" spans="3:12" x14ac:dyDescent="0.3">
      <c r="C3492" s="264"/>
      <c r="D3492" s="264"/>
      <c r="G3492" s="50">
        <f>РЕАЛИЗАЦИЯ[[#This Row],[СОНИ]]*РЕАЛИЗАЦИЯ[[#This Row],[НАРХИ]]</f>
        <v>0</v>
      </c>
      <c r="I3492" s="166"/>
      <c r="J3492" s="31">
        <f>РЕАЛИЗАЦИЯ[[#This Row],[СОНИ]]*РЕАЛИЗАЦИЯ[[#This Row],[ТАННАРХ]]</f>
        <v>0</v>
      </c>
      <c r="K3492" s="31">
        <f>РЕАЛИЗАЦИЯ[[#This Row],[ЖАМИ]]-РЕАЛИЗАЦИЯ[[#This Row],[ЖАМИ2]]</f>
        <v>0</v>
      </c>
      <c r="L3492" s="31"/>
    </row>
    <row r="3493" spans="3:12" x14ac:dyDescent="0.3">
      <c r="C3493" s="264"/>
      <c r="D3493" s="264"/>
      <c r="G3493" s="50">
        <f>РЕАЛИЗАЦИЯ[[#This Row],[СОНИ]]*РЕАЛИЗАЦИЯ[[#This Row],[НАРХИ]]</f>
        <v>0</v>
      </c>
      <c r="I3493" s="166"/>
      <c r="J3493" s="31">
        <f>РЕАЛИЗАЦИЯ[[#This Row],[СОНИ]]*РЕАЛИЗАЦИЯ[[#This Row],[ТАННАРХ]]</f>
        <v>0</v>
      </c>
      <c r="K3493" s="31">
        <f>РЕАЛИЗАЦИЯ[[#This Row],[ЖАМИ]]-РЕАЛИЗАЦИЯ[[#This Row],[ЖАМИ2]]</f>
        <v>0</v>
      </c>
      <c r="L3493" s="31"/>
    </row>
    <row r="3494" spans="3:12" x14ac:dyDescent="0.3">
      <c r="C3494" s="264"/>
      <c r="D3494" s="264"/>
      <c r="G3494" s="50">
        <f>РЕАЛИЗАЦИЯ[[#This Row],[СОНИ]]*РЕАЛИЗАЦИЯ[[#This Row],[НАРХИ]]</f>
        <v>0</v>
      </c>
      <c r="I3494" s="166"/>
      <c r="J3494" s="31">
        <f>РЕАЛИЗАЦИЯ[[#This Row],[СОНИ]]*РЕАЛИЗАЦИЯ[[#This Row],[ТАННАРХ]]</f>
        <v>0</v>
      </c>
      <c r="K3494" s="31">
        <f>РЕАЛИЗАЦИЯ[[#This Row],[ЖАМИ]]-РЕАЛИЗАЦИЯ[[#This Row],[ЖАМИ2]]</f>
        <v>0</v>
      </c>
      <c r="L3494" s="31"/>
    </row>
    <row r="3495" spans="3:12" x14ac:dyDescent="0.3">
      <c r="C3495" s="264"/>
      <c r="D3495" s="264"/>
      <c r="G3495" s="50">
        <f>РЕАЛИЗАЦИЯ[[#This Row],[СОНИ]]*РЕАЛИЗАЦИЯ[[#This Row],[НАРХИ]]</f>
        <v>0</v>
      </c>
      <c r="I3495" s="166"/>
      <c r="J3495" s="31">
        <f>РЕАЛИЗАЦИЯ[[#This Row],[СОНИ]]*РЕАЛИЗАЦИЯ[[#This Row],[ТАННАРХ]]</f>
        <v>0</v>
      </c>
      <c r="K3495" s="31">
        <f>РЕАЛИЗАЦИЯ[[#This Row],[ЖАМИ]]-РЕАЛИЗАЦИЯ[[#This Row],[ЖАМИ2]]</f>
        <v>0</v>
      </c>
      <c r="L3495" s="31"/>
    </row>
    <row r="3496" spans="3:12" x14ac:dyDescent="0.3">
      <c r="C3496" s="264"/>
      <c r="D3496" s="264"/>
      <c r="G3496" s="50">
        <f>РЕАЛИЗАЦИЯ[[#This Row],[СОНИ]]*РЕАЛИЗАЦИЯ[[#This Row],[НАРХИ]]</f>
        <v>0</v>
      </c>
      <c r="I3496" s="166"/>
      <c r="J3496" s="31">
        <f>РЕАЛИЗАЦИЯ[[#This Row],[СОНИ]]*РЕАЛИЗАЦИЯ[[#This Row],[ТАННАРХ]]</f>
        <v>0</v>
      </c>
      <c r="K3496" s="31">
        <f>РЕАЛИЗАЦИЯ[[#This Row],[ЖАМИ]]-РЕАЛИЗАЦИЯ[[#This Row],[ЖАМИ2]]</f>
        <v>0</v>
      </c>
      <c r="L3496" s="31"/>
    </row>
    <row r="3497" spans="3:12" x14ac:dyDescent="0.3">
      <c r="C3497" s="264"/>
      <c r="D3497" s="264"/>
      <c r="G3497" s="50">
        <f>РЕАЛИЗАЦИЯ[[#This Row],[СОНИ]]*РЕАЛИЗАЦИЯ[[#This Row],[НАРХИ]]</f>
        <v>0</v>
      </c>
      <c r="I3497" s="166"/>
      <c r="J3497" s="31">
        <f>РЕАЛИЗАЦИЯ[[#This Row],[СОНИ]]*РЕАЛИЗАЦИЯ[[#This Row],[ТАННАРХ]]</f>
        <v>0</v>
      </c>
      <c r="K3497" s="31">
        <f>РЕАЛИЗАЦИЯ[[#This Row],[ЖАМИ]]-РЕАЛИЗАЦИЯ[[#This Row],[ЖАМИ2]]</f>
        <v>0</v>
      </c>
      <c r="L3497" s="31"/>
    </row>
    <row r="3498" spans="3:12" x14ac:dyDescent="0.3">
      <c r="C3498" s="264"/>
      <c r="D3498" s="264"/>
      <c r="G3498" s="50">
        <f>РЕАЛИЗАЦИЯ[[#This Row],[СОНИ]]*РЕАЛИЗАЦИЯ[[#This Row],[НАРХИ]]</f>
        <v>0</v>
      </c>
      <c r="I3498" s="166"/>
      <c r="J3498" s="31">
        <f>РЕАЛИЗАЦИЯ[[#This Row],[СОНИ]]*РЕАЛИЗАЦИЯ[[#This Row],[ТАННАРХ]]</f>
        <v>0</v>
      </c>
      <c r="K3498" s="31">
        <f>РЕАЛИЗАЦИЯ[[#This Row],[ЖАМИ]]-РЕАЛИЗАЦИЯ[[#This Row],[ЖАМИ2]]</f>
        <v>0</v>
      </c>
      <c r="L3498" s="31"/>
    </row>
    <row r="3499" spans="3:12" x14ac:dyDescent="0.3">
      <c r="C3499" s="264"/>
      <c r="D3499" s="264"/>
      <c r="G3499" s="50">
        <f>РЕАЛИЗАЦИЯ[[#This Row],[СОНИ]]*РЕАЛИЗАЦИЯ[[#This Row],[НАРХИ]]</f>
        <v>0</v>
      </c>
      <c r="I3499" s="166"/>
      <c r="J3499" s="31">
        <f>РЕАЛИЗАЦИЯ[[#This Row],[СОНИ]]*РЕАЛИЗАЦИЯ[[#This Row],[ТАННАРХ]]</f>
        <v>0</v>
      </c>
      <c r="K3499" s="31">
        <f>РЕАЛИЗАЦИЯ[[#This Row],[ЖАМИ]]-РЕАЛИЗАЦИЯ[[#This Row],[ЖАМИ2]]</f>
        <v>0</v>
      </c>
      <c r="L3499" s="31"/>
    </row>
    <row r="3500" spans="3:12" x14ac:dyDescent="0.3">
      <c r="C3500" s="264"/>
      <c r="D3500" s="264"/>
      <c r="G3500" s="50">
        <f>РЕАЛИЗАЦИЯ[[#This Row],[СОНИ]]*РЕАЛИЗАЦИЯ[[#This Row],[НАРХИ]]</f>
        <v>0</v>
      </c>
      <c r="I3500" s="166"/>
      <c r="J3500" s="31">
        <f>РЕАЛИЗАЦИЯ[[#This Row],[СОНИ]]*РЕАЛИЗАЦИЯ[[#This Row],[ТАННАРХ]]</f>
        <v>0</v>
      </c>
      <c r="K3500" s="31">
        <f>РЕАЛИЗАЦИЯ[[#This Row],[ЖАМИ]]-РЕАЛИЗАЦИЯ[[#This Row],[ЖАМИ2]]</f>
        <v>0</v>
      </c>
      <c r="L3500" s="31"/>
    </row>
    <row r="3501" spans="3:12" x14ac:dyDescent="0.3">
      <c r="C3501" s="264"/>
      <c r="D3501" s="264"/>
      <c r="G3501" s="50">
        <f>РЕАЛИЗАЦИЯ[[#This Row],[СОНИ]]*РЕАЛИЗАЦИЯ[[#This Row],[НАРХИ]]</f>
        <v>0</v>
      </c>
      <c r="I3501" s="166"/>
      <c r="J3501" s="31">
        <f>РЕАЛИЗАЦИЯ[[#This Row],[СОНИ]]*РЕАЛИЗАЦИЯ[[#This Row],[ТАННАРХ]]</f>
        <v>0</v>
      </c>
      <c r="K3501" s="31">
        <f>РЕАЛИЗАЦИЯ[[#This Row],[ЖАМИ]]-РЕАЛИЗАЦИЯ[[#This Row],[ЖАМИ2]]</f>
        <v>0</v>
      </c>
      <c r="L3501" s="31"/>
    </row>
    <row r="3502" spans="3:12" x14ac:dyDescent="0.3">
      <c r="C3502" s="264"/>
      <c r="D3502" s="264"/>
      <c r="G3502" s="50">
        <f>РЕАЛИЗАЦИЯ[[#This Row],[СОНИ]]*РЕАЛИЗАЦИЯ[[#This Row],[НАРХИ]]</f>
        <v>0</v>
      </c>
      <c r="I3502" s="166"/>
      <c r="J3502" s="31">
        <f>РЕАЛИЗАЦИЯ[[#This Row],[СОНИ]]*РЕАЛИЗАЦИЯ[[#This Row],[ТАННАРХ]]</f>
        <v>0</v>
      </c>
      <c r="K3502" s="31">
        <f>РЕАЛИЗАЦИЯ[[#This Row],[ЖАМИ]]-РЕАЛИЗАЦИЯ[[#This Row],[ЖАМИ2]]</f>
        <v>0</v>
      </c>
      <c r="L3502" s="31"/>
    </row>
    <row r="3503" spans="3:12" x14ac:dyDescent="0.3">
      <c r="C3503" s="264"/>
      <c r="D3503" s="264"/>
      <c r="G3503" s="50">
        <f>РЕАЛИЗАЦИЯ[[#This Row],[СОНИ]]*РЕАЛИЗАЦИЯ[[#This Row],[НАРХИ]]</f>
        <v>0</v>
      </c>
      <c r="I3503" s="166"/>
      <c r="J3503" s="31">
        <f>РЕАЛИЗАЦИЯ[[#This Row],[СОНИ]]*РЕАЛИЗАЦИЯ[[#This Row],[ТАННАРХ]]</f>
        <v>0</v>
      </c>
      <c r="K3503" s="31">
        <f>РЕАЛИЗАЦИЯ[[#This Row],[ЖАМИ]]-РЕАЛИЗАЦИЯ[[#This Row],[ЖАМИ2]]</f>
        <v>0</v>
      </c>
      <c r="L3503" s="31"/>
    </row>
    <row r="3504" spans="3:12" x14ac:dyDescent="0.3">
      <c r="C3504" s="264"/>
      <c r="D3504" s="264"/>
      <c r="G3504" s="50">
        <f>РЕАЛИЗАЦИЯ[[#This Row],[СОНИ]]*РЕАЛИЗАЦИЯ[[#This Row],[НАРХИ]]</f>
        <v>0</v>
      </c>
      <c r="I3504" s="166"/>
      <c r="J3504" s="31">
        <f>РЕАЛИЗАЦИЯ[[#This Row],[СОНИ]]*РЕАЛИЗАЦИЯ[[#This Row],[ТАННАРХ]]</f>
        <v>0</v>
      </c>
      <c r="K3504" s="31">
        <f>РЕАЛИЗАЦИЯ[[#This Row],[ЖАМИ]]-РЕАЛИЗАЦИЯ[[#This Row],[ЖАМИ2]]</f>
        <v>0</v>
      </c>
      <c r="L3504" s="31"/>
    </row>
    <row r="3505" spans="1:12" x14ac:dyDescent="0.3">
      <c r="C3505" s="264"/>
      <c r="D3505" s="264"/>
      <c r="G3505" s="50">
        <f>РЕАЛИЗАЦИЯ[[#This Row],[СОНИ]]*РЕАЛИЗАЦИЯ[[#This Row],[НАРХИ]]</f>
        <v>0</v>
      </c>
      <c r="I3505" s="166"/>
      <c r="J3505" s="31">
        <f>РЕАЛИЗАЦИЯ[[#This Row],[СОНИ]]*РЕАЛИЗАЦИЯ[[#This Row],[ТАННАРХ]]</f>
        <v>0</v>
      </c>
      <c r="K3505" s="31">
        <f>РЕАЛИЗАЦИЯ[[#This Row],[ЖАМИ]]-РЕАЛИЗАЦИЯ[[#This Row],[ЖАМИ2]]</f>
        <v>0</v>
      </c>
      <c r="L3505" s="31"/>
    </row>
    <row r="3506" spans="1:12" x14ac:dyDescent="0.3">
      <c r="C3506" s="264"/>
      <c r="D3506" s="264"/>
      <c r="G3506" s="50">
        <f>РЕАЛИЗАЦИЯ[[#This Row],[СОНИ]]*РЕАЛИЗАЦИЯ[[#This Row],[НАРХИ]]</f>
        <v>0</v>
      </c>
      <c r="I3506" s="166"/>
      <c r="J3506" s="31">
        <f>РЕАЛИЗАЦИЯ[[#This Row],[СОНИ]]*РЕАЛИЗАЦИЯ[[#This Row],[ТАННАРХ]]</f>
        <v>0</v>
      </c>
      <c r="K3506" s="31">
        <f>РЕАЛИЗАЦИЯ[[#This Row],[ЖАМИ]]-РЕАЛИЗАЦИЯ[[#This Row],[ЖАМИ2]]</f>
        <v>0</v>
      </c>
      <c r="L3506" s="31"/>
    </row>
    <row r="3507" spans="1:12" x14ac:dyDescent="0.3">
      <c r="C3507" s="264"/>
      <c r="D3507" s="264"/>
      <c r="G3507" s="50">
        <f>РЕАЛИЗАЦИЯ[[#This Row],[СОНИ]]*РЕАЛИЗАЦИЯ[[#This Row],[НАРХИ]]</f>
        <v>0</v>
      </c>
      <c r="I3507" s="166"/>
      <c r="J3507" s="31">
        <f>РЕАЛИЗАЦИЯ[[#This Row],[СОНИ]]*РЕАЛИЗАЦИЯ[[#This Row],[ТАННАРХ]]</f>
        <v>0</v>
      </c>
      <c r="K3507" s="31">
        <f>РЕАЛИЗАЦИЯ[[#This Row],[ЖАМИ]]-РЕАЛИЗАЦИЯ[[#This Row],[ЖАМИ2]]</f>
        <v>0</v>
      </c>
      <c r="L3507" s="31"/>
    </row>
    <row r="3508" spans="1:12" x14ac:dyDescent="0.3">
      <c r="C3508" s="264"/>
      <c r="D3508" s="264"/>
      <c r="G3508" s="50">
        <f>РЕАЛИЗАЦИЯ[[#This Row],[СОНИ]]*РЕАЛИЗАЦИЯ[[#This Row],[НАРХИ]]</f>
        <v>0</v>
      </c>
      <c r="I3508" s="166"/>
      <c r="J3508" s="31">
        <f>РЕАЛИЗАЦИЯ[[#This Row],[СОНИ]]*РЕАЛИЗАЦИЯ[[#This Row],[ТАННАРХ]]</f>
        <v>0</v>
      </c>
      <c r="K3508" s="31">
        <f>РЕАЛИЗАЦИЯ[[#This Row],[ЖАМИ]]-РЕАЛИЗАЦИЯ[[#This Row],[ЖАМИ2]]</f>
        <v>0</v>
      </c>
      <c r="L3508" s="31"/>
    </row>
    <row r="3509" spans="1:12" x14ac:dyDescent="0.3">
      <c r="C3509" s="264"/>
      <c r="D3509" s="264"/>
      <c r="G3509" s="50">
        <f>РЕАЛИЗАЦИЯ[[#This Row],[СОНИ]]*РЕАЛИЗАЦИЯ[[#This Row],[НАРХИ]]</f>
        <v>0</v>
      </c>
      <c r="I3509" s="166"/>
      <c r="J3509" s="31">
        <f>РЕАЛИЗАЦИЯ[[#This Row],[СОНИ]]*РЕАЛИЗАЦИЯ[[#This Row],[ТАННАРХ]]</f>
        <v>0</v>
      </c>
      <c r="K3509" s="31">
        <f>РЕАЛИЗАЦИЯ[[#This Row],[ЖАМИ]]-РЕАЛИЗАЦИЯ[[#This Row],[ЖАМИ2]]</f>
        <v>0</v>
      </c>
      <c r="L3509" s="31"/>
    </row>
    <row r="3510" spans="1:12" x14ac:dyDescent="0.3">
      <c r="C3510" s="268"/>
      <c r="D3510" s="268"/>
      <c r="G3510" s="50">
        <f>РЕАЛИЗАЦИЯ[[#This Row],[СОНИ]]*РЕАЛИЗАЦИЯ[[#This Row],[НАРХИ]]</f>
        <v>0</v>
      </c>
      <c r="I3510" s="166"/>
      <c r="J3510" s="31">
        <f>РЕАЛИЗАЦИЯ[[#This Row],[СОНИ]]*РЕАЛИЗАЦИЯ[[#This Row],[ТАННАРХ]]</f>
        <v>0</v>
      </c>
      <c r="K3510" s="31">
        <f>РЕАЛИЗАЦИЯ[[#This Row],[ЖАМИ]]-РЕАЛИЗАЦИЯ[[#This Row],[ЖАМИ2]]</f>
        <v>0</v>
      </c>
      <c r="L3510" s="31"/>
    </row>
    <row r="3511" spans="1:12" x14ac:dyDescent="0.3">
      <c r="C3511" s="264"/>
      <c r="D3511" s="264"/>
      <c r="G3511" s="50">
        <f>РЕАЛИЗАЦИЯ[[#This Row],[СОНИ]]*РЕАЛИЗАЦИЯ[[#This Row],[НАРХИ]]</f>
        <v>0</v>
      </c>
      <c r="I3511" s="166"/>
      <c r="J3511" s="31">
        <f>РЕАЛИЗАЦИЯ[[#This Row],[СОНИ]]*РЕАЛИЗАЦИЯ[[#This Row],[ТАННАРХ]]</f>
        <v>0</v>
      </c>
      <c r="K3511" s="31">
        <f>РЕАЛИЗАЦИЯ[[#This Row],[ЖАМИ]]-РЕАЛИЗАЦИЯ[[#This Row],[ЖАМИ2]]</f>
        <v>0</v>
      </c>
      <c r="L3511" s="31"/>
    </row>
    <row r="3512" spans="1:12" x14ac:dyDescent="0.3">
      <c r="C3512" s="264"/>
      <c r="D3512" s="264"/>
      <c r="G3512" s="50">
        <f>РЕАЛИЗАЦИЯ[[#This Row],[СОНИ]]*РЕАЛИЗАЦИЯ[[#This Row],[НАРХИ]]</f>
        <v>0</v>
      </c>
      <c r="I3512" s="166"/>
      <c r="J3512" s="31">
        <f>РЕАЛИЗАЦИЯ[[#This Row],[СОНИ]]*РЕАЛИЗАЦИЯ[[#This Row],[ТАННАРХ]]</f>
        <v>0</v>
      </c>
      <c r="K3512" s="31">
        <f>РЕАЛИЗАЦИЯ[[#This Row],[ЖАМИ]]-РЕАЛИЗАЦИЯ[[#This Row],[ЖАМИ2]]</f>
        <v>0</v>
      </c>
      <c r="L3512" s="31"/>
    </row>
    <row r="3513" spans="1:12" x14ac:dyDescent="0.3">
      <c r="C3513" s="264"/>
      <c r="D3513" s="264"/>
      <c r="G3513" s="50">
        <f>РЕАЛИЗАЦИЯ[[#This Row],[СОНИ]]*РЕАЛИЗАЦИЯ[[#This Row],[НАРХИ]]</f>
        <v>0</v>
      </c>
      <c r="I3513" s="166"/>
      <c r="J3513" s="31">
        <f>РЕАЛИЗАЦИЯ[[#This Row],[СОНИ]]*РЕАЛИЗАЦИЯ[[#This Row],[ТАННАРХ]]</f>
        <v>0</v>
      </c>
      <c r="K3513" s="31">
        <f>РЕАЛИЗАЦИЯ[[#This Row],[ЖАМИ]]-РЕАЛИЗАЦИЯ[[#This Row],[ЖАМИ2]]</f>
        <v>0</v>
      </c>
      <c r="L3513" s="31"/>
    </row>
    <row r="3514" spans="1:12" x14ac:dyDescent="0.3">
      <c r="C3514" s="264"/>
      <c r="D3514" s="264"/>
      <c r="G3514" s="50">
        <f>РЕАЛИЗАЦИЯ[[#This Row],[СОНИ]]*РЕАЛИЗАЦИЯ[[#This Row],[НАРХИ]]</f>
        <v>0</v>
      </c>
      <c r="I3514" s="166"/>
      <c r="J3514" s="31">
        <f>РЕАЛИЗАЦИЯ[[#This Row],[СОНИ]]*РЕАЛИЗАЦИЯ[[#This Row],[ТАННАРХ]]</f>
        <v>0</v>
      </c>
      <c r="K3514" s="31">
        <f>РЕАЛИЗАЦИЯ[[#This Row],[ЖАМИ]]-РЕАЛИЗАЦИЯ[[#This Row],[ЖАМИ2]]</f>
        <v>0</v>
      </c>
      <c r="L3514" s="31"/>
    </row>
    <row r="3515" spans="1:12" x14ac:dyDescent="0.3">
      <c r="C3515" s="265"/>
      <c r="D3515" s="265"/>
      <c r="G3515" s="50">
        <f>РЕАЛИЗАЦИЯ[[#This Row],[СОНИ]]*РЕАЛИЗАЦИЯ[[#This Row],[НАРХИ]]</f>
        <v>0</v>
      </c>
      <c r="I3515" s="166"/>
      <c r="J3515" s="31">
        <f>РЕАЛИЗАЦИЯ[[#This Row],[СОНИ]]*РЕАЛИЗАЦИЯ[[#This Row],[ТАННАРХ]]</f>
        <v>0</v>
      </c>
      <c r="K3515" s="31">
        <f>РЕАЛИЗАЦИЯ[[#This Row],[ЖАМИ]]-РЕАЛИЗАЦИЯ[[#This Row],[ЖАМИ2]]</f>
        <v>0</v>
      </c>
      <c r="L3515" s="31"/>
    </row>
    <row r="3516" spans="1:12" x14ac:dyDescent="0.3">
      <c r="C3516" s="265"/>
      <c r="D3516" s="265"/>
      <c r="G3516" s="50">
        <f>РЕАЛИЗАЦИЯ[[#This Row],[СОНИ]]*РЕАЛИЗАЦИЯ[[#This Row],[НАРХИ]]</f>
        <v>0</v>
      </c>
      <c r="I3516" s="166"/>
      <c r="J3516" s="31">
        <f>РЕАЛИЗАЦИЯ[[#This Row],[СОНИ]]*РЕАЛИЗАЦИЯ[[#This Row],[ТАННАРХ]]</f>
        <v>0</v>
      </c>
      <c r="K3516" s="31">
        <f>РЕАЛИЗАЦИЯ[[#This Row],[ЖАМИ]]-РЕАЛИЗАЦИЯ[[#This Row],[ЖАМИ2]]</f>
        <v>0</v>
      </c>
      <c r="L3516" s="31"/>
    </row>
    <row r="3517" spans="1:12" x14ac:dyDescent="0.3">
      <c r="C3517" s="265"/>
      <c r="D3517" s="265"/>
      <c r="G3517" s="50">
        <f>РЕАЛИЗАЦИЯ[[#This Row],[СОНИ]]*РЕАЛИЗАЦИЯ[[#This Row],[НАРХИ]]</f>
        <v>0</v>
      </c>
      <c r="I3517" s="166"/>
      <c r="J3517" s="31">
        <f>РЕАЛИЗАЦИЯ[[#This Row],[СОНИ]]*РЕАЛИЗАЦИЯ[[#This Row],[ТАННАРХ]]</f>
        <v>0</v>
      </c>
      <c r="K3517" s="31">
        <f>РЕАЛИЗАЦИЯ[[#This Row],[ЖАМИ]]-РЕАЛИЗАЦИЯ[[#This Row],[ЖАМИ2]]</f>
        <v>0</v>
      </c>
      <c r="L3517" s="31"/>
    </row>
    <row r="3518" spans="1:12" x14ac:dyDescent="0.3">
      <c r="C3518" s="265"/>
      <c r="D3518" s="265"/>
      <c r="G3518" s="50">
        <f>РЕАЛИЗАЦИЯ[[#This Row],[СОНИ]]*РЕАЛИЗАЦИЯ[[#This Row],[НАРХИ]]</f>
        <v>0</v>
      </c>
      <c r="I3518" s="166"/>
      <c r="J3518" s="31">
        <f>РЕАЛИЗАЦИЯ[[#This Row],[СОНИ]]*РЕАЛИЗАЦИЯ[[#This Row],[ТАННАРХ]]</f>
        <v>0</v>
      </c>
      <c r="K3518" s="31">
        <f>РЕАЛИЗАЦИЯ[[#This Row],[ЖАМИ]]-РЕАЛИЗАЦИЯ[[#This Row],[ЖАМИ2]]</f>
        <v>0</v>
      </c>
      <c r="L3518" s="31"/>
    </row>
    <row r="3519" spans="1:12" s="268" customFormat="1" x14ac:dyDescent="0.3">
      <c r="A3519" s="3"/>
      <c r="B3519" s="4"/>
      <c r="C3519" s="265"/>
      <c r="D3519" s="265"/>
      <c r="E3519" s="31"/>
      <c r="F3519" s="31"/>
      <c r="G3519" s="50">
        <f>РЕАЛИЗАЦИЯ[[#This Row],[СОНИ]]*РЕАЛИЗАЦИЯ[[#This Row],[НАРХИ]]</f>
        <v>0</v>
      </c>
      <c r="H3519" s="31"/>
      <c r="I3519" s="166"/>
      <c r="J3519" s="31">
        <f>РЕАЛИЗАЦИЯ[[#This Row],[СОНИ]]*РЕАЛИЗАЦИЯ[[#This Row],[ТАННАРХ]]</f>
        <v>0</v>
      </c>
      <c r="K3519" s="31">
        <f>РЕАЛИЗАЦИЯ[[#This Row],[ЖАМИ]]-РЕАЛИЗАЦИЯ[[#This Row],[ЖАМИ2]]</f>
        <v>0</v>
      </c>
      <c r="L3519" s="31"/>
    </row>
    <row r="3520" spans="1:12" x14ac:dyDescent="0.3">
      <c r="C3520" s="265"/>
      <c r="D3520" s="265"/>
      <c r="G3520" s="50">
        <f>РЕАЛИЗАЦИЯ[[#This Row],[СОНИ]]*РЕАЛИЗАЦИЯ[[#This Row],[НАРХИ]]</f>
        <v>0</v>
      </c>
      <c r="I3520" s="166"/>
      <c r="J3520" s="31">
        <f>РЕАЛИЗАЦИЯ[[#This Row],[СОНИ]]*РЕАЛИЗАЦИЯ[[#This Row],[ТАННАРХ]]</f>
        <v>0</v>
      </c>
      <c r="K3520" s="31">
        <f>РЕАЛИЗАЦИЯ[[#This Row],[ЖАМИ]]-РЕАЛИЗАЦИЯ[[#This Row],[ЖАМИ2]]</f>
        <v>0</v>
      </c>
      <c r="L3520" s="31"/>
    </row>
    <row r="3521" spans="3:12" x14ac:dyDescent="0.3">
      <c r="C3521" s="265"/>
      <c r="D3521" s="265"/>
      <c r="G3521" s="50">
        <f>РЕАЛИЗАЦИЯ[[#This Row],[СОНИ]]*РЕАЛИЗАЦИЯ[[#This Row],[НАРХИ]]</f>
        <v>0</v>
      </c>
      <c r="I3521" s="166"/>
      <c r="J3521" s="31">
        <f>РЕАЛИЗАЦИЯ[[#This Row],[СОНИ]]*РЕАЛИЗАЦИЯ[[#This Row],[ТАННАРХ]]</f>
        <v>0</v>
      </c>
      <c r="K3521" s="31">
        <f>РЕАЛИЗАЦИЯ[[#This Row],[ЖАМИ]]-РЕАЛИЗАЦИЯ[[#This Row],[ЖАМИ2]]</f>
        <v>0</v>
      </c>
      <c r="L3521" s="31"/>
    </row>
    <row r="3522" spans="3:12" x14ac:dyDescent="0.3">
      <c r="C3522" s="265"/>
      <c r="D3522" s="265"/>
      <c r="G3522" s="50">
        <f>РЕАЛИЗАЦИЯ[[#This Row],[СОНИ]]*РЕАЛИЗАЦИЯ[[#This Row],[НАРХИ]]</f>
        <v>0</v>
      </c>
      <c r="I3522" s="166"/>
      <c r="J3522" s="31">
        <f>РЕАЛИЗАЦИЯ[[#This Row],[СОНИ]]*РЕАЛИЗАЦИЯ[[#This Row],[ТАННАРХ]]</f>
        <v>0</v>
      </c>
      <c r="K3522" s="31">
        <f>РЕАЛИЗАЦИЯ[[#This Row],[ЖАМИ]]-РЕАЛИЗАЦИЯ[[#This Row],[ЖАМИ2]]</f>
        <v>0</v>
      </c>
      <c r="L3522" s="31"/>
    </row>
    <row r="3523" spans="3:12" x14ac:dyDescent="0.3">
      <c r="C3523" s="265"/>
      <c r="D3523" s="265"/>
      <c r="G3523" s="50">
        <f>РЕАЛИЗАЦИЯ[[#This Row],[СОНИ]]*РЕАЛИЗАЦИЯ[[#This Row],[НАРХИ]]</f>
        <v>0</v>
      </c>
      <c r="I3523" s="166"/>
      <c r="J3523" s="31">
        <f>РЕАЛИЗАЦИЯ[[#This Row],[СОНИ]]*РЕАЛИЗАЦИЯ[[#This Row],[ТАННАРХ]]</f>
        <v>0</v>
      </c>
      <c r="K3523" s="31">
        <f>РЕАЛИЗАЦИЯ[[#This Row],[ЖАМИ]]-РЕАЛИЗАЦИЯ[[#This Row],[ЖАМИ2]]</f>
        <v>0</v>
      </c>
      <c r="L3523" s="31"/>
    </row>
    <row r="3524" spans="3:12" x14ac:dyDescent="0.3">
      <c r="C3524" s="265"/>
      <c r="D3524" s="265"/>
      <c r="G3524" s="50">
        <f>РЕАЛИЗАЦИЯ[[#This Row],[СОНИ]]*РЕАЛИЗАЦИЯ[[#This Row],[НАРХИ]]</f>
        <v>0</v>
      </c>
      <c r="I3524" s="166"/>
      <c r="J3524" s="31">
        <f>РЕАЛИЗАЦИЯ[[#This Row],[СОНИ]]*РЕАЛИЗАЦИЯ[[#This Row],[ТАННАРХ]]</f>
        <v>0</v>
      </c>
      <c r="K3524" s="31">
        <f>РЕАЛИЗАЦИЯ[[#This Row],[ЖАМИ]]-РЕАЛИЗАЦИЯ[[#This Row],[ЖАМИ2]]</f>
        <v>0</v>
      </c>
      <c r="L3524" s="31"/>
    </row>
    <row r="3525" spans="3:12" x14ac:dyDescent="0.3">
      <c r="C3525" s="265"/>
      <c r="D3525" s="265"/>
      <c r="G3525" s="50">
        <f>РЕАЛИЗАЦИЯ[[#This Row],[СОНИ]]*РЕАЛИЗАЦИЯ[[#This Row],[НАРХИ]]</f>
        <v>0</v>
      </c>
      <c r="I3525" s="166"/>
      <c r="J3525" s="31">
        <f>РЕАЛИЗАЦИЯ[[#This Row],[СОНИ]]*РЕАЛИЗАЦИЯ[[#This Row],[ТАННАРХ]]</f>
        <v>0</v>
      </c>
      <c r="K3525" s="31">
        <f>РЕАЛИЗАЦИЯ[[#This Row],[ЖАМИ]]-РЕАЛИЗАЦИЯ[[#This Row],[ЖАМИ2]]</f>
        <v>0</v>
      </c>
      <c r="L3525" s="31"/>
    </row>
    <row r="3526" spans="3:12" x14ac:dyDescent="0.3">
      <c r="C3526" s="265"/>
      <c r="D3526" s="265"/>
      <c r="G3526" s="50">
        <f>РЕАЛИЗАЦИЯ[[#This Row],[СОНИ]]*РЕАЛИЗАЦИЯ[[#This Row],[НАРХИ]]</f>
        <v>0</v>
      </c>
      <c r="I3526" s="166"/>
      <c r="J3526" s="31">
        <f>РЕАЛИЗАЦИЯ[[#This Row],[СОНИ]]*РЕАЛИЗАЦИЯ[[#This Row],[ТАННАРХ]]</f>
        <v>0</v>
      </c>
      <c r="K3526" s="31">
        <f>РЕАЛИЗАЦИЯ[[#This Row],[ЖАМИ]]-РЕАЛИЗАЦИЯ[[#This Row],[ЖАМИ2]]</f>
        <v>0</v>
      </c>
      <c r="L3526" s="31"/>
    </row>
    <row r="3527" spans="3:12" x14ac:dyDescent="0.3">
      <c r="C3527" s="265"/>
      <c r="D3527" s="265"/>
      <c r="G3527" s="50">
        <f>РЕАЛИЗАЦИЯ[[#This Row],[СОНИ]]*РЕАЛИЗАЦИЯ[[#This Row],[НАРХИ]]</f>
        <v>0</v>
      </c>
      <c r="I3527" s="166"/>
      <c r="J3527" s="31">
        <f>РЕАЛИЗАЦИЯ[[#This Row],[СОНИ]]*РЕАЛИЗАЦИЯ[[#This Row],[ТАННАРХ]]</f>
        <v>0</v>
      </c>
      <c r="K3527" s="31">
        <f>РЕАЛИЗАЦИЯ[[#This Row],[ЖАМИ]]-РЕАЛИЗАЦИЯ[[#This Row],[ЖАМИ2]]</f>
        <v>0</v>
      </c>
      <c r="L3527" s="31"/>
    </row>
    <row r="3528" spans="3:12" x14ac:dyDescent="0.3">
      <c r="C3528" s="265"/>
      <c r="D3528" s="265"/>
      <c r="G3528" s="50">
        <f>РЕАЛИЗАЦИЯ[[#This Row],[СОНИ]]*РЕАЛИЗАЦИЯ[[#This Row],[НАРХИ]]</f>
        <v>0</v>
      </c>
      <c r="I3528" s="166"/>
      <c r="J3528" s="31">
        <f>РЕАЛИЗАЦИЯ[[#This Row],[СОНИ]]*РЕАЛИЗАЦИЯ[[#This Row],[ТАННАРХ]]</f>
        <v>0</v>
      </c>
      <c r="K3528" s="31">
        <f>РЕАЛИЗАЦИЯ[[#This Row],[ЖАМИ]]-РЕАЛИЗАЦИЯ[[#This Row],[ЖАМИ2]]</f>
        <v>0</v>
      </c>
      <c r="L3528" s="31"/>
    </row>
    <row r="3529" spans="3:12" x14ac:dyDescent="0.3">
      <c r="C3529" s="265"/>
      <c r="D3529" s="265"/>
      <c r="G3529" s="50">
        <f>РЕАЛИЗАЦИЯ[[#This Row],[СОНИ]]*РЕАЛИЗАЦИЯ[[#This Row],[НАРХИ]]</f>
        <v>0</v>
      </c>
      <c r="I3529" s="166"/>
      <c r="J3529" s="31">
        <f>РЕАЛИЗАЦИЯ[[#This Row],[СОНИ]]*РЕАЛИЗАЦИЯ[[#This Row],[ТАННАРХ]]</f>
        <v>0</v>
      </c>
      <c r="K3529" s="31">
        <f>РЕАЛИЗАЦИЯ[[#This Row],[ЖАМИ]]-РЕАЛИЗАЦИЯ[[#This Row],[ЖАМИ2]]</f>
        <v>0</v>
      </c>
      <c r="L3529" s="31"/>
    </row>
    <row r="3530" spans="3:12" x14ac:dyDescent="0.3">
      <c r="C3530" s="265"/>
      <c r="D3530" s="265"/>
      <c r="G3530" s="50">
        <f>РЕАЛИЗАЦИЯ[[#This Row],[СОНИ]]*РЕАЛИЗАЦИЯ[[#This Row],[НАРХИ]]</f>
        <v>0</v>
      </c>
      <c r="I3530" s="166"/>
      <c r="J3530" s="31">
        <f>РЕАЛИЗАЦИЯ[[#This Row],[СОНИ]]*РЕАЛИЗАЦИЯ[[#This Row],[ТАННАРХ]]</f>
        <v>0</v>
      </c>
      <c r="K3530" s="31">
        <f>РЕАЛИЗАЦИЯ[[#This Row],[ЖАМИ]]-РЕАЛИЗАЦИЯ[[#This Row],[ЖАМИ2]]</f>
        <v>0</v>
      </c>
      <c r="L3530" s="31"/>
    </row>
    <row r="3531" spans="3:12" x14ac:dyDescent="0.3">
      <c r="C3531" s="265"/>
      <c r="D3531" s="265"/>
      <c r="G3531" s="50">
        <f>РЕАЛИЗАЦИЯ[[#This Row],[СОНИ]]*РЕАЛИЗАЦИЯ[[#This Row],[НАРХИ]]</f>
        <v>0</v>
      </c>
      <c r="I3531" s="166"/>
      <c r="J3531" s="31">
        <f>РЕАЛИЗАЦИЯ[[#This Row],[СОНИ]]*РЕАЛИЗАЦИЯ[[#This Row],[ТАННАРХ]]</f>
        <v>0</v>
      </c>
      <c r="K3531" s="31">
        <f>РЕАЛИЗАЦИЯ[[#This Row],[ЖАМИ]]-РЕАЛИЗАЦИЯ[[#This Row],[ЖАМИ2]]</f>
        <v>0</v>
      </c>
      <c r="L3531" s="31"/>
    </row>
    <row r="3532" spans="3:12" x14ac:dyDescent="0.3">
      <c r="C3532" s="265"/>
      <c r="D3532" s="265"/>
      <c r="G3532" s="50">
        <f>РЕАЛИЗАЦИЯ[[#This Row],[СОНИ]]*РЕАЛИЗАЦИЯ[[#This Row],[НАРХИ]]</f>
        <v>0</v>
      </c>
      <c r="I3532" s="166"/>
      <c r="J3532" s="31">
        <f>РЕАЛИЗАЦИЯ[[#This Row],[СОНИ]]*РЕАЛИЗАЦИЯ[[#This Row],[ТАННАРХ]]</f>
        <v>0</v>
      </c>
      <c r="K3532" s="31">
        <f>РЕАЛИЗАЦИЯ[[#This Row],[ЖАМИ]]-РЕАЛИЗАЦИЯ[[#This Row],[ЖАМИ2]]</f>
        <v>0</v>
      </c>
      <c r="L3532" s="31"/>
    </row>
    <row r="3533" spans="3:12" x14ac:dyDescent="0.3">
      <c r="C3533" s="266"/>
      <c r="D3533" s="266"/>
      <c r="G3533" s="50">
        <f>РЕАЛИЗАЦИЯ[[#This Row],[СОНИ]]*РЕАЛИЗАЦИЯ[[#This Row],[НАРХИ]]</f>
        <v>0</v>
      </c>
      <c r="I3533" s="166"/>
      <c r="J3533" s="31">
        <f>РЕАЛИЗАЦИЯ[[#This Row],[СОНИ]]*РЕАЛИЗАЦИЯ[[#This Row],[ТАННАРХ]]</f>
        <v>0</v>
      </c>
      <c r="K3533" s="31">
        <f>РЕАЛИЗАЦИЯ[[#This Row],[ЖАМИ]]-РЕАЛИЗАЦИЯ[[#This Row],[ЖАМИ2]]</f>
        <v>0</v>
      </c>
      <c r="L3533" s="31"/>
    </row>
    <row r="3534" spans="3:12" x14ac:dyDescent="0.3">
      <c r="C3534" s="266"/>
      <c r="D3534" s="266"/>
      <c r="G3534" s="50">
        <f>РЕАЛИЗАЦИЯ[[#This Row],[СОНИ]]*РЕАЛИЗАЦИЯ[[#This Row],[НАРХИ]]</f>
        <v>0</v>
      </c>
      <c r="I3534" s="166"/>
      <c r="J3534" s="31">
        <f>РЕАЛИЗАЦИЯ[[#This Row],[СОНИ]]*РЕАЛИЗАЦИЯ[[#This Row],[ТАННАРХ]]</f>
        <v>0</v>
      </c>
      <c r="K3534" s="31">
        <f>РЕАЛИЗАЦИЯ[[#This Row],[ЖАМИ]]-РЕАЛИЗАЦИЯ[[#This Row],[ЖАМИ2]]</f>
        <v>0</v>
      </c>
      <c r="L3534" s="31"/>
    </row>
    <row r="3535" spans="3:12" x14ac:dyDescent="0.3">
      <c r="C3535" s="266"/>
      <c r="D3535" s="266"/>
      <c r="G3535" s="50">
        <f>РЕАЛИЗАЦИЯ[[#This Row],[СОНИ]]*РЕАЛИЗАЦИЯ[[#This Row],[НАРХИ]]</f>
        <v>0</v>
      </c>
      <c r="I3535" s="166"/>
      <c r="J3535" s="31">
        <f>РЕАЛИЗАЦИЯ[[#This Row],[СОНИ]]*РЕАЛИЗАЦИЯ[[#This Row],[ТАННАРХ]]</f>
        <v>0</v>
      </c>
      <c r="K3535" s="31">
        <f>РЕАЛИЗАЦИЯ[[#This Row],[ЖАМИ]]-РЕАЛИЗАЦИЯ[[#This Row],[ЖАМИ2]]</f>
        <v>0</v>
      </c>
      <c r="L3535" s="31"/>
    </row>
    <row r="3536" spans="3:12" x14ac:dyDescent="0.3">
      <c r="C3536" s="266"/>
      <c r="D3536" s="266"/>
      <c r="G3536" s="50">
        <f>РЕАЛИЗАЦИЯ[[#This Row],[СОНИ]]*РЕАЛИЗАЦИЯ[[#This Row],[НАРХИ]]</f>
        <v>0</v>
      </c>
      <c r="I3536" s="166"/>
      <c r="J3536" s="31">
        <f>РЕАЛИЗАЦИЯ[[#This Row],[СОНИ]]*РЕАЛИЗАЦИЯ[[#This Row],[ТАННАРХ]]</f>
        <v>0</v>
      </c>
      <c r="K3536" s="31">
        <f>РЕАЛИЗАЦИЯ[[#This Row],[ЖАМИ]]-РЕАЛИЗАЦИЯ[[#This Row],[ЖАМИ2]]</f>
        <v>0</v>
      </c>
      <c r="L3536" s="31"/>
    </row>
    <row r="3537" spans="3:12" x14ac:dyDescent="0.3">
      <c r="C3537" s="266"/>
      <c r="D3537" s="266"/>
      <c r="G3537" s="50">
        <f>РЕАЛИЗАЦИЯ[[#This Row],[СОНИ]]*РЕАЛИЗАЦИЯ[[#This Row],[НАРХИ]]</f>
        <v>0</v>
      </c>
      <c r="I3537" s="166"/>
      <c r="J3537" s="31">
        <f>РЕАЛИЗАЦИЯ[[#This Row],[СОНИ]]*РЕАЛИЗАЦИЯ[[#This Row],[ТАННАРХ]]</f>
        <v>0</v>
      </c>
      <c r="K3537" s="31">
        <f>РЕАЛИЗАЦИЯ[[#This Row],[ЖАМИ]]-РЕАЛИЗАЦИЯ[[#This Row],[ЖАМИ2]]</f>
        <v>0</v>
      </c>
      <c r="L3537" s="31"/>
    </row>
    <row r="3538" spans="3:12" x14ac:dyDescent="0.3">
      <c r="C3538" s="266"/>
      <c r="D3538" s="266"/>
      <c r="G3538" s="50">
        <f>РЕАЛИЗАЦИЯ[[#This Row],[СОНИ]]*РЕАЛИЗАЦИЯ[[#This Row],[НАРХИ]]</f>
        <v>0</v>
      </c>
      <c r="I3538" s="166"/>
      <c r="J3538" s="31">
        <f>РЕАЛИЗАЦИЯ[[#This Row],[СОНИ]]*РЕАЛИЗАЦИЯ[[#This Row],[ТАННАРХ]]</f>
        <v>0</v>
      </c>
      <c r="K3538" s="31">
        <f>РЕАЛИЗАЦИЯ[[#This Row],[ЖАМИ]]-РЕАЛИЗАЦИЯ[[#This Row],[ЖАМИ2]]</f>
        <v>0</v>
      </c>
      <c r="L3538" s="31"/>
    </row>
    <row r="3539" spans="3:12" x14ac:dyDescent="0.3">
      <c r="C3539" s="266"/>
      <c r="D3539" s="266"/>
      <c r="G3539" s="50">
        <f>РЕАЛИЗАЦИЯ[[#This Row],[СОНИ]]*РЕАЛИЗАЦИЯ[[#This Row],[НАРХИ]]</f>
        <v>0</v>
      </c>
      <c r="I3539" s="166"/>
      <c r="J3539" s="31">
        <f>РЕАЛИЗАЦИЯ[[#This Row],[СОНИ]]*РЕАЛИЗАЦИЯ[[#This Row],[ТАННАРХ]]</f>
        <v>0</v>
      </c>
      <c r="K3539" s="31">
        <f>РЕАЛИЗАЦИЯ[[#This Row],[ЖАМИ]]-РЕАЛИЗАЦИЯ[[#This Row],[ЖАМИ2]]</f>
        <v>0</v>
      </c>
      <c r="L3539" s="31"/>
    </row>
    <row r="3540" spans="3:12" x14ac:dyDescent="0.3">
      <c r="C3540" s="266"/>
      <c r="D3540" s="266"/>
      <c r="G3540" s="50">
        <f>РЕАЛИЗАЦИЯ[[#This Row],[СОНИ]]*РЕАЛИЗАЦИЯ[[#This Row],[НАРХИ]]</f>
        <v>0</v>
      </c>
      <c r="I3540" s="166"/>
      <c r="J3540" s="31">
        <f>РЕАЛИЗАЦИЯ[[#This Row],[СОНИ]]*РЕАЛИЗАЦИЯ[[#This Row],[ТАННАРХ]]</f>
        <v>0</v>
      </c>
      <c r="K3540" s="31">
        <f>РЕАЛИЗАЦИЯ[[#This Row],[ЖАМИ]]-РЕАЛИЗАЦИЯ[[#This Row],[ЖАМИ2]]</f>
        <v>0</v>
      </c>
      <c r="L3540" s="31"/>
    </row>
    <row r="3541" spans="3:12" x14ac:dyDescent="0.3">
      <c r="C3541" s="266"/>
      <c r="D3541" s="266"/>
      <c r="G3541" s="50">
        <f>РЕАЛИЗАЦИЯ[[#This Row],[СОНИ]]*РЕАЛИЗАЦИЯ[[#This Row],[НАРХИ]]</f>
        <v>0</v>
      </c>
      <c r="I3541" s="166"/>
      <c r="J3541" s="31">
        <f>РЕАЛИЗАЦИЯ[[#This Row],[СОНИ]]*РЕАЛИЗАЦИЯ[[#This Row],[ТАННАРХ]]</f>
        <v>0</v>
      </c>
      <c r="K3541" s="31">
        <f>РЕАЛИЗАЦИЯ[[#This Row],[ЖАМИ]]-РЕАЛИЗАЦИЯ[[#This Row],[ЖАМИ2]]</f>
        <v>0</v>
      </c>
      <c r="L3541" s="31"/>
    </row>
    <row r="3542" spans="3:12" x14ac:dyDescent="0.3">
      <c r="C3542" s="266"/>
      <c r="D3542" s="266"/>
      <c r="G3542" s="50">
        <f>РЕАЛИЗАЦИЯ[[#This Row],[СОНИ]]*РЕАЛИЗАЦИЯ[[#This Row],[НАРХИ]]</f>
        <v>0</v>
      </c>
      <c r="I3542" s="166"/>
      <c r="J3542" s="31">
        <f>РЕАЛИЗАЦИЯ[[#This Row],[СОНИ]]*РЕАЛИЗАЦИЯ[[#This Row],[ТАННАРХ]]</f>
        <v>0</v>
      </c>
      <c r="K3542" s="31">
        <f>РЕАЛИЗАЦИЯ[[#This Row],[ЖАМИ]]-РЕАЛИЗАЦИЯ[[#This Row],[ЖАМИ2]]</f>
        <v>0</v>
      </c>
      <c r="L3542" s="31"/>
    </row>
    <row r="3543" spans="3:12" x14ac:dyDescent="0.3">
      <c r="C3543" s="266"/>
      <c r="D3543" s="266"/>
      <c r="G3543" s="50">
        <f>РЕАЛИЗАЦИЯ[[#This Row],[СОНИ]]*РЕАЛИЗАЦИЯ[[#This Row],[НАРХИ]]</f>
        <v>0</v>
      </c>
      <c r="I3543" s="166"/>
      <c r="J3543" s="31">
        <f>РЕАЛИЗАЦИЯ[[#This Row],[СОНИ]]*РЕАЛИЗАЦИЯ[[#This Row],[ТАННАРХ]]</f>
        <v>0</v>
      </c>
      <c r="K3543" s="31">
        <f>РЕАЛИЗАЦИЯ[[#This Row],[ЖАМИ]]-РЕАЛИЗАЦИЯ[[#This Row],[ЖАМИ2]]</f>
        <v>0</v>
      </c>
      <c r="L3543" s="31"/>
    </row>
    <row r="3544" spans="3:12" x14ac:dyDescent="0.3">
      <c r="C3544" s="266"/>
      <c r="D3544" s="266"/>
      <c r="G3544" s="50">
        <f>РЕАЛИЗАЦИЯ[[#This Row],[СОНИ]]*РЕАЛИЗАЦИЯ[[#This Row],[НАРХИ]]</f>
        <v>0</v>
      </c>
      <c r="I3544" s="166"/>
      <c r="J3544" s="31">
        <f>РЕАЛИЗАЦИЯ[[#This Row],[СОНИ]]*РЕАЛИЗАЦИЯ[[#This Row],[ТАННАРХ]]</f>
        <v>0</v>
      </c>
      <c r="K3544" s="31">
        <f>РЕАЛИЗАЦИЯ[[#This Row],[ЖАМИ]]-РЕАЛИЗАЦИЯ[[#This Row],[ЖАМИ2]]</f>
        <v>0</v>
      </c>
      <c r="L3544" s="31"/>
    </row>
    <row r="3545" spans="3:12" x14ac:dyDescent="0.3">
      <c r="C3545" s="266"/>
      <c r="D3545" s="266"/>
      <c r="G3545" s="50">
        <f>РЕАЛИЗАЦИЯ[[#This Row],[СОНИ]]*РЕАЛИЗАЦИЯ[[#This Row],[НАРХИ]]</f>
        <v>0</v>
      </c>
      <c r="I3545" s="166"/>
      <c r="J3545" s="31">
        <f>РЕАЛИЗАЦИЯ[[#This Row],[СОНИ]]*РЕАЛИЗАЦИЯ[[#This Row],[ТАННАРХ]]</f>
        <v>0</v>
      </c>
      <c r="K3545" s="31">
        <f>РЕАЛИЗАЦИЯ[[#This Row],[ЖАМИ]]-РЕАЛИЗАЦИЯ[[#This Row],[ЖАМИ2]]</f>
        <v>0</v>
      </c>
      <c r="L3545" s="31"/>
    </row>
    <row r="3546" spans="3:12" x14ac:dyDescent="0.3">
      <c r="C3546" s="267"/>
      <c r="D3546" s="267"/>
      <c r="G3546" s="50">
        <f>РЕАЛИЗАЦИЯ[[#This Row],[СОНИ]]*РЕАЛИЗАЦИЯ[[#This Row],[НАРХИ]]</f>
        <v>0</v>
      </c>
      <c r="I3546" s="166"/>
      <c r="J3546" s="31">
        <f>РЕАЛИЗАЦИЯ[[#This Row],[СОНИ]]*РЕАЛИЗАЦИЯ[[#This Row],[ТАННАРХ]]</f>
        <v>0</v>
      </c>
      <c r="K3546" s="31">
        <f>РЕАЛИЗАЦИЯ[[#This Row],[ЖАМИ]]-РЕАЛИЗАЦИЯ[[#This Row],[ЖАМИ2]]</f>
        <v>0</v>
      </c>
      <c r="L3546" s="31"/>
    </row>
    <row r="3547" spans="3:12" x14ac:dyDescent="0.3">
      <c r="C3547" s="266"/>
      <c r="D3547" s="266"/>
      <c r="G3547" s="50">
        <f>РЕАЛИЗАЦИЯ[[#This Row],[СОНИ]]*РЕАЛИЗАЦИЯ[[#This Row],[НАРХИ]]</f>
        <v>0</v>
      </c>
      <c r="I3547" s="166"/>
      <c r="J3547" s="31">
        <f>РЕАЛИЗАЦИЯ[[#This Row],[СОНИ]]*РЕАЛИЗАЦИЯ[[#This Row],[ТАННАРХ]]</f>
        <v>0</v>
      </c>
      <c r="K3547" s="31">
        <f>РЕАЛИЗАЦИЯ[[#This Row],[ЖАМИ]]-РЕАЛИЗАЦИЯ[[#This Row],[ЖАМИ2]]</f>
        <v>0</v>
      </c>
      <c r="L3547" s="31"/>
    </row>
    <row r="3548" spans="3:12" x14ac:dyDescent="0.3">
      <c r="C3548" s="266"/>
      <c r="D3548" s="266"/>
      <c r="G3548" s="50">
        <f>РЕАЛИЗАЦИЯ[[#This Row],[СОНИ]]*РЕАЛИЗАЦИЯ[[#This Row],[НАРХИ]]</f>
        <v>0</v>
      </c>
      <c r="I3548" s="166"/>
      <c r="J3548" s="31">
        <f>РЕАЛИЗАЦИЯ[[#This Row],[СОНИ]]*РЕАЛИЗАЦИЯ[[#This Row],[ТАННАРХ]]</f>
        <v>0</v>
      </c>
      <c r="K3548" s="31">
        <f>РЕАЛИЗАЦИЯ[[#This Row],[ЖАМИ]]-РЕАЛИЗАЦИЯ[[#This Row],[ЖАМИ2]]</f>
        <v>0</v>
      </c>
      <c r="L3548" s="31"/>
    </row>
    <row r="3549" spans="3:12" x14ac:dyDescent="0.3">
      <c r="C3549" s="266"/>
      <c r="D3549" s="266"/>
      <c r="G3549" s="50">
        <f>РЕАЛИЗАЦИЯ[[#This Row],[СОНИ]]*РЕАЛИЗАЦИЯ[[#This Row],[НАРХИ]]</f>
        <v>0</v>
      </c>
      <c r="I3549" s="166"/>
      <c r="J3549" s="31">
        <f>РЕАЛИЗАЦИЯ[[#This Row],[СОНИ]]*РЕАЛИЗАЦИЯ[[#This Row],[ТАННАРХ]]</f>
        <v>0</v>
      </c>
      <c r="K3549" s="31">
        <f>РЕАЛИЗАЦИЯ[[#This Row],[ЖАМИ]]-РЕАЛИЗАЦИЯ[[#This Row],[ЖАМИ2]]</f>
        <v>0</v>
      </c>
      <c r="L3549" s="31"/>
    </row>
    <row r="3550" spans="3:12" x14ac:dyDescent="0.3">
      <c r="C3550" s="266"/>
      <c r="D3550" s="266"/>
      <c r="G3550" s="50">
        <f>РЕАЛИЗАЦИЯ[[#This Row],[СОНИ]]*РЕАЛИЗАЦИЯ[[#This Row],[НАРХИ]]</f>
        <v>0</v>
      </c>
      <c r="I3550" s="166"/>
      <c r="J3550" s="31">
        <f>РЕАЛИЗАЦИЯ[[#This Row],[СОНИ]]*РЕАЛИЗАЦИЯ[[#This Row],[ТАННАРХ]]</f>
        <v>0</v>
      </c>
      <c r="K3550" s="31">
        <f>РЕАЛИЗАЦИЯ[[#This Row],[ЖАМИ]]-РЕАЛИЗАЦИЯ[[#This Row],[ЖАМИ2]]</f>
        <v>0</v>
      </c>
      <c r="L3550" s="31"/>
    </row>
    <row r="3551" spans="3:12" x14ac:dyDescent="0.3">
      <c r="C3551" s="266"/>
      <c r="D3551" s="266"/>
      <c r="G3551" s="50">
        <f>РЕАЛИЗАЦИЯ[[#This Row],[СОНИ]]*РЕАЛИЗАЦИЯ[[#This Row],[НАРХИ]]</f>
        <v>0</v>
      </c>
      <c r="I3551" s="166"/>
      <c r="J3551" s="31">
        <f>РЕАЛИЗАЦИЯ[[#This Row],[СОНИ]]*РЕАЛИЗАЦИЯ[[#This Row],[ТАННАРХ]]</f>
        <v>0</v>
      </c>
      <c r="K3551" s="31">
        <f>РЕАЛИЗАЦИЯ[[#This Row],[ЖАМИ]]-РЕАЛИЗАЦИЯ[[#This Row],[ЖАМИ2]]</f>
        <v>0</v>
      </c>
      <c r="L3551" s="31"/>
    </row>
    <row r="3552" spans="3:12" x14ac:dyDescent="0.3">
      <c r="C3552" s="266"/>
      <c r="D3552" s="266"/>
      <c r="G3552" s="50">
        <f>РЕАЛИЗАЦИЯ[[#This Row],[СОНИ]]*РЕАЛИЗАЦИЯ[[#This Row],[НАРХИ]]</f>
        <v>0</v>
      </c>
      <c r="I3552" s="166"/>
      <c r="J3552" s="31">
        <f>РЕАЛИЗАЦИЯ[[#This Row],[СОНИ]]*РЕАЛИЗАЦИЯ[[#This Row],[ТАННАРХ]]</f>
        <v>0</v>
      </c>
      <c r="K3552" s="31">
        <f>РЕАЛИЗАЦИЯ[[#This Row],[ЖАМИ]]-РЕАЛИЗАЦИЯ[[#This Row],[ЖАМИ2]]</f>
        <v>0</v>
      </c>
      <c r="L3552" s="31"/>
    </row>
    <row r="3553" spans="1:12" x14ac:dyDescent="0.3">
      <c r="C3553" s="266"/>
      <c r="D3553" s="266"/>
      <c r="G3553" s="50">
        <f>РЕАЛИЗАЦИЯ[[#This Row],[СОНИ]]*РЕАЛИЗАЦИЯ[[#This Row],[НАРХИ]]</f>
        <v>0</v>
      </c>
      <c r="I3553" s="166"/>
      <c r="J3553" s="31">
        <f>РЕАЛИЗАЦИЯ[[#This Row],[СОНИ]]*РЕАЛИЗАЦИЯ[[#This Row],[ТАННАРХ]]</f>
        <v>0</v>
      </c>
      <c r="K3553" s="31">
        <f>РЕАЛИЗАЦИЯ[[#This Row],[ЖАМИ]]-РЕАЛИЗАЦИЯ[[#This Row],[ЖАМИ2]]</f>
        <v>0</v>
      </c>
      <c r="L3553" s="31"/>
    </row>
    <row r="3554" spans="1:12" x14ac:dyDescent="0.3">
      <c r="C3554" s="266"/>
      <c r="D3554" s="266"/>
      <c r="G3554" s="50">
        <f>РЕАЛИЗАЦИЯ[[#This Row],[СОНИ]]*РЕАЛИЗАЦИЯ[[#This Row],[НАРХИ]]</f>
        <v>0</v>
      </c>
      <c r="I3554" s="166"/>
      <c r="J3554" s="31">
        <f>РЕАЛИЗАЦИЯ[[#This Row],[СОНИ]]*РЕАЛИЗАЦИЯ[[#This Row],[ТАННАРХ]]</f>
        <v>0</v>
      </c>
      <c r="K3554" s="31">
        <f>РЕАЛИЗАЦИЯ[[#This Row],[ЖАМИ]]-РЕАЛИЗАЦИЯ[[#This Row],[ЖАМИ2]]</f>
        <v>0</v>
      </c>
      <c r="L3554" s="31"/>
    </row>
    <row r="3555" spans="1:12" s="267" customFormat="1" x14ac:dyDescent="0.3">
      <c r="A3555" s="3"/>
      <c r="B3555" s="4"/>
      <c r="C3555" s="266"/>
      <c r="D3555" s="266"/>
      <c r="E3555" s="31"/>
      <c r="F3555" s="31"/>
      <c r="G3555" s="50">
        <f>РЕАЛИЗАЦИЯ[[#This Row],[СОНИ]]*РЕАЛИЗАЦИЯ[[#This Row],[НАРХИ]]</f>
        <v>0</v>
      </c>
      <c r="H3555" s="31"/>
      <c r="I3555" s="166"/>
      <c r="J3555" s="31">
        <f>РЕАЛИЗАЦИЯ[[#This Row],[СОНИ]]*РЕАЛИЗАЦИЯ[[#This Row],[ТАННАРХ]]</f>
        <v>0</v>
      </c>
      <c r="K3555" s="31">
        <f>РЕАЛИЗАЦИЯ[[#This Row],[ЖАМИ]]-РЕАЛИЗАЦИЯ[[#This Row],[ЖАМИ2]]</f>
        <v>0</v>
      </c>
      <c r="L3555" s="31"/>
    </row>
    <row r="3556" spans="1:12" x14ac:dyDescent="0.3">
      <c r="C3556" s="266"/>
      <c r="D3556" s="266"/>
      <c r="G3556" s="50">
        <f>РЕАЛИЗАЦИЯ[[#This Row],[СОНИ]]*РЕАЛИЗАЦИЯ[[#This Row],[НАРХИ]]</f>
        <v>0</v>
      </c>
      <c r="I3556" s="166"/>
      <c r="J3556" s="31">
        <f>РЕАЛИЗАЦИЯ[[#This Row],[СОНИ]]*РЕАЛИЗАЦИЯ[[#This Row],[ТАННАРХ]]</f>
        <v>0</v>
      </c>
      <c r="K3556" s="31">
        <f>РЕАЛИЗАЦИЯ[[#This Row],[ЖАМИ]]-РЕАЛИЗАЦИЯ[[#This Row],[ЖАМИ2]]</f>
        <v>0</v>
      </c>
      <c r="L3556" s="31"/>
    </row>
    <row r="3557" spans="1:12" x14ac:dyDescent="0.3">
      <c r="C3557" s="266"/>
      <c r="D3557" s="266"/>
      <c r="G3557" s="50">
        <f>РЕАЛИЗАЦИЯ[[#This Row],[СОНИ]]*РЕАЛИЗАЦИЯ[[#This Row],[НАРХИ]]</f>
        <v>0</v>
      </c>
      <c r="I3557" s="166"/>
      <c r="J3557" s="31">
        <f>РЕАЛИЗАЦИЯ[[#This Row],[СОНИ]]*РЕАЛИЗАЦИЯ[[#This Row],[ТАННАРХ]]</f>
        <v>0</v>
      </c>
      <c r="K3557" s="31">
        <f>РЕАЛИЗАЦИЯ[[#This Row],[ЖАМИ]]-РЕАЛИЗАЦИЯ[[#This Row],[ЖАМИ2]]</f>
        <v>0</v>
      </c>
      <c r="L3557" s="31"/>
    </row>
    <row r="3558" spans="1:12" x14ac:dyDescent="0.3">
      <c r="C3558" s="266"/>
      <c r="D3558" s="266"/>
      <c r="G3558" s="50">
        <f>РЕАЛИЗАЦИЯ[[#This Row],[СОНИ]]*РЕАЛИЗАЦИЯ[[#This Row],[НАРХИ]]</f>
        <v>0</v>
      </c>
      <c r="I3558" s="166"/>
      <c r="J3558" s="31">
        <f>РЕАЛИЗАЦИЯ[[#This Row],[СОНИ]]*РЕАЛИЗАЦИЯ[[#This Row],[ТАННАРХ]]</f>
        <v>0</v>
      </c>
      <c r="K3558" s="31">
        <f>РЕАЛИЗАЦИЯ[[#This Row],[ЖАМИ]]-РЕАЛИЗАЦИЯ[[#This Row],[ЖАМИ2]]</f>
        <v>0</v>
      </c>
      <c r="L3558" s="31"/>
    </row>
    <row r="3559" spans="1:12" x14ac:dyDescent="0.3">
      <c r="C3559" s="266"/>
      <c r="D3559" s="266"/>
      <c r="G3559" s="50">
        <f>РЕАЛИЗАЦИЯ[[#This Row],[СОНИ]]*РЕАЛИЗАЦИЯ[[#This Row],[НАРХИ]]</f>
        <v>0</v>
      </c>
      <c r="I3559" s="166"/>
      <c r="J3559" s="31">
        <f>РЕАЛИЗАЦИЯ[[#This Row],[СОНИ]]*РЕАЛИЗАЦИЯ[[#This Row],[ТАННАРХ]]</f>
        <v>0</v>
      </c>
      <c r="K3559" s="31">
        <f>РЕАЛИЗАЦИЯ[[#This Row],[ЖАМИ]]-РЕАЛИЗАЦИЯ[[#This Row],[ЖАМИ2]]</f>
        <v>0</v>
      </c>
      <c r="L3559" s="31"/>
    </row>
    <row r="3560" spans="1:12" x14ac:dyDescent="0.3">
      <c r="C3560" s="267"/>
      <c r="D3560" s="267"/>
      <c r="G3560" s="50">
        <f>РЕАЛИЗАЦИЯ[[#This Row],[СОНИ]]*РЕАЛИЗАЦИЯ[[#This Row],[НАРХИ]]</f>
        <v>0</v>
      </c>
      <c r="I3560" s="166"/>
      <c r="J3560" s="31">
        <f>РЕАЛИЗАЦИЯ[[#This Row],[СОНИ]]*РЕАЛИЗАЦИЯ[[#This Row],[ТАННАРХ]]</f>
        <v>0</v>
      </c>
      <c r="K3560" s="31">
        <f>РЕАЛИЗАЦИЯ[[#This Row],[ЖАМИ]]-РЕАЛИЗАЦИЯ[[#This Row],[ЖАМИ2]]</f>
        <v>0</v>
      </c>
      <c r="L3560" s="31"/>
    </row>
    <row r="3561" spans="1:12" s="268" customFormat="1" x14ac:dyDescent="0.3">
      <c r="A3561" s="3"/>
      <c r="B3561" s="4"/>
      <c r="C3561" s="266"/>
      <c r="D3561" s="266"/>
      <c r="E3561" s="31"/>
      <c r="F3561" s="31"/>
      <c r="G3561" s="50">
        <f>РЕАЛИЗАЦИЯ[[#This Row],[СОНИ]]*РЕАЛИЗАЦИЯ[[#This Row],[НАРХИ]]</f>
        <v>0</v>
      </c>
      <c r="H3561" s="31"/>
      <c r="I3561" s="166"/>
      <c r="J3561" s="31">
        <f>РЕАЛИЗАЦИЯ[[#This Row],[СОНИ]]*РЕАЛИЗАЦИЯ[[#This Row],[ТАННАРХ]]</f>
        <v>0</v>
      </c>
      <c r="K3561" s="31">
        <f>РЕАЛИЗАЦИЯ[[#This Row],[ЖАМИ]]-РЕАЛИЗАЦИЯ[[#This Row],[ЖАМИ2]]</f>
        <v>0</v>
      </c>
      <c r="L3561" s="31"/>
    </row>
    <row r="3562" spans="1:12" x14ac:dyDescent="0.3">
      <c r="C3562" s="266"/>
      <c r="D3562" s="266"/>
      <c r="G3562" s="50">
        <f>РЕАЛИЗАЦИЯ[[#This Row],[СОНИ]]*РЕАЛИЗАЦИЯ[[#This Row],[НАРХИ]]</f>
        <v>0</v>
      </c>
      <c r="I3562" s="166"/>
      <c r="J3562" s="31">
        <f>РЕАЛИЗАЦИЯ[[#This Row],[СОНИ]]*РЕАЛИЗАЦИЯ[[#This Row],[ТАННАРХ]]</f>
        <v>0</v>
      </c>
      <c r="K3562" s="31">
        <f>РЕАЛИЗАЦИЯ[[#This Row],[ЖАМИ]]-РЕАЛИЗАЦИЯ[[#This Row],[ЖАМИ2]]</f>
        <v>0</v>
      </c>
      <c r="L3562" s="31"/>
    </row>
    <row r="3563" spans="1:12" x14ac:dyDescent="0.3">
      <c r="C3563" s="266"/>
      <c r="D3563" s="266"/>
      <c r="G3563" s="50">
        <f>РЕАЛИЗАЦИЯ[[#This Row],[СОНИ]]*РЕАЛИЗАЦИЯ[[#This Row],[НАРХИ]]</f>
        <v>0</v>
      </c>
      <c r="I3563" s="166"/>
      <c r="J3563" s="31">
        <f>РЕАЛИЗАЦИЯ[[#This Row],[СОНИ]]*РЕАЛИЗАЦИЯ[[#This Row],[ТАННАРХ]]</f>
        <v>0</v>
      </c>
      <c r="K3563" s="31">
        <f>РЕАЛИЗАЦИЯ[[#This Row],[ЖАМИ]]-РЕАЛИЗАЦИЯ[[#This Row],[ЖАМИ2]]</f>
        <v>0</v>
      </c>
      <c r="L3563" s="31"/>
    </row>
    <row r="3564" spans="1:12" x14ac:dyDescent="0.3">
      <c r="C3564" s="266"/>
      <c r="D3564" s="266"/>
      <c r="G3564" s="50">
        <f>РЕАЛИЗАЦИЯ[[#This Row],[СОНИ]]*РЕАЛИЗАЦИЯ[[#This Row],[НАРХИ]]</f>
        <v>0</v>
      </c>
      <c r="I3564" s="166"/>
      <c r="J3564" s="31">
        <f>РЕАЛИЗАЦИЯ[[#This Row],[СОНИ]]*РЕАЛИЗАЦИЯ[[#This Row],[ТАННАРХ]]</f>
        <v>0</v>
      </c>
      <c r="K3564" s="31">
        <f>РЕАЛИЗАЦИЯ[[#This Row],[ЖАМИ]]-РЕАЛИЗАЦИЯ[[#This Row],[ЖАМИ2]]</f>
        <v>0</v>
      </c>
      <c r="L3564" s="31"/>
    </row>
    <row r="3565" spans="1:12" x14ac:dyDescent="0.3">
      <c r="C3565" s="266"/>
      <c r="D3565" s="266"/>
      <c r="G3565" s="50">
        <f>РЕАЛИЗАЦИЯ[[#This Row],[СОНИ]]*РЕАЛИЗАЦИЯ[[#This Row],[НАРХИ]]</f>
        <v>0</v>
      </c>
      <c r="I3565" s="166"/>
      <c r="J3565" s="31">
        <f>РЕАЛИЗАЦИЯ[[#This Row],[СОНИ]]*РЕАЛИЗАЦИЯ[[#This Row],[ТАННАРХ]]</f>
        <v>0</v>
      </c>
      <c r="K3565" s="31">
        <f>РЕАЛИЗАЦИЯ[[#This Row],[ЖАМИ]]-РЕАЛИЗАЦИЯ[[#This Row],[ЖАМИ2]]</f>
        <v>0</v>
      </c>
      <c r="L3565" s="31"/>
    </row>
    <row r="3566" spans="1:12" x14ac:dyDescent="0.3">
      <c r="C3566" s="266"/>
      <c r="D3566" s="266"/>
      <c r="G3566" s="50">
        <f>РЕАЛИЗАЦИЯ[[#This Row],[СОНИ]]*РЕАЛИЗАЦИЯ[[#This Row],[НАРХИ]]</f>
        <v>0</v>
      </c>
      <c r="I3566" s="166"/>
      <c r="J3566" s="31">
        <f>РЕАЛИЗАЦИЯ[[#This Row],[СОНИ]]*РЕАЛИЗАЦИЯ[[#This Row],[ТАННАРХ]]</f>
        <v>0</v>
      </c>
      <c r="K3566" s="31">
        <f>РЕАЛИЗАЦИЯ[[#This Row],[ЖАМИ]]-РЕАЛИЗАЦИЯ[[#This Row],[ЖАМИ2]]</f>
        <v>0</v>
      </c>
      <c r="L3566" s="31"/>
    </row>
    <row r="3567" spans="1:12" x14ac:dyDescent="0.3">
      <c r="C3567" s="266"/>
      <c r="D3567" s="266"/>
      <c r="G3567" s="50">
        <f>РЕАЛИЗАЦИЯ[[#This Row],[СОНИ]]*РЕАЛИЗАЦИЯ[[#This Row],[НАРХИ]]</f>
        <v>0</v>
      </c>
      <c r="I3567" s="166"/>
      <c r="J3567" s="31">
        <f>РЕАЛИЗАЦИЯ[[#This Row],[СОНИ]]*РЕАЛИЗАЦИЯ[[#This Row],[ТАННАРХ]]</f>
        <v>0</v>
      </c>
      <c r="K3567" s="31">
        <f>РЕАЛИЗАЦИЯ[[#This Row],[ЖАМИ]]-РЕАЛИЗАЦИЯ[[#This Row],[ЖАМИ2]]</f>
        <v>0</v>
      </c>
      <c r="L3567" s="31"/>
    </row>
    <row r="3568" spans="1:12" x14ac:dyDescent="0.3">
      <c r="C3568" s="266"/>
      <c r="D3568" s="266"/>
      <c r="G3568" s="50">
        <f>РЕАЛИЗАЦИЯ[[#This Row],[СОНИ]]*РЕАЛИЗАЦИЯ[[#This Row],[НАРХИ]]</f>
        <v>0</v>
      </c>
      <c r="I3568" s="166"/>
      <c r="J3568" s="31">
        <f>РЕАЛИЗАЦИЯ[[#This Row],[СОНИ]]*РЕАЛИЗАЦИЯ[[#This Row],[ТАННАРХ]]</f>
        <v>0</v>
      </c>
      <c r="K3568" s="31">
        <f>РЕАЛИЗАЦИЯ[[#This Row],[ЖАМИ]]-РЕАЛИЗАЦИЯ[[#This Row],[ЖАМИ2]]</f>
        <v>0</v>
      </c>
      <c r="L3568" s="31"/>
    </row>
    <row r="3569" spans="1:12" x14ac:dyDescent="0.3">
      <c r="C3569" s="266"/>
      <c r="D3569" s="266"/>
      <c r="G3569" s="50">
        <f>РЕАЛИЗАЦИЯ[[#This Row],[СОНИ]]*РЕАЛИЗАЦИЯ[[#This Row],[НАРХИ]]</f>
        <v>0</v>
      </c>
      <c r="I3569" s="166"/>
      <c r="J3569" s="31">
        <f>РЕАЛИЗАЦИЯ[[#This Row],[СОНИ]]*РЕАЛИЗАЦИЯ[[#This Row],[ТАННАРХ]]</f>
        <v>0</v>
      </c>
      <c r="K3569" s="31">
        <f>РЕАЛИЗАЦИЯ[[#This Row],[ЖАМИ]]-РЕАЛИЗАЦИЯ[[#This Row],[ЖАМИ2]]</f>
        <v>0</v>
      </c>
      <c r="L3569" s="31"/>
    </row>
    <row r="3570" spans="1:12" s="267" customFormat="1" x14ac:dyDescent="0.3">
      <c r="A3570" s="3"/>
      <c r="B3570" s="4"/>
      <c r="C3570" s="266"/>
      <c r="D3570" s="266"/>
      <c r="E3570" s="31"/>
      <c r="F3570" s="31"/>
      <c r="G3570" s="50">
        <f>РЕАЛИЗАЦИЯ[[#This Row],[СОНИ]]*РЕАЛИЗАЦИЯ[[#This Row],[НАРХИ]]</f>
        <v>0</v>
      </c>
      <c r="H3570" s="31"/>
      <c r="I3570" s="166"/>
      <c r="J3570" s="31">
        <f>РЕАЛИЗАЦИЯ[[#This Row],[СОНИ]]*РЕАЛИЗАЦИЯ[[#This Row],[ТАННАРХ]]</f>
        <v>0</v>
      </c>
      <c r="K3570" s="31">
        <f>РЕАЛИЗАЦИЯ[[#This Row],[ЖАМИ]]-РЕАЛИЗАЦИЯ[[#This Row],[ЖАМИ2]]</f>
        <v>0</v>
      </c>
      <c r="L3570" s="31"/>
    </row>
    <row r="3571" spans="1:12" x14ac:dyDescent="0.3">
      <c r="C3571" s="266"/>
      <c r="D3571" s="266"/>
      <c r="G3571" s="50">
        <f>РЕАЛИЗАЦИЯ[[#This Row],[СОНИ]]*РЕАЛИЗАЦИЯ[[#This Row],[НАРХИ]]</f>
        <v>0</v>
      </c>
      <c r="I3571" s="166"/>
      <c r="J3571" s="31">
        <f>РЕАЛИЗАЦИЯ[[#This Row],[СОНИ]]*РЕАЛИЗАЦИЯ[[#This Row],[ТАННАРХ]]</f>
        <v>0</v>
      </c>
      <c r="K3571" s="31">
        <f>РЕАЛИЗАЦИЯ[[#This Row],[ЖАМИ]]-РЕАЛИЗАЦИЯ[[#This Row],[ЖАМИ2]]</f>
        <v>0</v>
      </c>
      <c r="L3571" s="31"/>
    </row>
    <row r="3572" spans="1:12" x14ac:dyDescent="0.3">
      <c r="C3572" s="266"/>
      <c r="D3572" s="266"/>
      <c r="G3572" s="50">
        <f>РЕАЛИЗАЦИЯ[[#This Row],[СОНИ]]*РЕАЛИЗАЦИЯ[[#This Row],[НАРХИ]]</f>
        <v>0</v>
      </c>
      <c r="I3572" s="166"/>
      <c r="J3572" s="31">
        <f>РЕАЛИЗАЦИЯ[[#This Row],[СОНИ]]*РЕАЛИЗАЦИЯ[[#This Row],[ТАННАРХ]]</f>
        <v>0</v>
      </c>
      <c r="K3572" s="31">
        <f>РЕАЛИЗАЦИЯ[[#This Row],[ЖАМИ]]-РЕАЛИЗАЦИЯ[[#This Row],[ЖАМИ2]]</f>
        <v>0</v>
      </c>
      <c r="L3572" s="31"/>
    </row>
    <row r="3573" spans="1:12" x14ac:dyDescent="0.3">
      <c r="C3573" s="266"/>
      <c r="D3573" s="266"/>
      <c r="G3573" s="50">
        <f>РЕАЛИЗАЦИЯ[[#This Row],[СОНИ]]*РЕАЛИЗАЦИЯ[[#This Row],[НАРХИ]]</f>
        <v>0</v>
      </c>
      <c r="I3573" s="166"/>
      <c r="J3573" s="31">
        <f>РЕАЛИЗАЦИЯ[[#This Row],[СОНИ]]*РЕАЛИЗАЦИЯ[[#This Row],[ТАННАРХ]]</f>
        <v>0</v>
      </c>
      <c r="K3573" s="31">
        <f>РЕАЛИЗАЦИЯ[[#This Row],[ЖАМИ]]-РЕАЛИЗАЦИЯ[[#This Row],[ЖАМИ2]]</f>
        <v>0</v>
      </c>
      <c r="L3573" s="31"/>
    </row>
    <row r="3574" spans="1:12" x14ac:dyDescent="0.3">
      <c r="C3574" s="266"/>
      <c r="D3574" s="266"/>
      <c r="G3574" s="50">
        <f>РЕАЛИЗАЦИЯ[[#This Row],[СОНИ]]*РЕАЛИЗАЦИЯ[[#This Row],[НАРХИ]]</f>
        <v>0</v>
      </c>
      <c r="I3574" s="166"/>
      <c r="J3574" s="31">
        <f>РЕАЛИЗАЦИЯ[[#This Row],[СОНИ]]*РЕАЛИЗАЦИЯ[[#This Row],[ТАННАРХ]]</f>
        <v>0</v>
      </c>
      <c r="K3574" s="31">
        <f>РЕАЛИЗАЦИЯ[[#This Row],[ЖАМИ]]-РЕАЛИЗАЦИЯ[[#This Row],[ЖАМИ2]]</f>
        <v>0</v>
      </c>
      <c r="L3574" s="31"/>
    </row>
    <row r="3575" spans="1:12" x14ac:dyDescent="0.3">
      <c r="C3575" s="266"/>
      <c r="D3575" s="266"/>
      <c r="G3575" s="50">
        <f>РЕАЛИЗАЦИЯ[[#This Row],[СОНИ]]*РЕАЛИЗАЦИЯ[[#This Row],[НАРХИ]]</f>
        <v>0</v>
      </c>
      <c r="I3575" s="166"/>
      <c r="J3575" s="31">
        <f>РЕАЛИЗАЦИЯ[[#This Row],[СОНИ]]*РЕАЛИЗАЦИЯ[[#This Row],[ТАННАРХ]]</f>
        <v>0</v>
      </c>
      <c r="K3575" s="31">
        <f>РЕАЛИЗАЦИЯ[[#This Row],[ЖАМИ]]-РЕАЛИЗАЦИЯ[[#This Row],[ЖАМИ2]]</f>
        <v>0</v>
      </c>
      <c r="L3575" s="31"/>
    </row>
    <row r="3576" spans="1:12" x14ac:dyDescent="0.3">
      <c r="C3576" s="266"/>
      <c r="D3576" s="266"/>
      <c r="G3576" s="50">
        <f>РЕАЛИЗАЦИЯ[[#This Row],[СОНИ]]*РЕАЛИЗАЦИЯ[[#This Row],[НАРХИ]]</f>
        <v>0</v>
      </c>
      <c r="I3576" s="166"/>
      <c r="J3576" s="31">
        <f>РЕАЛИЗАЦИЯ[[#This Row],[СОНИ]]*РЕАЛИЗАЦИЯ[[#This Row],[ТАННАРХ]]</f>
        <v>0</v>
      </c>
      <c r="K3576" s="31">
        <f>РЕАЛИЗАЦИЯ[[#This Row],[ЖАМИ]]-РЕАЛИЗАЦИЯ[[#This Row],[ЖАМИ2]]</f>
        <v>0</v>
      </c>
      <c r="L3576" s="31"/>
    </row>
    <row r="3577" spans="1:12" x14ac:dyDescent="0.3">
      <c r="C3577" s="266"/>
      <c r="D3577" s="266"/>
      <c r="G3577" s="50">
        <f>РЕАЛИЗАЦИЯ[[#This Row],[СОНИ]]*РЕАЛИЗАЦИЯ[[#This Row],[НАРХИ]]</f>
        <v>0</v>
      </c>
      <c r="I3577" s="166"/>
      <c r="J3577" s="31">
        <f>РЕАЛИЗАЦИЯ[[#This Row],[СОНИ]]*РЕАЛИЗАЦИЯ[[#This Row],[ТАННАРХ]]</f>
        <v>0</v>
      </c>
      <c r="K3577" s="31">
        <f>РЕАЛИЗАЦИЯ[[#This Row],[ЖАМИ]]-РЕАЛИЗАЦИЯ[[#This Row],[ЖАМИ2]]</f>
        <v>0</v>
      </c>
      <c r="L3577" s="31"/>
    </row>
    <row r="3578" spans="1:12" x14ac:dyDescent="0.3">
      <c r="C3578" s="266"/>
      <c r="D3578" s="266"/>
      <c r="G3578" s="50">
        <f>РЕАЛИЗАЦИЯ[[#This Row],[СОНИ]]*РЕАЛИЗАЦИЯ[[#This Row],[НАРХИ]]</f>
        <v>0</v>
      </c>
      <c r="I3578" s="166"/>
      <c r="J3578" s="31">
        <f>РЕАЛИЗАЦИЯ[[#This Row],[СОНИ]]*РЕАЛИЗАЦИЯ[[#This Row],[ТАННАРХ]]</f>
        <v>0</v>
      </c>
      <c r="K3578" s="31">
        <f>РЕАЛИЗАЦИЯ[[#This Row],[ЖАМИ]]-РЕАЛИЗАЦИЯ[[#This Row],[ЖАМИ2]]</f>
        <v>0</v>
      </c>
      <c r="L3578" s="31"/>
    </row>
    <row r="3579" spans="1:12" x14ac:dyDescent="0.3">
      <c r="C3579" s="266"/>
      <c r="D3579" s="266"/>
      <c r="G3579" s="50">
        <f>РЕАЛИЗАЦИЯ[[#This Row],[СОНИ]]*РЕАЛИЗАЦИЯ[[#This Row],[НАРХИ]]</f>
        <v>0</v>
      </c>
      <c r="I3579" s="166"/>
      <c r="J3579" s="31">
        <f>РЕАЛИЗАЦИЯ[[#This Row],[СОНИ]]*РЕАЛИЗАЦИЯ[[#This Row],[ТАННАРХ]]</f>
        <v>0</v>
      </c>
      <c r="K3579" s="31">
        <f>РЕАЛИЗАЦИЯ[[#This Row],[ЖАМИ]]-РЕАЛИЗАЦИЯ[[#This Row],[ЖАМИ2]]</f>
        <v>0</v>
      </c>
      <c r="L3579" s="31"/>
    </row>
    <row r="3580" spans="1:12" x14ac:dyDescent="0.3">
      <c r="C3580" s="266"/>
      <c r="D3580" s="266"/>
      <c r="G3580" s="50">
        <f>РЕАЛИЗАЦИЯ[[#This Row],[СОНИ]]*РЕАЛИЗАЦИЯ[[#This Row],[НАРХИ]]</f>
        <v>0</v>
      </c>
      <c r="I3580" s="166"/>
      <c r="J3580" s="31">
        <f>РЕАЛИЗАЦИЯ[[#This Row],[СОНИ]]*РЕАЛИЗАЦИЯ[[#This Row],[ТАННАРХ]]</f>
        <v>0</v>
      </c>
      <c r="K3580" s="31">
        <f>РЕАЛИЗАЦИЯ[[#This Row],[ЖАМИ]]-РЕАЛИЗАЦИЯ[[#This Row],[ЖАМИ2]]</f>
        <v>0</v>
      </c>
      <c r="L3580" s="31"/>
    </row>
    <row r="3581" spans="1:12" x14ac:dyDescent="0.3">
      <c r="C3581" s="266"/>
      <c r="D3581" s="266"/>
      <c r="G3581" s="50">
        <f>РЕАЛИЗАЦИЯ[[#This Row],[СОНИ]]*РЕАЛИЗАЦИЯ[[#This Row],[НАРХИ]]</f>
        <v>0</v>
      </c>
      <c r="I3581" s="166"/>
      <c r="J3581" s="31">
        <f>РЕАЛИЗАЦИЯ[[#This Row],[СОНИ]]*РЕАЛИЗАЦИЯ[[#This Row],[ТАННАРХ]]</f>
        <v>0</v>
      </c>
      <c r="K3581" s="31">
        <f>РЕАЛИЗАЦИЯ[[#This Row],[ЖАМИ]]-РЕАЛИЗАЦИЯ[[#This Row],[ЖАМИ2]]</f>
        <v>0</v>
      </c>
      <c r="L3581" s="31"/>
    </row>
    <row r="3582" spans="1:12" x14ac:dyDescent="0.3">
      <c r="C3582" s="266"/>
      <c r="D3582" s="266"/>
      <c r="G3582" s="50">
        <f>РЕАЛИЗАЦИЯ[[#This Row],[СОНИ]]*РЕАЛИЗАЦИЯ[[#This Row],[НАРХИ]]</f>
        <v>0</v>
      </c>
      <c r="I3582" s="166"/>
      <c r="J3582" s="31">
        <f>РЕАЛИЗАЦИЯ[[#This Row],[СОНИ]]*РЕАЛИЗАЦИЯ[[#This Row],[ТАННАРХ]]</f>
        <v>0</v>
      </c>
      <c r="K3582" s="31">
        <f>РЕАЛИЗАЦИЯ[[#This Row],[ЖАМИ]]-РЕАЛИЗАЦИЯ[[#This Row],[ЖАМИ2]]</f>
        <v>0</v>
      </c>
      <c r="L3582" s="31"/>
    </row>
    <row r="3583" spans="1:12" x14ac:dyDescent="0.3">
      <c r="C3583" s="266"/>
      <c r="D3583" s="266"/>
      <c r="G3583" s="50">
        <f>РЕАЛИЗАЦИЯ[[#This Row],[СОНИ]]*РЕАЛИЗАЦИЯ[[#This Row],[НАРХИ]]</f>
        <v>0</v>
      </c>
      <c r="I3583" s="166"/>
      <c r="J3583" s="31">
        <f>РЕАЛИЗАЦИЯ[[#This Row],[СОНИ]]*РЕАЛИЗАЦИЯ[[#This Row],[ТАННАРХ]]</f>
        <v>0</v>
      </c>
      <c r="K3583" s="31">
        <f>РЕАЛИЗАЦИЯ[[#This Row],[ЖАМИ]]-РЕАЛИЗАЦИЯ[[#This Row],[ЖАМИ2]]</f>
        <v>0</v>
      </c>
      <c r="L3583" s="31"/>
    </row>
    <row r="3584" spans="1:12" x14ac:dyDescent="0.3">
      <c r="C3584" s="266"/>
      <c r="D3584" s="266"/>
      <c r="G3584" s="50">
        <f>РЕАЛИЗАЦИЯ[[#This Row],[СОНИ]]*РЕАЛИЗАЦИЯ[[#This Row],[НАРХИ]]</f>
        <v>0</v>
      </c>
      <c r="I3584" s="166"/>
      <c r="J3584" s="31">
        <f>РЕАЛИЗАЦИЯ[[#This Row],[СОНИ]]*РЕАЛИЗАЦИЯ[[#This Row],[ТАННАРХ]]</f>
        <v>0</v>
      </c>
      <c r="K3584" s="31">
        <f>РЕАЛИЗАЦИЯ[[#This Row],[ЖАМИ]]-РЕАЛИЗАЦИЯ[[#This Row],[ЖАМИ2]]</f>
        <v>0</v>
      </c>
      <c r="L3584" s="31"/>
    </row>
    <row r="3585" spans="3:12" x14ac:dyDescent="0.3">
      <c r="C3585" s="266"/>
      <c r="D3585" s="266"/>
      <c r="G3585" s="50">
        <f>РЕАЛИЗАЦИЯ[[#This Row],[СОНИ]]*РЕАЛИЗАЦИЯ[[#This Row],[НАРХИ]]</f>
        <v>0</v>
      </c>
      <c r="I3585" s="166"/>
      <c r="J3585" s="31">
        <f>РЕАЛИЗАЦИЯ[[#This Row],[СОНИ]]*РЕАЛИЗАЦИЯ[[#This Row],[ТАННАРХ]]</f>
        <v>0</v>
      </c>
      <c r="K3585" s="31">
        <f>РЕАЛИЗАЦИЯ[[#This Row],[ЖАМИ]]-РЕАЛИЗАЦИЯ[[#This Row],[ЖАМИ2]]</f>
        <v>0</v>
      </c>
      <c r="L3585" s="31"/>
    </row>
    <row r="3586" spans="3:12" x14ac:dyDescent="0.3">
      <c r="C3586" s="266"/>
      <c r="D3586" s="266"/>
      <c r="G3586" s="50">
        <f>РЕАЛИЗАЦИЯ[[#This Row],[СОНИ]]*РЕАЛИЗАЦИЯ[[#This Row],[НАРХИ]]</f>
        <v>0</v>
      </c>
      <c r="I3586" s="166"/>
      <c r="J3586" s="31">
        <f>РЕАЛИЗАЦИЯ[[#This Row],[СОНИ]]*РЕАЛИЗАЦИЯ[[#This Row],[ТАННАРХ]]</f>
        <v>0</v>
      </c>
      <c r="K3586" s="31">
        <f>РЕАЛИЗАЦИЯ[[#This Row],[ЖАМИ]]-РЕАЛИЗАЦИЯ[[#This Row],[ЖАМИ2]]</f>
        <v>0</v>
      </c>
      <c r="L3586" s="31"/>
    </row>
    <row r="3587" spans="3:12" x14ac:dyDescent="0.3">
      <c r="C3587" s="266"/>
      <c r="D3587" s="266"/>
      <c r="G3587" s="50">
        <f>РЕАЛИЗАЦИЯ[[#This Row],[СОНИ]]*РЕАЛИЗАЦИЯ[[#This Row],[НАРХИ]]</f>
        <v>0</v>
      </c>
      <c r="I3587" s="166"/>
      <c r="J3587" s="31">
        <f>РЕАЛИЗАЦИЯ[[#This Row],[СОНИ]]*РЕАЛИЗАЦИЯ[[#This Row],[ТАННАРХ]]</f>
        <v>0</v>
      </c>
      <c r="K3587" s="31">
        <f>РЕАЛИЗАЦИЯ[[#This Row],[ЖАМИ]]-РЕАЛИЗАЦИЯ[[#This Row],[ЖАМИ2]]</f>
        <v>0</v>
      </c>
      <c r="L3587" s="31"/>
    </row>
    <row r="3588" spans="3:12" x14ac:dyDescent="0.3">
      <c r="C3588" s="266"/>
      <c r="D3588" s="266"/>
      <c r="G3588" s="50">
        <f>РЕАЛИЗАЦИЯ[[#This Row],[СОНИ]]*РЕАЛИЗАЦИЯ[[#This Row],[НАРХИ]]</f>
        <v>0</v>
      </c>
      <c r="I3588" s="166"/>
      <c r="J3588" s="31">
        <f>РЕАЛИЗАЦИЯ[[#This Row],[СОНИ]]*РЕАЛИЗАЦИЯ[[#This Row],[ТАННАРХ]]</f>
        <v>0</v>
      </c>
      <c r="K3588" s="31">
        <f>РЕАЛИЗАЦИЯ[[#This Row],[ЖАМИ]]-РЕАЛИЗАЦИЯ[[#This Row],[ЖАМИ2]]</f>
        <v>0</v>
      </c>
      <c r="L3588" s="31"/>
    </row>
    <row r="3589" spans="3:12" x14ac:dyDescent="0.3">
      <c r="C3589" s="266"/>
      <c r="D3589" s="266"/>
      <c r="G3589" s="50">
        <f>РЕАЛИЗАЦИЯ[[#This Row],[СОНИ]]*РЕАЛИЗАЦИЯ[[#This Row],[НАРХИ]]</f>
        <v>0</v>
      </c>
      <c r="I3589" s="166"/>
      <c r="J3589" s="31">
        <f>РЕАЛИЗАЦИЯ[[#This Row],[СОНИ]]*РЕАЛИЗАЦИЯ[[#This Row],[ТАННАРХ]]</f>
        <v>0</v>
      </c>
      <c r="K3589" s="31">
        <f>РЕАЛИЗАЦИЯ[[#This Row],[ЖАМИ]]-РЕАЛИЗАЦИЯ[[#This Row],[ЖАМИ2]]</f>
        <v>0</v>
      </c>
      <c r="L3589" s="31"/>
    </row>
    <row r="3590" spans="3:12" x14ac:dyDescent="0.3">
      <c r="C3590" s="266"/>
      <c r="D3590" s="266"/>
      <c r="G3590" s="50">
        <f>РЕАЛИЗАЦИЯ[[#This Row],[СОНИ]]*РЕАЛИЗАЦИЯ[[#This Row],[НАРХИ]]</f>
        <v>0</v>
      </c>
      <c r="I3590" s="166"/>
      <c r="J3590" s="31">
        <f>РЕАЛИЗАЦИЯ[[#This Row],[СОНИ]]*РЕАЛИЗАЦИЯ[[#This Row],[ТАННАРХ]]</f>
        <v>0</v>
      </c>
      <c r="K3590" s="31">
        <f>РЕАЛИЗАЦИЯ[[#This Row],[ЖАМИ]]-РЕАЛИЗАЦИЯ[[#This Row],[ЖАМИ2]]</f>
        <v>0</v>
      </c>
      <c r="L3590" s="31"/>
    </row>
    <row r="3591" spans="3:12" x14ac:dyDescent="0.3">
      <c r="C3591" s="266"/>
      <c r="D3591" s="266"/>
      <c r="G3591" s="50">
        <f>РЕАЛИЗАЦИЯ[[#This Row],[СОНИ]]*РЕАЛИЗАЦИЯ[[#This Row],[НАРХИ]]</f>
        <v>0</v>
      </c>
      <c r="I3591" s="166"/>
      <c r="J3591" s="31">
        <f>РЕАЛИЗАЦИЯ[[#This Row],[СОНИ]]*РЕАЛИЗАЦИЯ[[#This Row],[ТАННАРХ]]</f>
        <v>0</v>
      </c>
      <c r="K3591" s="31">
        <f>РЕАЛИЗАЦИЯ[[#This Row],[ЖАМИ]]-РЕАЛИЗАЦИЯ[[#This Row],[ЖАМИ2]]</f>
        <v>0</v>
      </c>
      <c r="L3591" s="31"/>
    </row>
    <row r="3592" spans="3:12" x14ac:dyDescent="0.3">
      <c r="C3592" s="266"/>
      <c r="D3592" s="266"/>
      <c r="G3592" s="50">
        <f>РЕАЛИЗАЦИЯ[[#This Row],[СОНИ]]*РЕАЛИЗАЦИЯ[[#This Row],[НАРХИ]]</f>
        <v>0</v>
      </c>
      <c r="I3592" s="166"/>
      <c r="J3592" s="31">
        <f>РЕАЛИЗАЦИЯ[[#This Row],[СОНИ]]*РЕАЛИЗАЦИЯ[[#This Row],[ТАННАРХ]]</f>
        <v>0</v>
      </c>
      <c r="K3592" s="31">
        <f>РЕАЛИЗАЦИЯ[[#This Row],[ЖАМИ]]-РЕАЛИЗАЦИЯ[[#This Row],[ЖАМИ2]]</f>
        <v>0</v>
      </c>
      <c r="L3592" s="31"/>
    </row>
    <row r="3593" spans="3:12" x14ac:dyDescent="0.3">
      <c r="C3593" s="266"/>
      <c r="D3593" s="266"/>
      <c r="G3593" s="50">
        <f>РЕАЛИЗАЦИЯ[[#This Row],[СОНИ]]*РЕАЛИЗАЦИЯ[[#This Row],[НАРХИ]]</f>
        <v>0</v>
      </c>
      <c r="I3593" s="166"/>
      <c r="J3593" s="31">
        <f>РЕАЛИЗАЦИЯ[[#This Row],[СОНИ]]*РЕАЛИЗАЦИЯ[[#This Row],[ТАННАРХ]]</f>
        <v>0</v>
      </c>
      <c r="K3593" s="31">
        <f>РЕАЛИЗАЦИЯ[[#This Row],[ЖАМИ]]-РЕАЛИЗАЦИЯ[[#This Row],[ЖАМИ2]]</f>
        <v>0</v>
      </c>
      <c r="L3593" s="31"/>
    </row>
    <row r="3594" spans="3:12" x14ac:dyDescent="0.3">
      <c r="C3594" s="266"/>
      <c r="D3594" s="266"/>
      <c r="G3594" s="50">
        <f>РЕАЛИЗАЦИЯ[[#This Row],[СОНИ]]*РЕАЛИЗАЦИЯ[[#This Row],[НАРХИ]]</f>
        <v>0</v>
      </c>
      <c r="I3594" s="166"/>
      <c r="J3594" s="31">
        <f>РЕАЛИЗАЦИЯ[[#This Row],[СОНИ]]*РЕАЛИЗАЦИЯ[[#This Row],[ТАННАРХ]]</f>
        <v>0</v>
      </c>
      <c r="K3594" s="31">
        <f>РЕАЛИЗАЦИЯ[[#This Row],[ЖАМИ]]-РЕАЛИЗАЦИЯ[[#This Row],[ЖАМИ2]]</f>
        <v>0</v>
      </c>
      <c r="L3594" s="31"/>
    </row>
    <row r="3595" spans="3:12" x14ac:dyDescent="0.3">
      <c r="C3595" s="266"/>
      <c r="D3595" s="266"/>
      <c r="G3595" s="50">
        <f>РЕАЛИЗАЦИЯ[[#This Row],[СОНИ]]*РЕАЛИЗАЦИЯ[[#This Row],[НАРХИ]]</f>
        <v>0</v>
      </c>
      <c r="I3595" s="166"/>
      <c r="J3595" s="31">
        <f>РЕАЛИЗАЦИЯ[[#This Row],[СОНИ]]*РЕАЛИЗАЦИЯ[[#This Row],[ТАННАРХ]]</f>
        <v>0</v>
      </c>
      <c r="K3595" s="31">
        <f>РЕАЛИЗАЦИЯ[[#This Row],[ЖАМИ]]-РЕАЛИЗАЦИЯ[[#This Row],[ЖАМИ2]]</f>
        <v>0</v>
      </c>
      <c r="L3595" s="31"/>
    </row>
    <row r="3596" spans="3:12" x14ac:dyDescent="0.3">
      <c r="C3596" s="266"/>
      <c r="D3596" s="266"/>
      <c r="G3596" s="50">
        <f>РЕАЛИЗАЦИЯ[[#This Row],[СОНИ]]*РЕАЛИЗАЦИЯ[[#This Row],[НАРХИ]]</f>
        <v>0</v>
      </c>
      <c r="I3596" s="166"/>
      <c r="J3596" s="31">
        <f>РЕАЛИЗАЦИЯ[[#This Row],[СОНИ]]*РЕАЛИЗАЦИЯ[[#This Row],[ТАННАРХ]]</f>
        <v>0</v>
      </c>
      <c r="K3596" s="31">
        <f>РЕАЛИЗАЦИЯ[[#This Row],[ЖАМИ]]-РЕАЛИЗАЦИЯ[[#This Row],[ЖАМИ2]]</f>
        <v>0</v>
      </c>
      <c r="L3596" s="31"/>
    </row>
    <row r="3597" spans="3:12" x14ac:dyDescent="0.3">
      <c r="C3597" s="266"/>
      <c r="D3597" s="266"/>
      <c r="G3597" s="50">
        <f>РЕАЛИЗАЦИЯ[[#This Row],[СОНИ]]*РЕАЛИЗАЦИЯ[[#This Row],[НАРХИ]]</f>
        <v>0</v>
      </c>
      <c r="I3597" s="166"/>
      <c r="J3597" s="31">
        <f>РЕАЛИЗАЦИЯ[[#This Row],[СОНИ]]*РЕАЛИЗАЦИЯ[[#This Row],[ТАННАРХ]]</f>
        <v>0</v>
      </c>
      <c r="K3597" s="31">
        <f>РЕАЛИЗАЦИЯ[[#This Row],[ЖАМИ]]-РЕАЛИЗАЦИЯ[[#This Row],[ЖАМИ2]]</f>
        <v>0</v>
      </c>
      <c r="L3597" s="31"/>
    </row>
    <row r="3598" spans="3:12" x14ac:dyDescent="0.3">
      <c r="C3598" s="266"/>
      <c r="D3598" s="266"/>
      <c r="G3598" s="50">
        <f>РЕАЛИЗАЦИЯ[[#This Row],[СОНИ]]*РЕАЛИЗАЦИЯ[[#This Row],[НАРХИ]]</f>
        <v>0</v>
      </c>
      <c r="I3598" s="166"/>
      <c r="J3598" s="31">
        <f>РЕАЛИЗАЦИЯ[[#This Row],[СОНИ]]*РЕАЛИЗАЦИЯ[[#This Row],[ТАННАРХ]]</f>
        <v>0</v>
      </c>
      <c r="K3598" s="31">
        <f>РЕАЛИЗАЦИЯ[[#This Row],[ЖАМИ]]-РЕАЛИЗАЦИЯ[[#This Row],[ЖАМИ2]]</f>
        <v>0</v>
      </c>
      <c r="L3598" s="31"/>
    </row>
    <row r="3599" spans="3:12" x14ac:dyDescent="0.3">
      <c r="C3599" s="266"/>
      <c r="D3599" s="266"/>
      <c r="G3599" s="50">
        <f>РЕАЛИЗАЦИЯ[[#This Row],[СОНИ]]*РЕАЛИЗАЦИЯ[[#This Row],[НАРХИ]]</f>
        <v>0</v>
      </c>
      <c r="I3599" s="166"/>
      <c r="J3599" s="31">
        <f>РЕАЛИЗАЦИЯ[[#This Row],[СОНИ]]*РЕАЛИЗАЦИЯ[[#This Row],[ТАННАРХ]]</f>
        <v>0</v>
      </c>
      <c r="K3599" s="31">
        <f>РЕАЛИЗАЦИЯ[[#This Row],[ЖАМИ]]-РЕАЛИЗАЦИЯ[[#This Row],[ЖАМИ2]]</f>
        <v>0</v>
      </c>
      <c r="L3599" s="31"/>
    </row>
    <row r="3600" spans="3:12" x14ac:dyDescent="0.3">
      <c r="C3600" s="266"/>
      <c r="D3600" s="266"/>
      <c r="G3600" s="50">
        <f>РЕАЛИЗАЦИЯ[[#This Row],[СОНИ]]*РЕАЛИЗАЦИЯ[[#This Row],[НАРХИ]]</f>
        <v>0</v>
      </c>
      <c r="I3600" s="166"/>
      <c r="J3600" s="31">
        <f>РЕАЛИЗАЦИЯ[[#This Row],[СОНИ]]*РЕАЛИЗАЦИЯ[[#This Row],[ТАННАРХ]]</f>
        <v>0</v>
      </c>
      <c r="K3600" s="31">
        <f>РЕАЛИЗАЦИЯ[[#This Row],[ЖАМИ]]-РЕАЛИЗАЦИЯ[[#This Row],[ЖАМИ2]]</f>
        <v>0</v>
      </c>
      <c r="L3600" s="31"/>
    </row>
    <row r="3601" spans="3:12" x14ac:dyDescent="0.3">
      <c r="C3601" s="266"/>
      <c r="D3601" s="266"/>
      <c r="G3601" s="50">
        <f>РЕАЛИЗАЦИЯ[[#This Row],[СОНИ]]*РЕАЛИЗАЦИЯ[[#This Row],[НАРХИ]]</f>
        <v>0</v>
      </c>
      <c r="I3601" s="166"/>
      <c r="J3601" s="31">
        <f>РЕАЛИЗАЦИЯ[[#This Row],[СОНИ]]*РЕАЛИЗАЦИЯ[[#This Row],[ТАННАРХ]]</f>
        <v>0</v>
      </c>
      <c r="K3601" s="31">
        <f>РЕАЛИЗАЦИЯ[[#This Row],[ЖАМИ]]-РЕАЛИЗАЦИЯ[[#This Row],[ЖАМИ2]]</f>
        <v>0</v>
      </c>
      <c r="L3601" s="31"/>
    </row>
    <row r="3602" spans="3:12" x14ac:dyDescent="0.3">
      <c r="C3602" s="266"/>
      <c r="D3602" s="266"/>
      <c r="G3602" s="50">
        <f>РЕАЛИЗАЦИЯ[[#This Row],[СОНИ]]*РЕАЛИЗАЦИЯ[[#This Row],[НАРХИ]]</f>
        <v>0</v>
      </c>
      <c r="I3602" s="166"/>
      <c r="J3602" s="31">
        <f>РЕАЛИЗАЦИЯ[[#This Row],[СОНИ]]*РЕАЛИЗАЦИЯ[[#This Row],[ТАННАРХ]]</f>
        <v>0</v>
      </c>
      <c r="K3602" s="31">
        <f>РЕАЛИЗАЦИЯ[[#This Row],[ЖАМИ]]-РЕАЛИЗАЦИЯ[[#This Row],[ЖАМИ2]]</f>
        <v>0</v>
      </c>
      <c r="L3602" s="31"/>
    </row>
    <row r="3603" spans="3:12" x14ac:dyDescent="0.3">
      <c r="C3603" s="266"/>
      <c r="D3603" s="266"/>
      <c r="G3603" s="50">
        <f>РЕАЛИЗАЦИЯ[[#This Row],[СОНИ]]*РЕАЛИЗАЦИЯ[[#This Row],[НАРХИ]]</f>
        <v>0</v>
      </c>
      <c r="I3603" s="166"/>
      <c r="J3603" s="31">
        <f>РЕАЛИЗАЦИЯ[[#This Row],[СОНИ]]*РЕАЛИЗАЦИЯ[[#This Row],[ТАННАРХ]]</f>
        <v>0</v>
      </c>
      <c r="K3603" s="31">
        <f>РЕАЛИЗАЦИЯ[[#This Row],[ЖАМИ]]-РЕАЛИЗАЦИЯ[[#This Row],[ЖАМИ2]]</f>
        <v>0</v>
      </c>
      <c r="L3603" s="31"/>
    </row>
    <row r="3604" spans="3:12" x14ac:dyDescent="0.3">
      <c r="C3604" s="266"/>
      <c r="D3604" s="266"/>
      <c r="G3604" s="50">
        <f>РЕАЛИЗАЦИЯ[[#This Row],[СОНИ]]*РЕАЛИЗАЦИЯ[[#This Row],[НАРХИ]]</f>
        <v>0</v>
      </c>
      <c r="I3604" s="166"/>
      <c r="J3604" s="31">
        <f>РЕАЛИЗАЦИЯ[[#This Row],[СОНИ]]*РЕАЛИЗАЦИЯ[[#This Row],[ТАННАРХ]]</f>
        <v>0</v>
      </c>
      <c r="K3604" s="31">
        <f>РЕАЛИЗАЦИЯ[[#This Row],[ЖАМИ]]-РЕАЛИЗАЦИЯ[[#This Row],[ЖАМИ2]]</f>
        <v>0</v>
      </c>
      <c r="L3604" s="31"/>
    </row>
    <row r="3605" spans="3:12" x14ac:dyDescent="0.3">
      <c r="C3605" s="269"/>
      <c r="D3605" s="269"/>
      <c r="G3605" s="50">
        <f>РЕАЛИЗАЦИЯ[[#This Row],[СОНИ]]*РЕАЛИЗАЦИЯ[[#This Row],[НАРХИ]]</f>
        <v>0</v>
      </c>
      <c r="I3605" s="166"/>
      <c r="J3605" s="31">
        <f>РЕАЛИЗАЦИЯ[[#This Row],[СОНИ]]*РЕАЛИЗАЦИЯ[[#This Row],[ТАННАРХ]]</f>
        <v>0</v>
      </c>
      <c r="K3605" s="31">
        <f>РЕАЛИЗАЦИЯ[[#This Row],[ЖАМИ]]-РЕАЛИЗАЦИЯ[[#This Row],[ЖАМИ2]]</f>
        <v>0</v>
      </c>
      <c r="L3605" s="31"/>
    </row>
    <row r="3606" spans="3:12" x14ac:dyDescent="0.3">
      <c r="C3606" s="269"/>
      <c r="D3606" s="269"/>
      <c r="G3606" s="50">
        <f>РЕАЛИЗАЦИЯ[[#This Row],[СОНИ]]*РЕАЛИЗАЦИЯ[[#This Row],[НАРХИ]]</f>
        <v>0</v>
      </c>
      <c r="I3606" s="166"/>
      <c r="J3606" s="31">
        <f>РЕАЛИЗАЦИЯ[[#This Row],[СОНИ]]*РЕАЛИЗАЦИЯ[[#This Row],[ТАННАРХ]]</f>
        <v>0</v>
      </c>
      <c r="K3606" s="31">
        <f>РЕАЛИЗАЦИЯ[[#This Row],[ЖАМИ]]-РЕАЛИЗАЦИЯ[[#This Row],[ЖАМИ2]]</f>
        <v>0</v>
      </c>
      <c r="L3606" s="31"/>
    </row>
    <row r="3607" spans="3:12" x14ac:dyDescent="0.3">
      <c r="C3607" s="269"/>
      <c r="D3607" s="269"/>
      <c r="G3607" s="50">
        <f>РЕАЛИЗАЦИЯ[[#This Row],[СОНИ]]*РЕАЛИЗАЦИЯ[[#This Row],[НАРХИ]]</f>
        <v>0</v>
      </c>
      <c r="I3607" s="166"/>
      <c r="J3607" s="31">
        <f>РЕАЛИЗАЦИЯ[[#This Row],[СОНИ]]*РЕАЛИЗАЦИЯ[[#This Row],[ТАННАРХ]]</f>
        <v>0</v>
      </c>
      <c r="K3607" s="31">
        <f>РЕАЛИЗАЦИЯ[[#This Row],[ЖАМИ]]-РЕАЛИЗАЦИЯ[[#This Row],[ЖАМИ2]]</f>
        <v>0</v>
      </c>
      <c r="L3607" s="31"/>
    </row>
    <row r="3608" spans="3:12" x14ac:dyDescent="0.3">
      <c r="C3608" s="269"/>
      <c r="D3608" s="269"/>
      <c r="G3608" s="50">
        <f>РЕАЛИЗАЦИЯ[[#This Row],[СОНИ]]*РЕАЛИЗАЦИЯ[[#This Row],[НАРХИ]]</f>
        <v>0</v>
      </c>
      <c r="I3608" s="166"/>
      <c r="J3608" s="31">
        <f>РЕАЛИЗАЦИЯ[[#This Row],[СОНИ]]*РЕАЛИЗАЦИЯ[[#This Row],[ТАННАРХ]]</f>
        <v>0</v>
      </c>
      <c r="K3608" s="31">
        <f>РЕАЛИЗАЦИЯ[[#This Row],[ЖАМИ]]-РЕАЛИЗАЦИЯ[[#This Row],[ЖАМИ2]]</f>
        <v>0</v>
      </c>
      <c r="L3608" s="31"/>
    </row>
    <row r="3609" spans="3:12" x14ac:dyDescent="0.3">
      <c r="C3609" s="269"/>
      <c r="D3609" s="269"/>
      <c r="G3609" s="50">
        <f>РЕАЛИЗАЦИЯ[[#This Row],[СОНИ]]*РЕАЛИЗАЦИЯ[[#This Row],[НАРХИ]]</f>
        <v>0</v>
      </c>
      <c r="I3609" s="166"/>
      <c r="J3609" s="31">
        <f>РЕАЛИЗАЦИЯ[[#This Row],[СОНИ]]*РЕАЛИЗАЦИЯ[[#This Row],[ТАННАРХ]]</f>
        <v>0</v>
      </c>
      <c r="K3609" s="31">
        <f>РЕАЛИЗАЦИЯ[[#This Row],[ЖАМИ]]-РЕАЛИЗАЦИЯ[[#This Row],[ЖАМИ2]]</f>
        <v>0</v>
      </c>
      <c r="L3609" s="31"/>
    </row>
    <row r="3610" spans="3:12" x14ac:dyDescent="0.3">
      <c r="C3610" s="269"/>
      <c r="D3610" s="269"/>
      <c r="G3610" s="50">
        <f>РЕАЛИЗАЦИЯ[[#This Row],[СОНИ]]*РЕАЛИЗАЦИЯ[[#This Row],[НАРХИ]]</f>
        <v>0</v>
      </c>
      <c r="I3610" s="166"/>
      <c r="J3610" s="31">
        <f>РЕАЛИЗАЦИЯ[[#This Row],[СОНИ]]*РЕАЛИЗАЦИЯ[[#This Row],[ТАННАРХ]]</f>
        <v>0</v>
      </c>
      <c r="K3610" s="31">
        <f>РЕАЛИЗАЦИЯ[[#This Row],[ЖАМИ]]-РЕАЛИЗАЦИЯ[[#This Row],[ЖАМИ2]]</f>
        <v>0</v>
      </c>
      <c r="L3610" s="31"/>
    </row>
    <row r="3611" spans="3:12" x14ac:dyDescent="0.3">
      <c r="C3611" s="269"/>
      <c r="D3611" s="269"/>
      <c r="G3611" s="50">
        <f>РЕАЛИЗАЦИЯ[[#This Row],[СОНИ]]*РЕАЛИЗАЦИЯ[[#This Row],[НАРХИ]]</f>
        <v>0</v>
      </c>
      <c r="I3611" s="166"/>
      <c r="J3611" s="31">
        <f>РЕАЛИЗАЦИЯ[[#This Row],[СОНИ]]*РЕАЛИЗАЦИЯ[[#This Row],[ТАННАРХ]]</f>
        <v>0</v>
      </c>
      <c r="K3611" s="31">
        <f>РЕАЛИЗАЦИЯ[[#This Row],[ЖАМИ]]-РЕАЛИЗАЦИЯ[[#This Row],[ЖАМИ2]]</f>
        <v>0</v>
      </c>
      <c r="L3611" s="31"/>
    </row>
    <row r="3612" spans="3:12" x14ac:dyDescent="0.3">
      <c r="C3612" s="269"/>
      <c r="D3612" s="269"/>
      <c r="G3612" s="50">
        <f>РЕАЛИЗАЦИЯ[[#This Row],[СОНИ]]*РЕАЛИЗАЦИЯ[[#This Row],[НАРХИ]]</f>
        <v>0</v>
      </c>
      <c r="I3612" s="166"/>
      <c r="J3612" s="31">
        <f>РЕАЛИЗАЦИЯ[[#This Row],[СОНИ]]*РЕАЛИЗАЦИЯ[[#This Row],[ТАННАРХ]]</f>
        <v>0</v>
      </c>
      <c r="K3612" s="31">
        <f>РЕАЛИЗАЦИЯ[[#This Row],[ЖАМИ]]-РЕАЛИЗАЦИЯ[[#This Row],[ЖАМИ2]]</f>
        <v>0</v>
      </c>
      <c r="L3612" s="31"/>
    </row>
    <row r="3613" spans="3:12" x14ac:dyDescent="0.3">
      <c r="C3613" s="269"/>
      <c r="D3613" s="269"/>
      <c r="G3613" s="50">
        <f>РЕАЛИЗАЦИЯ[[#This Row],[СОНИ]]*РЕАЛИЗАЦИЯ[[#This Row],[НАРХИ]]</f>
        <v>0</v>
      </c>
      <c r="I3613" s="166"/>
      <c r="J3613" s="31">
        <f>РЕАЛИЗАЦИЯ[[#This Row],[СОНИ]]*РЕАЛИЗАЦИЯ[[#This Row],[ТАННАРХ]]</f>
        <v>0</v>
      </c>
      <c r="K3613" s="31">
        <f>РЕАЛИЗАЦИЯ[[#This Row],[ЖАМИ]]-РЕАЛИЗАЦИЯ[[#This Row],[ЖАМИ2]]</f>
        <v>0</v>
      </c>
      <c r="L3613" s="31"/>
    </row>
    <row r="3614" spans="3:12" x14ac:dyDescent="0.3">
      <c r="C3614" s="269"/>
      <c r="D3614" s="269"/>
      <c r="G3614" s="50">
        <f>РЕАЛИЗАЦИЯ[[#This Row],[СОНИ]]*РЕАЛИЗАЦИЯ[[#This Row],[НАРХИ]]</f>
        <v>0</v>
      </c>
      <c r="I3614" s="166"/>
      <c r="J3614" s="31">
        <f>РЕАЛИЗАЦИЯ[[#This Row],[СОНИ]]*РЕАЛИЗАЦИЯ[[#This Row],[ТАННАРХ]]</f>
        <v>0</v>
      </c>
      <c r="K3614" s="31">
        <f>РЕАЛИЗАЦИЯ[[#This Row],[ЖАМИ]]-РЕАЛИЗАЦИЯ[[#This Row],[ЖАМИ2]]</f>
        <v>0</v>
      </c>
      <c r="L3614" s="31"/>
    </row>
    <row r="3615" spans="3:12" x14ac:dyDescent="0.3">
      <c r="C3615" s="269"/>
      <c r="D3615" s="269"/>
      <c r="G3615" s="50">
        <f>РЕАЛИЗАЦИЯ[[#This Row],[СОНИ]]*РЕАЛИЗАЦИЯ[[#This Row],[НАРХИ]]</f>
        <v>0</v>
      </c>
      <c r="I3615" s="166"/>
      <c r="J3615" s="31">
        <f>РЕАЛИЗАЦИЯ[[#This Row],[СОНИ]]*РЕАЛИЗАЦИЯ[[#This Row],[ТАННАРХ]]</f>
        <v>0</v>
      </c>
      <c r="K3615" s="31">
        <f>РЕАЛИЗАЦИЯ[[#This Row],[ЖАМИ]]-РЕАЛИЗАЦИЯ[[#This Row],[ЖАМИ2]]</f>
        <v>0</v>
      </c>
      <c r="L3615" s="31"/>
    </row>
    <row r="3616" spans="3:12" x14ac:dyDescent="0.3">
      <c r="C3616" s="269"/>
      <c r="D3616" s="269"/>
      <c r="G3616" s="50">
        <f>РЕАЛИЗАЦИЯ[[#This Row],[СОНИ]]*РЕАЛИЗАЦИЯ[[#This Row],[НАРХИ]]</f>
        <v>0</v>
      </c>
      <c r="I3616" s="166"/>
      <c r="J3616" s="31">
        <f>РЕАЛИЗАЦИЯ[[#This Row],[СОНИ]]*РЕАЛИЗАЦИЯ[[#This Row],[ТАННАРХ]]</f>
        <v>0</v>
      </c>
      <c r="K3616" s="31">
        <f>РЕАЛИЗАЦИЯ[[#This Row],[ЖАМИ]]-РЕАЛИЗАЦИЯ[[#This Row],[ЖАМИ2]]</f>
        <v>0</v>
      </c>
      <c r="L3616" s="31"/>
    </row>
    <row r="3617" spans="3:12" x14ac:dyDescent="0.3">
      <c r="C3617" s="269"/>
      <c r="D3617" s="269"/>
      <c r="G3617" s="50">
        <f>РЕАЛИЗАЦИЯ[[#This Row],[СОНИ]]*РЕАЛИЗАЦИЯ[[#This Row],[НАРХИ]]</f>
        <v>0</v>
      </c>
      <c r="I3617" s="166"/>
      <c r="J3617" s="31">
        <f>РЕАЛИЗАЦИЯ[[#This Row],[СОНИ]]*РЕАЛИЗАЦИЯ[[#This Row],[ТАННАРХ]]</f>
        <v>0</v>
      </c>
      <c r="K3617" s="31">
        <f>РЕАЛИЗАЦИЯ[[#This Row],[ЖАМИ]]-РЕАЛИЗАЦИЯ[[#This Row],[ЖАМИ2]]</f>
        <v>0</v>
      </c>
      <c r="L3617" s="31"/>
    </row>
    <row r="3618" spans="3:12" x14ac:dyDescent="0.3">
      <c r="C3618" s="269"/>
      <c r="D3618" s="269"/>
      <c r="G3618" s="50">
        <f>РЕАЛИЗАЦИЯ[[#This Row],[СОНИ]]*РЕАЛИЗАЦИЯ[[#This Row],[НАРХИ]]</f>
        <v>0</v>
      </c>
      <c r="I3618" s="166"/>
      <c r="J3618" s="31">
        <f>РЕАЛИЗАЦИЯ[[#This Row],[СОНИ]]*РЕАЛИЗАЦИЯ[[#This Row],[ТАННАРХ]]</f>
        <v>0</v>
      </c>
      <c r="K3618" s="31">
        <f>РЕАЛИЗАЦИЯ[[#This Row],[ЖАМИ]]-РЕАЛИЗАЦИЯ[[#This Row],[ЖАМИ2]]</f>
        <v>0</v>
      </c>
      <c r="L3618" s="31"/>
    </row>
    <row r="3619" spans="3:12" x14ac:dyDescent="0.3">
      <c r="C3619" s="269"/>
      <c r="D3619" s="269"/>
      <c r="G3619" s="50">
        <f>РЕАЛИЗАЦИЯ[[#This Row],[СОНИ]]*РЕАЛИЗАЦИЯ[[#This Row],[НАРХИ]]</f>
        <v>0</v>
      </c>
      <c r="I3619" s="166"/>
      <c r="J3619" s="31">
        <f>РЕАЛИЗАЦИЯ[[#This Row],[СОНИ]]*РЕАЛИЗАЦИЯ[[#This Row],[ТАННАРХ]]</f>
        <v>0</v>
      </c>
      <c r="K3619" s="31">
        <f>РЕАЛИЗАЦИЯ[[#This Row],[ЖАМИ]]-РЕАЛИЗАЦИЯ[[#This Row],[ЖАМИ2]]</f>
        <v>0</v>
      </c>
      <c r="L3619" s="31"/>
    </row>
    <row r="3620" spans="3:12" x14ac:dyDescent="0.3">
      <c r="C3620" s="269"/>
      <c r="D3620" s="269"/>
      <c r="G3620" s="50">
        <f>РЕАЛИЗАЦИЯ[[#This Row],[СОНИ]]*РЕАЛИЗАЦИЯ[[#This Row],[НАРХИ]]</f>
        <v>0</v>
      </c>
      <c r="I3620" s="166"/>
      <c r="J3620" s="31">
        <f>РЕАЛИЗАЦИЯ[[#This Row],[СОНИ]]*РЕАЛИЗАЦИЯ[[#This Row],[ТАННАРХ]]</f>
        <v>0</v>
      </c>
      <c r="K3620" s="31">
        <f>РЕАЛИЗАЦИЯ[[#This Row],[ЖАМИ]]-РЕАЛИЗАЦИЯ[[#This Row],[ЖАМИ2]]</f>
        <v>0</v>
      </c>
      <c r="L3620" s="31"/>
    </row>
    <row r="3621" spans="3:12" x14ac:dyDescent="0.3">
      <c r="C3621" s="269"/>
      <c r="D3621" s="269"/>
      <c r="G3621" s="50">
        <f>РЕАЛИЗАЦИЯ[[#This Row],[СОНИ]]*РЕАЛИЗАЦИЯ[[#This Row],[НАРХИ]]</f>
        <v>0</v>
      </c>
      <c r="I3621" s="166"/>
      <c r="J3621" s="31">
        <f>РЕАЛИЗАЦИЯ[[#This Row],[СОНИ]]*РЕАЛИЗАЦИЯ[[#This Row],[ТАННАРХ]]</f>
        <v>0</v>
      </c>
      <c r="K3621" s="31">
        <f>РЕАЛИЗАЦИЯ[[#This Row],[ЖАМИ]]-РЕАЛИЗАЦИЯ[[#This Row],[ЖАМИ2]]</f>
        <v>0</v>
      </c>
      <c r="L3621" s="31"/>
    </row>
    <row r="3622" spans="3:12" x14ac:dyDescent="0.3">
      <c r="C3622" s="269"/>
      <c r="D3622" s="269"/>
      <c r="G3622" s="50">
        <f>РЕАЛИЗАЦИЯ[[#This Row],[СОНИ]]*РЕАЛИЗАЦИЯ[[#This Row],[НАРХИ]]</f>
        <v>0</v>
      </c>
      <c r="I3622" s="166"/>
      <c r="J3622" s="31">
        <f>РЕАЛИЗАЦИЯ[[#This Row],[СОНИ]]*РЕАЛИЗАЦИЯ[[#This Row],[ТАННАРХ]]</f>
        <v>0</v>
      </c>
      <c r="K3622" s="31">
        <f>РЕАЛИЗАЦИЯ[[#This Row],[ЖАМИ]]-РЕАЛИЗАЦИЯ[[#This Row],[ЖАМИ2]]</f>
        <v>0</v>
      </c>
      <c r="L3622" s="31"/>
    </row>
    <row r="3623" spans="3:12" x14ac:dyDescent="0.3">
      <c r="C3623" s="269"/>
      <c r="D3623" s="269"/>
      <c r="G3623" s="50">
        <f>РЕАЛИЗАЦИЯ[[#This Row],[СОНИ]]*РЕАЛИЗАЦИЯ[[#This Row],[НАРХИ]]</f>
        <v>0</v>
      </c>
      <c r="I3623" s="166"/>
      <c r="J3623" s="31">
        <f>РЕАЛИЗАЦИЯ[[#This Row],[СОНИ]]*РЕАЛИЗАЦИЯ[[#This Row],[ТАННАРХ]]</f>
        <v>0</v>
      </c>
      <c r="K3623" s="31">
        <f>РЕАЛИЗАЦИЯ[[#This Row],[ЖАМИ]]-РЕАЛИЗАЦИЯ[[#This Row],[ЖАМИ2]]</f>
        <v>0</v>
      </c>
      <c r="L3623" s="31"/>
    </row>
    <row r="3624" spans="3:12" x14ac:dyDescent="0.3">
      <c r="C3624" s="269"/>
      <c r="D3624" s="269"/>
      <c r="G3624" s="50">
        <f>РЕАЛИЗАЦИЯ[[#This Row],[СОНИ]]*РЕАЛИЗАЦИЯ[[#This Row],[НАРХИ]]</f>
        <v>0</v>
      </c>
      <c r="I3624" s="166"/>
      <c r="J3624" s="31">
        <f>РЕАЛИЗАЦИЯ[[#This Row],[СОНИ]]*РЕАЛИЗАЦИЯ[[#This Row],[ТАННАРХ]]</f>
        <v>0</v>
      </c>
      <c r="K3624" s="31">
        <f>РЕАЛИЗАЦИЯ[[#This Row],[ЖАМИ]]-РЕАЛИЗАЦИЯ[[#This Row],[ЖАМИ2]]</f>
        <v>0</v>
      </c>
      <c r="L3624" s="31"/>
    </row>
    <row r="3625" spans="3:12" x14ac:dyDescent="0.3">
      <c r="C3625" s="269"/>
      <c r="D3625" s="269"/>
      <c r="G3625" s="50">
        <f>РЕАЛИЗАЦИЯ[[#This Row],[СОНИ]]*РЕАЛИЗАЦИЯ[[#This Row],[НАРХИ]]</f>
        <v>0</v>
      </c>
      <c r="I3625" s="166"/>
      <c r="J3625" s="31">
        <f>РЕАЛИЗАЦИЯ[[#This Row],[СОНИ]]*РЕАЛИЗАЦИЯ[[#This Row],[ТАННАРХ]]</f>
        <v>0</v>
      </c>
      <c r="K3625" s="31">
        <f>РЕАЛИЗАЦИЯ[[#This Row],[ЖАМИ]]-РЕАЛИЗАЦИЯ[[#This Row],[ЖАМИ2]]</f>
        <v>0</v>
      </c>
      <c r="L3625" s="31"/>
    </row>
    <row r="3626" spans="3:12" x14ac:dyDescent="0.3">
      <c r="C3626" s="269"/>
      <c r="D3626" s="269"/>
      <c r="G3626" s="50">
        <f>РЕАЛИЗАЦИЯ[[#This Row],[СОНИ]]*РЕАЛИЗАЦИЯ[[#This Row],[НАРХИ]]</f>
        <v>0</v>
      </c>
      <c r="I3626" s="166"/>
      <c r="J3626" s="31">
        <f>РЕАЛИЗАЦИЯ[[#This Row],[СОНИ]]*РЕАЛИЗАЦИЯ[[#This Row],[ТАННАРХ]]</f>
        <v>0</v>
      </c>
      <c r="K3626" s="31">
        <f>РЕАЛИЗАЦИЯ[[#This Row],[ЖАМИ]]-РЕАЛИЗАЦИЯ[[#This Row],[ЖАМИ2]]</f>
        <v>0</v>
      </c>
      <c r="L3626" s="31"/>
    </row>
    <row r="3627" spans="3:12" x14ac:dyDescent="0.3">
      <c r="C3627" s="269"/>
      <c r="D3627" s="269"/>
      <c r="G3627" s="50">
        <f>РЕАЛИЗАЦИЯ[[#This Row],[СОНИ]]*РЕАЛИЗАЦИЯ[[#This Row],[НАРХИ]]</f>
        <v>0</v>
      </c>
      <c r="I3627" s="166"/>
      <c r="J3627" s="31">
        <f>РЕАЛИЗАЦИЯ[[#This Row],[СОНИ]]*РЕАЛИЗАЦИЯ[[#This Row],[ТАННАРХ]]</f>
        <v>0</v>
      </c>
      <c r="K3627" s="31">
        <f>РЕАЛИЗАЦИЯ[[#This Row],[ЖАМИ]]-РЕАЛИЗАЦИЯ[[#This Row],[ЖАМИ2]]</f>
        <v>0</v>
      </c>
      <c r="L3627" s="31"/>
    </row>
    <row r="3628" spans="3:12" x14ac:dyDescent="0.3">
      <c r="C3628" s="269"/>
      <c r="D3628" s="269"/>
      <c r="G3628" s="50">
        <f>РЕАЛИЗАЦИЯ[[#This Row],[СОНИ]]*РЕАЛИЗАЦИЯ[[#This Row],[НАРХИ]]</f>
        <v>0</v>
      </c>
      <c r="I3628" s="166"/>
      <c r="J3628" s="31">
        <f>РЕАЛИЗАЦИЯ[[#This Row],[СОНИ]]*РЕАЛИЗАЦИЯ[[#This Row],[ТАННАРХ]]</f>
        <v>0</v>
      </c>
      <c r="K3628" s="31">
        <f>РЕАЛИЗАЦИЯ[[#This Row],[ЖАМИ]]-РЕАЛИЗАЦИЯ[[#This Row],[ЖАМИ2]]</f>
        <v>0</v>
      </c>
      <c r="L3628" s="31"/>
    </row>
    <row r="3629" spans="3:12" x14ac:dyDescent="0.3">
      <c r="C3629" s="269"/>
      <c r="D3629" s="269"/>
      <c r="G3629" s="50">
        <f>РЕАЛИЗАЦИЯ[[#This Row],[СОНИ]]*РЕАЛИЗАЦИЯ[[#This Row],[НАРХИ]]</f>
        <v>0</v>
      </c>
      <c r="I3629" s="166"/>
      <c r="J3629" s="31">
        <f>РЕАЛИЗАЦИЯ[[#This Row],[СОНИ]]*РЕАЛИЗАЦИЯ[[#This Row],[ТАННАРХ]]</f>
        <v>0</v>
      </c>
      <c r="K3629" s="31">
        <f>РЕАЛИЗАЦИЯ[[#This Row],[ЖАМИ]]-РЕАЛИЗАЦИЯ[[#This Row],[ЖАМИ2]]</f>
        <v>0</v>
      </c>
      <c r="L3629" s="31"/>
    </row>
    <row r="3630" spans="3:12" x14ac:dyDescent="0.3">
      <c r="C3630" s="269"/>
      <c r="D3630" s="269"/>
      <c r="G3630" s="50">
        <f>РЕАЛИЗАЦИЯ[[#This Row],[СОНИ]]*РЕАЛИЗАЦИЯ[[#This Row],[НАРХИ]]</f>
        <v>0</v>
      </c>
      <c r="I3630" s="166"/>
      <c r="J3630" s="31">
        <f>РЕАЛИЗАЦИЯ[[#This Row],[СОНИ]]*РЕАЛИЗАЦИЯ[[#This Row],[ТАННАРХ]]</f>
        <v>0</v>
      </c>
      <c r="K3630" s="31">
        <f>РЕАЛИЗАЦИЯ[[#This Row],[ЖАМИ]]-РЕАЛИЗАЦИЯ[[#This Row],[ЖАМИ2]]</f>
        <v>0</v>
      </c>
      <c r="L3630" s="31"/>
    </row>
    <row r="3631" spans="3:12" x14ac:dyDescent="0.3">
      <c r="C3631" s="269"/>
      <c r="D3631" s="269"/>
      <c r="G3631" s="50">
        <f>РЕАЛИЗАЦИЯ[[#This Row],[СОНИ]]*РЕАЛИЗАЦИЯ[[#This Row],[НАРХИ]]</f>
        <v>0</v>
      </c>
      <c r="I3631" s="166"/>
      <c r="J3631" s="31">
        <f>РЕАЛИЗАЦИЯ[[#This Row],[СОНИ]]*РЕАЛИЗАЦИЯ[[#This Row],[ТАННАРХ]]</f>
        <v>0</v>
      </c>
      <c r="K3631" s="31">
        <f>РЕАЛИЗАЦИЯ[[#This Row],[ЖАМИ]]-РЕАЛИЗАЦИЯ[[#This Row],[ЖАМИ2]]</f>
        <v>0</v>
      </c>
      <c r="L3631" s="31"/>
    </row>
    <row r="3632" spans="3:12" x14ac:dyDescent="0.3">
      <c r="C3632" s="269"/>
      <c r="D3632" s="269"/>
      <c r="G3632" s="50">
        <f>РЕАЛИЗАЦИЯ[[#This Row],[СОНИ]]*РЕАЛИЗАЦИЯ[[#This Row],[НАРХИ]]</f>
        <v>0</v>
      </c>
      <c r="I3632" s="166"/>
      <c r="J3632" s="31">
        <f>РЕАЛИЗАЦИЯ[[#This Row],[СОНИ]]*РЕАЛИЗАЦИЯ[[#This Row],[ТАННАРХ]]</f>
        <v>0</v>
      </c>
      <c r="K3632" s="31">
        <f>РЕАЛИЗАЦИЯ[[#This Row],[ЖАМИ]]-РЕАЛИЗАЦИЯ[[#This Row],[ЖАМИ2]]</f>
        <v>0</v>
      </c>
      <c r="L3632" s="31"/>
    </row>
    <row r="3633" spans="3:12" x14ac:dyDescent="0.3">
      <c r="C3633" s="269"/>
      <c r="D3633" s="269"/>
      <c r="G3633" s="50">
        <f>РЕАЛИЗАЦИЯ[[#This Row],[СОНИ]]*РЕАЛИЗАЦИЯ[[#This Row],[НАРХИ]]</f>
        <v>0</v>
      </c>
      <c r="I3633" s="166"/>
      <c r="J3633" s="31">
        <f>РЕАЛИЗАЦИЯ[[#This Row],[СОНИ]]*РЕАЛИЗАЦИЯ[[#This Row],[ТАННАРХ]]</f>
        <v>0</v>
      </c>
      <c r="K3633" s="31">
        <f>РЕАЛИЗАЦИЯ[[#This Row],[ЖАМИ]]-РЕАЛИЗАЦИЯ[[#This Row],[ЖАМИ2]]</f>
        <v>0</v>
      </c>
      <c r="L3633" s="31"/>
    </row>
    <row r="3634" spans="3:12" x14ac:dyDescent="0.3">
      <c r="C3634" s="269"/>
      <c r="D3634" s="269"/>
      <c r="G3634" s="50">
        <f>РЕАЛИЗАЦИЯ[[#This Row],[СОНИ]]*РЕАЛИЗАЦИЯ[[#This Row],[НАРХИ]]</f>
        <v>0</v>
      </c>
      <c r="I3634" s="166"/>
      <c r="J3634" s="31">
        <f>РЕАЛИЗАЦИЯ[[#This Row],[СОНИ]]*РЕАЛИЗАЦИЯ[[#This Row],[ТАННАРХ]]</f>
        <v>0</v>
      </c>
      <c r="K3634" s="31">
        <f>РЕАЛИЗАЦИЯ[[#This Row],[ЖАМИ]]-РЕАЛИЗАЦИЯ[[#This Row],[ЖАМИ2]]</f>
        <v>0</v>
      </c>
      <c r="L3634" s="31"/>
    </row>
    <row r="3635" spans="3:12" x14ac:dyDescent="0.3">
      <c r="C3635" s="269"/>
      <c r="D3635" s="269"/>
      <c r="G3635" s="50">
        <f>РЕАЛИЗАЦИЯ[[#This Row],[СОНИ]]*РЕАЛИЗАЦИЯ[[#This Row],[НАРХИ]]</f>
        <v>0</v>
      </c>
      <c r="I3635" s="166"/>
      <c r="J3635" s="31">
        <f>РЕАЛИЗАЦИЯ[[#This Row],[СОНИ]]*РЕАЛИЗАЦИЯ[[#This Row],[ТАННАРХ]]</f>
        <v>0</v>
      </c>
      <c r="K3635" s="31">
        <f>РЕАЛИЗАЦИЯ[[#This Row],[ЖАМИ]]-РЕАЛИЗАЦИЯ[[#This Row],[ЖАМИ2]]</f>
        <v>0</v>
      </c>
      <c r="L3635" s="31"/>
    </row>
    <row r="3636" spans="3:12" x14ac:dyDescent="0.3">
      <c r="C3636" s="269"/>
      <c r="D3636" s="269"/>
      <c r="G3636" s="50">
        <f>РЕАЛИЗАЦИЯ[[#This Row],[СОНИ]]*РЕАЛИЗАЦИЯ[[#This Row],[НАРХИ]]</f>
        <v>0</v>
      </c>
      <c r="I3636" s="166"/>
      <c r="J3636" s="31">
        <f>РЕАЛИЗАЦИЯ[[#This Row],[СОНИ]]*РЕАЛИЗАЦИЯ[[#This Row],[ТАННАРХ]]</f>
        <v>0</v>
      </c>
      <c r="K3636" s="31">
        <f>РЕАЛИЗАЦИЯ[[#This Row],[ЖАМИ]]-РЕАЛИЗАЦИЯ[[#This Row],[ЖАМИ2]]</f>
        <v>0</v>
      </c>
      <c r="L3636" s="31"/>
    </row>
    <row r="3637" spans="3:12" x14ac:dyDescent="0.3">
      <c r="C3637" s="269"/>
      <c r="D3637" s="269"/>
      <c r="G3637" s="50">
        <f>РЕАЛИЗАЦИЯ[[#This Row],[СОНИ]]*РЕАЛИЗАЦИЯ[[#This Row],[НАРХИ]]</f>
        <v>0</v>
      </c>
      <c r="I3637" s="166"/>
      <c r="J3637" s="31">
        <f>РЕАЛИЗАЦИЯ[[#This Row],[СОНИ]]*РЕАЛИЗАЦИЯ[[#This Row],[ТАННАРХ]]</f>
        <v>0</v>
      </c>
      <c r="K3637" s="31">
        <f>РЕАЛИЗАЦИЯ[[#This Row],[ЖАМИ]]-РЕАЛИЗАЦИЯ[[#This Row],[ЖАМИ2]]</f>
        <v>0</v>
      </c>
      <c r="L3637" s="31"/>
    </row>
    <row r="3638" spans="3:12" x14ac:dyDescent="0.3">
      <c r="C3638" s="269"/>
      <c r="D3638" s="269"/>
      <c r="G3638" s="50">
        <f>РЕАЛИЗАЦИЯ[[#This Row],[СОНИ]]*РЕАЛИЗАЦИЯ[[#This Row],[НАРХИ]]</f>
        <v>0</v>
      </c>
      <c r="I3638" s="166"/>
      <c r="J3638" s="31">
        <f>РЕАЛИЗАЦИЯ[[#This Row],[СОНИ]]*РЕАЛИЗАЦИЯ[[#This Row],[ТАННАРХ]]</f>
        <v>0</v>
      </c>
      <c r="K3638" s="31">
        <f>РЕАЛИЗАЦИЯ[[#This Row],[ЖАМИ]]-РЕАЛИЗАЦИЯ[[#This Row],[ЖАМИ2]]</f>
        <v>0</v>
      </c>
      <c r="L3638" s="31"/>
    </row>
    <row r="3639" spans="3:12" x14ac:dyDescent="0.3">
      <c r="C3639" s="269"/>
      <c r="D3639" s="269"/>
      <c r="G3639" s="50">
        <f>РЕАЛИЗАЦИЯ[[#This Row],[СОНИ]]*РЕАЛИЗАЦИЯ[[#This Row],[НАРХИ]]</f>
        <v>0</v>
      </c>
      <c r="I3639" s="166"/>
      <c r="J3639" s="31">
        <f>РЕАЛИЗАЦИЯ[[#This Row],[СОНИ]]*РЕАЛИЗАЦИЯ[[#This Row],[ТАННАРХ]]</f>
        <v>0</v>
      </c>
      <c r="K3639" s="31">
        <f>РЕАЛИЗАЦИЯ[[#This Row],[ЖАМИ]]-РЕАЛИЗАЦИЯ[[#This Row],[ЖАМИ2]]</f>
        <v>0</v>
      </c>
      <c r="L3639" s="31"/>
    </row>
    <row r="3640" spans="3:12" x14ac:dyDescent="0.3">
      <c r="C3640" s="269"/>
      <c r="D3640" s="269"/>
      <c r="G3640" s="50">
        <f>РЕАЛИЗАЦИЯ[[#This Row],[СОНИ]]*РЕАЛИЗАЦИЯ[[#This Row],[НАРХИ]]</f>
        <v>0</v>
      </c>
      <c r="I3640" s="166"/>
      <c r="J3640" s="31">
        <f>РЕАЛИЗАЦИЯ[[#This Row],[СОНИ]]*РЕАЛИЗАЦИЯ[[#This Row],[ТАННАРХ]]</f>
        <v>0</v>
      </c>
      <c r="K3640" s="31">
        <f>РЕАЛИЗАЦИЯ[[#This Row],[ЖАМИ]]-РЕАЛИЗАЦИЯ[[#This Row],[ЖАМИ2]]</f>
        <v>0</v>
      </c>
      <c r="L3640" s="31"/>
    </row>
    <row r="3641" spans="3:12" x14ac:dyDescent="0.3">
      <c r="C3641" s="299"/>
      <c r="D3641" s="299"/>
      <c r="G3641" s="50">
        <f>РЕАЛИЗАЦИЯ[[#This Row],[СОНИ]]*РЕАЛИЗАЦИЯ[[#This Row],[НАРХИ]]</f>
        <v>0</v>
      </c>
      <c r="I3641" s="288"/>
      <c r="J3641" s="31">
        <f>РЕАЛИЗАЦИЯ[[#This Row],[СОНИ]]*РЕАЛИЗАЦИЯ[[#This Row],[ТАННАРХ]]</f>
        <v>0</v>
      </c>
      <c r="K3641" s="31">
        <f>РЕАЛИЗАЦИЯ[[#This Row],[ЖАМИ]]-РЕАЛИЗАЦИЯ[[#This Row],[ЖАМИ2]]</f>
        <v>0</v>
      </c>
      <c r="L3641" s="31"/>
    </row>
    <row r="3642" spans="3:12" x14ac:dyDescent="0.3">
      <c r="C3642" s="303"/>
      <c r="D3642" s="303"/>
      <c r="G3642" s="50">
        <f>РЕАЛИЗАЦИЯ[[#This Row],[СОНИ]]*РЕАЛИЗАЦИЯ[[#This Row],[НАРХИ]]</f>
        <v>0</v>
      </c>
      <c r="I3642" s="288"/>
      <c r="J3642" s="31">
        <f>РЕАЛИЗАЦИЯ[[#This Row],[СОНИ]]*РЕАЛИЗАЦИЯ[[#This Row],[ТАННАРХ]]</f>
        <v>0</v>
      </c>
      <c r="K3642" s="31">
        <f>РЕАЛИЗАЦИЯ[[#This Row],[ЖАМИ]]-РЕАЛИЗАЦИЯ[[#This Row],[ЖАМИ2]]</f>
        <v>0</v>
      </c>
      <c r="L3642" s="31"/>
    </row>
    <row r="3643" spans="3:12" x14ac:dyDescent="0.3">
      <c r="C3643" s="307"/>
      <c r="D3643" s="307"/>
      <c r="I3643" s="288"/>
      <c r="J3643" s="31">
        <f>РЕАЛИЗАЦИЯ[[#This Row],[СОНИ]]*РЕАЛИЗАЦИЯ[[#This Row],[ТАННАРХ]]</f>
        <v>0</v>
      </c>
      <c r="K3643" s="31">
        <f>РЕАЛИЗАЦИЯ[[#This Row],[ЖАМИ]]-РЕАЛИЗАЦИЯ[[#This Row],[ЖАМИ2]]</f>
        <v>0</v>
      </c>
      <c r="L3643" s="31"/>
    </row>
    <row r="3644" spans="3:12" x14ac:dyDescent="0.3">
      <c r="C3644" s="308"/>
      <c r="D3644" s="308"/>
      <c r="I3644" s="288"/>
      <c r="J3644" s="31">
        <f>РЕАЛИЗАЦИЯ[[#This Row],[СОНИ]]*РЕАЛИЗАЦИЯ[[#This Row],[ТАННАРХ]]</f>
        <v>0</v>
      </c>
      <c r="K3644" s="31">
        <f>РЕАЛИЗАЦИЯ[[#This Row],[ЖАМИ]]-РЕАЛИЗАЦИЯ[[#This Row],[ЖАМИ2]]</f>
        <v>0</v>
      </c>
      <c r="L3644" s="31"/>
    </row>
    <row r="3645" spans="3:12" x14ac:dyDescent="0.3">
      <c r="C3645" s="308"/>
      <c r="D3645" s="308"/>
      <c r="I3645" s="288"/>
      <c r="J3645" s="31">
        <f>РЕАЛИЗАЦИЯ[[#This Row],[СОНИ]]*РЕАЛИЗАЦИЯ[[#This Row],[ТАННАРХ]]</f>
        <v>0</v>
      </c>
      <c r="K3645" s="31">
        <f>РЕАЛИЗАЦИЯ[[#This Row],[ЖАМИ]]-РЕАЛИЗАЦИЯ[[#This Row],[ЖАМИ2]]</f>
        <v>0</v>
      </c>
      <c r="L3645" s="31"/>
    </row>
    <row r="3646" spans="3:12" x14ac:dyDescent="0.3">
      <c r="C3646" s="308"/>
      <c r="D3646" s="308"/>
      <c r="I3646" s="288"/>
      <c r="J3646" s="31">
        <f>РЕАЛИЗАЦИЯ[[#This Row],[СОНИ]]*РЕАЛИЗАЦИЯ[[#This Row],[ТАННАРХ]]</f>
        <v>0</v>
      </c>
      <c r="K3646" s="31">
        <f>РЕАЛИЗАЦИЯ[[#This Row],[ЖАМИ]]-РЕАЛИЗАЦИЯ[[#This Row],[ЖАМИ2]]</f>
        <v>0</v>
      </c>
      <c r="L3646" s="31"/>
    </row>
    <row r="3647" spans="3:12" x14ac:dyDescent="0.3">
      <c r="C3647" s="308"/>
      <c r="D3647" s="308"/>
      <c r="I3647" s="288"/>
      <c r="J3647" s="31">
        <f>РЕАЛИЗАЦИЯ[[#This Row],[СОНИ]]*РЕАЛИЗАЦИЯ[[#This Row],[ТАННАРХ]]</f>
        <v>0</v>
      </c>
      <c r="K3647" s="31">
        <f>РЕАЛИЗАЦИЯ[[#This Row],[ЖАМИ]]-РЕАЛИЗАЦИЯ[[#This Row],[ЖАМИ2]]</f>
        <v>0</v>
      </c>
      <c r="L3647" s="31"/>
    </row>
    <row r="3648" spans="3:12" x14ac:dyDescent="0.3">
      <c r="C3648" s="308"/>
      <c r="D3648" s="308"/>
      <c r="I3648" s="288"/>
      <c r="J3648" s="31">
        <f>РЕАЛИЗАЦИЯ[[#This Row],[СОНИ]]*РЕАЛИЗАЦИЯ[[#This Row],[ТАННАРХ]]</f>
        <v>0</v>
      </c>
      <c r="K3648" s="31">
        <f>РЕАЛИЗАЦИЯ[[#This Row],[ЖАМИ]]-РЕАЛИЗАЦИЯ[[#This Row],[ЖАМИ2]]</f>
        <v>0</v>
      </c>
      <c r="L3648" s="31"/>
    </row>
    <row r="3649" spans="3:12" x14ac:dyDescent="0.3">
      <c r="C3649" s="308"/>
      <c r="D3649" s="308"/>
      <c r="I3649" s="288"/>
      <c r="J3649" s="31">
        <f>РЕАЛИЗАЦИЯ[[#This Row],[СОНИ]]*РЕАЛИЗАЦИЯ[[#This Row],[ТАННАРХ]]</f>
        <v>0</v>
      </c>
      <c r="K3649" s="31">
        <f>РЕАЛИЗАЦИЯ[[#This Row],[ЖАМИ]]-РЕАЛИЗАЦИЯ[[#This Row],[ЖАМИ2]]</f>
        <v>0</v>
      </c>
      <c r="L3649" s="31"/>
    </row>
    <row r="3650" spans="3:12" x14ac:dyDescent="0.3">
      <c r="C3650" s="316"/>
      <c r="D3650" s="316"/>
      <c r="I3650" s="288"/>
      <c r="J3650" s="31">
        <f>РЕАЛИЗАЦИЯ[[#This Row],[СОНИ]]*РЕАЛИЗАЦИЯ[[#This Row],[ТАННАРХ]]</f>
        <v>0</v>
      </c>
      <c r="K3650" s="31">
        <f>РЕАЛИЗАЦИЯ[[#This Row],[ЖАМИ]]-РЕАЛИЗАЦИЯ[[#This Row],[ЖАМИ2]]</f>
        <v>0</v>
      </c>
      <c r="L3650" s="31"/>
    </row>
    <row r="3651" spans="3:12" x14ac:dyDescent="0.3">
      <c r="C3651" s="316"/>
      <c r="D3651" s="316"/>
      <c r="I3651" s="288"/>
      <c r="J3651" s="31">
        <f>РЕАЛИЗАЦИЯ[[#This Row],[СОНИ]]*РЕАЛИЗАЦИЯ[[#This Row],[ТАННАРХ]]</f>
        <v>0</v>
      </c>
      <c r="K3651" s="31">
        <f>РЕАЛИЗАЦИЯ[[#This Row],[ЖАМИ]]-РЕАЛИЗАЦИЯ[[#This Row],[ЖАМИ2]]</f>
        <v>0</v>
      </c>
      <c r="L3651" s="31"/>
    </row>
    <row r="3652" spans="3:12" x14ac:dyDescent="0.3">
      <c r="C3652" s="316"/>
      <c r="D3652" s="316"/>
      <c r="I3652" s="288"/>
      <c r="J3652" s="31">
        <f>РЕАЛИЗАЦИЯ[[#This Row],[СОНИ]]*РЕАЛИЗАЦИЯ[[#This Row],[ТАННАРХ]]</f>
        <v>0</v>
      </c>
      <c r="K3652" s="31">
        <f>РЕАЛИЗАЦИЯ[[#This Row],[ЖАМИ]]-РЕАЛИЗАЦИЯ[[#This Row],[ЖАМИ2]]</f>
        <v>0</v>
      </c>
      <c r="L3652" s="31"/>
    </row>
    <row r="3653" spans="3:12" x14ac:dyDescent="0.3">
      <c r="C3653" s="316"/>
      <c r="D3653" s="316"/>
      <c r="I3653" s="288"/>
      <c r="J3653" s="31">
        <f>РЕАЛИЗАЦИЯ[[#This Row],[СОНИ]]*РЕАЛИЗАЦИЯ[[#This Row],[ТАННАРХ]]</f>
        <v>0</v>
      </c>
      <c r="K3653" s="31">
        <f>РЕАЛИЗАЦИЯ[[#This Row],[ЖАМИ]]-РЕАЛИЗАЦИЯ[[#This Row],[ЖАМИ2]]</f>
        <v>0</v>
      </c>
      <c r="L3653" s="31"/>
    </row>
    <row r="3654" spans="3:12" x14ac:dyDescent="0.3">
      <c r="C3654" s="316"/>
      <c r="D3654" s="316"/>
      <c r="I3654" s="288"/>
      <c r="J3654" s="31">
        <f>РЕАЛИЗАЦИЯ[[#This Row],[СОНИ]]*РЕАЛИЗАЦИЯ[[#This Row],[ТАННАРХ]]</f>
        <v>0</v>
      </c>
      <c r="K3654" s="31">
        <f>РЕАЛИЗАЦИЯ[[#This Row],[ЖАМИ]]-РЕАЛИЗАЦИЯ[[#This Row],[ЖАМИ2]]</f>
        <v>0</v>
      </c>
      <c r="L3654" s="31"/>
    </row>
    <row r="3655" spans="3:12" x14ac:dyDescent="0.3">
      <c r="C3655" s="316"/>
      <c r="D3655" s="316"/>
      <c r="I3655" s="288"/>
      <c r="J3655" s="31">
        <f>РЕАЛИЗАЦИЯ[[#This Row],[СОНИ]]*РЕАЛИЗАЦИЯ[[#This Row],[ТАННАРХ]]</f>
        <v>0</v>
      </c>
      <c r="K3655" s="31">
        <f>РЕАЛИЗАЦИЯ[[#This Row],[ЖАМИ]]-РЕАЛИЗАЦИЯ[[#This Row],[ЖАМИ2]]</f>
        <v>0</v>
      </c>
      <c r="L3655" s="31"/>
    </row>
    <row r="3656" spans="3:12" x14ac:dyDescent="0.3">
      <c r="C3656" s="316"/>
      <c r="D3656" s="316"/>
      <c r="I3656" s="288"/>
      <c r="J3656" s="31">
        <f>РЕАЛИЗАЦИЯ[[#This Row],[СОНИ]]*РЕАЛИЗАЦИЯ[[#This Row],[ТАННАРХ]]</f>
        <v>0</v>
      </c>
      <c r="K3656" s="31">
        <f>РЕАЛИЗАЦИЯ[[#This Row],[ЖАМИ]]-РЕАЛИЗАЦИЯ[[#This Row],[ЖАМИ2]]</f>
        <v>0</v>
      </c>
      <c r="L3656" s="31"/>
    </row>
    <row r="3657" spans="3:12" x14ac:dyDescent="0.3">
      <c r="C3657" s="317"/>
      <c r="D3657" s="317"/>
      <c r="I3657" s="288"/>
      <c r="J3657" s="31">
        <f>РЕАЛИЗАЦИЯ[[#This Row],[СОНИ]]*РЕАЛИЗАЦИЯ[[#This Row],[ТАННАРХ]]</f>
        <v>0</v>
      </c>
      <c r="K3657" s="31">
        <f>РЕАЛИЗАЦИЯ[[#This Row],[ЖАМИ]]-РЕАЛИЗАЦИЯ[[#This Row],[ЖАМИ2]]</f>
        <v>0</v>
      </c>
      <c r="L3657" s="31"/>
    </row>
    <row r="3658" spans="3:12" x14ac:dyDescent="0.3">
      <c r="C3658" s="317"/>
      <c r="D3658" s="317"/>
      <c r="I3658" s="288"/>
      <c r="J3658" s="31">
        <f>РЕАЛИЗАЦИЯ[[#This Row],[СОНИ]]*РЕАЛИЗАЦИЯ[[#This Row],[ТАННАРХ]]</f>
        <v>0</v>
      </c>
      <c r="K3658" s="31">
        <f>РЕАЛИЗАЦИЯ[[#This Row],[ЖАМИ]]-РЕАЛИЗАЦИЯ[[#This Row],[ЖАМИ2]]</f>
        <v>0</v>
      </c>
      <c r="L3658" s="31"/>
    </row>
    <row r="3659" spans="3:12" x14ac:dyDescent="0.3">
      <c r="C3659" s="317"/>
      <c r="D3659" s="317"/>
      <c r="I3659" s="288"/>
      <c r="J3659" s="31">
        <f>РЕАЛИЗАЦИЯ[[#This Row],[СОНИ]]*РЕАЛИЗАЦИЯ[[#This Row],[ТАННАРХ]]</f>
        <v>0</v>
      </c>
      <c r="K3659" s="31">
        <f>РЕАЛИЗАЦИЯ[[#This Row],[ЖАМИ]]-РЕАЛИЗАЦИЯ[[#This Row],[ЖАМИ2]]</f>
        <v>0</v>
      </c>
      <c r="L3659" s="31"/>
    </row>
    <row r="3660" spans="3:12" x14ac:dyDescent="0.3">
      <c r="C3660" s="317"/>
      <c r="D3660" s="317"/>
      <c r="I3660" s="288"/>
      <c r="J3660" s="31">
        <f>РЕАЛИЗАЦИЯ[[#This Row],[СОНИ]]*РЕАЛИЗАЦИЯ[[#This Row],[ТАННАРХ]]</f>
        <v>0</v>
      </c>
      <c r="K3660" s="31">
        <f>РЕАЛИЗАЦИЯ[[#This Row],[ЖАМИ]]-РЕАЛИЗАЦИЯ[[#This Row],[ЖАМИ2]]</f>
        <v>0</v>
      </c>
      <c r="L3660" s="31"/>
    </row>
    <row r="3661" spans="3:12" x14ac:dyDescent="0.3">
      <c r="C3661" s="317"/>
      <c r="D3661" s="317"/>
      <c r="I3661" s="288"/>
      <c r="J3661" s="31">
        <f>РЕАЛИЗАЦИЯ[[#This Row],[СОНИ]]*РЕАЛИЗАЦИЯ[[#This Row],[ТАННАРХ]]</f>
        <v>0</v>
      </c>
      <c r="K3661" s="31">
        <f>РЕАЛИЗАЦИЯ[[#This Row],[ЖАМИ]]-РЕАЛИЗАЦИЯ[[#This Row],[ЖАМИ2]]</f>
        <v>0</v>
      </c>
      <c r="L3661" s="31"/>
    </row>
    <row r="3662" spans="3:12" x14ac:dyDescent="0.3">
      <c r="C3662" s="317"/>
      <c r="D3662" s="317"/>
      <c r="I3662" s="288"/>
      <c r="J3662" s="31">
        <f>РЕАЛИЗАЦИЯ[[#This Row],[СОНИ]]*РЕАЛИЗАЦИЯ[[#This Row],[ТАННАРХ]]</f>
        <v>0</v>
      </c>
      <c r="K3662" s="31">
        <f>РЕАЛИЗАЦИЯ[[#This Row],[ЖАМИ]]-РЕАЛИЗАЦИЯ[[#This Row],[ЖАМИ2]]</f>
        <v>0</v>
      </c>
      <c r="L3662" s="31"/>
    </row>
    <row r="3663" spans="3:12" x14ac:dyDescent="0.3">
      <c r="C3663" s="318"/>
      <c r="D3663" s="318"/>
      <c r="I3663" s="288"/>
      <c r="J3663" s="31">
        <f>РЕАЛИЗАЦИЯ[[#This Row],[СОНИ]]*РЕАЛИЗАЦИЯ[[#This Row],[ТАННАРХ]]</f>
        <v>0</v>
      </c>
      <c r="K3663" s="31">
        <f>РЕАЛИЗАЦИЯ[[#This Row],[ЖАМИ]]-РЕАЛИЗАЦИЯ[[#This Row],[ЖАМИ2]]</f>
        <v>0</v>
      </c>
      <c r="L3663" s="31"/>
    </row>
    <row r="3664" spans="3:12" x14ac:dyDescent="0.3">
      <c r="C3664" s="318"/>
      <c r="D3664" s="318"/>
      <c r="I3664" s="288"/>
      <c r="J3664" s="31">
        <f>РЕАЛИЗАЦИЯ[[#This Row],[СОНИ]]*РЕАЛИЗАЦИЯ[[#This Row],[ТАННАРХ]]</f>
        <v>0</v>
      </c>
      <c r="K3664" s="31">
        <f>РЕАЛИЗАЦИЯ[[#This Row],[ЖАМИ]]-РЕАЛИЗАЦИЯ[[#This Row],[ЖАМИ2]]</f>
        <v>0</v>
      </c>
      <c r="L3664" s="31"/>
    </row>
    <row r="3665" spans="3:12" x14ac:dyDescent="0.3">
      <c r="C3665" s="318"/>
      <c r="D3665" s="318"/>
      <c r="I3665" s="288"/>
      <c r="J3665" s="31">
        <f>РЕАЛИЗАЦИЯ[[#This Row],[СОНИ]]*РЕАЛИЗАЦИЯ[[#This Row],[ТАННАРХ]]</f>
        <v>0</v>
      </c>
      <c r="K3665" s="31">
        <f>РЕАЛИЗАЦИЯ[[#This Row],[ЖАМИ]]-РЕАЛИЗАЦИЯ[[#This Row],[ЖАМИ2]]</f>
        <v>0</v>
      </c>
      <c r="L3665" s="31"/>
    </row>
    <row r="3666" spans="3:12" x14ac:dyDescent="0.3">
      <c r="C3666" s="318"/>
      <c r="D3666" s="318"/>
      <c r="I3666" s="288"/>
      <c r="J3666" s="31">
        <f>РЕАЛИЗАЦИЯ[[#This Row],[СОНИ]]*РЕАЛИЗАЦИЯ[[#This Row],[ТАННАРХ]]</f>
        <v>0</v>
      </c>
      <c r="K3666" s="31">
        <f>РЕАЛИЗАЦИЯ[[#This Row],[ЖАМИ]]-РЕАЛИЗАЦИЯ[[#This Row],[ЖАМИ2]]</f>
        <v>0</v>
      </c>
      <c r="L3666" s="31"/>
    </row>
    <row r="3667" spans="3:12" x14ac:dyDescent="0.3">
      <c r="C3667" s="318"/>
      <c r="D3667" s="318"/>
      <c r="I3667" s="288"/>
      <c r="J3667" s="31">
        <f>РЕАЛИЗАЦИЯ[[#This Row],[СОНИ]]*РЕАЛИЗАЦИЯ[[#This Row],[ТАННАРХ]]</f>
        <v>0</v>
      </c>
      <c r="K3667" s="31">
        <f>РЕАЛИЗАЦИЯ[[#This Row],[ЖАМИ]]-РЕАЛИЗАЦИЯ[[#This Row],[ЖАМИ2]]</f>
        <v>0</v>
      </c>
      <c r="L3667" s="31"/>
    </row>
    <row r="3668" spans="3:12" x14ac:dyDescent="0.3">
      <c r="C3668" s="318"/>
      <c r="D3668" s="318"/>
      <c r="I3668" s="288"/>
      <c r="J3668" s="31">
        <f>РЕАЛИЗАЦИЯ[[#This Row],[СОНИ]]*РЕАЛИЗАЦИЯ[[#This Row],[ТАННАРХ]]</f>
        <v>0</v>
      </c>
      <c r="K3668" s="31">
        <f>РЕАЛИЗАЦИЯ[[#This Row],[ЖАМИ]]-РЕАЛИЗАЦИЯ[[#This Row],[ЖАМИ2]]</f>
        <v>0</v>
      </c>
      <c r="L3668" s="31"/>
    </row>
    <row r="3669" spans="3:12" x14ac:dyDescent="0.3">
      <c r="C3669" s="318"/>
      <c r="D3669" s="318"/>
      <c r="I3669" s="288"/>
      <c r="J3669" s="31">
        <f>РЕАЛИЗАЦИЯ[[#This Row],[СОНИ]]*РЕАЛИЗАЦИЯ[[#This Row],[ТАННАРХ]]</f>
        <v>0</v>
      </c>
      <c r="K3669" s="31">
        <f>РЕАЛИЗАЦИЯ[[#This Row],[ЖАМИ]]-РЕАЛИЗАЦИЯ[[#This Row],[ЖАМИ2]]</f>
        <v>0</v>
      </c>
      <c r="L3669" s="31"/>
    </row>
    <row r="3670" spans="3:12" x14ac:dyDescent="0.3">
      <c r="C3670" s="318"/>
      <c r="D3670" s="318"/>
      <c r="I3670" s="288"/>
      <c r="J3670" s="31">
        <f>РЕАЛИЗАЦИЯ[[#This Row],[СОНИ]]*РЕАЛИЗАЦИЯ[[#This Row],[ТАННАРХ]]</f>
        <v>0</v>
      </c>
      <c r="K3670" s="31">
        <f>РЕАЛИЗАЦИЯ[[#This Row],[ЖАМИ]]-РЕАЛИЗАЦИЯ[[#This Row],[ЖАМИ2]]</f>
        <v>0</v>
      </c>
      <c r="L3670" s="31"/>
    </row>
    <row r="3671" spans="3:12" x14ac:dyDescent="0.3">
      <c r="C3671" s="318"/>
      <c r="D3671" s="318"/>
      <c r="I3671" s="288"/>
      <c r="J3671" s="31">
        <f>РЕАЛИЗАЦИЯ[[#This Row],[СОНИ]]*РЕАЛИЗАЦИЯ[[#This Row],[ТАННАРХ]]</f>
        <v>0</v>
      </c>
      <c r="K3671" s="31">
        <f>РЕАЛИЗАЦИЯ[[#This Row],[ЖАМИ]]-РЕАЛИЗАЦИЯ[[#This Row],[ЖАМИ2]]</f>
        <v>0</v>
      </c>
      <c r="L3671" s="31"/>
    </row>
    <row r="3672" spans="3:12" x14ac:dyDescent="0.3">
      <c r="C3672" s="318"/>
      <c r="D3672" s="318"/>
      <c r="I3672" s="288"/>
      <c r="J3672" s="31">
        <f>РЕАЛИЗАЦИЯ[[#This Row],[СОНИ]]*РЕАЛИЗАЦИЯ[[#This Row],[ТАННАРХ]]</f>
        <v>0</v>
      </c>
      <c r="K3672" s="31">
        <f>РЕАЛИЗАЦИЯ[[#This Row],[ЖАМИ]]-РЕАЛИЗАЦИЯ[[#This Row],[ЖАМИ2]]</f>
        <v>0</v>
      </c>
      <c r="L3672" s="31"/>
    </row>
    <row r="3673" spans="3:12" x14ac:dyDescent="0.3">
      <c r="C3673" s="318"/>
      <c r="D3673" s="318"/>
      <c r="I3673" s="288"/>
      <c r="J3673" s="31">
        <f>РЕАЛИЗАЦИЯ[[#This Row],[СОНИ]]*РЕАЛИЗАЦИЯ[[#This Row],[ТАННАРХ]]</f>
        <v>0</v>
      </c>
      <c r="K3673" s="31">
        <f>РЕАЛИЗАЦИЯ[[#This Row],[ЖАМИ]]-РЕАЛИЗАЦИЯ[[#This Row],[ЖАМИ2]]</f>
        <v>0</v>
      </c>
      <c r="L3673" s="31"/>
    </row>
    <row r="3674" spans="3:12" x14ac:dyDescent="0.3">
      <c r="C3674" s="318"/>
      <c r="D3674" s="318"/>
      <c r="I3674" s="288"/>
      <c r="J3674" s="31">
        <f>РЕАЛИЗАЦИЯ[[#This Row],[СОНИ]]*РЕАЛИЗАЦИЯ[[#This Row],[ТАННАРХ]]</f>
        <v>0</v>
      </c>
      <c r="K3674" s="31">
        <f>РЕАЛИЗАЦИЯ[[#This Row],[ЖАМИ]]-РЕАЛИЗАЦИЯ[[#This Row],[ЖАМИ2]]</f>
        <v>0</v>
      </c>
      <c r="L3674" s="31"/>
    </row>
    <row r="3675" spans="3:12" x14ac:dyDescent="0.3">
      <c r="C3675" s="318"/>
      <c r="D3675" s="318"/>
      <c r="I3675" s="288"/>
      <c r="J3675" s="31">
        <f>РЕАЛИЗАЦИЯ[[#This Row],[СОНИ]]*РЕАЛИЗАЦИЯ[[#This Row],[ТАННАРХ]]</f>
        <v>0</v>
      </c>
      <c r="K3675" s="31">
        <f>РЕАЛИЗАЦИЯ[[#This Row],[ЖАМИ]]-РЕАЛИЗАЦИЯ[[#This Row],[ЖАМИ2]]</f>
        <v>0</v>
      </c>
      <c r="L3675" s="31"/>
    </row>
    <row r="3676" spans="3:12" x14ac:dyDescent="0.3">
      <c r="C3676" s="318"/>
      <c r="D3676" s="318"/>
      <c r="I3676" s="288"/>
      <c r="J3676" s="31">
        <f>РЕАЛИЗАЦИЯ[[#This Row],[СОНИ]]*РЕАЛИЗАЦИЯ[[#This Row],[ТАННАРХ]]</f>
        <v>0</v>
      </c>
      <c r="K3676" s="31">
        <f>РЕАЛИЗАЦИЯ[[#This Row],[ЖАМИ]]-РЕАЛИЗАЦИЯ[[#This Row],[ЖАМИ2]]</f>
        <v>0</v>
      </c>
      <c r="L3676" s="31"/>
    </row>
    <row r="3677" spans="3:12" x14ac:dyDescent="0.3">
      <c r="C3677" s="318"/>
      <c r="D3677" s="318"/>
      <c r="I3677" s="288"/>
      <c r="J3677" s="31">
        <f>РЕАЛИЗАЦИЯ[[#This Row],[СОНИ]]*РЕАЛИЗАЦИЯ[[#This Row],[ТАННАРХ]]</f>
        <v>0</v>
      </c>
      <c r="K3677" s="31">
        <f>РЕАЛИЗАЦИЯ[[#This Row],[ЖАМИ]]-РЕАЛИЗАЦИЯ[[#This Row],[ЖАМИ2]]</f>
        <v>0</v>
      </c>
      <c r="L3677" s="31"/>
    </row>
    <row r="3678" spans="3:12" x14ac:dyDescent="0.3">
      <c r="C3678" s="318"/>
      <c r="D3678" s="318"/>
      <c r="I3678" s="288"/>
      <c r="J3678" s="31">
        <f>РЕАЛИЗАЦИЯ[[#This Row],[СОНИ]]*РЕАЛИЗАЦИЯ[[#This Row],[ТАННАРХ]]</f>
        <v>0</v>
      </c>
      <c r="K3678" s="31">
        <f>РЕАЛИЗАЦИЯ[[#This Row],[ЖАМИ]]-РЕАЛИЗАЦИЯ[[#This Row],[ЖАМИ2]]</f>
        <v>0</v>
      </c>
      <c r="L3678" s="31"/>
    </row>
    <row r="3679" spans="3:12" x14ac:dyDescent="0.3">
      <c r="C3679" s="318"/>
      <c r="D3679" s="318"/>
      <c r="I3679" s="288"/>
      <c r="J3679" s="31">
        <f>РЕАЛИЗАЦИЯ[[#This Row],[СОНИ]]*РЕАЛИЗАЦИЯ[[#This Row],[ТАННАРХ]]</f>
        <v>0</v>
      </c>
      <c r="K3679" s="31">
        <f>РЕАЛИЗАЦИЯ[[#This Row],[ЖАМИ]]-РЕАЛИЗАЦИЯ[[#This Row],[ЖАМИ2]]</f>
        <v>0</v>
      </c>
      <c r="L3679" s="31"/>
    </row>
    <row r="3680" spans="3:12" x14ac:dyDescent="0.3">
      <c r="C3680" s="318"/>
      <c r="D3680" s="318"/>
      <c r="I3680" s="288"/>
      <c r="J3680" s="31">
        <f>РЕАЛИЗАЦИЯ[[#This Row],[СОНИ]]*РЕАЛИЗАЦИЯ[[#This Row],[ТАННАРХ]]</f>
        <v>0</v>
      </c>
      <c r="K3680" s="31">
        <f>РЕАЛИЗАЦИЯ[[#This Row],[ЖАМИ]]-РЕАЛИЗАЦИЯ[[#This Row],[ЖАМИ2]]</f>
        <v>0</v>
      </c>
      <c r="L3680" s="31"/>
    </row>
    <row r="3681" spans="3:12" x14ac:dyDescent="0.3">
      <c r="C3681" s="318"/>
      <c r="D3681" s="318"/>
      <c r="I3681" s="288"/>
      <c r="J3681" s="31">
        <f>РЕАЛИЗАЦИЯ[[#This Row],[СОНИ]]*РЕАЛИЗАЦИЯ[[#This Row],[ТАННАРХ]]</f>
        <v>0</v>
      </c>
      <c r="K3681" s="31">
        <f>РЕАЛИЗАЦИЯ[[#This Row],[ЖАМИ]]-РЕАЛИЗАЦИЯ[[#This Row],[ЖАМИ2]]</f>
        <v>0</v>
      </c>
      <c r="L3681" s="31"/>
    </row>
    <row r="3682" spans="3:12" x14ac:dyDescent="0.3">
      <c r="C3682" s="318"/>
      <c r="D3682" s="318"/>
      <c r="I3682" s="288"/>
      <c r="J3682" s="31">
        <f>РЕАЛИЗАЦИЯ[[#This Row],[СОНИ]]*РЕАЛИЗАЦИЯ[[#This Row],[ТАННАРХ]]</f>
        <v>0</v>
      </c>
      <c r="K3682" s="31">
        <f>РЕАЛИЗАЦИЯ[[#This Row],[ЖАМИ]]-РЕАЛИЗАЦИЯ[[#This Row],[ЖАМИ2]]</f>
        <v>0</v>
      </c>
      <c r="L3682" s="31"/>
    </row>
    <row r="3683" spans="3:12" x14ac:dyDescent="0.3">
      <c r="C3683" s="318"/>
      <c r="D3683" s="318"/>
      <c r="I3683" s="288"/>
      <c r="J3683" s="31">
        <f>РЕАЛИЗАЦИЯ[[#This Row],[СОНИ]]*РЕАЛИЗАЦИЯ[[#This Row],[ТАННАРХ]]</f>
        <v>0</v>
      </c>
      <c r="K3683" s="31">
        <f>РЕАЛИЗАЦИЯ[[#This Row],[ЖАМИ]]-РЕАЛИЗАЦИЯ[[#This Row],[ЖАМИ2]]</f>
        <v>0</v>
      </c>
      <c r="L3683" s="31"/>
    </row>
    <row r="3684" spans="3:12" x14ac:dyDescent="0.3">
      <c r="C3684" s="318"/>
      <c r="D3684" s="318"/>
      <c r="I3684" s="288"/>
      <c r="J3684" s="31">
        <f>РЕАЛИЗАЦИЯ[[#This Row],[СОНИ]]*РЕАЛИЗАЦИЯ[[#This Row],[ТАННАРХ]]</f>
        <v>0</v>
      </c>
      <c r="K3684" s="31">
        <f>РЕАЛИЗАЦИЯ[[#This Row],[ЖАМИ]]-РЕАЛИЗАЦИЯ[[#This Row],[ЖАМИ2]]</f>
        <v>0</v>
      </c>
      <c r="L3684" s="31"/>
    </row>
    <row r="3685" spans="3:12" x14ac:dyDescent="0.3">
      <c r="C3685" s="318"/>
      <c r="D3685" s="318"/>
      <c r="I3685" s="288"/>
      <c r="J3685" s="31">
        <f>РЕАЛИЗАЦИЯ[[#This Row],[СОНИ]]*РЕАЛИЗАЦИЯ[[#This Row],[ТАННАРХ]]</f>
        <v>0</v>
      </c>
      <c r="K3685" s="31">
        <f>РЕАЛИЗАЦИЯ[[#This Row],[ЖАМИ]]-РЕАЛИЗАЦИЯ[[#This Row],[ЖАМИ2]]</f>
        <v>0</v>
      </c>
      <c r="L3685" s="31"/>
    </row>
    <row r="3686" spans="3:12" x14ac:dyDescent="0.3">
      <c r="C3686" s="318"/>
      <c r="D3686" s="318"/>
      <c r="I3686" s="288"/>
      <c r="J3686" s="31">
        <f>РЕАЛИЗАЦИЯ[[#This Row],[СОНИ]]*РЕАЛИЗАЦИЯ[[#This Row],[ТАННАРХ]]</f>
        <v>0</v>
      </c>
      <c r="K3686" s="31">
        <f>РЕАЛИЗАЦИЯ[[#This Row],[ЖАМИ]]-РЕАЛИЗАЦИЯ[[#This Row],[ЖАМИ2]]</f>
        <v>0</v>
      </c>
      <c r="L3686" s="31"/>
    </row>
    <row r="3687" spans="3:12" x14ac:dyDescent="0.3">
      <c r="C3687" s="318"/>
      <c r="D3687" s="318"/>
      <c r="I3687" s="288"/>
      <c r="J3687" s="31">
        <f>РЕАЛИЗАЦИЯ[[#This Row],[СОНИ]]*РЕАЛИЗАЦИЯ[[#This Row],[ТАННАРХ]]</f>
        <v>0</v>
      </c>
      <c r="K3687" s="31">
        <f>РЕАЛИЗАЦИЯ[[#This Row],[ЖАМИ]]-РЕАЛИЗАЦИЯ[[#This Row],[ЖАМИ2]]</f>
        <v>0</v>
      </c>
      <c r="L3687" s="31"/>
    </row>
    <row r="3688" spans="3:12" x14ac:dyDescent="0.3">
      <c r="C3688" s="319"/>
      <c r="D3688" s="319"/>
      <c r="I3688" s="288"/>
      <c r="J3688" s="31">
        <f>РЕАЛИЗАЦИЯ[[#This Row],[СОНИ]]*РЕАЛИЗАЦИЯ[[#This Row],[ТАННАРХ]]</f>
        <v>0</v>
      </c>
      <c r="K3688" s="31">
        <f>РЕАЛИЗАЦИЯ[[#This Row],[ЖАМИ]]-РЕАЛИЗАЦИЯ[[#This Row],[ЖАМИ2]]</f>
        <v>0</v>
      </c>
      <c r="L3688" s="31"/>
    </row>
    <row r="3689" spans="3:12" x14ac:dyDescent="0.3">
      <c r="C3689" s="334"/>
      <c r="D3689" s="324"/>
      <c r="I3689" s="288"/>
      <c r="J3689" s="31">
        <f>РЕАЛИЗАЦИЯ[[#This Row],[СОНИ]]*РЕАЛИЗАЦИЯ[[#This Row],[ТАННАРХ]]</f>
        <v>0</v>
      </c>
      <c r="K3689" s="31">
        <f>РЕАЛИЗАЦИЯ[[#This Row],[ЖАМИ]]-РЕАЛИЗАЦИЯ[[#This Row],[ЖАМИ2]]</f>
        <v>0</v>
      </c>
      <c r="L3689" s="31"/>
    </row>
    <row r="3690" spans="3:12" x14ac:dyDescent="0.3">
      <c r="C3690" s="324"/>
      <c r="D3690" s="324"/>
      <c r="I3690" s="288"/>
      <c r="J3690" s="31">
        <f>РЕАЛИЗАЦИЯ[[#This Row],[СОНИ]]*РЕАЛИЗАЦИЯ[[#This Row],[ТАННАРХ]]</f>
        <v>0</v>
      </c>
      <c r="K3690" s="31">
        <f>РЕАЛИЗАЦИЯ[[#This Row],[ЖАМИ]]-РЕАЛИЗАЦИЯ[[#This Row],[ЖАМИ2]]</f>
        <v>0</v>
      </c>
      <c r="L3690" s="31"/>
    </row>
    <row r="3691" spans="3:12" x14ac:dyDescent="0.3">
      <c r="C3691" s="334"/>
      <c r="D3691" s="324"/>
      <c r="I3691" s="288"/>
      <c r="J3691" s="31">
        <f>РЕАЛИЗАЦИЯ[[#This Row],[СОНИ]]*РЕАЛИЗАЦИЯ[[#This Row],[ТАННАРХ]]</f>
        <v>0</v>
      </c>
      <c r="K3691" s="31">
        <f>РЕАЛИЗАЦИЯ[[#This Row],[ЖАМИ]]-РЕАЛИЗАЦИЯ[[#This Row],[ЖАМИ2]]</f>
        <v>0</v>
      </c>
      <c r="L3691" s="31"/>
    </row>
    <row r="3692" spans="3:12" x14ac:dyDescent="0.3">
      <c r="C3692" s="334"/>
      <c r="D3692" s="324"/>
      <c r="I3692" s="288"/>
      <c r="J3692" s="31">
        <f>РЕАЛИЗАЦИЯ[[#This Row],[СОНИ]]*РЕАЛИЗАЦИЯ[[#This Row],[ТАННАРХ]]</f>
        <v>0</v>
      </c>
      <c r="K3692" s="31">
        <f>РЕАЛИЗАЦИЯ[[#This Row],[ЖАМИ]]-РЕАЛИЗАЦИЯ[[#This Row],[ЖАМИ2]]</f>
        <v>0</v>
      </c>
      <c r="L3692" s="31"/>
    </row>
    <row r="3693" spans="3:12" x14ac:dyDescent="0.3">
      <c r="C3693" s="324"/>
      <c r="D3693" s="324"/>
      <c r="I3693" s="80"/>
      <c r="J3693" s="31">
        <f>РЕАЛИЗАЦИЯ[[#This Row],[СОНИ]]*РЕАЛИЗАЦИЯ[[#This Row],[ТАННАРХ]]</f>
        <v>0</v>
      </c>
      <c r="K3693" s="31">
        <f>РЕАЛИЗАЦИЯ[[#This Row],[ЖАМИ]]-РЕАЛИЗАЦИЯ[[#This Row],[ЖАМИ2]]</f>
        <v>0</v>
      </c>
      <c r="L3693" s="31"/>
    </row>
    <row r="3694" spans="3:12" x14ac:dyDescent="0.3">
      <c r="C3694" s="334"/>
      <c r="D3694" s="324"/>
      <c r="I3694" s="288"/>
      <c r="J3694" s="31">
        <f>РЕАЛИЗАЦИЯ[[#This Row],[СОНИ]]*РЕАЛИЗАЦИЯ[[#This Row],[ТАННАРХ]]</f>
        <v>0</v>
      </c>
      <c r="K3694" s="31">
        <f>РЕАЛИЗАЦИЯ[[#This Row],[ЖАМИ]]-РЕАЛИЗАЦИЯ[[#This Row],[ЖАМИ2]]</f>
        <v>0</v>
      </c>
      <c r="L3694" s="31"/>
    </row>
    <row r="3695" spans="3:12" x14ac:dyDescent="0.3">
      <c r="C3695" s="324"/>
      <c r="D3695" s="324"/>
      <c r="I3695" s="80"/>
      <c r="J3695" s="31">
        <f>РЕАЛИЗАЦИЯ[[#This Row],[СОНИ]]*РЕАЛИЗАЦИЯ[[#This Row],[ТАННАРХ]]</f>
        <v>0</v>
      </c>
      <c r="K3695" s="31">
        <f>РЕАЛИЗАЦИЯ[[#This Row],[ЖАМИ]]-РЕАЛИЗАЦИЯ[[#This Row],[ЖАМИ2]]</f>
        <v>0</v>
      </c>
      <c r="L3695" s="31"/>
    </row>
    <row r="3696" spans="3:12" x14ac:dyDescent="0.3">
      <c r="C3696" s="325"/>
      <c r="D3696" s="325"/>
      <c r="I3696" s="288"/>
      <c r="J3696" s="31">
        <f>РЕАЛИЗАЦИЯ[[#This Row],[СОНИ]]*РЕАЛИЗАЦИЯ[[#This Row],[ТАННАРХ]]</f>
        <v>0</v>
      </c>
      <c r="K3696" s="31">
        <f>РЕАЛИЗАЦИЯ[[#This Row],[ЖАМИ]]-РЕАЛИЗАЦИЯ[[#This Row],[ЖАМИ2]]</f>
        <v>0</v>
      </c>
      <c r="L3696" s="31"/>
    </row>
    <row r="3697" spans="1:12" x14ac:dyDescent="0.3">
      <c r="C3697" s="325"/>
      <c r="D3697" s="325"/>
      <c r="I3697" s="80"/>
      <c r="J3697" s="31">
        <f>РЕАЛИЗАЦИЯ[[#This Row],[СОНИ]]*РЕАЛИЗАЦИЯ[[#This Row],[ТАННАРХ]]</f>
        <v>0</v>
      </c>
      <c r="K3697" s="31">
        <f>РЕАЛИЗАЦИЯ[[#This Row],[ЖАМИ]]-РЕАЛИЗАЦИЯ[[#This Row],[ЖАМИ2]]</f>
        <v>0</v>
      </c>
      <c r="L3697" s="31"/>
    </row>
    <row r="3698" spans="1:12" x14ac:dyDescent="0.3">
      <c r="C3698" s="325"/>
      <c r="D3698" s="325"/>
      <c r="I3698" s="288"/>
      <c r="J3698" s="31">
        <f>РЕАЛИЗАЦИЯ[[#This Row],[СОНИ]]*РЕАЛИЗАЦИЯ[[#This Row],[ТАННАРХ]]</f>
        <v>0</v>
      </c>
      <c r="K3698" s="31">
        <f>РЕАЛИЗАЦИЯ[[#This Row],[ЖАМИ]]-РЕАЛИЗАЦИЯ[[#This Row],[ЖАМИ2]]</f>
        <v>0</v>
      </c>
      <c r="L3698" s="31"/>
    </row>
    <row r="3699" spans="1:12" x14ac:dyDescent="0.3">
      <c r="C3699" s="325"/>
      <c r="D3699" s="325"/>
      <c r="I3699" s="80"/>
      <c r="J3699" s="31">
        <f>РЕАЛИЗАЦИЯ[[#This Row],[СОНИ]]*РЕАЛИЗАЦИЯ[[#This Row],[ТАННАРХ]]</f>
        <v>0</v>
      </c>
      <c r="K3699" s="31">
        <f>РЕАЛИЗАЦИЯ[[#This Row],[ЖАМИ]]-РЕАЛИЗАЦИЯ[[#This Row],[ЖАМИ2]]</f>
        <v>0</v>
      </c>
      <c r="L3699" s="31"/>
    </row>
    <row r="3700" spans="1:12" s="324" customFormat="1" x14ac:dyDescent="0.3">
      <c r="A3700" s="3"/>
      <c r="B3700" s="4"/>
      <c r="C3700" s="325"/>
      <c r="D3700" s="325"/>
      <c r="E3700" s="31"/>
      <c r="F3700" s="31"/>
      <c r="G3700" s="50"/>
      <c r="H3700" s="31"/>
      <c r="I3700" s="57"/>
      <c r="J3700" s="31">
        <f>РЕАЛИЗАЦИЯ[[#This Row],[СОНИ]]*РЕАЛИЗАЦИЯ[[#This Row],[ТАННАРХ]]</f>
        <v>0</v>
      </c>
      <c r="K3700" s="31">
        <f>РЕАЛИЗАЦИЯ[[#This Row],[ЖАМИ]]-РЕАЛИЗАЦИЯ[[#This Row],[ЖАМИ2]]</f>
        <v>0</v>
      </c>
      <c r="L3700" s="31"/>
    </row>
    <row r="3701" spans="1:12" x14ac:dyDescent="0.3">
      <c r="C3701" s="325"/>
      <c r="D3701" s="325"/>
      <c r="I3701" s="80"/>
      <c r="J3701" s="31">
        <f>РЕАЛИЗАЦИЯ[[#This Row],[СОНИ]]*РЕАЛИЗАЦИЯ[[#This Row],[ТАННАРХ]]</f>
        <v>0</v>
      </c>
      <c r="K3701" s="31">
        <f>РЕАЛИЗАЦИЯ[[#This Row],[ЖАМИ]]-РЕАЛИЗАЦИЯ[[#This Row],[ЖАМИ2]]</f>
        <v>0</v>
      </c>
      <c r="L3701" s="31"/>
    </row>
    <row r="3702" spans="1:12" x14ac:dyDescent="0.3">
      <c r="C3702" s="325"/>
      <c r="D3702" s="325"/>
      <c r="I3702" s="57"/>
      <c r="J3702" s="31">
        <f>РЕАЛИЗАЦИЯ[[#This Row],[СОНИ]]*РЕАЛИЗАЦИЯ[[#This Row],[ТАННАРХ]]</f>
        <v>0</v>
      </c>
      <c r="K3702" s="31">
        <f>РЕАЛИЗАЦИЯ[[#This Row],[ЖАМИ]]-РЕАЛИЗАЦИЯ[[#This Row],[ЖАМИ2]]</f>
        <v>0</v>
      </c>
      <c r="L3702" s="31"/>
    </row>
    <row r="3703" spans="1:12" x14ac:dyDescent="0.3">
      <c r="C3703" s="325"/>
      <c r="D3703" s="325"/>
      <c r="I3703" s="80"/>
      <c r="J3703" s="31">
        <f>РЕАЛИЗАЦИЯ[[#This Row],[СОНИ]]*РЕАЛИЗАЦИЯ[[#This Row],[ТАННАРХ]]</f>
        <v>0</v>
      </c>
      <c r="K3703" s="31">
        <f>РЕАЛИЗАЦИЯ[[#This Row],[ЖАМИ]]-РЕАЛИЗАЦИЯ[[#This Row],[ЖАМИ2]]</f>
        <v>0</v>
      </c>
      <c r="L3703" s="31"/>
    </row>
    <row r="3704" spans="1:12" x14ac:dyDescent="0.3">
      <c r="C3704" s="325"/>
      <c r="D3704" s="325"/>
      <c r="I3704" s="57"/>
      <c r="J3704" s="31">
        <f>РЕАЛИЗАЦИЯ[[#This Row],[СОНИ]]*РЕАЛИЗАЦИЯ[[#This Row],[ТАННАРХ]]</f>
        <v>0</v>
      </c>
      <c r="K3704" s="31">
        <f>РЕАЛИЗАЦИЯ[[#This Row],[ЖАМИ]]-РЕАЛИЗАЦИЯ[[#This Row],[ЖАМИ2]]</f>
        <v>0</v>
      </c>
      <c r="L3704" s="31"/>
    </row>
    <row r="3705" spans="1:12" x14ac:dyDescent="0.3">
      <c r="C3705" s="325"/>
      <c r="D3705" s="325"/>
      <c r="I3705" s="57"/>
      <c r="J3705" s="31">
        <f>РЕАЛИЗАЦИЯ[[#This Row],[СОНИ]]*РЕАЛИЗАЦИЯ[[#This Row],[ТАННАРХ]]</f>
        <v>0</v>
      </c>
      <c r="K3705" s="31">
        <f>РЕАЛИЗАЦИЯ[[#This Row],[ЖАМИ]]-РЕАЛИЗАЦИЯ[[#This Row],[ЖАМИ2]]</f>
        <v>0</v>
      </c>
      <c r="L3705" s="31"/>
    </row>
    <row r="3706" spans="1:12" x14ac:dyDescent="0.3">
      <c r="C3706" s="325"/>
      <c r="D3706" s="325"/>
      <c r="I3706" s="288"/>
      <c r="J3706" s="31">
        <f>РЕАЛИЗАЦИЯ[[#This Row],[СОНИ]]*РЕАЛИЗАЦИЯ[[#This Row],[ТАННАРХ]]</f>
        <v>0</v>
      </c>
      <c r="K3706" s="31">
        <f>РЕАЛИЗАЦИЯ[[#This Row],[ЖАМИ]]-РЕАЛИЗАЦИЯ[[#This Row],[ЖАМИ2]]</f>
        <v>0</v>
      </c>
      <c r="L3706" s="31"/>
    </row>
    <row r="3707" spans="1:12" x14ac:dyDescent="0.3">
      <c r="C3707" s="325"/>
      <c r="D3707" s="325"/>
      <c r="I3707" s="80"/>
      <c r="J3707" s="31">
        <f>РЕАЛИЗАЦИЯ[[#This Row],[СОНИ]]*РЕАЛИЗАЦИЯ[[#This Row],[ТАННАРХ]]</f>
        <v>0</v>
      </c>
      <c r="K3707" s="31">
        <f>РЕАЛИЗАЦИЯ[[#This Row],[ЖАМИ]]-РЕАЛИЗАЦИЯ[[#This Row],[ЖАМИ2]]</f>
        <v>0</v>
      </c>
      <c r="L3707" s="31"/>
    </row>
    <row r="3708" spans="1:12" x14ac:dyDescent="0.3">
      <c r="C3708" s="325"/>
      <c r="D3708" s="325"/>
      <c r="I3708" s="80"/>
      <c r="J3708" s="31">
        <f>РЕАЛИЗАЦИЯ[[#This Row],[СОНИ]]*РЕАЛИЗАЦИЯ[[#This Row],[ТАННАРХ]]</f>
        <v>0</v>
      </c>
      <c r="K3708" s="31">
        <f>РЕАЛИЗАЦИЯ[[#This Row],[ЖАМИ]]-РЕАЛИЗАЦИЯ[[#This Row],[ЖАМИ2]]</f>
        <v>0</v>
      </c>
      <c r="L3708" s="31"/>
    </row>
    <row r="3709" spans="1:12" x14ac:dyDescent="0.3">
      <c r="C3709" s="325"/>
      <c r="D3709" s="325"/>
      <c r="I3709" s="288"/>
      <c r="J3709" s="31">
        <f>РЕАЛИЗАЦИЯ[[#This Row],[СОНИ]]*РЕАЛИЗАЦИЯ[[#This Row],[ТАННАРХ]]</f>
        <v>0</v>
      </c>
      <c r="K3709" s="31">
        <f>РЕАЛИЗАЦИЯ[[#This Row],[ЖАМИ]]-РЕАЛИЗАЦИЯ[[#This Row],[ЖАМИ2]]</f>
        <v>0</v>
      </c>
      <c r="L3709" s="31"/>
    </row>
    <row r="3710" spans="1:12" x14ac:dyDescent="0.3">
      <c r="C3710" s="325"/>
      <c r="D3710" s="325"/>
      <c r="I3710" s="288"/>
      <c r="J3710" s="31">
        <f>РЕАЛИЗАЦИЯ[[#This Row],[СОНИ]]*РЕАЛИЗАЦИЯ[[#This Row],[ТАННАРХ]]</f>
        <v>0</v>
      </c>
      <c r="K3710" s="31">
        <f>РЕАЛИЗАЦИЯ[[#This Row],[ЖАМИ]]-РЕАЛИЗАЦИЯ[[#This Row],[ЖАМИ2]]</f>
        <v>0</v>
      </c>
      <c r="L3710" s="31"/>
    </row>
    <row r="3711" spans="1:12" x14ac:dyDescent="0.3">
      <c r="C3711" s="325"/>
      <c r="D3711" s="325"/>
      <c r="I3711" s="288"/>
      <c r="J3711" s="31">
        <f>РЕАЛИЗАЦИЯ[[#This Row],[СОНИ]]*РЕАЛИЗАЦИЯ[[#This Row],[ТАННАРХ]]</f>
        <v>0</v>
      </c>
      <c r="K3711" s="31">
        <f>РЕАЛИЗАЦИЯ[[#This Row],[ЖАМИ]]-РЕАЛИЗАЦИЯ[[#This Row],[ЖАМИ2]]</f>
        <v>0</v>
      </c>
      <c r="L3711" s="31"/>
    </row>
    <row r="3712" spans="1:12" x14ac:dyDescent="0.3">
      <c r="C3712" s="325"/>
      <c r="D3712" s="325"/>
      <c r="I3712" s="288"/>
      <c r="J3712" s="31">
        <f>РЕАЛИЗАЦИЯ[[#This Row],[СОНИ]]*РЕАЛИЗАЦИЯ[[#This Row],[ТАННАРХ]]</f>
        <v>0</v>
      </c>
      <c r="K3712" s="31">
        <f>РЕАЛИЗАЦИЯ[[#This Row],[ЖАМИ]]-РЕАЛИЗАЦИЯ[[#This Row],[ЖАМИ2]]</f>
        <v>0</v>
      </c>
      <c r="L3712" s="31"/>
    </row>
    <row r="3713" spans="3:12" x14ac:dyDescent="0.3">
      <c r="C3713" s="325"/>
      <c r="D3713" s="325"/>
      <c r="I3713" s="288"/>
      <c r="J3713" s="31">
        <f>РЕАЛИЗАЦИЯ[[#This Row],[СОНИ]]*РЕАЛИЗАЦИЯ[[#This Row],[ТАННАРХ]]</f>
        <v>0</v>
      </c>
      <c r="K3713" s="31">
        <f>РЕАЛИЗАЦИЯ[[#This Row],[ЖАМИ]]-РЕАЛИЗАЦИЯ[[#This Row],[ЖАМИ2]]</f>
        <v>0</v>
      </c>
      <c r="L3713" s="31"/>
    </row>
    <row r="3714" spans="3:12" x14ac:dyDescent="0.3">
      <c r="C3714" s="325"/>
      <c r="D3714" s="325"/>
      <c r="I3714" s="288"/>
      <c r="J3714" s="31">
        <f>РЕАЛИЗАЦИЯ[[#This Row],[СОНИ]]*РЕАЛИЗАЦИЯ[[#This Row],[ТАННАРХ]]</f>
        <v>0</v>
      </c>
      <c r="K3714" s="31">
        <f>РЕАЛИЗАЦИЯ[[#This Row],[ЖАМИ]]-РЕАЛИЗАЦИЯ[[#This Row],[ЖАМИ2]]</f>
        <v>0</v>
      </c>
      <c r="L3714" s="31"/>
    </row>
    <row r="3715" spans="3:12" x14ac:dyDescent="0.3">
      <c r="C3715" s="325"/>
      <c r="D3715" s="325"/>
      <c r="I3715" s="288"/>
      <c r="J3715" s="31">
        <f>РЕАЛИЗАЦИЯ[[#This Row],[СОНИ]]*РЕАЛИЗАЦИЯ[[#This Row],[ТАННАРХ]]</f>
        <v>0</v>
      </c>
      <c r="K3715" s="31">
        <f>РЕАЛИЗАЦИЯ[[#This Row],[ЖАМИ]]-РЕАЛИЗАЦИЯ[[#This Row],[ЖАМИ2]]</f>
        <v>0</v>
      </c>
      <c r="L3715" s="31"/>
    </row>
    <row r="3716" spans="3:12" x14ac:dyDescent="0.3">
      <c r="C3716" s="325"/>
      <c r="D3716" s="325"/>
      <c r="I3716" s="288"/>
      <c r="J3716" s="31">
        <f>РЕАЛИЗАЦИЯ[[#This Row],[СОНИ]]*РЕАЛИЗАЦИЯ[[#This Row],[ТАННАРХ]]</f>
        <v>0</v>
      </c>
      <c r="K3716" s="31">
        <f>РЕАЛИЗАЦИЯ[[#This Row],[ЖАМИ]]-РЕАЛИЗАЦИЯ[[#This Row],[ЖАМИ2]]</f>
        <v>0</v>
      </c>
      <c r="L3716" s="31"/>
    </row>
    <row r="3717" spans="3:12" x14ac:dyDescent="0.3">
      <c r="C3717" s="325"/>
      <c r="D3717" s="325"/>
      <c r="I3717" s="288"/>
      <c r="J3717" s="31">
        <f>РЕАЛИЗАЦИЯ[[#This Row],[СОНИ]]*РЕАЛИЗАЦИЯ[[#This Row],[ТАННАРХ]]</f>
        <v>0</v>
      </c>
      <c r="K3717" s="31">
        <f>РЕАЛИЗАЦИЯ[[#This Row],[ЖАМИ]]-РЕАЛИЗАЦИЯ[[#This Row],[ЖАМИ2]]</f>
        <v>0</v>
      </c>
      <c r="L3717" s="31"/>
    </row>
    <row r="3718" spans="3:12" x14ac:dyDescent="0.3">
      <c r="C3718" s="325"/>
      <c r="D3718" s="325"/>
      <c r="I3718" s="288"/>
      <c r="J3718" s="31">
        <f>РЕАЛИЗАЦИЯ[[#This Row],[СОНИ]]*РЕАЛИЗАЦИЯ[[#This Row],[ТАННАРХ]]</f>
        <v>0</v>
      </c>
      <c r="K3718" s="31">
        <f>РЕАЛИЗАЦИЯ[[#This Row],[ЖАМИ]]-РЕАЛИЗАЦИЯ[[#This Row],[ЖАМИ2]]</f>
        <v>0</v>
      </c>
      <c r="L3718" s="31"/>
    </row>
    <row r="3719" spans="3:12" x14ac:dyDescent="0.3">
      <c r="C3719" s="325"/>
      <c r="D3719" s="325"/>
      <c r="I3719" s="288"/>
      <c r="J3719" s="31">
        <f>РЕАЛИЗАЦИЯ[[#This Row],[СОНИ]]*РЕАЛИЗАЦИЯ[[#This Row],[ТАННАРХ]]</f>
        <v>0</v>
      </c>
      <c r="K3719" s="31">
        <f>РЕАЛИЗАЦИЯ[[#This Row],[ЖАМИ]]-РЕАЛИЗАЦИЯ[[#This Row],[ЖАМИ2]]</f>
        <v>0</v>
      </c>
      <c r="L3719" s="31"/>
    </row>
    <row r="3720" spans="3:12" x14ac:dyDescent="0.3">
      <c r="C3720" s="325"/>
      <c r="D3720" s="325"/>
      <c r="I3720" s="288"/>
      <c r="J3720" s="31">
        <f>РЕАЛИЗАЦИЯ[[#This Row],[СОНИ]]*РЕАЛИЗАЦИЯ[[#This Row],[ТАННАРХ]]</f>
        <v>0</v>
      </c>
      <c r="K3720" s="31">
        <f>РЕАЛИЗАЦИЯ[[#This Row],[ЖАМИ]]-РЕАЛИЗАЦИЯ[[#This Row],[ЖАМИ2]]</f>
        <v>0</v>
      </c>
      <c r="L3720" s="31"/>
    </row>
    <row r="3721" spans="3:12" x14ac:dyDescent="0.3">
      <c r="C3721" s="325"/>
      <c r="D3721" s="325"/>
      <c r="I3721" s="288"/>
      <c r="J3721" s="31">
        <f>РЕАЛИЗАЦИЯ[[#This Row],[СОНИ]]*РЕАЛИЗАЦИЯ[[#This Row],[ТАННАРХ]]</f>
        <v>0</v>
      </c>
      <c r="K3721" s="31">
        <f>РЕАЛИЗАЦИЯ[[#This Row],[ЖАМИ]]-РЕАЛИЗАЦИЯ[[#This Row],[ЖАМИ2]]</f>
        <v>0</v>
      </c>
      <c r="L3721" s="31"/>
    </row>
    <row r="3722" spans="3:12" x14ac:dyDescent="0.3">
      <c r="C3722" s="325"/>
      <c r="D3722" s="325"/>
      <c r="I3722" s="288"/>
      <c r="J3722" s="31">
        <f>РЕАЛИЗАЦИЯ[[#This Row],[СОНИ]]*РЕАЛИЗАЦИЯ[[#This Row],[ТАННАРХ]]</f>
        <v>0</v>
      </c>
      <c r="K3722" s="31">
        <f>РЕАЛИЗАЦИЯ[[#This Row],[ЖАМИ]]-РЕАЛИЗАЦИЯ[[#This Row],[ЖАМИ2]]</f>
        <v>0</v>
      </c>
      <c r="L3722" s="31"/>
    </row>
    <row r="3723" spans="3:12" x14ac:dyDescent="0.3">
      <c r="C3723" s="325"/>
      <c r="D3723" s="325"/>
      <c r="I3723" s="288"/>
      <c r="J3723" s="31">
        <f>РЕАЛИЗАЦИЯ[[#This Row],[СОНИ]]*РЕАЛИЗАЦИЯ[[#This Row],[ТАННАРХ]]</f>
        <v>0</v>
      </c>
      <c r="K3723" s="31">
        <f>РЕАЛИЗАЦИЯ[[#This Row],[ЖАМИ]]-РЕАЛИЗАЦИЯ[[#This Row],[ЖАМИ2]]</f>
        <v>0</v>
      </c>
      <c r="L3723" s="31"/>
    </row>
    <row r="3724" spans="3:12" x14ac:dyDescent="0.3">
      <c r="C3724" s="325"/>
      <c r="D3724" s="325"/>
      <c r="I3724" s="288"/>
      <c r="J3724" s="31">
        <f>РЕАЛИЗАЦИЯ[[#This Row],[СОНИ]]*РЕАЛИЗАЦИЯ[[#This Row],[ТАННАРХ]]</f>
        <v>0</v>
      </c>
      <c r="K3724" s="31">
        <f>РЕАЛИЗАЦИЯ[[#This Row],[ЖАМИ]]-РЕАЛИЗАЦИЯ[[#This Row],[ЖАМИ2]]</f>
        <v>0</v>
      </c>
      <c r="L3724" s="31"/>
    </row>
    <row r="3725" spans="3:12" x14ac:dyDescent="0.3">
      <c r="C3725" s="325"/>
      <c r="D3725" s="325"/>
      <c r="I3725" s="288"/>
      <c r="J3725" s="31">
        <f>РЕАЛИЗАЦИЯ[[#This Row],[СОНИ]]*РЕАЛИЗАЦИЯ[[#This Row],[ТАННАРХ]]</f>
        <v>0</v>
      </c>
      <c r="K3725" s="31">
        <f>РЕАЛИЗАЦИЯ[[#This Row],[ЖАМИ]]-РЕАЛИЗАЦИЯ[[#This Row],[ЖАМИ2]]</f>
        <v>0</v>
      </c>
      <c r="L3725" s="31"/>
    </row>
    <row r="3726" spans="3:12" x14ac:dyDescent="0.3">
      <c r="C3726" s="325"/>
      <c r="D3726" s="325"/>
      <c r="I3726" s="288"/>
      <c r="J3726" s="31">
        <f>РЕАЛИЗАЦИЯ[[#This Row],[СОНИ]]*РЕАЛИЗАЦИЯ[[#This Row],[ТАННАРХ]]</f>
        <v>0</v>
      </c>
      <c r="K3726" s="31">
        <f>РЕАЛИЗАЦИЯ[[#This Row],[ЖАМИ]]-РЕАЛИЗАЦИЯ[[#This Row],[ЖАМИ2]]</f>
        <v>0</v>
      </c>
      <c r="L3726" s="31"/>
    </row>
    <row r="3727" spans="3:12" x14ac:dyDescent="0.3">
      <c r="C3727" s="325"/>
      <c r="D3727" s="325"/>
      <c r="I3727" s="288"/>
      <c r="J3727" s="31">
        <f>РЕАЛИЗАЦИЯ[[#This Row],[СОНИ]]*РЕАЛИЗАЦИЯ[[#This Row],[ТАННАРХ]]</f>
        <v>0</v>
      </c>
      <c r="K3727" s="31">
        <f>РЕАЛИЗАЦИЯ[[#This Row],[ЖАМИ]]-РЕАЛИЗАЦИЯ[[#This Row],[ЖАМИ2]]</f>
        <v>0</v>
      </c>
      <c r="L3727" s="31"/>
    </row>
    <row r="3728" spans="3:12" x14ac:dyDescent="0.3">
      <c r="C3728" s="325"/>
      <c r="D3728" s="325"/>
      <c r="I3728" s="288"/>
      <c r="J3728" s="31">
        <f>РЕАЛИЗАЦИЯ[[#This Row],[СОНИ]]*РЕАЛИЗАЦИЯ[[#This Row],[ТАННАРХ]]</f>
        <v>0</v>
      </c>
      <c r="K3728" s="31">
        <f>РЕАЛИЗАЦИЯ[[#This Row],[ЖАМИ]]-РЕАЛИЗАЦИЯ[[#This Row],[ЖАМИ2]]</f>
        <v>0</v>
      </c>
      <c r="L3728" s="31"/>
    </row>
    <row r="3729" spans="3:12" x14ac:dyDescent="0.3">
      <c r="C3729" s="325"/>
      <c r="D3729" s="325"/>
      <c r="I3729" s="288"/>
      <c r="J3729" s="31">
        <f>РЕАЛИЗАЦИЯ[[#This Row],[СОНИ]]*РЕАЛИЗАЦИЯ[[#This Row],[ТАННАРХ]]</f>
        <v>0</v>
      </c>
      <c r="K3729" s="31">
        <f>РЕАЛИЗАЦИЯ[[#This Row],[ЖАМИ]]-РЕАЛИЗАЦИЯ[[#This Row],[ЖАМИ2]]</f>
        <v>0</v>
      </c>
      <c r="L3729" s="31"/>
    </row>
    <row r="3730" spans="3:12" x14ac:dyDescent="0.3">
      <c r="C3730" s="325"/>
      <c r="D3730" s="325"/>
      <c r="I3730" s="288"/>
      <c r="J3730" s="31">
        <f>РЕАЛИЗАЦИЯ[[#This Row],[СОНИ]]*РЕАЛИЗАЦИЯ[[#This Row],[ТАННАРХ]]</f>
        <v>0</v>
      </c>
      <c r="K3730" s="31">
        <f>РЕАЛИЗАЦИЯ[[#This Row],[ЖАМИ]]-РЕАЛИЗАЦИЯ[[#This Row],[ЖАМИ2]]</f>
        <v>0</v>
      </c>
      <c r="L3730" s="31"/>
    </row>
    <row r="3731" spans="3:12" x14ac:dyDescent="0.3">
      <c r="C3731" s="325"/>
      <c r="D3731" s="325"/>
      <c r="I3731" s="288"/>
      <c r="J3731" s="31">
        <f>РЕАЛИЗАЦИЯ[[#This Row],[СОНИ]]*РЕАЛИЗАЦИЯ[[#This Row],[ТАННАРХ]]</f>
        <v>0</v>
      </c>
      <c r="K3731" s="31">
        <f>РЕАЛИЗАЦИЯ[[#This Row],[ЖАМИ]]-РЕАЛИЗАЦИЯ[[#This Row],[ЖАМИ2]]</f>
        <v>0</v>
      </c>
      <c r="L3731" s="31"/>
    </row>
    <row r="3732" spans="3:12" x14ac:dyDescent="0.3">
      <c r="C3732" s="325"/>
      <c r="D3732" s="325"/>
      <c r="I3732" s="288"/>
      <c r="J3732" s="31">
        <f>РЕАЛИЗАЦИЯ[[#This Row],[СОНИ]]*РЕАЛИЗАЦИЯ[[#This Row],[ТАННАРХ]]</f>
        <v>0</v>
      </c>
      <c r="K3732" s="31">
        <f>РЕАЛИЗАЦИЯ[[#This Row],[ЖАМИ]]-РЕАЛИЗАЦИЯ[[#This Row],[ЖАМИ2]]</f>
        <v>0</v>
      </c>
      <c r="L3732" s="31"/>
    </row>
    <row r="3733" spans="3:12" x14ac:dyDescent="0.3">
      <c r="C3733" s="325"/>
      <c r="D3733" s="325"/>
      <c r="I3733" s="288"/>
      <c r="J3733" s="31">
        <f>РЕАЛИЗАЦИЯ[[#This Row],[СОНИ]]*РЕАЛИЗАЦИЯ[[#This Row],[ТАННАРХ]]</f>
        <v>0</v>
      </c>
      <c r="K3733" s="31">
        <f>РЕАЛИЗАЦИЯ[[#This Row],[ЖАМИ]]-РЕАЛИЗАЦИЯ[[#This Row],[ЖАМИ2]]</f>
        <v>0</v>
      </c>
      <c r="L3733" s="31"/>
    </row>
    <row r="3734" spans="3:12" x14ac:dyDescent="0.3">
      <c r="C3734" s="325"/>
      <c r="D3734" s="325"/>
      <c r="I3734" s="80"/>
      <c r="J3734" s="31"/>
      <c r="K3734" s="31"/>
      <c r="L3734" s="31"/>
    </row>
    <row r="3735" spans="3:12" x14ac:dyDescent="0.3">
      <c r="C3735" s="325"/>
      <c r="D3735" s="325"/>
      <c r="I3735" s="288"/>
      <c r="J3735" s="31"/>
      <c r="K3735" s="31"/>
      <c r="L3735" s="31"/>
    </row>
    <row r="3736" spans="3:12" x14ac:dyDescent="0.3">
      <c r="C3736" s="325"/>
      <c r="D3736" s="325"/>
      <c r="I3736" s="80"/>
      <c r="J3736" s="31"/>
      <c r="K3736" s="31"/>
      <c r="L3736" s="31"/>
    </row>
    <row r="3737" spans="3:12" x14ac:dyDescent="0.3">
      <c r="C3737" s="325"/>
      <c r="D3737" s="325"/>
      <c r="I3737" s="80"/>
      <c r="J3737" s="31"/>
      <c r="K3737" s="31"/>
      <c r="L3737" s="31"/>
    </row>
    <row r="3738" spans="3:12" x14ac:dyDescent="0.3">
      <c r="C3738" s="325"/>
      <c r="D3738" s="325"/>
      <c r="I3738" s="288"/>
      <c r="J3738" s="31"/>
      <c r="K3738" s="31"/>
      <c r="L3738" s="31"/>
    </row>
    <row r="3739" spans="3:12" x14ac:dyDescent="0.3">
      <c r="C3739" s="325"/>
      <c r="D3739" s="325"/>
      <c r="I3739" s="288"/>
      <c r="J3739" s="31"/>
      <c r="K3739" s="31"/>
      <c r="L3739" s="31"/>
    </row>
    <row r="3740" spans="3:12" x14ac:dyDescent="0.3">
      <c r="C3740" s="325"/>
      <c r="D3740" s="325"/>
      <c r="I3740" s="80"/>
      <c r="J3740" s="31"/>
      <c r="K3740" s="31"/>
      <c r="L3740" s="31"/>
    </row>
    <row r="3741" spans="3:12" x14ac:dyDescent="0.3">
      <c r="C3741" s="325"/>
      <c r="D3741" s="325"/>
      <c r="I3741" s="288"/>
      <c r="J3741" s="31"/>
      <c r="K3741" s="31"/>
      <c r="L3741" s="31"/>
    </row>
    <row r="3742" spans="3:12" x14ac:dyDescent="0.3">
      <c r="C3742" s="325"/>
      <c r="D3742" s="325"/>
      <c r="I3742" s="288"/>
      <c r="J3742" s="31"/>
      <c r="K3742" s="31"/>
      <c r="L3742" s="31"/>
    </row>
    <row r="3743" spans="3:12" x14ac:dyDescent="0.3">
      <c r="C3743" s="334"/>
      <c r="D3743" s="325"/>
      <c r="I3743" s="288"/>
      <c r="J3743" s="31"/>
      <c r="K3743" s="31"/>
      <c r="L3743" s="31"/>
    </row>
    <row r="3744" spans="3:12" x14ac:dyDescent="0.3">
      <c r="C3744" s="325"/>
      <c r="D3744" s="325"/>
      <c r="I3744" s="80"/>
      <c r="J3744" s="31"/>
      <c r="K3744" s="31"/>
      <c r="L3744" s="31"/>
    </row>
    <row r="3745" spans="1:12" x14ac:dyDescent="0.3">
      <c r="C3745" s="325"/>
      <c r="D3745" s="325"/>
      <c r="I3745" s="80"/>
      <c r="J3745" s="31"/>
      <c r="K3745" s="31"/>
      <c r="L3745" s="31"/>
    </row>
    <row r="3746" spans="1:12" x14ac:dyDescent="0.3">
      <c r="C3746" s="325"/>
      <c r="D3746" s="325"/>
      <c r="I3746" s="80"/>
      <c r="J3746" s="31"/>
      <c r="K3746" s="31"/>
      <c r="L3746" s="31"/>
    </row>
    <row r="3747" spans="1:12" x14ac:dyDescent="0.3">
      <c r="C3747" s="325"/>
      <c r="D3747" s="325"/>
      <c r="I3747" s="288"/>
      <c r="J3747" s="31"/>
      <c r="K3747" s="31"/>
      <c r="L3747" s="31"/>
    </row>
    <row r="3748" spans="1:12" x14ac:dyDescent="0.3">
      <c r="C3748" s="334"/>
      <c r="D3748" s="325"/>
      <c r="I3748" s="288"/>
      <c r="J3748" s="31"/>
      <c r="K3748" s="31"/>
      <c r="L3748" s="31"/>
    </row>
    <row r="3749" spans="1:12" x14ac:dyDescent="0.3">
      <c r="C3749" s="325"/>
      <c r="D3749" s="325"/>
      <c r="I3749" s="288"/>
      <c r="J3749" s="31"/>
      <c r="K3749" s="31"/>
      <c r="L3749" s="31"/>
    </row>
    <row r="3750" spans="1:12" x14ac:dyDescent="0.3">
      <c r="C3750" s="325"/>
      <c r="D3750" s="325"/>
      <c r="I3750" s="288"/>
      <c r="J3750" s="31"/>
      <c r="K3750" s="31"/>
      <c r="L3750" s="31"/>
    </row>
    <row r="3751" spans="1:12" x14ac:dyDescent="0.3">
      <c r="C3751" s="325"/>
      <c r="D3751" s="325"/>
      <c r="I3751" s="288"/>
      <c r="J3751" s="31"/>
      <c r="K3751" s="31"/>
      <c r="L3751" s="31"/>
    </row>
    <row r="3752" spans="1:12" x14ac:dyDescent="0.3">
      <c r="C3752" s="325"/>
      <c r="D3752" s="325"/>
      <c r="I3752" s="288"/>
      <c r="J3752" s="31"/>
      <c r="K3752" s="31"/>
      <c r="L3752" s="31"/>
    </row>
    <row r="3753" spans="1:12" x14ac:dyDescent="0.3">
      <c r="C3753" s="325"/>
      <c r="D3753" s="325"/>
      <c r="I3753" s="80"/>
      <c r="J3753" s="31"/>
      <c r="K3753" s="31"/>
      <c r="L3753" s="31"/>
    </row>
    <row r="3754" spans="1:12" x14ac:dyDescent="0.3">
      <c r="C3754" s="325"/>
      <c r="D3754" s="325"/>
      <c r="I3754" s="288"/>
      <c r="J3754" s="31"/>
      <c r="K3754" s="31"/>
      <c r="L3754" s="31"/>
    </row>
    <row r="3755" spans="1:12" x14ac:dyDescent="0.3">
      <c r="C3755" s="325"/>
      <c r="D3755" s="325"/>
      <c r="I3755" s="288"/>
      <c r="J3755" s="31"/>
      <c r="K3755" s="31"/>
      <c r="L3755" s="31"/>
    </row>
    <row r="3756" spans="1:12" x14ac:dyDescent="0.3">
      <c r="C3756" s="325"/>
      <c r="D3756" s="325"/>
      <c r="I3756" s="288"/>
      <c r="J3756" s="31"/>
      <c r="K3756" s="31"/>
      <c r="L3756" s="31"/>
    </row>
    <row r="3757" spans="1:12" x14ac:dyDescent="0.3">
      <c r="C3757" s="325"/>
      <c r="D3757" s="325"/>
      <c r="I3757" s="288"/>
      <c r="J3757" s="31"/>
      <c r="K3757" s="31"/>
      <c r="L3757" s="31"/>
    </row>
    <row r="3758" spans="1:12" x14ac:dyDescent="0.3">
      <c r="C3758" s="325"/>
      <c r="D3758" s="325"/>
      <c r="I3758" s="288"/>
      <c r="J3758" s="31"/>
      <c r="K3758" s="31"/>
      <c r="L3758" s="31"/>
    </row>
    <row r="3759" spans="1:12" s="325" customFormat="1" x14ac:dyDescent="0.3">
      <c r="A3759" s="3"/>
      <c r="B3759" s="4"/>
      <c r="E3759" s="31"/>
      <c r="F3759" s="31"/>
      <c r="G3759" s="50"/>
      <c r="H3759" s="31"/>
      <c r="I3759" s="288"/>
      <c r="J3759" s="31"/>
      <c r="K3759" s="31"/>
      <c r="L3759" s="31"/>
    </row>
    <row r="3760" spans="1:12" x14ac:dyDescent="0.3">
      <c r="C3760" s="325"/>
      <c r="D3760" s="325"/>
      <c r="I3760" s="80"/>
      <c r="J3760" s="31"/>
      <c r="K3760" s="31"/>
      <c r="L3760" s="31"/>
    </row>
    <row r="3761" spans="3:12" x14ac:dyDescent="0.3">
      <c r="C3761" s="325"/>
      <c r="D3761" s="325"/>
      <c r="I3761" s="288"/>
      <c r="J3761" s="31"/>
      <c r="K3761" s="31"/>
      <c r="L3761" s="31"/>
    </row>
    <row r="3762" spans="3:12" x14ac:dyDescent="0.3">
      <c r="C3762" s="325"/>
      <c r="D3762" s="325"/>
      <c r="I3762" s="288"/>
      <c r="J3762" s="31"/>
      <c r="K3762" s="31"/>
      <c r="L3762" s="31"/>
    </row>
    <row r="3763" spans="3:12" x14ac:dyDescent="0.3">
      <c r="C3763" s="325"/>
      <c r="D3763" s="325"/>
      <c r="I3763" s="288"/>
      <c r="J3763" s="31"/>
      <c r="K3763" s="31"/>
      <c r="L3763" s="31"/>
    </row>
    <row r="3764" spans="3:12" x14ac:dyDescent="0.3">
      <c r="C3764" s="325"/>
      <c r="D3764" s="325"/>
      <c r="I3764" s="288"/>
      <c r="J3764" s="31"/>
      <c r="K3764" s="31"/>
      <c r="L3764" s="31"/>
    </row>
    <row r="3765" spans="3:12" x14ac:dyDescent="0.3">
      <c r="C3765" s="325"/>
      <c r="D3765" s="325"/>
      <c r="I3765" s="288"/>
      <c r="J3765" s="31"/>
      <c r="K3765" s="31"/>
      <c r="L3765" s="31"/>
    </row>
    <row r="3766" spans="3:12" x14ac:dyDescent="0.3">
      <c r="C3766" s="325"/>
      <c r="D3766" s="325"/>
      <c r="I3766" s="288"/>
      <c r="J3766" s="31"/>
      <c r="K3766" s="31"/>
      <c r="L3766" s="31"/>
    </row>
    <row r="3767" spans="3:12" x14ac:dyDescent="0.3">
      <c r="C3767" s="325"/>
      <c r="D3767" s="325"/>
      <c r="I3767" s="288"/>
      <c r="J3767" s="31"/>
      <c r="K3767" s="31"/>
      <c r="L3767" s="31"/>
    </row>
    <row r="3768" spans="3:12" x14ac:dyDescent="0.3">
      <c r="C3768" s="325"/>
      <c r="D3768" s="325"/>
      <c r="I3768" s="288"/>
      <c r="J3768" s="31"/>
      <c r="K3768" s="31"/>
      <c r="L3768" s="31"/>
    </row>
    <row r="3769" spans="3:12" x14ac:dyDescent="0.3">
      <c r="C3769" s="325"/>
      <c r="D3769" s="325"/>
      <c r="I3769" s="288"/>
      <c r="J3769" s="31"/>
      <c r="K3769" s="31"/>
      <c r="L3769" s="31"/>
    </row>
    <row r="3770" spans="3:12" x14ac:dyDescent="0.3">
      <c r="C3770" s="325"/>
      <c r="D3770" s="325"/>
      <c r="I3770" s="288"/>
      <c r="J3770" s="31"/>
      <c r="K3770" s="31"/>
      <c r="L3770" s="31"/>
    </row>
    <row r="3771" spans="3:12" x14ac:dyDescent="0.3">
      <c r="C3771" s="325"/>
      <c r="D3771" s="325"/>
      <c r="I3771" s="288"/>
      <c r="J3771" s="31"/>
      <c r="K3771" s="31"/>
      <c r="L3771" s="31"/>
    </row>
    <row r="3772" spans="3:12" x14ac:dyDescent="0.3">
      <c r="C3772" s="325"/>
      <c r="D3772" s="325"/>
      <c r="I3772" s="288"/>
      <c r="J3772" s="31"/>
      <c r="K3772" s="31"/>
      <c r="L3772" s="31"/>
    </row>
    <row r="3773" spans="3:12" x14ac:dyDescent="0.3">
      <c r="C3773" s="325"/>
      <c r="D3773" s="325"/>
      <c r="I3773" s="288"/>
      <c r="J3773" s="31"/>
      <c r="K3773" s="31"/>
      <c r="L3773" s="31"/>
    </row>
    <row r="3774" spans="3:12" x14ac:dyDescent="0.3">
      <c r="C3774" s="325"/>
      <c r="D3774" s="325"/>
      <c r="I3774" s="288"/>
      <c r="J3774" s="31"/>
      <c r="K3774" s="31"/>
      <c r="L3774" s="31"/>
    </row>
    <row r="3775" spans="3:12" x14ac:dyDescent="0.3">
      <c r="C3775" s="328"/>
      <c r="D3775" s="328"/>
      <c r="I3775" s="288"/>
      <c r="J3775" s="31"/>
      <c r="K3775" s="31"/>
      <c r="L3775" s="31"/>
    </row>
    <row r="3776" spans="3:12" x14ac:dyDescent="0.3">
      <c r="C3776" s="328"/>
      <c r="D3776" s="328"/>
      <c r="I3776" s="288"/>
      <c r="J3776" s="31"/>
      <c r="K3776" s="31"/>
      <c r="L3776" s="31"/>
    </row>
    <row r="3777" spans="3:12" x14ac:dyDescent="0.3">
      <c r="C3777" s="328"/>
      <c r="D3777" s="328"/>
      <c r="I3777" s="288"/>
      <c r="J3777" s="31"/>
      <c r="K3777" s="31"/>
      <c r="L3777" s="31"/>
    </row>
    <row r="3778" spans="3:12" x14ac:dyDescent="0.3">
      <c r="C3778" s="328"/>
      <c r="D3778" s="328"/>
      <c r="I3778" s="288"/>
      <c r="J3778" s="31"/>
      <c r="K3778" s="31"/>
      <c r="L3778" s="31"/>
    </row>
    <row r="3779" spans="3:12" x14ac:dyDescent="0.3">
      <c r="C3779" s="328"/>
      <c r="D3779" s="328"/>
      <c r="I3779" s="288"/>
      <c r="J3779" s="31"/>
      <c r="K3779" s="31"/>
      <c r="L3779" s="31"/>
    </row>
    <row r="3780" spans="3:12" x14ac:dyDescent="0.3">
      <c r="C3780" s="328"/>
      <c r="D3780" s="328"/>
      <c r="I3780" s="288"/>
      <c r="J3780" s="31"/>
      <c r="K3780" s="31"/>
      <c r="L3780" s="31"/>
    </row>
    <row r="3781" spans="3:12" x14ac:dyDescent="0.3">
      <c r="C3781" s="328"/>
      <c r="D3781" s="328"/>
      <c r="I3781" s="288"/>
      <c r="J3781" s="31"/>
      <c r="K3781" s="31"/>
      <c r="L3781" s="31"/>
    </row>
    <row r="3782" spans="3:12" x14ac:dyDescent="0.3">
      <c r="C3782" s="328"/>
      <c r="D3782" s="328"/>
      <c r="I3782" s="288"/>
      <c r="J3782" s="31"/>
      <c r="K3782" s="31"/>
      <c r="L3782" s="31"/>
    </row>
    <row r="3783" spans="3:12" x14ac:dyDescent="0.3">
      <c r="C3783" s="328"/>
      <c r="D3783" s="328"/>
      <c r="I3783" s="288"/>
      <c r="J3783" s="31"/>
      <c r="K3783" s="31"/>
      <c r="L3783" s="31"/>
    </row>
    <row r="3784" spans="3:12" x14ac:dyDescent="0.3">
      <c r="C3784" s="328"/>
      <c r="D3784" s="328"/>
      <c r="I3784" s="288"/>
      <c r="J3784" s="31"/>
      <c r="K3784" s="31"/>
      <c r="L3784" s="31"/>
    </row>
    <row r="3785" spans="3:12" x14ac:dyDescent="0.3">
      <c r="C3785" s="328"/>
      <c r="D3785" s="328"/>
      <c r="I3785" s="288"/>
      <c r="J3785" s="31"/>
      <c r="K3785" s="31"/>
      <c r="L3785" s="31"/>
    </row>
    <row r="3786" spans="3:12" x14ac:dyDescent="0.3">
      <c r="C3786" s="328"/>
      <c r="D3786" s="328"/>
      <c r="I3786" s="288"/>
      <c r="J3786" s="31"/>
      <c r="K3786" s="31"/>
      <c r="L3786" s="31"/>
    </row>
    <row r="3787" spans="3:12" x14ac:dyDescent="0.3">
      <c r="C3787" s="328"/>
      <c r="D3787" s="328"/>
      <c r="I3787" s="288"/>
      <c r="J3787" s="31"/>
      <c r="K3787" s="31"/>
      <c r="L3787" s="31"/>
    </row>
    <row r="3788" spans="3:12" x14ac:dyDescent="0.3">
      <c r="C3788" s="328"/>
      <c r="D3788" s="328"/>
      <c r="I3788" s="288"/>
      <c r="J3788" s="31"/>
      <c r="K3788" s="31"/>
      <c r="L3788" s="31"/>
    </row>
    <row r="3789" spans="3:12" x14ac:dyDescent="0.3">
      <c r="C3789" s="328"/>
      <c r="D3789" s="328"/>
      <c r="I3789" s="288"/>
      <c r="J3789" s="31"/>
      <c r="K3789" s="31"/>
      <c r="L3789" s="31"/>
    </row>
    <row r="3790" spans="3:12" x14ac:dyDescent="0.3">
      <c r="C3790" s="328"/>
      <c r="D3790" s="328"/>
      <c r="I3790" s="288"/>
      <c r="J3790" s="31"/>
      <c r="K3790" s="31"/>
      <c r="L3790" s="31"/>
    </row>
    <row r="3791" spans="3:12" x14ac:dyDescent="0.3">
      <c r="C3791" s="328"/>
      <c r="D3791" s="328"/>
      <c r="I3791" s="288"/>
      <c r="J3791" s="31"/>
      <c r="K3791" s="31"/>
      <c r="L3791" s="31"/>
    </row>
    <row r="3792" spans="3:12" x14ac:dyDescent="0.3">
      <c r="C3792" s="328"/>
      <c r="D3792" s="328"/>
      <c r="I3792" s="288"/>
      <c r="J3792" s="31"/>
      <c r="K3792" s="31"/>
      <c r="L3792" s="31"/>
    </row>
    <row r="3793" spans="3:12" x14ac:dyDescent="0.3">
      <c r="C3793" s="328"/>
      <c r="D3793" s="328"/>
      <c r="I3793" s="288"/>
      <c r="J3793" s="31"/>
      <c r="K3793" s="31"/>
      <c r="L3793" s="31"/>
    </row>
    <row r="3794" spans="3:12" x14ac:dyDescent="0.3">
      <c r="C3794" s="328"/>
      <c r="D3794" s="328"/>
      <c r="I3794" s="288"/>
      <c r="J3794" s="31"/>
      <c r="K3794" s="31"/>
      <c r="L3794" s="31"/>
    </row>
    <row r="3795" spans="3:12" x14ac:dyDescent="0.3">
      <c r="C3795" s="328"/>
      <c r="D3795" s="328"/>
      <c r="I3795" s="288"/>
      <c r="J3795" s="31"/>
      <c r="K3795" s="31"/>
      <c r="L3795" s="31"/>
    </row>
    <row r="3796" spans="3:12" x14ac:dyDescent="0.3">
      <c r="C3796" s="328"/>
      <c r="D3796" s="328"/>
      <c r="I3796" s="288"/>
      <c r="J3796" s="31"/>
      <c r="K3796" s="31"/>
      <c r="L3796" s="31"/>
    </row>
    <row r="3797" spans="3:12" x14ac:dyDescent="0.3">
      <c r="C3797" s="328"/>
      <c r="D3797" s="328"/>
      <c r="I3797" s="288"/>
      <c r="J3797" s="31"/>
      <c r="K3797" s="31"/>
      <c r="L3797" s="31"/>
    </row>
    <row r="3798" spans="3:12" x14ac:dyDescent="0.3">
      <c r="C3798" s="328"/>
      <c r="D3798" s="328"/>
      <c r="I3798" s="288"/>
      <c r="J3798" s="31"/>
      <c r="K3798" s="31"/>
      <c r="L3798" s="31"/>
    </row>
    <row r="3799" spans="3:12" x14ac:dyDescent="0.3">
      <c r="C3799" s="328"/>
      <c r="D3799" s="328"/>
      <c r="I3799" s="288"/>
      <c r="J3799" s="31"/>
      <c r="K3799" s="31"/>
      <c r="L3799" s="31"/>
    </row>
    <row r="3800" spans="3:12" x14ac:dyDescent="0.3">
      <c r="C3800" s="328"/>
      <c r="D3800" s="328"/>
      <c r="I3800" s="288"/>
      <c r="J3800" s="31"/>
      <c r="K3800" s="31"/>
      <c r="L3800" s="31"/>
    </row>
    <row r="3801" spans="3:12" x14ac:dyDescent="0.3">
      <c r="C3801" s="328"/>
      <c r="D3801" s="328"/>
      <c r="I3801" s="288"/>
      <c r="J3801" s="31"/>
      <c r="K3801" s="31"/>
      <c r="L3801" s="31"/>
    </row>
    <row r="3802" spans="3:12" x14ac:dyDescent="0.3">
      <c r="C3802" s="328"/>
      <c r="D3802" s="328"/>
      <c r="I3802" s="288"/>
      <c r="J3802" s="31"/>
      <c r="K3802" s="31"/>
      <c r="L3802" s="31"/>
    </row>
    <row r="3803" spans="3:12" x14ac:dyDescent="0.3">
      <c r="C3803" s="328"/>
      <c r="D3803" s="328"/>
      <c r="I3803" s="288"/>
      <c r="J3803" s="31"/>
      <c r="K3803" s="31"/>
      <c r="L3803" s="31"/>
    </row>
    <row r="3804" spans="3:12" x14ac:dyDescent="0.3">
      <c r="C3804" s="328"/>
      <c r="D3804" s="328"/>
      <c r="I3804" s="288"/>
      <c r="J3804" s="31"/>
      <c r="K3804" s="31"/>
      <c r="L3804" s="31"/>
    </row>
    <row r="3805" spans="3:12" x14ac:dyDescent="0.3">
      <c r="C3805" s="328"/>
      <c r="D3805" s="328"/>
      <c r="I3805" s="288"/>
      <c r="J3805" s="31"/>
      <c r="K3805" s="31"/>
      <c r="L3805" s="31"/>
    </row>
    <row r="3806" spans="3:12" x14ac:dyDescent="0.3">
      <c r="C3806" s="328"/>
      <c r="D3806" s="328"/>
      <c r="I3806" s="288"/>
      <c r="J3806" s="31"/>
      <c r="K3806" s="31"/>
      <c r="L3806" s="31"/>
    </row>
    <row r="3807" spans="3:12" x14ac:dyDescent="0.3">
      <c r="C3807" s="328"/>
      <c r="D3807" s="328"/>
      <c r="I3807" s="288"/>
      <c r="J3807" s="31"/>
      <c r="K3807" s="31"/>
      <c r="L3807" s="31"/>
    </row>
    <row r="3808" spans="3:12" x14ac:dyDescent="0.3">
      <c r="C3808" s="328"/>
      <c r="D3808" s="328"/>
      <c r="I3808" s="288"/>
      <c r="J3808" s="31"/>
      <c r="K3808" s="31"/>
      <c r="L3808" s="31"/>
    </row>
    <row r="3809" spans="3:12" x14ac:dyDescent="0.3">
      <c r="C3809" s="328"/>
      <c r="D3809" s="328"/>
      <c r="I3809" s="288"/>
      <c r="J3809" s="31"/>
      <c r="K3809" s="31"/>
      <c r="L3809" s="31"/>
    </row>
    <row r="3810" spans="3:12" x14ac:dyDescent="0.3">
      <c r="C3810" s="328"/>
      <c r="D3810" s="328"/>
      <c r="I3810" s="288"/>
      <c r="J3810" s="31"/>
      <c r="K3810" s="31"/>
      <c r="L3810" s="31"/>
    </row>
    <row r="3811" spans="3:12" x14ac:dyDescent="0.3">
      <c r="C3811" s="328"/>
      <c r="D3811" s="328"/>
      <c r="I3811" s="288"/>
      <c r="J3811" s="31"/>
      <c r="K3811" s="31"/>
      <c r="L3811" s="31"/>
    </row>
    <row r="3812" spans="3:12" x14ac:dyDescent="0.3">
      <c r="C3812" s="328"/>
      <c r="D3812" s="328"/>
      <c r="I3812" s="288"/>
      <c r="J3812" s="31"/>
      <c r="K3812" s="31"/>
      <c r="L3812" s="31"/>
    </row>
    <row r="3813" spans="3:12" x14ac:dyDescent="0.3">
      <c r="C3813" s="328"/>
      <c r="D3813" s="328"/>
      <c r="I3813" s="288"/>
      <c r="J3813" s="31"/>
      <c r="K3813" s="31"/>
      <c r="L3813" s="31"/>
    </row>
    <row r="3814" spans="3:12" x14ac:dyDescent="0.3">
      <c r="C3814" s="328"/>
      <c r="D3814" s="328"/>
      <c r="I3814" s="288"/>
      <c r="J3814" s="31"/>
      <c r="K3814" s="31"/>
      <c r="L3814" s="31"/>
    </row>
    <row r="3815" spans="3:12" x14ac:dyDescent="0.3">
      <c r="C3815" s="328"/>
      <c r="D3815" s="328"/>
      <c r="I3815" s="80"/>
      <c r="J3815" s="31"/>
      <c r="K3815" s="31"/>
      <c r="L3815" s="31"/>
    </row>
    <row r="3816" spans="3:12" x14ac:dyDescent="0.3">
      <c r="C3816" s="328"/>
      <c r="D3816" s="328"/>
      <c r="I3816" s="288"/>
      <c r="J3816" s="31"/>
      <c r="K3816" s="31"/>
      <c r="L3816" s="31"/>
    </row>
    <row r="3817" spans="3:12" x14ac:dyDescent="0.3">
      <c r="C3817" s="328"/>
      <c r="D3817" s="328"/>
      <c r="I3817" s="288"/>
      <c r="J3817" s="31"/>
      <c r="K3817" s="31"/>
      <c r="L3817" s="31"/>
    </row>
    <row r="3818" spans="3:12" x14ac:dyDescent="0.3">
      <c r="C3818" s="328"/>
      <c r="D3818" s="328"/>
      <c r="I3818" s="288"/>
      <c r="J3818" s="31"/>
      <c r="K3818" s="31"/>
      <c r="L3818" s="31"/>
    </row>
    <row r="3819" spans="3:12" x14ac:dyDescent="0.3">
      <c r="C3819" s="328"/>
      <c r="D3819" s="328"/>
      <c r="I3819" s="80"/>
      <c r="J3819" s="31"/>
      <c r="K3819" s="31"/>
      <c r="L3819" s="31"/>
    </row>
    <row r="3820" spans="3:12" x14ac:dyDescent="0.3">
      <c r="C3820" s="328"/>
      <c r="D3820" s="328"/>
      <c r="I3820" s="288"/>
      <c r="J3820" s="31"/>
      <c r="K3820" s="31"/>
      <c r="L3820" s="31"/>
    </row>
    <row r="3821" spans="3:12" x14ac:dyDescent="0.3">
      <c r="C3821" s="328"/>
      <c r="D3821" s="328"/>
      <c r="I3821" s="80"/>
      <c r="J3821" s="31"/>
      <c r="K3821" s="31"/>
      <c r="L3821" s="31"/>
    </row>
    <row r="3822" spans="3:12" x14ac:dyDescent="0.3">
      <c r="C3822" s="328"/>
      <c r="D3822" s="328"/>
      <c r="I3822" s="288"/>
      <c r="J3822" s="31"/>
      <c r="K3822" s="31"/>
      <c r="L3822" s="31"/>
    </row>
    <row r="3823" spans="3:12" x14ac:dyDescent="0.3">
      <c r="C3823" s="334"/>
      <c r="D3823" s="328"/>
      <c r="I3823" s="288"/>
      <c r="J3823" s="31"/>
      <c r="K3823" s="31"/>
      <c r="L3823" s="31"/>
    </row>
    <row r="3824" spans="3:12" x14ac:dyDescent="0.3">
      <c r="C3824" s="328"/>
      <c r="D3824" s="328"/>
      <c r="I3824" s="288"/>
      <c r="J3824" s="31"/>
      <c r="K3824" s="31"/>
      <c r="L3824" s="31"/>
    </row>
    <row r="3825" spans="3:12" x14ac:dyDescent="0.3">
      <c r="C3825" s="328"/>
      <c r="D3825" s="328"/>
      <c r="I3825" s="80"/>
      <c r="J3825" s="31"/>
      <c r="K3825" s="31"/>
      <c r="L3825" s="31"/>
    </row>
    <row r="3826" spans="3:12" x14ac:dyDescent="0.3">
      <c r="C3826" s="328"/>
      <c r="D3826" s="328"/>
      <c r="I3826" s="80"/>
      <c r="J3826" s="31"/>
      <c r="K3826" s="31"/>
      <c r="L3826" s="31"/>
    </row>
    <row r="3827" spans="3:12" x14ac:dyDescent="0.3">
      <c r="C3827" s="328"/>
      <c r="D3827" s="328"/>
      <c r="I3827" s="80"/>
      <c r="J3827" s="31"/>
      <c r="K3827" s="31"/>
      <c r="L3827" s="31"/>
    </row>
    <row r="3828" spans="3:12" x14ac:dyDescent="0.3">
      <c r="C3828" s="331"/>
      <c r="D3828" s="331"/>
      <c r="I3828" s="288"/>
      <c r="J3828" s="31"/>
      <c r="K3828" s="31"/>
      <c r="L3828" s="31"/>
    </row>
    <row r="3829" spans="3:12" x14ac:dyDescent="0.3">
      <c r="C3829" s="332"/>
      <c r="D3829" s="332"/>
      <c r="I3829" s="288"/>
      <c r="J3829" s="31"/>
      <c r="K3829" s="31"/>
      <c r="L3829" s="31"/>
    </row>
    <row r="3830" spans="3:12" x14ac:dyDescent="0.3">
      <c r="C3830" s="332"/>
      <c r="D3830" s="332"/>
      <c r="I3830" s="288"/>
      <c r="J3830" s="31"/>
      <c r="K3830" s="31"/>
      <c r="L3830" s="31"/>
    </row>
    <row r="3831" spans="3:12" x14ac:dyDescent="0.3">
      <c r="C3831" s="332"/>
      <c r="D3831" s="332"/>
      <c r="I3831" s="288"/>
      <c r="J3831" s="31"/>
      <c r="K3831" s="31"/>
      <c r="L3831" s="31"/>
    </row>
    <row r="3832" spans="3:12" x14ac:dyDescent="0.3">
      <c r="C3832" s="332"/>
      <c r="D3832" s="332"/>
      <c r="I3832" s="80"/>
      <c r="J3832" s="31"/>
      <c r="K3832" s="31"/>
      <c r="L3832" s="31"/>
    </row>
    <row r="3833" spans="3:12" x14ac:dyDescent="0.3">
      <c r="C3833" s="332"/>
      <c r="D3833" s="332"/>
      <c r="I3833" s="288"/>
      <c r="J3833" s="31"/>
      <c r="K3833" s="31"/>
      <c r="L3833" s="31"/>
    </row>
    <row r="3834" spans="3:12" x14ac:dyDescent="0.3">
      <c r="C3834" s="332"/>
      <c r="D3834" s="332"/>
      <c r="I3834" s="288"/>
      <c r="J3834" s="31"/>
      <c r="K3834" s="31"/>
      <c r="L3834" s="31"/>
    </row>
    <row r="3835" spans="3:12" x14ac:dyDescent="0.3">
      <c r="C3835" s="332"/>
      <c r="D3835" s="332"/>
      <c r="I3835" s="288"/>
      <c r="J3835" s="31"/>
      <c r="K3835" s="31"/>
      <c r="L3835" s="31"/>
    </row>
    <row r="3836" spans="3:12" x14ac:dyDescent="0.3">
      <c r="C3836" s="332"/>
      <c r="D3836" s="332"/>
      <c r="I3836" s="80"/>
      <c r="J3836" s="31"/>
      <c r="K3836" s="31"/>
      <c r="L3836" s="31"/>
    </row>
    <row r="3837" spans="3:12" x14ac:dyDescent="0.3">
      <c r="C3837" s="332"/>
      <c r="D3837" s="332"/>
      <c r="I3837" s="288"/>
      <c r="J3837" s="31"/>
      <c r="K3837" s="31"/>
      <c r="L3837" s="31"/>
    </row>
    <row r="3838" spans="3:12" x14ac:dyDescent="0.3">
      <c r="C3838" s="332"/>
      <c r="D3838" s="332"/>
      <c r="I3838" s="288"/>
      <c r="J3838" s="31"/>
      <c r="K3838" s="31"/>
      <c r="L3838" s="31"/>
    </row>
    <row r="3839" spans="3:12" x14ac:dyDescent="0.3">
      <c r="C3839" s="332"/>
      <c r="D3839" s="332"/>
      <c r="I3839" s="288"/>
      <c r="J3839" s="31"/>
      <c r="K3839" s="31"/>
      <c r="L3839" s="31"/>
    </row>
    <row r="3840" spans="3:12" x14ac:dyDescent="0.3">
      <c r="C3840" s="332"/>
      <c r="D3840" s="332"/>
      <c r="I3840" s="288"/>
      <c r="J3840" s="31"/>
      <c r="K3840" s="31"/>
      <c r="L3840" s="31"/>
    </row>
    <row r="3841" spans="1:12" x14ac:dyDescent="0.3">
      <c r="C3841" s="332"/>
      <c r="D3841" s="332"/>
      <c r="I3841" s="288"/>
      <c r="J3841" s="31"/>
      <c r="K3841" s="31"/>
      <c r="L3841" s="31"/>
    </row>
    <row r="3842" spans="1:12" x14ac:dyDescent="0.3">
      <c r="C3842" s="332"/>
      <c r="D3842" s="332"/>
      <c r="I3842" s="288"/>
      <c r="J3842" s="31"/>
      <c r="K3842" s="31"/>
      <c r="L3842" s="31"/>
    </row>
    <row r="3843" spans="1:12" x14ac:dyDescent="0.3">
      <c r="C3843" s="332"/>
      <c r="D3843" s="332"/>
      <c r="I3843" s="80"/>
      <c r="J3843" s="31"/>
      <c r="K3843" s="31"/>
      <c r="L3843" s="31"/>
    </row>
    <row r="3844" spans="1:12" x14ac:dyDescent="0.3">
      <c r="C3844" s="333"/>
      <c r="D3844" s="333"/>
      <c r="I3844" s="288"/>
      <c r="J3844" s="31"/>
      <c r="K3844" s="31"/>
      <c r="L3844" s="31"/>
    </row>
    <row r="3845" spans="1:12" x14ac:dyDescent="0.3">
      <c r="C3845" s="332"/>
      <c r="D3845" s="332"/>
      <c r="I3845" s="288"/>
      <c r="J3845" s="31"/>
      <c r="K3845" s="31"/>
      <c r="L3845" s="31"/>
    </row>
    <row r="3846" spans="1:12" x14ac:dyDescent="0.3">
      <c r="C3846" s="332"/>
      <c r="D3846" s="332"/>
      <c r="I3846" s="80"/>
      <c r="J3846" s="31"/>
      <c r="K3846" s="31"/>
      <c r="L3846" s="31"/>
    </row>
    <row r="3847" spans="1:12" x14ac:dyDescent="0.3">
      <c r="C3847" s="332"/>
      <c r="D3847" s="332"/>
      <c r="I3847" s="288"/>
      <c r="J3847" s="31"/>
      <c r="K3847" s="31"/>
      <c r="L3847" s="31"/>
    </row>
    <row r="3848" spans="1:12" x14ac:dyDescent="0.3">
      <c r="C3848" s="332"/>
      <c r="D3848" s="332"/>
      <c r="I3848" s="288"/>
      <c r="J3848" s="31"/>
      <c r="K3848" s="31"/>
      <c r="L3848" s="31"/>
    </row>
    <row r="3849" spans="1:12" x14ac:dyDescent="0.3">
      <c r="C3849" s="332"/>
      <c r="D3849" s="332"/>
      <c r="I3849" s="288"/>
      <c r="J3849" s="31"/>
      <c r="K3849" s="31"/>
      <c r="L3849" s="31"/>
    </row>
    <row r="3850" spans="1:12" x14ac:dyDescent="0.3">
      <c r="C3850" s="332"/>
      <c r="D3850" s="332"/>
      <c r="I3850" s="288"/>
      <c r="J3850" s="31"/>
      <c r="K3850" s="31"/>
      <c r="L3850" s="31"/>
    </row>
    <row r="3851" spans="1:12" x14ac:dyDescent="0.3">
      <c r="C3851" s="332"/>
      <c r="D3851" s="332"/>
      <c r="I3851" s="288"/>
      <c r="J3851" s="31"/>
      <c r="K3851" s="31"/>
      <c r="L3851" s="31"/>
    </row>
    <row r="3852" spans="1:12" x14ac:dyDescent="0.3">
      <c r="C3852" s="332"/>
      <c r="D3852" s="332"/>
      <c r="I3852" s="288"/>
      <c r="J3852" s="31"/>
      <c r="K3852" s="31"/>
      <c r="L3852" s="31"/>
    </row>
    <row r="3853" spans="1:12" x14ac:dyDescent="0.3">
      <c r="C3853" s="332"/>
      <c r="D3853" s="332"/>
      <c r="I3853" s="288"/>
      <c r="J3853" s="31"/>
      <c r="K3853" s="31"/>
      <c r="L3853" s="31"/>
    </row>
    <row r="3854" spans="1:12" x14ac:dyDescent="0.3">
      <c r="C3854" s="332"/>
      <c r="D3854" s="332"/>
      <c r="I3854" s="288"/>
      <c r="J3854" s="31"/>
      <c r="K3854" s="31"/>
      <c r="L3854" s="31"/>
    </row>
    <row r="3855" spans="1:12" s="333" customFormat="1" x14ac:dyDescent="0.3">
      <c r="A3855" s="3"/>
      <c r="B3855" s="4"/>
      <c r="C3855" s="332"/>
      <c r="D3855" s="332"/>
      <c r="E3855" s="31"/>
      <c r="F3855" s="31"/>
      <c r="G3855" s="50"/>
      <c r="H3855" s="31"/>
      <c r="I3855" s="288"/>
      <c r="J3855" s="31"/>
      <c r="K3855" s="31"/>
      <c r="L3855" s="31"/>
    </row>
    <row r="3856" spans="1:12" x14ac:dyDescent="0.3">
      <c r="C3856" s="332"/>
      <c r="D3856" s="332"/>
      <c r="I3856" s="288"/>
      <c r="J3856" s="31"/>
      <c r="K3856" s="31"/>
      <c r="L3856" s="31"/>
    </row>
    <row r="3857" spans="3:12" x14ac:dyDescent="0.3">
      <c r="C3857" s="332"/>
      <c r="D3857" s="332"/>
      <c r="I3857" s="288"/>
      <c r="J3857" s="31"/>
      <c r="K3857" s="31"/>
      <c r="L3857" s="31"/>
    </row>
    <row r="3858" spans="3:12" x14ac:dyDescent="0.3">
      <c r="C3858" s="332"/>
      <c r="D3858" s="332"/>
      <c r="I3858" s="288"/>
      <c r="J3858" s="31"/>
      <c r="K3858" s="31"/>
      <c r="L3858" s="31"/>
    </row>
    <row r="3859" spans="3:12" x14ac:dyDescent="0.3">
      <c r="C3859" s="332"/>
      <c r="D3859" s="332"/>
      <c r="I3859" s="288"/>
      <c r="J3859" s="31"/>
      <c r="K3859" s="31"/>
      <c r="L3859" s="31"/>
    </row>
    <row r="3860" spans="3:12" x14ac:dyDescent="0.3">
      <c r="C3860" s="332"/>
      <c r="D3860" s="332"/>
      <c r="I3860" s="288"/>
      <c r="J3860" s="31"/>
      <c r="K3860" s="31"/>
      <c r="L3860" s="31"/>
    </row>
    <row r="3861" spans="3:12" x14ac:dyDescent="0.3">
      <c r="C3861" s="332"/>
      <c r="D3861" s="332"/>
      <c r="I3861" s="288"/>
      <c r="J3861" s="31"/>
      <c r="K3861" s="31"/>
      <c r="L3861" s="31"/>
    </row>
    <row r="3862" spans="3:12" x14ac:dyDescent="0.3">
      <c r="C3862" s="332"/>
      <c r="D3862" s="332"/>
      <c r="I3862" s="288"/>
      <c r="J3862" s="31"/>
      <c r="K3862" s="31"/>
      <c r="L3862" s="31"/>
    </row>
    <row r="3863" spans="3:12" x14ac:dyDescent="0.3">
      <c r="C3863" s="332"/>
      <c r="D3863" s="332"/>
      <c r="I3863" s="288"/>
      <c r="J3863" s="31"/>
      <c r="K3863" s="31"/>
      <c r="L3863" s="31"/>
    </row>
    <row r="3864" spans="3:12" x14ac:dyDescent="0.3">
      <c r="C3864" s="332"/>
      <c r="D3864" s="332"/>
      <c r="I3864" s="288"/>
      <c r="J3864" s="31"/>
      <c r="K3864" s="31"/>
      <c r="L3864" s="31"/>
    </row>
    <row r="3865" spans="3:12" x14ac:dyDescent="0.3">
      <c r="C3865" s="332"/>
      <c r="D3865" s="332"/>
      <c r="I3865" s="288"/>
      <c r="J3865" s="31"/>
      <c r="K3865" s="31"/>
      <c r="L3865" s="31"/>
    </row>
    <row r="3866" spans="3:12" x14ac:dyDescent="0.3">
      <c r="C3866" s="332"/>
      <c r="D3866" s="332"/>
      <c r="I3866" s="288"/>
      <c r="J3866" s="31"/>
      <c r="K3866" s="31"/>
      <c r="L3866" s="31"/>
    </row>
    <row r="3867" spans="3:12" x14ac:dyDescent="0.3">
      <c r="C3867" s="332"/>
      <c r="D3867" s="332"/>
      <c r="I3867" s="288"/>
      <c r="J3867" s="31"/>
      <c r="K3867" s="31"/>
      <c r="L3867" s="31"/>
    </row>
    <row r="3868" spans="3:12" x14ac:dyDescent="0.3">
      <c r="C3868" s="332"/>
      <c r="D3868" s="332"/>
      <c r="I3868" s="288"/>
      <c r="J3868" s="31"/>
      <c r="K3868" s="31"/>
      <c r="L3868" s="31"/>
    </row>
    <row r="3869" spans="3:12" x14ac:dyDescent="0.3">
      <c r="C3869" s="332"/>
      <c r="D3869" s="332"/>
      <c r="I3869" s="288"/>
      <c r="J3869" s="31"/>
      <c r="K3869" s="31"/>
      <c r="L3869" s="31"/>
    </row>
    <row r="3870" spans="3:12" x14ac:dyDescent="0.3">
      <c r="C3870" s="332"/>
      <c r="D3870" s="332"/>
      <c r="I3870" s="288"/>
      <c r="J3870" s="31"/>
      <c r="K3870" s="31"/>
      <c r="L3870" s="31"/>
    </row>
    <row r="3871" spans="3:12" x14ac:dyDescent="0.3">
      <c r="C3871" s="332"/>
      <c r="D3871" s="332"/>
      <c r="I3871" s="288"/>
      <c r="J3871" s="31"/>
      <c r="K3871" s="31"/>
      <c r="L3871" s="31"/>
    </row>
    <row r="3872" spans="3:12" x14ac:dyDescent="0.3">
      <c r="C3872" s="332"/>
      <c r="D3872" s="332"/>
      <c r="I3872" s="288"/>
      <c r="J3872" s="31"/>
      <c r="K3872" s="31"/>
      <c r="L3872" s="31"/>
    </row>
    <row r="3873" spans="3:12" x14ac:dyDescent="0.3">
      <c r="C3873" s="332"/>
      <c r="D3873" s="332"/>
      <c r="I3873" s="288"/>
      <c r="J3873" s="31"/>
      <c r="K3873" s="31"/>
      <c r="L3873" s="31"/>
    </row>
    <row r="3874" spans="3:12" x14ac:dyDescent="0.3">
      <c r="C3874" s="332"/>
      <c r="D3874" s="332"/>
      <c r="I3874" s="288"/>
      <c r="J3874" s="31"/>
      <c r="K3874" s="31"/>
      <c r="L3874" s="31"/>
    </row>
    <row r="3875" spans="3:12" x14ac:dyDescent="0.3">
      <c r="C3875" s="332"/>
      <c r="D3875" s="332"/>
      <c r="I3875" s="288"/>
      <c r="J3875" s="31"/>
      <c r="K3875" s="31"/>
      <c r="L3875" s="31"/>
    </row>
    <row r="3876" spans="3:12" x14ac:dyDescent="0.3">
      <c r="C3876" s="332"/>
      <c r="D3876" s="332"/>
      <c r="I3876" s="288"/>
      <c r="J3876" s="31"/>
      <c r="K3876" s="31"/>
      <c r="L3876" s="31"/>
    </row>
    <row r="3877" spans="3:12" x14ac:dyDescent="0.3">
      <c r="C3877" s="332"/>
      <c r="D3877" s="332"/>
      <c r="I3877" s="288"/>
      <c r="J3877" s="31"/>
      <c r="K3877" s="31"/>
      <c r="L3877" s="31"/>
    </row>
    <row r="3878" spans="3:12" x14ac:dyDescent="0.3">
      <c r="C3878" s="332"/>
      <c r="D3878" s="332"/>
      <c r="I3878" s="288"/>
      <c r="J3878" s="31"/>
      <c r="K3878" s="31"/>
      <c r="L3878" s="31"/>
    </row>
    <row r="3879" spans="3:12" x14ac:dyDescent="0.3">
      <c r="C3879" s="332"/>
      <c r="D3879" s="332"/>
      <c r="I3879" s="80"/>
      <c r="J3879" s="31"/>
      <c r="K3879" s="31"/>
      <c r="L3879" s="31"/>
    </row>
    <row r="3880" spans="3:12" x14ac:dyDescent="0.3">
      <c r="C3880" s="332"/>
      <c r="D3880" s="332"/>
      <c r="I3880" s="288"/>
      <c r="J3880" s="31"/>
      <c r="K3880" s="31"/>
      <c r="L3880" s="31"/>
    </row>
    <row r="3881" spans="3:12" x14ac:dyDescent="0.3">
      <c r="C3881" s="332"/>
      <c r="D3881" s="332"/>
      <c r="I3881" s="288"/>
      <c r="J3881" s="31"/>
      <c r="K3881" s="31"/>
      <c r="L3881" s="31"/>
    </row>
    <row r="3882" spans="3:12" x14ac:dyDescent="0.3">
      <c r="C3882" s="332"/>
      <c r="D3882" s="332"/>
      <c r="I3882" s="288"/>
      <c r="J3882" s="31"/>
      <c r="K3882" s="31"/>
      <c r="L3882" s="31"/>
    </row>
    <row r="3883" spans="3:12" x14ac:dyDescent="0.3">
      <c r="C3883" s="333"/>
      <c r="D3883" s="333"/>
      <c r="I3883" s="288"/>
      <c r="J3883" s="31"/>
      <c r="K3883" s="31"/>
      <c r="L3883" s="31"/>
    </row>
    <row r="3884" spans="3:12" x14ac:dyDescent="0.3">
      <c r="C3884" s="333"/>
      <c r="D3884" s="333"/>
      <c r="I3884" s="288"/>
      <c r="J3884" s="31"/>
      <c r="K3884" s="31"/>
      <c r="L3884" s="31"/>
    </row>
    <row r="3885" spans="3:12" x14ac:dyDescent="0.3">
      <c r="C3885" s="333"/>
      <c r="D3885" s="333"/>
      <c r="I3885" s="288"/>
      <c r="J3885" s="31"/>
      <c r="K3885" s="31"/>
      <c r="L3885" s="31"/>
    </row>
    <row r="3886" spans="3:12" x14ac:dyDescent="0.3">
      <c r="C3886" s="333"/>
      <c r="D3886" s="333"/>
      <c r="I3886" s="80"/>
      <c r="J3886" s="31"/>
      <c r="K3886" s="31"/>
      <c r="L3886" s="31"/>
    </row>
    <row r="3887" spans="3:12" x14ac:dyDescent="0.3">
      <c r="C3887" s="333"/>
      <c r="D3887" s="333"/>
      <c r="I3887" s="288"/>
      <c r="J3887" s="31"/>
      <c r="K3887" s="31"/>
      <c r="L3887" s="31"/>
    </row>
    <row r="3888" spans="3:12" x14ac:dyDescent="0.3">
      <c r="C3888" s="333"/>
      <c r="D3888" s="333"/>
      <c r="I3888" s="80"/>
      <c r="J3888" s="31"/>
      <c r="K3888" s="31"/>
      <c r="L3888" s="31"/>
    </row>
    <row r="3889" spans="3:12" x14ac:dyDescent="0.3">
      <c r="C3889" s="333"/>
      <c r="D3889" s="333"/>
      <c r="I3889" s="288"/>
      <c r="J3889" s="31"/>
      <c r="K3889" s="31"/>
      <c r="L3889" s="31"/>
    </row>
    <row r="3890" spans="3:12" x14ac:dyDescent="0.3">
      <c r="C3890" s="333"/>
      <c r="D3890" s="333"/>
      <c r="I3890" s="288"/>
      <c r="J3890" s="31"/>
      <c r="K3890" s="31"/>
      <c r="L3890" s="31"/>
    </row>
    <row r="3891" spans="3:12" x14ac:dyDescent="0.3">
      <c r="C3891" s="333"/>
      <c r="D3891" s="333"/>
      <c r="I3891" s="288"/>
      <c r="J3891" s="31"/>
      <c r="K3891" s="31"/>
      <c r="L3891" s="31"/>
    </row>
    <row r="3892" spans="3:12" x14ac:dyDescent="0.3">
      <c r="C3892" s="333"/>
      <c r="D3892" s="333"/>
      <c r="I3892" s="80"/>
      <c r="J3892" s="31"/>
      <c r="K3892" s="31"/>
      <c r="L3892" s="31"/>
    </row>
    <row r="3893" spans="3:12" x14ac:dyDescent="0.3">
      <c r="C3893" s="333"/>
      <c r="D3893" s="333"/>
      <c r="I3893" s="288"/>
      <c r="J3893" s="31"/>
      <c r="K3893" s="31"/>
      <c r="L3893" s="31"/>
    </row>
    <row r="3894" spans="3:12" x14ac:dyDescent="0.3">
      <c r="C3894" s="333"/>
      <c r="D3894" s="333"/>
      <c r="I3894" s="288"/>
      <c r="J3894" s="31"/>
      <c r="K3894" s="31"/>
      <c r="L3894" s="31"/>
    </row>
    <row r="3895" spans="3:12" x14ac:dyDescent="0.3">
      <c r="C3895" s="333"/>
      <c r="D3895" s="333"/>
      <c r="I3895" s="288"/>
      <c r="J3895" s="31"/>
      <c r="K3895" s="31"/>
      <c r="L3895" s="31"/>
    </row>
    <row r="3896" spans="3:12" x14ac:dyDescent="0.3">
      <c r="C3896" s="333"/>
      <c r="D3896" s="333"/>
      <c r="I3896" s="288"/>
      <c r="J3896" s="31"/>
      <c r="K3896" s="31"/>
      <c r="L3896" s="31"/>
    </row>
    <row r="3897" spans="3:12" x14ac:dyDescent="0.3">
      <c r="C3897" s="333"/>
      <c r="D3897" s="333"/>
      <c r="I3897" s="288"/>
      <c r="J3897" s="31"/>
      <c r="K3897" s="31"/>
      <c r="L3897" s="31"/>
    </row>
    <row r="3898" spans="3:12" x14ac:dyDescent="0.3">
      <c r="C3898" s="333"/>
      <c r="D3898" s="333"/>
      <c r="I3898" s="288"/>
      <c r="J3898" s="31"/>
      <c r="K3898" s="31"/>
      <c r="L3898" s="31"/>
    </row>
  </sheetData>
  <mergeCells count="1">
    <mergeCell ref="A1:F1"/>
  </mergeCells>
  <phoneticPr fontId="26" type="noConversion"/>
  <dataValidations count="2">
    <dataValidation type="list" allowBlank="1" showInputMessage="1" showErrorMessage="1" sqref="C2473:C3641 C218 C3836:C1048576 C3713:C3736 C3739:C3742 C3695:C3711 C3827:C3834 C3643:C3688 C3690 C3693 C3745:C3747 C3749:C3814 C3816:C3825">
      <formula1>$C$2:$C$2252</formula1>
    </dataValidation>
    <dataValidation type="list" allowBlank="1" showInputMessage="1" showErrorMessage="1" sqref="C513:C519 C443:C455 C437:C441 C474:C503 C468:C472 C457:C466 C505:C506 C508:C511 C414:C434">
      <formula1>$C$2:$C$2251</formula1>
    </dataValidation>
  </dataValidations>
  <pageMargins left="0.7" right="0.7" top="0.75" bottom="0.75" header="0.3" footer="0.3"/>
  <pageSetup paperSize="9" orientation="landscape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МАЪЛУМОТЛАР!$C$2:$C$2022</xm:f>
          </x14:formula1>
          <xm:sqref>C1</xm:sqref>
        </x14:dataValidation>
        <x14:dataValidation type="list" allowBlank="1" showInputMessage="1" showErrorMessage="1">
          <x14:formula1>
            <xm:f>КОНТРАГЕНТ!$A$2:$A$299</xm:f>
          </x14:formula1>
          <xm:sqref>B1273:B1505 B1509:B2783 B2788:B3319 B3321:B3641 B1:B251 B3643:B1048576 B498:B1255 B255:B413</xm:sqref>
        </x14:dataValidation>
        <x14:dataValidation type="list" allowBlank="1" showInputMessage="1" showErrorMessage="1">
          <x14:formula1>
            <xm:f>МАЪЛУМОТЛАР!$B$2:$B$3</xm:f>
          </x14:formula1>
          <xm:sqref>D2242:D2272 D3:D217 D498:D2240 D219:D413</xm:sqref>
        </x14:dataValidation>
        <x14:dataValidation type="list" allowBlank="1" showInputMessage="1" showErrorMessage="1">
          <x14:formula1>
            <xm:f>МАЪЛУМОТЛАР!$C$2:$C$107</xm:f>
          </x14:formula1>
          <xm:sqref>C3748 C3835 C3712 C3737:C3738 C3743:C3744 C3815 C3826 C2:C217 C3689 C3694 C3691:C3692 C504 C507 C512 C520:C2456 C219:C413</xm:sqref>
        </x14:dataValidation>
        <x14:dataValidation type="list" allowBlank="1" showInputMessage="1" showErrorMessage="1">
          <x14:formula1>
            <xm:f>'[ХОЗМАГЛАР 2026.xlsx]МАЪЛУМОТЛАР'!#REF!</xm:f>
          </x14:formula1>
          <xm:sqref>C435:C436 C442 C456 C467 C473</xm:sqref>
        </x14:dataValidation>
        <x14:dataValidation type="list" allowBlank="1" showInputMessage="1" showErrorMessage="1">
          <x14:formula1>
            <xm:f>'[ХОЗМАГЛАР 2026.xlsx]КОНТРАГЕНТ'!#REF!</xm:f>
          </x14:formula1>
          <xm:sqref>B414:B497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3341"/>
  <sheetViews>
    <sheetView topLeftCell="A390" zoomScale="120" zoomScaleNormal="120" workbookViewId="0">
      <selection activeCell="B396" sqref="B396"/>
    </sheetView>
  </sheetViews>
  <sheetFormatPr defaultColWidth="9.109375" defaultRowHeight="14.4" x14ac:dyDescent="0.3"/>
  <cols>
    <col min="1" max="1" width="10.88671875" style="55" bestFit="1" customWidth="1"/>
    <col min="2" max="2" width="49.44140625" style="47" customWidth="1"/>
    <col min="3" max="3" width="16.6640625" style="44" bestFit="1" customWidth="1"/>
    <col min="4" max="4" width="13.6640625" style="44" customWidth="1"/>
    <col min="5" max="5" width="13.33203125" style="44" customWidth="1"/>
    <col min="6" max="6" width="19.33203125" style="50" customWidth="1"/>
    <col min="7" max="7" width="11.33203125" style="47" hidden="1" customWidth="1"/>
    <col min="8" max="8" width="14.33203125" style="47" customWidth="1"/>
    <col min="9" max="9" width="12.109375" style="47" customWidth="1"/>
    <col min="10" max="16384" width="9.109375" style="47"/>
  </cols>
  <sheetData>
    <row r="1" spans="1:9" x14ac:dyDescent="0.3">
      <c r="A1" s="55" t="s">
        <v>15</v>
      </c>
      <c r="B1" s="47" t="s">
        <v>16</v>
      </c>
      <c r="C1" s="44" t="s">
        <v>23</v>
      </c>
      <c r="D1" s="44" t="s">
        <v>24</v>
      </c>
      <c r="E1" s="44" t="s">
        <v>25</v>
      </c>
      <c r="F1" s="50" t="s">
        <v>21</v>
      </c>
      <c r="G1" s="47" t="s">
        <v>26</v>
      </c>
      <c r="H1" s="47" t="s">
        <v>34</v>
      </c>
      <c r="I1" s="165" t="s">
        <v>10</v>
      </c>
    </row>
    <row r="2" spans="1:9" ht="15" customHeight="1" x14ac:dyDescent="0.3">
      <c r="A2" s="92">
        <v>46174</v>
      </c>
      <c r="B2" s="93" t="s">
        <v>394</v>
      </c>
      <c r="C2" s="94">
        <v>1222500</v>
      </c>
      <c r="D2" s="94"/>
      <c r="E2" s="94"/>
      <c r="F2" s="95">
        <f>ПЛАТЕЖИ[[#This Row],[СЎМ]]+(ПЛАТЕЖИ[[#This Row],[ВАЛЮТА]]*ПЛАТЕЖИ[[#This Row],[КУРС]])</f>
        <v>1222500</v>
      </c>
      <c r="G2" s="93"/>
      <c r="H2" s="47" t="s">
        <v>906</v>
      </c>
      <c r="I2" s="165"/>
    </row>
    <row r="3" spans="1:9" ht="15" customHeight="1" x14ac:dyDescent="0.3">
      <c r="A3" s="55">
        <v>46174</v>
      </c>
      <c r="B3" s="47" t="s">
        <v>886</v>
      </c>
      <c r="C3" s="44">
        <v>5149248</v>
      </c>
      <c r="F3" s="95">
        <f>ПЛАТЕЖИ[[#This Row],[СЎМ]]+(ПЛАТЕЖИ[[#This Row],[ВАЛЮТА]]*ПЛАТЕЖИ[[#This Row],[КУРС]])</f>
        <v>5149248</v>
      </c>
      <c r="H3" s="47" t="s">
        <v>905</v>
      </c>
      <c r="I3" s="165"/>
    </row>
    <row r="4" spans="1:9" ht="15" customHeight="1" x14ac:dyDescent="0.3">
      <c r="A4" s="58">
        <v>46174</v>
      </c>
      <c r="B4" s="47" t="s">
        <v>168</v>
      </c>
      <c r="C4" s="57">
        <v>1257500</v>
      </c>
      <c r="D4" s="57"/>
      <c r="E4" s="57"/>
      <c r="F4" s="95">
        <f>ПЛАТЕЖИ[[#This Row],[СЎМ]]+(ПЛАТЕЖИ[[#This Row],[ВАЛЮТА]]*ПЛАТЕЖИ[[#This Row],[КУРС]])</f>
        <v>1257500</v>
      </c>
      <c r="H4" s="47" t="s">
        <v>906</v>
      </c>
      <c r="I4" s="165"/>
    </row>
    <row r="5" spans="1:9" ht="15" customHeight="1" x14ac:dyDescent="0.3">
      <c r="A5" s="58">
        <v>46174</v>
      </c>
      <c r="B5" s="47" t="s">
        <v>826</v>
      </c>
      <c r="C5" s="57">
        <v>1000000</v>
      </c>
      <c r="D5" s="57"/>
      <c r="E5" s="57"/>
      <c r="F5" s="95">
        <f>ПЛАТЕЖИ[[#This Row],[СЎМ]]+(ПЛАТЕЖИ[[#This Row],[ВАЛЮТА]]*ПЛАТЕЖИ[[#This Row],[КУРС]])</f>
        <v>1000000</v>
      </c>
      <c r="H5" s="47" t="s">
        <v>906</v>
      </c>
      <c r="I5" s="165"/>
    </row>
    <row r="6" spans="1:9" ht="15" customHeight="1" x14ac:dyDescent="0.3">
      <c r="A6" s="58">
        <v>46174</v>
      </c>
      <c r="B6" s="59" t="s">
        <v>895</v>
      </c>
      <c r="C6" s="57">
        <v>2912500</v>
      </c>
      <c r="D6" s="57">
        <v>200</v>
      </c>
      <c r="E6" s="57">
        <v>12000</v>
      </c>
      <c r="F6" s="95">
        <f>ПЛАТЕЖИ[[#This Row],[СЎМ]]+(ПЛАТЕЖИ[[#This Row],[ВАЛЮТА]]*ПЛАТЕЖИ[[#This Row],[КУРС]])</f>
        <v>5312500</v>
      </c>
      <c r="H6" s="59"/>
      <c r="I6" s="165"/>
    </row>
    <row r="7" spans="1:9" ht="15" customHeight="1" x14ac:dyDescent="0.3">
      <c r="A7" s="58">
        <v>46174</v>
      </c>
      <c r="B7" s="59" t="s">
        <v>491</v>
      </c>
      <c r="C7" s="57">
        <v>1349600</v>
      </c>
      <c r="D7" s="57"/>
      <c r="E7" s="57"/>
      <c r="F7" s="95">
        <f>ПЛАТЕЖИ[[#This Row],[СЎМ]]+(ПЛАТЕЖИ[[#This Row],[ВАЛЮТА]]*ПЛАТЕЖИ[[#This Row],[КУРС]])</f>
        <v>1349600</v>
      </c>
      <c r="H7" s="59"/>
      <c r="I7" s="165"/>
    </row>
    <row r="8" spans="1:9" ht="15" customHeight="1" x14ac:dyDescent="0.3">
      <c r="A8" s="58">
        <v>46174</v>
      </c>
      <c r="B8" s="59" t="s">
        <v>464</v>
      </c>
      <c r="C8" s="57">
        <v>3119500</v>
      </c>
      <c r="D8" s="57"/>
      <c r="E8" s="57"/>
      <c r="F8" s="95">
        <f>ПЛАТЕЖИ[[#This Row],[СЎМ]]+(ПЛАТЕЖИ[[#This Row],[ВАЛЮТА]]*ПЛАТЕЖИ[[#This Row],[КУРС]])</f>
        <v>3119500</v>
      </c>
      <c r="H8" s="59"/>
      <c r="I8" s="165"/>
    </row>
    <row r="9" spans="1:9" ht="15" customHeight="1" x14ac:dyDescent="0.3">
      <c r="A9" s="58">
        <v>46175</v>
      </c>
      <c r="B9" s="59" t="s">
        <v>861</v>
      </c>
      <c r="C9" s="57">
        <v>774400</v>
      </c>
      <c r="D9" s="57"/>
      <c r="E9" s="57"/>
      <c r="F9" s="95">
        <f>ПЛАТЕЖИ[[#This Row],[СЎМ]]+(ПЛАТЕЖИ[[#This Row],[ВАЛЮТА]]*ПЛАТЕЖИ[[#This Row],[КУРС]])</f>
        <v>774400</v>
      </c>
      <c r="H9" s="47" t="s">
        <v>906</v>
      </c>
      <c r="I9" s="165"/>
    </row>
    <row r="10" spans="1:9" ht="15" customHeight="1" x14ac:dyDescent="0.3">
      <c r="A10" s="58">
        <v>46175</v>
      </c>
      <c r="B10" s="47" t="s">
        <v>681</v>
      </c>
      <c r="C10" s="57">
        <v>50000000</v>
      </c>
      <c r="D10" s="57"/>
      <c r="E10" s="57"/>
      <c r="F10" s="95">
        <f>ПЛАТЕЖИ[[#This Row],[СЎМ]]+(ПЛАТЕЖИ[[#This Row],[ВАЛЮТА]]*ПЛАТЕЖИ[[#This Row],[КУРС]])</f>
        <v>50000000</v>
      </c>
      <c r="H10" s="47" t="s">
        <v>905</v>
      </c>
      <c r="I10" s="165"/>
    </row>
    <row r="11" spans="1:9" ht="15" customHeight="1" x14ac:dyDescent="0.3">
      <c r="A11" s="58">
        <v>46175</v>
      </c>
      <c r="B11" s="59" t="s">
        <v>831</v>
      </c>
      <c r="C11" s="57">
        <v>7517500</v>
      </c>
      <c r="D11" s="57"/>
      <c r="E11" s="57"/>
      <c r="F11" s="95">
        <f>ПЛАТЕЖИ[[#This Row],[СЎМ]]+(ПЛАТЕЖИ[[#This Row],[ВАЛЮТА]]*ПЛАТЕЖИ[[#This Row],[КУРС]])</f>
        <v>7517500</v>
      </c>
      <c r="H11" s="47" t="s">
        <v>905</v>
      </c>
      <c r="I11" s="165"/>
    </row>
    <row r="12" spans="1:9" ht="15" customHeight="1" x14ac:dyDescent="0.3">
      <c r="A12" s="58">
        <v>46175</v>
      </c>
      <c r="B12" s="59" t="s">
        <v>425</v>
      </c>
      <c r="C12" s="57">
        <v>900000</v>
      </c>
      <c r="D12" s="57"/>
      <c r="E12" s="57"/>
      <c r="F12" s="95">
        <f>ПЛАТЕЖИ[[#This Row],[СЎМ]]+(ПЛАТЕЖИ[[#This Row],[ВАЛЮТА]]*ПЛАТЕЖИ[[#This Row],[КУРС]])</f>
        <v>900000</v>
      </c>
      <c r="H12" s="47" t="s">
        <v>906</v>
      </c>
      <c r="I12" s="165"/>
    </row>
    <row r="13" spans="1:9" ht="15" customHeight="1" x14ac:dyDescent="0.3">
      <c r="A13" s="58">
        <v>46175</v>
      </c>
      <c r="B13" s="59" t="s">
        <v>676</v>
      </c>
      <c r="C13" s="57">
        <v>1393800</v>
      </c>
      <c r="D13" s="57"/>
      <c r="E13" s="57"/>
      <c r="F13" s="95">
        <f>ПЛАТЕЖИ[[#This Row],[СЎМ]]+(ПЛАТЕЖИ[[#This Row],[ВАЛЮТА]]*ПЛАТЕЖИ[[#This Row],[КУРС]])</f>
        <v>1393800</v>
      </c>
      <c r="H13" s="59"/>
      <c r="I13" s="165"/>
    </row>
    <row r="14" spans="1:9" ht="15" customHeight="1" x14ac:dyDescent="0.3">
      <c r="A14" s="58">
        <v>46175</v>
      </c>
      <c r="B14" s="47" t="s">
        <v>1004</v>
      </c>
      <c r="C14" s="57">
        <v>12963600</v>
      </c>
      <c r="D14" s="57"/>
      <c r="E14" s="57"/>
      <c r="F14" s="95">
        <f>ПЛАТЕЖИ[[#This Row],[СЎМ]]+(ПЛАТЕЖИ[[#This Row],[ВАЛЮТА]]*ПЛАТЕЖИ[[#This Row],[КУРС]])</f>
        <v>12963600</v>
      </c>
      <c r="H14" s="47" t="s">
        <v>905</v>
      </c>
      <c r="I14" s="165"/>
    </row>
    <row r="15" spans="1:9" ht="15" customHeight="1" x14ac:dyDescent="0.3">
      <c r="A15" s="58">
        <v>46176</v>
      </c>
      <c r="B15" s="59" t="s">
        <v>571</v>
      </c>
      <c r="C15" s="57">
        <v>11597100</v>
      </c>
      <c r="D15" s="57"/>
      <c r="E15" s="57"/>
      <c r="F15" s="95">
        <f>ПЛАТЕЖИ[[#This Row],[СЎМ]]+(ПЛАТЕЖИ[[#This Row],[ВАЛЮТА]]*ПЛАТЕЖИ[[#This Row],[КУРС]])</f>
        <v>11597100</v>
      </c>
      <c r="G15" s="59"/>
      <c r="H15" s="47" t="s">
        <v>905</v>
      </c>
      <c r="I15" s="165"/>
    </row>
    <row r="16" spans="1:9" ht="15" customHeight="1" x14ac:dyDescent="0.3">
      <c r="A16" s="58">
        <v>46176</v>
      </c>
      <c r="B16" s="59" t="s">
        <v>571</v>
      </c>
      <c r="C16" s="57">
        <v>12374300</v>
      </c>
      <c r="D16" s="57"/>
      <c r="E16" s="57"/>
      <c r="F16" s="95">
        <f>ПЛАТЕЖИ[[#This Row],[СЎМ]]+(ПЛАТЕЖИ[[#This Row],[ВАЛЮТА]]*ПЛАТЕЖИ[[#This Row],[КУРС]])</f>
        <v>12374300</v>
      </c>
      <c r="G16" s="59"/>
      <c r="H16" s="47" t="s">
        <v>905</v>
      </c>
      <c r="I16" s="165"/>
    </row>
    <row r="17" spans="1:9" x14ac:dyDescent="0.3">
      <c r="A17" s="58">
        <v>46176</v>
      </c>
      <c r="B17" s="59" t="s">
        <v>571</v>
      </c>
      <c r="C17" s="57">
        <v>18594800</v>
      </c>
      <c r="D17" s="57"/>
      <c r="E17" s="57"/>
      <c r="F17" s="95">
        <f>ПЛАТЕЖИ[[#This Row],[СЎМ]]+(ПЛАТЕЖИ[[#This Row],[ВАЛЮТА]]*ПЛАТЕЖИ[[#This Row],[КУРС]])</f>
        <v>18594800</v>
      </c>
      <c r="G17" s="59"/>
      <c r="H17" s="47" t="s">
        <v>905</v>
      </c>
      <c r="I17" s="165"/>
    </row>
    <row r="18" spans="1:9" ht="15" customHeight="1" x14ac:dyDescent="0.3">
      <c r="A18" s="58">
        <v>46176</v>
      </c>
      <c r="B18" s="59" t="s">
        <v>737</v>
      </c>
      <c r="C18" s="57">
        <v>10000000</v>
      </c>
      <c r="D18" s="57"/>
      <c r="E18" s="57"/>
      <c r="F18" s="95">
        <f>ПЛАТЕЖИ[[#This Row],[СЎМ]]+(ПЛАТЕЖИ[[#This Row],[ВАЛЮТА]]*ПЛАТЕЖИ[[#This Row],[КУРС]])</f>
        <v>10000000</v>
      </c>
      <c r="G18" s="59"/>
      <c r="H18" s="47" t="s">
        <v>906</v>
      </c>
      <c r="I18" s="165"/>
    </row>
    <row r="19" spans="1:9" ht="15" customHeight="1" x14ac:dyDescent="0.3">
      <c r="A19" s="58">
        <v>46176</v>
      </c>
      <c r="B19" s="59" t="s">
        <v>167</v>
      </c>
      <c r="C19" s="57">
        <v>2200000</v>
      </c>
      <c r="D19" s="57"/>
      <c r="E19" s="57"/>
      <c r="F19" s="95">
        <f>ПЛАТЕЖИ[[#This Row],[СЎМ]]+(ПЛАТЕЖИ[[#This Row],[ВАЛЮТА]]*ПЛАТЕЖИ[[#This Row],[КУРС]])</f>
        <v>2200000</v>
      </c>
      <c r="G19" s="59"/>
      <c r="H19" s="47" t="s">
        <v>908</v>
      </c>
      <c r="I19" s="165"/>
    </row>
    <row r="20" spans="1:9" ht="15" customHeight="1" x14ac:dyDescent="0.3">
      <c r="A20" s="58">
        <v>46176</v>
      </c>
      <c r="B20" s="59" t="s">
        <v>481</v>
      </c>
      <c r="C20" s="57">
        <v>1895800</v>
      </c>
      <c r="D20" s="57"/>
      <c r="E20" s="57"/>
      <c r="F20" s="95">
        <f>ПЛАТЕЖИ[[#This Row],[СЎМ]]+(ПЛАТЕЖИ[[#This Row],[ВАЛЮТА]]*ПЛАТЕЖИ[[#This Row],[КУРС]])</f>
        <v>1895800</v>
      </c>
      <c r="G20" s="59"/>
      <c r="H20" s="59"/>
      <c r="I20" s="165"/>
    </row>
    <row r="21" spans="1:9" ht="15" customHeight="1" x14ac:dyDescent="0.3">
      <c r="A21" s="58">
        <v>46176</v>
      </c>
      <c r="B21" s="59" t="s">
        <v>464</v>
      </c>
      <c r="C21" s="57">
        <v>1135000</v>
      </c>
      <c r="D21" s="57"/>
      <c r="E21" s="57"/>
      <c r="F21" s="95">
        <f>ПЛАТЕЖИ[[#This Row],[СЎМ]]+(ПЛАТЕЖИ[[#This Row],[ВАЛЮТА]]*ПЛАТЕЖИ[[#This Row],[КУРС]])</f>
        <v>1135000</v>
      </c>
      <c r="G21" s="59"/>
      <c r="H21" s="59"/>
      <c r="I21" s="165"/>
    </row>
    <row r="22" spans="1:9" ht="15" customHeight="1" x14ac:dyDescent="0.3">
      <c r="A22" s="58">
        <v>46176</v>
      </c>
      <c r="B22" s="59" t="s">
        <v>583</v>
      </c>
      <c r="C22" s="57">
        <v>543600</v>
      </c>
      <c r="D22" s="57"/>
      <c r="E22" s="57"/>
      <c r="F22" s="95">
        <f>ПЛАТЕЖИ[[#This Row],[СЎМ]]+(ПЛАТЕЖИ[[#This Row],[ВАЛЮТА]]*ПЛАТЕЖИ[[#This Row],[КУРС]])</f>
        <v>543600</v>
      </c>
      <c r="G22" s="59"/>
      <c r="H22" s="47" t="s">
        <v>913</v>
      </c>
      <c r="I22" s="165"/>
    </row>
    <row r="23" spans="1:9" ht="15" customHeight="1" x14ac:dyDescent="0.3">
      <c r="A23" s="58">
        <v>46176</v>
      </c>
      <c r="B23" s="59" t="s">
        <v>827</v>
      </c>
      <c r="C23" s="57">
        <v>7000000</v>
      </c>
      <c r="D23" s="57"/>
      <c r="E23" s="57"/>
      <c r="F23" s="95">
        <f>ПЛАТЕЖИ[[#This Row],[СЎМ]]+(ПЛАТЕЖИ[[#This Row],[ВАЛЮТА]]*ПЛАТЕЖИ[[#This Row],[КУРС]])</f>
        <v>7000000</v>
      </c>
      <c r="G23" s="59"/>
      <c r="H23" s="59"/>
      <c r="I23" s="165"/>
    </row>
    <row r="24" spans="1:9" ht="15" customHeight="1" x14ac:dyDescent="0.3">
      <c r="A24" s="58">
        <v>46176</v>
      </c>
      <c r="B24" s="59" t="s">
        <v>414</v>
      </c>
      <c r="C24" s="57">
        <v>1736000</v>
      </c>
      <c r="D24" s="57"/>
      <c r="E24" s="57"/>
      <c r="F24" s="95">
        <f>ПЛАТЕЖИ[[#This Row],[СЎМ]]+(ПЛАТЕЖИ[[#This Row],[ВАЛЮТА]]*ПЛАТЕЖИ[[#This Row],[КУРС]])</f>
        <v>1736000</v>
      </c>
      <c r="G24" s="59"/>
      <c r="H24" s="59"/>
      <c r="I24" s="165"/>
    </row>
    <row r="25" spans="1:9" ht="15" customHeight="1" x14ac:dyDescent="0.3">
      <c r="A25" s="58">
        <v>46176</v>
      </c>
      <c r="B25" s="59" t="s">
        <v>396</v>
      </c>
      <c r="C25" s="57">
        <v>993300</v>
      </c>
      <c r="D25" s="57"/>
      <c r="E25" s="57"/>
      <c r="F25" s="95">
        <f>ПЛАТЕЖИ[[#This Row],[СЎМ]]+(ПЛАТЕЖИ[[#This Row],[ВАЛЮТА]]*ПЛАТЕЖИ[[#This Row],[КУРС]])</f>
        <v>993300</v>
      </c>
      <c r="G25" s="59"/>
      <c r="H25" s="59"/>
      <c r="I25" s="165"/>
    </row>
    <row r="26" spans="1:9" ht="15" customHeight="1" x14ac:dyDescent="0.3">
      <c r="A26" s="58">
        <v>46176</v>
      </c>
      <c r="B26" s="59" t="s">
        <v>387</v>
      </c>
      <c r="C26" s="57">
        <v>804800</v>
      </c>
      <c r="D26" s="57"/>
      <c r="E26" s="57"/>
      <c r="F26" s="95">
        <f>ПЛАТЕЖИ[[#This Row],[СЎМ]]+(ПЛАТЕЖИ[[#This Row],[ВАЛЮТА]]*ПЛАТЕЖИ[[#This Row],[КУРС]])</f>
        <v>804800</v>
      </c>
      <c r="G26" s="59"/>
      <c r="H26" s="59"/>
      <c r="I26" s="165"/>
    </row>
    <row r="27" spans="1:9" ht="15" customHeight="1" x14ac:dyDescent="0.3">
      <c r="A27" s="58">
        <v>46176</v>
      </c>
      <c r="B27" s="59" t="s">
        <v>697</v>
      </c>
      <c r="C27" s="57">
        <v>36000000</v>
      </c>
      <c r="D27" s="57"/>
      <c r="E27" s="57"/>
      <c r="F27" s="95">
        <f>ПЛАТЕЖИ[[#This Row],[СЎМ]]+(ПЛАТЕЖИ[[#This Row],[ВАЛЮТА]]*ПЛАТЕЖИ[[#This Row],[КУРС]])</f>
        <v>36000000</v>
      </c>
      <c r="G27" s="59"/>
      <c r="H27" s="47" t="s">
        <v>908</v>
      </c>
      <c r="I27" s="165"/>
    </row>
    <row r="28" spans="1:9" ht="15" customHeight="1" x14ac:dyDescent="0.3">
      <c r="A28" s="58">
        <v>46176</v>
      </c>
      <c r="B28" s="59" t="s">
        <v>697</v>
      </c>
      <c r="C28" s="57">
        <v>55789050</v>
      </c>
      <c r="D28" s="57"/>
      <c r="E28" s="57"/>
      <c r="F28" s="95">
        <f>ПЛАТЕЖИ[[#This Row],[СЎМ]]+(ПЛАТЕЖИ[[#This Row],[ВАЛЮТА]]*ПЛАТЕЖИ[[#This Row],[КУРС]])</f>
        <v>55789050</v>
      </c>
      <c r="G28" s="59"/>
      <c r="H28" s="59"/>
      <c r="I28" s="165"/>
    </row>
    <row r="29" spans="1:9" ht="15" customHeight="1" x14ac:dyDescent="0.3">
      <c r="A29" s="58">
        <v>46176</v>
      </c>
      <c r="B29" s="59" t="s">
        <v>501</v>
      </c>
      <c r="C29" s="57">
        <v>985000</v>
      </c>
      <c r="D29" s="57"/>
      <c r="E29" s="57"/>
      <c r="F29" s="95">
        <f>ПЛАТЕЖИ[[#This Row],[СЎМ]]+(ПЛАТЕЖИ[[#This Row],[ВАЛЮТА]]*ПЛАТЕЖИ[[#This Row],[КУРС]])</f>
        <v>985000</v>
      </c>
      <c r="G29" s="59"/>
      <c r="H29" s="59"/>
      <c r="I29" s="165"/>
    </row>
    <row r="30" spans="1:9" ht="15" customHeight="1" x14ac:dyDescent="0.3">
      <c r="A30" s="58">
        <v>46176</v>
      </c>
      <c r="B30" s="59" t="s">
        <v>236</v>
      </c>
      <c r="C30" s="57">
        <v>604000</v>
      </c>
      <c r="D30" s="57"/>
      <c r="E30" s="57"/>
      <c r="F30" s="95">
        <f>ПЛАТЕЖИ[[#This Row],[СЎМ]]+(ПЛАТЕЖИ[[#This Row],[ВАЛЮТА]]*ПЛАТЕЖИ[[#This Row],[КУРС]])</f>
        <v>604000</v>
      </c>
      <c r="G30" s="59"/>
      <c r="H30" s="59"/>
      <c r="I30" s="165"/>
    </row>
    <row r="31" spans="1:9" ht="15" customHeight="1" x14ac:dyDescent="0.3">
      <c r="A31" s="58">
        <v>46177</v>
      </c>
      <c r="B31" s="59" t="s">
        <v>829</v>
      </c>
      <c r="C31" s="57">
        <v>787000</v>
      </c>
      <c r="D31" s="57"/>
      <c r="E31" s="57"/>
      <c r="F31" s="95">
        <f>ПЛАТЕЖИ[[#This Row],[СЎМ]]+(ПЛАТЕЖИ[[#This Row],[ВАЛЮТА]]*ПЛАТЕЖИ[[#This Row],[КУРС]])</f>
        <v>787000</v>
      </c>
      <c r="G31" s="59"/>
      <c r="H31" s="59"/>
      <c r="I31" s="165"/>
    </row>
    <row r="32" spans="1:9" ht="15" customHeight="1" x14ac:dyDescent="0.3">
      <c r="A32" s="58">
        <v>46177</v>
      </c>
      <c r="B32" s="59" t="s">
        <v>641</v>
      </c>
      <c r="C32" s="57">
        <v>1076400</v>
      </c>
      <c r="D32" s="57"/>
      <c r="E32" s="57"/>
      <c r="F32" s="95">
        <f>ПЛАТЕЖИ[[#This Row],[СЎМ]]+(ПЛАТЕЖИ[[#This Row],[ВАЛЮТА]]*ПЛАТЕЖИ[[#This Row],[КУРС]])</f>
        <v>1076400</v>
      </c>
      <c r="G32" s="59"/>
      <c r="H32" s="59"/>
      <c r="I32" s="165"/>
    </row>
    <row r="33" spans="1:9" ht="15" customHeight="1" x14ac:dyDescent="0.3">
      <c r="A33" s="58">
        <v>46177</v>
      </c>
      <c r="B33" s="59" t="s">
        <v>498</v>
      </c>
      <c r="C33" s="57">
        <v>1891200</v>
      </c>
      <c r="D33" s="57"/>
      <c r="E33" s="57"/>
      <c r="F33" s="95">
        <f>ПЛАТЕЖИ[[#This Row],[СЎМ]]+(ПЛАТЕЖИ[[#This Row],[ВАЛЮТА]]*ПЛАТЕЖИ[[#This Row],[КУРС]])</f>
        <v>1891200</v>
      </c>
      <c r="G33" s="59"/>
      <c r="H33" s="59"/>
      <c r="I33" s="165"/>
    </row>
    <row r="34" spans="1:9" ht="15" customHeight="1" x14ac:dyDescent="0.3">
      <c r="A34" s="58">
        <v>46177</v>
      </c>
      <c r="B34" s="59" t="s">
        <v>807</v>
      </c>
      <c r="C34" s="57">
        <v>13300000</v>
      </c>
      <c r="D34" s="57"/>
      <c r="E34" s="57"/>
      <c r="F34" s="95">
        <f>ПЛАТЕЖИ[[#This Row],[СЎМ]]+(ПЛАТЕЖИ[[#This Row],[ВАЛЮТА]]*ПЛАТЕЖИ[[#This Row],[КУРС]])</f>
        <v>13300000</v>
      </c>
      <c r="G34" s="59"/>
      <c r="H34" s="59"/>
      <c r="I34" s="165"/>
    </row>
    <row r="35" spans="1:9" ht="15" customHeight="1" x14ac:dyDescent="0.3">
      <c r="A35" s="58">
        <v>46178</v>
      </c>
      <c r="B35" s="59" t="s">
        <v>377</v>
      </c>
      <c r="C35" s="57">
        <v>443000</v>
      </c>
      <c r="D35" s="57"/>
      <c r="E35" s="57"/>
      <c r="F35" s="95">
        <f>ПЛАТЕЖИ[[#This Row],[СЎМ]]+(ПЛАТЕЖИ[[#This Row],[ВАЛЮТА]]*ПЛАТЕЖИ[[#This Row],[КУРС]])</f>
        <v>443000</v>
      </c>
      <c r="G35" s="59"/>
      <c r="H35" s="59"/>
      <c r="I35" s="165"/>
    </row>
    <row r="36" spans="1:9" ht="15" customHeight="1" x14ac:dyDescent="0.3">
      <c r="A36" s="58">
        <v>46178</v>
      </c>
      <c r="B36" s="59" t="s">
        <v>475</v>
      </c>
      <c r="C36" s="57">
        <v>913100</v>
      </c>
      <c r="D36" s="57"/>
      <c r="E36" s="57"/>
      <c r="F36" s="95">
        <f>ПЛАТЕЖИ[[#This Row],[СЎМ]]+(ПЛАТЕЖИ[[#This Row],[ВАЛЮТА]]*ПЛАТЕЖИ[[#This Row],[КУРС]])</f>
        <v>913100</v>
      </c>
      <c r="G36" s="59"/>
      <c r="H36" s="59"/>
      <c r="I36" s="165"/>
    </row>
    <row r="37" spans="1:9" ht="15" customHeight="1" x14ac:dyDescent="0.3">
      <c r="A37" s="58">
        <v>46178</v>
      </c>
      <c r="B37" s="47" t="s">
        <v>352</v>
      </c>
      <c r="C37" s="57">
        <v>1099700</v>
      </c>
      <c r="D37" s="57"/>
      <c r="E37" s="57"/>
      <c r="F37" s="95">
        <f>ПЛАТЕЖИ[[#This Row],[СЎМ]]+(ПЛАТЕЖИ[[#This Row],[ВАЛЮТА]]*ПЛАТЕЖИ[[#This Row],[КУРС]])</f>
        <v>1099700</v>
      </c>
      <c r="G37" s="59"/>
      <c r="H37" s="59"/>
      <c r="I37" s="165"/>
    </row>
    <row r="38" spans="1:9" ht="15" customHeight="1" x14ac:dyDescent="0.3">
      <c r="A38" s="58">
        <v>46178</v>
      </c>
      <c r="B38" s="47" t="s">
        <v>991</v>
      </c>
      <c r="C38" s="57">
        <v>613300</v>
      </c>
      <c r="D38" s="57"/>
      <c r="E38" s="57"/>
      <c r="F38" s="60">
        <f>ПЛАТЕЖИ[[#This Row],[СЎМ]]+(ПЛАТЕЖИ[[#This Row],[ВАЛЮТА]]*ПЛАТЕЖИ[[#This Row],[КУРС]])</f>
        <v>613300</v>
      </c>
      <c r="G38" s="59"/>
      <c r="H38" s="59"/>
      <c r="I38" s="165"/>
    </row>
    <row r="39" spans="1:9" ht="15" customHeight="1" x14ac:dyDescent="0.3">
      <c r="A39" s="58">
        <v>46178</v>
      </c>
      <c r="B39" s="59" t="s">
        <v>89</v>
      </c>
      <c r="C39" s="57">
        <v>858000</v>
      </c>
      <c r="D39" s="57"/>
      <c r="E39" s="57"/>
      <c r="F39" s="60">
        <f>ПЛАТЕЖИ[[#This Row],[СЎМ]]+(ПЛАТЕЖИ[[#This Row],[ВАЛЮТА]]*ПЛАТЕЖИ[[#This Row],[КУРС]])</f>
        <v>858000</v>
      </c>
      <c r="G39" s="59"/>
      <c r="H39" s="59"/>
      <c r="I39" s="165"/>
    </row>
    <row r="40" spans="1:9" ht="15" customHeight="1" x14ac:dyDescent="0.3">
      <c r="A40" s="58">
        <v>46178</v>
      </c>
      <c r="B40" s="59" t="s">
        <v>162</v>
      </c>
      <c r="C40" s="57">
        <v>2588900</v>
      </c>
      <c r="D40" s="57"/>
      <c r="E40" s="57"/>
      <c r="F40" s="60">
        <f>ПЛАТЕЖИ[[#This Row],[СЎМ]]+(ПЛАТЕЖИ[[#This Row],[ВАЛЮТА]]*ПЛАТЕЖИ[[#This Row],[КУРС]])</f>
        <v>2588900</v>
      </c>
      <c r="G40" s="59"/>
      <c r="H40" s="59"/>
      <c r="I40" s="165"/>
    </row>
    <row r="41" spans="1:9" ht="15" customHeight="1" x14ac:dyDescent="0.3">
      <c r="A41" s="58">
        <v>46178</v>
      </c>
      <c r="B41" s="59" t="s">
        <v>782</v>
      </c>
      <c r="C41" s="57">
        <v>20000000</v>
      </c>
      <c r="D41" s="57"/>
      <c r="E41" s="57"/>
      <c r="F41" s="60">
        <f>ПЛАТЕЖИ[[#This Row],[СЎМ]]+(ПЛАТЕЖИ[[#This Row],[ВАЛЮТА]]*ПЛАТЕЖИ[[#This Row],[КУРС]])</f>
        <v>20000000</v>
      </c>
      <c r="G41" s="59"/>
      <c r="H41" s="47" t="s">
        <v>905</v>
      </c>
      <c r="I41" s="165"/>
    </row>
    <row r="42" spans="1:9" ht="15" customHeight="1" x14ac:dyDescent="0.3">
      <c r="A42" s="58">
        <v>46178</v>
      </c>
      <c r="B42" s="59" t="s">
        <v>270</v>
      </c>
      <c r="C42" s="57">
        <v>2757600</v>
      </c>
      <c r="D42" s="57"/>
      <c r="E42" s="57"/>
      <c r="F42" s="60">
        <f>ПЛАТЕЖИ[[#This Row],[СЎМ]]+(ПЛАТЕЖИ[[#This Row],[ВАЛЮТА]]*ПЛАТЕЖИ[[#This Row],[КУРС]])</f>
        <v>2757600</v>
      </c>
      <c r="G42" s="59"/>
      <c r="H42" s="47" t="s">
        <v>906</v>
      </c>
      <c r="I42" s="165"/>
    </row>
    <row r="43" spans="1:9" ht="15" customHeight="1" x14ac:dyDescent="0.3">
      <c r="A43" s="58">
        <v>46178</v>
      </c>
      <c r="B43" s="59" t="s">
        <v>507</v>
      </c>
      <c r="C43" s="57">
        <v>1000000</v>
      </c>
      <c r="D43" s="57"/>
      <c r="E43" s="57"/>
      <c r="F43" s="60">
        <f>ПЛАТЕЖИ[[#This Row],[СЎМ]]+(ПЛАТЕЖИ[[#This Row],[ВАЛЮТА]]*ПЛАТЕЖИ[[#This Row],[КУРС]])</f>
        <v>1000000</v>
      </c>
      <c r="G43" s="59"/>
      <c r="H43" s="47" t="s">
        <v>906</v>
      </c>
      <c r="I43" s="165"/>
    </row>
    <row r="44" spans="1:9" ht="15" customHeight="1" x14ac:dyDescent="0.3">
      <c r="A44" s="58">
        <v>46178</v>
      </c>
      <c r="B44" s="59" t="s">
        <v>552</v>
      </c>
      <c r="C44" s="57">
        <v>28728000</v>
      </c>
      <c r="D44" s="57"/>
      <c r="E44" s="57"/>
      <c r="F44" s="60">
        <f>ПЛАТЕЖИ[[#This Row],[СЎМ]]+(ПЛАТЕЖИ[[#This Row],[ВАЛЮТА]]*ПЛАТЕЖИ[[#This Row],[КУРС]])</f>
        <v>28728000</v>
      </c>
      <c r="G44" s="59"/>
      <c r="H44" s="59"/>
      <c r="I44" s="165"/>
    </row>
    <row r="45" spans="1:9" ht="15" customHeight="1" x14ac:dyDescent="0.3">
      <c r="A45" s="58">
        <v>46178</v>
      </c>
      <c r="B45" s="47" t="s">
        <v>228</v>
      </c>
      <c r="C45" s="57">
        <v>1192000</v>
      </c>
      <c r="D45" s="57"/>
      <c r="E45" s="57"/>
      <c r="F45" s="60">
        <f>ПЛАТЕЖИ[[#This Row],[СЎМ]]+(ПЛАТЕЖИ[[#This Row],[ВАЛЮТА]]*ПЛАТЕЖИ[[#This Row],[КУРС]])</f>
        <v>1192000</v>
      </c>
      <c r="G45" s="59"/>
      <c r="H45" s="47" t="s">
        <v>905</v>
      </c>
      <c r="I45" s="165"/>
    </row>
    <row r="46" spans="1:9" ht="15" customHeight="1" x14ac:dyDescent="0.3">
      <c r="A46" s="58">
        <v>46178</v>
      </c>
      <c r="B46" s="59" t="s">
        <v>793</v>
      </c>
      <c r="C46" s="57">
        <v>10400000</v>
      </c>
      <c r="D46" s="57"/>
      <c r="E46" s="57"/>
      <c r="F46" s="60">
        <f>ПЛАТЕЖИ[[#This Row],[СЎМ]]+(ПЛАТЕЖИ[[#This Row],[ВАЛЮТА]]*ПЛАТЕЖИ[[#This Row],[КУРС]])</f>
        <v>10400000</v>
      </c>
      <c r="G46" s="59"/>
      <c r="H46" s="59"/>
      <c r="I46" s="165"/>
    </row>
    <row r="47" spans="1:9" ht="15" customHeight="1" x14ac:dyDescent="0.3">
      <c r="A47" s="58">
        <v>46179</v>
      </c>
      <c r="B47" s="59" t="s">
        <v>560</v>
      </c>
      <c r="C47" s="57"/>
      <c r="D47" s="57">
        <v>100</v>
      </c>
      <c r="E47" s="57">
        <v>12000</v>
      </c>
      <c r="F47" s="60">
        <f>ПЛАТЕЖИ[[#This Row],[СЎМ]]+(ПЛАТЕЖИ[[#This Row],[ВАЛЮТА]]*ПЛАТЕЖИ[[#This Row],[КУРС]])</f>
        <v>1200000</v>
      </c>
      <c r="G47" s="59"/>
      <c r="H47" s="59"/>
      <c r="I47" s="165"/>
    </row>
    <row r="48" spans="1:9" ht="15" customHeight="1" x14ac:dyDescent="0.3">
      <c r="A48" s="58">
        <v>46179</v>
      </c>
      <c r="B48" s="59" t="s">
        <v>211</v>
      </c>
      <c r="C48" s="57">
        <v>1082500</v>
      </c>
      <c r="D48" s="57"/>
      <c r="E48" s="57"/>
      <c r="F48" s="60">
        <f>ПЛАТЕЖИ[[#This Row],[СЎМ]]+(ПЛАТЕЖИ[[#This Row],[ВАЛЮТА]]*ПЛАТЕЖИ[[#This Row],[КУРС]])</f>
        <v>1082500</v>
      </c>
      <c r="G48" s="59"/>
      <c r="H48" s="59"/>
      <c r="I48" s="165"/>
    </row>
    <row r="49" spans="1:9" ht="15" customHeight="1" x14ac:dyDescent="0.3">
      <c r="A49" s="58">
        <v>46179</v>
      </c>
      <c r="B49" s="59" t="s">
        <v>312</v>
      </c>
      <c r="C49" s="57">
        <v>954000</v>
      </c>
      <c r="D49" s="57">
        <v>400</v>
      </c>
      <c r="E49" s="57">
        <v>12000</v>
      </c>
      <c r="F49" s="60">
        <f>ПЛАТЕЖИ[[#This Row],[СЎМ]]+(ПЛАТЕЖИ[[#This Row],[ВАЛЮТА]]*ПЛАТЕЖИ[[#This Row],[КУРС]])</f>
        <v>5754000</v>
      </c>
      <c r="G49" s="59"/>
      <c r="H49" s="59"/>
      <c r="I49" s="165"/>
    </row>
    <row r="50" spans="1:9" ht="15" customHeight="1" x14ac:dyDescent="0.3">
      <c r="A50" s="58">
        <v>46181</v>
      </c>
      <c r="B50" s="59" t="s">
        <v>339</v>
      </c>
      <c r="C50" s="57">
        <v>756000</v>
      </c>
      <c r="D50" s="57"/>
      <c r="E50" s="57"/>
      <c r="F50" s="60">
        <f>ПЛАТЕЖИ[[#This Row],[СЎМ]]+(ПЛАТЕЖИ[[#This Row],[ВАЛЮТА]]*ПЛАТЕЖИ[[#This Row],[КУРС]])</f>
        <v>756000</v>
      </c>
      <c r="G50" s="59"/>
      <c r="H50" s="59"/>
      <c r="I50" s="165"/>
    </row>
    <row r="51" spans="1:9" ht="15" customHeight="1" x14ac:dyDescent="0.3">
      <c r="A51" s="58">
        <v>46181</v>
      </c>
      <c r="B51" s="59" t="s">
        <v>448</v>
      </c>
      <c r="C51" s="57">
        <v>1099400</v>
      </c>
      <c r="D51" s="57"/>
      <c r="E51" s="57"/>
      <c r="F51" s="60">
        <f>ПЛАТЕЖИ[[#This Row],[СЎМ]]+(ПЛАТЕЖИ[[#This Row],[ВАЛЮТА]]*ПЛАТЕЖИ[[#This Row],[КУРС]])</f>
        <v>1099400</v>
      </c>
      <c r="G51" s="59"/>
      <c r="H51" s="47" t="s">
        <v>906</v>
      </c>
      <c r="I51" s="165"/>
    </row>
    <row r="52" spans="1:9" ht="15" customHeight="1" x14ac:dyDescent="0.3">
      <c r="A52" s="58">
        <v>46181</v>
      </c>
      <c r="B52" s="59" t="s">
        <v>345</v>
      </c>
      <c r="C52" s="57">
        <v>1165000</v>
      </c>
      <c r="D52" s="57"/>
      <c r="E52" s="57"/>
      <c r="F52" s="60">
        <f>ПЛАТЕЖИ[[#This Row],[СЎМ]]+(ПЛАТЕЖИ[[#This Row],[ВАЛЮТА]]*ПЛАТЕЖИ[[#This Row],[КУРС]])</f>
        <v>1165000</v>
      </c>
      <c r="G52" s="59"/>
      <c r="H52" s="47" t="s">
        <v>906</v>
      </c>
      <c r="I52" s="165"/>
    </row>
    <row r="53" spans="1:9" ht="15" customHeight="1" x14ac:dyDescent="0.3">
      <c r="A53" s="58">
        <v>46181</v>
      </c>
      <c r="B53" s="47" t="s">
        <v>190</v>
      </c>
      <c r="C53" s="57">
        <v>5000000</v>
      </c>
      <c r="D53" s="57"/>
      <c r="E53" s="57"/>
      <c r="F53" s="60">
        <f>ПЛАТЕЖИ[[#This Row],[СЎМ]]+(ПЛАТЕЖИ[[#This Row],[ВАЛЮТА]]*ПЛАТЕЖИ[[#This Row],[КУРС]])</f>
        <v>5000000</v>
      </c>
      <c r="G53" s="59"/>
      <c r="H53" s="47" t="s">
        <v>905</v>
      </c>
      <c r="I53" s="165"/>
    </row>
    <row r="54" spans="1:9" ht="15" customHeight="1" x14ac:dyDescent="0.3">
      <c r="A54" s="58">
        <v>46181</v>
      </c>
      <c r="B54" s="59" t="s">
        <v>838</v>
      </c>
      <c r="C54" s="57">
        <v>784000</v>
      </c>
      <c r="D54" s="57"/>
      <c r="E54" s="57"/>
      <c r="F54" s="60">
        <f>ПЛАТЕЖИ[[#This Row],[СЎМ]]+(ПЛАТЕЖИ[[#This Row],[ВАЛЮТА]]*ПЛАТЕЖИ[[#This Row],[КУРС]])</f>
        <v>784000</v>
      </c>
      <c r="G54" s="59"/>
      <c r="H54" s="47" t="s">
        <v>905</v>
      </c>
      <c r="I54" s="165"/>
    </row>
    <row r="55" spans="1:9" ht="15" customHeight="1" x14ac:dyDescent="0.3">
      <c r="A55" s="58">
        <v>46181</v>
      </c>
      <c r="B55" s="59" t="s">
        <v>292</v>
      </c>
      <c r="C55" s="57">
        <v>790400</v>
      </c>
      <c r="D55" s="57"/>
      <c r="E55" s="57"/>
      <c r="F55" s="60">
        <f>ПЛАТЕЖИ[[#This Row],[СЎМ]]+(ПЛАТЕЖИ[[#This Row],[ВАЛЮТА]]*ПЛАТЕЖИ[[#This Row],[КУРС]])</f>
        <v>790400</v>
      </c>
      <c r="G55" s="59"/>
      <c r="H55" s="47" t="s">
        <v>905</v>
      </c>
      <c r="I55" s="165"/>
    </row>
    <row r="56" spans="1:9" ht="15" customHeight="1" x14ac:dyDescent="0.3">
      <c r="A56" s="58">
        <v>46181</v>
      </c>
      <c r="B56" s="59" t="s">
        <v>314</v>
      </c>
      <c r="C56" s="57">
        <v>836100</v>
      </c>
      <c r="D56" s="57"/>
      <c r="E56" s="57"/>
      <c r="F56" s="60">
        <f>ПЛАТЕЖИ[[#This Row],[СЎМ]]+(ПЛАТЕЖИ[[#This Row],[ВАЛЮТА]]*ПЛАТЕЖИ[[#This Row],[КУРС]])</f>
        <v>836100</v>
      </c>
      <c r="G56" s="59"/>
      <c r="H56" s="47" t="s">
        <v>905</v>
      </c>
      <c r="I56" s="165"/>
    </row>
    <row r="57" spans="1:9" ht="15" customHeight="1" x14ac:dyDescent="0.3">
      <c r="A57" s="58">
        <v>46181</v>
      </c>
      <c r="B57" s="59" t="s">
        <v>521</v>
      </c>
      <c r="C57" s="57">
        <v>10000000</v>
      </c>
      <c r="D57" s="57"/>
      <c r="E57" s="57"/>
      <c r="F57" s="60">
        <f>ПЛАТЕЖИ[[#This Row],[СЎМ]]+(ПЛАТЕЖИ[[#This Row],[ВАЛЮТА]]*ПЛАТЕЖИ[[#This Row],[КУРС]])</f>
        <v>10000000</v>
      </c>
      <c r="G57" s="59"/>
      <c r="H57" s="47" t="s">
        <v>905</v>
      </c>
      <c r="I57" s="165"/>
    </row>
    <row r="58" spans="1:9" ht="15" customHeight="1" x14ac:dyDescent="0.3">
      <c r="A58" s="58">
        <v>46181</v>
      </c>
      <c r="B58" s="47" t="s">
        <v>991</v>
      </c>
      <c r="C58" s="57">
        <v>1000000</v>
      </c>
      <c r="D58" s="57"/>
      <c r="E58" s="57"/>
      <c r="F58" s="60">
        <f>ПЛАТЕЖИ[[#This Row],[СЎМ]]+(ПЛАТЕЖИ[[#This Row],[ВАЛЮТА]]*ПЛАТЕЖИ[[#This Row],[КУРС]])</f>
        <v>1000000</v>
      </c>
      <c r="G58" s="59"/>
      <c r="H58" s="47" t="s">
        <v>905</v>
      </c>
      <c r="I58" s="165"/>
    </row>
    <row r="59" spans="1:9" ht="15" customHeight="1" x14ac:dyDescent="0.3">
      <c r="A59" s="58">
        <v>46181</v>
      </c>
      <c r="B59" s="59" t="s">
        <v>365</v>
      </c>
      <c r="C59" s="57">
        <v>500000</v>
      </c>
      <c r="D59" s="57"/>
      <c r="E59" s="57"/>
      <c r="F59" s="60">
        <f>ПЛАТЕЖИ[[#This Row],[СЎМ]]+(ПЛАТЕЖИ[[#This Row],[ВАЛЮТА]]*ПЛАТЕЖИ[[#This Row],[КУРС]])</f>
        <v>500000</v>
      </c>
      <c r="G59" s="59"/>
      <c r="H59" s="47" t="s">
        <v>906</v>
      </c>
      <c r="I59" s="165"/>
    </row>
    <row r="60" spans="1:9" ht="15" customHeight="1" x14ac:dyDescent="0.3">
      <c r="A60" s="58">
        <v>46182</v>
      </c>
      <c r="B60" s="59" t="s">
        <v>170</v>
      </c>
      <c r="C60" s="57">
        <v>800000</v>
      </c>
      <c r="D60" s="57">
        <v>100</v>
      </c>
      <c r="E60" s="57">
        <v>12000</v>
      </c>
      <c r="F60" s="60">
        <f>ПЛАТЕЖИ[[#This Row],[СЎМ]]+(ПЛАТЕЖИ[[#This Row],[ВАЛЮТА]]*ПЛАТЕЖИ[[#This Row],[КУРС]])</f>
        <v>2000000</v>
      </c>
      <c r="G60" s="59"/>
      <c r="H60" s="59"/>
      <c r="I60" s="165"/>
    </row>
    <row r="61" spans="1:9" ht="15" customHeight="1" x14ac:dyDescent="0.3">
      <c r="A61" s="58">
        <v>46182</v>
      </c>
      <c r="B61" s="59" t="s">
        <v>834</v>
      </c>
      <c r="C61" s="57">
        <v>988800</v>
      </c>
      <c r="D61" s="57"/>
      <c r="E61" s="57"/>
      <c r="F61" s="60">
        <f>ПЛАТЕЖИ[[#This Row],[СЎМ]]+(ПЛАТЕЖИ[[#This Row],[ВАЛЮТА]]*ПЛАТЕЖИ[[#This Row],[КУРС]])</f>
        <v>988800</v>
      </c>
      <c r="G61" s="59"/>
      <c r="H61" s="59"/>
      <c r="I61" s="165"/>
    </row>
    <row r="62" spans="1:9" ht="15" customHeight="1" x14ac:dyDescent="0.3">
      <c r="A62" s="58">
        <v>46182</v>
      </c>
      <c r="B62" s="59" t="s">
        <v>560</v>
      </c>
      <c r="C62" s="57">
        <v>600000</v>
      </c>
      <c r="D62" s="57"/>
      <c r="E62" s="57"/>
      <c r="F62" s="60">
        <f>ПЛАТЕЖИ[[#This Row],[СЎМ]]+(ПЛАТЕЖИ[[#This Row],[ВАЛЮТА]]*ПЛАТЕЖИ[[#This Row],[КУРС]])</f>
        <v>600000</v>
      </c>
      <c r="G62" s="59"/>
      <c r="H62" s="59"/>
      <c r="I62" s="165"/>
    </row>
    <row r="63" spans="1:9" ht="15" customHeight="1" x14ac:dyDescent="0.3">
      <c r="A63" s="58">
        <v>46182</v>
      </c>
      <c r="B63" s="59" t="s">
        <v>742</v>
      </c>
      <c r="C63" s="57">
        <v>17000</v>
      </c>
      <c r="D63" s="57">
        <v>200</v>
      </c>
      <c r="E63" s="57">
        <v>12000</v>
      </c>
      <c r="F63" s="60">
        <f>ПЛАТЕЖИ[[#This Row],[СЎМ]]+(ПЛАТЕЖИ[[#This Row],[ВАЛЮТА]]*ПЛАТЕЖИ[[#This Row],[КУРС]])</f>
        <v>2417000</v>
      </c>
      <c r="G63" s="59"/>
      <c r="H63" s="59"/>
      <c r="I63" s="165"/>
    </row>
    <row r="64" spans="1:9" ht="15" customHeight="1" x14ac:dyDescent="0.3">
      <c r="A64" s="58">
        <v>46182</v>
      </c>
      <c r="B64" s="59" t="s">
        <v>761</v>
      </c>
      <c r="C64" s="57">
        <v>873000</v>
      </c>
      <c r="D64" s="57"/>
      <c r="E64" s="57"/>
      <c r="F64" s="60">
        <f>ПЛАТЕЖИ[[#This Row],[СЎМ]]+(ПЛАТЕЖИ[[#This Row],[ВАЛЮТА]]*ПЛАТЕЖИ[[#This Row],[КУРС]])</f>
        <v>873000</v>
      </c>
      <c r="G64" s="59"/>
      <c r="H64" s="59"/>
      <c r="I64" s="165"/>
    </row>
    <row r="65" spans="1:9" ht="15" customHeight="1" x14ac:dyDescent="0.3">
      <c r="A65" s="58">
        <v>46182</v>
      </c>
      <c r="B65" s="59" t="s">
        <v>832</v>
      </c>
      <c r="C65" s="57">
        <v>3124500</v>
      </c>
      <c r="D65" s="57"/>
      <c r="E65" s="57"/>
      <c r="F65" s="60">
        <f>ПЛАТЕЖИ[[#This Row],[СЎМ]]+(ПЛАТЕЖИ[[#This Row],[ВАЛЮТА]]*ПЛАТЕЖИ[[#This Row],[КУРС]])</f>
        <v>3124500</v>
      </c>
      <c r="G65" s="59"/>
      <c r="H65" s="47" t="s">
        <v>906</v>
      </c>
      <c r="I65" s="165"/>
    </row>
    <row r="66" spans="1:9" ht="15" customHeight="1" x14ac:dyDescent="0.3">
      <c r="A66" s="58">
        <v>46182</v>
      </c>
      <c r="B66" s="59" t="s">
        <v>377</v>
      </c>
      <c r="C66" s="57">
        <v>500000</v>
      </c>
      <c r="D66" s="279"/>
      <c r="E66" s="57"/>
      <c r="F66" s="60">
        <f>ПЛАТЕЖИ[[#This Row],[СЎМ]]+(ПЛАТЕЖИ[[#This Row],[ВАЛЮТА]]*ПЛАТЕЖИ[[#This Row],[КУРС]])</f>
        <v>500000</v>
      </c>
      <c r="G66" s="59"/>
      <c r="H66" s="47" t="s">
        <v>906</v>
      </c>
      <c r="I66" s="165"/>
    </row>
    <row r="67" spans="1:9" ht="15" customHeight="1" x14ac:dyDescent="0.3">
      <c r="A67" s="58">
        <v>46182</v>
      </c>
      <c r="B67" s="59" t="s">
        <v>221</v>
      </c>
      <c r="C67" s="57">
        <v>1536000</v>
      </c>
      <c r="D67" s="57"/>
      <c r="E67" s="57"/>
      <c r="F67" s="60">
        <f>ПЛАТЕЖИ[[#This Row],[СЎМ]]+(ПЛАТЕЖИ[[#This Row],[ВАЛЮТА]]*ПЛАТЕЖИ[[#This Row],[КУРС]])</f>
        <v>1536000</v>
      </c>
      <c r="G67" s="59"/>
      <c r="H67" s="59"/>
      <c r="I67" s="165"/>
    </row>
    <row r="68" spans="1:9" ht="15" customHeight="1" x14ac:dyDescent="0.3">
      <c r="A68" s="58">
        <v>46182</v>
      </c>
      <c r="B68" s="59" t="s">
        <v>807</v>
      </c>
      <c r="C68" s="57">
        <v>11159000</v>
      </c>
      <c r="D68" s="57"/>
      <c r="E68" s="57"/>
      <c r="F68" s="60">
        <f>ПЛАТЕЖИ[[#This Row],[СЎМ]]+(ПЛАТЕЖИ[[#This Row],[ВАЛЮТА]]*ПЛАТЕЖИ[[#This Row],[КУРС]])</f>
        <v>11159000</v>
      </c>
      <c r="G68" s="59"/>
      <c r="H68" s="47" t="s">
        <v>910</v>
      </c>
      <c r="I68" s="165"/>
    </row>
    <row r="69" spans="1:9" ht="15" customHeight="1" x14ac:dyDescent="0.3">
      <c r="A69" s="58">
        <v>46182</v>
      </c>
      <c r="B69" s="59" t="s">
        <v>916</v>
      </c>
      <c r="C69" s="57">
        <v>6250000</v>
      </c>
      <c r="D69" s="57"/>
      <c r="E69" s="57"/>
      <c r="F69" s="60">
        <f>ПЛАТЕЖИ[[#This Row],[СЎМ]]+(ПЛАТЕЖИ[[#This Row],[ВАЛЮТА]]*ПЛАТЕЖИ[[#This Row],[КУРС]])</f>
        <v>6250000</v>
      </c>
      <c r="G69" s="59"/>
      <c r="H69" s="47" t="s">
        <v>908</v>
      </c>
      <c r="I69" s="165"/>
    </row>
    <row r="70" spans="1:9" ht="15" customHeight="1" x14ac:dyDescent="0.3">
      <c r="A70" s="58">
        <v>46182</v>
      </c>
      <c r="B70" s="59" t="s">
        <v>175</v>
      </c>
      <c r="C70" s="57">
        <v>734900</v>
      </c>
      <c r="D70" s="57"/>
      <c r="E70" s="57"/>
      <c r="F70" s="60">
        <f>ПЛАТЕЖИ[[#This Row],[СЎМ]]+(ПЛАТЕЖИ[[#This Row],[ВАЛЮТА]]*ПЛАТЕЖИ[[#This Row],[КУРС]])</f>
        <v>734900</v>
      </c>
      <c r="G70" s="59"/>
      <c r="H70" s="59"/>
      <c r="I70" s="165"/>
    </row>
    <row r="71" spans="1:9" ht="15" customHeight="1" x14ac:dyDescent="0.3">
      <c r="A71" s="58">
        <v>46182</v>
      </c>
      <c r="B71" s="59" t="s">
        <v>776</v>
      </c>
      <c r="C71" s="57">
        <v>1200000</v>
      </c>
      <c r="D71" s="57"/>
      <c r="E71" s="57"/>
      <c r="F71" s="60">
        <f>ПЛАТЕЖИ[[#This Row],[СЎМ]]+(ПЛАТЕЖИ[[#This Row],[ВАЛЮТА]]*ПЛАТЕЖИ[[#This Row],[КУРС]])</f>
        <v>1200000</v>
      </c>
      <c r="G71" s="59"/>
      <c r="H71" s="59"/>
      <c r="I71" s="165"/>
    </row>
    <row r="72" spans="1:9" ht="15" customHeight="1" x14ac:dyDescent="0.3">
      <c r="A72" s="58">
        <v>46182</v>
      </c>
      <c r="B72" s="59" t="s">
        <v>127</v>
      </c>
      <c r="C72" s="57">
        <v>2000000</v>
      </c>
      <c r="D72" s="57"/>
      <c r="E72" s="57"/>
      <c r="F72" s="60">
        <f>ПЛАТЕЖИ[[#This Row],[СЎМ]]+(ПЛАТЕЖИ[[#This Row],[ВАЛЮТА]]*ПЛАТЕЖИ[[#This Row],[КУРС]])</f>
        <v>2000000</v>
      </c>
      <c r="H72" s="59"/>
      <c r="I72" s="165"/>
    </row>
    <row r="73" spans="1:9" ht="15" customHeight="1" x14ac:dyDescent="0.3">
      <c r="A73" s="58">
        <v>46182</v>
      </c>
      <c r="B73" s="59" t="s">
        <v>828</v>
      </c>
      <c r="C73" s="57">
        <v>3099500</v>
      </c>
      <c r="D73" s="57"/>
      <c r="E73" s="57"/>
      <c r="F73" s="60">
        <f>ПЛАТЕЖИ[[#This Row],[СЎМ]]+(ПЛАТЕЖИ[[#This Row],[ВАЛЮТА]]*ПЛАТЕЖИ[[#This Row],[КУРС]])</f>
        <v>3099500</v>
      </c>
      <c r="G73" s="59"/>
      <c r="H73" s="59"/>
      <c r="I73" s="165"/>
    </row>
    <row r="74" spans="1:9" ht="15" customHeight="1" x14ac:dyDescent="0.3">
      <c r="A74" s="58">
        <v>46183</v>
      </c>
      <c r="B74" s="59" t="s">
        <v>170</v>
      </c>
      <c r="C74" s="57">
        <v>577000</v>
      </c>
      <c r="D74" s="57"/>
      <c r="E74" s="57"/>
      <c r="F74" s="60">
        <f>ПЛАТЕЖИ[[#This Row],[СЎМ]]+(ПЛАТЕЖИ[[#This Row],[ВАЛЮТА]]*ПЛАТЕЖИ[[#This Row],[КУРС]])</f>
        <v>577000</v>
      </c>
      <c r="G74" s="59"/>
      <c r="H74" s="59"/>
      <c r="I74" s="165"/>
    </row>
    <row r="75" spans="1:9" ht="15" customHeight="1" x14ac:dyDescent="0.3">
      <c r="A75" s="58">
        <v>46183</v>
      </c>
      <c r="B75" s="59" t="s">
        <v>827</v>
      </c>
      <c r="C75" s="57">
        <v>4284000</v>
      </c>
      <c r="D75" s="57"/>
      <c r="E75" s="57"/>
      <c r="F75" s="60">
        <f>ПЛАТЕЖИ[[#This Row],[СЎМ]]+(ПЛАТЕЖИ[[#This Row],[ВАЛЮТА]]*ПЛАТЕЖИ[[#This Row],[КУРС]])</f>
        <v>4284000</v>
      </c>
      <c r="G75" s="59"/>
      <c r="H75" s="59"/>
      <c r="I75" s="165"/>
    </row>
    <row r="76" spans="1:9" ht="15" customHeight="1" x14ac:dyDescent="0.3">
      <c r="A76" s="58">
        <v>46183</v>
      </c>
      <c r="B76" s="59" t="s">
        <v>296</v>
      </c>
      <c r="C76" s="57">
        <v>808000</v>
      </c>
      <c r="D76" s="57"/>
      <c r="E76" s="57"/>
      <c r="F76" s="60">
        <f>ПЛАТЕЖИ[[#This Row],[СЎМ]]+(ПЛАТЕЖИ[[#This Row],[ВАЛЮТА]]*ПЛАТЕЖИ[[#This Row],[КУРС]])</f>
        <v>808000</v>
      </c>
      <c r="G76" s="59"/>
      <c r="H76" s="47" t="s">
        <v>908</v>
      </c>
      <c r="I76" s="165"/>
    </row>
    <row r="77" spans="1:9" ht="15" customHeight="1" x14ac:dyDescent="0.3">
      <c r="A77" s="58">
        <v>46183</v>
      </c>
      <c r="B77" s="59" t="s">
        <v>807</v>
      </c>
      <c r="C77" s="57">
        <v>16814000</v>
      </c>
      <c r="D77" s="57"/>
      <c r="E77" s="57"/>
      <c r="F77" s="60">
        <f>ПЛАТЕЖИ[[#This Row],[СЎМ]]+(ПЛАТЕЖИ[[#This Row],[ВАЛЮТА]]*ПЛАТЕЖИ[[#This Row],[КУРС]])</f>
        <v>16814000</v>
      </c>
      <c r="G77" s="59"/>
      <c r="H77" s="59"/>
      <c r="I77" s="165"/>
    </row>
    <row r="78" spans="1:9" ht="15" customHeight="1" x14ac:dyDescent="0.3">
      <c r="A78" s="58">
        <v>46184</v>
      </c>
      <c r="B78" s="59" t="s">
        <v>526</v>
      </c>
      <c r="C78" s="57">
        <v>2683700</v>
      </c>
      <c r="D78" s="57"/>
      <c r="E78" s="57"/>
      <c r="F78" s="60">
        <f>ПЛАТЕЖИ[[#This Row],[СЎМ]]+(ПЛАТЕЖИ[[#This Row],[ВАЛЮТА]]*ПЛАТЕЖИ[[#This Row],[КУРС]])</f>
        <v>2683700</v>
      </c>
      <c r="G78" s="59"/>
      <c r="H78" s="59"/>
      <c r="I78" s="165"/>
    </row>
    <row r="79" spans="1:9" ht="15" customHeight="1" x14ac:dyDescent="0.3">
      <c r="A79" s="58">
        <v>46184</v>
      </c>
      <c r="B79" s="59" t="s">
        <v>915</v>
      </c>
      <c r="C79" s="57">
        <v>10232500</v>
      </c>
      <c r="D79" s="57"/>
      <c r="E79" s="57"/>
      <c r="F79" s="60">
        <f>ПЛАТЕЖИ[[#This Row],[СЎМ]]+(ПЛАТЕЖИ[[#This Row],[ВАЛЮТА]]*ПЛАТЕЖИ[[#This Row],[КУРС]])</f>
        <v>10232500</v>
      </c>
      <c r="G79" s="59"/>
      <c r="H79" s="47" t="s">
        <v>905</v>
      </c>
      <c r="I79" s="165"/>
    </row>
    <row r="80" spans="1:9" ht="15" customHeight="1" x14ac:dyDescent="0.3">
      <c r="A80" s="58">
        <v>46184</v>
      </c>
      <c r="B80" s="47" t="s">
        <v>336</v>
      </c>
      <c r="C80" s="57">
        <v>2320000</v>
      </c>
      <c r="D80" s="57"/>
      <c r="E80" s="57"/>
      <c r="F80" s="60">
        <f>ПЛАТЕЖИ[[#This Row],[СЎМ]]+(ПЛАТЕЖИ[[#This Row],[ВАЛЮТА]]*ПЛАТЕЖИ[[#This Row],[КУРС]])</f>
        <v>2320000</v>
      </c>
      <c r="H80" s="59"/>
      <c r="I80" s="165"/>
    </row>
    <row r="81" spans="1:9" ht="15" customHeight="1" x14ac:dyDescent="0.3">
      <c r="A81" s="58">
        <v>46185</v>
      </c>
      <c r="B81" s="59" t="s">
        <v>496</v>
      </c>
      <c r="C81" s="57">
        <v>1041900</v>
      </c>
      <c r="D81" s="57"/>
      <c r="E81" s="57"/>
      <c r="F81" s="60">
        <f>ПЛАТЕЖИ[[#This Row],[СЎМ]]+(ПЛАТЕЖИ[[#This Row],[ВАЛЮТА]]*ПЛАТЕЖИ[[#This Row],[КУРС]])</f>
        <v>1041900</v>
      </c>
      <c r="H81" s="59"/>
      <c r="I81" s="165"/>
    </row>
    <row r="82" spans="1:9" ht="15" customHeight="1" x14ac:dyDescent="0.3">
      <c r="A82" s="58">
        <v>46185</v>
      </c>
      <c r="B82" s="59" t="s">
        <v>373</v>
      </c>
      <c r="C82" s="57">
        <v>2028600</v>
      </c>
      <c r="D82" s="57"/>
      <c r="E82" s="57"/>
      <c r="F82" s="60">
        <f>ПЛАТЕЖИ[[#This Row],[СЎМ]]+(ПЛАТЕЖИ[[#This Row],[ВАЛЮТА]]*ПЛАТЕЖИ[[#This Row],[КУРС]])</f>
        <v>2028600</v>
      </c>
      <c r="H82" s="59"/>
      <c r="I82" s="165"/>
    </row>
    <row r="83" spans="1:9" ht="15" customHeight="1" x14ac:dyDescent="0.3">
      <c r="A83" s="58">
        <v>46185</v>
      </c>
      <c r="B83" s="47" t="s">
        <v>319</v>
      </c>
      <c r="C83" s="57">
        <v>14787516</v>
      </c>
      <c r="D83" s="57"/>
      <c r="E83" s="57"/>
      <c r="F83" s="60">
        <f>ПЛАТЕЖИ[[#This Row],[СЎМ]]+(ПЛАТЕЖИ[[#This Row],[ВАЛЮТА]]*ПЛАТЕЖИ[[#This Row],[КУРС]])</f>
        <v>14787516</v>
      </c>
      <c r="H83" s="47" t="s">
        <v>905</v>
      </c>
      <c r="I83" s="165"/>
    </row>
    <row r="84" spans="1:9" ht="15" customHeight="1" x14ac:dyDescent="0.3">
      <c r="A84" s="58">
        <v>46185</v>
      </c>
      <c r="B84" s="47" t="s">
        <v>319</v>
      </c>
      <c r="C84" s="57">
        <v>9341257</v>
      </c>
      <c r="D84" s="57"/>
      <c r="E84" s="57"/>
      <c r="F84" s="60">
        <f>ПЛАТЕЖИ[[#This Row],[СЎМ]]+(ПЛАТЕЖИ[[#This Row],[ВАЛЮТА]]*ПЛАТЕЖИ[[#This Row],[КУРС]])</f>
        <v>9341257</v>
      </c>
      <c r="H84" s="47" t="s">
        <v>905</v>
      </c>
      <c r="I84" s="165"/>
    </row>
    <row r="85" spans="1:9" ht="15" customHeight="1" x14ac:dyDescent="0.3">
      <c r="A85" s="58">
        <v>46186</v>
      </c>
      <c r="B85" s="47" t="s">
        <v>793</v>
      </c>
      <c r="C85" s="57">
        <v>3000000</v>
      </c>
      <c r="D85" s="57"/>
      <c r="E85" s="57"/>
      <c r="F85" s="60">
        <f>ПЛАТЕЖИ[[#This Row],[СЎМ]]+(ПЛАТЕЖИ[[#This Row],[ВАЛЮТА]]*ПЛАТЕЖИ[[#This Row],[КУРС]])</f>
        <v>3000000</v>
      </c>
      <c r="H85" s="47" t="s">
        <v>906</v>
      </c>
      <c r="I85" s="165"/>
    </row>
    <row r="86" spans="1:9" ht="15" customHeight="1" x14ac:dyDescent="0.3">
      <c r="A86" s="58">
        <v>46186</v>
      </c>
      <c r="B86" s="59" t="s">
        <v>793</v>
      </c>
      <c r="C86" s="57">
        <v>2115000</v>
      </c>
      <c r="D86" s="57"/>
      <c r="E86" s="57"/>
      <c r="F86" s="60">
        <f>ПЛАТЕЖИ[[#This Row],[СЎМ]]+(ПЛАТЕЖИ[[#This Row],[ВАЛЮТА]]*ПЛАТЕЖИ[[#This Row],[КУРС]])</f>
        <v>2115000</v>
      </c>
      <c r="H86" s="47" t="s">
        <v>906</v>
      </c>
      <c r="I86" s="165"/>
    </row>
    <row r="87" spans="1:9" ht="15" customHeight="1" x14ac:dyDescent="0.3">
      <c r="A87" s="58">
        <v>46186</v>
      </c>
      <c r="B87" s="47" t="s">
        <v>764</v>
      </c>
      <c r="C87" s="57">
        <v>700000</v>
      </c>
      <c r="D87" s="57"/>
      <c r="E87" s="57"/>
      <c r="F87" s="60">
        <f>ПЛАТЕЖИ[[#This Row],[СЎМ]]+(ПЛАТЕЖИ[[#This Row],[ВАЛЮТА]]*ПЛАТЕЖИ[[#This Row],[КУРС]])</f>
        <v>700000</v>
      </c>
      <c r="H87" s="59"/>
      <c r="I87" s="165"/>
    </row>
    <row r="88" spans="1:9" ht="15" customHeight="1" x14ac:dyDescent="0.3">
      <c r="A88" s="58">
        <v>46186</v>
      </c>
      <c r="B88" s="47" t="s">
        <v>900</v>
      </c>
      <c r="C88" s="57">
        <v>2109600</v>
      </c>
      <c r="D88" s="57"/>
      <c r="E88" s="57"/>
      <c r="F88" s="60">
        <f>ПЛАТЕЖИ[[#This Row],[СЎМ]]+(ПЛАТЕЖИ[[#This Row],[ВАЛЮТА]]*ПЛАТЕЖИ[[#This Row],[КУРС]])</f>
        <v>2109600</v>
      </c>
      <c r="H88" s="59"/>
      <c r="I88" s="165"/>
    </row>
    <row r="89" spans="1:9" ht="15" customHeight="1" x14ac:dyDescent="0.3">
      <c r="A89" s="137">
        <v>46186</v>
      </c>
      <c r="B89" s="136" t="s">
        <v>318</v>
      </c>
      <c r="C89" s="132">
        <v>1890200</v>
      </c>
      <c r="D89" s="132"/>
      <c r="E89" s="132"/>
      <c r="F89" s="60">
        <f>ПЛАТЕЖИ[[#This Row],[СЎМ]]+(ПЛАТЕЖИ[[#This Row],[ВАЛЮТА]]*ПЛАТЕЖИ[[#This Row],[КУРС]])</f>
        <v>1890200</v>
      </c>
      <c r="G89" s="136"/>
      <c r="H89" s="136"/>
      <c r="I89" s="165"/>
    </row>
    <row r="90" spans="1:9" ht="15" customHeight="1" x14ac:dyDescent="0.3">
      <c r="A90" s="58">
        <v>46186</v>
      </c>
      <c r="B90" s="59" t="s">
        <v>246</v>
      </c>
      <c r="C90" s="57">
        <v>2036000</v>
      </c>
      <c r="D90" s="57"/>
      <c r="E90" s="57"/>
      <c r="F90" s="60">
        <f>ПЛАТЕЖИ[[#This Row],[СЎМ]]+(ПЛАТЕЖИ[[#This Row],[ВАЛЮТА]]*ПЛАТЕЖИ[[#This Row],[КУРС]])</f>
        <v>2036000</v>
      </c>
      <c r="H90" s="59"/>
      <c r="I90" s="165"/>
    </row>
    <row r="91" spans="1:9" ht="15" customHeight="1" x14ac:dyDescent="0.3">
      <c r="A91" s="58">
        <v>46186</v>
      </c>
      <c r="B91" s="59" t="s">
        <v>921</v>
      </c>
      <c r="C91" s="57">
        <v>2848200</v>
      </c>
      <c r="D91" s="57"/>
      <c r="E91" s="57"/>
      <c r="F91" s="60">
        <f>ПЛАТЕЖИ[[#This Row],[СЎМ]]+(ПЛАТЕЖИ[[#This Row],[ВАЛЮТА]]*ПЛАТЕЖИ[[#This Row],[КУРС]])</f>
        <v>2848200</v>
      </c>
      <c r="H91" s="59"/>
      <c r="I91" s="165"/>
    </row>
    <row r="92" spans="1:9" ht="15" customHeight="1" x14ac:dyDescent="0.3">
      <c r="A92" s="58">
        <v>46186</v>
      </c>
      <c r="B92" s="59" t="s">
        <v>469</v>
      </c>
      <c r="C92" s="57">
        <v>2000000</v>
      </c>
      <c r="D92" s="57"/>
      <c r="E92" s="57"/>
      <c r="F92" s="60">
        <f>ПЛАТЕЖИ[[#This Row],[СЎМ]]+(ПЛАТЕЖИ[[#This Row],[ВАЛЮТА]]*ПЛАТЕЖИ[[#This Row],[КУРС]])</f>
        <v>2000000</v>
      </c>
      <c r="H92" s="59"/>
      <c r="I92" s="165"/>
    </row>
    <row r="93" spans="1:9" ht="15" customHeight="1" x14ac:dyDescent="0.3">
      <c r="A93" s="81">
        <v>46186</v>
      </c>
      <c r="B93" s="82" t="s">
        <v>82</v>
      </c>
      <c r="C93" s="80">
        <v>2660000</v>
      </c>
      <c r="D93" s="80"/>
      <c r="E93" s="80"/>
      <c r="F93" s="60">
        <f>ПЛАТЕЖИ[[#This Row],[СЎМ]]+(ПЛАТЕЖИ[[#This Row],[ВАЛЮТА]]*ПЛАТЕЖИ[[#This Row],[КУРС]])</f>
        <v>2660000</v>
      </c>
      <c r="G93" s="82"/>
      <c r="H93" s="47" t="s">
        <v>906</v>
      </c>
      <c r="I93" s="165"/>
    </row>
    <row r="94" spans="1:9" ht="15" customHeight="1" x14ac:dyDescent="0.3">
      <c r="A94" s="58">
        <v>46187</v>
      </c>
      <c r="B94" s="59" t="s">
        <v>670</v>
      </c>
      <c r="C94" s="57">
        <v>1022000</v>
      </c>
      <c r="D94" s="57"/>
      <c r="E94" s="57"/>
      <c r="F94" s="60">
        <f>ПЛАТЕЖИ[[#This Row],[СЎМ]]+(ПЛАТЕЖИ[[#This Row],[ВАЛЮТА]]*ПЛАТЕЖИ[[#This Row],[КУРС]])</f>
        <v>1022000</v>
      </c>
      <c r="H94" s="59"/>
      <c r="I94" s="165"/>
    </row>
    <row r="95" spans="1:9" ht="15" customHeight="1" x14ac:dyDescent="0.3">
      <c r="A95" s="81">
        <v>46187</v>
      </c>
      <c r="B95" s="82" t="s">
        <v>683</v>
      </c>
      <c r="C95" s="80">
        <v>976800</v>
      </c>
      <c r="D95" s="80"/>
      <c r="E95" s="80"/>
      <c r="F95" s="60">
        <f>ПЛАТЕЖИ[[#This Row],[СЎМ]]+(ПЛАТЕЖИ[[#This Row],[ВАЛЮТА]]*ПЛАТЕЖИ[[#This Row],[КУРС]])</f>
        <v>976800</v>
      </c>
      <c r="G95" s="82"/>
      <c r="H95" s="82"/>
      <c r="I95" s="165"/>
    </row>
    <row r="96" spans="1:9" ht="15" customHeight="1" x14ac:dyDescent="0.3">
      <c r="A96" s="81">
        <v>46187</v>
      </c>
      <c r="B96" s="82" t="s">
        <v>350</v>
      </c>
      <c r="C96" s="80">
        <v>600000</v>
      </c>
      <c r="D96" s="80"/>
      <c r="E96" s="80"/>
      <c r="F96" s="60">
        <f>ПЛАТЕЖИ[[#This Row],[СЎМ]]+(ПЛАТЕЖИ[[#This Row],[ВАЛЮТА]]*ПЛАТЕЖИ[[#This Row],[КУРС]])</f>
        <v>600000</v>
      </c>
      <c r="G96" s="82"/>
      <c r="H96" s="82"/>
      <c r="I96" s="165"/>
    </row>
    <row r="97" spans="1:9" ht="15" customHeight="1" x14ac:dyDescent="0.3">
      <c r="A97" s="81">
        <v>46187</v>
      </c>
      <c r="B97" s="82" t="s">
        <v>481</v>
      </c>
      <c r="C97" s="80">
        <v>796800</v>
      </c>
      <c r="D97" s="80"/>
      <c r="E97" s="80"/>
      <c r="F97" s="60">
        <f>ПЛАТЕЖИ[[#This Row],[СЎМ]]+(ПЛАТЕЖИ[[#This Row],[ВАЛЮТА]]*ПЛАТЕЖИ[[#This Row],[КУРС]])</f>
        <v>796800</v>
      </c>
      <c r="G97" s="82"/>
      <c r="H97" s="82"/>
      <c r="I97" s="165"/>
    </row>
    <row r="98" spans="1:9" ht="15" customHeight="1" x14ac:dyDescent="0.3">
      <c r="A98" s="58">
        <v>46187</v>
      </c>
      <c r="B98" s="47" t="s">
        <v>742</v>
      </c>
      <c r="C98" s="57"/>
      <c r="D98" s="57">
        <v>100</v>
      </c>
      <c r="E98" s="57">
        <v>12000</v>
      </c>
      <c r="F98" s="60">
        <f>ПЛАТЕЖИ[[#This Row],[СЎМ]]+(ПЛАТЕЖИ[[#This Row],[ВАЛЮТА]]*ПЛАТЕЖИ[[#This Row],[КУРС]])</f>
        <v>1200000</v>
      </c>
      <c r="H98" s="59"/>
      <c r="I98" s="165"/>
    </row>
    <row r="99" spans="1:9" ht="15" customHeight="1" x14ac:dyDescent="0.3">
      <c r="A99" s="58">
        <v>46187</v>
      </c>
      <c r="B99" s="47" t="s">
        <v>414</v>
      </c>
      <c r="C99" s="57">
        <v>1000000</v>
      </c>
      <c r="D99" s="57"/>
      <c r="E99" s="57"/>
      <c r="F99" s="60">
        <f>ПЛАТЕЖИ[[#This Row],[СЎМ]]+(ПЛАТЕЖИ[[#This Row],[ВАЛЮТА]]*ПЛАТЕЖИ[[#This Row],[КУРС]])</f>
        <v>1000000</v>
      </c>
      <c r="H99" s="59"/>
      <c r="I99" s="165"/>
    </row>
    <row r="100" spans="1:9" ht="15" customHeight="1" x14ac:dyDescent="0.3">
      <c r="A100" s="58">
        <v>46187</v>
      </c>
      <c r="B100" s="47" t="s">
        <v>129</v>
      </c>
      <c r="C100" s="57">
        <v>520000</v>
      </c>
      <c r="D100" s="57">
        <v>100</v>
      </c>
      <c r="E100" s="57">
        <v>12000</v>
      </c>
      <c r="F100" s="60">
        <f>ПЛАТЕЖИ[[#This Row],[СЎМ]]+(ПЛАТЕЖИ[[#This Row],[ВАЛЮТА]]*ПЛАТЕЖИ[[#This Row],[КУРС]])</f>
        <v>1720000</v>
      </c>
      <c r="H100" s="59"/>
      <c r="I100" s="165"/>
    </row>
    <row r="101" spans="1:9" ht="15" customHeight="1" x14ac:dyDescent="0.3">
      <c r="A101" s="58">
        <v>46187</v>
      </c>
      <c r="B101" s="47" t="s">
        <v>415</v>
      </c>
      <c r="C101" s="57">
        <v>862600</v>
      </c>
      <c r="D101" s="57"/>
      <c r="E101" s="57"/>
      <c r="F101" s="60">
        <f>ПЛАТЕЖИ[[#This Row],[СЎМ]]+(ПЛАТЕЖИ[[#This Row],[ВАЛЮТА]]*ПЛАТЕЖИ[[#This Row],[КУРС]])</f>
        <v>862600</v>
      </c>
      <c r="H101" s="59"/>
      <c r="I101" s="165"/>
    </row>
    <row r="102" spans="1:9" ht="15" customHeight="1" x14ac:dyDescent="0.3">
      <c r="A102" s="58">
        <v>46187</v>
      </c>
      <c r="B102" s="59" t="s">
        <v>777</v>
      </c>
      <c r="C102" s="57">
        <v>1084000</v>
      </c>
      <c r="D102" s="57"/>
      <c r="E102" s="57"/>
      <c r="F102" s="60">
        <f>ПЛАТЕЖИ[[#This Row],[СЎМ]]+(ПЛАТЕЖИ[[#This Row],[ВАЛЮТА]]*ПЛАТЕЖИ[[#This Row],[КУРС]])</f>
        <v>1084000</v>
      </c>
      <c r="H102" s="47" t="s">
        <v>906</v>
      </c>
      <c r="I102" s="165"/>
    </row>
    <row r="103" spans="1:9" ht="15" customHeight="1" x14ac:dyDescent="0.3">
      <c r="A103" s="58">
        <v>46187</v>
      </c>
      <c r="B103" s="59" t="s">
        <v>296</v>
      </c>
      <c r="C103" s="57">
        <v>1071800</v>
      </c>
      <c r="D103" s="57"/>
      <c r="E103" s="57"/>
      <c r="F103" s="60">
        <f>ПЛАТЕЖИ[[#This Row],[СЎМ]]+(ПЛАТЕЖИ[[#This Row],[ВАЛЮТА]]*ПЛАТЕЖИ[[#This Row],[КУРС]])</f>
        <v>1071800</v>
      </c>
      <c r="H103" s="47" t="s">
        <v>905</v>
      </c>
      <c r="I103" s="165"/>
    </row>
    <row r="104" spans="1:9" ht="15" customHeight="1" x14ac:dyDescent="0.3">
      <c r="A104" s="58">
        <v>46187</v>
      </c>
      <c r="B104" s="59" t="s">
        <v>884</v>
      </c>
      <c r="C104" s="57">
        <v>11105550</v>
      </c>
      <c r="D104" s="57"/>
      <c r="E104" s="57"/>
      <c r="F104" s="60">
        <f>ПЛАТЕЖИ[[#This Row],[СЎМ]]+(ПЛАТЕЖИ[[#This Row],[ВАЛЮТА]]*ПЛАТЕЖИ[[#This Row],[КУРС]])</f>
        <v>11105550</v>
      </c>
      <c r="H104" s="47" t="s">
        <v>906</v>
      </c>
      <c r="I104" s="165"/>
    </row>
    <row r="105" spans="1:9" ht="15" customHeight="1" x14ac:dyDescent="0.3">
      <c r="A105" s="58">
        <v>46187</v>
      </c>
      <c r="B105" s="47" t="s">
        <v>82</v>
      </c>
      <c r="C105" s="57">
        <v>933000</v>
      </c>
      <c r="D105" s="57"/>
      <c r="E105" s="57"/>
      <c r="F105" s="60">
        <f>ПЛАТЕЖИ[[#This Row],[СЎМ]]+(ПЛАТЕЖИ[[#This Row],[ВАЛЮТА]]*ПЛАТЕЖИ[[#This Row],[КУРС]])</f>
        <v>933000</v>
      </c>
      <c r="H105" s="47" t="s">
        <v>906</v>
      </c>
      <c r="I105" s="165"/>
    </row>
    <row r="106" spans="1:9" ht="15" customHeight="1" x14ac:dyDescent="0.3">
      <c r="A106" s="58">
        <v>46187</v>
      </c>
      <c r="B106" s="47" t="s">
        <v>793</v>
      </c>
      <c r="C106" s="57">
        <v>800000</v>
      </c>
      <c r="D106" s="57"/>
      <c r="E106" s="57"/>
      <c r="F106" s="60">
        <f>ПЛАТЕЖИ[[#This Row],[СЎМ]]+(ПЛАТЕЖИ[[#This Row],[ВАЛЮТА]]*ПЛАТЕЖИ[[#This Row],[КУРС]])</f>
        <v>800000</v>
      </c>
      <c r="H106" s="47" t="s">
        <v>906</v>
      </c>
      <c r="I106" s="165"/>
    </row>
    <row r="107" spans="1:9" ht="15" customHeight="1" x14ac:dyDescent="0.3">
      <c r="A107" s="58">
        <v>46187</v>
      </c>
      <c r="B107" s="59" t="s">
        <v>377</v>
      </c>
      <c r="C107" s="57">
        <v>500000</v>
      </c>
      <c r="D107" s="57"/>
      <c r="E107" s="57"/>
      <c r="F107" s="60">
        <f>ПЛАТЕЖИ[[#This Row],[СЎМ]]+(ПЛАТЕЖИ[[#This Row],[ВАЛЮТА]]*ПЛАТЕЖИ[[#This Row],[КУРС]])</f>
        <v>500000</v>
      </c>
      <c r="H107" s="47" t="s">
        <v>906</v>
      </c>
      <c r="I107" s="165"/>
    </row>
    <row r="108" spans="1:9" ht="15" customHeight="1" x14ac:dyDescent="0.3">
      <c r="A108" s="286">
        <v>46188</v>
      </c>
      <c r="B108" s="287" t="s">
        <v>552</v>
      </c>
      <c r="C108" s="288">
        <v>38013000</v>
      </c>
      <c r="D108" s="288"/>
      <c r="E108" s="288"/>
      <c r="F108" s="289">
        <f>ПЛАТЕЖИ[[#This Row],[СЎМ]]+(ПЛАТЕЖИ[[#This Row],[ВАЛЮТА]]*ПЛАТЕЖИ[[#This Row],[КУРС]])</f>
        <v>38013000</v>
      </c>
      <c r="G108" s="287"/>
      <c r="H108" s="287" t="s">
        <v>908</v>
      </c>
      <c r="I108" s="287"/>
    </row>
    <row r="109" spans="1:9" ht="15" customHeight="1" x14ac:dyDescent="0.3">
      <c r="A109" s="286">
        <v>46188</v>
      </c>
      <c r="B109" s="287" t="s">
        <v>558</v>
      </c>
      <c r="C109" s="288">
        <v>17320000</v>
      </c>
      <c r="D109" s="288"/>
      <c r="E109" s="288"/>
      <c r="F109" s="289">
        <f>ПЛАТЕЖИ[[#This Row],[СЎМ]]+(ПЛАТЕЖИ[[#This Row],[ВАЛЮТА]]*ПЛАТЕЖИ[[#This Row],[КУРС]])</f>
        <v>17320000</v>
      </c>
      <c r="G109" s="287"/>
      <c r="H109" s="287" t="s">
        <v>908</v>
      </c>
      <c r="I109" s="287"/>
    </row>
    <row r="110" spans="1:9" ht="15" customHeight="1" x14ac:dyDescent="0.3">
      <c r="A110" s="286">
        <v>46188</v>
      </c>
      <c r="B110" s="287" t="s">
        <v>807</v>
      </c>
      <c r="C110" s="288">
        <v>13460000</v>
      </c>
      <c r="D110" s="288"/>
      <c r="E110" s="288"/>
      <c r="F110" s="289">
        <f>ПЛАТЕЖИ[[#This Row],[СЎМ]]+(ПЛАТЕЖИ[[#This Row],[ВАЛЮТА]]*ПЛАТЕЖИ[[#This Row],[КУРС]])</f>
        <v>13460000</v>
      </c>
      <c r="G110" s="287"/>
      <c r="H110" s="287" t="s">
        <v>906</v>
      </c>
      <c r="I110" s="287"/>
    </row>
    <row r="111" spans="1:9" ht="15" customHeight="1" x14ac:dyDescent="0.3">
      <c r="A111" s="286">
        <v>46188</v>
      </c>
      <c r="B111" s="287" t="s">
        <v>737</v>
      </c>
      <c r="C111" s="288">
        <v>15000000</v>
      </c>
      <c r="D111" s="288"/>
      <c r="E111" s="288"/>
      <c r="F111" s="289">
        <f>ПЛАТЕЖИ[[#This Row],[СЎМ]]+(ПЛАТЕЖИ[[#This Row],[ВАЛЮТА]]*ПЛАТЕЖИ[[#This Row],[КУРС]])</f>
        <v>15000000</v>
      </c>
      <c r="G111" s="287"/>
      <c r="H111" s="287" t="s">
        <v>908</v>
      </c>
      <c r="I111" s="287"/>
    </row>
    <row r="112" spans="1:9" ht="15" customHeight="1" x14ac:dyDescent="0.3">
      <c r="A112" s="286">
        <v>46188</v>
      </c>
      <c r="B112" s="287" t="s">
        <v>547</v>
      </c>
      <c r="C112" s="288">
        <v>1655000</v>
      </c>
      <c r="D112" s="288"/>
      <c r="E112" s="288"/>
      <c r="F112" s="289">
        <f>ПЛАТЕЖИ[[#This Row],[СЎМ]]+(ПЛАТЕЖИ[[#This Row],[ВАЛЮТА]]*ПЛАТЕЖИ[[#This Row],[КУРС]])</f>
        <v>1655000</v>
      </c>
      <c r="G112" s="287"/>
      <c r="H112" s="287"/>
      <c r="I112" s="287"/>
    </row>
    <row r="113" spans="1:9" ht="15" customHeight="1" x14ac:dyDescent="0.3">
      <c r="A113" s="286">
        <v>46188</v>
      </c>
      <c r="B113" s="287" t="s">
        <v>776</v>
      </c>
      <c r="C113" s="288">
        <v>500000</v>
      </c>
      <c r="D113" s="288"/>
      <c r="E113" s="288"/>
      <c r="F113" s="289">
        <f>ПЛАТЕЖИ[[#This Row],[СЎМ]]+(ПЛАТЕЖИ[[#This Row],[ВАЛЮТА]]*ПЛАТЕЖИ[[#This Row],[КУРС]])</f>
        <v>500000</v>
      </c>
      <c r="G113" s="287"/>
      <c r="H113" s="287"/>
      <c r="I113" s="287"/>
    </row>
    <row r="114" spans="1:9" ht="15" customHeight="1" x14ac:dyDescent="0.3">
      <c r="A114" s="58">
        <v>46190</v>
      </c>
      <c r="B114" s="47" t="s">
        <v>681</v>
      </c>
      <c r="C114" s="57">
        <v>50000000</v>
      </c>
      <c r="D114" s="57"/>
      <c r="E114" s="57"/>
      <c r="F114" s="60">
        <f>ПЛАТЕЖИ[[#This Row],[СЎМ]]+(ПЛАТЕЖИ[[#This Row],[ВАЛЮТА]]*ПЛАТЕЖИ[[#This Row],[КУРС]])</f>
        <v>50000000</v>
      </c>
      <c r="H114" s="47" t="s">
        <v>905</v>
      </c>
      <c r="I114" s="165"/>
    </row>
    <row r="115" spans="1:9" ht="15" customHeight="1" x14ac:dyDescent="0.3">
      <c r="A115" s="58">
        <v>46190</v>
      </c>
      <c r="B115" s="47" t="s">
        <v>150</v>
      </c>
      <c r="C115" s="57">
        <v>2205700</v>
      </c>
      <c r="D115" s="57"/>
      <c r="E115" s="57"/>
      <c r="F115" s="60">
        <f>ПЛАТЕЖИ[[#This Row],[СЎМ]]+(ПЛАТЕЖИ[[#This Row],[ВАЛЮТА]]*ПЛАТЕЖИ[[#This Row],[КУРС]])</f>
        <v>2205700</v>
      </c>
      <c r="H115" s="47" t="s">
        <v>905</v>
      </c>
      <c r="I115" s="165"/>
    </row>
    <row r="116" spans="1:9" ht="15" customHeight="1" x14ac:dyDescent="0.3">
      <c r="A116" s="58">
        <v>46190</v>
      </c>
      <c r="B116" s="47" t="s">
        <v>827</v>
      </c>
      <c r="C116" s="57">
        <v>8000000</v>
      </c>
      <c r="D116" s="57"/>
      <c r="E116" s="57"/>
      <c r="F116" s="60">
        <f>ПЛАТЕЖИ[[#This Row],[СЎМ]]+(ПЛАТЕЖИ[[#This Row],[ВАЛЮТА]]*ПЛАТЕЖИ[[#This Row],[КУРС]])</f>
        <v>8000000</v>
      </c>
      <c r="H116" s="47" t="s">
        <v>906</v>
      </c>
      <c r="I116" s="165"/>
    </row>
    <row r="117" spans="1:9" ht="15" customHeight="1" x14ac:dyDescent="0.3">
      <c r="A117" s="58">
        <v>46190</v>
      </c>
      <c r="B117" s="59" t="s">
        <v>793</v>
      </c>
      <c r="C117" s="57">
        <v>10000000</v>
      </c>
      <c r="D117" s="57"/>
      <c r="E117" s="57"/>
      <c r="F117" s="60">
        <f>ПЛАТЕЖИ[[#This Row],[СЎМ]]+(ПЛАТЕЖИ[[#This Row],[ВАЛЮТА]]*ПЛАТЕЖИ[[#This Row],[КУРС]])</f>
        <v>10000000</v>
      </c>
      <c r="H117" s="47" t="s">
        <v>906</v>
      </c>
      <c r="I117" s="165"/>
    </row>
    <row r="118" spans="1:9" ht="15" customHeight="1" x14ac:dyDescent="0.3">
      <c r="A118" s="81">
        <v>46190</v>
      </c>
      <c r="B118" s="82" t="s">
        <v>73</v>
      </c>
      <c r="C118" s="80">
        <v>76000</v>
      </c>
      <c r="D118" s="80">
        <v>200</v>
      </c>
      <c r="E118" s="80">
        <v>12000</v>
      </c>
      <c r="F118" s="60">
        <f>ПЛАТЕЖИ[[#This Row],[СЎМ]]+(ПЛАТЕЖИ[[#This Row],[ВАЛЮТА]]*ПЛАТЕЖИ[[#This Row],[КУРС]])</f>
        <v>2476000</v>
      </c>
      <c r="G118" s="82"/>
      <c r="H118" s="82"/>
      <c r="I118" s="165"/>
    </row>
    <row r="119" spans="1:9" ht="15" customHeight="1" x14ac:dyDescent="0.3">
      <c r="A119" s="55">
        <v>46190</v>
      </c>
      <c r="B119" s="47" t="s">
        <v>72</v>
      </c>
      <c r="C119" s="44">
        <v>700000</v>
      </c>
      <c r="F119" s="60">
        <f>ПЛАТЕЖИ[[#This Row],[СЎМ]]+(ПЛАТЕЖИ[[#This Row],[ВАЛЮТА]]*ПЛАТЕЖИ[[#This Row],[КУРС]])</f>
        <v>700000</v>
      </c>
      <c r="H119" s="47" t="s">
        <v>906</v>
      </c>
      <c r="I119" s="165"/>
    </row>
    <row r="120" spans="1:9" ht="15" customHeight="1" x14ac:dyDescent="0.3">
      <c r="A120" s="81">
        <v>46190</v>
      </c>
      <c r="B120" s="82" t="s">
        <v>636</v>
      </c>
      <c r="C120" s="80">
        <v>7787000</v>
      </c>
      <c r="D120" s="80"/>
      <c r="E120" s="80"/>
      <c r="F120" s="60">
        <f>ПЛАТЕЖИ[[#This Row],[СЎМ]]+(ПЛАТЕЖИ[[#This Row],[ВАЛЮТА]]*ПЛАТЕЖИ[[#This Row],[КУРС]])</f>
        <v>7787000</v>
      </c>
      <c r="G120" s="82"/>
      <c r="H120" s="82"/>
      <c r="I120" s="165"/>
    </row>
    <row r="121" spans="1:9" ht="15" customHeight="1" x14ac:dyDescent="0.3">
      <c r="A121" s="58">
        <v>46190</v>
      </c>
      <c r="B121" s="59" t="s">
        <v>507</v>
      </c>
      <c r="C121" s="57">
        <v>1040000</v>
      </c>
      <c r="D121" s="57"/>
      <c r="E121" s="57"/>
      <c r="F121" s="60">
        <f>ПЛАТЕЖИ[[#This Row],[СЎМ]]+(ПЛАТЕЖИ[[#This Row],[ВАЛЮТА]]*ПЛАТЕЖИ[[#This Row],[КУРС]])</f>
        <v>1040000</v>
      </c>
      <c r="H121" s="59"/>
      <c r="I121" s="165"/>
    </row>
    <row r="122" spans="1:9" ht="15" customHeight="1" x14ac:dyDescent="0.3">
      <c r="A122" s="58">
        <v>46190</v>
      </c>
      <c r="B122" s="47" t="s">
        <v>486</v>
      </c>
      <c r="C122" s="57">
        <v>1124200</v>
      </c>
      <c r="D122" s="57"/>
      <c r="E122" s="57"/>
      <c r="F122" s="60">
        <f>ПЛАТЕЖИ[[#This Row],[СЎМ]]+(ПЛАТЕЖИ[[#This Row],[ВАЛЮТА]]*ПЛАТЕЖИ[[#This Row],[КУРС]])</f>
        <v>1124200</v>
      </c>
      <c r="H122" s="59"/>
      <c r="I122" s="165"/>
    </row>
    <row r="123" spans="1:9" ht="15" customHeight="1" x14ac:dyDescent="0.3">
      <c r="A123" s="58">
        <v>46190</v>
      </c>
      <c r="B123" s="59" t="s">
        <v>520</v>
      </c>
      <c r="C123" s="57">
        <v>1000000</v>
      </c>
      <c r="D123" s="57"/>
      <c r="E123" s="57"/>
      <c r="F123" s="60">
        <f>ПЛАТЕЖИ[[#This Row],[СЎМ]]+(ПЛАТЕЖИ[[#This Row],[ВАЛЮТА]]*ПЛАТЕЖИ[[#This Row],[КУРС]])</f>
        <v>1000000</v>
      </c>
      <c r="H123" s="59"/>
      <c r="I123" s="165"/>
    </row>
    <row r="124" spans="1:9" ht="15" customHeight="1" x14ac:dyDescent="0.3">
      <c r="A124" s="58">
        <v>46190</v>
      </c>
      <c r="B124" s="47" t="s">
        <v>206</v>
      </c>
      <c r="C124" s="57">
        <v>1670000</v>
      </c>
      <c r="D124" s="57"/>
      <c r="E124" s="57"/>
      <c r="F124" s="60">
        <f>ПЛАТЕЖИ[[#This Row],[СЎМ]]+(ПЛАТЕЖИ[[#This Row],[ВАЛЮТА]]*ПЛАТЕЖИ[[#This Row],[КУРС]])</f>
        <v>1670000</v>
      </c>
      <c r="H124" s="59"/>
      <c r="I124" s="165"/>
    </row>
    <row r="125" spans="1:9" ht="15" customHeight="1" x14ac:dyDescent="0.3">
      <c r="A125" s="58">
        <v>46190</v>
      </c>
      <c r="B125" s="47" t="s">
        <v>105</v>
      </c>
      <c r="C125" s="57">
        <v>718000</v>
      </c>
      <c r="D125" s="57"/>
      <c r="E125" s="57"/>
      <c r="F125" s="60">
        <f>ПЛАТЕЖИ[[#This Row],[СЎМ]]+(ПЛАТЕЖИ[[#This Row],[ВАЛЮТА]]*ПЛАТЕЖИ[[#This Row],[КУРС]])</f>
        <v>718000</v>
      </c>
      <c r="H125" s="59"/>
      <c r="I125" s="165"/>
    </row>
    <row r="126" spans="1:9" ht="15" customHeight="1" x14ac:dyDescent="0.3">
      <c r="A126" s="58">
        <v>46191</v>
      </c>
      <c r="B126" s="59" t="s">
        <v>144</v>
      </c>
      <c r="C126" s="57">
        <v>3832500</v>
      </c>
      <c r="D126" s="57"/>
      <c r="E126" s="57"/>
      <c r="F126" s="60">
        <f>ПЛАТЕЖИ[[#This Row],[СЎМ]]+(ПЛАТЕЖИ[[#This Row],[ВАЛЮТА]]*ПЛАТЕЖИ[[#This Row],[КУРС]])</f>
        <v>3832500</v>
      </c>
      <c r="H126" s="59"/>
      <c r="I126" s="165"/>
    </row>
    <row r="127" spans="1:9" ht="15" customHeight="1" x14ac:dyDescent="0.3">
      <c r="A127" s="58">
        <v>46191</v>
      </c>
      <c r="B127" s="59" t="s">
        <v>206</v>
      </c>
      <c r="C127" s="57">
        <v>520000</v>
      </c>
      <c r="D127" s="57"/>
      <c r="E127" s="57"/>
      <c r="F127" s="60">
        <f>ПЛАТЕЖИ[[#This Row],[СЎМ]]+(ПЛАТЕЖИ[[#This Row],[ВАЛЮТА]]*ПЛАТЕЖИ[[#This Row],[КУРС]])</f>
        <v>520000</v>
      </c>
      <c r="H127" s="59"/>
      <c r="I127" s="165"/>
    </row>
    <row r="128" spans="1:9" ht="15" customHeight="1" x14ac:dyDescent="0.3">
      <c r="A128" s="58">
        <v>46191</v>
      </c>
      <c r="B128" s="47" t="s">
        <v>542</v>
      </c>
      <c r="C128" s="57">
        <v>10000000</v>
      </c>
      <c r="D128" s="57"/>
      <c r="E128" s="57"/>
      <c r="F128" s="60">
        <f>ПЛАТЕЖИ[[#This Row],[СЎМ]]+(ПЛАТЕЖИ[[#This Row],[ВАЛЮТА]]*ПЛАТЕЖИ[[#This Row],[КУРС]])</f>
        <v>10000000</v>
      </c>
      <c r="H128" s="59"/>
      <c r="I128" s="165"/>
    </row>
    <row r="129" spans="1:9" ht="15" customHeight="1" x14ac:dyDescent="0.3">
      <c r="A129" s="58">
        <v>46191</v>
      </c>
      <c r="B129" s="47" t="s">
        <v>70</v>
      </c>
      <c r="C129" s="57">
        <v>2215000</v>
      </c>
      <c r="D129" s="57"/>
      <c r="E129" s="57"/>
      <c r="F129" s="60">
        <f>ПЛАТЕЖИ[[#This Row],[СЎМ]]+(ПЛАТЕЖИ[[#This Row],[ВАЛЮТА]]*ПЛАТЕЖИ[[#This Row],[КУРС]])</f>
        <v>2215000</v>
      </c>
      <c r="H129" s="59"/>
      <c r="I129" s="165"/>
    </row>
    <row r="130" spans="1:9" ht="15" customHeight="1" x14ac:dyDescent="0.3">
      <c r="A130" s="81">
        <v>46191</v>
      </c>
      <c r="B130" s="82" t="s">
        <v>565</v>
      </c>
      <c r="C130" s="80"/>
      <c r="D130" s="80">
        <v>1000</v>
      </c>
      <c r="E130" s="80">
        <v>12000</v>
      </c>
      <c r="F130" s="60">
        <f>ПЛАТЕЖИ[[#This Row],[СЎМ]]+(ПЛАТЕЖИ[[#This Row],[ВАЛЮТА]]*ПЛАТЕЖИ[[#This Row],[КУРС]])</f>
        <v>12000000</v>
      </c>
      <c r="G130" s="82"/>
      <c r="H130" s="82"/>
      <c r="I130" s="165"/>
    </row>
    <row r="131" spans="1:9" ht="15" customHeight="1" x14ac:dyDescent="0.3">
      <c r="A131" s="81">
        <v>46191</v>
      </c>
      <c r="B131" s="82" t="s">
        <v>557</v>
      </c>
      <c r="C131" s="80">
        <v>14550000</v>
      </c>
      <c r="D131" s="80"/>
      <c r="E131" s="80"/>
      <c r="F131" s="60">
        <f>ПЛАТЕЖИ[[#This Row],[СЎМ]]+(ПЛАТЕЖИ[[#This Row],[ВАЛЮТА]]*ПЛАТЕЖИ[[#This Row],[КУРС]])</f>
        <v>14550000</v>
      </c>
      <c r="G131" s="82"/>
      <c r="H131" s="47" t="s">
        <v>908</v>
      </c>
      <c r="I131" s="290">
        <v>-0.03</v>
      </c>
    </row>
    <row r="132" spans="1:9" ht="15" customHeight="1" x14ac:dyDescent="0.3">
      <c r="A132" s="81">
        <v>46191</v>
      </c>
      <c r="B132" s="82" t="s">
        <v>83</v>
      </c>
      <c r="C132" s="80">
        <v>22400000</v>
      </c>
      <c r="D132" s="80"/>
      <c r="E132" s="80"/>
      <c r="F132" s="60">
        <f>ПЛАТЕЖИ[[#This Row],[СЎМ]]+(ПЛАТЕЖИ[[#This Row],[ВАЛЮТА]]*ПЛАТЕЖИ[[#This Row],[КУРС]])</f>
        <v>22400000</v>
      </c>
      <c r="G132" s="82"/>
      <c r="H132" s="47" t="s">
        <v>908</v>
      </c>
      <c r="I132" s="165"/>
    </row>
    <row r="133" spans="1:9" ht="15" customHeight="1" x14ac:dyDescent="0.3">
      <c r="A133" s="58">
        <v>46191</v>
      </c>
      <c r="B133" s="47" t="s">
        <v>353</v>
      </c>
      <c r="C133" s="57">
        <v>1000000</v>
      </c>
      <c r="D133" s="57"/>
      <c r="E133" s="57"/>
      <c r="F133" s="60">
        <f>ПЛАТЕЖИ[[#This Row],[СЎМ]]+(ПЛАТЕЖИ[[#This Row],[ВАЛЮТА]]*ПЛАТЕЖИ[[#This Row],[КУРС]])</f>
        <v>1000000</v>
      </c>
      <c r="H133" s="47" t="s">
        <v>908</v>
      </c>
      <c r="I133" s="165"/>
    </row>
    <row r="134" spans="1:9" ht="15" customHeight="1" x14ac:dyDescent="0.3">
      <c r="A134" s="58">
        <v>46191</v>
      </c>
      <c r="B134" s="59" t="s">
        <v>697</v>
      </c>
      <c r="C134" s="57">
        <v>25582100</v>
      </c>
      <c r="D134" s="57"/>
      <c r="E134" s="57"/>
      <c r="F134" s="60">
        <f>ПЛАТЕЖИ[[#This Row],[СЎМ]]+(ПЛАТЕЖИ[[#This Row],[ВАЛЮТА]]*ПЛАТЕЖИ[[#This Row],[КУРС]])</f>
        <v>25582100</v>
      </c>
      <c r="H134" s="47" t="s">
        <v>908</v>
      </c>
      <c r="I134" s="165"/>
    </row>
    <row r="135" spans="1:9" ht="15" customHeight="1" x14ac:dyDescent="0.3">
      <c r="A135" s="58">
        <v>46192</v>
      </c>
      <c r="B135" s="47" t="s">
        <v>206</v>
      </c>
      <c r="C135" s="57">
        <v>325200</v>
      </c>
      <c r="D135" s="57"/>
      <c r="E135" s="57"/>
      <c r="F135" s="60">
        <f>ПЛАТЕЖИ[[#This Row],[СЎМ]]+(ПЛАТЕЖИ[[#This Row],[ВАЛЮТА]]*ПЛАТЕЖИ[[#This Row],[КУРС]])</f>
        <v>325200</v>
      </c>
      <c r="H135" s="47" t="s">
        <v>906</v>
      </c>
      <c r="I135" s="165"/>
    </row>
    <row r="136" spans="1:9" ht="15" customHeight="1" x14ac:dyDescent="0.3">
      <c r="A136" s="58">
        <v>46192</v>
      </c>
      <c r="B136" s="59" t="s">
        <v>82</v>
      </c>
      <c r="C136" s="57">
        <v>417000</v>
      </c>
      <c r="D136" s="57"/>
      <c r="E136" s="57"/>
      <c r="F136" s="60">
        <f>ПЛАТЕЖИ[[#This Row],[СЎМ]]+(ПЛАТЕЖИ[[#This Row],[ВАЛЮТА]]*ПЛАТЕЖИ[[#This Row],[КУРС]])</f>
        <v>417000</v>
      </c>
      <c r="H136" s="47" t="s">
        <v>906</v>
      </c>
      <c r="I136" s="165"/>
    </row>
    <row r="137" spans="1:9" ht="15" customHeight="1" x14ac:dyDescent="0.3">
      <c r="A137" s="58">
        <v>46192</v>
      </c>
      <c r="B137" s="47" t="s">
        <v>491</v>
      </c>
      <c r="C137" s="57">
        <v>2103200</v>
      </c>
      <c r="D137" s="57"/>
      <c r="E137" s="57"/>
      <c r="F137" s="60">
        <f>ПЛАТЕЖИ[[#This Row],[СЎМ]]+(ПЛАТЕЖИ[[#This Row],[ВАЛЮТА]]*ПЛАТЕЖИ[[#This Row],[КУРС]])</f>
        <v>2103200</v>
      </c>
      <c r="H137" s="47" t="s">
        <v>906</v>
      </c>
      <c r="I137" s="165"/>
    </row>
    <row r="138" spans="1:9" ht="15" customHeight="1" x14ac:dyDescent="0.3">
      <c r="A138" s="58">
        <v>46192</v>
      </c>
      <c r="B138" s="59" t="s">
        <v>711</v>
      </c>
      <c r="C138" s="57">
        <v>397000</v>
      </c>
      <c r="D138" s="57"/>
      <c r="E138" s="57"/>
      <c r="F138" s="60">
        <f>ПЛАТЕЖИ[[#This Row],[СЎМ]]+(ПЛАТЕЖИ[[#This Row],[ВАЛЮТА]]*ПЛАТЕЖИ[[#This Row],[КУРС]])</f>
        <v>397000</v>
      </c>
      <c r="H138" s="47" t="s">
        <v>906</v>
      </c>
      <c r="I138" s="165"/>
    </row>
    <row r="139" spans="1:9" ht="15" customHeight="1" x14ac:dyDescent="0.3">
      <c r="A139" s="58">
        <v>46192</v>
      </c>
      <c r="B139" s="59" t="s">
        <v>738</v>
      </c>
      <c r="C139" s="57">
        <v>1400000</v>
      </c>
      <c r="D139" s="57"/>
      <c r="E139" s="57"/>
      <c r="F139" s="60">
        <f>ПЛАТЕЖИ[[#This Row],[СЎМ]]+(ПЛАТЕЖИ[[#This Row],[ВАЛЮТА]]*ПЛАТЕЖИ[[#This Row],[КУРС]])</f>
        <v>1400000</v>
      </c>
      <c r="H139" s="47" t="s">
        <v>906</v>
      </c>
      <c r="I139" s="165"/>
    </row>
    <row r="140" spans="1:9" ht="15" customHeight="1" x14ac:dyDescent="0.3">
      <c r="A140" s="58">
        <v>46192</v>
      </c>
      <c r="B140" s="59" t="s">
        <v>195</v>
      </c>
      <c r="C140" s="57">
        <v>2996300</v>
      </c>
      <c r="D140" s="57"/>
      <c r="E140" s="57"/>
      <c r="F140" s="60">
        <f>ПЛАТЕЖИ[[#This Row],[СЎМ]]+(ПЛАТЕЖИ[[#This Row],[ВАЛЮТА]]*ПЛАТЕЖИ[[#This Row],[КУРС]])</f>
        <v>2996300</v>
      </c>
      <c r="H140" s="47" t="s">
        <v>905</v>
      </c>
      <c r="I140" s="165"/>
    </row>
    <row r="141" spans="1:9" ht="15" customHeight="1" x14ac:dyDescent="0.3">
      <c r="A141" s="58">
        <v>46192</v>
      </c>
      <c r="B141" s="47" t="s">
        <v>1002</v>
      </c>
      <c r="C141" s="57">
        <v>805000</v>
      </c>
      <c r="D141" s="57"/>
      <c r="E141" s="57"/>
      <c r="F141" s="60">
        <f>ПЛАТЕЖИ[[#This Row],[СЎМ]]+(ПЛАТЕЖИ[[#This Row],[ВАЛЮТА]]*ПЛАТЕЖИ[[#This Row],[КУРС]])</f>
        <v>805000</v>
      </c>
      <c r="H141" s="47" t="s">
        <v>906</v>
      </c>
      <c r="I141" s="165"/>
    </row>
    <row r="142" spans="1:9" ht="15" customHeight="1" x14ac:dyDescent="0.3">
      <c r="A142" s="58">
        <v>46192</v>
      </c>
      <c r="B142" s="47" t="s">
        <v>425</v>
      </c>
      <c r="C142" s="57">
        <v>195000</v>
      </c>
      <c r="D142" s="57"/>
      <c r="E142" s="57"/>
      <c r="F142" s="60">
        <f>ПЛАТЕЖИ[[#This Row],[СЎМ]]+(ПЛАТЕЖИ[[#This Row],[ВАЛЮТА]]*ПЛАТЕЖИ[[#This Row],[КУРС]])</f>
        <v>195000</v>
      </c>
      <c r="H142" s="47" t="s">
        <v>906</v>
      </c>
      <c r="I142" s="165"/>
    </row>
    <row r="143" spans="1:9" ht="15" customHeight="1" x14ac:dyDescent="0.3">
      <c r="A143" s="58">
        <v>46192</v>
      </c>
      <c r="B143" s="47" t="s">
        <v>861</v>
      </c>
      <c r="C143" s="57">
        <v>1000000</v>
      </c>
      <c r="D143" s="57"/>
      <c r="E143" s="57"/>
      <c r="F143" s="60">
        <f>ПЛАТЕЖИ[[#This Row],[СЎМ]]+(ПЛАТЕЖИ[[#This Row],[ВАЛЮТА]]*ПЛАТЕЖИ[[#This Row],[КУРС]])</f>
        <v>1000000</v>
      </c>
      <c r="H143" s="47" t="s">
        <v>906</v>
      </c>
      <c r="I143" s="165"/>
    </row>
    <row r="144" spans="1:9" ht="15" customHeight="1" x14ac:dyDescent="0.3">
      <c r="A144" s="58">
        <v>46193</v>
      </c>
      <c r="B144" s="59" t="s">
        <v>401</v>
      </c>
      <c r="C144" s="57">
        <v>15000000</v>
      </c>
      <c r="D144" s="57"/>
      <c r="E144" s="57"/>
      <c r="F144" s="60">
        <f>ПЛАТЕЖИ[[#This Row],[СЎМ]]+(ПЛАТЕЖИ[[#This Row],[ВАЛЮТА]]*ПЛАТЕЖИ[[#This Row],[КУРС]])</f>
        <v>15000000</v>
      </c>
      <c r="H144" s="47" t="s">
        <v>905</v>
      </c>
      <c r="I144" s="165"/>
    </row>
    <row r="145" spans="1:9" ht="15" customHeight="1" x14ac:dyDescent="0.3">
      <c r="A145" s="58">
        <v>46193</v>
      </c>
      <c r="B145" s="47" t="s">
        <v>670</v>
      </c>
      <c r="C145" s="57">
        <v>2000400</v>
      </c>
      <c r="D145" s="57"/>
      <c r="E145" s="57"/>
      <c r="F145" s="60">
        <f>ПЛАТЕЖИ[[#This Row],[СЎМ]]+(ПЛАТЕЖИ[[#This Row],[ВАЛЮТА]]*ПЛАТЕЖИ[[#This Row],[КУРС]])</f>
        <v>2000400</v>
      </c>
      <c r="I145" s="165"/>
    </row>
    <row r="146" spans="1:9" ht="15" customHeight="1" x14ac:dyDescent="0.3">
      <c r="A146" s="58">
        <v>46193</v>
      </c>
      <c r="B146" s="59" t="s">
        <v>57</v>
      </c>
      <c r="C146" s="57"/>
      <c r="D146" s="57">
        <v>100</v>
      </c>
      <c r="E146" s="57">
        <v>12000</v>
      </c>
      <c r="F146" s="60">
        <f>ПЛАТЕЖИ[[#This Row],[СЎМ]]+(ПЛАТЕЖИ[[#This Row],[ВАЛЮТА]]*ПЛАТЕЖИ[[#This Row],[КУРС]])</f>
        <v>1200000</v>
      </c>
      <c r="I146" s="165"/>
    </row>
    <row r="147" spans="1:9" ht="15" customHeight="1" x14ac:dyDescent="0.3">
      <c r="A147" s="58">
        <v>46193</v>
      </c>
      <c r="B147" s="59" t="s">
        <v>414</v>
      </c>
      <c r="C147" s="57">
        <v>1600000</v>
      </c>
      <c r="D147" s="57"/>
      <c r="E147" s="57"/>
      <c r="F147" s="60">
        <f>ПЛАТЕЖИ[[#This Row],[СЎМ]]+(ПЛАТЕЖИ[[#This Row],[ВАЛЮТА]]*ПЛАТЕЖИ[[#This Row],[КУРС]])</f>
        <v>1600000</v>
      </c>
      <c r="I147" s="165"/>
    </row>
    <row r="148" spans="1:9" ht="15" customHeight="1" x14ac:dyDescent="0.3">
      <c r="A148" s="58">
        <v>46193</v>
      </c>
      <c r="B148" s="47" t="s">
        <v>672</v>
      </c>
      <c r="C148" s="57">
        <v>400000</v>
      </c>
      <c r="D148" s="57">
        <v>100</v>
      </c>
      <c r="E148" s="57">
        <v>12000</v>
      </c>
      <c r="F148" s="60">
        <f>ПЛАТЕЖИ[[#This Row],[СЎМ]]+(ПЛАТЕЖИ[[#This Row],[ВАЛЮТА]]*ПЛАТЕЖИ[[#This Row],[КУРС]])</f>
        <v>1600000</v>
      </c>
      <c r="H148" s="59"/>
      <c r="I148" s="165"/>
    </row>
    <row r="149" spans="1:9" ht="15" customHeight="1" x14ac:dyDescent="0.3">
      <c r="A149" s="58">
        <v>46193</v>
      </c>
      <c r="B149" s="47" t="s">
        <v>464</v>
      </c>
      <c r="C149" s="57">
        <v>200000</v>
      </c>
      <c r="D149" s="57"/>
      <c r="E149" s="57"/>
      <c r="F149" s="60">
        <f>ПЛАТЕЖИ[[#This Row],[СЎМ]]+(ПЛАТЕЖИ[[#This Row],[ВАЛЮТА]]*ПЛАТЕЖИ[[#This Row],[КУРС]])</f>
        <v>200000</v>
      </c>
      <c r="H149" s="59"/>
      <c r="I149" s="165"/>
    </row>
    <row r="150" spans="1:9" ht="15" customHeight="1" x14ac:dyDescent="0.3">
      <c r="A150" s="58">
        <v>46194</v>
      </c>
      <c r="B150" s="47" t="s">
        <v>97</v>
      </c>
      <c r="C150" s="57">
        <v>1000000</v>
      </c>
      <c r="D150" s="57"/>
      <c r="E150" s="57"/>
      <c r="F150" s="60">
        <f>ПЛАТЕЖИ[[#This Row],[СЎМ]]+(ПЛАТЕЖИ[[#This Row],[ВАЛЮТА]]*ПЛАТЕЖИ[[#This Row],[КУРС]])</f>
        <v>1000000</v>
      </c>
      <c r="H150" s="47" t="s">
        <v>906</v>
      </c>
      <c r="I150" s="165"/>
    </row>
    <row r="151" spans="1:9" ht="15" customHeight="1" x14ac:dyDescent="0.3">
      <c r="A151" s="286">
        <v>46194</v>
      </c>
      <c r="B151" s="287" t="s">
        <v>464</v>
      </c>
      <c r="C151" s="288">
        <v>1189100</v>
      </c>
      <c r="D151" s="288"/>
      <c r="E151" s="288"/>
      <c r="F151" s="289">
        <f>ПЛАТЕЖИ[[#This Row],[СЎМ]]+(ПЛАТЕЖИ[[#This Row],[ВАЛЮТА]]*ПЛАТЕЖИ[[#This Row],[КУРС]])</f>
        <v>1189100</v>
      </c>
      <c r="G151" s="287"/>
      <c r="H151" s="287"/>
      <c r="I151" s="287"/>
    </row>
    <row r="152" spans="1:9" ht="15" customHeight="1" x14ac:dyDescent="0.3">
      <c r="A152" s="286">
        <v>46194</v>
      </c>
      <c r="B152" s="287" t="s">
        <v>566</v>
      </c>
      <c r="C152" s="288">
        <v>1000000</v>
      </c>
      <c r="D152" s="288"/>
      <c r="E152" s="288"/>
      <c r="F152" s="289">
        <f>ПЛАТЕЖИ[[#This Row],[СЎМ]]+(ПЛАТЕЖИ[[#This Row],[ВАЛЮТА]]*ПЛАТЕЖИ[[#This Row],[КУРС]])</f>
        <v>1000000</v>
      </c>
      <c r="G152" s="287"/>
      <c r="H152" s="287"/>
      <c r="I152" s="287"/>
    </row>
    <row r="153" spans="1:9" ht="15" customHeight="1" x14ac:dyDescent="0.3">
      <c r="A153" s="286">
        <v>46194</v>
      </c>
      <c r="B153" s="287" t="s">
        <v>742</v>
      </c>
      <c r="C153" s="288">
        <v>1500900</v>
      </c>
      <c r="D153" s="288"/>
      <c r="E153" s="288"/>
      <c r="F153" s="289">
        <f>ПЛАТЕЖИ[[#This Row],[СЎМ]]+(ПЛАТЕЖИ[[#This Row],[ВАЛЮТА]]*ПЛАТЕЖИ[[#This Row],[КУРС]])</f>
        <v>1500900</v>
      </c>
      <c r="G153" s="287"/>
      <c r="H153" s="287"/>
      <c r="I153" s="287"/>
    </row>
    <row r="154" spans="1:9" ht="15" customHeight="1" x14ac:dyDescent="0.3">
      <c r="A154" s="286">
        <v>46194</v>
      </c>
      <c r="B154" s="287" t="s">
        <v>672</v>
      </c>
      <c r="C154" s="288">
        <v>99000</v>
      </c>
      <c r="D154" s="288"/>
      <c r="E154" s="288"/>
      <c r="F154" s="289">
        <f>ПЛАТЕЖИ[[#This Row],[СЎМ]]+(ПЛАТЕЖИ[[#This Row],[ВАЛЮТА]]*ПЛАТЕЖИ[[#This Row],[КУРС]])</f>
        <v>99000</v>
      </c>
      <c r="G154" s="287"/>
      <c r="H154" s="287"/>
      <c r="I154" s="287"/>
    </row>
    <row r="155" spans="1:9" ht="15" customHeight="1" x14ac:dyDescent="0.3">
      <c r="A155" s="58">
        <v>46195</v>
      </c>
      <c r="B155" s="47" t="s">
        <v>491</v>
      </c>
      <c r="C155" s="57">
        <v>825600</v>
      </c>
      <c r="D155" s="57"/>
      <c r="E155" s="57"/>
      <c r="F155" s="60">
        <f>ПЛАТЕЖИ[[#This Row],[СЎМ]]+(ПЛАТЕЖИ[[#This Row],[ВАЛЮТА]]*ПЛАТЕЖИ[[#This Row],[КУРС]])</f>
        <v>825600</v>
      </c>
      <c r="H155" s="47" t="s">
        <v>906</v>
      </c>
      <c r="I155" s="165"/>
    </row>
    <row r="156" spans="1:9" ht="15" customHeight="1" x14ac:dyDescent="0.3">
      <c r="A156" s="58">
        <v>46195</v>
      </c>
      <c r="B156" s="59" t="s">
        <v>182</v>
      </c>
      <c r="C156" s="57">
        <v>1300000</v>
      </c>
      <c r="D156" s="57"/>
      <c r="E156" s="57"/>
      <c r="F156" s="60">
        <f>ПЛАТЕЖИ[[#This Row],[СЎМ]]+(ПЛАТЕЖИ[[#This Row],[ВАЛЮТА]]*ПЛАТЕЖИ[[#This Row],[КУРС]])</f>
        <v>1300000</v>
      </c>
      <c r="H156" s="47" t="s">
        <v>905</v>
      </c>
      <c r="I156" s="165"/>
    </row>
    <row r="157" spans="1:9" ht="15" customHeight="1" x14ac:dyDescent="0.3">
      <c r="A157" s="58">
        <v>46195</v>
      </c>
      <c r="B157" s="59" t="s">
        <v>991</v>
      </c>
      <c r="C157" s="57">
        <v>1000000</v>
      </c>
      <c r="D157" s="57"/>
      <c r="E157" s="57"/>
      <c r="F157" s="60">
        <f>ПЛАТЕЖИ[[#This Row],[СЎМ]]+(ПЛАТЕЖИ[[#This Row],[ВАЛЮТА]]*ПЛАТЕЖИ[[#This Row],[КУРС]])</f>
        <v>1000000</v>
      </c>
      <c r="H157" s="47" t="s">
        <v>905</v>
      </c>
      <c r="I157" s="165"/>
    </row>
    <row r="158" spans="1:9" ht="15" customHeight="1" x14ac:dyDescent="0.3">
      <c r="A158" s="58">
        <v>46195</v>
      </c>
      <c r="B158" s="47" t="s">
        <v>76</v>
      </c>
      <c r="C158" s="57">
        <v>945900</v>
      </c>
      <c r="D158" s="57">
        <v>300</v>
      </c>
      <c r="E158" s="57">
        <v>12000</v>
      </c>
      <c r="F158" s="60">
        <f>ПЛАТЕЖИ[[#This Row],[СЎМ]]+(ПЛАТЕЖИ[[#This Row],[ВАЛЮТА]]*ПЛАТЕЖИ[[#This Row],[КУРС]])</f>
        <v>4545900</v>
      </c>
      <c r="H158" s="59"/>
      <c r="I158" s="165"/>
    </row>
    <row r="159" spans="1:9" ht="15" customHeight="1" x14ac:dyDescent="0.3">
      <c r="A159" s="58">
        <v>46195</v>
      </c>
      <c r="B159" s="84" t="s">
        <v>556</v>
      </c>
      <c r="C159" s="57">
        <v>7822600</v>
      </c>
      <c r="D159" s="57"/>
      <c r="E159" s="57"/>
      <c r="F159" s="60">
        <f>ПЛАТЕЖИ[[#This Row],[СЎМ]]+(ПЛАТЕЖИ[[#This Row],[ВАЛЮТА]]*ПЛАТЕЖИ[[#This Row],[КУРС]])</f>
        <v>7822600</v>
      </c>
      <c r="H159" s="47" t="s">
        <v>906</v>
      </c>
      <c r="I159" s="165"/>
    </row>
    <row r="160" spans="1:9" ht="15" customHeight="1" x14ac:dyDescent="0.3">
      <c r="A160" s="58">
        <v>46195</v>
      </c>
      <c r="B160" s="47" t="s">
        <v>365</v>
      </c>
      <c r="C160" s="57">
        <v>450000</v>
      </c>
      <c r="D160" s="57"/>
      <c r="E160" s="57"/>
      <c r="F160" s="60">
        <f>ПЛАТЕЖИ[[#This Row],[СЎМ]]+(ПЛАТЕЖИ[[#This Row],[ВАЛЮТА]]*ПЛАТЕЖИ[[#This Row],[КУРС]])</f>
        <v>450000</v>
      </c>
      <c r="H160" s="47" t="s">
        <v>906</v>
      </c>
      <c r="I160" s="165"/>
    </row>
    <row r="161" spans="1:9" ht="15" customHeight="1" x14ac:dyDescent="0.3">
      <c r="A161" s="81">
        <v>46195</v>
      </c>
      <c r="B161" s="82" t="s">
        <v>218</v>
      </c>
      <c r="C161" s="80">
        <v>3000000</v>
      </c>
      <c r="D161" s="80"/>
      <c r="E161" s="80"/>
      <c r="F161" s="60">
        <f>ПЛАТЕЖИ[[#This Row],[СЎМ]]+(ПЛАТЕЖИ[[#This Row],[ВАЛЮТА]]*ПЛАТЕЖИ[[#This Row],[КУРС]])</f>
        <v>3000000</v>
      </c>
      <c r="G161" s="82"/>
      <c r="H161" s="47" t="s">
        <v>906</v>
      </c>
      <c r="I161" s="165"/>
    </row>
    <row r="162" spans="1:9" ht="15" customHeight="1" x14ac:dyDescent="0.3">
      <c r="A162" s="58">
        <v>46195</v>
      </c>
      <c r="B162" s="59" t="s">
        <v>510</v>
      </c>
      <c r="C162" s="57">
        <v>1235250</v>
      </c>
      <c r="D162" s="57"/>
      <c r="E162" s="57"/>
      <c r="F162" s="60">
        <f>ПЛАТЕЖИ[[#This Row],[СЎМ]]+(ПЛАТЕЖИ[[#This Row],[ВАЛЮТА]]*ПЛАТЕЖИ[[#This Row],[КУРС]])</f>
        <v>1235250</v>
      </c>
      <c r="H162" s="59"/>
      <c r="I162" s="165"/>
    </row>
    <row r="163" spans="1:9" ht="15" customHeight="1" x14ac:dyDescent="0.3">
      <c r="A163" s="58">
        <v>46195</v>
      </c>
      <c r="B163" s="59" t="s">
        <v>924</v>
      </c>
      <c r="C163" s="57">
        <v>432000</v>
      </c>
      <c r="D163" s="57"/>
      <c r="E163" s="57"/>
      <c r="F163" s="60">
        <f>ПЛАТЕЖИ[[#This Row],[СЎМ]]+(ПЛАТЕЖИ[[#This Row],[ВАЛЮТА]]*ПЛАТЕЖИ[[#This Row],[КУРС]])</f>
        <v>432000</v>
      </c>
      <c r="H163" s="59"/>
      <c r="I163" s="165"/>
    </row>
    <row r="164" spans="1:9" ht="15" customHeight="1" x14ac:dyDescent="0.3">
      <c r="A164" s="58">
        <v>46195</v>
      </c>
      <c r="B164" s="47" t="s">
        <v>353</v>
      </c>
      <c r="C164" s="57">
        <v>1391800</v>
      </c>
      <c r="D164" s="57"/>
      <c r="E164" s="57"/>
      <c r="F164" s="60">
        <f>ПЛАТЕЖИ[[#This Row],[СЎМ]]+(ПЛАТЕЖИ[[#This Row],[ВАЛЮТА]]*ПЛАТЕЖИ[[#This Row],[КУРС]])</f>
        <v>1391800</v>
      </c>
      <c r="H164" s="47" t="s">
        <v>908</v>
      </c>
      <c r="I164" s="165"/>
    </row>
    <row r="165" spans="1:9" ht="15" customHeight="1" x14ac:dyDescent="0.3">
      <c r="A165" s="58">
        <v>46196</v>
      </c>
      <c r="B165" s="47" t="s">
        <v>776</v>
      </c>
      <c r="C165" s="57">
        <v>500000</v>
      </c>
      <c r="D165" s="57"/>
      <c r="E165" s="57"/>
      <c r="F165" s="60">
        <f>ПЛАТЕЖИ[[#This Row],[СЎМ]]+(ПЛАТЕЖИ[[#This Row],[ВАЛЮТА]]*ПЛАТЕЖИ[[#This Row],[КУРС]])</f>
        <v>500000</v>
      </c>
      <c r="H165" s="47" t="s">
        <v>906</v>
      </c>
      <c r="I165" s="165"/>
    </row>
    <row r="166" spans="1:9" ht="15" customHeight="1" x14ac:dyDescent="0.3">
      <c r="A166" s="81">
        <v>46196</v>
      </c>
      <c r="B166" s="82" t="s">
        <v>89</v>
      </c>
      <c r="C166" s="80">
        <v>1991000</v>
      </c>
      <c r="D166" s="80"/>
      <c r="E166" s="80"/>
      <c r="F166" s="60">
        <f>ПЛАТЕЖИ[[#This Row],[СЎМ]]+(ПЛАТЕЖИ[[#This Row],[ВАЛЮТА]]*ПЛАТЕЖИ[[#This Row],[КУРС]])</f>
        <v>1991000</v>
      </c>
      <c r="G166" s="82"/>
      <c r="H166" s="47" t="s">
        <v>906</v>
      </c>
      <c r="I166" s="165"/>
    </row>
    <row r="167" spans="1:9" ht="15" customHeight="1" x14ac:dyDescent="0.3">
      <c r="A167" s="81">
        <v>46196</v>
      </c>
      <c r="B167" s="82" t="s">
        <v>764</v>
      </c>
      <c r="C167" s="80"/>
      <c r="D167" s="80">
        <v>100</v>
      </c>
      <c r="E167" s="80">
        <v>12000</v>
      </c>
      <c r="F167" s="60">
        <f>ПЛАТЕЖИ[[#This Row],[СЎМ]]+(ПЛАТЕЖИ[[#This Row],[ВАЛЮТА]]*ПЛАТЕЖИ[[#This Row],[КУРС]])</f>
        <v>1200000</v>
      </c>
      <c r="G167" s="82"/>
      <c r="H167" s="47" t="s">
        <v>906</v>
      </c>
      <c r="I167" s="165"/>
    </row>
    <row r="168" spans="1:9" ht="15" customHeight="1" x14ac:dyDescent="0.3">
      <c r="A168" s="58">
        <v>46196</v>
      </c>
      <c r="B168" s="59" t="s">
        <v>507</v>
      </c>
      <c r="C168" s="57">
        <v>829400</v>
      </c>
      <c r="D168" s="57"/>
      <c r="E168" s="57"/>
      <c r="F168" s="60">
        <f>ПЛАТЕЖИ[[#This Row],[СЎМ]]+(ПЛАТЕЖИ[[#This Row],[ВАЛЮТА]]*ПЛАТЕЖИ[[#This Row],[КУРС]])</f>
        <v>829400</v>
      </c>
      <c r="H168" s="47" t="s">
        <v>906</v>
      </c>
      <c r="I168" s="165"/>
    </row>
    <row r="169" spans="1:9" ht="15" customHeight="1" x14ac:dyDescent="0.3">
      <c r="A169" s="58">
        <v>46196</v>
      </c>
      <c r="B169" s="59" t="s">
        <v>312</v>
      </c>
      <c r="C169" s="57">
        <v>1200000</v>
      </c>
      <c r="D169" s="57"/>
      <c r="E169" s="57"/>
      <c r="F169" s="60">
        <f>ПЛАТЕЖИ[[#This Row],[СЎМ]]+(ПЛАТЕЖИ[[#This Row],[ВАЛЮТА]]*ПЛАТЕЖИ[[#This Row],[КУРС]])</f>
        <v>1200000</v>
      </c>
      <c r="H169" s="47" t="s">
        <v>906</v>
      </c>
      <c r="I169" s="165"/>
    </row>
    <row r="170" spans="1:9" ht="15" customHeight="1" x14ac:dyDescent="0.3">
      <c r="A170" s="58">
        <v>46196</v>
      </c>
      <c r="B170" s="59" t="s">
        <v>82</v>
      </c>
      <c r="C170" s="57">
        <v>1266600</v>
      </c>
      <c r="D170" s="57"/>
      <c r="E170" s="57"/>
      <c r="F170" s="60">
        <f>ПЛАТЕЖИ[[#This Row],[СЎМ]]+(ПЛАТЕЖИ[[#This Row],[ВАЛЮТА]]*ПЛАТЕЖИ[[#This Row],[КУРС]])</f>
        <v>1266600</v>
      </c>
      <c r="H170" s="47" t="s">
        <v>906</v>
      </c>
      <c r="I170" s="165"/>
    </row>
    <row r="171" spans="1:9" ht="15" customHeight="1" x14ac:dyDescent="0.3">
      <c r="A171" s="58">
        <v>46196</v>
      </c>
      <c r="B171" s="47" t="s">
        <v>521</v>
      </c>
      <c r="C171" s="57">
        <v>20000000</v>
      </c>
      <c r="D171" s="57"/>
      <c r="E171" s="57"/>
      <c r="F171" s="60">
        <f>ПЛАТЕЖИ[[#This Row],[СЎМ]]+(ПЛАТЕЖИ[[#This Row],[ВАЛЮТА]]*ПЛАТЕЖИ[[#This Row],[КУРС]])</f>
        <v>20000000</v>
      </c>
      <c r="H171" s="47" t="s">
        <v>905</v>
      </c>
      <c r="I171" s="165"/>
    </row>
    <row r="172" spans="1:9" ht="15" customHeight="1" x14ac:dyDescent="0.3">
      <c r="A172" s="58">
        <v>46196</v>
      </c>
      <c r="B172" s="59" t="s">
        <v>289</v>
      </c>
      <c r="C172" s="57">
        <v>1069500</v>
      </c>
      <c r="D172" s="57"/>
      <c r="E172" s="57"/>
      <c r="F172" s="60">
        <f>ПЛАТЕЖИ[[#This Row],[СЎМ]]+(ПЛАТЕЖИ[[#This Row],[ВАЛЮТА]]*ПЛАТЕЖИ[[#This Row],[КУРС]])</f>
        <v>1069500</v>
      </c>
      <c r="H172" s="47" t="s">
        <v>906</v>
      </c>
      <c r="I172" s="165"/>
    </row>
    <row r="173" spans="1:9" ht="15" customHeight="1" x14ac:dyDescent="0.3">
      <c r="A173" s="58">
        <v>46196</v>
      </c>
      <c r="B173" s="47" t="s">
        <v>329</v>
      </c>
      <c r="C173" s="57">
        <v>1074100</v>
      </c>
      <c r="D173" s="57"/>
      <c r="E173" s="57"/>
      <c r="F173" s="60">
        <f>ПЛАТЕЖИ[[#This Row],[СЎМ]]+(ПЛАТЕЖИ[[#This Row],[ВАЛЮТА]]*ПЛАТЕЖИ[[#This Row],[КУРС]])</f>
        <v>1074100</v>
      </c>
      <c r="H173" s="47" t="s">
        <v>906</v>
      </c>
      <c r="I173" s="165"/>
    </row>
    <row r="174" spans="1:9" ht="15" customHeight="1" x14ac:dyDescent="0.3">
      <c r="A174" s="58">
        <v>46197</v>
      </c>
      <c r="B174" s="47" t="s">
        <v>112</v>
      </c>
      <c r="C174" s="57">
        <v>600000</v>
      </c>
      <c r="D174" s="57"/>
      <c r="E174" s="57"/>
      <c r="F174" s="60">
        <f>ПЛАТЕЖИ[[#This Row],[СЎМ]]+(ПЛАТЕЖИ[[#This Row],[ВАЛЮТА]]*ПЛАТЕЖИ[[#This Row],[КУРС]])</f>
        <v>600000</v>
      </c>
      <c r="H174" s="47" t="s">
        <v>906</v>
      </c>
      <c r="I174" s="165"/>
    </row>
    <row r="175" spans="1:9" ht="15" customHeight="1" x14ac:dyDescent="0.3">
      <c r="A175" s="58">
        <v>46197</v>
      </c>
      <c r="B175" s="59" t="s">
        <v>105</v>
      </c>
      <c r="C175" s="57">
        <v>1000000</v>
      </c>
      <c r="D175" s="57"/>
      <c r="E175" s="57"/>
      <c r="F175" s="60">
        <f>ПЛАТЕЖИ[[#This Row],[СЎМ]]+(ПЛАТЕЖИ[[#This Row],[ВАЛЮТА]]*ПЛАТЕЖИ[[#This Row],[КУРС]])</f>
        <v>1000000</v>
      </c>
      <c r="H175" s="47" t="s">
        <v>906</v>
      </c>
      <c r="I175" s="165"/>
    </row>
    <row r="176" spans="1:9" ht="15" customHeight="1" x14ac:dyDescent="0.3">
      <c r="A176" s="58">
        <v>46197</v>
      </c>
      <c r="B176" s="59" t="s">
        <v>738</v>
      </c>
      <c r="C176" s="57">
        <v>2600000</v>
      </c>
      <c r="D176" s="57"/>
      <c r="E176" s="57"/>
      <c r="F176" s="60">
        <f>ПЛАТЕЖИ[[#This Row],[СЎМ]]+(ПЛАТЕЖИ[[#This Row],[ВАЛЮТА]]*ПЛАТЕЖИ[[#This Row],[КУРС]])</f>
        <v>2600000</v>
      </c>
      <c r="H176" s="47" t="s">
        <v>906</v>
      </c>
      <c r="I176" s="165"/>
    </row>
    <row r="177" spans="1:9" ht="15" customHeight="1" x14ac:dyDescent="0.3">
      <c r="A177" s="58">
        <v>46197</v>
      </c>
      <c r="B177" s="47" t="s">
        <v>209</v>
      </c>
      <c r="C177" s="57">
        <v>6000000</v>
      </c>
      <c r="D177" s="57"/>
      <c r="E177" s="57"/>
      <c r="F177" s="60">
        <f>ПЛАТЕЖИ[[#This Row],[СЎМ]]+(ПЛАТЕЖИ[[#This Row],[ВАЛЮТА]]*ПЛАТЕЖИ[[#This Row],[КУРС]])</f>
        <v>6000000</v>
      </c>
      <c r="H177" s="47" t="s">
        <v>906</v>
      </c>
      <c r="I177" s="165"/>
    </row>
    <row r="178" spans="1:9" ht="15" customHeight="1" x14ac:dyDescent="0.3">
      <c r="A178" s="58">
        <v>46197</v>
      </c>
      <c r="B178" s="47" t="s">
        <v>312</v>
      </c>
      <c r="C178" s="57">
        <v>3255600</v>
      </c>
      <c r="D178" s="57"/>
      <c r="E178" s="57"/>
      <c r="F178" s="60">
        <f>ПЛАТЕЖИ[[#This Row],[СЎМ]]+(ПЛАТЕЖИ[[#This Row],[ВАЛЮТА]]*ПЛАТЕЖИ[[#This Row],[КУРС]])</f>
        <v>3255600</v>
      </c>
      <c r="H178" s="47" t="s">
        <v>906</v>
      </c>
      <c r="I178" s="165"/>
    </row>
    <row r="179" spans="1:9" ht="15" customHeight="1" x14ac:dyDescent="0.3">
      <c r="A179" s="58">
        <v>46197</v>
      </c>
      <c r="B179" s="47" t="s">
        <v>236</v>
      </c>
      <c r="C179" s="57"/>
      <c r="D179" s="57">
        <v>100</v>
      </c>
      <c r="E179" s="57">
        <v>12000</v>
      </c>
      <c r="F179" s="60">
        <f>ПЛАТЕЖИ[[#This Row],[СЎМ]]+(ПЛАТЕЖИ[[#This Row],[ВАЛЮТА]]*ПЛАТЕЖИ[[#This Row],[КУРС]])</f>
        <v>1200000</v>
      </c>
      <c r="H179" s="59"/>
      <c r="I179" s="165"/>
    </row>
    <row r="180" spans="1:9" ht="15" customHeight="1" x14ac:dyDescent="0.3">
      <c r="A180" s="58">
        <v>46197</v>
      </c>
      <c r="B180" s="59" t="s">
        <v>142</v>
      </c>
      <c r="C180" s="57">
        <v>763200</v>
      </c>
      <c r="D180" s="57"/>
      <c r="E180" s="57"/>
      <c r="F180" s="60">
        <f>ПЛАТЕЖИ[[#This Row],[СЎМ]]+(ПЛАТЕЖИ[[#This Row],[ВАЛЮТА]]*ПЛАТЕЖИ[[#This Row],[КУРС]])</f>
        <v>763200</v>
      </c>
      <c r="H180" s="59"/>
      <c r="I180" s="165"/>
    </row>
    <row r="181" spans="1:9" ht="15" customHeight="1" x14ac:dyDescent="0.3">
      <c r="A181" s="58">
        <v>46197</v>
      </c>
      <c r="B181" s="59" t="s">
        <v>364</v>
      </c>
      <c r="C181" s="57">
        <v>833600</v>
      </c>
      <c r="D181" s="57"/>
      <c r="E181" s="57"/>
      <c r="F181" s="60">
        <f>ПЛАТЕЖИ[[#This Row],[СЎМ]]+(ПЛАТЕЖИ[[#This Row],[ВАЛЮТА]]*ПЛАТЕЖИ[[#This Row],[КУРС]])</f>
        <v>833600</v>
      </c>
      <c r="H181" s="59"/>
      <c r="I181" s="165"/>
    </row>
    <row r="182" spans="1:9" ht="15" customHeight="1" x14ac:dyDescent="0.3">
      <c r="A182" s="58">
        <v>46197</v>
      </c>
      <c r="B182" s="59" t="s">
        <v>918</v>
      </c>
      <c r="C182" s="57">
        <v>1395000</v>
      </c>
      <c r="D182" s="57"/>
      <c r="E182" s="57"/>
      <c r="F182" s="60">
        <f>ПЛАТЕЖИ[[#This Row],[СЎМ]]+(ПЛАТЕЖИ[[#This Row],[ВАЛЮТА]]*ПЛАТЕЖИ[[#This Row],[КУРС]])</f>
        <v>1395000</v>
      </c>
      <c r="H182" s="59"/>
      <c r="I182" s="165"/>
    </row>
    <row r="183" spans="1:9" ht="15" customHeight="1" x14ac:dyDescent="0.3">
      <c r="A183" s="58">
        <v>46197</v>
      </c>
      <c r="B183" s="47" t="s">
        <v>170</v>
      </c>
      <c r="C183" s="57">
        <v>400000</v>
      </c>
      <c r="D183" s="57">
        <v>100</v>
      </c>
      <c r="E183" s="57">
        <v>12000</v>
      </c>
      <c r="F183" s="60">
        <f>ПЛАТЕЖИ[[#This Row],[СЎМ]]+(ПЛАТЕЖИ[[#This Row],[ВАЛЮТА]]*ПЛАТЕЖИ[[#This Row],[КУРС]])</f>
        <v>1600000</v>
      </c>
      <c r="H183" s="59"/>
      <c r="I183" s="165"/>
    </row>
    <row r="184" spans="1:9" ht="15" customHeight="1" x14ac:dyDescent="0.3">
      <c r="A184" s="58">
        <v>46197</v>
      </c>
      <c r="B184" s="47" t="s">
        <v>304</v>
      </c>
      <c r="C184" s="57">
        <v>1824100</v>
      </c>
      <c r="D184" s="57"/>
      <c r="E184" s="57"/>
      <c r="F184" s="60">
        <f>ПЛАТЕЖИ[[#This Row],[СЎМ]]+(ПЛАТЕЖИ[[#This Row],[ВАЛЮТА]]*ПЛАТЕЖИ[[#This Row],[КУРС]])</f>
        <v>1824100</v>
      </c>
      <c r="H184" s="59"/>
      <c r="I184" s="165"/>
    </row>
    <row r="185" spans="1:9" ht="15" customHeight="1" x14ac:dyDescent="0.3">
      <c r="A185" s="58">
        <v>46197</v>
      </c>
      <c r="B185" s="47" t="s">
        <v>73</v>
      </c>
      <c r="C185" s="57">
        <v>100000</v>
      </c>
      <c r="D185" s="57">
        <v>200</v>
      </c>
      <c r="E185" s="57">
        <v>12000</v>
      </c>
      <c r="F185" s="60">
        <f>ПЛАТЕЖИ[[#This Row],[СЎМ]]+(ПЛАТЕЖИ[[#This Row],[ВАЛЮТА]]*ПЛАТЕЖИ[[#This Row],[КУРС]])</f>
        <v>2500000</v>
      </c>
      <c r="I185" s="165"/>
    </row>
    <row r="186" spans="1:9" ht="15" customHeight="1" x14ac:dyDescent="0.3">
      <c r="A186" s="58">
        <v>46198</v>
      </c>
      <c r="B186" s="59" t="s">
        <v>826</v>
      </c>
      <c r="C186" s="57">
        <v>1000000</v>
      </c>
      <c r="D186" s="57"/>
      <c r="E186" s="57"/>
      <c r="F186" s="60">
        <f>ПЛАТЕЖИ[[#This Row],[СЎМ]]+(ПЛАТЕЖИ[[#This Row],[ВАЛЮТА]]*ПЛАТЕЖИ[[#This Row],[КУРС]])</f>
        <v>1000000</v>
      </c>
      <c r="H186" s="59"/>
      <c r="I186" s="165"/>
    </row>
    <row r="187" spans="1:9" ht="15" customHeight="1" x14ac:dyDescent="0.3">
      <c r="A187" s="58">
        <v>46198</v>
      </c>
      <c r="B187" s="59" t="s">
        <v>886</v>
      </c>
      <c r="C187" s="57">
        <v>4267500</v>
      </c>
      <c r="D187" s="57"/>
      <c r="E187" s="57"/>
      <c r="F187" s="60">
        <f>ПЛАТЕЖИ[[#This Row],[СЎМ]]+(ПЛАТЕЖИ[[#This Row],[ВАЛЮТА]]*ПЛАТЕЖИ[[#This Row],[КУРС]])</f>
        <v>4267500</v>
      </c>
      <c r="H187" s="47" t="s">
        <v>905</v>
      </c>
      <c r="I187" s="165"/>
    </row>
    <row r="188" spans="1:9" ht="15" customHeight="1" x14ac:dyDescent="0.3">
      <c r="A188" s="58">
        <v>46198</v>
      </c>
      <c r="B188" s="59" t="s">
        <v>552</v>
      </c>
      <c r="C188" s="57">
        <v>60438000</v>
      </c>
      <c r="D188" s="57"/>
      <c r="E188" s="57"/>
      <c r="F188" s="60">
        <f>ПЛАТЕЖИ[[#This Row],[СЎМ]]+(ПЛАТЕЖИ[[#This Row],[ВАЛЮТА]]*ПЛАТЕЖИ[[#This Row],[КУРС]])</f>
        <v>60438000</v>
      </c>
      <c r="H188" s="47" t="s">
        <v>905</v>
      </c>
      <c r="I188" s="165"/>
    </row>
    <row r="189" spans="1:9" ht="15" customHeight="1" x14ac:dyDescent="0.3">
      <c r="A189" s="58">
        <v>46198</v>
      </c>
      <c r="B189" s="47" t="s">
        <v>827</v>
      </c>
      <c r="C189" s="57">
        <v>6785000</v>
      </c>
      <c r="D189" s="57"/>
      <c r="E189" s="57"/>
      <c r="F189" s="60">
        <f>ПЛАТЕЖИ[[#This Row],[СЎМ]]+(ПЛАТЕЖИ[[#This Row],[ВАЛЮТА]]*ПЛАТЕЖИ[[#This Row],[КУРС]])</f>
        <v>6785000</v>
      </c>
      <c r="H189" s="59"/>
      <c r="I189" s="165"/>
    </row>
    <row r="190" spans="1:9" ht="15" customHeight="1" x14ac:dyDescent="0.3">
      <c r="A190" s="58">
        <v>46198</v>
      </c>
      <c r="B190" s="47" t="s">
        <v>839</v>
      </c>
      <c r="C190" s="57">
        <v>9212500</v>
      </c>
      <c r="D190" s="57"/>
      <c r="E190" s="57"/>
      <c r="F190" s="60">
        <f>ПЛАТЕЖИ[[#This Row],[СЎМ]]+(ПЛАТЕЖИ[[#This Row],[ВАЛЮТА]]*ПЛАТЕЖИ[[#This Row],[КУРС]])</f>
        <v>9212500</v>
      </c>
      <c r="H190" s="59"/>
      <c r="I190" s="165"/>
    </row>
    <row r="191" spans="1:9" ht="15" customHeight="1" x14ac:dyDescent="0.3">
      <c r="A191" s="58">
        <v>46201</v>
      </c>
      <c r="B191" s="59" t="s">
        <v>246</v>
      </c>
      <c r="C191" s="57">
        <v>1020000</v>
      </c>
      <c r="D191" s="57"/>
      <c r="E191" s="57"/>
      <c r="F191" s="60">
        <f>ПЛАТЕЖИ[[#This Row],[СЎМ]]+(ПЛАТЕЖИ[[#This Row],[ВАЛЮТА]]*ПЛАТЕЖИ[[#This Row],[КУРС]])</f>
        <v>1020000</v>
      </c>
      <c r="H191" s="59"/>
      <c r="I191" s="165"/>
    </row>
    <row r="192" spans="1:9" ht="15" customHeight="1" x14ac:dyDescent="0.3">
      <c r="A192" s="58">
        <v>46201</v>
      </c>
      <c r="B192" s="59" t="s">
        <v>552</v>
      </c>
      <c r="C192" s="57">
        <v>300000000</v>
      </c>
      <c r="D192" s="57"/>
      <c r="E192" s="57"/>
      <c r="F192" s="60">
        <f>ПЛАТЕЖИ[[#This Row],[СЎМ]]+(ПЛАТЕЖИ[[#This Row],[ВАЛЮТА]]*ПЛАТЕЖИ[[#This Row],[КУРС]])</f>
        <v>300000000</v>
      </c>
      <c r="H192" s="47" t="s">
        <v>905</v>
      </c>
      <c r="I192" s="165"/>
    </row>
    <row r="193" spans="1:9" ht="15" customHeight="1" x14ac:dyDescent="0.3">
      <c r="A193" s="58">
        <v>46201</v>
      </c>
      <c r="B193" s="47" t="s">
        <v>912</v>
      </c>
      <c r="C193" s="57">
        <v>8250000</v>
      </c>
      <c r="D193" s="57"/>
      <c r="E193" s="57"/>
      <c r="F193" s="60">
        <f>ПЛАТЕЖИ[[#This Row],[СЎМ]]+(ПЛАТЕЖИ[[#This Row],[ВАЛЮТА]]*ПЛАТЕЖИ[[#This Row],[КУРС]])</f>
        <v>8250000</v>
      </c>
      <c r="H193" s="47" t="s">
        <v>905</v>
      </c>
      <c r="I193" s="165"/>
    </row>
    <row r="194" spans="1:9" ht="15" customHeight="1" x14ac:dyDescent="0.3">
      <c r="A194" s="58">
        <v>46201</v>
      </c>
      <c r="B194" s="47" t="s">
        <v>697</v>
      </c>
      <c r="C194" s="57">
        <v>26000000</v>
      </c>
      <c r="D194" s="57"/>
      <c r="E194" s="57"/>
      <c r="F194" s="60">
        <f>ПЛАТЕЖИ[[#This Row],[СЎМ]]+(ПЛАТЕЖИ[[#This Row],[ВАЛЮТА]]*ПЛАТЕЖИ[[#This Row],[КУРС]])</f>
        <v>26000000</v>
      </c>
      <c r="H194" s="47" t="s">
        <v>905</v>
      </c>
      <c r="I194" s="165"/>
    </row>
    <row r="195" spans="1:9" ht="15" customHeight="1" x14ac:dyDescent="0.3">
      <c r="A195" s="58">
        <v>46201</v>
      </c>
      <c r="B195" s="47" t="s">
        <v>209</v>
      </c>
      <c r="C195" s="57"/>
      <c r="D195" s="57">
        <v>300</v>
      </c>
      <c r="E195" s="57">
        <v>12000</v>
      </c>
      <c r="F195" s="60">
        <f>ПЛАТЕЖИ[[#This Row],[СЎМ]]+(ПЛАТЕЖИ[[#This Row],[ВАЛЮТА]]*ПЛАТЕЖИ[[#This Row],[КУРС]])</f>
        <v>3600000</v>
      </c>
      <c r="H195" s="59"/>
      <c r="I195" s="165"/>
    </row>
    <row r="196" spans="1:9" ht="15" customHeight="1" x14ac:dyDescent="0.3">
      <c r="A196" s="58">
        <v>46201</v>
      </c>
      <c r="B196" s="47" t="s">
        <v>386</v>
      </c>
      <c r="C196" s="57">
        <v>1070000</v>
      </c>
      <c r="D196" s="57"/>
      <c r="E196" s="57"/>
      <c r="F196" s="60">
        <f>ПЛАТЕЖИ[[#This Row],[СЎМ]]+(ПЛАТЕЖИ[[#This Row],[ВАЛЮТА]]*ПЛАТЕЖИ[[#This Row],[КУРС]])</f>
        <v>1070000</v>
      </c>
      <c r="H196" s="59"/>
      <c r="I196" s="165"/>
    </row>
    <row r="197" spans="1:9" ht="15" customHeight="1" x14ac:dyDescent="0.3">
      <c r="A197" s="58">
        <v>46201</v>
      </c>
      <c r="B197" s="47" t="s">
        <v>1005</v>
      </c>
      <c r="C197" s="57"/>
      <c r="D197" s="57">
        <v>1160</v>
      </c>
      <c r="E197" s="57">
        <v>12000</v>
      </c>
      <c r="F197" s="60">
        <f>ПЛАТЕЖИ[[#This Row],[СЎМ]]+(ПЛАТЕЖИ[[#This Row],[ВАЛЮТА]]*ПЛАТЕЖИ[[#This Row],[КУРС]])</f>
        <v>13920000</v>
      </c>
      <c r="H197" s="59"/>
      <c r="I197" s="165"/>
    </row>
    <row r="198" spans="1:9" ht="15" customHeight="1" x14ac:dyDescent="0.3">
      <c r="A198" s="58">
        <v>46201</v>
      </c>
      <c r="B198" s="47" t="s">
        <v>712</v>
      </c>
      <c r="C198" s="57">
        <v>1163800</v>
      </c>
      <c r="D198" s="57"/>
      <c r="E198" s="57"/>
      <c r="F198" s="60">
        <f>ПЛАТЕЖИ[[#This Row],[СЎМ]]+(ПЛАТЕЖИ[[#This Row],[ВАЛЮТА]]*ПЛАТЕЖИ[[#This Row],[КУРС]])</f>
        <v>1163800</v>
      </c>
      <c r="H198" s="59"/>
      <c r="I198" s="165"/>
    </row>
    <row r="199" spans="1:9" ht="15" customHeight="1" x14ac:dyDescent="0.3">
      <c r="A199" s="58">
        <v>46201</v>
      </c>
      <c r="B199" s="59" t="s">
        <v>826</v>
      </c>
      <c r="C199" s="57">
        <v>1000000</v>
      </c>
      <c r="D199" s="57"/>
      <c r="E199" s="57"/>
      <c r="F199" s="60">
        <f>ПЛАТЕЖИ[[#This Row],[СЎМ]]+(ПЛАТЕЖИ[[#This Row],[ВАЛЮТА]]*ПЛАТЕЖИ[[#This Row],[КУРС]])</f>
        <v>1000000</v>
      </c>
      <c r="H199" s="47" t="s">
        <v>906</v>
      </c>
      <c r="I199" s="165"/>
    </row>
    <row r="200" spans="1:9" ht="15" customHeight="1" x14ac:dyDescent="0.3">
      <c r="A200" s="58">
        <v>46201</v>
      </c>
      <c r="B200" s="47" t="s">
        <v>793</v>
      </c>
      <c r="C200" s="57">
        <v>10000000</v>
      </c>
      <c r="D200" s="57"/>
      <c r="E200" s="57"/>
      <c r="F200" s="60">
        <f>ПЛАТЕЖИ[[#This Row],[СЎМ]]+(ПЛАТЕЖИ[[#This Row],[ВАЛЮТА]]*ПЛАТЕЖИ[[#This Row],[КУРС]])</f>
        <v>10000000</v>
      </c>
      <c r="H200" s="47" t="s">
        <v>905</v>
      </c>
      <c r="I200" s="165"/>
    </row>
    <row r="201" spans="1:9" ht="15" customHeight="1" x14ac:dyDescent="0.3">
      <c r="A201" s="58">
        <v>46201</v>
      </c>
      <c r="B201" s="59" t="s">
        <v>129</v>
      </c>
      <c r="C201" s="57">
        <v>1385000</v>
      </c>
      <c r="D201" s="57"/>
      <c r="E201" s="57"/>
      <c r="F201" s="60">
        <f>ПЛАТЕЖИ[[#This Row],[СЎМ]]+(ПЛАТЕЖИ[[#This Row],[ВАЛЮТА]]*ПЛАТЕЖИ[[#This Row],[КУРС]])</f>
        <v>1385000</v>
      </c>
      <c r="I201" s="165"/>
    </row>
    <row r="202" spans="1:9" ht="15" customHeight="1" x14ac:dyDescent="0.3">
      <c r="A202" s="81">
        <v>46201</v>
      </c>
      <c r="B202" s="82" t="s">
        <v>830</v>
      </c>
      <c r="C202" s="80">
        <v>1610000</v>
      </c>
      <c r="D202" s="80"/>
      <c r="E202" s="80"/>
      <c r="F202" s="60">
        <f>ПЛАТЕЖИ[[#This Row],[СЎМ]]+(ПЛАТЕЖИ[[#This Row],[ВАЛЮТА]]*ПЛАТЕЖИ[[#This Row],[КУРС]])</f>
        <v>1610000</v>
      </c>
      <c r="G202" s="82"/>
      <c r="H202" s="47" t="s">
        <v>905</v>
      </c>
      <c r="I202" s="165"/>
    </row>
    <row r="203" spans="1:9" ht="15" customHeight="1" x14ac:dyDescent="0.3">
      <c r="A203" s="58">
        <v>46202</v>
      </c>
      <c r="B203" s="47" t="s">
        <v>319</v>
      </c>
      <c r="C203" s="57">
        <v>6720740</v>
      </c>
      <c r="D203" s="57"/>
      <c r="E203" s="57"/>
      <c r="F203" s="60">
        <f>ПЛАТЕЖИ[[#This Row],[СЎМ]]+(ПЛАТЕЖИ[[#This Row],[ВАЛЮТА]]*ПЛАТЕЖИ[[#This Row],[КУРС]])</f>
        <v>6720740</v>
      </c>
      <c r="H203" s="47" t="s">
        <v>905</v>
      </c>
      <c r="I203" s="47" t="s">
        <v>928</v>
      </c>
    </row>
    <row r="204" spans="1:9" ht="15" customHeight="1" x14ac:dyDescent="0.3">
      <c r="A204" s="58">
        <v>46202</v>
      </c>
      <c r="B204" s="47" t="s">
        <v>377</v>
      </c>
      <c r="C204" s="57">
        <v>500000</v>
      </c>
      <c r="D204" s="57"/>
      <c r="E204" s="57"/>
      <c r="F204" s="60">
        <f>ПЛАТЕЖИ[[#This Row],[СЎМ]]+(ПЛАТЕЖИ[[#This Row],[ВАЛЮТА]]*ПЛАТЕЖИ[[#This Row],[КУРС]])</f>
        <v>500000</v>
      </c>
      <c r="H204" s="47" t="s">
        <v>906</v>
      </c>
      <c r="I204" s="165"/>
    </row>
    <row r="205" spans="1:9" ht="15" customHeight="1" x14ac:dyDescent="0.3">
      <c r="A205" s="286">
        <v>46202</v>
      </c>
      <c r="B205" s="287" t="s">
        <v>377</v>
      </c>
      <c r="C205" s="288">
        <v>800000</v>
      </c>
      <c r="D205" s="288"/>
      <c r="E205" s="288"/>
      <c r="F205" s="289">
        <f>ПЛАТЕЖИ[[#This Row],[СЎМ]]+(ПЛАТЕЖИ[[#This Row],[ВАЛЮТА]]*ПЛАТЕЖИ[[#This Row],[КУРС]])</f>
        <v>800000</v>
      </c>
      <c r="G205" s="287"/>
      <c r="H205" s="287"/>
      <c r="I205" s="287"/>
    </row>
    <row r="206" spans="1:9" ht="15" customHeight="1" x14ac:dyDescent="0.3">
      <c r="A206" s="58">
        <v>46202</v>
      </c>
      <c r="B206" s="59" t="s">
        <v>302</v>
      </c>
      <c r="C206" s="57">
        <v>1227500</v>
      </c>
      <c r="D206" s="57"/>
      <c r="E206" s="57"/>
      <c r="F206" s="60">
        <f>ПЛАТЕЖИ[[#This Row],[СЎМ]]+(ПЛАТЕЖИ[[#This Row],[ВАЛЮТА]]*ПЛАТЕЖИ[[#This Row],[КУРС]])</f>
        <v>1227500</v>
      </c>
      <c r="H206" s="47" t="s">
        <v>905</v>
      </c>
      <c r="I206" s="165"/>
    </row>
    <row r="207" spans="1:9" ht="15" customHeight="1" x14ac:dyDescent="0.3">
      <c r="A207" s="81">
        <v>46202</v>
      </c>
      <c r="B207" s="47" t="s">
        <v>302</v>
      </c>
      <c r="C207" s="80">
        <v>2327300</v>
      </c>
      <c r="D207" s="80"/>
      <c r="E207" s="80"/>
      <c r="F207" s="60">
        <f>ПЛАТЕЖИ[[#This Row],[СЎМ]]+(ПЛАТЕЖИ[[#This Row],[ВАЛЮТА]]*ПЛАТЕЖИ[[#This Row],[КУРС]])</f>
        <v>2327300</v>
      </c>
      <c r="G207" s="82"/>
      <c r="H207" s="47" t="s">
        <v>905</v>
      </c>
      <c r="I207" s="165"/>
    </row>
    <row r="208" spans="1:9" ht="15" customHeight="1" x14ac:dyDescent="0.3">
      <c r="A208" s="81">
        <v>46202</v>
      </c>
      <c r="B208" s="59" t="s">
        <v>450</v>
      </c>
      <c r="C208" s="80">
        <v>1476100</v>
      </c>
      <c r="D208" s="80"/>
      <c r="E208" s="80"/>
      <c r="F208" s="60">
        <f>ПЛАТЕЖИ[[#This Row],[СЎМ]]+(ПЛАТЕЖИ[[#This Row],[ВАЛЮТА]]*ПЛАТЕЖИ[[#This Row],[КУРС]])</f>
        <v>1476100</v>
      </c>
      <c r="G208" s="82"/>
      <c r="H208" s="82"/>
      <c r="I208" s="165"/>
    </row>
    <row r="209" spans="1:9" ht="15" customHeight="1" x14ac:dyDescent="0.3">
      <c r="A209" s="81">
        <v>46202</v>
      </c>
      <c r="B209" s="47" t="s">
        <v>350</v>
      </c>
      <c r="C209" s="80">
        <v>500000</v>
      </c>
      <c r="D209" s="80"/>
      <c r="E209" s="80"/>
      <c r="F209" s="60">
        <f>ПЛАТЕЖИ[[#This Row],[СЎМ]]+(ПЛАТЕЖИ[[#This Row],[ВАЛЮТА]]*ПЛАТЕЖИ[[#This Row],[КУРС]])</f>
        <v>500000</v>
      </c>
      <c r="G209" s="82"/>
      <c r="H209" s="82"/>
      <c r="I209" s="165"/>
    </row>
    <row r="210" spans="1:9" ht="15" customHeight="1" x14ac:dyDescent="0.3">
      <c r="A210" s="81">
        <v>46202</v>
      </c>
      <c r="B210" s="47" t="s">
        <v>900</v>
      </c>
      <c r="C210" s="80">
        <v>2407200</v>
      </c>
      <c r="D210" s="80"/>
      <c r="E210" s="80"/>
      <c r="F210" s="60">
        <f>ПЛАТЕЖИ[[#This Row],[СЎМ]]+(ПЛАТЕЖИ[[#This Row],[ВАЛЮТА]]*ПЛАТЕЖИ[[#This Row],[КУРС]])</f>
        <v>2407200</v>
      </c>
      <c r="G210" s="82"/>
      <c r="H210" s="82"/>
      <c r="I210" s="165"/>
    </row>
    <row r="211" spans="1:9" ht="15" customHeight="1" x14ac:dyDescent="0.3">
      <c r="A211" s="81">
        <v>46202</v>
      </c>
      <c r="B211" s="47" t="s">
        <v>566</v>
      </c>
      <c r="C211" s="80">
        <v>800000</v>
      </c>
      <c r="D211" s="80">
        <v>100</v>
      </c>
      <c r="E211" s="80">
        <v>12000</v>
      </c>
      <c r="F211" s="60">
        <f>ПЛАТЕЖИ[[#This Row],[СЎМ]]+(ПЛАТЕЖИ[[#This Row],[ВАЛЮТА]]*ПЛАТЕЖИ[[#This Row],[КУРС]])</f>
        <v>2000000</v>
      </c>
      <c r="G211" s="82"/>
      <c r="H211" s="82"/>
      <c r="I211" s="165"/>
    </row>
    <row r="212" spans="1:9" ht="15" customHeight="1" x14ac:dyDescent="0.3">
      <c r="A212" s="81">
        <v>46202</v>
      </c>
      <c r="B212" s="47" t="s">
        <v>158</v>
      </c>
      <c r="C212" s="80">
        <v>87000</v>
      </c>
      <c r="D212" s="80">
        <v>200</v>
      </c>
      <c r="E212" s="80">
        <v>12000</v>
      </c>
      <c r="F212" s="60">
        <f>ПЛАТЕЖИ[[#This Row],[СЎМ]]+(ПЛАТЕЖИ[[#This Row],[ВАЛЮТА]]*ПЛАТЕЖИ[[#This Row],[КУРС]])</f>
        <v>2487000</v>
      </c>
      <c r="G212" s="82"/>
      <c r="H212" s="82"/>
      <c r="I212" s="165"/>
    </row>
    <row r="213" spans="1:9" ht="15" customHeight="1" x14ac:dyDescent="0.3">
      <c r="A213" s="81">
        <v>46202</v>
      </c>
      <c r="B213" s="59" t="s">
        <v>218</v>
      </c>
      <c r="C213" s="80">
        <v>352400</v>
      </c>
      <c r="D213" s="80">
        <v>200</v>
      </c>
      <c r="E213" s="80">
        <v>12050</v>
      </c>
      <c r="F213" s="60">
        <f>ПЛАТЕЖИ[[#This Row],[СЎМ]]+(ПЛАТЕЖИ[[#This Row],[ВАЛЮТА]]*ПЛАТЕЖИ[[#This Row],[КУРС]])</f>
        <v>2762400</v>
      </c>
      <c r="G213" s="82"/>
      <c r="H213" s="82"/>
      <c r="I213" s="165"/>
    </row>
    <row r="214" spans="1:9" ht="15" customHeight="1" x14ac:dyDescent="0.3">
      <c r="A214" s="81">
        <v>46202</v>
      </c>
      <c r="B214" s="47" t="s">
        <v>782</v>
      </c>
      <c r="C214" s="80">
        <v>20000000</v>
      </c>
      <c r="D214" s="80"/>
      <c r="E214" s="80"/>
      <c r="F214" s="60">
        <f>ПЛАТЕЖИ[[#This Row],[СЎМ]]+(ПЛАТЕЖИ[[#This Row],[ВАЛЮТА]]*ПЛАТЕЖИ[[#This Row],[КУРС]])</f>
        <v>20000000</v>
      </c>
      <c r="G214" s="82"/>
      <c r="I214" s="165"/>
    </row>
    <row r="215" spans="1:9" ht="15" customHeight="1" x14ac:dyDescent="0.3">
      <c r="A215" s="81">
        <v>46202</v>
      </c>
      <c r="B215" s="47" t="s">
        <v>676</v>
      </c>
      <c r="C215" s="80">
        <v>1159200</v>
      </c>
      <c r="D215" s="80"/>
      <c r="E215" s="80"/>
      <c r="F215" s="60">
        <f>ПЛАТЕЖИ[[#This Row],[СЎМ]]+(ПЛАТЕЖИ[[#This Row],[ВАЛЮТА]]*ПЛАТЕЖИ[[#This Row],[КУРС]])</f>
        <v>1159200</v>
      </c>
      <c r="G215" s="82"/>
      <c r="H215" s="47" t="s">
        <v>906</v>
      </c>
      <c r="I215" s="165"/>
    </row>
    <row r="216" spans="1:9" ht="15" customHeight="1" x14ac:dyDescent="0.3">
      <c r="A216" s="81">
        <v>46202</v>
      </c>
      <c r="B216" s="47" t="s">
        <v>711</v>
      </c>
      <c r="C216" s="80">
        <v>500000</v>
      </c>
      <c r="D216" s="80"/>
      <c r="E216" s="80"/>
      <c r="F216" s="60">
        <f>ПЛАТЕЖИ[[#This Row],[СЎМ]]+(ПЛАТЕЖИ[[#This Row],[ВАЛЮТА]]*ПЛАТЕЖИ[[#This Row],[КУРС]])</f>
        <v>500000</v>
      </c>
      <c r="G216" s="82"/>
      <c r="H216" s="47" t="s">
        <v>906</v>
      </c>
      <c r="I216" s="165"/>
    </row>
    <row r="217" spans="1:9" ht="15" customHeight="1" x14ac:dyDescent="0.3">
      <c r="A217" s="286">
        <v>46202</v>
      </c>
      <c r="B217" s="287" t="s">
        <v>681</v>
      </c>
      <c r="C217" s="288">
        <v>50000000</v>
      </c>
      <c r="D217" s="288"/>
      <c r="E217" s="288"/>
      <c r="F217" s="289">
        <f>ПЛАТЕЖИ[[#This Row],[СЎМ]]+(ПЛАТЕЖИ[[#This Row],[ВАЛЮТА]]*ПЛАТЕЖИ[[#This Row],[КУРС]])</f>
        <v>50000000</v>
      </c>
      <c r="G217" s="287"/>
      <c r="H217" s="287" t="s">
        <v>905</v>
      </c>
      <c r="I217" s="287"/>
    </row>
    <row r="218" spans="1:9" ht="15" customHeight="1" x14ac:dyDescent="0.3">
      <c r="A218" s="81">
        <v>46202</v>
      </c>
      <c r="B218" s="59" t="s">
        <v>912</v>
      </c>
      <c r="C218" s="80">
        <v>207000</v>
      </c>
      <c r="D218" s="80"/>
      <c r="E218" s="80"/>
      <c r="F218" s="60">
        <f>ПЛАТЕЖИ[[#This Row],[СЎМ]]+(ПЛАТЕЖИ[[#This Row],[ВАЛЮТА]]*ПЛАТЕЖИ[[#This Row],[КУРС]])</f>
        <v>207000</v>
      </c>
      <c r="G218" s="82"/>
      <c r="H218" s="82"/>
      <c r="I218" s="165"/>
    </row>
    <row r="219" spans="1:9" ht="15" customHeight="1" x14ac:dyDescent="0.3">
      <c r="A219" s="81">
        <v>46203</v>
      </c>
      <c r="B219" s="59" t="s">
        <v>351</v>
      </c>
      <c r="C219" s="80">
        <v>1055700</v>
      </c>
      <c r="D219" s="80"/>
      <c r="E219" s="80"/>
      <c r="F219" s="60">
        <f>ПЛАТЕЖИ[[#This Row],[СЎМ]]+(ПЛАТЕЖИ[[#This Row],[ВАЛЮТА]]*ПЛАТЕЖИ[[#This Row],[КУРС]])</f>
        <v>1055700</v>
      </c>
      <c r="G219" s="82"/>
      <c r="H219" s="82"/>
      <c r="I219" s="165"/>
    </row>
    <row r="220" spans="1:9" ht="15" customHeight="1" x14ac:dyDescent="0.3">
      <c r="A220" s="81">
        <v>46203</v>
      </c>
      <c r="B220" s="47" t="s">
        <v>793</v>
      </c>
      <c r="C220" s="80">
        <v>10000000</v>
      </c>
      <c r="D220" s="80"/>
      <c r="E220" s="80"/>
      <c r="F220" s="60">
        <f>ПЛАТЕЖИ[[#This Row],[СЎМ]]+(ПЛАТЕЖИ[[#This Row],[ВАЛЮТА]]*ПЛАТЕЖИ[[#This Row],[КУРС]])</f>
        <v>10000000</v>
      </c>
      <c r="G220" s="82"/>
      <c r="H220" s="47" t="s">
        <v>905</v>
      </c>
      <c r="I220" s="165"/>
    </row>
    <row r="221" spans="1:9" ht="15" customHeight="1" x14ac:dyDescent="0.3">
      <c r="A221" s="81">
        <v>46203</v>
      </c>
      <c r="B221" s="59" t="s">
        <v>555</v>
      </c>
      <c r="C221" s="80">
        <v>5275400</v>
      </c>
      <c r="D221" s="80"/>
      <c r="E221" s="80"/>
      <c r="F221" s="60">
        <f>ПЛАТЕЖИ[[#This Row],[СЎМ]]+(ПЛАТЕЖИ[[#This Row],[ВАЛЮТА]]*ПЛАТЕЖИ[[#This Row],[КУРС]])</f>
        <v>5275400</v>
      </c>
      <c r="G221" s="82"/>
      <c r="H221" s="47" t="s">
        <v>906</v>
      </c>
      <c r="I221" s="165"/>
    </row>
    <row r="222" spans="1:9" ht="15" customHeight="1" x14ac:dyDescent="0.3">
      <c r="A222" s="81">
        <v>46203</v>
      </c>
      <c r="B222" s="47" t="s">
        <v>857</v>
      </c>
      <c r="C222" s="80">
        <v>700000</v>
      </c>
      <c r="D222" s="80"/>
      <c r="E222" s="80"/>
      <c r="F222" s="60">
        <f>ПЛАТЕЖИ[[#This Row],[СЎМ]]+(ПЛАТЕЖИ[[#This Row],[ВАЛЮТА]]*ПЛАТЕЖИ[[#This Row],[КУРС]])</f>
        <v>700000</v>
      </c>
      <c r="G222" s="82"/>
      <c r="H222" s="47" t="s">
        <v>906</v>
      </c>
      <c r="I222" s="165"/>
    </row>
    <row r="223" spans="1:9" ht="18.75" customHeight="1" x14ac:dyDescent="0.3">
      <c r="A223" s="286"/>
      <c r="B223" s="287"/>
      <c r="C223" s="288"/>
      <c r="D223" s="288"/>
      <c r="E223" s="288"/>
      <c r="F223" s="289"/>
      <c r="G223" s="287"/>
      <c r="H223" s="287"/>
      <c r="I223" s="287"/>
    </row>
    <row r="224" spans="1:9" ht="16.5" customHeight="1" x14ac:dyDescent="0.3">
      <c r="A224" s="81"/>
      <c r="C224" s="80"/>
      <c r="D224" s="80"/>
      <c r="E224" s="80"/>
      <c r="F224" s="60"/>
      <c r="G224" s="82"/>
      <c r="I224" s="165"/>
    </row>
    <row r="225" spans="1:9" ht="15" customHeight="1" x14ac:dyDescent="0.3">
      <c r="A225" s="81">
        <v>46204</v>
      </c>
      <c r="B225" s="47" t="s">
        <v>826</v>
      </c>
      <c r="C225" s="80">
        <v>1000000</v>
      </c>
      <c r="D225" s="80"/>
      <c r="E225" s="80"/>
      <c r="F225" s="60">
        <f>ПЛАТЕЖИ[[#This Row],[СЎМ]]+(ПЛАТЕЖИ[[#This Row],[ВАЛЮТА]]*ПЛАТЕЖИ[[#This Row],[КУРС]])</f>
        <v>1000000</v>
      </c>
      <c r="G225" s="82"/>
      <c r="H225" s="47" t="s">
        <v>906</v>
      </c>
      <c r="I225" s="165"/>
    </row>
    <row r="226" spans="1:9" ht="15" customHeight="1" x14ac:dyDescent="0.3">
      <c r="A226" s="81">
        <v>46204</v>
      </c>
      <c r="B226" s="47" t="s">
        <v>469</v>
      </c>
      <c r="C226" s="80">
        <v>2798950</v>
      </c>
      <c r="D226" s="80"/>
      <c r="E226" s="80"/>
      <c r="F226" s="60">
        <f>ПЛАТЕЖИ[[#This Row],[СЎМ]]+(ПЛАТЕЖИ[[#This Row],[ВАЛЮТА]]*ПЛАТЕЖИ[[#This Row],[КУРС]])</f>
        <v>2798950</v>
      </c>
      <c r="G226" s="82"/>
      <c r="I226" s="165"/>
    </row>
    <row r="227" spans="1:9" ht="15" customHeight="1" x14ac:dyDescent="0.3">
      <c r="A227" s="81">
        <v>46204</v>
      </c>
      <c r="B227" s="59" t="s">
        <v>329</v>
      </c>
      <c r="C227" s="80">
        <v>1097100</v>
      </c>
      <c r="D227" s="80"/>
      <c r="E227" s="80"/>
      <c r="F227" s="60">
        <f>ПЛАТЕЖИ[[#This Row],[СЎМ]]+(ПЛАТЕЖИ[[#This Row],[ВАЛЮТА]]*ПЛАТЕЖИ[[#This Row],[КУРС]])</f>
        <v>1097100</v>
      </c>
      <c r="G227" s="82"/>
      <c r="I227" s="165"/>
    </row>
    <row r="228" spans="1:9" ht="15" customHeight="1" x14ac:dyDescent="0.3">
      <c r="A228" s="81">
        <v>46204</v>
      </c>
      <c r="B228" s="47" t="s">
        <v>343</v>
      </c>
      <c r="C228" s="80">
        <v>1747400</v>
      </c>
      <c r="D228" s="80"/>
      <c r="E228" s="80"/>
      <c r="F228" s="60">
        <f>ПЛАТЕЖИ[[#This Row],[СЎМ]]+(ПЛАТЕЖИ[[#This Row],[ВАЛЮТА]]*ПЛАТЕЖИ[[#This Row],[КУРС]])</f>
        <v>1747400</v>
      </c>
      <c r="G228" s="82"/>
      <c r="I228" s="165"/>
    </row>
    <row r="229" spans="1:9" ht="15" customHeight="1" x14ac:dyDescent="0.3">
      <c r="A229" s="81">
        <v>46204</v>
      </c>
      <c r="B229" s="47" t="s">
        <v>211</v>
      </c>
      <c r="C229" s="80">
        <v>2173500</v>
      </c>
      <c r="D229" s="80"/>
      <c r="E229" s="80"/>
      <c r="F229" s="60">
        <f>ПЛАТЕЖИ[[#This Row],[СЎМ]]+(ПЛАТЕЖИ[[#This Row],[ВАЛЮТА]]*ПЛАТЕЖИ[[#This Row],[КУРС]])</f>
        <v>2173500</v>
      </c>
      <c r="G229" s="82"/>
      <c r="I229" s="165"/>
    </row>
    <row r="230" spans="1:9" ht="15" customHeight="1" x14ac:dyDescent="0.3">
      <c r="A230" s="81">
        <v>46204</v>
      </c>
      <c r="B230" s="47" t="s">
        <v>508</v>
      </c>
      <c r="C230" s="80">
        <v>10000000</v>
      </c>
      <c r="D230" s="80"/>
      <c r="E230" s="80"/>
      <c r="F230" s="60">
        <f>ПЛАТЕЖИ[[#This Row],[СЎМ]]+(ПЛАТЕЖИ[[#This Row],[ВАЛЮТА]]*ПЛАТЕЖИ[[#This Row],[КУРС]])</f>
        <v>10000000</v>
      </c>
      <c r="G230" s="82"/>
      <c r="H230" s="82"/>
      <c r="I230" s="165"/>
    </row>
    <row r="231" spans="1:9" ht="15" customHeight="1" x14ac:dyDescent="0.3">
      <c r="A231" s="81">
        <v>46204</v>
      </c>
      <c r="B231" s="47" t="s">
        <v>929</v>
      </c>
      <c r="C231" s="80"/>
      <c r="D231" s="80">
        <v>100</v>
      </c>
      <c r="E231" s="80">
        <v>12000</v>
      </c>
      <c r="F231" s="60">
        <f>ПЛАТЕЖИ[[#This Row],[СЎМ]]+(ПЛАТЕЖИ[[#This Row],[ВАЛЮТА]]*ПЛАТЕЖИ[[#This Row],[КУРС]])</f>
        <v>1200000</v>
      </c>
      <c r="G231" s="82"/>
      <c r="H231" s="82"/>
      <c r="I231" s="165"/>
    </row>
    <row r="232" spans="1:9" ht="15" customHeight="1" x14ac:dyDescent="0.3">
      <c r="A232" s="81">
        <v>46204</v>
      </c>
      <c r="B232" s="47" t="s">
        <v>565</v>
      </c>
      <c r="C232" s="80">
        <v>6012000</v>
      </c>
      <c r="D232" s="80"/>
      <c r="E232" s="80"/>
      <c r="F232" s="60">
        <f>ПЛАТЕЖИ[[#This Row],[СЎМ]]+(ПЛАТЕЖИ[[#This Row],[ВАЛЮТА]]*ПЛАТЕЖИ[[#This Row],[КУРС]])</f>
        <v>6012000</v>
      </c>
      <c r="G232" s="82"/>
      <c r="H232" s="82"/>
      <c r="I232" s="165"/>
    </row>
    <row r="233" spans="1:9" ht="15" customHeight="1" x14ac:dyDescent="0.3">
      <c r="A233" s="81">
        <v>46204</v>
      </c>
      <c r="B233" s="47" t="s">
        <v>365</v>
      </c>
      <c r="C233" s="80">
        <v>100000</v>
      </c>
      <c r="D233" s="80"/>
      <c r="E233" s="80"/>
      <c r="F233" s="60">
        <f>ПЛАТЕЖИ[[#This Row],[СЎМ]]+(ПЛАТЕЖИ[[#This Row],[ВАЛЮТА]]*ПЛАТЕЖИ[[#This Row],[КУРС]])</f>
        <v>100000</v>
      </c>
      <c r="G233" s="82"/>
      <c r="H233" s="47" t="s">
        <v>906</v>
      </c>
      <c r="I233" s="165"/>
    </row>
    <row r="234" spans="1:9" ht="15" customHeight="1" x14ac:dyDescent="0.3">
      <c r="A234" s="81">
        <v>46206</v>
      </c>
      <c r="B234" s="47" t="s">
        <v>448</v>
      </c>
      <c r="C234" s="80">
        <v>1071800</v>
      </c>
      <c r="D234" s="80"/>
      <c r="E234" s="80"/>
      <c r="F234" s="60">
        <f>ПЛАТЕЖИ[[#This Row],[СЎМ]]+(ПЛАТЕЖИ[[#This Row],[ВАЛЮТА]]*ПЛАТЕЖИ[[#This Row],[КУРС]])</f>
        <v>1071800</v>
      </c>
      <c r="G234" s="82"/>
      <c r="H234" s="47" t="s">
        <v>906</v>
      </c>
      <c r="I234" s="165"/>
    </row>
    <row r="235" spans="1:9" ht="15" customHeight="1" x14ac:dyDescent="0.3">
      <c r="A235" s="81">
        <v>46206</v>
      </c>
      <c r="B235" s="47" t="s">
        <v>560</v>
      </c>
      <c r="C235" s="80">
        <v>1000000</v>
      </c>
      <c r="D235" s="80"/>
      <c r="E235" s="80"/>
      <c r="F235" s="60">
        <f>ПЛАТЕЖИ[[#This Row],[СЎМ]]+(ПЛАТЕЖИ[[#This Row],[ВАЛЮТА]]*ПЛАТЕЖИ[[#This Row],[КУРС]])</f>
        <v>1000000</v>
      </c>
      <c r="G235" s="82"/>
      <c r="H235" s="47" t="s">
        <v>906</v>
      </c>
      <c r="I235" s="165"/>
    </row>
    <row r="236" spans="1:9" ht="15" customHeight="1" x14ac:dyDescent="0.3">
      <c r="A236" s="81">
        <v>46206</v>
      </c>
      <c r="B236" s="59" t="s">
        <v>919</v>
      </c>
      <c r="C236" s="80">
        <v>14679000</v>
      </c>
      <c r="D236" s="80"/>
      <c r="E236" s="80"/>
      <c r="F236" s="60">
        <f>ПЛАТЕЖИ[[#This Row],[СЎМ]]+(ПЛАТЕЖИ[[#This Row],[ВАЛЮТА]]*ПЛАТЕЖИ[[#This Row],[КУРС]])</f>
        <v>14679000</v>
      </c>
      <c r="G236" s="82"/>
      <c r="H236" s="47" t="s">
        <v>905</v>
      </c>
      <c r="I236" s="165"/>
    </row>
    <row r="237" spans="1:9" ht="15" customHeight="1" x14ac:dyDescent="0.3">
      <c r="A237" s="81">
        <v>46206</v>
      </c>
      <c r="B237" s="47" t="s">
        <v>318</v>
      </c>
      <c r="C237" s="80">
        <v>1182200</v>
      </c>
      <c r="D237" s="80"/>
      <c r="E237" s="80"/>
      <c r="F237" s="60">
        <f>ПЛАТЕЖИ[[#This Row],[СЎМ]]+(ПЛАТЕЖИ[[#This Row],[ВАЛЮТА]]*ПЛАТЕЖИ[[#This Row],[КУРС]])</f>
        <v>1182200</v>
      </c>
      <c r="G237" s="82"/>
      <c r="I237" s="165"/>
    </row>
    <row r="238" spans="1:9" ht="15" customHeight="1" x14ac:dyDescent="0.3">
      <c r="A238" s="81">
        <v>46206</v>
      </c>
      <c r="B238" s="47" t="s">
        <v>387</v>
      </c>
      <c r="C238" s="80">
        <v>768000</v>
      </c>
      <c r="D238" s="80"/>
      <c r="E238" s="80"/>
      <c r="F238" s="60">
        <f>ПЛАТЕЖИ[[#This Row],[СЎМ]]+(ПЛАТЕЖИ[[#This Row],[ВАЛЮТА]]*ПЛАТЕЖИ[[#This Row],[КУРС]])</f>
        <v>768000</v>
      </c>
      <c r="G238" s="82"/>
      <c r="I238" s="165"/>
    </row>
    <row r="239" spans="1:9" ht="15" customHeight="1" x14ac:dyDescent="0.3">
      <c r="A239" s="81">
        <v>46206</v>
      </c>
      <c r="B239" s="82" t="s">
        <v>861</v>
      </c>
      <c r="C239" s="80">
        <v>938400</v>
      </c>
      <c r="D239" s="80"/>
      <c r="E239" s="80"/>
      <c r="F239" s="60">
        <f>ПЛАТЕЖИ[[#This Row],[СЎМ]]+(ПЛАТЕЖИ[[#This Row],[ВАЛЮТА]]*ПЛАТЕЖИ[[#This Row],[КУРС]])</f>
        <v>938400</v>
      </c>
      <c r="G239" s="82"/>
      <c r="H239" s="82"/>
      <c r="I239" s="165"/>
    </row>
    <row r="240" spans="1:9" ht="15" customHeight="1" x14ac:dyDescent="0.3">
      <c r="A240" s="81">
        <v>46206</v>
      </c>
      <c r="B240" s="47" t="s">
        <v>813</v>
      </c>
      <c r="C240" s="80">
        <v>763200</v>
      </c>
      <c r="D240" s="80"/>
      <c r="E240" s="80"/>
      <c r="F240" s="60">
        <f>ПЛАТЕЖИ[[#This Row],[СЎМ]]+(ПЛАТЕЖИ[[#This Row],[ВАЛЮТА]]*ПЛАТЕЖИ[[#This Row],[КУРС]])</f>
        <v>763200</v>
      </c>
      <c r="G240" s="82"/>
      <c r="H240" s="82"/>
      <c r="I240" s="165"/>
    </row>
    <row r="241" spans="1:9" ht="15" customHeight="1" x14ac:dyDescent="0.3">
      <c r="A241" s="81">
        <v>46206</v>
      </c>
      <c r="B241" s="82" t="s">
        <v>302</v>
      </c>
      <c r="C241" s="80">
        <v>1940100</v>
      </c>
      <c r="D241" s="80"/>
      <c r="E241" s="80"/>
      <c r="F241" s="60">
        <f>ПЛАТЕЖИ[[#This Row],[СЎМ]]+(ПЛАТЕЖИ[[#This Row],[ВАЛЮТА]]*ПЛАТЕЖИ[[#This Row],[КУРС]])</f>
        <v>1940100</v>
      </c>
      <c r="G241" s="82"/>
      <c r="I241" s="165"/>
    </row>
    <row r="242" spans="1:9" ht="15" customHeight="1" x14ac:dyDescent="0.3">
      <c r="A242" s="81">
        <v>46207</v>
      </c>
      <c r="B242" s="47" t="s">
        <v>738</v>
      </c>
      <c r="C242" s="80">
        <v>1149000</v>
      </c>
      <c r="D242" s="80"/>
      <c r="E242" s="80"/>
      <c r="F242" s="60">
        <f>ПЛАТЕЖИ[[#This Row],[СЎМ]]+(ПЛАТЕЖИ[[#This Row],[ВАЛЮТА]]*ПЛАТЕЖИ[[#This Row],[КУРС]])</f>
        <v>1149000</v>
      </c>
      <c r="G242" s="82"/>
      <c r="H242" s="47" t="s">
        <v>906</v>
      </c>
      <c r="I242" s="165"/>
    </row>
    <row r="243" spans="1:9" ht="15" customHeight="1" x14ac:dyDescent="0.3">
      <c r="A243" s="81">
        <v>46207</v>
      </c>
      <c r="B243" s="47" t="s">
        <v>353</v>
      </c>
      <c r="C243" s="80">
        <v>1000000</v>
      </c>
      <c r="D243" s="80"/>
      <c r="E243" s="80"/>
      <c r="F243" s="60">
        <f>ПЛАТЕЖИ[[#This Row],[СЎМ]]+(ПЛАТЕЖИ[[#This Row],[ВАЛЮТА]]*ПЛАТЕЖИ[[#This Row],[КУРС]])</f>
        <v>1000000</v>
      </c>
      <c r="G243" s="82"/>
      <c r="H243" s="47" t="s">
        <v>905</v>
      </c>
      <c r="I243" s="165"/>
    </row>
    <row r="244" spans="1:9" ht="15" customHeight="1" x14ac:dyDescent="0.3">
      <c r="A244" s="286">
        <v>46207</v>
      </c>
      <c r="B244" s="287" t="s">
        <v>934</v>
      </c>
      <c r="C244" s="288">
        <v>6129400</v>
      </c>
      <c r="D244" s="288"/>
      <c r="E244" s="288"/>
      <c r="F244" s="289">
        <f>ПЛАТЕЖИ[[#This Row],[СЎМ]]+(ПЛАТЕЖИ[[#This Row],[ВАЛЮТА]]*ПЛАТЕЖИ[[#This Row],[КУРС]])</f>
        <v>6129400</v>
      </c>
      <c r="G244" s="287"/>
      <c r="H244" s="287"/>
      <c r="I244" s="287"/>
    </row>
    <row r="245" spans="1:9" ht="15" customHeight="1" x14ac:dyDescent="0.3">
      <c r="A245" s="286">
        <v>46207</v>
      </c>
      <c r="B245" s="287" t="s">
        <v>254</v>
      </c>
      <c r="C245" s="288">
        <v>2018500</v>
      </c>
      <c r="D245" s="288"/>
      <c r="E245" s="288"/>
      <c r="F245" s="289">
        <f>ПЛАТЕЖИ[[#This Row],[СЎМ]]+(ПЛАТЕЖИ[[#This Row],[ВАЛЮТА]]*ПЛАТЕЖИ[[#This Row],[КУРС]])</f>
        <v>2018500</v>
      </c>
      <c r="G245" s="287"/>
      <c r="H245" s="287"/>
      <c r="I245" s="287"/>
    </row>
    <row r="246" spans="1:9" ht="15" customHeight="1" x14ac:dyDescent="0.3">
      <c r="A246" s="81">
        <v>46207</v>
      </c>
      <c r="B246" s="82" t="s">
        <v>86</v>
      </c>
      <c r="C246" s="80">
        <v>1000000</v>
      </c>
      <c r="D246" s="80"/>
      <c r="E246" s="80"/>
      <c r="F246" s="60">
        <f>ПЛАТЕЖИ[[#This Row],[СЎМ]]+(ПЛАТЕЖИ[[#This Row],[ВАЛЮТА]]*ПЛАТЕЖИ[[#This Row],[КУРС]])</f>
        <v>1000000</v>
      </c>
      <c r="G246" s="82"/>
      <c r="H246" s="82"/>
      <c r="I246" s="165"/>
    </row>
    <row r="247" spans="1:9" ht="15" customHeight="1" x14ac:dyDescent="0.3">
      <c r="A247" s="81">
        <v>46207</v>
      </c>
      <c r="B247" s="82" t="s">
        <v>206</v>
      </c>
      <c r="C247" s="80">
        <v>250000</v>
      </c>
      <c r="D247" s="80"/>
      <c r="E247" s="80"/>
      <c r="F247" s="60">
        <f>ПЛАТЕЖИ[[#This Row],[СЎМ]]+(ПЛАТЕЖИ[[#This Row],[ВАЛЮТА]]*ПЛАТЕЖИ[[#This Row],[КУРС]])</f>
        <v>250000</v>
      </c>
      <c r="G247" s="82"/>
      <c r="H247" s="47" t="s">
        <v>906</v>
      </c>
      <c r="I247" s="165"/>
    </row>
    <row r="248" spans="1:9" ht="15" customHeight="1" x14ac:dyDescent="0.3">
      <c r="A248" s="81">
        <v>46207</v>
      </c>
      <c r="B248" s="82" t="s">
        <v>503</v>
      </c>
      <c r="C248" s="80">
        <v>312800</v>
      </c>
      <c r="D248" s="80"/>
      <c r="E248" s="80"/>
      <c r="F248" s="60">
        <f>ПЛАТЕЖИ[[#This Row],[СЎМ]]+(ПЛАТЕЖИ[[#This Row],[ВАЛЮТА]]*ПЛАТЕЖИ[[#This Row],[КУРС]])</f>
        <v>312800</v>
      </c>
      <c r="G248" s="82"/>
      <c r="H248" s="47" t="s">
        <v>906</v>
      </c>
      <c r="I248" s="165"/>
    </row>
    <row r="249" spans="1:9" ht="15" customHeight="1" x14ac:dyDescent="0.3">
      <c r="A249" s="81">
        <v>46207</v>
      </c>
      <c r="B249" s="82" t="s">
        <v>720</v>
      </c>
      <c r="C249" s="80">
        <v>1117800</v>
      </c>
      <c r="D249" s="80"/>
      <c r="E249" s="80"/>
      <c r="F249" s="60">
        <f>ПЛАТЕЖИ[[#This Row],[СЎМ]]+(ПЛАТЕЖИ[[#This Row],[ВАЛЮТА]]*ПЛАТЕЖИ[[#This Row],[КУРС]])</f>
        <v>1117800</v>
      </c>
      <c r="G249" s="82"/>
      <c r="H249" s="82"/>
      <c r="I249" s="165"/>
    </row>
    <row r="250" spans="1:9" ht="15" customHeight="1" x14ac:dyDescent="0.3">
      <c r="A250" s="81">
        <v>46208</v>
      </c>
      <c r="B250" s="82" t="s">
        <v>450</v>
      </c>
      <c r="C250" s="80">
        <v>1926900</v>
      </c>
      <c r="D250" s="80"/>
      <c r="E250" s="80"/>
      <c r="F250" s="60">
        <f>ПЛАТЕЖИ[[#This Row],[СЎМ]]+(ПЛАТЕЖИ[[#This Row],[ВАЛЮТА]]*ПЛАТЕЖИ[[#This Row],[КУРС]])</f>
        <v>1926900</v>
      </c>
      <c r="G250" s="82"/>
      <c r="H250" s="82"/>
      <c r="I250" s="165"/>
    </row>
    <row r="251" spans="1:9" ht="15" customHeight="1" x14ac:dyDescent="0.3">
      <c r="A251" s="81">
        <v>46208</v>
      </c>
      <c r="B251" s="82" t="s">
        <v>206</v>
      </c>
      <c r="C251" s="80">
        <v>1201300</v>
      </c>
      <c r="D251" s="80"/>
      <c r="E251" s="80"/>
      <c r="F251" s="60">
        <f>ПЛАТЕЖИ[[#This Row],[СЎМ]]+(ПЛАТЕЖИ[[#This Row],[ВАЛЮТА]]*ПЛАТЕЖИ[[#This Row],[КУРС]])</f>
        <v>1201300</v>
      </c>
      <c r="G251" s="82"/>
      <c r="H251" s="47" t="s">
        <v>906</v>
      </c>
      <c r="I251" s="165"/>
    </row>
    <row r="252" spans="1:9" ht="15" customHeight="1" x14ac:dyDescent="0.3">
      <c r="A252" s="81">
        <v>46208</v>
      </c>
      <c r="B252" s="82" t="s">
        <v>802</v>
      </c>
      <c r="C252" s="80">
        <v>768000</v>
      </c>
      <c r="D252" s="80"/>
      <c r="E252" s="80"/>
      <c r="F252" s="60">
        <f>ПЛАТЕЖИ[[#This Row],[СЎМ]]+(ПЛАТЕЖИ[[#This Row],[ВАЛЮТА]]*ПЛАТЕЖИ[[#This Row],[КУРС]])</f>
        <v>768000</v>
      </c>
      <c r="G252" s="82"/>
      <c r="H252" s="47" t="s">
        <v>906</v>
      </c>
      <c r="I252" s="165"/>
    </row>
    <row r="253" spans="1:9" ht="15" customHeight="1" x14ac:dyDescent="0.3">
      <c r="A253" s="81">
        <v>46208</v>
      </c>
      <c r="B253" s="82" t="s">
        <v>88</v>
      </c>
      <c r="C253" s="80">
        <v>1887600</v>
      </c>
      <c r="D253" s="80"/>
      <c r="E253" s="80"/>
      <c r="F253" s="60">
        <f>ПЛАТЕЖИ[[#This Row],[СЎМ]]+(ПЛАТЕЖИ[[#This Row],[ВАЛЮТА]]*ПЛАТЕЖИ[[#This Row],[КУРС]])</f>
        <v>1887600</v>
      </c>
      <c r="G253" s="82"/>
      <c r="H253" s="82"/>
      <c r="I253" s="165"/>
    </row>
    <row r="254" spans="1:9" ht="15" customHeight="1" x14ac:dyDescent="0.3">
      <c r="A254" s="81">
        <v>46208</v>
      </c>
      <c r="B254" s="82" t="s">
        <v>70</v>
      </c>
      <c r="C254" s="80">
        <v>1170600</v>
      </c>
      <c r="D254" s="80"/>
      <c r="E254" s="80"/>
      <c r="F254" s="60">
        <f>ПЛАТЕЖИ[[#This Row],[СЎМ]]+(ПЛАТЕЖИ[[#This Row],[ВАЛЮТА]]*ПЛАТЕЖИ[[#This Row],[КУРС]])</f>
        <v>1170600</v>
      </c>
      <c r="G254" s="82"/>
      <c r="H254" s="82"/>
      <c r="I254" s="165"/>
    </row>
    <row r="255" spans="1:9" ht="15" customHeight="1" x14ac:dyDescent="0.3">
      <c r="A255" s="81">
        <v>46208</v>
      </c>
      <c r="B255" s="82" t="s">
        <v>175</v>
      </c>
      <c r="C255" s="80">
        <v>1106300</v>
      </c>
      <c r="D255" s="80"/>
      <c r="E255" s="80"/>
      <c r="F255" s="60">
        <f>ПЛАТЕЖИ[[#This Row],[СЎМ]]+(ПЛАТЕЖИ[[#This Row],[ВАЛЮТА]]*ПЛАТЕЖИ[[#This Row],[КУРС]])</f>
        <v>1106300</v>
      </c>
      <c r="G255" s="82"/>
      <c r="H255" s="82"/>
      <c r="I255" s="165"/>
    </row>
    <row r="256" spans="1:9" ht="15" customHeight="1" x14ac:dyDescent="0.3">
      <c r="A256" s="81">
        <v>46208</v>
      </c>
      <c r="B256" s="82" t="s">
        <v>929</v>
      </c>
      <c r="C256" s="80">
        <v>976800</v>
      </c>
      <c r="D256" s="80"/>
      <c r="E256" s="80"/>
      <c r="F256" s="60">
        <f>ПЛАТЕЖИ[[#This Row],[СЎМ]]+(ПЛАТЕЖИ[[#This Row],[ВАЛЮТА]]*ПЛАТЕЖИ[[#This Row],[КУРС]])</f>
        <v>976800</v>
      </c>
      <c r="G256" s="82"/>
      <c r="H256" s="82"/>
      <c r="I256" s="165"/>
    </row>
    <row r="257" spans="1:9" ht="15" customHeight="1" x14ac:dyDescent="0.3">
      <c r="A257" s="81">
        <v>46208</v>
      </c>
      <c r="B257" s="82" t="s">
        <v>672</v>
      </c>
      <c r="C257" s="80">
        <v>1252000</v>
      </c>
      <c r="D257" s="80"/>
      <c r="E257" s="80"/>
      <c r="F257" s="60">
        <f>ПЛАТЕЖИ[[#This Row],[СЎМ]]+(ПЛАТЕЖИ[[#This Row],[ВАЛЮТА]]*ПЛАТЕЖИ[[#This Row],[КУРС]])</f>
        <v>1252000</v>
      </c>
      <c r="G257" s="82"/>
      <c r="H257" s="82"/>
      <c r="I257" s="165"/>
    </row>
    <row r="258" spans="1:9" ht="15" customHeight="1" x14ac:dyDescent="0.3">
      <c r="A258" s="81">
        <v>46208</v>
      </c>
      <c r="B258" s="82" t="s">
        <v>464</v>
      </c>
      <c r="C258" s="80">
        <v>3408600</v>
      </c>
      <c r="D258" s="80"/>
      <c r="E258" s="80"/>
      <c r="F258" s="60">
        <f>ПЛАТЕЖИ[[#This Row],[СЎМ]]+(ПЛАТЕЖИ[[#This Row],[ВАЛЮТА]]*ПЛАТЕЖИ[[#This Row],[КУРС]])</f>
        <v>3408600</v>
      </c>
      <c r="G258" s="82"/>
      <c r="H258" s="82"/>
      <c r="I258" s="165"/>
    </row>
    <row r="259" spans="1:9" ht="15" customHeight="1" x14ac:dyDescent="0.3">
      <c r="A259" s="81">
        <v>46208</v>
      </c>
      <c r="B259" s="59" t="s">
        <v>879</v>
      </c>
      <c r="C259" s="80">
        <v>1014300</v>
      </c>
      <c r="D259" s="80"/>
      <c r="E259" s="80"/>
      <c r="F259" s="60">
        <f>ПЛАТЕЖИ[[#This Row],[СЎМ]]+(ПЛАТЕЖИ[[#This Row],[ВАЛЮТА]]*ПЛАТЕЖИ[[#This Row],[КУРС]])</f>
        <v>1014300</v>
      </c>
      <c r="G259" s="82"/>
      <c r="H259" s="82"/>
      <c r="I259" s="165"/>
    </row>
    <row r="260" spans="1:9" ht="15" customHeight="1" x14ac:dyDescent="0.3">
      <c r="A260" s="81">
        <v>46208</v>
      </c>
      <c r="B260" s="82" t="s">
        <v>72</v>
      </c>
      <c r="C260" s="80">
        <v>872000</v>
      </c>
      <c r="D260" s="80"/>
      <c r="E260" s="80"/>
      <c r="F260" s="60">
        <f>ПЛАТЕЖИ[[#This Row],[СЎМ]]+(ПЛАТЕЖИ[[#This Row],[ВАЛЮТА]]*ПЛАТЕЖИ[[#This Row],[КУРС]])</f>
        <v>872000</v>
      </c>
      <c r="G260" s="82"/>
      <c r="H260" s="82"/>
      <c r="I260" s="165"/>
    </row>
    <row r="261" spans="1:9" ht="15" customHeight="1" x14ac:dyDescent="0.3">
      <c r="A261" s="81">
        <v>46208</v>
      </c>
      <c r="B261" s="82" t="s">
        <v>488</v>
      </c>
      <c r="C261" s="80">
        <v>1067000</v>
      </c>
      <c r="D261" s="80"/>
      <c r="E261" s="80"/>
      <c r="F261" s="60">
        <f>ПЛАТЕЖИ[[#This Row],[СЎМ]]+(ПЛАТЕЖИ[[#This Row],[ВАЛЮТА]]*ПЛАТЕЖИ[[#This Row],[КУРС]])</f>
        <v>1067000</v>
      </c>
      <c r="G261" s="82"/>
      <c r="H261" s="82"/>
      <c r="I261" s="165"/>
    </row>
    <row r="262" spans="1:9" ht="15" customHeight="1" x14ac:dyDescent="0.3">
      <c r="A262" s="81">
        <v>46209</v>
      </c>
      <c r="B262" s="59" t="s">
        <v>877</v>
      </c>
      <c r="C262" s="80">
        <v>2265500</v>
      </c>
      <c r="D262" s="80"/>
      <c r="E262" s="80"/>
      <c r="F262" s="60">
        <f>ПЛАТЕЖИ[[#This Row],[СЎМ]]+(ПЛАТЕЖИ[[#This Row],[ВАЛЮТА]]*ПЛАТЕЖИ[[#This Row],[КУРС]])</f>
        <v>2265500</v>
      </c>
      <c r="G262" s="82"/>
      <c r="H262" s="82"/>
      <c r="I262" s="165"/>
    </row>
    <row r="263" spans="1:9" ht="15" customHeight="1" x14ac:dyDescent="0.3">
      <c r="A263" s="81">
        <v>46209</v>
      </c>
      <c r="B263" s="82" t="s">
        <v>829</v>
      </c>
      <c r="C263" s="80">
        <v>500000</v>
      </c>
      <c r="D263" s="80"/>
      <c r="E263" s="80"/>
      <c r="F263" s="60">
        <f>ПЛАТЕЖИ[[#This Row],[СЎМ]]+(ПЛАТЕЖИ[[#This Row],[ВАЛЮТА]]*ПЛАТЕЖИ[[#This Row],[КУРС]])</f>
        <v>500000</v>
      </c>
      <c r="G263" s="82"/>
      <c r="H263" s="82"/>
      <c r="I263" s="165"/>
    </row>
    <row r="264" spans="1:9" ht="15" customHeight="1" x14ac:dyDescent="0.3">
      <c r="A264" s="81">
        <v>46209</v>
      </c>
      <c r="B264" s="82" t="s">
        <v>1005</v>
      </c>
      <c r="C264" s="80">
        <v>13782000</v>
      </c>
      <c r="D264" s="80"/>
      <c r="E264" s="80"/>
      <c r="F264" s="60">
        <f>ПЛАТЕЖИ[[#This Row],[СЎМ]]+(ПЛАТЕЖИ[[#This Row],[ВАЛЮТА]]*ПЛАТЕЖИ[[#This Row],[КУРС]])</f>
        <v>13782000</v>
      </c>
      <c r="G264" s="82"/>
      <c r="H264" s="82"/>
      <c r="I264" s="165"/>
    </row>
    <row r="265" spans="1:9" ht="15" customHeight="1" x14ac:dyDescent="0.3">
      <c r="A265" s="81">
        <v>46209</v>
      </c>
      <c r="B265" s="82" t="s">
        <v>228</v>
      </c>
      <c r="C265" s="80">
        <v>1000000</v>
      </c>
      <c r="D265" s="80"/>
      <c r="E265" s="80"/>
      <c r="F265" s="60">
        <f>ПЛАТЕЖИ[[#This Row],[СЎМ]]+(ПЛАТЕЖИ[[#This Row],[ВАЛЮТА]]*ПЛАТЕЖИ[[#This Row],[КУРС]])</f>
        <v>1000000</v>
      </c>
      <c r="G265" s="82"/>
      <c r="H265" s="47" t="s">
        <v>905</v>
      </c>
      <c r="I265" s="165"/>
    </row>
    <row r="266" spans="1:9" ht="15" customHeight="1" x14ac:dyDescent="0.3">
      <c r="A266" s="81">
        <v>46209</v>
      </c>
      <c r="B266" s="82" t="s">
        <v>204</v>
      </c>
      <c r="C266" s="80">
        <v>1035000</v>
      </c>
      <c r="D266" s="80"/>
      <c r="E266" s="80"/>
      <c r="F266" s="60">
        <f>ПЛАТЕЖИ[[#This Row],[СЎМ]]+(ПЛАТЕЖИ[[#This Row],[ВАЛЮТА]]*ПЛАТЕЖИ[[#This Row],[КУРС]])</f>
        <v>1035000</v>
      </c>
      <c r="G266" s="82"/>
      <c r="H266" s="47" t="s">
        <v>906</v>
      </c>
      <c r="I266" s="165"/>
    </row>
    <row r="267" spans="1:9" ht="15" customHeight="1" x14ac:dyDescent="0.3">
      <c r="A267" s="81">
        <v>46209</v>
      </c>
      <c r="B267" s="82" t="s">
        <v>737</v>
      </c>
      <c r="C267" s="80">
        <v>15000000</v>
      </c>
      <c r="D267" s="80"/>
      <c r="E267" s="80"/>
      <c r="F267" s="60">
        <f>ПЛАТЕЖИ[[#This Row],[СЎМ]]+(ПЛАТЕЖИ[[#This Row],[ВАЛЮТА]]*ПЛАТЕЖИ[[#This Row],[КУРС]])</f>
        <v>15000000</v>
      </c>
      <c r="G267" s="82"/>
      <c r="H267" s="47" t="s">
        <v>905</v>
      </c>
      <c r="I267" s="165"/>
    </row>
    <row r="268" spans="1:9" ht="15" customHeight="1" x14ac:dyDescent="0.3">
      <c r="A268" s="81">
        <v>46209</v>
      </c>
      <c r="B268" s="82" t="s">
        <v>220</v>
      </c>
      <c r="C268" s="80">
        <v>2023700</v>
      </c>
      <c r="D268" s="80"/>
      <c r="E268" s="80"/>
      <c r="F268" s="60">
        <f>ПЛАТЕЖИ[[#This Row],[СЎМ]]+(ПЛАТЕЖИ[[#This Row],[ВАЛЮТА]]*ПЛАТЕЖИ[[#This Row],[КУРС]])</f>
        <v>2023700</v>
      </c>
      <c r="G268" s="82"/>
      <c r="H268" s="47" t="s">
        <v>905</v>
      </c>
      <c r="I268" s="165"/>
    </row>
    <row r="269" spans="1:9" ht="15" customHeight="1" x14ac:dyDescent="0.3">
      <c r="A269" s="81">
        <v>46209</v>
      </c>
      <c r="B269" s="82" t="s">
        <v>938</v>
      </c>
      <c r="C269" s="80">
        <v>4222200</v>
      </c>
      <c r="D269" s="80"/>
      <c r="E269" s="80"/>
      <c r="F269" s="60">
        <f>ПЛАТЕЖИ[[#This Row],[СЎМ]]+(ПЛАТЕЖИ[[#This Row],[ВАЛЮТА]]*ПЛАТЕЖИ[[#This Row],[КУРС]])</f>
        <v>4222200</v>
      </c>
      <c r="G269" s="82"/>
      <c r="H269" s="47" t="s">
        <v>905</v>
      </c>
      <c r="I269" s="165"/>
    </row>
    <row r="270" spans="1:9" ht="15" customHeight="1" x14ac:dyDescent="0.3">
      <c r="A270" s="81">
        <v>46209</v>
      </c>
      <c r="B270" s="82" t="s">
        <v>207</v>
      </c>
      <c r="C270" s="80">
        <v>2205700</v>
      </c>
      <c r="D270" s="80"/>
      <c r="E270" s="80"/>
      <c r="F270" s="60">
        <f>ПЛАТЕЖИ[[#This Row],[СЎМ]]+(ПЛАТЕЖИ[[#This Row],[ВАЛЮТА]]*ПЛАТЕЖИ[[#This Row],[КУРС]])</f>
        <v>2205700</v>
      </c>
      <c r="G270" s="82"/>
      <c r="H270" s="47" t="s">
        <v>905</v>
      </c>
      <c r="I270" s="165"/>
    </row>
    <row r="271" spans="1:9" ht="15" customHeight="1" x14ac:dyDescent="0.3">
      <c r="A271" s="81">
        <v>46209</v>
      </c>
      <c r="B271" s="82" t="s">
        <v>776</v>
      </c>
      <c r="C271" s="80">
        <v>300000</v>
      </c>
      <c r="D271" s="80"/>
      <c r="E271" s="80"/>
      <c r="F271" s="60">
        <f>ПЛАТЕЖИ[[#This Row],[СЎМ]]+(ПЛАТЕЖИ[[#This Row],[ВАЛЮТА]]*ПЛАТЕЖИ[[#This Row],[КУРС]])</f>
        <v>300000</v>
      </c>
      <c r="G271" s="82"/>
      <c r="H271" s="82"/>
      <c r="I271" s="165"/>
    </row>
    <row r="272" spans="1:9" ht="15" customHeight="1" x14ac:dyDescent="0.3">
      <c r="A272" s="81">
        <v>46209</v>
      </c>
      <c r="B272" s="82" t="s">
        <v>163</v>
      </c>
      <c r="C272" s="80">
        <v>152200</v>
      </c>
      <c r="D272" s="80"/>
      <c r="E272" s="80"/>
      <c r="F272" s="60">
        <f>ПЛАТЕЖИ[[#This Row],[СЎМ]]+(ПЛАТЕЖИ[[#This Row],[ВАЛЮТА]]*ПЛАТЕЖИ[[#This Row],[КУРС]])</f>
        <v>152200</v>
      </c>
      <c r="G272" s="82"/>
      <c r="H272" s="82"/>
      <c r="I272" s="165"/>
    </row>
    <row r="273" spans="1:9" ht="15" customHeight="1" x14ac:dyDescent="0.3">
      <c r="A273" s="81">
        <v>46209</v>
      </c>
      <c r="B273" s="82" t="s">
        <v>496</v>
      </c>
      <c r="C273" s="80">
        <v>599300</v>
      </c>
      <c r="D273" s="80">
        <v>100</v>
      </c>
      <c r="E273" s="80">
        <v>12000</v>
      </c>
      <c r="F273" s="60">
        <f>ПЛАТЕЖИ[[#This Row],[СЎМ]]+(ПЛАТЕЖИ[[#This Row],[ВАЛЮТА]]*ПЛАТЕЖИ[[#This Row],[КУРС]])</f>
        <v>1799300</v>
      </c>
      <c r="G273" s="82"/>
      <c r="H273" s="82"/>
      <c r="I273" s="165"/>
    </row>
    <row r="274" spans="1:9" ht="15" customHeight="1" x14ac:dyDescent="0.3">
      <c r="A274" s="81">
        <v>46210</v>
      </c>
      <c r="B274" s="82" t="s">
        <v>738</v>
      </c>
      <c r="C274" s="80">
        <v>1302800</v>
      </c>
      <c r="D274" s="80"/>
      <c r="E274" s="80"/>
      <c r="F274" s="60">
        <f>ПЛАТЕЖИ[[#This Row],[СЎМ]]+(ПЛАТЕЖИ[[#This Row],[ВАЛЮТА]]*ПЛАТЕЖИ[[#This Row],[КУРС]])</f>
        <v>1302800</v>
      </c>
      <c r="G274" s="82"/>
      <c r="H274" s="47" t="s">
        <v>906</v>
      </c>
      <c r="I274" s="165"/>
    </row>
    <row r="275" spans="1:9" ht="15" customHeight="1" x14ac:dyDescent="0.3">
      <c r="A275" s="81">
        <v>46210</v>
      </c>
      <c r="B275" s="82" t="s">
        <v>386</v>
      </c>
      <c r="C275" s="80">
        <v>747700</v>
      </c>
      <c r="D275" s="80"/>
      <c r="E275" s="80"/>
      <c r="F275" s="60">
        <f>ПЛАТЕЖИ[[#This Row],[СЎМ]]+(ПЛАТЕЖИ[[#This Row],[ВАЛЮТА]]*ПЛАТЕЖИ[[#This Row],[КУРС]])</f>
        <v>747700</v>
      </c>
      <c r="G275" s="82"/>
      <c r="H275" s="47" t="s">
        <v>906</v>
      </c>
      <c r="I275" s="165"/>
    </row>
    <row r="276" spans="1:9" ht="15" customHeight="1" x14ac:dyDescent="0.3">
      <c r="A276" s="81">
        <v>46210</v>
      </c>
      <c r="B276" s="82" t="s">
        <v>831</v>
      </c>
      <c r="C276" s="80">
        <v>8965000</v>
      </c>
      <c r="D276" s="80"/>
      <c r="E276" s="80"/>
      <c r="F276" s="60">
        <f>ПЛАТЕЖИ[[#This Row],[СЎМ]]+(ПЛАТЕЖИ[[#This Row],[ВАЛЮТА]]*ПЛАТЕЖИ[[#This Row],[КУРС]])</f>
        <v>8965000</v>
      </c>
      <c r="G276" s="82"/>
      <c r="H276" s="47" t="s">
        <v>905</v>
      </c>
      <c r="I276" s="165"/>
    </row>
    <row r="277" spans="1:9" ht="15" customHeight="1" x14ac:dyDescent="0.3">
      <c r="A277" s="81">
        <v>46210</v>
      </c>
      <c r="B277" s="82" t="s">
        <v>782</v>
      </c>
      <c r="C277" s="80">
        <v>20000000</v>
      </c>
      <c r="D277" s="80"/>
      <c r="E277" s="80"/>
      <c r="F277" s="60">
        <f>ПЛАТЕЖИ[[#This Row],[СЎМ]]+(ПЛАТЕЖИ[[#This Row],[ВАЛЮТА]]*ПЛАТЕЖИ[[#This Row],[КУРС]])</f>
        <v>20000000</v>
      </c>
      <c r="G277" s="82"/>
      <c r="H277" s="47" t="s">
        <v>905</v>
      </c>
      <c r="I277" s="165"/>
    </row>
    <row r="278" spans="1:9" ht="15" customHeight="1" x14ac:dyDescent="0.3">
      <c r="A278" s="81">
        <v>46210</v>
      </c>
      <c r="B278" s="82" t="s">
        <v>112</v>
      </c>
      <c r="C278" s="80">
        <v>500000</v>
      </c>
      <c r="D278" s="80"/>
      <c r="E278" s="80"/>
      <c r="F278" s="60">
        <f>ПЛАТЕЖИ[[#This Row],[СЎМ]]+(ПЛАТЕЖИ[[#This Row],[ВАЛЮТА]]*ПЛАТЕЖИ[[#This Row],[КУРС]])</f>
        <v>500000</v>
      </c>
      <c r="G278" s="82"/>
      <c r="H278" s="47" t="s">
        <v>906</v>
      </c>
      <c r="I278" s="165"/>
    </row>
    <row r="279" spans="1:9" ht="15" customHeight="1" x14ac:dyDescent="0.3">
      <c r="A279" s="81">
        <v>46210</v>
      </c>
      <c r="B279" s="82" t="s">
        <v>992</v>
      </c>
      <c r="C279" s="80">
        <v>10660000</v>
      </c>
      <c r="D279" s="80"/>
      <c r="E279" s="80"/>
      <c r="F279" s="60">
        <f>ПЛАТЕЖИ[[#This Row],[СЎМ]]+(ПЛАТЕЖИ[[#This Row],[ВАЛЮТА]]*ПЛАТЕЖИ[[#This Row],[КУРС]])</f>
        <v>10660000</v>
      </c>
      <c r="G279" s="82"/>
      <c r="H279" s="47" t="s">
        <v>905</v>
      </c>
      <c r="I279" s="165"/>
    </row>
    <row r="280" spans="1:9" ht="15" customHeight="1" x14ac:dyDescent="0.3">
      <c r="A280" s="81">
        <v>46210</v>
      </c>
      <c r="B280" s="82" t="s">
        <v>1004</v>
      </c>
      <c r="C280" s="80">
        <v>13205400</v>
      </c>
      <c r="D280" s="80"/>
      <c r="E280" s="80"/>
      <c r="F280" s="60">
        <f>ПЛАТЕЖИ[[#This Row],[СЎМ]]+(ПЛАТЕЖИ[[#This Row],[ВАЛЮТА]]*ПЛАТЕЖИ[[#This Row],[КУРС]])</f>
        <v>13205400</v>
      </c>
      <c r="G280" s="82"/>
      <c r="H280" s="82"/>
      <c r="I280" s="165"/>
    </row>
    <row r="281" spans="1:9" ht="15" customHeight="1" x14ac:dyDescent="0.3">
      <c r="A281" s="81">
        <v>46210</v>
      </c>
      <c r="B281" s="82" t="s">
        <v>829</v>
      </c>
      <c r="C281" s="80">
        <v>500000</v>
      </c>
      <c r="D281" s="80"/>
      <c r="E281" s="80"/>
      <c r="F281" s="60">
        <f>ПЛАТЕЖИ[[#This Row],[СЎМ]]+(ПЛАТЕЖИ[[#This Row],[ВАЛЮТА]]*ПЛАТЕЖИ[[#This Row],[КУРС]])</f>
        <v>500000</v>
      </c>
      <c r="G281" s="82"/>
      <c r="H281" s="82"/>
      <c r="I281" s="165"/>
    </row>
    <row r="282" spans="1:9" ht="15" customHeight="1" x14ac:dyDescent="0.3">
      <c r="A282" s="81">
        <v>46210</v>
      </c>
      <c r="B282" s="82" t="s">
        <v>827</v>
      </c>
      <c r="C282" s="80">
        <v>5500000</v>
      </c>
      <c r="D282" s="80"/>
      <c r="E282" s="80"/>
      <c r="F282" s="60">
        <f>ПЛАТЕЖИ[[#This Row],[СЎМ]]+(ПЛАТЕЖИ[[#This Row],[ВАЛЮТА]]*ПЛАТЕЖИ[[#This Row],[КУРС]])</f>
        <v>5500000</v>
      </c>
      <c r="G282" s="82"/>
      <c r="H282" s="82"/>
      <c r="I282" s="165"/>
    </row>
    <row r="283" spans="1:9" ht="15" customHeight="1" x14ac:dyDescent="0.3">
      <c r="A283" s="81">
        <v>46210</v>
      </c>
      <c r="B283" s="82" t="s">
        <v>469</v>
      </c>
      <c r="C283" s="80">
        <v>3990000</v>
      </c>
      <c r="D283" s="80"/>
      <c r="E283" s="80"/>
      <c r="F283" s="60">
        <f>ПЛАТЕЖИ[[#This Row],[СЎМ]]+(ПЛАТЕЖИ[[#This Row],[ВАЛЮТА]]*ПЛАТЕЖИ[[#This Row],[КУРС]])</f>
        <v>3990000</v>
      </c>
      <c r="G283" s="82"/>
      <c r="H283" s="82"/>
      <c r="I283" s="165"/>
    </row>
    <row r="284" spans="1:9" ht="15" customHeight="1" x14ac:dyDescent="0.3">
      <c r="A284" s="81">
        <v>46210</v>
      </c>
      <c r="B284" s="82" t="s">
        <v>991</v>
      </c>
      <c r="C284" s="80">
        <v>1000000</v>
      </c>
      <c r="D284" s="80"/>
      <c r="E284" s="80"/>
      <c r="F284" s="60">
        <f>ПЛАТЕЖИ[[#This Row],[СЎМ]]+(ПЛАТЕЖИ[[#This Row],[ВАЛЮТА]]*ПЛАТЕЖИ[[#This Row],[КУРС]])</f>
        <v>1000000</v>
      </c>
      <c r="G284" s="82"/>
      <c r="H284" s="47" t="s">
        <v>905</v>
      </c>
      <c r="I284" s="165"/>
    </row>
    <row r="285" spans="1:9" ht="15" customHeight="1" x14ac:dyDescent="0.3">
      <c r="A285" s="81">
        <v>46210</v>
      </c>
      <c r="B285" s="82" t="s">
        <v>97</v>
      </c>
      <c r="C285" s="80">
        <v>831000</v>
      </c>
      <c r="D285" s="80"/>
      <c r="E285" s="80"/>
      <c r="F285" s="60">
        <f>ПЛАТЕЖИ[[#This Row],[СЎМ]]+(ПЛАТЕЖИ[[#This Row],[ВАЛЮТА]]*ПЛАТЕЖИ[[#This Row],[КУРС]])</f>
        <v>831000</v>
      </c>
      <c r="G285" s="82"/>
      <c r="H285" s="82"/>
      <c r="I285" s="165"/>
    </row>
    <row r="286" spans="1:9" ht="15" customHeight="1" x14ac:dyDescent="0.3">
      <c r="A286" s="81">
        <v>46210</v>
      </c>
      <c r="B286" s="82" t="s">
        <v>360</v>
      </c>
      <c r="C286" s="80">
        <v>1039600</v>
      </c>
      <c r="D286" s="80"/>
      <c r="E286" s="80"/>
      <c r="F286" s="60">
        <f>ПЛАТЕЖИ[[#This Row],[СЎМ]]+(ПЛАТЕЖИ[[#This Row],[ВАЛЮТА]]*ПЛАТЕЖИ[[#This Row],[КУРС]])</f>
        <v>1039600</v>
      </c>
      <c r="G286" s="82"/>
      <c r="H286" s="82"/>
      <c r="I286" s="165"/>
    </row>
    <row r="287" spans="1:9" ht="15" customHeight="1" x14ac:dyDescent="0.3">
      <c r="A287" s="81">
        <v>46211</v>
      </c>
      <c r="B287" s="82" t="s">
        <v>950</v>
      </c>
      <c r="C287" s="80">
        <v>3168000</v>
      </c>
      <c r="D287" s="80"/>
      <c r="E287" s="80"/>
      <c r="F287" s="60">
        <f>ПЛАТЕЖИ[[#This Row],[СЎМ]]+(ПЛАТЕЖИ[[#This Row],[ВАЛЮТА]]*ПЛАТЕЖИ[[#This Row],[КУРС]])</f>
        <v>3168000</v>
      </c>
      <c r="G287" s="82"/>
      <c r="I287" s="165"/>
    </row>
    <row r="288" spans="1:9" ht="15" customHeight="1" x14ac:dyDescent="0.3">
      <c r="A288" s="81">
        <v>46211</v>
      </c>
      <c r="B288" s="82" t="s">
        <v>641</v>
      </c>
      <c r="C288" s="80">
        <v>1272500</v>
      </c>
      <c r="D288" s="80"/>
      <c r="E288" s="80"/>
      <c r="F288" s="60">
        <f>ПЛАТЕЖИ[[#This Row],[СЎМ]]+(ПЛАТЕЖИ[[#This Row],[ВАЛЮТА]]*ПЛАТЕЖИ[[#This Row],[КУРС]])</f>
        <v>1272500</v>
      </c>
      <c r="G288" s="82"/>
      <c r="H288" s="82"/>
      <c r="I288" s="165"/>
    </row>
    <row r="289" spans="1:9" ht="15" customHeight="1" x14ac:dyDescent="0.3">
      <c r="A289" s="81">
        <v>46211</v>
      </c>
      <c r="B289" s="82" t="s">
        <v>938</v>
      </c>
      <c r="C289" s="80">
        <v>576600</v>
      </c>
      <c r="D289" s="80"/>
      <c r="E289" s="80"/>
      <c r="F289" s="60">
        <f>ПЛАТЕЖИ[[#This Row],[СЎМ]]+(ПЛАТЕЖИ[[#This Row],[ВАЛЮТА]]*ПЛАТЕЖИ[[#This Row],[КУРС]])</f>
        <v>576600</v>
      </c>
      <c r="G289" s="82"/>
      <c r="H289" s="47" t="s">
        <v>905</v>
      </c>
      <c r="I289" s="165"/>
    </row>
    <row r="290" spans="1:9" x14ac:dyDescent="0.3">
      <c r="A290" s="81">
        <v>46211</v>
      </c>
      <c r="B290" s="82" t="s">
        <v>57</v>
      </c>
      <c r="C290" s="80">
        <v>500000</v>
      </c>
      <c r="D290" s="80"/>
      <c r="E290" s="80"/>
      <c r="F290" s="60">
        <f>ПЛАТЕЖИ[[#This Row],[СЎМ]]+(ПЛАТЕЖИ[[#This Row],[ВАЛЮТА]]*ПЛАТЕЖИ[[#This Row],[КУРС]])</f>
        <v>500000</v>
      </c>
      <c r="G290" s="82"/>
      <c r="H290" s="82"/>
      <c r="I290" s="165"/>
    </row>
    <row r="291" spans="1:9" ht="15" customHeight="1" x14ac:dyDescent="0.3">
      <c r="A291" s="81">
        <v>46211</v>
      </c>
      <c r="B291" s="82" t="s">
        <v>318</v>
      </c>
      <c r="C291" s="80">
        <v>775500</v>
      </c>
      <c r="D291" s="80"/>
      <c r="E291" s="80"/>
      <c r="F291" s="60">
        <f>ПЛАТЕЖИ[[#This Row],[СЎМ]]+(ПЛАТЕЖИ[[#This Row],[ВАЛЮТА]]*ПЛАТЕЖИ[[#This Row],[КУРС]])</f>
        <v>775500</v>
      </c>
      <c r="G291" s="82"/>
      <c r="H291" s="82"/>
      <c r="I291" s="165"/>
    </row>
    <row r="292" spans="1:9" ht="15" customHeight="1" x14ac:dyDescent="0.3">
      <c r="A292" s="81">
        <v>46212</v>
      </c>
      <c r="B292" s="82" t="s">
        <v>807</v>
      </c>
      <c r="C292" s="80">
        <v>11100000</v>
      </c>
      <c r="D292" s="80"/>
      <c r="E292" s="80"/>
      <c r="F292" s="60">
        <f>ПЛАТЕЖИ[[#This Row],[СЎМ]]+(ПЛАТЕЖИ[[#This Row],[ВАЛЮТА]]*ПЛАТЕЖИ[[#This Row],[КУРС]])</f>
        <v>11100000</v>
      </c>
      <c r="G292" s="82"/>
      <c r="H292" s="47" t="s">
        <v>906</v>
      </c>
      <c r="I292" s="165"/>
    </row>
    <row r="293" spans="1:9" ht="15" customHeight="1" x14ac:dyDescent="0.3">
      <c r="A293" s="81">
        <v>46212</v>
      </c>
      <c r="B293" s="82" t="s">
        <v>558</v>
      </c>
      <c r="C293" s="80">
        <v>10000000</v>
      </c>
      <c r="D293" s="80"/>
      <c r="E293" s="80"/>
      <c r="F293" s="60">
        <f>ПЛАТЕЖИ[[#This Row],[СЎМ]]+(ПЛАТЕЖИ[[#This Row],[ВАЛЮТА]]*ПЛАТЕЖИ[[#This Row],[КУРС]])</f>
        <v>10000000</v>
      </c>
      <c r="G293" s="82"/>
      <c r="H293" s="47" t="s">
        <v>905</v>
      </c>
      <c r="I293" s="165"/>
    </row>
    <row r="294" spans="1:9" ht="15" customHeight="1" x14ac:dyDescent="0.3">
      <c r="A294" s="81">
        <v>46212</v>
      </c>
      <c r="B294" s="47" t="s">
        <v>314</v>
      </c>
      <c r="C294" s="80">
        <v>1184500</v>
      </c>
      <c r="D294" s="80"/>
      <c r="E294" s="80"/>
      <c r="F294" s="60">
        <f>ПЛАТЕЖИ[[#This Row],[СЎМ]]+(ПЛАТЕЖИ[[#This Row],[ВАЛЮТА]]*ПЛАТЕЖИ[[#This Row],[КУРС]])</f>
        <v>1184500</v>
      </c>
      <c r="G294" s="82"/>
      <c r="H294" s="47" t="s">
        <v>905</v>
      </c>
      <c r="I294" s="165"/>
    </row>
    <row r="295" spans="1:9" ht="15" customHeight="1" x14ac:dyDescent="0.3">
      <c r="A295" s="81">
        <v>46212</v>
      </c>
      <c r="B295" s="82" t="s">
        <v>345</v>
      </c>
      <c r="C295" s="80">
        <v>1751100</v>
      </c>
      <c r="D295" s="80"/>
      <c r="E295" s="80"/>
      <c r="F295" s="60">
        <f>ПЛАТЕЖИ[[#This Row],[СЎМ]]+(ПЛАТЕЖИ[[#This Row],[ВАЛЮТА]]*ПЛАТЕЖИ[[#This Row],[КУРС]])</f>
        <v>1751100</v>
      </c>
      <c r="G295" s="82"/>
      <c r="I295" s="165"/>
    </row>
    <row r="296" spans="1:9" ht="15" customHeight="1" x14ac:dyDescent="0.3">
      <c r="A296" s="81">
        <v>46212</v>
      </c>
      <c r="B296" s="82" t="s">
        <v>664</v>
      </c>
      <c r="C296" s="80">
        <v>1090200</v>
      </c>
      <c r="D296" s="80"/>
      <c r="E296" s="80"/>
      <c r="F296" s="60">
        <f>ПЛАТЕЖИ[[#This Row],[СЎМ]]+(ПЛАТЕЖИ[[#This Row],[ВАЛЮТА]]*ПЛАТЕЖИ[[#This Row],[КУРС]])</f>
        <v>1090200</v>
      </c>
      <c r="G296" s="82"/>
      <c r="I296" s="165"/>
    </row>
    <row r="297" spans="1:9" ht="15" customHeight="1" x14ac:dyDescent="0.3">
      <c r="A297" s="81">
        <v>46212</v>
      </c>
      <c r="B297" s="82" t="s">
        <v>597</v>
      </c>
      <c r="C297" s="80">
        <v>17259900</v>
      </c>
      <c r="D297" s="80"/>
      <c r="E297" s="80"/>
      <c r="F297" s="60">
        <f>ПЛАТЕЖИ[[#This Row],[СЎМ]]+(ПЛАТЕЖИ[[#This Row],[ВАЛЮТА]]*ПЛАТЕЖИ[[#This Row],[КУРС]])</f>
        <v>17259900</v>
      </c>
      <c r="G297" s="82"/>
      <c r="H297" s="47" t="s">
        <v>905</v>
      </c>
      <c r="I297" s="165"/>
    </row>
    <row r="298" spans="1:9" ht="15" customHeight="1" x14ac:dyDescent="0.3">
      <c r="A298" s="81">
        <v>46212</v>
      </c>
      <c r="B298" s="82" t="s">
        <v>697</v>
      </c>
      <c r="C298" s="80">
        <v>31693550</v>
      </c>
      <c r="D298" s="80"/>
      <c r="E298" s="80"/>
      <c r="F298" s="60">
        <f>ПЛАТЕЖИ[[#This Row],[СЎМ]]+(ПЛАТЕЖИ[[#This Row],[ВАЛЮТА]]*ПЛАТЕЖИ[[#This Row],[КУРС]])</f>
        <v>31693550</v>
      </c>
      <c r="G298" s="82"/>
      <c r="H298" s="47" t="s">
        <v>905</v>
      </c>
      <c r="I298" s="165"/>
    </row>
    <row r="299" spans="1:9" ht="15" customHeight="1" x14ac:dyDescent="0.3">
      <c r="A299" s="81">
        <v>46212</v>
      </c>
      <c r="B299" s="82" t="s">
        <v>83</v>
      </c>
      <c r="C299" s="80">
        <v>20000000</v>
      </c>
      <c r="D299" s="80"/>
      <c r="E299" s="80"/>
      <c r="F299" s="60">
        <f>ПЛАТЕЖИ[[#This Row],[СЎМ]]+(ПЛАТЕЖИ[[#This Row],[ВАЛЮТА]]*ПЛАТЕЖИ[[#This Row],[КУРС]])</f>
        <v>20000000</v>
      </c>
      <c r="G299" s="82"/>
      <c r="H299" s="82"/>
      <c r="I299" s="165"/>
    </row>
    <row r="300" spans="1:9" ht="15" customHeight="1" x14ac:dyDescent="0.3">
      <c r="A300" s="81">
        <v>46212</v>
      </c>
      <c r="B300" s="82" t="s">
        <v>377</v>
      </c>
      <c r="C300" s="80">
        <v>350000</v>
      </c>
      <c r="D300" s="80"/>
      <c r="E300" s="80"/>
      <c r="F300" s="60">
        <f>ПЛАТЕЖИ[[#This Row],[СЎМ]]+(ПЛАТЕЖИ[[#This Row],[ВАЛЮТА]]*ПЛАТЕЖИ[[#This Row],[КУРС]])</f>
        <v>350000</v>
      </c>
      <c r="G300" s="82"/>
      <c r="H300" s="47" t="s">
        <v>906</v>
      </c>
      <c r="I300" s="165"/>
    </row>
    <row r="301" spans="1:9" ht="15" customHeight="1" x14ac:dyDescent="0.3">
      <c r="A301" s="81">
        <v>46213</v>
      </c>
      <c r="B301" s="82" t="s">
        <v>158</v>
      </c>
      <c r="C301" s="80">
        <v>3019000</v>
      </c>
      <c r="D301" s="80"/>
      <c r="E301" s="80"/>
      <c r="F301" s="60">
        <f>ПЛАТЕЖИ[[#This Row],[СЎМ]]+(ПЛАТЕЖИ[[#This Row],[ВАЛЮТА]]*ПЛАТЕЖИ[[#This Row],[КУРС]])</f>
        <v>3019000</v>
      </c>
      <c r="G301" s="82"/>
      <c r="I301" s="165"/>
    </row>
    <row r="302" spans="1:9" ht="15" customHeight="1" x14ac:dyDescent="0.3">
      <c r="A302" s="81">
        <v>46213</v>
      </c>
      <c r="B302" s="82" t="s">
        <v>73</v>
      </c>
      <c r="C302" s="80">
        <v>2000000</v>
      </c>
      <c r="D302" s="80"/>
      <c r="E302" s="80"/>
      <c r="F302" s="60">
        <f>ПЛАТЕЖИ[[#This Row],[СЎМ]]+(ПЛАТЕЖИ[[#This Row],[ВАЛЮТА]]*ПЛАТЕЖИ[[#This Row],[КУРС]])</f>
        <v>2000000</v>
      </c>
      <c r="G302" s="82"/>
      <c r="I302" s="165"/>
    </row>
    <row r="303" spans="1:9" ht="15" customHeight="1" x14ac:dyDescent="0.3">
      <c r="A303" s="81">
        <v>46213</v>
      </c>
      <c r="B303" s="82" t="s">
        <v>209</v>
      </c>
      <c r="C303" s="80"/>
      <c r="D303" s="80">
        <v>500</v>
      </c>
      <c r="E303" s="80">
        <v>12070</v>
      </c>
      <c r="F303" s="60">
        <f>ПЛАТЕЖИ[[#This Row],[СЎМ]]+(ПЛАТЕЖИ[[#This Row],[ВАЛЮТА]]*ПЛАТЕЖИ[[#This Row],[КУРС]])</f>
        <v>6035000</v>
      </c>
      <c r="G303" s="82"/>
      <c r="I303" s="165"/>
    </row>
    <row r="304" spans="1:9" ht="15" customHeight="1" x14ac:dyDescent="0.3">
      <c r="A304" s="286">
        <v>46213</v>
      </c>
      <c r="B304" s="287" t="s">
        <v>793</v>
      </c>
      <c r="C304" s="288">
        <v>10000000</v>
      </c>
      <c r="D304" s="288"/>
      <c r="E304" s="288"/>
      <c r="F304" s="289">
        <f>ПЛАТЕЖИ[[#This Row],[СЎМ]]+(ПЛАТЕЖИ[[#This Row],[ВАЛЮТА]]*ПЛАТЕЖИ[[#This Row],[КУРС]])</f>
        <v>10000000</v>
      </c>
      <c r="G304" s="287"/>
      <c r="H304" s="287" t="s">
        <v>905</v>
      </c>
      <c r="I304" s="287"/>
    </row>
    <row r="305" spans="1:9" ht="15" customHeight="1" x14ac:dyDescent="0.3">
      <c r="A305" s="81">
        <v>46213</v>
      </c>
      <c r="B305" s="82" t="s">
        <v>807</v>
      </c>
      <c r="C305" s="80">
        <v>15593000</v>
      </c>
      <c r="D305" s="80"/>
      <c r="E305" s="80"/>
      <c r="F305" s="60">
        <f>ПЛАТЕЖИ[[#This Row],[СЎМ]]+(ПЛАТЕЖИ[[#This Row],[ВАЛЮТА]]*ПЛАТЕЖИ[[#This Row],[КУРС]])</f>
        <v>15593000</v>
      </c>
      <c r="G305" s="82"/>
      <c r="H305" s="47" t="s">
        <v>906</v>
      </c>
      <c r="I305" s="165"/>
    </row>
    <row r="306" spans="1:9" ht="15" customHeight="1" x14ac:dyDescent="0.3">
      <c r="A306" s="81">
        <v>46214</v>
      </c>
      <c r="B306" s="82" t="s">
        <v>776</v>
      </c>
      <c r="C306" s="80">
        <v>800000</v>
      </c>
      <c r="D306" s="80"/>
      <c r="E306" s="80"/>
      <c r="F306" s="60">
        <f>ПЛАТЕЖИ[[#This Row],[СЎМ]]+(ПЛАТЕЖИ[[#This Row],[ВАЛЮТА]]*ПЛАТЕЖИ[[#This Row],[КУРС]])</f>
        <v>800000</v>
      </c>
      <c r="G306" s="82"/>
      <c r="H306" s="82"/>
      <c r="I306" s="165"/>
    </row>
    <row r="307" spans="1:9" ht="15" customHeight="1" x14ac:dyDescent="0.3">
      <c r="A307" s="81">
        <v>46214</v>
      </c>
      <c r="B307" s="82" t="s">
        <v>170</v>
      </c>
      <c r="C307" s="80">
        <v>2000000</v>
      </c>
      <c r="D307" s="80"/>
      <c r="E307" s="80"/>
      <c r="F307" s="60">
        <f>ПЛАТЕЖИ[[#This Row],[СЎМ]]+(ПЛАТЕЖИ[[#This Row],[ВАЛЮТА]]*ПЛАТЕЖИ[[#This Row],[КУРС]])</f>
        <v>2000000</v>
      </c>
      <c r="G307" s="82"/>
      <c r="H307" s="82"/>
      <c r="I307" s="165"/>
    </row>
    <row r="308" spans="1:9" ht="15" customHeight="1" x14ac:dyDescent="0.3">
      <c r="A308" s="81">
        <v>46215</v>
      </c>
      <c r="B308" s="82" t="s">
        <v>414</v>
      </c>
      <c r="C308" s="80">
        <v>130000</v>
      </c>
      <c r="D308" s="80"/>
      <c r="E308" s="80"/>
      <c r="F308" s="60">
        <f>ПЛАТЕЖИ[[#This Row],[СЎМ]]+(ПЛАТЕЖИ[[#This Row],[ВАЛЮТА]]*ПЛАТЕЖИ[[#This Row],[КУРС]])</f>
        <v>130000</v>
      </c>
      <c r="G308" s="82"/>
      <c r="H308" s="82"/>
      <c r="I308" s="165"/>
    </row>
    <row r="309" spans="1:9" ht="15" customHeight="1" x14ac:dyDescent="0.3">
      <c r="A309" s="81">
        <v>46215</v>
      </c>
      <c r="B309" s="82" t="s">
        <v>807</v>
      </c>
      <c r="C309" s="80">
        <v>4117000</v>
      </c>
      <c r="D309" s="80"/>
      <c r="E309" s="80"/>
      <c r="F309" s="60">
        <f>ПЛАТЕЖИ[[#This Row],[СЎМ]]+(ПЛАТЕЖИ[[#This Row],[ВАЛЮТА]]*ПЛАТЕЖИ[[#This Row],[КУРС]])</f>
        <v>4117000</v>
      </c>
      <c r="G309" s="82"/>
      <c r="H309" s="47" t="s">
        <v>906</v>
      </c>
      <c r="I309" s="165"/>
    </row>
    <row r="310" spans="1:9" ht="15" customHeight="1" x14ac:dyDescent="0.3">
      <c r="A310" s="81">
        <v>46215</v>
      </c>
      <c r="B310" s="82" t="s">
        <v>838</v>
      </c>
      <c r="C310" s="80">
        <v>857900</v>
      </c>
      <c r="D310" s="80"/>
      <c r="E310" s="80"/>
      <c r="F310" s="60">
        <f>ПЛАТЕЖИ[[#This Row],[СЎМ]]+(ПЛАТЕЖИ[[#This Row],[ВАЛЮТА]]*ПЛАТЕЖИ[[#This Row],[КУРС]])</f>
        <v>857900</v>
      </c>
      <c r="G310" s="82"/>
      <c r="H310" s="82"/>
      <c r="I310" s="165"/>
    </row>
    <row r="311" spans="1:9" ht="15" customHeight="1" x14ac:dyDescent="0.3">
      <c r="A311" s="81">
        <v>46215</v>
      </c>
      <c r="B311" s="82" t="s">
        <v>956</v>
      </c>
      <c r="C311" s="80">
        <v>1492500</v>
      </c>
      <c r="D311" s="80"/>
      <c r="E311" s="80"/>
      <c r="F311" s="60">
        <f>ПЛАТЕЖИ[[#This Row],[СЎМ]]+(ПЛАТЕЖИ[[#This Row],[ВАЛЮТА]]*ПЛАТЕЖИ[[#This Row],[КУРС]])</f>
        <v>1492500</v>
      </c>
      <c r="G311" s="82"/>
      <c r="H311" s="82"/>
      <c r="I311" s="165"/>
    </row>
    <row r="312" spans="1:9" ht="15" customHeight="1" x14ac:dyDescent="0.3">
      <c r="A312" s="81">
        <v>46215</v>
      </c>
      <c r="B312" s="82" t="s">
        <v>236</v>
      </c>
      <c r="C312" s="80">
        <v>1051700</v>
      </c>
      <c r="D312" s="80"/>
      <c r="E312" s="80"/>
      <c r="F312" s="60">
        <f>ПЛАТЕЖИ[[#This Row],[СЎМ]]+(ПЛАТЕЖИ[[#This Row],[ВАЛЮТА]]*ПЛАТЕЖИ[[#This Row],[КУРС]])</f>
        <v>1051700</v>
      </c>
      <c r="G312" s="82"/>
      <c r="H312" s="82"/>
      <c r="I312" s="165"/>
    </row>
    <row r="313" spans="1:9" ht="15" customHeight="1" x14ac:dyDescent="0.3">
      <c r="A313" s="81">
        <v>46215</v>
      </c>
      <c r="B313" s="82" t="s">
        <v>574</v>
      </c>
      <c r="C313" s="80">
        <v>1150600</v>
      </c>
      <c r="D313" s="80"/>
      <c r="E313" s="80"/>
      <c r="F313" s="60">
        <f>ПЛАТЕЖИ[[#This Row],[СЎМ]]+(ПЛАТЕЖИ[[#This Row],[ВАЛЮТА]]*ПЛАТЕЖИ[[#This Row],[КУРС]])</f>
        <v>1150600</v>
      </c>
      <c r="G313" s="82"/>
      <c r="H313" s="82"/>
      <c r="I313" s="165"/>
    </row>
    <row r="314" spans="1:9" ht="15" customHeight="1" x14ac:dyDescent="0.3">
      <c r="A314" s="81">
        <v>46215</v>
      </c>
      <c r="B314" s="82" t="s">
        <v>377</v>
      </c>
      <c r="C314" s="80">
        <v>517000</v>
      </c>
      <c r="D314" s="80"/>
      <c r="E314" s="80"/>
      <c r="F314" s="60">
        <f>ПЛАТЕЖИ[[#This Row],[СЎМ]]+(ПЛАТЕЖИ[[#This Row],[ВАЛЮТА]]*ПЛАТЕЖИ[[#This Row],[КУРС]])</f>
        <v>517000</v>
      </c>
      <c r="G314" s="82"/>
      <c r="H314" s="82"/>
      <c r="I314" s="165"/>
    </row>
    <row r="315" spans="1:9" ht="15" customHeight="1" x14ac:dyDescent="0.3">
      <c r="A315" s="81">
        <v>46215</v>
      </c>
      <c r="B315" s="82" t="s">
        <v>571</v>
      </c>
      <c r="C315" s="80">
        <v>5278000</v>
      </c>
      <c r="D315" s="80"/>
      <c r="E315" s="80"/>
      <c r="F315" s="60">
        <f>ПЛАТЕЖИ[[#This Row],[СЎМ]]+(ПЛАТЕЖИ[[#This Row],[ВАЛЮТА]]*ПЛАТЕЖИ[[#This Row],[КУРС]])</f>
        <v>5278000</v>
      </c>
      <c r="G315" s="82"/>
      <c r="H315" s="47" t="s">
        <v>905</v>
      </c>
      <c r="I315" s="165"/>
    </row>
    <row r="316" spans="1:9" ht="15" customHeight="1" x14ac:dyDescent="0.3">
      <c r="A316" s="81">
        <v>46215</v>
      </c>
      <c r="B316" s="82" t="s">
        <v>826</v>
      </c>
      <c r="C316" s="80">
        <v>1000000</v>
      </c>
      <c r="D316" s="80"/>
      <c r="E316" s="80"/>
      <c r="F316" s="60">
        <f>ПЛАТЕЖИ[[#This Row],[СЎМ]]+(ПЛАТЕЖИ[[#This Row],[ВАЛЮТА]]*ПЛАТЕЖИ[[#This Row],[КУРС]])</f>
        <v>1000000</v>
      </c>
      <c r="G316" s="82"/>
      <c r="H316" s="47" t="s">
        <v>906</v>
      </c>
      <c r="I316" s="165"/>
    </row>
    <row r="317" spans="1:9" ht="15" customHeight="1" x14ac:dyDescent="0.3">
      <c r="A317" s="81">
        <v>46215</v>
      </c>
      <c r="B317" s="82" t="s">
        <v>450</v>
      </c>
      <c r="C317" s="80">
        <v>2550000</v>
      </c>
      <c r="D317" s="80"/>
      <c r="E317" s="80"/>
      <c r="F317" s="60">
        <f>ПЛАТЕЖИ[[#This Row],[СЎМ]]+(ПЛАТЕЖИ[[#This Row],[ВАЛЮТА]]*ПЛАТЕЖИ[[#This Row],[КУРС]])</f>
        <v>2550000</v>
      </c>
      <c r="G317" s="82"/>
      <c r="I317" s="165"/>
    </row>
    <row r="318" spans="1:9" ht="15" customHeight="1" x14ac:dyDescent="0.3">
      <c r="A318" s="81">
        <v>46215</v>
      </c>
      <c r="B318" s="82" t="s">
        <v>676</v>
      </c>
      <c r="C318" s="80">
        <v>948000</v>
      </c>
      <c r="D318" s="80"/>
      <c r="E318" s="80"/>
      <c r="F318" s="60">
        <f>ПЛАТЕЖИ[[#This Row],[СЎМ]]+(ПЛАТЕЖИ[[#This Row],[ВАЛЮТА]]*ПЛАТЕЖИ[[#This Row],[КУРС]])</f>
        <v>948000</v>
      </c>
      <c r="G318" s="82"/>
      <c r="H318" s="82"/>
      <c r="I318" s="165"/>
    </row>
    <row r="319" spans="1:9" ht="15" customHeight="1" x14ac:dyDescent="0.3">
      <c r="A319" s="286">
        <v>46218</v>
      </c>
      <c r="B319" s="287" t="s">
        <v>782</v>
      </c>
      <c r="C319" s="288">
        <v>15000000</v>
      </c>
      <c r="D319" s="288"/>
      <c r="E319" s="288"/>
      <c r="F319" s="60">
        <f>ПЛАТЕЖИ[[#This Row],[СЎМ]]+(ПЛАТЕЖИ[[#This Row],[ВАЛЮТА]]*ПЛАТЕЖИ[[#This Row],[КУРС]])</f>
        <v>15000000</v>
      </c>
      <c r="G319" s="82"/>
      <c r="H319" s="82"/>
      <c r="I319" s="165"/>
    </row>
    <row r="320" spans="1:9" ht="15" customHeight="1" x14ac:dyDescent="0.3">
      <c r="A320" s="286">
        <v>46218</v>
      </c>
      <c r="B320" s="287" t="s">
        <v>552</v>
      </c>
      <c r="C320" s="288">
        <v>333807000</v>
      </c>
      <c r="D320" s="288"/>
      <c r="E320" s="288"/>
      <c r="F320" s="60">
        <f>ПЛАТЕЖИ[[#This Row],[СЎМ]]+(ПЛАТЕЖИ[[#This Row],[ВАЛЮТА]]*ПЛАТЕЖИ[[#This Row],[КУРС]])</f>
        <v>333807000</v>
      </c>
      <c r="G320" s="82"/>
      <c r="H320" s="82"/>
      <c r="I320" s="165"/>
    </row>
    <row r="321" spans="1:9" ht="15" customHeight="1" x14ac:dyDescent="0.3">
      <c r="A321" s="286">
        <v>46218</v>
      </c>
      <c r="B321" s="287" t="s">
        <v>838</v>
      </c>
      <c r="C321" s="288">
        <v>766400</v>
      </c>
      <c r="D321" s="288"/>
      <c r="E321" s="288"/>
      <c r="F321" s="60">
        <f>ПЛАТЕЖИ[[#This Row],[СЎМ]]+(ПЛАТЕЖИ[[#This Row],[ВАЛЮТА]]*ПЛАТЕЖИ[[#This Row],[КУРС]])</f>
        <v>766400</v>
      </c>
      <c r="G321" s="82"/>
      <c r="H321" s="82"/>
      <c r="I321" s="165"/>
    </row>
    <row r="322" spans="1:9" ht="15" customHeight="1" x14ac:dyDescent="0.3">
      <c r="A322" s="286">
        <v>46218</v>
      </c>
      <c r="B322" s="287" t="s">
        <v>350</v>
      </c>
      <c r="C322" s="288">
        <v>500000</v>
      </c>
      <c r="D322" s="288"/>
      <c r="E322" s="288"/>
      <c r="F322" s="60">
        <f>ПЛАТЕЖИ[[#This Row],[СЎМ]]+(ПЛАТЕЖИ[[#This Row],[ВАЛЮТА]]*ПЛАТЕЖИ[[#This Row],[КУРС]])</f>
        <v>500000</v>
      </c>
      <c r="G322" s="82"/>
      <c r="H322" s="82"/>
      <c r="I322" s="165"/>
    </row>
    <row r="323" spans="1:9" ht="15" customHeight="1" x14ac:dyDescent="0.3">
      <c r="A323" s="286">
        <v>46218</v>
      </c>
      <c r="B323" s="287" t="s">
        <v>560</v>
      </c>
      <c r="C323" s="288">
        <v>700000</v>
      </c>
      <c r="D323" s="288"/>
      <c r="E323" s="288"/>
      <c r="F323" s="60">
        <f>ПЛАТЕЖИ[[#This Row],[СЎМ]]+(ПЛАТЕЖИ[[#This Row],[ВАЛЮТА]]*ПЛАТЕЖИ[[#This Row],[КУРС]])</f>
        <v>700000</v>
      </c>
      <c r="G323" s="82"/>
      <c r="I323" s="165"/>
    </row>
    <row r="324" spans="1:9" ht="15" customHeight="1" x14ac:dyDescent="0.3">
      <c r="A324" s="286">
        <v>46218</v>
      </c>
      <c r="B324" s="287" t="s">
        <v>958</v>
      </c>
      <c r="C324" s="288">
        <v>9420100</v>
      </c>
      <c r="D324" s="288"/>
      <c r="E324" s="288"/>
      <c r="F324" s="60">
        <f>ПЛАТЕЖИ[[#This Row],[СЎМ]]+(ПЛАТЕЖИ[[#This Row],[ВАЛЮТА]]*ПЛАТЕЖИ[[#This Row],[КУРС]])</f>
        <v>9420100</v>
      </c>
      <c r="G324" s="82"/>
      <c r="I324" s="165"/>
    </row>
    <row r="325" spans="1:9" ht="15" customHeight="1" x14ac:dyDescent="0.3">
      <c r="A325" s="286">
        <v>46218</v>
      </c>
      <c r="B325" s="287" t="s">
        <v>827</v>
      </c>
      <c r="C325" s="288">
        <v>10000000</v>
      </c>
      <c r="D325" s="288"/>
      <c r="E325" s="288"/>
      <c r="F325" s="60">
        <f>ПЛАТЕЖИ[[#This Row],[СЎМ]]+(ПЛАТЕЖИ[[#This Row],[ВАЛЮТА]]*ПЛАТЕЖИ[[#This Row],[КУРС]])</f>
        <v>10000000</v>
      </c>
      <c r="G325" s="82"/>
      <c r="I325" s="165"/>
    </row>
    <row r="326" spans="1:9" ht="15" customHeight="1" x14ac:dyDescent="0.3">
      <c r="A326" s="286">
        <v>46218</v>
      </c>
      <c r="B326" s="287" t="s">
        <v>826</v>
      </c>
      <c r="C326" s="288">
        <v>790450</v>
      </c>
      <c r="D326" s="288"/>
      <c r="E326" s="288"/>
      <c r="F326" s="60">
        <f>ПЛАТЕЖИ[[#This Row],[СЎМ]]+(ПЛАТЕЖИ[[#This Row],[ВАЛЮТА]]*ПЛАТЕЖИ[[#This Row],[КУРС]])</f>
        <v>790450</v>
      </c>
      <c r="G326" s="82"/>
      <c r="I326" s="165"/>
    </row>
    <row r="327" spans="1:9" ht="15" customHeight="1" x14ac:dyDescent="0.3">
      <c r="A327" s="286">
        <v>46218</v>
      </c>
      <c r="B327" s="287" t="s">
        <v>521</v>
      </c>
      <c r="C327" s="288">
        <v>20000000</v>
      </c>
      <c r="D327" s="288"/>
      <c r="E327" s="288"/>
      <c r="F327" s="60">
        <f>ПЛАТЕЖИ[[#This Row],[СЎМ]]+(ПЛАТЕЖИ[[#This Row],[ВАЛЮТА]]*ПЛАТЕЖИ[[#This Row],[КУРС]])</f>
        <v>20000000</v>
      </c>
      <c r="G327" s="82"/>
      <c r="I327" s="165"/>
    </row>
    <row r="328" spans="1:9" ht="15" customHeight="1" x14ac:dyDescent="0.3">
      <c r="A328" s="286">
        <v>46218</v>
      </c>
      <c r="B328" s="287" t="s">
        <v>565</v>
      </c>
      <c r="C328" s="288">
        <v>10000000</v>
      </c>
      <c r="D328" s="288"/>
      <c r="E328" s="288"/>
      <c r="F328" s="60">
        <f>ПЛАТЕЖИ[[#This Row],[СЎМ]]+(ПЛАТЕЖИ[[#This Row],[ВАЛЮТА]]*ПЛАТЕЖИ[[#This Row],[КУРС]])</f>
        <v>10000000</v>
      </c>
      <c r="G328" s="82"/>
      <c r="H328" s="82"/>
      <c r="I328" s="165"/>
    </row>
    <row r="329" spans="1:9" ht="15" customHeight="1" x14ac:dyDescent="0.3">
      <c r="A329" s="286">
        <v>46218</v>
      </c>
      <c r="B329" s="287" t="s">
        <v>781</v>
      </c>
      <c r="C329" s="288">
        <v>2197800</v>
      </c>
      <c r="D329" s="288"/>
      <c r="E329" s="288"/>
      <c r="F329" s="60">
        <f>ПЛАТЕЖИ[[#This Row],[СЎМ]]+(ПЛАТЕЖИ[[#This Row],[ВАЛЮТА]]*ПЛАТЕЖИ[[#This Row],[КУРС]])</f>
        <v>2197800</v>
      </c>
      <c r="G329" s="82"/>
      <c r="H329" s="82"/>
      <c r="I329" s="165"/>
    </row>
    <row r="330" spans="1:9" ht="15" customHeight="1" x14ac:dyDescent="0.3">
      <c r="A330" s="286">
        <v>46218</v>
      </c>
      <c r="B330" s="287" t="s">
        <v>976</v>
      </c>
      <c r="C330" s="288">
        <v>952200</v>
      </c>
      <c r="D330" s="288"/>
      <c r="E330" s="288"/>
      <c r="F330" s="60">
        <f>ПЛАТЕЖИ[[#This Row],[СЎМ]]+(ПЛАТЕЖИ[[#This Row],[ВАЛЮТА]]*ПЛАТЕЖИ[[#This Row],[КУРС]])</f>
        <v>952200</v>
      </c>
      <c r="G330" s="82"/>
      <c r="H330" s="82"/>
      <c r="I330" s="165"/>
    </row>
    <row r="331" spans="1:9" ht="15" customHeight="1" x14ac:dyDescent="0.3">
      <c r="A331" s="286">
        <v>46218</v>
      </c>
      <c r="B331" s="287" t="s">
        <v>963</v>
      </c>
      <c r="C331" s="288">
        <v>1809500</v>
      </c>
      <c r="D331" s="288"/>
      <c r="E331" s="288"/>
      <c r="F331" s="60">
        <f>ПЛАТЕЖИ[[#This Row],[СЎМ]]+(ПЛАТЕЖИ[[#This Row],[ВАЛЮТА]]*ПЛАТЕЖИ[[#This Row],[КУРС]])</f>
        <v>1809500</v>
      </c>
      <c r="G331" s="82"/>
      <c r="H331" s="82"/>
      <c r="I331" s="165"/>
    </row>
    <row r="332" spans="1:9" ht="15" customHeight="1" x14ac:dyDescent="0.3">
      <c r="A332" s="286">
        <v>46218</v>
      </c>
      <c r="B332" s="287" t="s">
        <v>956</v>
      </c>
      <c r="C332" s="288">
        <v>2109800</v>
      </c>
      <c r="D332" s="288"/>
      <c r="E332" s="288"/>
      <c r="F332" s="60">
        <f>ПЛАТЕЖИ[[#This Row],[СЎМ]]+(ПЛАТЕЖИ[[#This Row],[ВАЛЮТА]]*ПЛАТЕЖИ[[#This Row],[КУРС]])</f>
        <v>2109800</v>
      </c>
      <c r="G332" s="82"/>
      <c r="H332" s="82"/>
      <c r="I332" s="165"/>
    </row>
    <row r="333" spans="1:9" ht="15" customHeight="1" x14ac:dyDescent="0.3">
      <c r="A333" s="286">
        <v>46218</v>
      </c>
      <c r="B333" s="287" t="s">
        <v>974</v>
      </c>
      <c r="C333" s="288">
        <v>700500</v>
      </c>
      <c r="D333" s="288"/>
      <c r="E333" s="288"/>
      <c r="F333" s="60">
        <f>ПЛАТЕЖИ[[#This Row],[СЎМ]]+(ПЛАТЕЖИ[[#This Row],[ВАЛЮТА]]*ПЛАТЕЖИ[[#This Row],[КУРС]])</f>
        <v>700500</v>
      </c>
      <c r="G333" s="82"/>
      <c r="H333" s="82"/>
      <c r="I333" s="165"/>
    </row>
    <row r="334" spans="1:9" ht="15" customHeight="1" x14ac:dyDescent="0.3">
      <c r="A334" s="286">
        <v>46219</v>
      </c>
      <c r="B334" s="287" t="s">
        <v>793</v>
      </c>
      <c r="C334" s="288">
        <v>10000000</v>
      </c>
      <c r="D334" s="288"/>
      <c r="E334" s="288"/>
      <c r="F334" s="60">
        <f>ПЛАТЕЖИ[[#This Row],[СЎМ]]+(ПЛАТЕЖИ[[#This Row],[ВАЛЮТА]]*ПЛАТЕЖИ[[#This Row],[КУРС]])</f>
        <v>10000000</v>
      </c>
      <c r="G334" s="82"/>
      <c r="H334" s="82"/>
      <c r="I334" s="165"/>
    </row>
    <row r="335" spans="1:9" ht="15" customHeight="1" x14ac:dyDescent="0.3">
      <c r="A335" s="286">
        <v>46219</v>
      </c>
      <c r="B335" s="287" t="s">
        <v>900</v>
      </c>
      <c r="C335" s="288">
        <v>3636000</v>
      </c>
      <c r="D335" s="288"/>
      <c r="E335" s="288"/>
      <c r="F335" s="60">
        <f>ПЛАТЕЖИ[[#This Row],[СЎМ]]+(ПЛАТЕЖИ[[#This Row],[ВАЛЮТА]]*ПЛАТЕЖИ[[#This Row],[КУРС]])</f>
        <v>3636000</v>
      </c>
      <c r="G335" s="82"/>
      <c r="H335" s="82"/>
      <c r="I335" s="165"/>
    </row>
    <row r="336" spans="1:9" ht="15" customHeight="1" x14ac:dyDescent="0.3">
      <c r="A336" s="286">
        <v>46219</v>
      </c>
      <c r="B336" s="287" t="s">
        <v>886</v>
      </c>
      <c r="C336" s="288">
        <v>5140800</v>
      </c>
      <c r="D336" s="288"/>
      <c r="E336" s="288"/>
      <c r="F336" s="60">
        <f>ПЛАТЕЖИ[[#This Row],[СЎМ]]+(ПЛАТЕЖИ[[#This Row],[ВАЛЮТА]]*ПЛАТЕЖИ[[#This Row],[КУРС]])</f>
        <v>5140800</v>
      </c>
      <c r="G336" s="82"/>
      <c r="H336" s="82"/>
      <c r="I336" s="165"/>
    </row>
    <row r="337" spans="1:9" ht="15" customHeight="1" x14ac:dyDescent="0.3">
      <c r="A337" s="286">
        <v>46220</v>
      </c>
      <c r="B337" s="287" t="s">
        <v>899</v>
      </c>
      <c r="C337" s="288">
        <v>739500</v>
      </c>
      <c r="D337" s="288"/>
      <c r="E337" s="288"/>
      <c r="F337" s="60">
        <f>ПЛАТЕЖИ[[#This Row],[СЎМ]]+(ПЛАТЕЖИ[[#This Row],[ВАЛЮТА]]*ПЛАТЕЖИ[[#This Row],[КУРС]])</f>
        <v>739500</v>
      </c>
      <c r="G337" s="82"/>
      <c r="H337" s="82"/>
      <c r="I337" s="165"/>
    </row>
    <row r="338" spans="1:9" ht="15" customHeight="1" x14ac:dyDescent="0.3">
      <c r="A338" s="286">
        <v>46221</v>
      </c>
      <c r="B338" s="287" t="s">
        <v>170</v>
      </c>
      <c r="C338" s="288">
        <v>1000000</v>
      </c>
      <c r="D338" s="288"/>
      <c r="E338" s="288"/>
      <c r="F338" s="60">
        <f>ПЛАТЕЖИ[[#This Row],[СЎМ]]+(ПЛАТЕЖИ[[#This Row],[ВАЛЮТА]]*ПЛАТЕЖИ[[#This Row],[КУРС]])</f>
        <v>1000000</v>
      </c>
      <c r="G338" s="82"/>
      <c r="H338" s="47" t="s">
        <v>906</v>
      </c>
      <c r="I338" s="165"/>
    </row>
    <row r="339" spans="1:9" ht="15" customHeight="1" x14ac:dyDescent="0.3">
      <c r="A339" s="286">
        <v>46221</v>
      </c>
      <c r="B339" s="287" t="s">
        <v>387</v>
      </c>
      <c r="C339" s="288">
        <v>1084600</v>
      </c>
      <c r="D339" s="288"/>
      <c r="E339" s="288"/>
      <c r="F339" s="60">
        <f>ПЛАТЕЖИ[[#This Row],[СЎМ]]+(ПЛАТЕЖИ[[#This Row],[ВАЛЮТА]]*ПЛАТЕЖИ[[#This Row],[КУРС]])</f>
        <v>1084600</v>
      </c>
      <c r="G339" s="82"/>
      <c r="H339" s="47" t="s">
        <v>906</v>
      </c>
      <c r="I339" s="165"/>
    </row>
    <row r="340" spans="1:9" ht="15" customHeight="1" x14ac:dyDescent="0.3">
      <c r="A340" s="286">
        <v>46221</v>
      </c>
      <c r="B340" s="287" t="s">
        <v>209</v>
      </c>
      <c r="C340" s="288"/>
      <c r="D340" s="288">
        <v>500</v>
      </c>
      <c r="E340" s="288">
        <v>12100</v>
      </c>
      <c r="F340" s="60">
        <f>ПЛАТЕЖИ[[#This Row],[СЎМ]]+(ПЛАТЕЖИ[[#This Row],[ВАЛЮТА]]*ПЛАТЕЖИ[[#This Row],[КУРС]])</f>
        <v>6050000</v>
      </c>
      <c r="G340" s="82"/>
      <c r="H340" s="82"/>
      <c r="I340" s="165"/>
    </row>
    <row r="341" spans="1:9" ht="15" customHeight="1" x14ac:dyDescent="0.3">
      <c r="A341" s="286">
        <v>46221</v>
      </c>
      <c r="B341" s="287" t="s">
        <v>798</v>
      </c>
      <c r="C341" s="288">
        <v>2092200</v>
      </c>
      <c r="D341" s="288"/>
      <c r="E341" s="288"/>
      <c r="F341" s="60">
        <f>ПЛАТЕЖИ[[#This Row],[СЎМ]]+(ПЛАТЕЖИ[[#This Row],[ВАЛЮТА]]*ПЛАТЕЖИ[[#This Row],[КУРС]])</f>
        <v>2092200</v>
      </c>
      <c r="G341" s="82"/>
      <c r="H341" s="47" t="s">
        <v>906</v>
      </c>
      <c r="I341" s="165"/>
    </row>
    <row r="342" spans="1:9" ht="15" customHeight="1" x14ac:dyDescent="0.3">
      <c r="A342" s="286">
        <v>46221</v>
      </c>
      <c r="B342" s="287" t="s">
        <v>488</v>
      </c>
      <c r="C342" s="288">
        <v>1265000</v>
      </c>
      <c r="D342" s="288"/>
      <c r="E342" s="288"/>
      <c r="F342" s="60">
        <f>ПЛАТЕЖИ[[#This Row],[СЎМ]]+(ПЛАТЕЖИ[[#This Row],[ВАЛЮТА]]*ПЛАТЕЖИ[[#This Row],[КУРС]])</f>
        <v>1265000</v>
      </c>
      <c r="G342" s="82"/>
      <c r="H342" s="47" t="s">
        <v>906</v>
      </c>
      <c r="I342" s="165"/>
    </row>
    <row r="343" spans="1:9" s="346" customFormat="1" ht="15" customHeight="1" x14ac:dyDescent="0.3">
      <c r="A343" s="286">
        <v>46221</v>
      </c>
      <c r="B343" s="287" t="s">
        <v>89</v>
      </c>
      <c r="C343" s="288">
        <v>1885100</v>
      </c>
      <c r="D343" s="288"/>
      <c r="E343" s="288"/>
      <c r="F343" s="60">
        <f>ПЛАТЕЖИ[[#This Row],[СЎМ]]+(ПЛАТЕЖИ[[#This Row],[ВАЛЮТА]]*ПЛАТЕЖИ[[#This Row],[КУРС]])</f>
        <v>1885100</v>
      </c>
      <c r="G343" s="82"/>
      <c r="H343" s="47" t="s">
        <v>906</v>
      </c>
      <c r="I343" s="165"/>
    </row>
    <row r="344" spans="1:9" s="346" customFormat="1" ht="15" customHeight="1" x14ac:dyDescent="0.3">
      <c r="A344" s="286">
        <v>46221</v>
      </c>
      <c r="B344" s="287" t="s">
        <v>893</v>
      </c>
      <c r="C344" s="288">
        <v>1907600</v>
      </c>
      <c r="D344" s="288"/>
      <c r="E344" s="288"/>
      <c r="F344" s="289">
        <f>ПЛАТЕЖИ[[#This Row],[СЎМ]]+(ПЛАТЕЖИ[[#This Row],[ВАЛЮТА]]*ПЛАТЕЖИ[[#This Row],[КУРС]])</f>
        <v>1907600</v>
      </c>
      <c r="G344" s="287"/>
      <c r="H344" s="287"/>
      <c r="I344" s="287"/>
    </row>
    <row r="345" spans="1:9" ht="15" customHeight="1" x14ac:dyDescent="0.3">
      <c r="A345" s="286">
        <v>46221</v>
      </c>
      <c r="B345" s="287" t="s">
        <v>610</v>
      </c>
      <c r="C345" s="288">
        <v>1840000</v>
      </c>
      <c r="D345" s="288"/>
      <c r="E345" s="288"/>
      <c r="F345" s="60">
        <f>ПЛАТЕЖИ[[#This Row],[СЎМ]]+(ПЛАТЕЖИ[[#This Row],[ВАЛЮТА]]*ПЛАТЕЖИ[[#This Row],[КУРС]])</f>
        <v>1840000</v>
      </c>
      <c r="G345" s="82"/>
      <c r="H345" s="47" t="s">
        <v>906</v>
      </c>
      <c r="I345" s="165"/>
    </row>
    <row r="346" spans="1:9" ht="15" customHeight="1" x14ac:dyDescent="0.3">
      <c r="A346" s="286">
        <v>46221</v>
      </c>
      <c r="B346" s="287" t="s">
        <v>807</v>
      </c>
      <c r="C346" s="288">
        <v>5480000</v>
      </c>
      <c r="D346" s="288"/>
      <c r="E346" s="288"/>
      <c r="F346" s="60">
        <f>ПЛАТЕЖИ[[#This Row],[СЎМ]]+(ПЛАТЕЖИ[[#This Row],[ВАЛЮТА]]*ПЛАТЕЖИ[[#This Row],[КУРС]])</f>
        <v>5480000</v>
      </c>
      <c r="G346" s="82"/>
      <c r="H346" s="47" t="s">
        <v>906</v>
      </c>
      <c r="I346" s="165"/>
    </row>
    <row r="347" spans="1:9" ht="15" customHeight="1" x14ac:dyDescent="0.3">
      <c r="A347" s="81">
        <v>46222</v>
      </c>
      <c r="B347" s="82" t="s">
        <v>953</v>
      </c>
      <c r="C347" s="80"/>
      <c r="D347" s="183">
        <v>200</v>
      </c>
      <c r="E347" s="80">
        <v>12080</v>
      </c>
      <c r="F347" s="60">
        <f>ПЛАТЕЖИ[[#This Row],[СЎМ]]+(ПЛАТЕЖИ[[#This Row],[ВАЛЮТА]]*ПЛАТЕЖИ[[#This Row],[КУРС]])</f>
        <v>2416000</v>
      </c>
      <c r="G347" s="82"/>
      <c r="I347" s="165"/>
    </row>
    <row r="348" spans="1:9" ht="15" customHeight="1" x14ac:dyDescent="0.3">
      <c r="A348" s="81">
        <v>46222</v>
      </c>
      <c r="B348" s="82" t="s">
        <v>339</v>
      </c>
      <c r="C348" s="80">
        <v>2003800</v>
      </c>
      <c r="D348" s="80"/>
      <c r="E348" s="80"/>
      <c r="F348" s="60">
        <f>ПЛАТЕЖИ[[#This Row],[СЎМ]]+(ПЛАТЕЖИ[[#This Row],[ВАЛЮТА]]*ПЛАТЕЖИ[[#This Row],[КУРС]])</f>
        <v>2003800</v>
      </c>
      <c r="G348" s="82"/>
      <c r="H348" s="82"/>
      <c r="I348" s="165"/>
    </row>
    <row r="349" spans="1:9" ht="15" customHeight="1" x14ac:dyDescent="0.3">
      <c r="A349" s="81">
        <v>46222</v>
      </c>
      <c r="B349" s="82" t="s">
        <v>807</v>
      </c>
      <c r="C349" s="80">
        <v>5400000</v>
      </c>
      <c r="D349" s="80"/>
      <c r="E349" s="80"/>
      <c r="F349" s="60">
        <f>ПЛАТЕЖИ[[#This Row],[СЎМ]]+(ПЛАТЕЖИ[[#This Row],[ВАЛЮТА]]*ПЛАТЕЖИ[[#This Row],[КУРС]])</f>
        <v>5400000</v>
      </c>
      <c r="G349" s="82"/>
      <c r="H349" s="47" t="s">
        <v>906</v>
      </c>
      <c r="I349" s="165"/>
    </row>
    <row r="350" spans="1:9" ht="15" customHeight="1" x14ac:dyDescent="0.3">
      <c r="A350" s="81">
        <v>46223</v>
      </c>
      <c r="B350" s="82" t="s">
        <v>415</v>
      </c>
      <c r="C350" s="80">
        <v>917700</v>
      </c>
      <c r="D350" s="80"/>
      <c r="E350" s="80"/>
      <c r="F350" s="60">
        <f>ПЛАТЕЖИ[[#This Row],[СЎМ]]+(ПЛАТЕЖИ[[#This Row],[ВАЛЮТА]]*ПЛАТЕЖИ[[#This Row],[КУРС]])</f>
        <v>917700</v>
      </c>
      <c r="G350" s="82"/>
      <c r="H350" s="47" t="s">
        <v>906</v>
      </c>
      <c r="I350" s="165"/>
    </row>
    <row r="351" spans="1:9" ht="15" customHeight="1" x14ac:dyDescent="0.3">
      <c r="A351" s="81">
        <v>46223</v>
      </c>
      <c r="B351" s="82" t="s">
        <v>807</v>
      </c>
      <c r="C351" s="80">
        <v>2250000</v>
      </c>
      <c r="D351" s="80"/>
      <c r="E351" s="80"/>
      <c r="F351" s="60">
        <f>ПЛАТЕЖИ[[#This Row],[СЎМ]]+(ПЛАТЕЖИ[[#This Row],[ВАЛЮТА]]*ПЛАТЕЖИ[[#This Row],[КУРС]])</f>
        <v>2250000</v>
      </c>
      <c r="G351" s="82"/>
      <c r="H351" s="47" t="s">
        <v>906</v>
      </c>
      <c r="I351" s="165"/>
    </row>
    <row r="352" spans="1:9" ht="15" customHeight="1" x14ac:dyDescent="0.3">
      <c r="A352" s="81">
        <v>46223</v>
      </c>
      <c r="B352" s="82" t="s">
        <v>807</v>
      </c>
      <c r="C352" s="80">
        <v>2000000</v>
      </c>
      <c r="D352" s="80"/>
      <c r="E352" s="80"/>
      <c r="F352" s="60">
        <f>ПЛАТЕЖИ[[#This Row],[СЎМ]]+(ПЛАТЕЖИ[[#This Row],[ВАЛЮТА]]*ПЛАТЕЖИ[[#This Row],[КУРС]])</f>
        <v>2000000</v>
      </c>
      <c r="G352" s="82"/>
      <c r="H352" s="47" t="s">
        <v>906</v>
      </c>
      <c r="I352" s="165"/>
    </row>
    <row r="353" spans="1:9" ht="15" customHeight="1" x14ac:dyDescent="0.3">
      <c r="A353" s="81">
        <v>46223</v>
      </c>
      <c r="B353" s="82" t="s">
        <v>807</v>
      </c>
      <c r="C353" s="80">
        <v>3700000</v>
      </c>
      <c r="D353" s="80"/>
      <c r="E353" s="80"/>
      <c r="F353" s="60">
        <f>ПЛАТЕЖИ[[#This Row],[СЎМ]]+(ПЛАТЕЖИ[[#This Row],[ВАЛЮТА]]*ПЛАТЕЖИ[[#This Row],[КУРС]])</f>
        <v>3700000</v>
      </c>
      <c r="G353" s="82"/>
      <c r="H353" s="47" t="s">
        <v>906</v>
      </c>
      <c r="I353" s="165"/>
    </row>
    <row r="354" spans="1:9" ht="15" customHeight="1" x14ac:dyDescent="0.3">
      <c r="A354" s="81">
        <v>46223</v>
      </c>
      <c r="B354" s="82" t="s">
        <v>807</v>
      </c>
      <c r="C354" s="80">
        <v>6307000</v>
      </c>
      <c r="D354" s="80"/>
      <c r="E354" s="80"/>
      <c r="F354" s="60">
        <f>ПЛАТЕЖИ[[#This Row],[СЎМ]]+(ПЛАТЕЖИ[[#This Row],[ВАЛЮТА]]*ПЛАТЕЖИ[[#This Row],[КУРС]])</f>
        <v>6307000</v>
      </c>
      <c r="G354" s="82"/>
      <c r="H354" s="47" t="s">
        <v>906</v>
      </c>
      <c r="I354" s="165"/>
    </row>
    <row r="355" spans="1:9" ht="15" customHeight="1" x14ac:dyDescent="0.3">
      <c r="A355" s="81">
        <v>46223</v>
      </c>
      <c r="B355" s="82" t="s">
        <v>807</v>
      </c>
      <c r="C355" s="80">
        <v>4000000</v>
      </c>
      <c r="D355" s="80"/>
      <c r="E355" s="80"/>
      <c r="F355" s="60">
        <f>ПЛАТЕЖИ[[#This Row],[СЎМ]]+(ПЛАТЕЖИ[[#This Row],[ВАЛЮТА]]*ПЛАТЕЖИ[[#This Row],[КУРС]])</f>
        <v>4000000</v>
      </c>
      <c r="G355" s="82"/>
      <c r="H355" s="47" t="s">
        <v>906</v>
      </c>
      <c r="I355" s="165"/>
    </row>
    <row r="356" spans="1:9" ht="15" customHeight="1" x14ac:dyDescent="0.3">
      <c r="A356" s="81">
        <v>46223</v>
      </c>
      <c r="B356" s="82" t="s">
        <v>933</v>
      </c>
      <c r="C356" s="80">
        <v>7688600</v>
      </c>
      <c r="D356" s="80"/>
      <c r="E356" s="80"/>
      <c r="F356" s="60">
        <f>ПЛАТЕЖИ[[#This Row],[СЎМ]]+(ПЛАТЕЖИ[[#This Row],[ВАЛЮТА]]*ПЛАТЕЖИ[[#This Row],[КУРС]])</f>
        <v>7688600</v>
      </c>
      <c r="G356" s="82"/>
      <c r="H356" s="82"/>
      <c r="I356" s="165"/>
    </row>
    <row r="357" spans="1:9" ht="15" customHeight="1" x14ac:dyDescent="0.3">
      <c r="A357" s="81">
        <v>46223</v>
      </c>
      <c r="B357" s="82" t="s">
        <v>933</v>
      </c>
      <c r="C357" s="80">
        <v>1020300</v>
      </c>
      <c r="D357" s="80"/>
      <c r="E357" s="80"/>
      <c r="F357" s="60">
        <f>ПЛАТЕЖИ[[#This Row],[СЎМ]]+(ПЛАТЕЖИ[[#This Row],[ВАЛЮТА]]*ПЛАТЕЖИ[[#This Row],[КУРС]])</f>
        <v>1020300</v>
      </c>
      <c r="G357" s="82"/>
      <c r="H357" s="82"/>
      <c r="I357" s="165"/>
    </row>
    <row r="358" spans="1:9" ht="15" customHeight="1" x14ac:dyDescent="0.3">
      <c r="A358" s="81">
        <v>46223</v>
      </c>
      <c r="B358" s="82" t="s">
        <v>83</v>
      </c>
      <c r="C358" s="80">
        <v>20000000</v>
      </c>
      <c r="D358" s="80"/>
      <c r="E358" s="80"/>
      <c r="F358" s="60">
        <f>ПЛАТЕЖИ[[#This Row],[СЎМ]]+(ПЛАТЕЖИ[[#This Row],[ВАЛЮТА]]*ПЛАТЕЖИ[[#This Row],[КУРС]])</f>
        <v>20000000</v>
      </c>
      <c r="G358" s="82"/>
      <c r="H358" s="82"/>
      <c r="I358" s="165"/>
    </row>
    <row r="359" spans="1:9" ht="15" customHeight="1" x14ac:dyDescent="0.3">
      <c r="A359" s="81">
        <v>46223</v>
      </c>
      <c r="B359" s="82" t="s">
        <v>781</v>
      </c>
      <c r="C359" s="80">
        <v>1003520</v>
      </c>
      <c r="D359" s="80"/>
      <c r="E359" s="80"/>
      <c r="F359" s="60">
        <f>ПЛАТЕЖИ[[#This Row],[СЎМ]]+(ПЛАТЕЖИ[[#This Row],[ВАЛЮТА]]*ПЛАТЕЖИ[[#This Row],[КУРС]])</f>
        <v>1003520</v>
      </c>
      <c r="G359" s="82"/>
      <c r="H359" s="47" t="s">
        <v>905</v>
      </c>
      <c r="I359" s="165"/>
    </row>
    <row r="360" spans="1:9" ht="15" customHeight="1" x14ac:dyDescent="0.3">
      <c r="A360" s="81">
        <v>46223</v>
      </c>
      <c r="B360" s="59" t="s">
        <v>228</v>
      </c>
      <c r="C360" s="80">
        <v>1000000</v>
      </c>
      <c r="D360" s="80"/>
      <c r="E360" s="80"/>
      <c r="F360" s="60">
        <f>ПЛАТЕЖИ[[#This Row],[СЎМ]]+(ПЛАТЕЖИ[[#This Row],[ВАЛЮТА]]*ПЛАТЕЖИ[[#This Row],[КУРС]])</f>
        <v>1000000</v>
      </c>
      <c r="G360" s="82"/>
      <c r="H360" s="47" t="s">
        <v>905</v>
      </c>
      <c r="I360" s="165"/>
    </row>
    <row r="361" spans="1:9" ht="15" customHeight="1" x14ac:dyDescent="0.3">
      <c r="A361" s="81">
        <v>46223</v>
      </c>
      <c r="B361" s="82" t="s">
        <v>521</v>
      </c>
      <c r="C361" s="80">
        <v>20129500</v>
      </c>
      <c r="D361" s="80"/>
      <c r="E361" s="80"/>
      <c r="F361" s="60">
        <v>20129500</v>
      </c>
      <c r="G361" s="82">
        <v>46223</v>
      </c>
      <c r="H361" s="47" t="s">
        <v>908</v>
      </c>
      <c r="I361" s="165"/>
    </row>
    <row r="362" spans="1:9" ht="15" customHeight="1" x14ac:dyDescent="0.3">
      <c r="A362" s="81">
        <v>46223</v>
      </c>
      <c r="B362" s="82" t="s">
        <v>497</v>
      </c>
      <c r="C362" s="80">
        <v>5150000</v>
      </c>
      <c r="D362" s="80"/>
      <c r="E362" s="80"/>
      <c r="F362" s="60">
        <f>ПЛАТЕЖИ[[#This Row],[СЎМ]]+(ПЛАТЕЖИ[[#This Row],[ВАЛЮТА]]*ПЛАТЕЖИ[[#This Row],[КУРС]])</f>
        <v>5150000</v>
      </c>
      <c r="G362" s="82"/>
      <c r="H362" s="82"/>
      <c r="I362" s="165"/>
    </row>
    <row r="363" spans="1:9" ht="15" customHeight="1" x14ac:dyDescent="0.3">
      <c r="A363" s="81">
        <v>46223</v>
      </c>
      <c r="B363" s="82" t="s">
        <v>983</v>
      </c>
      <c r="C363" s="288">
        <v>953000</v>
      </c>
      <c r="D363" s="288"/>
      <c r="E363" s="288"/>
      <c r="F363" s="289">
        <f>ПЛАТЕЖИ[[#This Row],[СЎМ]]+(ПЛАТЕЖИ[[#This Row],[ВАЛЮТА]]*ПЛАТЕЖИ[[#This Row],[КУРС]])</f>
        <v>953000</v>
      </c>
      <c r="G363" s="287"/>
      <c r="H363" s="287"/>
      <c r="I363" s="287"/>
    </row>
    <row r="364" spans="1:9" ht="15" customHeight="1" x14ac:dyDescent="0.3">
      <c r="A364" s="81">
        <v>46223</v>
      </c>
      <c r="B364" s="82" t="s">
        <v>983</v>
      </c>
      <c r="C364" s="80"/>
      <c r="D364" s="80">
        <v>200</v>
      </c>
      <c r="E364" s="80">
        <v>12080</v>
      </c>
      <c r="F364" s="60">
        <f>ПЛАТЕЖИ[[#This Row],[СЎМ]]+(ПЛАТЕЖИ[[#This Row],[ВАЛЮТА]]*ПЛАТЕЖИ[[#This Row],[КУРС]])</f>
        <v>2416000</v>
      </c>
      <c r="G364" s="82"/>
      <c r="H364" s="82"/>
      <c r="I364" s="165"/>
    </row>
    <row r="365" spans="1:9" ht="15" customHeight="1" x14ac:dyDescent="0.3">
      <c r="A365" s="81">
        <v>46223</v>
      </c>
      <c r="B365" s="82" t="s">
        <v>320</v>
      </c>
      <c r="C365" s="80"/>
      <c r="D365" s="80">
        <v>400</v>
      </c>
      <c r="E365" s="80">
        <v>12100</v>
      </c>
      <c r="F365" s="60">
        <f>ПЛАТЕЖИ[[#This Row],[СЎМ]]+(ПЛАТЕЖИ[[#This Row],[ВАЛЮТА]]*ПЛАТЕЖИ[[#This Row],[КУРС]])</f>
        <v>4840000</v>
      </c>
      <c r="G365" s="82"/>
      <c r="H365" s="82"/>
      <c r="I365" s="165"/>
    </row>
    <row r="366" spans="1:9" ht="15" customHeight="1" x14ac:dyDescent="0.3">
      <c r="A366" s="81">
        <v>46223</v>
      </c>
      <c r="B366" s="82" t="s">
        <v>320</v>
      </c>
      <c r="C366" s="80">
        <v>251300</v>
      </c>
      <c r="D366" s="80"/>
      <c r="E366" s="80"/>
      <c r="F366" s="60">
        <f>ПЛАТЕЖИ[[#This Row],[СЎМ]]+(ПЛАТЕЖИ[[#This Row],[ВАЛЮТА]]*ПЛАТЕЖИ[[#This Row],[КУРС]])</f>
        <v>251300</v>
      </c>
      <c r="G366" s="82"/>
      <c r="H366" s="82"/>
      <c r="I366" s="165"/>
    </row>
    <row r="367" spans="1:9" ht="15" customHeight="1" x14ac:dyDescent="0.3">
      <c r="A367" s="81">
        <v>46223</v>
      </c>
      <c r="B367" s="82" t="s">
        <v>488</v>
      </c>
      <c r="C367" s="80">
        <v>1093000</v>
      </c>
      <c r="D367" s="80"/>
      <c r="E367" s="80"/>
      <c r="F367" s="60">
        <f>ПЛАТЕЖИ[[#This Row],[СЎМ]]+(ПЛАТЕЖИ[[#This Row],[ВАЛЮТА]]*ПЛАТЕЖИ[[#This Row],[КУРС]])</f>
        <v>1093000</v>
      </c>
      <c r="G367" s="82"/>
      <c r="H367" s="82"/>
      <c r="I367" s="165"/>
    </row>
    <row r="368" spans="1:9" ht="15" customHeight="1" x14ac:dyDescent="0.3">
      <c r="A368" s="81">
        <v>46224</v>
      </c>
      <c r="B368" s="82" t="s">
        <v>53</v>
      </c>
      <c r="C368" s="80">
        <v>6872400</v>
      </c>
      <c r="D368" s="80"/>
      <c r="E368" s="80"/>
      <c r="F368" s="60">
        <f>ПЛАТЕЖИ[[#This Row],[СЎМ]]+(ПЛАТЕЖИ[[#This Row],[ВАЛЮТА]]*ПЛАТЕЖИ[[#This Row],[КУРС]])</f>
        <v>6872400</v>
      </c>
      <c r="G368" s="82"/>
      <c r="H368" s="82"/>
      <c r="I368" s="165"/>
    </row>
    <row r="369" spans="1:9" ht="15" customHeight="1" x14ac:dyDescent="0.3">
      <c r="A369" s="81">
        <v>46224</v>
      </c>
      <c r="B369" s="82" t="s">
        <v>672</v>
      </c>
      <c r="C369" s="80">
        <v>539000</v>
      </c>
      <c r="D369" s="80"/>
      <c r="E369" s="80"/>
      <c r="F369" s="60">
        <v>539000</v>
      </c>
      <c r="G369" s="82"/>
      <c r="H369" s="82"/>
      <c r="I369" s="165"/>
    </row>
    <row r="370" spans="1:9" ht="15" customHeight="1" x14ac:dyDescent="0.3">
      <c r="A370" s="81">
        <v>46224</v>
      </c>
      <c r="B370" s="82" t="s">
        <v>727</v>
      </c>
      <c r="C370" s="80">
        <v>2320000</v>
      </c>
      <c r="D370" s="80"/>
      <c r="E370" s="80"/>
      <c r="F370" s="60">
        <v>2320000</v>
      </c>
      <c r="G370" s="82"/>
      <c r="I370" s="165"/>
    </row>
    <row r="371" spans="1:9" ht="15" customHeight="1" x14ac:dyDescent="0.3">
      <c r="A371" s="81">
        <v>46224</v>
      </c>
      <c r="B371" s="82" t="s">
        <v>776</v>
      </c>
      <c r="C371" s="80">
        <v>300000</v>
      </c>
      <c r="D371" s="80"/>
      <c r="E371" s="80"/>
      <c r="F371" s="60">
        <v>300000</v>
      </c>
      <c r="G371" s="82"/>
      <c r="I371" s="165"/>
    </row>
    <row r="372" spans="1:9" ht="15" customHeight="1" x14ac:dyDescent="0.3">
      <c r="A372" s="81">
        <v>46224</v>
      </c>
      <c r="B372" s="82" t="s">
        <v>776</v>
      </c>
      <c r="C372" s="80">
        <v>1250000</v>
      </c>
      <c r="D372" s="80"/>
      <c r="E372" s="80"/>
      <c r="F372" s="60">
        <v>1250000</v>
      </c>
      <c r="G372" s="82"/>
      <c r="I372" s="165"/>
    </row>
    <row r="373" spans="1:9" x14ac:dyDescent="0.3">
      <c r="A373" s="81">
        <v>46224</v>
      </c>
      <c r="B373" s="82" t="s">
        <v>377</v>
      </c>
      <c r="C373" s="80">
        <v>500000</v>
      </c>
      <c r="D373" s="80"/>
      <c r="E373" s="80"/>
      <c r="F373" s="60">
        <v>500000</v>
      </c>
      <c r="G373" s="82"/>
      <c r="H373" s="82" t="s">
        <v>906</v>
      </c>
      <c r="I373" s="165"/>
    </row>
    <row r="374" spans="1:9" ht="15" customHeight="1" x14ac:dyDescent="0.3">
      <c r="A374" s="81">
        <v>46224</v>
      </c>
      <c r="B374" s="82" t="s">
        <v>190</v>
      </c>
      <c r="C374" s="80">
        <v>2707000</v>
      </c>
      <c r="D374" s="80"/>
      <c r="E374" s="80"/>
      <c r="F374" s="60">
        <v>2707000</v>
      </c>
      <c r="G374" s="82"/>
      <c r="H374" s="47" t="s">
        <v>906</v>
      </c>
      <c r="I374" s="165"/>
    </row>
    <row r="375" spans="1:9" ht="15" customHeight="1" x14ac:dyDescent="0.3">
      <c r="A375" s="81">
        <v>46224</v>
      </c>
      <c r="B375" s="82" t="s">
        <v>737</v>
      </c>
      <c r="C375" s="80">
        <v>15000000</v>
      </c>
      <c r="D375" s="80"/>
      <c r="E375" s="80"/>
      <c r="F375" s="60">
        <v>15000000</v>
      </c>
      <c r="G375" s="82"/>
      <c r="H375" s="47" t="s">
        <v>905</v>
      </c>
      <c r="I375" s="165"/>
    </row>
    <row r="376" spans="1:9" ht="15" customHeight="1" x14ac:dyDescent="0.3">
      <c r="A376" s="81">
        <v>46224</v>
      </c>
      <c r="B376" s="82" t="s">
        <v>912</v>
      </c>
      <c r="C376" s="80">
        <v>3865300</v>
      </c>
      <c r="D376" s="80"/>
      <c r="E376" s="80"/>
      <c r="F376" s="60">
        <v>3865300</v>
      </c>
      <c r="G376" s="82"/>
      <c r="H376" s="47" t="s">
        <v>905</v>
      </c>
      <c r="I376" s="165"/>
    </row>
    <row r="377" spans="1:9" ht="15" customHeight="1" x14ac:dyDescent="0.3">
      <c r="A377" s="81">
        <v>46224</v>
      </c>
      <c r="B377" s="82" t="s">
        <v>991</v>
      </c>
      <c r="C377" s="80">
        <v>1676500</v>
      </c>
      <c r="D377" s="80"/>
      <c r="E377" s="80"/>
      <c r="F377" s="60">
        <v>1676500</v>
      </c>
      <c r="G377" s="82"/>
      <c r="H377" s="82" t="s">
        <v>905</v>
      </c>
      <c r="I377" s="165"/>
    </row>
    <row r="378" spans="1:9" ht="15" customHeight="1" x14ac:dyDescent="0.3">
      <c r="A378" s="81">
        <v>46224</v>
      </c>
      <c r="B378" s="82" t="s">
        <v>829</v>
      </c>
      <c r="C378" s="80">
        <v>602000</v>
      </c>
      <c r="D378" s="80"/>
      <c r="E378" s="80"/>
      <c r="F378" s="60">
        <v>602000</v>
      </c>
      <c r="G378" s="82"/>
      <c r="H378" s="47" t="s">
        <v>906</v>
      </c>
      <c r="I378" s="165"/>
    </row>
    <row r="379" spans="1:9" ht="15" customHeight="1" x14ac:dyDescent="0.3">
      <c r="A379" s="81">
        <v>46224</v>
      </c>
      <c r="B379" s="59" t="s">
        <v>560</v>
      </c>
      <c r="C379" s="80">
        <v>1000000</v>
      </c>
      <c r="D379" s="80"/>
      <c r="E379" s="80"/>
      <c r="F379" s="60">
        <v>1000000</v>
      </c>
      <c r="G379" s="82"/>
      <c r="H379" s="82" t="s">
        <v>906</v>
      </c>
      <c r="I379" s="165"/>
    </row>
    <row r="380" spans="1:9" ht="15" customHeight="1" x14ac:dyDescent="0.3">
      <c r="A380" s="81">
        <v>46224</v>
      </c>
      <c r="B380" s="82" t="s">
        <v>349</v>
      </c>
      <c r="C380" s="80">
        <v>1138000</v>
      </c>
      <c r="D380" s="80"/>
      <c r="E380" s="80"/>
      <c r="F380" s="60">
        <v>1138000</v>
      </c>
      <c r="G380" s="82"/>
      <c r="H380" s="82"/>
      <c r="I380" s="165"/>
    </row>
    <row r="381" spans="1:9" ht="15" customHeight="1" x14ac:dyDescent="0.3">
      <c r="A381" s="81">
        <v>46224</v>
      </c>
      <c r="B381" s="82" t="s">
        <v>681</v>
      </c>
      <c r="C381" s="80">
        <v>6200000</v>
      </c>
      <c r="D381" s="80"/>
      <c r="E381" s="80"/>
      <c r="F381" s="60">
        <v>6200000</v>
      </c>
      <c r="G381" s="82"/>
      <c r="H381" s="82" t="s">
        <v>905</v>
      </c>
      <c r="I381" s="165"/>
    </row>
    <row r="382" spans="1:9" ht="15" customHeight="1" x14ac:dyDescent="0.3">
      <c r="A382" s="81">
        <v>46224</v>
      </c>
      <c r="B382" s="82" t="s">
        <v>984</v>
      </c>
      <c r="C382" s="80">
        <v>941600</v>
      </c>
      <c r="D382" s="80"/>
      <c r="E382" s="80"/>
      <c r="F382" s="60">
        <v>941600</v>
      </c>
      <c r="G382" s="82"/>
      <c r="H382" s="82"/>
      <c r="I382" s="165"/>
    </row>
    <row r="383" spans="1:9" ht="15" customHeight="1" x14ac:dyDescent="0.3">
      <c r="A383" s="81">
        <v>46224</v>
      </c>
      <c r="B383" s="82" t="s">
        <v>451</v>
      </c>
      <c r="C383" s="80">
        <v>2518200</v>
      </c>
      <c r="D383" s="80"/>
      <c r="E383" s="80"/>
      <c r="F383" s="60">
        <v>2518200</v>
      </c>
      <c r="G383" s="82"/>
      <c r="H383" s="82"/>
      <c r="I383" s="165"/>
    </row>
    <row r="384" spans="1:9" ht="15" customHeight="1" x14ac:dyDescent="0.3">
      <c r="A384" s="342">
        <v>46224</v>
      </c>
      <c r="B384" s="82" t="s">
        <v>571</v>
      </c>
      <c r="C384" s="80">
        <v>11435200</v>
      </c>
      <c r="D384" s="80"/>
      <c r="E384" s="80"/>
      <c r="F384" s="60">
        <v>11435200</v>
      </c>
      <c r="G384" s="82"/>
      <c r="H384" s="82"/>
      <c r="I384" s="165"/>
    </row>
    <row r="385" spans="1:9" ht="15" customHeight="1" x14ac:dyDescent="0.3">
      <c r="A385" s="81">
        <v>46225</v>
      </c>
      <c r="B385" s="82" t="s">
        <v>983</v>
      </c>
      <c r="C385" s="80">
        <v>1645600</v>
      </c>
      <c r="D385" s="80"/>
      <c r="E385" s="80"/>
      <c r="F385" s="60">
        <v>0</v>
      </c>
      <c r="G385" s="82"/>
      <c r="H385" s="82"/>
      <c r="I385" s="165"/>
    </row>
    <row r="386" spans="1:9" ht="15" customHeight="1" x14ac:dyDescent="0.3">
      <c r="A386" s="81">
        <v>46225</v>
      </c>
      <c r="B386" s="82" t="s">
        <v>704</v>
      </c>
      <c r="C386" s="80">
        <v>2311500</v>
      </c>
      <c r="D386" s="80"/>
      <c r="E386" s="80"/>
      <c r="F386" s="60">
        <f>ПЛАТЕЖИ[[#This Row],[СЎМ]]+(ПЛАТЕЖИ[[#This Row],[ВАЛЮТА]]*ПЛАТЕЖИ[[#This Row],[КУРС]])</f>
        <v>2311500</v>
      </c>
      <c r="G386" s="82"/>
      <c r="H386" s="47" t="s">
        <v>908</v>
      </c>
      <c r="I386" s="165"/>
    </row>
    <row r="387" spans="1:9" ht="15" customHeight="1" x14ac:dyDescent="0.3">
      <c r="A387" s="81">
        <v>46225</v>
      </c>
      <c r="B387" s="82" t="s">
        <v>315</v>
      </c>
      <c r="C387" s="80">
        <v>959200</v>
      </c>
      <c r="D387" s="80"/>
      <c r="E387" s="80"/>
      <c r="F387" s="60">
        <f>ПЛАТЕЖИ[[#This Row],[СЎМ]]+(ПЛАТЕЖИ[[#This Row],[ВАЛЮТА]]*ПЛАТЕЖИ[[#This Row],[КУРС]])</f>
        <v>959200</v>
      </c>
      <c r="G387" s="82"/>
      <c r="I387" s="165"/>
    </row>
    <row r="388" spans="1:9" ht="15" customHeight="1" x14ac:dyDescent="0.3">
      <c r="A388" s="81">
        <v>46225</v>
      </c>
      <c r="B388" s="82" t="s">
        <v>312</v>
      </c>
      <c r="C388" s="80">
        <v>10000000</v>
      </c>
      <c r="D388" s="80"/>
      <c r="E388" s="80"/>
      <c r="F388" s="60">
        <f>ПЛАТЕЖИ[[#This Row],[СЎМ]]+(ПЛАТЕЖИ[[#This Row],[ВАЛЮТА]]*ПЛАТЕЖИ[[#This Row],[КУРС]])</f>
        <v>10000000</v>
      </c>
      <c r="G388" s="82"/>
      <c r="I388" s="165"/>
    </row>
    <row r="389" spans="1:9" ht="15" customHeight="1" x14ac:dyDescent="0.3">
      <c r="A389" s="81">
        <v>46225</v>
      </c>
      <c r="B389" s="82" t="s">
        <v>807</v>
      </c>
      <c r="C389" s="80">
        <v>800000</v>
      </c>
      <c r="D389" s="80"/>
      <c r="E389" s="80"/>
      <c r="F389" s="60">
        <f>ПЛАТЕЖИ[[#This Row],[СЎМ]]+(ПЛАТЕЖИ[[#This Row],[ВАЛЮТА]]*ПЛАТЕЖИ[[#This Row],[КУРС]])</f>
        <v>800000</v>
      </c>
      <c r="G389" s="82"/>
      <c r="H389" s="82"/>
      <c r="I389" s="165"/>
    </row>
    <row r="390" spans="1:9" ht="15" customHeight="1" x14ac:dyDescent="0.3">
      <c r="A390" s="81">
        <v>46225</v>
      </c>
      <c r="B390" s="82" t="s">
        <v>552</v>
      </c>
      <c r="C390" s="80">
        <v>33234000</v>
      </c>
      <c r="D390" s="80"/>
      <c r="E390" s="80"/>
      <c r="F390" s="60">
        <f>ПЛАТЕЖИ[[#This Row],[СЎМ]]+(ПЛАТЕЖИ[[#This Row],[ВАЛЮТА]]*ПЛАТЕЖИ[[#This Row],[КУРС]])</f>
        <v>33234000</v>
      </c>
      <c r="G390" s="82"/>
      <c r="H390" s="47" t="s">
        <v>908</v>
      </c>
      <c r="I390" s="165"/>
    </row>
    <row r="391" spans="1:9" ht="15" customHeight="1" x14ac:dyDescent="0.3">
      <c r="A391" s="81">
        <v>46225</v>
      </c>
      <c r="B391" s="82" t="s">
        <v>857</v>
      </c>
      <c r="C391" s="80">
        <v>415500</v>
      </c>
      <c r="D391" s="80"/>
      <c r="E391" s="80"/>
      <c r="F391" s="60">
        <f>ПЛАТЕЖИ[[#This Row],[СЎМ]]+(ПЛАТЕЖИ[[#This Row],[ВАЛЮТА]]*ПЛАТЕЖИ[[#This Row],[КУРС]])</f>
        <v>415500</v>
      </c>
      <c r="G391" s="82"/>
      <c r="H391" s="82"/>
      <c r="I391" s="165"/>
    </row>
    <row r="392" spans="1:9" ht="15" customHeight="1" x14ac:dyDescent="0.3">
      <c r="A392" s="81">
        <v>46225</v>
      </c>
      <c r="B392" s="82" t="s">
        <v>1006</v>
      </c>
      <c r="C392" s="80">
        <v>14679000</v>
      </c>
      <c r="D392" s="80"/>
      <c r="E392" s="80"/>
      <c r="F392" s="60">
        <f>ПЛАТЕЖИ[[#This Row],[СЎМ]]+(ПЛАТЕЖИ[[#This Row],[ВАЛЮТА]]*ПЛАТЕЖИ[[#This Row],[КУРС]])</f>
        <v>14679000</v>
      </c>
      <c r="G392" s="82"/>
      <c r="H392" s="82"/>
      <c r="I392" s="165"/>
    </row>
    <row r="393" spans="1:9" ht="15" customHeight="1" x14ac:dyDescent="0.3">
      <c r="A393" s="81">
        <v>46225</v>
      </c>
      <c r="B393" s="82" t="s">
        <v>430</v>
      </c>
      <c r="C393" s="80">
        <v>1036000</v>
      </c>
      <c r="D393" s="80"/>
      <c r="E393" s="80"/>
      <c r="F393" s="60">
        <f>ПЛАТЕЖИ[[#This Row],[СЎМ]]+(ПЛАТЕЖИ[[#This Row],[ВАЛЮТА]]*ПЛАТЕЖИ[[#This Row],[КУРС]])</f>
        <v>1036000</v>
      </c>
      <c r="G393" s="82"/>
      <c r="H393" s="82"/>
      <c r="I393" s="165"/>
    </row>
    <row r="394" spans="1:9" ht="15" customHeight="1" x14ac:dyDescent="0.3">
      <c r="A394" s="81">
        <v>46225</v>
      </c>
      <c r="B394" s="82" t="s">
        <v>808</v>
      </c>
      <c r="C394" s="80">
        <v>1058000</v>
      </c>
      <c r="D394" s="80"/>
      <c r="E394" s="80"/>
      <c r="F394" s="60">
        <f>ПЛАТЕЖИ[[#This Row],[СЎМ]]+(ПЛАТЕЖИ[[#This Row],[ВАЛЮТА]]*ПЛАТЕЖИ[[#This Row],[КУРС]])</f>
        <v>1058000</v>
      </c>
      <c r="G394" s="82"/>
      <c r="H394" s="82"/>
      <c r="I394" s="165"/>
    </row>
    <row r="395" spans="1:9" ht="15" customHeight="1" x14ac:dyDescent="0.3">
      <c r="A395" s="81">
        <v>46225</v>
      </c>
      <c r="B395" s="82" t="s">
        <v>781</v>
      </c>
      <c r="C395" s="80">
        <v>99900</v>
      </c>
      <c r="D395" s="80"/>
      <c r="E395" s="80"/>
      <c r="F395" s="60">
        <f>ПЛАТЕЖИ[[#This Row],[СЎМ]]+(ПЛАТЕЖИ[[#This Row],[ВАЛЮТА]]*ПЛАТЕЖИ[[#This Row],[КУРС]])</f>
        <v>99900</v>
      </c>
      <c r="G395" s="82"/>
      <c r="I395" s="165"/>
    </row>
    <row r="396" spans="1:9" ht="15" customHeight="1" x14ac:dyDescent="0.3">
      <c r="A396" s="81">
        <v>46225</v>
      </c>
      <c r="B396" s="82" t="s">
        <v>450</v>
      </c>
      <c r="C396" s="80">
        <v>29250</v>
      </c>
      <c r="D396" s="80"/>
      <c r="E396" s="80"/>
      <c r="F396" s="60">
        <f>ПЛАТЕЖИ[[#This Row],[СЎМ]]+(ПЛАТЕЖИ[[#This Row],[ВАЛЮТА]]*ПЛАТЕЖИ[[#This Row],[КУРС]])</f>
        <v>29250</v>
      </c>
      <c r="G396" s="82"/>
      <c r="I396" s="165"/>
    </row>
    <row r="397" spans="1:9" ht="15" customHeight="1" x14ac:dyDescent="0.3">
      <c r="A397" s="81"/>
      <c r="B397" s="82"/>
      <c r="C397" s="80"/>
      <c r="D397" s="80"/>
      <c r="E397" s="80"/>
      <c r="F397" s="60">
        <f>ПЛАТЕЖИ[[#This Row],[СЎМ]]+(ПЛАТЕЖИ[[#This Row],[ВАЛЮТА]]*ПЛАТЕЖИ[[#This Row],[КУРС]])</f>
        <v>0</v>
      </c>
      <c r="G397" s="82"/>
      <c r="I397" s="165"/>
    </row>
    <row r="398" spans="1:9" ht="15" customHeight="1" x14ac:dyDescent="0.3">
      <c r="A398" s="81"/>
      <c r="B398" s="82"/>
      <c r="C398" s="80"/>
      <c r="D398" s="80"/>
      <c r="E398" s="80"/>
      <c r="F398" s="60">
        <f>ПЛАТЕЖИ[[#This Row],[СЎМ]]+(ПЛАТЕЖИ[[#This Row],[ВАЛЮТА]]*ПЛАТЕЖИ[[#This Row],[КУРС]])</f>
        <v>0</v>
      </c>
      <c r="G398" s="82"/>
      <c r="I398" s="165"/>
    </row>
    <row r="399" spans="1:9" ht="15" customHeight="1" x14ac:dyDescent="0.3">
      <c r="A399" s="81"/>
      <c r="B399" s="82"/>
      <c r="C399" s="80"/>
      <c r="D399" s="80"/>
      <c r="E399" s="80"/>
      <c r="F399" s="60">
        <f>ПЛАТЕЖИ[[#This Row],[СЎМ]]+(ПЛАТЕЖИ[[#This Row],[ВАЛЮТА]]*ПЛАТЕЖИ[[#This Row],[КУРС]])</f>
        <v>0</v>
      </c>
      <c r="G399" s="82"/>
      <c r="I399" s="165"/>
    </row>
    <row r="400" spans="1:9" ht="15" customHeight="1" x14ac:dyDescent="0.3">
      <c r="A400" s="81"/>
      <c r="B400" s="82"/>
      <c r="C400" s="80"/>
      <c r="D400" s="80"/>
      <c r="E400" s="80"/>
      <c r="F400" s="60">
        <f>ПЛАТЕЖИ[[#This Row],[СЎМ]]+(ПЛАТЕЖИ[[#This Row],[ВАЛЮТА]]*ПЛАТЕЖИ[[#This Row],[КУРС]])</f>
        <v>0</v>
      </c>
      <c r="G400" s="82"/>
      <c r="H400" s="82"/>
      <c r="I400" s="165"/>
    </row>
    <row r="401" spans="1:9" ht="15" customHeight="1" x14ac:dyDescent="0.3">
      <c r="A401" s="164"/>
      <c r="B401" s="165"/>
      <c r="C401" s="166"/>
      <c r="D401" s="166"/>
      <c r="E401" s="166"/>
      <c r="F401" s="60">
        <f>ПЛАТЕЖИ[[#This Row],[СЎМ]]+(ПЛАТЕЖИ[[#This Row],[ВАЛЮТА]]*ПЛАТЕЖИ[[#This Row],[КУРС]])</f>
        <v>0</v>
      </c>
      <c r="G401" s="165"/>
      <c r="H401" s="165"/>
      <c r="I401" s="165"/>
    </row>
    <row r="402" spans="1:9" ht="15" customHeight="1" x14ac:dyDescent="0.3">
      <c r="A402" s="164"/>
      <c r="B402" s="165"/>
      <c r="C402" s="166"/>
      <c r="D402" s="166"/>
      <c r="E402" s="166"/>
      <c r="F402" s="60">
        <f>ПЛАТЕЖИ[[#This Row],[СЎМ]]+(ПЛАТЕЖИ[[#This Row],[ВАЛЮТА]]*ПЛАТЕЖИ[[#This Row],[КУРС]])</f>
        <v>0</v>
      </c>
      <c r="G402" s="165"/>
      <c r="H402" s="165"/>
      <c r="I402" s="165"/>
    </row>
    <row r="403" spans="1:9" ht="15" customHeight="1" x14ac:dyDescent="0.3">
      <c r="A403" s="81"/>
      <c r="B403" s="82"/>
      <c r="C403" s="80"/>
      <c r="D403" s="341"/>
      <c r="E403" s="80"/>
      <c r="F403" s="60">
        <f>ПЛАТЕЖИ[[#This Row],[СЎМ]]+(ПЛАТЕЖИ[[#This Row],[ВАЛЮТА]]*ПЛАТЕЖИ[[#This Row],[КУРС]])</f>
        <v>0</v>
      </c>
      <c r="G403" s="82"/>
      <c r="I403" s="165"/>
    </row>
    <row r="404" spans="1:9" ht="15" customHeight="1" x14ac:dyDescent="0.3">
      <c r="A404" s="81"/>
      <c r="B404" s="82"/>
      <c r="C404" s="80"/>
      <c r="D404" s="80"/>
      <c r="E404" s="80"/>
      <c r="F404" s="60">
        <f>ПЛАТЕЖИ[[#This Row],[СЎМ]]+(ПЛАТЕЖИ[[#This Row],[ВАЛЮТА]]*ПЛАТЕЖИ[[#This Row],[КУРС]])</f>
        <v>0</v>
      </c>
      <c r="G404" s="82"/>
      <c r="H404" s="82"/>
      <c r="I404" s="165"/>
    </row>
    <row r="405" spans="1:9" ht="15" customHeight="1" x14ac:dyDescent="0.3">
      <c r="A405" s="81"/>
      <c r="B405" s="82"/>
      <c r="C405" s="80"/>
      <c r="D405" s="80"/>
      <c r="E405" s="80"/>
      <c r="F405" s="60">
        <f>ПЛАТЕЖИ[[#This Row],[СЎМ]]+(ПЛАТЕЖИ[[#This Row],[ВАЛЮТА]]*ПЛАТЕЖИ[[#This Row],[КУРС]])</f>
        <v>0</v>
      </c>
      <c r="G405" s="82"/>
      <c r="H405" s="82"/>
      <c r="I405" s="165"/>
    </row>
    <row r="406" spans="1:9" ht="15" customHeight="1" x14ac:dyDescent="0.3">
      <c r="A406" s="81"/>
      <c r="B406" s="82"/>
      <c r="C406" s="80"/>
      <c r="D406" s="80"/>
      <c r="E406" s="80"/>
      <c r="F406" s="60">
        <f>ПЛАТЕЖИ[[#This Row],[СЎМ]]+(ПЛАТЕЖИ[[#This Row],[ВАЛЮТА]]*ПЛАТЕЖИ[[#This Row],[КУРС]])</f>
        <v>0</v>
      </c>
      <c r="G406" s="82"/>
      <c r="H406" s="82"/>
      <c r="I406" s="165"/>
    </row>
    <row r="407" spans="1:9" ht="15" customHeight="1" x14ac:dyDescent="0.3">
      <c r="A407" s="81"/>
      <c r="B407" s="82"/>
      <c r="C407" s="80"/>
      <c r="D407" s="80"/>
      <c r="E407" s="80"/>
      <c r="F407" s="60">
        <f>ПЛАТЕЖИ[[#This Row],[СЎМ]]+(ПЛАТЕЖИ[[#This Row],[ВАЛЮТА]]*ПЛАТЕЖИ[[#This Row],[КУРС]])</f>
        <v>0</v>
      </c>
      <c r="G407" s="82"/>
      <c r="H407" s="82"/>
      <c r="I407" s="165"/>
    </row>
    <row r="408" spans="1:9" ht="15" customHeight="1" x14ac:dyDescent="0.3">
      <c r="A408" s="81"/>
      <c r="C408" s="80"/>
      <c r="D408" s="80"/>
      <c r="E408" s="80"/>
      <c r="F408" s="60">
        <f>ПЛАТЕЖИ[[#This Row],[СЎМ]]+(ПЛАТЕЖИ[[#This Row],[ВАЛЮТА]]*ПЛАТЕЖИ[[#This Row],[КУРС]])</f>
        <v>0</v>
      </c>
      <c r="H408" s="82"/>
      <c r="I408" s="165"/>
    </row>
    <row r="409" spans="1:9" ht="15" customHeight="1" x14ac:dyDescent="0.3">
      <c r="A409" s="81"/>
      <c r="B409" s="82"/>
      <c r="C409" s="80"/>
      <c r="D409" s="80"/>
      <c r="E409" s="80"/>
      <c r="F409" s="60">
        <f>ПЛАТЕЖИ[[#This Row],[СЎМ]]+(ПЛАТЕЖИ[[#This Row],[ВАЛЮТА]]*ПЛАТЕЖИ[[#This Row],[КУРС]])</f>
        <v>0</v>
      </c>
      <c r="H409" s="82"/>
      <c r="I409" s="165"/>
    </row>
    <row r="410" spans="1:9" ht="15" customHeight="1" x14ac:dyDescent="0.3">
      <c r="A410" s="81"/>
      <c r="C410" s="80"/>
      <c r="D410" s="80"/>
      <c r="E410" s="80"/>
      <c r="F410" s="60">
        <f>ПЛАТЕЖИ[[#This Row],[СЎМ]]+(ПЛАТЕЖИ[[#This Row],[ВАЛЮТА]]*ПЛАТЕЖИ[[#This Row],[КУРС]])</f>
        <v>0</v>
      </c>
      <c r="G410" s="82"/>
      <c r="I410" s="165"/>
    </row>
    <row r="411" spans="1:9" ht="15" customHeight="1" x14ac:dyDescent="0.3">
      <c r="A411" s="81"/>
      <c r="B411" s="82"/>
      <c r="C411" s="80"/>
      <c r="D411" s="80"/>
      <c r="E411" s="80"/>
      <c r="F411" s="60">
        <f>ПЛАТЕЖИ[[#This Row],[СЎМ]]+(ПЛАТЕЖИ[[#This Row],[ВАЛЮТА]]*ПЛАТЕЖИ[[#This Row],[КУРС]])</f>
        <v>0</v>
      </c>
      <c r="H411" s="82"/>
      <c r="I411" s="165"/>
    </row>
    <row r="412" spans="1:9" ht="15" customHeight="1" x14ac:dyDescent="0.3">
      <c r="A412" s="81"/>
      <c r="C412" s="80"/>
      <c r="D412" s="80"/>
      <c r="E412" s="80"/>
      <c r="F412" s="60">
        <f>ПЛАТЕЖИ[[#This Row],[СЎМ]]+(ПЛАТЕЖИ[[#This Row],[ВАЛЮТА]]*ПЛАТЕЖИ[[#This Row],[КУРС]])</f>
        <v>0</v>
      </c>
      <c r="H412" s="82"/>
      <c r="I412" s="165"/>
    </row>
    <row r="413" spans="1:9" ht="15" customHeight="1" x14ac:dyDescent="0.3">
      <c r="A413" s="81"/>
      <c r="B413" s="82"/>
      <c r="C413" s="80"/>
      <c r="D413" s="80"/>
      <c r="E413" s="80"/>
      <c r="F413" s="60">
        <f>ПЛАТЕЖИ[[#This Row],[СЎМ]]+(ПЛАТЕЖИ[[#This Row],[ВАЛЮТА]]*ПЛАТЕЖИ[[#This Row],[КУРС]])</f>
        <v>0</v>
      </c>
      <c r="I413" s="165"/>
    </row>
    <row r="414" spans="1:9" ht="15" customHeight="1" x14ac:dyDescent="0.3">
      <c r="A414" s="81"/>
      <c r="B414" s="82"/>
      <c r="C414" s="80"/>
      <c r="D414" s="80"/>
      <c r="E414" s="80"/>
      <c r="F414" s="60">
        <f>ПЛАТЕЖИ[[#This Row],[СЎМ]]+(ПЛАТЕЖИ[[#This Row],[ВАЛЮТА]]*ПЛАТЕЖИ[[#This Row],[КУРС]])</f>
        <v>0</v>
      </c>
      <c r="H414" s="82"/>
      <c r="I414" s="165"/>
    </row>
    <row r="415" spans="1:9" ht="15" customHeight="1" x14ac:dyDescent="0.3">
      <c r="A415" s="81"/>
      <c r="B415" s="59"/>
      <c r="C415" s="80"/>
      <c r="D415" s="80"/>
      <c r="E415" s="80"/>
      <c r="F415" s="60">
        <f>ПЛАТЕЖИ[[#This Row],[СЎМ]]+(ПЛАТЕЖИ[[#This Row],[ВАЛЮТА]]*ПЛАТЕЖИ[[#This Row],[КУРС]])</f>
        <v>0</v>
      </c>
      <c r="H415" s="82"/>
      <c r="I415" s="165"/>
    </row>
    <row r="416" spans="1:9" ht="15" customHeight="1" x14ac:dyDescent="0.3">
      <c r="A416" s="81"/>
      <c r="C416" s="80"/>
      <c r="D416" s="80"/>
      <c r="E416" s="80"/>
      <c r="F416" s="60">
        <f>ПЛАТЕЖИ[[#This Row],[СЎМ]]+(ПЛАТЕЖИ[[#This Row],[ВАЛЮТА]]*ПЛАТЕЖИ[[#This Row],[КУРС]])</f>
        <v>0</v>
      </c>
      <c r="H416" s="82"/>
      <c r="I416" s="165"/>
    </row>
    <row r="417" spans="1:9" ht="15" customHeight="1" x14ac:dyDescent="0.3">
      <c r="A417" s="81"/>
      <c r="B417" s="59"/>
      <c r="C417" s="80"/>
      <c r="D417" s="80"/>
      <c r="E417" s="80"/>
      <c r="F417" s="60">
        <f>ПЛАТЕЖИ[[#This Row],[СЎМ]]+(ПЛАТЕЖИ[[#This Row],[ВАЛЮТА]]*ПЛАТЕЖИ[[#This Row],[КУРС]])</f>
        <v>0</v>
      </c>
      <c r="H417" s="82"/>
      <c r="I417" s="165"/>
    </row>
    <row r="418" spans="1:9" ht="15" customHeight="1" x14ac:dyDescent="0.3">
      <c r="A418" s="81"/>
      <c r="C418" s="80"/>
      <c r="D418" s="80"/>
      <c r="E418" s="80"/>
      <c r="F418" s="60">
        <f>ПЛАТЕЖИ[[#This Row],[СЎМ]]+(ПЛАТЕЖИ[[#This Row],[ВАЛЮТА]]*ПЛАТЕЖИ[[#This Row],[КУРС]])</f>
        <v>0</v>
      </c>
      <c r="H418" s="82"/>
      <c r="I418" s="165"/>
    </row>
    <row r="419" spans="1:9" ht="15" customHeight="1" x14ac:dyDescent="0.3">
      <c r="A419" s="92"/>
      <c r="B419" s="93"/>
      <c r="C419" s="94"/>
      <c r="D419" s="94"/>
      <c r="E419" s="94"/>
      <c r="F419" s="60">
        <f>ПЛАТЕЖИ[[#This Row],[СЎМ]]+(ПЛАТЕЖИ[[#This Row],[ВАЛЮТА]]*ПЛАТЕЖИ[[#This Row],[КУРС]])</f>
        <v>0</v>
      </c>
      <c r="G419" s="93"/>
      <c r="H419" s="93"/>
      <c r="I419" s="165"/>
    </row>
    <row r="420" spans="1:9" ht="15" customHeight="1" x14ac:dyDescent="0.3">
      <c r="A420" s="92"/>
      <c r="B420" s="93"/>
      <c r="C420" s="94"/>
      <c r="D420" s="94"/>
      <c r="E420" s="94"/>
      <c r="F420" s="60">
        <f>ПЛАТЕЖИ[[#This Row],[СЎМ]]+(ПЛАТЕЖИ[[#This Row],[ВАЛЮТА]]*ПЛАТЕЖИ[[#This Row],[КУРС]])</f>
        <v>0</v>
      </c>
      <c r="G420" s="93"/>
      <c r="H420" s="93"/>
      <c r="I420" s="165"/>
    </row>
    <row r="421" spans="1:9" ht="15" customHeight="1" x14ac:dyDescent="0.3">
      <c r="A421" s="81"/>
      <c r="C421" s="80"/>
      <c r="D421" s="80"/>
      <c r="E421" s="80"/>
      <c r="F421" s="60">
        <f>ПЛАТЕЖИ[[#This Row],[СЎМ]]+(ПЛАТЕЖИ[[#This Row],[ВАЛЮТА]]*ПЛАТЕЖИ[[#This Row],[КУРС]])</f>
        <v>0</v>
      </c>
      <c r="H421" s="82"/>
      <c r="I421" s="165"/>
    </row>
    <row r="422" spans="1:9" ht="15" customHeight="1" x14ac:dyDescent="0.3">
      <c r="A422" s="81"/>
      <c r="B422" s="82"/>
      <c r="C422" s="80"/>
      <c r="D422" s="80"/>
      <c r="E422" s="80"/>
      <c r="F422" s="60">
        <f>ПЛАТЕЖИ[[#This Row],[СЎМ]]+(ПЛАТЕЖИ[[#This Row],[ВАЛЮТА]]*ПЛАТЕЖИ[[#This Row],[КУРС]])</f>
        <v>0</v>
      </c>
      <c r="H422" s="82"/>
      <c r="I422" s="165"/>
    </row>
    <row r="423" spans="1:9" ht="15" customHeight="1" x14ac:dyDescent="0.3">
      <c r="A423" s="81"/>
      <c r="B423" s="82"/>
      <c r="C423" s="80"/>
      <c r="D423" s="80"/>
      <c r="E423" s="80"/>
      <c r="F423" s="60">
        <f>ПЛАТЕЖИ[[#This Row],[СЎМ]]+(ПЛАТЕЖИ[[#This Row],[ВАЛЮТА]]*ПЛАТЕЖИ[[#This Row],[КУРС]])</f>
        <v>0</v>
      </c>
      <c r="H423" s="82"/>
      <c r="I423" s="165"/>
    </row>
    <row r="424" spans="1:9" ht="15" customHeight="1" x14ac:dyDescent="0.3">
      <c r="A424" s="92"/>
      <c r="B424" s="93"/>
      <c r="C424" s="94"/>
      <c r="D424" s="94"/>
      <c r="E424" s="94"/>
      <c r="F424" s="60">
        <f>ПЛАТЕЖИ[[#This Row],[СЎМ]]+(ПЛАТЕЖИ[[#This Row],[ВАЛЮТА]]*ПЛАТЕЖИ[[#This Row],[КУРС]])</f>
        <v>0</v>
      </c>
      <c r="G424" s="93"/>
      <c r="H424" s="93"/>
      <c r="I424" s="165"/>
    </row>
    <row r="425" spans="1:9" ht="15" customHeight="1" x14ac:dyDescent="0.3">
      <c r="A425" s="92"/>
      <c r="B425" s="93"/>
      <c r="C425" s="94"/>
      <c r="D425" s="94"/>
      <c r="E425" s="94"/>
      <c r="F425" s="60">
        <f>ПЛАТЕЖИ[[#This Row],[СЎМ]]+(ПЛАТЕЖИ[[#This Row],[ВАЛЮТА]]*ПЛАТЕЖИ[[#This Row],[КУРС]])</f>
        <v>0</v>
      </c>
      <c r="G425" s="93"/>
      <c r="H425" s="93"/>
      <c r="I425" s="165"/>
    </row>
    <row r="426" spans="1:9" ht="15" customHeight="1" x14ac:dyDescent="0.3">
      <c r="A426" s="92"/>
      <c r="B426" s="93"/>
      <c r="C426" s="94"/>
      <c r="D426" s="94"/>
      <c r="E426" s="94"/>
      <c r="F426" s="60">
        <f>ПЛАТЕЖИ[[#This Row],[СЎМ]]+(ПЛАТЕЖИ[[#This Row],[ВАЛЮТА]]*ПЛАТЕЖИ[[#This Row],[КУРС]])</f>
        <v>0</v>
      </c>
      <c r="G426" s="93"/>
      <c r="I426" s="165"/>
    </row>
    <row r="427" spans="1:9" ht="15" customHeight="1" x14ac:dyDescent="0.3">
      <c r="A427" s="92"/>
      <c r="B427" s="93"/>
      <c r="C427" s="94"/>
      <c r="D427" s="94"/>
      <c r="E427" s="94"/>
      <c r="F427" s="60">
        <f>ПЛАТЕЖИ[[#This Row],[СЎМ]]+(ПЛАТЕЖИ[[#This Row],[ВАЛЮТА]]*ПЛАТЕЖИ[[#This Row],[КУРС]])</f>
        <v>0</v>
      </c>
      <c r="G427" s="93"/>
      <c r="H427" s="93"/>
      <c r="I427" s="165"/>
    </row>
    <row r="428" spans="1:9" ht="15" customHeight="1" x14ac:dyDescent="0.3">
      <c r="A428" s="92"/>
      <c r="B428" s="93"/>
      <c r="C428" s="94"/>
      <c r="D428" s="94"/>
      <c r="E428" s="94"/>
      <c r="F428" s="60">
        <f>ПЛАТЕЖИ[[#This Row],[СЎМ]]+(ПЛАТЕЖИ[[#This Row],[ВАЛЮТА]]*ПЛАТЕЖИ[[#This Row],[КУРС]])</f>
        <v>0</v>
      </c>
      <c r="G428" s="93"/>
      <c r="I428" s="165"/>
    </row>
    <row r="429" spans="1:9" ht="15" customHeight="1" x14ac:dyDescent="0.3">
      <c r="A429" s="92"/>
      <c r="B429" s="93"/>
      <c r="C429" s="94"/>
      <c r="D429" s="94"/>
      <c r="E429" s="94"/>
      <c r="F429" s="60">
        <f>ПЛАТЕЖИ[[#This Row],[СЎМ]]+(ПЛАТЕЖИ[[#This Row],[ВАЛЮТА]]*ПЛАТЕЖИ[[#This Row],[КУРС]])</f>
        <v>0</v>
      </c>
      <c r="G429" s="93"/>
      <c r="H429" s="93"/>
      <c r="I429" s="165"/>
    </row>
    <row r="430" spans="1:9" ht="15" customHeight="1" x14ac:dyDescent="0.3">
      <c r="A430" s="92"/>
      <c r="B430" s="93"/>
      <c r="C430" s="94"/>
      <c r="D430" s="94"/>
      <c r="E430" s="94"/>
      <c r="F430" s="60">
        <f>ПЛАТЕЖИ[[#This Row],[СЎМ]]+(ПЛАТЕЖИ[[#This Row],[ВАЛЮТА]]*ПЛАТЕЖИ[[#This Row],[КУРС]])</f>
        <v>0</v>
      </c>
      <c r="G430" s="93"/>
      <c r="H430" s="93"/>
      <c r="I430" s="165"/>
    </row>
    <row r="431" spans="1:9" ht="15" customHeight="1" x14ac:dyDescent="0.3">
      <c r="A431" s="92"/>
      <c r="B431" s="93"/>
      <c r="C431" s="94"/>
      <c r="D431" s="94"/>
      <c r="E431" s="94"/>
      <c r="F431" s="60">
        <f>ПЛАТЕЖИ[[#This Row],[СЎМ]]+(ПЛАТЕЖИ[[#This Row],[ВАЛЮТА]]*ПЛАТЕЖИ[[#This Row],[КУРС]])</f>
        <v>0</v>
      </c>
      <c r="G431" s="93"/>
      <c r="H431" s="93"/>
      <c r="I431" s="165"/>
    </row>
    <row r="432" spans="1:9" ht="15" customHeight="1" x14ac:dyDescent="0.3">
      <c r="A432" s="92"/>
      <c r="B432" s="93"/>
      <c r="C432" s="94"/>
      <c r="D432" s="94"/>
      <c r="E432" s="94"/>
      <c r="F432" s="60">
        <f>ПЛАТЕЖИ[[#This Row],[СЎМ]]+(ПЛАТЕЖИ[[#This Row],[ВАЛЮТА]]*ПЛАТЕЖИ[[#This Row],[КУРС]])</f>
        <v>0</v>
      </c>
      <c r="G432" s="93"/>
      <c r="H432" s="93"/>
      <c r="I432" s="165"/>
    </row>
    <row r="433" spans="1:9" ht="15" customHeight="1" x14ac:dyDescent="0.3">
      <c r="A433" s="92"/>
      <c r="B433" s="93"/>
      <c r="C433" s="94"/>
      <c r="D433" s="94"/>
      <c r="E433" s="94"/>
      <c r="F433" s="60">
        <f>ПЛАТЕЖИ[[#This Row],[СЎМ]]+(ПЛАТЕЖИ[[#This Row],[ВАЛЮТА]]*ПЛАТЕЖИ[[#This Row],[КУРС]])</f>
        <v>0</v>
      </c>
      <c r="G433" s="93"/>
      <c r="H433" s="93"/>
      <c r="I433" s="165"/>
    </row>
    <row r="434" spans="1:9" ht="15" customHeight="1" x14ac:dyDescent="0.3">
      <c r="A434" s="92"/>
      <c r="B434" s="93"/>
      <c r="C434" s="94"/>
      <c r="D434" s="94"/>
      <c r="E434" s="94"/>
      <c r="F434" s="60">
        <f>ПЛАТЕЖИ[[#This Row],[СЎМ]]+(ПЛАТЕЖИ[[#This Row],[ВАЛЮТА]]*ПЛАТЕЖИ[[#This Row],[КУРС]])</f>
        <v>0</v>
      </c>
      <c r="G434" s="93"/>
      <c r="H434" s="93"/>
      <c r="I434" s="165"/>
    </row>
    <row r="435" spans="1:9" ht="15" customHeight="1" x14ac:dyDescent="0.3">
      <c r="A435" s="92"/>
      <c r="B435" s="93"/>
      <c r="C435" s="94"/>
      <c r="D435" s="94"/>
      <c r="E435" s="94"/>
      <c r="F435" s="60">
        <f>ПЛАТЕЖИ[[#This Row],[СЎМ]]+(ПЛАТЕЖИ[[#This Row],[ВАЛЮТА]]*ПЛАТЕЖИ[[#This Row],[КУРС]])</f>
        <v>0</v>
      </c>
      <c r="I435" s="165"/>
    </row>
    <row r="436" spans="1:9" ht="15" customHeight="1" x14ac:dyDescent="0.3">
      <c r="A436" s="92"/>
      <c r="C436" s="94"/>
      <c r="D436" s="94"/>
      <c r="E436" s="94"/>
      <c r="F436" s="60">
        <f>ПЛАТЕЖИ[[#This Row],[СЎМ]]+(ПЛАТЕЖИ[[#This Row],[ВАЛЮТА]]*ПЛАТЕЖИ[[#This Row],[КУРС]])</f>
        <v>0</v>
      </c>
      <c r="H436" s="93"/>
      <c r="I436" s="165"/>
    </row>
    <row r="437" spans="1:9" ht="15" customHeight="1" x14ac:dyDescent="0.3">
      <c r="A437" s="92"/>
      <c r="C437" s="94"/>
      <c r="D437" s="94"/>
      <c r="E437" s="94"/>
      <c r="F437" s="60">
        <f>ПЛАТЕЖИ[[#This Row],[СЎМ]]+(ПЛАТЕЖИ[[#This Row],[ВАЛЮТА]]*ПЛАТЕЖИ[[#This Row],[КУРС]])</f>
        <v>0</v>
      </c>
      <c r="H437" s="93"/>
      <c r="I437" s="165"/>
    </row>
    <row r="438" spans="1:9" ht="15" customHeight="1" x14ac:dyDescent="0.3">
      <c r="A438" s="92"/>
      <c r="C438" s="94"/>
      <c r="D438" s="94"/>
      <c r="E438" s="94"/>
      <c r="F438" s="60">
        <f>ПЛАТЕЖИ[[#This Row],[СЎМ]]+(ПЛАТЕЖИ[[#This Row],[ВАЛЮТА]]*ПЛАТЕЖИ[[#This Row],[КУРС]])</f>
        <v>0</v>
      </c>
      <c r="H438" s="93"/>
      <c r="I438" s="165"/>
    </row>
    <row r="439" spans="1:9" ht="15" customHeight="1" x14ac:dyDescent="0.3">
      <c r="A439" s="92"/>
      <c r="B439" s="93"/>
      <c r="C439" s="94"/>
      <c r="D439" s="94"/>
      <c r="E439" s="94"/>
      <c r="F439" s="60">
        <f>ПЛАТЕЖИ[[#This Row],[СЎМ]]+(ПЛАТЕЖИ[[#This Row],[ВАЛЮТА]]*ПЛАТЕЖИ[[#This Row],[КУРС]])</f>
        <v>0</v>
      </c>
      <c r="H439" s="93"/>
      <c r="I439" s="165"/>
    </row>
    <row r="440" spans="1:9" ht="15" customHeight="1" x14ac:dyDescent="0.3">
      <c r="A440" s="92"/>
      <c r="C440" s="94"/>
      <c r="D440" s="94"/>
      <c r="E440" s="94"/>
      <c r="F440" s="60">
        <f>ПЛАТЕЖИ[[#This Row],[СЎМ]]+(ПЛАТЕЖИ[[#This Row],[ВАЛЮТА]]*ПЛАТЕЖИ[[#This Row],[КУРС]])</f>
        <v>0</v>
      </c>
      <c r="H440" s="93"/>
      <c r="I440" s="165"/>
    </row>
    <row r="441" spans="1:9" ht="15" customHeight="1" x14ac:dyDescent="0.3">
      <c r="A441" s="92"/>
      <c r="C441" s="94"/>
      <c r="D441" s="94"/>
      <c r="E441" s="94"/>
      <c r="F441" s="60">
        <f>ПЛАТЕЖИ[[#This Row],[СЎМ]]+(ПЛАТЕЖИ[[#This Row],[ВАЛЮТА]]*ПЛАТЕЖИ[[#This Row],[КУРС]])</f>
        <v>0</v>
      </c>
      <c r="G441" s="93"/>
      <c r="I441" s="165"/>
    </row>
    <row r="442" spans="1:9" ht="15" customHeight="1" x14ac:dyDescent="0.3">
      <c r="A442" s="92"/>
      <c r="B442" s="93"/>
      <c r="C442" s="94"/>
      <c r="D442" s="94"/>
      <c r="E442" s="94"/>
      <c r="F442" s="60">
        <f>ПЛАТЕЖИ[[#This Row],[СЎМ]]+(ПЛАТЕЖИ[[#This Row],[ВАЛЮТА]]*ПЛАТЕЖИ[[#This Row],[КУРС]])</f>
        <v>0</v>
      </c>
      <c r="G442" s="93"/>
      <c r="H442" s="93"/>
      <c r="I442" s="165"/>
    </row>
    <row r="443" spans="1:9" ht="15" customHeight="1" x14ac:dyDescent="0.3">
      <c r="A443" s="92"/>
      <c r="B443" s="93"/>
      <c r="C443" s="94"/>
      <c r="D443" s="94"/>
      <c r="E443" s="94"/>
      <c r="F443" s="60">
        <f>ПЛАТЕЖИ[[#This Row],[СЎМ]]+(ПЛАТЕЖИ[[#This Row],[ВАЛЮТА]]*ПЛАТЕЖИ[[#This Row],[КУРС]])</f>
        <v>0</v>
      </c>
      <c r="G443" s="93"/>
      <c r="H443" s="93"/>
      <c r="I443" s="165"/>
    </row>
    <row r="444" spans="1:9" ht="15" customHeight="1" x14ac:dyDescent="0.3">
      <c r="A444" s="92"/>
      <c r="B444" s="93"/>
      <c r="C444" s="94"/>
      <c r="D444" s="94"/>
      <c r="E444" s="94"/>
      <c r="F444" s="60">
        <f>ПЛАТЕЖИ[[#This Row],[СЎМ]]+(ПЛАТЕЖИ[[#This Row],[ВАЛЮТА]]*ПЛАТЕЖИ[[#This Row],[КУРС]])</f>
        <v>0</v>
      </c>
      <c r="G444" s="93"/>
      <c r="H444" s="93"/>
      <c r="I444" s="165"/>
    </row>
    <row r="445" spans="1:9" ht="15" customHeight="1" x14ac:dyDescent="0.3">
      <c r="A445" s="92"/>
      <c r="B445" s="93"/>
      <c r="C445" s="94"/>
      <c r="D445" s="94"/>
      <c r="E445" s="94"/>
      <c r="F445" s="60">
        <f>ПЛАТЕЖИ[[#This Row],[СЎМ]]+(ПЛАТЕЖИ[[#This Row],[ВАЛЮТА]]*ПЛАТЕЖИ[[#This Row],[КУРС]])</f>
        <v>0</v>
      </c>
      <c r="G445" s="93"/>
      <c r="H445" s="93"/>
      <c r="I445" s="165"/>
    </row>
    <row r="446" spans="1:9" ht="15" customHeight="1" x14ac:dyDescent="0.3">
      <c r="A446" s="92"/>
      <c r="B446" s="93"/>
      <c r="C446" s="94"/>
      <c r="D446" s="94"/>
      <c r="E446" s="94"/>
      <c r="F446" s="60">
        <f>ПЛАТЕЖИ[[#This Row],[СЎМ]]+(ПЛАТЕЖИ[[#This Row],[ВАЛЮТА]]*ПЛАТЕЖИ[[#This Row],[КУРС]])</f>
        <v>0</v>
      </c>
      <c r="G446" s="93"/>
      <c r="H446" s="93"/>
      <c r="I446" s="165"/>
    </row>
    <row r="447" spans="1:9" ht="15" customHeight="1" x14ac:dyDescent="0.3">
      <c r="A447" s="92"/>
      <c r="B447" s="93"/>
      <c r="C447" s="94"/>
      <c r="D447" s="94"/>
      <c r="E447" s="94"/>
      <c r="F447" s="60">
        <f>ПЛАТЕЖИ[[#This Row],[СЎМ]]+(ПЛАТЕЖИ[[#This Row],[ВАЛЮТА]]*ПЛАТЕЖИ[[#This Row],[КУРС]])</f>
        <v>0</v>
      </c>
      <c r="G447" s="93"/>
      <c r="H447" s="93"/>
      <c r="I447" s="165"/>
    </row>
    <row r="448" spans="1:9" ht="15" customHeight="1" x14ac:dyDescent="0.3">
      <c r="A448" s="92"/>
      <c r="B448" s="93"/>
      <c r="C448" s="94"/>
      <c r="D448" s="94"/>
      <c r="E448" s="94"/>
      <c r="F448" s="60">
        <f>ПЛАТЕЖИ[[#This Row],[СЎМ]]+(ПЛАТЕЖИ[[#This Row],[ВАЛЮТА]]*ПЛАТЕЖИ[[#This Row],[КУРС]])</f>
        <v>0</v>
      </c>
      <c r="G448" s="93"/>
      <c r="H448" s="93"/>
      <c r="I448" s="165"/>
    </row>
    <row r="449" spans="1:9" ht="15" customHeight="1" x14ac:dyDescent="0.3">
      <c r="A449" s="92"/>
      <c r="B449" s="93"/>
      <c r="C449" s="94"/>
      <c r="D449" s="94"/>
      <c r="E449" s="94"/>
      <c r="F449" s="60">
        <f>ПЛАТЕЖИ[[#This Row],[СЎМ]]+(ПЛАТЕЖИ[[#This Row],[ВАЛЮТА]]*ПЛАТЕЖИ[[#This Row],[КУРС]])</f>
        <v>0</v>
      </c>
      <c r="G449" s="93"/>
      <c r="H449" s="93"/>
      <c r="I449" s="165"/>
    </row>
    <row r="450" spans="1:9" ht="15" customHeight="1" x14ac:dyDescent="0.3">
      <c r="A450" s="92"/>
      <c r="B450" s="93"/>
      <c r="C450" s="94"/>
      <c r="D450" s="94"/>
      <c r="E450" s="94"/>
      <c r="F450" s="60">
        <f>ПЛАТЕЖИ[[#This Row],[СЎМ]]+(ПЛАТЕЖИ[[#This Row],[ВАЛЮТА]]*ПЛАТЕЖИ[[#This Row],[КУРС]])</f>
        <v>0</v>
      </c>
      <c r="G450" s="93"/>
      <c r="H450" s="93"/>
      <c r="I450" s="165"/>
    </row>
    <row r="451" spans="1:9" ht="15" customHeight="1" x14ac:dyDescent="0.3">
      <c r="A451" s="92"/>
      <c r="B451" s="93"/>
      <c r="C451" s="94"/>
      <c r="D451" s="94"/>
      <c r="E451" s="94"/>
      <c r="F451" s="60">
        <f>ПЛАТЕЖИ[[#This Row],[СЎМ]]+(ПЛАТЕЖИ[[#This Row],[ВАЛЮТА]]*ПЛАТЕЖИ[[#This Row],[КУРС]])</f>
        <v>0</v>
      </c>
      <c r="G451" s="93"/>
      <c r="I451" s="165"/>
    </row>
    <row r="452" spans="1:9" ht="15" customHeight="1" x14ac:dyDescent="0.3">
      <c r="A452" s="92"/>
      <c r="B452" s="93"/>
      <c r="C452" s="94"/>
      <c r="D452" s="94"/>
      <c r="E452" s="94"/>
      <c r="F452" s="60">
        <f>ПЛАТЕЖИ[[#This Row],[СЎМ]]+(ПЛАТЕЖИ[[#This Row],[ВАЛЮТА]]*ПЛАТЕЖИ[[#This Row],[КУРС]])</f>
        <v>0</v>
      </c>
      <c r="G452" s="93"/>
      <c r="H452" s="93"/>
      <c r="I452" s="165"/>
    </row>
    <row r="453" spans="1:9" ht="15" customHeight="1" x14ac:dyDescent="0.3">
      <c r="A453" s="92"/>
      <c r="B453" s="93"/>
      <c r="C453" s="94"/>
      <c r="D453" s="94"/>
      <c r="E453" s="94"/>
      <c r="F453" s="60">
        <f>ПЛАТЕЖИ[[#This Row],[СЎМ]]+(ПЛАТЕЖИ[[#This Row],[ВАЛЮТА]]*ПЛАТЕЖИ[[#This Row],[КУРС]])</f>
        <v>0</v>
      </c>
      <c r="G453" s="93"/>
      <c r="H453" s="93"/>
      <c r="I453" s="165"/>
    </row>
    <row r="454" spans="1:9" ht="15" customHeight="1" x14ac:dyDescent="0.3">
      <c r="A454" s="92"/>
      <c r="B454" s="93"/>
      <c r="C454" s="94"/>
      <c r="D454" s="94"/>
      <c r="E454" s="94"/>
      <c r="F454" s="60">
        <f>ПЛАТЕЖИ[[#This Row],[СЎМ]]+(ПЛАТЕЖИ[[#This Row],[ВАЛЮТА]]*ПЛАТЕЖИ[[#This Row],[КУРС]])</f>
        <v>0</v>
      </c>
      <c r="G454" s="93"/>
      <c r="I454" s="165"/>
    </row>
    <row r="455" spans="1:9" ht="15" customHeight="1" x14ac:dyDescent="0.3">
      <c r="A455" s="92"/>
      <c r="B455" s="93"/>
      <c r="C455" s="94"/>
      <c r="D455" s="94"/>
      <c r="E455" s="94"/>
      <c r="F455" s="60">
        <f>ПЛАТЕЖИ[[#This Row],[СЎМ]]+(ПЛАТЕЖИ[[#This Row],[ВАЛЮТА]]*ПЛАТЕЖИ[[#This Row],[КУРС]])</f>
        <v>0</v>
      </c>
      <c r="G455" s="93"/>
      <c r="I455" s="165"/>
    </row>
    <row r="456" spans="1:9" ht="15" customHeight="1" x14ac:dyDescent="0.3">
      <c r="A456" s="92"/>
      <c r="B456" s="93"/>
      <c r="C456" s="94"/>
      <c r="D456" s="94"/>
      <c r="E456" s="94"/>
      <c r="F456" s="60">
        <f>ПЛАТЕЖИ[[#This Row],[СЎМ]]+(ПЛАТЕЖИ[[#This Row],[ВАЛЮТА]]*ПЛАТЕЖИ[[#This Row],[КУРС]])</f>
        <v>0</v>
      </c>
      <c r="G456" s="93"/>
      <c r="I456" s="165"/>
    </row>
    <row r="457" spans="1:9" ht="15" customHeight="1" x14ac:dyDescent="0.3">
      <c r="A457" s="92"/>
      <c r="B457" s="93"/>
      <c r="C457" s="94"/>
      <c r="D457" s="94"/>
      <c r="E457" s="94"/>
      <c r="F457" s="60">
        <f>ПЛАТЕЖИ[[#This Row],[СЎМ]]+(ПЛАТЕЖИ[[#This Row],[ВАЛЮТА]]*ПЛАТЕЖИ[[#This Row],[КУРС]])</f>
        <v>0</v>
      </c>
      <c r="G457" s="93"/>
      <c r="I457" s="165"/>
    </row>
    <row r="458" spans="1:9" ht="15" customHeight="1" x14ac:dyDescent="0.3">
      <c r="A458" s="92"/>
      <c r="B458" s="93"/>
      <c r="C458" s="94"/>
      <c r="D458" s="94"/>
      <c r="E458" s="94"/>
      <c r="F458" s="60">
        <f>ПЛАТЕЖИ[[#This Row],[СЎМ]]+(ПЛАТЕЖИ[[#This Row],[ВАЛЮТА]]*ПЛАТЕЖИ[[#This Row],[КУРС]])</f>
        <v>0</v>
      </c>
      <c r="G458" s="93"/>
      <c r="H458" s="93"/>
      <c r="I458" s="165"/>
    </row>
    <row r="459" spans="1:9" ht="15" customHeight="1" x14ac:dyDescent="0.3">
      <c r="A459" s="92"/>
      <c r="B459" s="93"/>
      <c r="C459" s="94"/>
      <c r="D459" s="94"/>
      <c r="E459" s="94"/>
      <c r="F459" s="60">
        <f>ПЛАТЕЖИ[[#This Row],[СЎМ]]+(ПЛАТЕЖИ[[#This Row],[ВАЛЮТА]]*ПЛАТЕЖИ[[#This Row],[КУРС]])</f>
        <v>0</v>
      </c>
      <c r="G459" s="93"/>
      <c r="H459" s="93"/>
      <c r="I459" s="165"/>
    </row>
    <row r="460" spans="1:9" ht="15" customHeight="1" x14ac:dyDescent="0.3">
      <c r="A460" s="92"/>
      <c r="B460" s="93"/>
      <c r="C460" s="94"/>
      <c r="D460" s="94"/>
      <c r="E460" s="94"/>
      <c r="F460" s="60">
        <f>ПЛАТЕЖИ[[#This Row],[СЎМ]]+(ПЛАТЕЖИ[[#This Row],[ВАЛЮТА]]*ПЛАТЕЖИ[[#This Row],[КУРС]])</f>
        <v>0</v>
      </c>
      <c r="G460" s="93"/>
      <c r="H460" s="93"/>
      <c r="I460" s="165"/>
    </row>
    <row r="461" spans="1:9" ht="15" customHeight="1" x14ac:dyDescent="0.3">
      <c r="A461" s="92"/>
      <c r="B461" s="93"/>
      <c r="C461" s="94"/>
      <c r="D461" s="94"/>
      <c r="E461" s="94"/>
      <c r="F461" s="60">
        <f>ПЛАТЕЖИ[[#This Row],[СЎМ]]+(ПЛАТЕЖИ[[#This Row],[ВАЛЮТА]]*ПЛАТЕЖИ[[#This Row],[КУРС]])</f>
        <v>0</v>
      </c>
      <c r="G461" s="93"/>
      <c r="H461" s="93"/>
      <c r="I461" s="165"/>
    </row>
    <row r="462" spans="1:9" ht="15" customHeight="1" x14ac:dyDescent="0.3">
      <c r="A462" s="92"/>
      <c r="B462" s="93"/>
      <c r="C462" s="94"/>
      <c r="D462" s="94"/>
      <c r="E462" s="94"/>
      <c r="F462" s="60">
        <f>ПЛАТЕЖИ[[#This Row],[СЎМ]]+(ПЛАТЕЖИ[[#This Row],[ВАЛЮТА]]*ПЛАТЕЖИ[[#This Row],[КУРС]])</f>
        <v>0</v>
      </c>
      <c r="G462" s="93"/>
      <c r="H462" s="93"/>
      <c r="I462" s="165"/>
    </row>
    <row r="463" spans="1:9" ht="15" customHeight="1" x14ac:dyDescent="0.3">
      <c r="A463" s="92"/>
      <c r="B463" s="93"/>
      <c r="C463" s="94"/>
      <c r="D463" s="94"/>
      <c r="E463" s="94"/>
      <c r="F463" s="60">
        <f>ПЛАТЕЖИ[[#This Row],[СЎМ]]+(ПЛАТЕЖИ[[#This Row],[ВАЛЮТА]]*ПЛАТЕЖИ[[#This Row],[КУРС]])</f>
        <v>0</v>
      </c>
      <c r="G463" s="93"/>
      <c r="H463" s="93"/>
      <c r="I463" s="165"/>
    </row>
    <row r="464" spans="1:9" ht="15" customHeight="1" x14ac:dyDescent="0.3">
      <c r="A464" s="92"/>
      <c r="B464" s="93"/>
      <c r="C464" s="94"/>
      <c r="D464" s="94"/>
      <c r="E464" s="94"/>
      <c r="F464" s="60">
        <f>ПЛАТЕЖИ[[#This Row],[СЎМ]]+(ПЛАТЕЖИ[[#This Row],[ВАЛЮТА]]*ПЛАТЕЖИ[[#This Row],[КУРС]])</f>
        <v>0</v>
      </c>
      <c r="G464" s="93"/>
      <c r="H464" s="93"/>
      <c r="I464" s="165"/>
    </row>
    <row r="465" spans="1:9" ht="15" customHeight="1" x14ac:dyDescent="0.3">
      <c r="A465" s="92"/>
      <c r="B465" s="93"/>
      <c r="C465" s="94"/>
      <c r="D465" s="94"/>
      <c r="E465" s="94"/>
      <c r="F465" s="60">
        <f>ПЛАТЕЖИ[[#This Row],[СЎМ]]+(ПЛАТЕЖИ[[#This Row],[ВАЛЮТА]]*ПЛАТЕЖИ[[#This Row],[КУРС]])</f>
        <v>0</v>
      </c>
      <c r="G465" s="93"/>
      <c r="H465" s="93"/>
      <c r="I465" s="165"/>
    </row>
    <row r="466" spans="1:9" ht="15" customHeight="1" x14ac:dyDescent="0.3">
      <c r="A466" s="92"/>
      <c r="B466" s="93"/>
      <c r="C466" s="94"/>
      <c r="D466" s="94"/>
      <c r="E466" s="94"/>
      <c r="F466" s="60">
        <f>ПЛАТЕЖИ[[#This Row],[СЎМ]]+(ПЛАТЕЖИ[[#This Row],[ВАЛЮТА]]*ПЛАТЕЖИ[[#This Row],[КУРС]])</f>
        <v>0</v>
      </c>
      <c r="G466" s="93"/>
      <c r="H466" s="93"/>
      <c r="I466" s="165"/>
    </row>
    <row r="467" spans="1:9" ht="15" customHeight="1" x14ac:dyDescent="0.3">
      <c r="A467" s="92"/>
      <c r="B467" s="93"/>
      <c r="C467" s="94"/>
      <c r="D467" s="94"/>
      <c r="E467" s="94"/>
      <c r="F467" s="60">
        <f>ПЛАТЕЖИ[[#This Row],[СЎМ]]+(ПЛАТЕЖИ[[#This Row],[ВАЛЮТА]]*ПЛАТЕЖИ[[#This Row],[КУРС]])</f>
        <v>0</v>
      </c>
      <c r="G467" s="93"/>
      <c r="H467" s="93"/>
      <c r="I467" s="165"/>
    </row>
    <row r="468" spans="1:9" ht="15" customHeight="1" x14ac:dyDescent="0.3">
      <c r="A468" s="92"/>
      <c r="B468" s="93"/>
      <c r="C468" s="94"/>
      <c r="D468" s="94"/>
      <c r="E468" s="94"/>
      <c r="F468" s="60">
        <f>ПЛАТЕЖИ[[#This Row],[СЎМ]]+(ПЛАТЕЖИ[[#This Row],[ВАЛЮТА]]*ПЛАТЕЖИ[[#This Row],[КУРС]])</f>
        <v>0</v>
      </c>
      <c r="G468" s="93"/>
      <c r="H468" s="93"/>
      <c r="I468" s="165"/>
    </row>
    <row r="469" spans="1:9" ht="15" customHeight="1" x14ac:dyDescent="0.3">
      <c r="A469" s="92"/>
      <c r="B469" s="93"/>
      <c r="C469" s="94"/>
      <c r="D469" s="94"/>
      <c r="E469" s="94"/>
      <c r="F469" s="60">
        <f>ПЛАТЕЖИ[[#This Row],[СЎМ]]+(ПЛАТЕЖИ[[#This Row],[ВАЛЮТА]]*ПЛАТЕЖИ[[#This Row],[КУРС]])</f>
        <v>0</v>
      </c>
      <c r="G469" s="93"/>
      <c r="H469" s="93"/>
      <c r="I469" s="165"/>
    </row>
    <row r="470" spans="1:9" ht="15" customHeight="1" x14ac:dyDescent="0.3">
      <c r="A470" s="92"/>
      <c r="B470" s="93"/>
      <c r="C470" s="94"/>
      <c r="D470" s="94"/>
      <c r="E470" s="94"/>
      <c r="F470" s="60">
        <f>ПЛАТЕЖИ[[#This Row],[СЎМ]]+(ПЛАТЕЖИ[[#This Row],[ВАЛЮТА]]*ПЛАТЕЖИ[[#This Row],[КУРС]])</f>
        <v>0</v>
      </c>
      <c r="G470" s="93"/>
      <c r="H470" s="93"/>
      <c r="I470" s="165"/>
    </row>
    <row r="471" spans="1:9" ht="15" customHeight="1" x14ac:dyDescent="0.3">
      <c r="A471" s="92"/>
      <c r="B471" s="93"/>
      <c r="C471" s="94"/>
      <c r="D471" s="94"/>
      <c r="E471" s="94"/>
      <c r="F471" s="60">
        <f>ПЛАТЕЖИ[[#This Row],[СЎМ]]+(ПЛАТЕЖИ[[#This Row],[ВАЛЮТА]]*ПЛАТЕЖИ[[#This Row],[КУРС]])</f>
        <v>0</v>
      </c>
      <c r="G471" s="93"/>
      <c r="H471" s="93"/>
      <c r="I471" s="165"/>
    </row>
    <row r="472" spans="1:9" ht="15" customHeight="1" x14ac:dyDescent="0.3">
      <c r="A472" s="92"/>
      <c r="B472" s="93"/>
      <c r="C472" s="94"/>
      <c r="D472" s="94"/>
      <c r="E472" s="94"/>
      <c r="F472" s="60">
        <f>ПЛАТЕЖИ[[#This Row],[СЎМ]]+(ПЛАТЕЖИ[[#This Row],[ВАЛЮТА]]*ПЛАТЕЖИ[[#This Row],[КУРС]])</f>
        <v>0</v>
      </c>
      <c r="G472" s="93"/>
      <c r="H472" s="93"/>
      <c r="I472" s="165"/>
    </row>
    <row r="473" spans="1:9" ht="15" customHeight="1" x14ac:dyDescent="0.3">
      <c r="A473" s="92"/>
      <c r="B473" s="93"/>
      <c r="C473" s="94"/>
      <c r="D473" s="94"/>
      <c r="E473" s="94"/>
      <c r="F473" s="60">
        <f>ПЛАТЕЖИ[[#This Row],[СЎМ]]+(ПЛАТЕЖИ[[#This Row],[ВАЛЮТА]]*ПЛАТЕЖИ[[#This Row],[КУРС]])</f>
        <v>0</v>
      </c>
      <c r="G473" s="93"/>
      <c r="I473" s="165"/>
    </row>
    <row r="474" spans="1:9" ht="15" customHeight="1" x14ac:dyDescent="0.3">
      <c r="A474" s="92"/>
      <c r="B474" s="93"/>
      <c r="C474" s="94"/>
      <c r="D474" s="94"/>
      <c r="E474" s="94"/>
      <c r="F474" s="60">
        <f>ПЛАТЕЖИ[[#This Row],[СЎМ]]+(ПЛАТЕЖИ[[#This Row],[ВАЛЮТА]]*ПЛАТЕЖИ[[#This Row],[КУРС]])</f>
        <v>0</v>
      </c>
      <c r="G474" s="93"/>
      <c r="H474" s="93"/>
      <c r="I474" s="165"/>
    </row>
    <row r="475" spans="1:9" ht="15" customHeight="1" x14ac:dyDescent="0.3">
      <c r="A475" s="92"/>
      <c r="B475" s="93"/>
      <c r="C475" s="94"/>
      <c r="D475" s="94"/>
      <c r="E475" s="94"/>
      <c r="F475" s="60">
        <f>ПЛАТЕЖИ[[#This Row],[СЎМ]]+(ПЛАТЕЖИ[[#This Row],[ВАЛЮТА]]*ПЛАТЕЖИ[[#This Row],[КУРС]])</f>
        <v>0</v>
      </c>
      <c r="G475" s="93"/>
      <c r="H475" s="93"/>
      <c r="I475" s="165"/>
    </row>
    <row r="476" spans="1:9" ht="15" customHeight="1" x14ac:dyDescent="0.3">
      <c r="A476" s="92"/>
      <c r="B476" s="93"/>
      <c r="C476" s="94"/>
      <c r="D476" s="94"/>
      <c r="E476" s="94"/>
      <c r="F476" s="60">
        <f>ПЛАТЕЖИ[[#This Row],[СЎМ]]+(ПЛАТЕЖИ[[#This Row],[ВАЛЮТА]]*ПЛАТЕЖИ[[#This Row],[КУРС]])</f>
        <v>0</v>
      </c>
      <c r="G476" s="93"/>
      <c r="H476" s="93"/>
      <c r="I476" s="165"/>
    </row>
    <row r="477" spans="1:9" ht="15" customHeight="1" x14ac:dyDescent="0.3">
      <c r="A477" s="92"/>
      <c r="B477" s="93"/>
      <c r="C477" s="94"/>
      <c r="D477" s="94"/>
      <c r="E477" s="94"/>
      <c r="F477" s="60">
        <f>ПЛАТЕЖИ[[#This Row],[СЎМ]]+(ПЛАТЕЖИ[[#This Row],[ВАЛЮТА]]*ПЛАТЕЖИ[[#This Row],[КУРС]])</f>
        <v>0</v>
      </c>
      <c r="G477" s="93"/>
      <c r="H477" s="93"/>
      <c r="I477" s="165"/>
    </row>
    <row r="478" spans="1:9" ht="15" customHeight="1" x14ac:dyDescent="0.3">
      <c r="A478" s="92"/>
      <c r="B478" s="93"/>
      <c r="C478" s="94"/>
      <c r="D478" s="94"/>
      <c r="E478" s="94"/>
      <c r="F478" s="60">
        <f>ПЛАТЕЖИ[[#This Row],[СЎМ]]+(ПЛАТЕЖИ[[#This Row],[ВАЛЮТА]]*ПЛАТЕЖИ[[#This Row],[КУРС]])</f>
        <v>0</v>
      </c>
      <c r="G478" s="93"/>
      <c r="H478" s="93"/>
      <c r="I478" s="165"/>
    </row>
    <row r="479" spans="1:9" ht="15" customHeight="1" x14ac:dyDescent="0.3">
      <c r="A479" s="92"/>
      <c r="B479" s="93"/>
      <c r="C479" s="94"/>
      <c r="D479" s="94"/>
      <c r="E479" s="94"/>
      <c r="F479" s="60">
        <f>ПЛАТЕЖИ[[#This Row],[СЎМ]]+(ПЛАТЕЖИ[[#This Row],[ВАЛЮТА]]*ПЛАТЕЖИ[[#This Row],[КУРС]])</f>
        <v>0</v>
      </c>
      <c r="G479" s="93"/>
      <c r="H479" s="93"/>
      <c r="I479" s="165"/>
    </row>
    <row r="480" spans="1:9" ht="15" customHeight="1" x14ac:dyDescent="0.3">
      <c r="A480" s="92"/>
      <c r="B480" s="93"/>
      <c r="C480" s="94"/>
      <c r="D480" s="94"/>
      <c r="E480" s="94"/>
      <c r="F480" s="60">
        <f>ПЛАТЕЖИ[[#This Row],[СЎМ]]+(ПЛАТЕЖИ[[#This Row],[ВАЛЮТА]]*ПЛАТЕЖИ[[#This Row],[КУРС]])</f>
        <v>0</v>
      </c>
      <c r="G480" s="93"/>
      <c r="H480" s="93"/>
      <c r="I480" s="165"/>
    </row>
    <row r="481" spans="1:9" ht="15" customHeight="1" x14ac:dyDescent="0.3">
      <c r="A481" s="92"/>
      <c r="B481" s="93"/>
      <c r="C481" s="94"/>
      <c r="D481" s="94"/>
      <c r="E481" s="94"/>
      <c r="F481" s="60">
        <f>ПЛАТЕЖИ[[#This Row],[СЎМ]]+(ПЛАТЕЖИ[[#This Row],[ВАЛЮТА]]*ПЛАТЕЖИ[[#This Row],[КУРС]])</f>
        <v>0</v>
      </c>
      <c r="G481" s="93"/>
      <c r="H481" s="93"/>
      <c r="I481" s="165"/>
    </row>
    <row r="482" spans="1:9" ht="15" customHeight="1" x14ac:dyDescent="0.3">
      <c r="A482" s="92"/>
      <c r="B482" s="93"/>
      <c r="C482" s="94"/>
      <c r="D482" s="94"/>
      <c r="E482" s="94"/>
      <c r="F482" s="60">
        <f>ПЛАТЕЖИ[[#This Row],[СЎМ]]+(ПЛАТЕЖИ[[#This Row],[ВАЛЮТА]]*ПЛАТЕЖИ[[#This Row],[КУРС]])</f>
        <v>0</v>
      </c>
      <c r="G482" s="93"/>
      <c r="H482" s="93"/>
      <c r="I482" s="165"/>
    </row>
    <row r="483" spans="1:9" ht="15" customHeight="1" x14ac:dyDescent="0.3">
      <c r="A483" s="92"/>
      <c r="B483" s="93"/>
      <c r="C483" s="94"/>
      <c r="D483" s="94"/>
      <c r="E483" s="94"/>
      <c r="F483" s="60">
        <f>ПЛАТЕЖИ[[#This Row],[СЎМ]]+(ПЛАТЕЖИ[[#This Row],[ВАЛЮТА]]*ПЛАТЕЖИ[[#This Row],[КУРС]])</f>
        <v>0</v>
      </c>
      <c r="G483" s="93"/>
      <c r="H483" s="93"/>
      <c r="I483" s="165"/>
    </row>
    <row r="484" spans="1:9" ht="15" customHeight="1" x14ac:dyDescent="0.3">
      <c r="A484" s="92"/>
      <c r="B484" s="93"/>
      <c r="C484" s="94"/>
      <c r="D484" s="94"/>
      <c r="E484" s="94"/>
      <c r="F484" s="60">
        <f>ПЛАТЕЖИ[[#This Row],[СЎМ]]+(ПЛАТЕЖИ[[#This Row],[ВАЛЮТА]]*ПЛАТЕЖИ[[#This Row],[КУРС]])</f>
        <v>0</v>
      </c>
      <c r="G484" s="93"/>
      <c r="H484" s="93"/>
      <c r="I484" s="165"/>
    </row>
    <row r="485" spans="1:9" ht="15" customHeight="1" x14ac:dyDescent="0.3">
      <c r="A485" s="92"/>
      <c r="B485" s="93"/>
      <c r="C485" s="94"/>
      <c r="D485" s="94"/>
      <c r="E485" s="94"/>
      <c r="F485" s="60">
        <f>ПЛАТЕЖИ[[#This Row],[СЎМ]]+(ПЛАТЕЖИ[[#This Row],[ВАЛЮТА]]*ПЛАТЕЖИ[[#This Row],[КУРС]])</f>
        <v>0</v>
      </c>
      <c r="G485" s="93"/>
      <c r="H485" s="93"/>
      <c r="I485" s="165"/>
    </row>
    <row r="486" spans="1:9" ht="15" customHeight="1" x14ac:dyDescent="0.3">
      <c r="A486" s="92"/>
      <c r="B486" s="93"/>
      <c r="C486" s="94"/>
      <c r="D486" s="94"/>
      <c r="E486" s="94"/>
      <c r="F486" s="60">
        <f>ПЛАТЕЖИ[[#This Row],[СЎМ]]+(ПЛАТЕЖИ[[#This Row],[ВАЛЮТА]]*ПЛАТЕЖИ[[#This Row],[КУРС]])</f>
        <v>0</v>
      </c>
      <c r="G486" s="93"/>
      <c r="H486" s="93"/>
      <c r="I486" s="165"/>
    </row>
    <row r="487" spans="1:9" ht="15" customHeight="1" x14ac:dyDescent="0.3">
      <c r="A487" s="92"/>
      <c r="B487" s="93"/>
      <c r="C487" s="94"/>
      <c r="D487" s="94"/>
      <c r="E487" s="94"/>
      <c r="F487" s="60">
        <f>ПЛАТЕЖИ[[#This Row],[СЎМ]]+(ПЛАТЕЖИ[[#This Row],[ВАЛЮТА]]*ПЛАТЕЖИ[[#This Row],[КУРС]])</f>
        <v>0</v>
      </c>
      <c r="G487" s="93"/>
      <c r="H487" s="93"/>
      <c r="I487" s="165"/>
    </row>
    <row r="488" spans="1:9" ht="15" customHeight="1" x14ac:dyDescent="0.3">
      <c r="A488" s="92"/>
      <c r="B488" s="93"/>
      <c r="C488" s="94"/>
      <c r="D488" s="94"/>
      <c r="E488" s="94"/>
      <c r="F488" s="60">
        <f>ПЛАТЕЖИ[[#This Row],[СЎМ]]+(ПЛАТЕЖИ[[#This Row],[ВАЛЮТА]]*ПЛАТЕЖИ[[#This Row],[КУРС]])</f>
        <v>0</v>
      </c>
      <c r="G488" s="93"/>
      <c r="H488" s="93"/>
      <c r="I488" s="165"/>
    </row>
    <row r="489" spans="1:9" ht="15" customHeight="1" x14ac:dyDescent="0.3">
      <c r="A489" s="92"/>
      <c r="B489" s="93"/>
      <c r="C489" s="94"/>
      <c r="D489" s="94"/>
      <c r="E489" s="94"/>
      <c r="F489" s="60">
        <f>ПЛАТЕЖИ[[#This Row],[СЎМ]]+(ПЛАТЕЖИ[[#This Row],[ВАЛЮТА]]*ПЛАТЕЖИ[[#This Row],[КУРС]])</f>
        <v>0</v>
      </c>
      <c r="G489" s="93"/>
      <c r="H489" s="93"/>
      <c r="I489" s="165"/>
    </row>
    <row r="490" spans="1:9" ht="15" customHeight="1" x14ac:dyDescent="0.3">
      <c r="A490" s="92"/>
      <c r="B490" s="93"/>
      <c r="C490" s="94"/>
      <c r="D490" s="94"/>
      <c r="E490" s="94"/>
      <c r="F490" s="60">
        <f>ПЛАТЕЖИ[[#This Row],[СЎМ]]+(ПЛАТЕЖИ[[#This Row],[ВАЛЮТА]]*ПЛАТЕЖИ[[#This Row],[КУРС]])</f>
        <v>0</v>
      </c>
      <c r="G490" s="93"/>
      <c r="H490" s="93"/>
      <c r="I490" s="165"/>
    </row>
    <row r="491" spans="1:9" ht="15" customHeight="1" x14ac:dyDescent="0.3">
      <c r="A491" s="92"/>
      <c r="B491" s="93"/>
      <c r="C491" s="94"/>
      <c r="D491" s="94"/>
      <c r="E491" s="94"/>
      <c r="F491" s="60">
        <f>ПЛАТЕЖИ[[#This Row],[СЎМ]]+(ПЛАТЕЖИ[[#This Row],[ВАЛЮТА]]*ПЛАТЕЖИ[[#This Row],[КУРС]])</f>
        <v>0</v>
      </c>
      <c r="G491" s="93"/>
      <c r="H491" s="93"/>
      <c r="I491" s="165"/>
    </row>
    <row r="492" spans="1:9" ht="15" customHeight="1" x14ac:dyDescent="0.3">
      <c r="A492" s="92"/>
      <c r="B492" s="93"/>
      <c r="C492" s="94"/>
      <c r="D492" s="94"/>
      <c r="E492" s="94"/>
      <c r="F492" s="60">
        <f>ПЛАТЕЖИ[[#This Row],[СЎМ]]+(ПЛАТЕЖИ[[#This Row],[ВАЛЮТА]]*ПЛАТЕЖИ[[#This Row],[КУРС]])</f>
        <v>0</v>
      </c>
      <c r="G492" s="93"/>
      <c r="H492" s="93"/>
      <c r="I492" s="165"/>
    </row>
    <row r="493" spans="1:9" ht="15" customHeight="1" x14ac:dyDescent="0.3">
      <c r="A493" s="92"/>
      <c r="B493" s="93"/>
      <c r="C493" s="94"/>
      <c r="D493" s="94"/>
      <c r="E493" s="94"/>
      <c r="F493" s="60">
        <f>ПЛАТЕЖИ[[#This Row],[СЎМ]]+(ПЛАТЕЖИ[[#This Row],[ВАЛЮТА]]*ПЛАТЕЖИ[[#This Row],[КУРС]])</f>
        <v>0</v>
      </c>
      <c r="G493" s="93"/>
      <c r="H493" s="93"/>
      <c r="I493" s="165"/>
    </row>
    <row r="494" spans="1:9" ht="15" customHeight="1" x14ac:dyDescent="0.3">
      <c r="A494" s="92"/>
      <c r="B494" s="93"/>
      <c r="C494" s="94"/>
      <c r="D494" s="94"/>
      <c r="E494" s="94"/>
      <c r="F494" s="60">
        <f>ПЛАТЕЖИ[[#This Row],[СЎМ]]+(ПЛАТЕЖИ[[#This Row],[ВАЛЮТА]]*ПЛАТЕЖИ[[#This Row],[КУРС]])</f>
        <v>0</v>
      </c>
      <c r="G494" s="93"/>
      <c r="H494" s="93"/>
      <c r="I494" s="165"/>
    </row>
    <row r="495" spans="1:9" ht="15" customHeight="1" x14ac:dyDescent="0.3">
      <c r="A495" s="92"/>
      <c r="B495" s="93"/>
      <c r="C495" s="94"/>
      <c r="D495" s="94"/>
      <c r="E495" s="94"/>
      <c r="F495" s="60">
        <f>ПЛАТЕЖИ[[#This Row],[СЎМ]]+(ПЛАТЕЖИ[[#This Row],[ВАЛЮТА]]*ПЛАТЕЖИ[[#This Row],[КУРС]])</f>
        <v>0</v>
      </c>
      <c r="G495" s="93"/>
      <c r="H495" s="93"/>
      <c r="I495" s="165"/>
    </row>
    <row r="496" spans="1:9" ht="15" customHeight="1" x14ac:dyDescent="0.3">
      <c r="A496" s="92"/>
      <c r="B496" s="93"/>
      <c r="C496" s="94"/>
      <c r="D496" s="94"/>
      <c r="E496" s="94"/>
      <c r="F496" s="60">
        <f>ПЛАТЕЖИ[[#This Row],[СЎМ]]+(ПЛАТЕЖИ[[#This Row],[ВАЛЮТА]]*ПЛАТЕЖИ[[#This Row],[КУРС]])</f>
        <v>0</v>
      </c>
      <c r="G496" s="93"/>
      <c r="H496" s="93"/>
      <c r="I496" s="165"/>
    </row>
    <row r="497" spans="1:9" ht="15" customHeight="1" x14ac:dyDescent="0.3">
      <c r="A497" s="92"/>
      <c r="B497" s="93"/>
      <c r="C497" s="94"/>
      <c r="D497" s="94"/>
      <c r="E497" s="94"/>
      <c r="F497" s="60">
        <f>ПЛАТЕЖИ[[#This Row],[СЎМ]]+(ПЛАТЕЖИ[[#This Row],[ВАЛЮТА]]*ПЛАТЕЖИ[[#This Row],[КУРС]])</f>
        <v>0</v>
      </c>
      <c r="G497" s="93"/>
      <c r="I497" s="165"/>
    </row>
    <row r="498" spans="1:9" ht="15" customHeight="1" x14ac:dyDescent="0.3">
      <c r="A498" s="92"/>
      <c r="B498" s="93"/>
      <c r="C498" s="94"/>
      <c r="D498" s="94"/>
      <c r="E498" s="94"/>
      <c r="F498" s="60">
        <f>ПЛАТЕЖИ[[#This Row],[СЎМ]]+(ПЛАТЕЖИ[[#This Row],[ВАЛЮТА]]*ПЛАТЕЖИ[[#This Row],[КУРС]])</f>
        <v>0</v>
      </c>
      <c r="G498" s="93"/>
      <c r="I498" s="165"/>
    </row>
    <row r="499" spans="1:9" ht="15" customHeight="1" x14ac:dyDescent="0.3">
      <c r="A499" s="92"/>
      <c r="B499" s="93"/>
      <c r="C499" s="94"/>
      <c r="D499" s="94"/>
      <c r="E499" s="94"/>
      <c r="F499" s="60">
        <f>ПЛАТЕЖИ[[#This Row],[СЎМ]]+(ПЛАТЕЖИ[[#This Row],[ВАЛЮТА]]*ПЛАТЕЖИ[[#This Row],[КУРС]])</f>
        <v>0</v>
      </c>
      <c r="G499" s="93"/>
      <c r="I499" s="165"/>
    </row>
    <row r="500" spans="1:9" ht="15" customHeight="1" x14ac:dyDescent="0.3">
      <c r="A500" s="92"/>
      <c r="B500" s="93"/>
      <c r="C500" s="94"/>
      <c r="D500" s="94"/>
      <c r="E500" s="94"/>
      <c r="F500" s="60">
        <f>ПЛАТЕЖИ[[#This Row],[СЎМ]]+(ПЛАТЕЖИ[[#This Row],[ВАЛЮТА]]*ПЛАТЕЖИ[[#This Row],[КУРС]])</f>
        <v>0</v>
      </c>
      <c r="G500" s="93"/>
      <c r="I500" s="165"/>
    </row>
    <row r="501" spans="1:9" ht="15" customHeight="1" x14ac:dyDescent="0.3">
      <c r="A501" s="92"/>
      <c r="B501" s="93"/>
      <c r="C501" s="94"/>
      <c r="D501" s="94"/>
      <c r="E501" s="94"/>
      <c r="F501" s="60">
        <f>ПЛАТЕЖИ[[#This Row],[СЎМ]]+(ПЛАТЕЖИ[[#This Row],[ВАЛЮТА]]*ПЛАТЕЖИ[[#This Row],[КУРС]])</f>
        <v>0</v>
      </c>
      <c r="G501" s="93"/>
      <c r="H501" s="93"/>
      <c r="I501" s="165"/>
    </row>
    <row r="502" spans="1:9" ht="15" customHeight="1" x14ac:dyDescent="0.3">
      <c r="A502" s="92"/>
      <c r="B502" s="59"/>
      <c r="C502" s="94"/>
      <c r="D502" s="94"/>
      <c r="E502" s="94"/>
      <c r="F502" s="60">
        <f>ПЛАТЕЖИ[[#This Row],[СЎМ]]+(ПЛАТЕЖИ[[#This Row],[ВАЛЮТА]]*ПЛАТЕЖИ[[#This Row],[КУРС]])</f>
        <v>0</v>
      </c>
      <c r="G502" s="93"/>
      <c r="H502" s="93"/>
      <c r="I502" s="165"/>
    </row>
    <row r="503" spans="1:9" ht="15" customHeight="1" x14ac:dyDescent="0.3">
      <c r="A503" s="92"/>
      <c r="B503" s="93"/>
      <c r="C503" s="94"/>
      <c r="D503" s="94"/>
      <c r="E503" s="94"/>
      <c r="F503" s="60">
        <f>ПЛАТЕЖИ[[#This Row],[СЎМ]]+(ПЛАТЕЖИ[[#This Row],[ВАЛЮТА]]*ПЛАТЕЖИ[[#This Row],[КУРС]])</f>
        <v>0</v>
      </c>
      <c r="G503" s="93"/>
      <c r="H503" s="93"/>
      <c r="I503" s="165"/>
    </row>
    <row r="504" spans="1:9" ht="15" customHeight="1" x14ac:dyDescent="0.3">
      <c r="A504" s="92"/>
      <c r="B504" s="93"/>
      <c r="C504" s="94"/>
      <c r="D504" s="94"/>
      <c r="E504" s="94"/>
      <c r="F504" s="60">
        <f>ПЛАТЕЖИ[[#This Row],[СЎМ]]+(ПЛАТЕЖИ[[#This Row],[ВАЛЮТА]]*ПЛАТЕЖИ[[#This Row],[КУРС]])</f>
        <v>0</v>
      </c>
      <c r="G504" s="93"/>
      <c r="H504" s="93"/>
      <c r="I504" s="165"/>
    </row>
    <row r="505" spans="1:9" ht="15" customHeight="1" x14ac:dyDescent="0.3">
      <c r="A505" s="92"/>
      <c r="B505" s="93"/>
      <c r="C505" s="94"/>
      <c r="D505" s="94"/>
      <c r="E505" s="94"/>
      <c r="F505" s="60">
        <f>ПЛАТЕЖИ[[#This Row],[СЎМ]]+(ПЛАТЕЖИ[[#This Row],[ВАЛЮТА]]*ПЛАТЕЖИ[[#This Row],[КУРС]])</f>
        <v>0</v>
      </c>
      <c r="G505" s="93"/>
      <c r="H505" s="93"/>
      <c r="I505" s="165"/>
    </row>
    <row r="506" spans="1:9" ht="15" customHeight="1" x14ac:dyDescent="0.3">
      <c r="A506" s="92"/>
      <c r="B506" s="93"/>
      <c r="C506" s="94"/>
      <c r="D506" s="94"/>
      <c r="E506" s="94"/>
      <c r="F506" s="60">
        <f>ПЛАТЕЖИ[[#This Row],[СЎМ]]+(ПЛАТЕЖИ[[#This Row],[ВАЛЮТА]]*ПЛАТЕЖИ[[#This Row],[КУРС]])</f>
        <v>0</v>
      </c>
      <c r="G506" s="93"/>
      <c r="H506" s="93"/>
      <c r="I506" s="165"/>
    </row>
    <row r="507" spans="1:9" ht="15" customHeight="1" x14ac:dyDescent="0.3">
      <c r="A507" s="92"/>
      <c r="B507" s="93"/>
      <c r="C507" s="94"/>
      <c r="D507" s="94"/>
      <c r="E507" s="94"/>
      <c r="F507" s="60">
        <f>ПЛАТЕЖИ[[#This Row],[СЎМ]]+(ПЛАТЕЖИ[[#This Row],[ВАЛЮТА]]*ПЛАТЕЖИ[[#This Row],[КУРС]])</f>
        <v>0</v>
      </c>
      <c r="G507" s="93"/>
      <c r="H507" s="93"/>
      <c r="I507" s="165"/>
    </row>
    <row r="508" spans="1:9" ht="15" customHeight="1" x14ac:dyDescent="0.3">
      <c r="A508" s="92"/>
      <c r="B508" s="93"/>
      <c r="C508" s="94"/>
      <c r="D508" s="94"/>
      <c r="E508" s="94"/>
      <c r="F508" s="60">
        <f>ПЛАТЕЖИ[[#This Row],[СЎМ]]+(ПЛАТЕЖИ[[#This Row],[ВАЛЮТА]]*ПЛАТЕЖИ[[#This Row],[КУРС]])</f>
        <v>0</v>
      </c>
      <c r="G508" s="93"/>
      <c r="H508" s="93"/>
      <c r="I508" s="165"/>
    </row>
    <row r="509" spans="1:9" ht="15" customHeight="1" x14ac:dyDescent="0.3">
      <c r="A509" s="92"/>
      <c r="B509" s="93"/>
      <c r="C509" s="94"/>
      <c r="D509" s="94"/>
      <c r="E509" s="94"/>
      <c r="F509" s="60">
        <f>ПЛАТЕЖИ[[#This Row],[СЎМ]]+(ПЛАТЕЖИ[[#This Row],[ВАЛЮТА]]*ПЛАТЕЖИ[[#This Row],[КУРС]])</f>
        <v>0</v>
      </c>
      <c r="G509" s="93"/>
      <c r="I509" s="165"/>
    </row>
    <row r="510" spans="1:9" ht="15" customHeight="1" x14ac:dyDescent="0.3">
      <c r="A510" s="92"/>
      <c r="B510" s="93"/>
      <c r="C510" s="94"/>
      <c r="D510" s="94"/>
      <c r="E510" s="94"/>
      <c r="F510" s="60">
        <f>ПЛАТЕЖИ[[#This Row],[СЎМ]]+(ПЛАТЕЖИ[[#This Row],[ВАЛЮТА]]*ПЛАТЕЖИ[[#This Row],[КУРС]])</f>
        <v>0</v>
      </c>
      <c r="G510" s="93"/>
      <c r="I510" s="165"/>
    </row>
    <row r="511" spans="1:9" ht="15" customHeight="1" x14ac:dyDescent="0.3">
      <c r="A511" s="92"/>
      <c r="B511" s="93"/>
      <c r="C511" s="94"/>
      <c r="D511" s="94"/>
      <c r="E511" s="94"/>
      <c r="F511" s="60">
        <f>ПЛАТЕЖИ[[#This Row],[СЎМ]]+(ПЛАТЕЖИ[[#This Row],[ВАЛЮТА]]*ПЛАТЕЖИ[[#This Row],[КУРС]])</f>
        <v>0</v>
      </c>
      <c r="G511" s="93"/>
      <c r="H511" s="93"/>
      <c r="I511" s="165"/>
    </row>
    <row r="512" spans="1:9" ht="15" customHeight="1" x14ac:dyDescent="0.3">
      <c r="A512" s="92"/>
      <c r="B512" s="93"/>
      <c r="C512" s="94"/>
      <c r="D512" s="94"/>
      <c r="E512" s="94"/>
      <c r="F512" s="60">
        <f>ПЛАТЕЖИ[[#This Row],[СЎМ]]+(ПЛАТЕЖИ[[#This Row],[ВАЛЮТА]]*ПЛАТЕЖИ[[#This Row],[КУРС]])</f>
        <v>0</v>
      </c>
      <c r="G512" s="93"/>
      <c r="H512" s="93"/>
      <c r="I512" s="165"/>
    </row>
    <row r="513" spans="1:9" ht="15" customHeight="1" x14ac:dyDescent="0.3">
      <c r="A513" s="92"/>
      <c r="B513" s="93"/>
      <c r="C513" s="94"/>
      <c r="D513" s="94"/>
      <c r="E513" s="94"/>
      <c r="F513" s="60">
        <f>ПЛАТЕЖИ[[#This Row],[СЎМ]]+(ПЛАТЕЖИ[[#This Row],[ВАЛЮТА]]*ПЛАТЕЖИ[[#This Row],[КУРС]])</f>
        <v>0</v>
      </c>
      <c r="G513" s="93"/>
      <c r="H513" s="93"/>
      <c r="I513" s="165"/>
    </row>
    <row r="514" spans="1:9" ht="15" customHeight="1" x14ac:dyDescent="0.3">
      <c r="A514" s="92"/>
      <c r="B514" s="93"/>
      <c r="C514" s="94"/>
      <c r="D514" s="94"/>
      <c r="E514" s="94"/>
      <c r="F514" s="60">
        <f>ПЛАТЕЖИ[[#This Row],[СЎМ]]+(ПЛАТЕЖИ[[#This Row],[ВАЛЮТА]]*ПЛАТЕЖИ[[#This Row],[КУРС]])</f>
        <v>0</v>
      </c>
      <c r="G514" s="93"/>
      <c r="H514" s="93"/>
      <c r="I514" s="165"/>
    </row>
    <row r="515" spans="1:9" ht="15" customHeight="1" x14ac:dyDescent="0.3">
      <c r="A515" s="92"/>
      <c r="B515" s="93"/>
      <c r="C515" s="94"/>
      <c r="D515" s="94"/>
      <c r="E515" s="94"/>
      <c r="F515" s="60">
        <f>ПЛАТЕЖИ[[#This Row],[СЎМ]]+(ПЛАТЕЖИ[[#This Row],[ВАЛЮТА]]*ПЛАТЕЖИ[[#This Row],[КУРС]])</f>
        <v>0</v>
      </c>
      <c r="G515" s="93"/>
      <c r="I515" s="165"/>
    </row>
    <row r="516" spans="1:9" ht="15" customHeight="1" x14ac:dyDescent="0.3">
      <c r="A516" s="92"/>
      <c r="B516" s="93"/>
      <c r="C516" s="94"/>
      <c r="D516" s="94"/>
      <c r="E516" s="94"/>
      <c r="F516" s="60">
        <f>ПЛАТЕЖИ[[#This Row],[СЎМ]]+(ПЛАТЕЖИ[[#This Row],[ВАЛЮТА]]*ПЛАТЕЖИ[[#This Row],[КУРС]])</f>
        <v>0</v>
      </c>
      <c r="G516" s="93"/>
      <c r="I516" s="165"/>
    </row>
    <row r="517" spans="1:9" ht="15" customHeight="1" x14ac:dyDescent="0.3">
      <c r="A517" s="92"/>
      <c r="B517" s="93"/>
      <c r="C517" s="94"/>
      <c r="D517" s="94"/>
      <c r="E517" s="94"/>
      <c r="F517" s="60">
        <f>ПЛАТЕЖИ[[#This Row],[СЎМ]]+(ПЛАТЕЖИ[[#This Row],[ВАЛЮТА]]*ПЛАТЕЖИ[[#This Row],[КУРС]])</f>
        <v>0</v>
      </c>
      <c r="G517" s="93"/>
      <c r="I517" s="165"/>
    </row>
    <row r="518" spans="1:9" ht="15" customHeight="1" x14ac:dyDescent="0.3">
      <c r="A518" s="92"/>
      <c r="B518" s="93"/>
      <c r="C518" s="94"/>
      <c r="D518" s="94"/>
      <c r="E518" s="94"/>
      <c r="F518" s="60">
        <f>ПЛАТЕЖИ[[#This Row],[СЎМ]]+(ПЛАТЕЖИ[[#This Row],[ВАЛЮТА]]*ПЛАТЕЖИ[[#This Row],[КУРС]])</f>
        <v>0</v>
      </c>
      <c r="G518" s="93"/>
      <c r="I518" s="165"/>
    </row>
    <row r="519" spans="1:9" ht="15" customHeight="1" x14ac:dyDescent="0.3">
      <c r="A519" s="92"/>
      <c r="B519" s="93"/>
      <c r="C519" s="94"/>
      <c r="D519" s="94"/>
      <c r="E519" s="94"/>
      <c r="F519" s="60">
        <f>ПЛАТЕЖИ[[#This Row],[СЎМ]]+(ПЛАТЕЖИ[[#This Row],[ВАЛЮТА]]*ПЛАТЕЖИ[[#This Row],[КУРС]])</f>
        <v>0</v>
      </c>
      <c r="G519" s="93"/>
      <c r="H519" s="93"/>
      <c r="I519" s="165"/>
    </row>
    <row r="520" spans="1:9" ht="15" customHeight="1" x14ac:dyDescent="0.3">
      <c r="A520" s="92"/>
      <c r="B520" s="93"/>
      <c r="C520" s="94"/>
      <c r="D520" s="94"/>
      <c r="E520" s="94"/>
      <c r="F520" s="60">
        <f>ПЛАТЕЖИ[[#This Row],[СЎМ]]+(ПЛАТЕЖИ[[#This Row],[ВАЛЮТА]]*ПЛАТЕЖИ[[#This Row],[КУРС]])</f>
        <v>0</v>
      </c>
      <c r="G520" s="93"/>
      <c r="I520" s="165"/>
    </row>
    <row r="521" spans="1:9" ht="15" customHeight="1" x14ac:dyDescent="0.3">
      <c r="A521" s="92"/>
      <c r="B521" s="93"/>
      <c r="C521" s="94"/>
      <c r="D521" s="94"/>
      <c r="E521" s="94"/>
      <c r="F521" s="60">
        <f>ПЛАТЕЖИ[[#This Row],[СЎМ]]+(ПЛАТЕЖИ[[#This Row],[ВАЛЮТА]]*ПЛАТЕЖИ[[#This Row],[КУРС]])</f>
        <v>0</v>
      </c>
      <c r="G521" s="93"/>
      <c r="H521" s="93"/>
      <c r="I521" s="165"/>
    </row>
    <row r="522" spans="1:9" ht="15" customHeight="1" x14ac:dyDescent="0.3">
      <c r="A522" s="92"/>
      <c r="B522" s="93"/>
      <c r="C522" s="94"/>
      <c r="D522" s="94"/>
      <c r="E522" s="94"/>
      <c r="F522" s="60">
        <f>ПЛАТЕЖИ[[#This Row],[СЎМ]]+(ПЛАТЕЖИ[[#This Row],[ВАЛЮТА]]*ПЛАТЕЖИ[[#This Row],[КУРС]])</f>
        <v>0</v>
      </c>
      <c r="G522" s="93"/>
      <c r="H522" s="93"/>
      <c r="I522" s="165"/>
    </row>
    <row r="523" spans="1:9" ht="15" customHeight="1" x14ac:dyDescent="0.3">
      <c r="A523" s="92"/>
      <c r="B523" s="93"/>
      <c r="C523" s="94"/>
      <c r="D523" s="94"/>
      <c r="E523" s="94"/>
      <c r="F523" s="60">
        <f>ПЛАТЕЖИ[[#This Row],[СЎМ]]+(ПЛАТЕЖИ[[#This Row],[ВАЛЮТА]]*ПЛАТЕЖИ[[#This Row],[КУРС]])</f>
        <v>0</v>
      </c>
      <c r="G523" s="93"/>
      <c r="H523" s="93"/>
      <c r="I523" s="165"/>
    </row>
    <row r="524" spans="1:9" ht="15" customHeight="1" x14ac:dyDescent="0.3">
      <c r="A524" s="92"/>
      <c r="B524" s="93"/>
      <c r="C524" s="94"/>
      <c r="D524" s="94"/>
      <c r="E524" s="94"/>
      <c r="F524" s="60">
        <f>ПЛАТЕЖИ[[#This Row],[СЎМ]]+(ПЛАТЕЖИ[[#This Row],[ВАЛЮТА]]*ПЛАТЕЖИ[[#This Row],[КУРС]])</f>
        <v>0</v>
      </c>
      <c r="G524" s="93"/>
      <c r="I524" s="165"/>
    </row>
    <row r="525" spans="1:9" ht="15" customHeight="1" x14ac:dyDescent="0.3">
      <c r="A525" s="92"/>
      <c r="B525" s="93"/>
      <c r="C525" s="94"/>
      <c r="D525" s="94"/>
      <c r="E525" s="94"/>
      <c r="F525" s="60">
        <f>ПЛАТЕЖИ[[#This Row],[СЎМ]]+(ПЛАТЕЖИ[[#This Row],[ВАЛЮТА]]*ПЛАТЕЖИ[[#This Row],[КУРС]])</f>
        <v>0</v>
      </c>
      <c r="G525" s="93"/>
      <c r="I525" s="165"/>
    </row>
    <row r="526" spans="1:9" ht="15" customHeight="1" x14ac:dyDescent="0.3">
      <c r="A526" s="92"/>
      <c r="B526" s="93"/>
      <c r="C526" s="94"/>
      <c r="D526" s="94"/>
      <c r="E526" s="94"/>
      <c r="F526" s="60">
        <f>ПЛАТЕЖИ[[#This Row],[СЎМ]]+(ПЛАТЕЖИ[[#This Row],[ВАЛЮТА]]*ПЛАТЕЖИ[[#This Row],[КУРС]])</f>
        <v>0</v>
      </c>
      <c r="G526" s="93"/>
      <c r="H526" s="93"/>
      <c r="I526" s="165"/>
    </row>
    <row r="527" spans="1:9" ht="15" customHeight="1" x14ac:dyDescent="0.3">
      <c r="A527" s="92"/>
      <c r="B527" s="93"/>
      <c r="C527" s="94"/>
      <c r="D527" s="94"/>
      <c r="E527" s="94"/>
      <c r="F527" s="60">
        <f>ПЛАТЕЖИ[[#This Row],[СЎМ]]+(ПЛАТЕЖИ[[#This Row],[ВАЛЮТА]]*ПЛАТЕЖИ[[#This Row],[КУРС]])</f>
        <v>0</v>
      </c>
      <c r="G527" s="93"/>
      <c r="H527" s="93"/>
      <c r="I527" s="165"/>
    </row>
    <row r="528" spans="1:9" ht="15" customHeight="1" x14ac:dyDescent="0.3">
      <c r="A528" s="92"/>
      <c r="B528" s="93"/>
      <c r="C528" s="94"/>
      <c r="D528" s="94"/>
      <c r="E528" s="94"/>
      <c r="F528" s="60">
        <f>ПЛАТЕЖИ[[#This Row],[СЎМ]]+(ПЛАТЕЖИ[[#This Row],[ВАЛЮТА]]*ПЛАТЕЖИ[[#This Row],[КУРС]])</f>
        <v>0</v>
      </c>
      <c r="G528" s="93"/>
      <c r="H528" s="93"/>
      <c r="I528" s="165"/>
    </row>
    <row r="529" spans="1:9" ht="15" customHeight="1" x14ac:dyDescent="0.3">
      <c r="A529" s="92"/>
      <c r="B529" s="93"/>
      <c r="C529" s="94"/>
      <c r="D529" s="94"/>
      <c r="E529" s="94"/>
      <c r="F529" s="60">
        <f>ПЛАТЕЖИ[[#This Row],[СЎМ]]+(ПЛАТЕЖИ[[#This Row],[ВАЛЮТА]]*ПЛАТЕЖИ[[#This Row],[КУРС]])</f>
        <v>0</v>
      </c>
      <c r="G529" s="93"/>
      <c r="H529" s="93"/>
      <c r="I529" s="165"/>
    </row>
    <row r="530" spans="1:9" ht="15" customHeight="1" x14ac:dyDescent="0.3">
      <c r="A530" s="92"/>
      <c r="B530" s="93"/>
      <c r="C530" s="94"/>
      <c r="D530" s="94"/>
      <c r="E530" s="94"/>
      <c r="F530" s="60">
        <f>ПЛАТЕЖИ[[#This Row],[СЎМ]]+(ПЛАТЕЖИ[[#This Row],[ВАЛЮТА]]*ПЛАТЕЖИ[[#This Row],[КУРС]])</f>
        <v>0</v>
      </c>
      <c r="G530" s="93"/>
      <c r="H530" s="93"/>
      <c r="I530" s="165"/>
    </row>
    <row r="531" spans="1:9" ht="15" customHeight="1" x14ac:dyDescent="0.3">
      <c r="A531" s="92"/>
      <c r="B531" s="93"/>
      <c r="C531" s="94"/>
      <c r="D531" s="94"/>
      <c r="E531" s="94"/>
      <c r="F531" s="60">
        <f>ПЛАТЕЖИ[[#This Row],[СЎМ]]+(ПЛАТЕЖИ[[#This Row],[ВАЛЮТА]]*ПЛАТЕЖИ[[#This Row],[КУРС]])</f>
        <v>0</v>
      </c>
      <c r="G531" s="93"/>
      <c r="H531" s="93"/>
      <c r="I531" s="165"/>
    </row>
    <row r="532" spans="1:9" ht="15" customHeight="1" x14ac:dyDescent="0.3">
      <c r="A532" s="92"/>
      <c r="B532" s="93"/>
      <c r="C532" s="94"/>
      <c r="D532" s="94"/>
      <c r="E532" s="94"/>
      <c r="F532" s="60">
        <f>ПЛАТЕЖИ[[#This Row],[СЎМ]]+(ПЛАТЕЖИ[[#This Row],[ВАЛЮТА]]*ПЛАТЕЖИ[[#This Row],[КУРС]])</f>
        <v>0</v>
      </c>
      <c r="G532" s="93"/>
      <c r="H532" s="93"/>
      <c r="I532" s="165"/>
    </row>
    <row r="533" spans="1:9" ht="15" customHeight="1" x14ac:dyDescent="0.3">
      <c r="A533" s="92"/>
      <c r="B533" s="93"/>
      <c r="C533" s="94"/>
      <c r="D533" s="94"/>
      <c r="E533" s="94"/>
      <c r="F533" s="60">
        <f>ПЛАТЕЖИ[[#This Row],[СЎМ]]+(ПЛАТЕЖИ[[#This Row],[ВАЛЮТА]]*ПЛАТЕЖИ[[#This Row],[КУРС]])</f>
        <v>0</v>
      </c>
      <c r="G533" s="93"/>
      <c r="H533" s="93"/>
      <c r="I533" s="165"/>
    </row>
    <row r="534" spans="1:9" ht="15" customHeight="1" x14ac:dyDescent="0.3">
      <c r="A534" s="92"/>
      <c r="B534" s="93"/>
      <c r="C534" s="94"/>
      <c r="D534" s="94"/>
      <c r="E534" s="94"/>
      <c r="F534" s="60">
        <f>ПЛАТЕЖИ[[#This Row],[СЎМ]]+(ПЛАТЕЖИ[[#This Row],[ВАЛЮТА]]*ПЛАТЕЖИ[[#This Row],[КУРС]])</f>
        <v>0</v>
      </c>
      <c r="G534" s="93"/>
      <c r="H534" s="93"/>
      <c r="I534" s="165"/>
    </row>
    <row r="535" spans="1:9" ht="15" customHeight="1" x14ac:dyDescent="0.3">
      <c r="A535" s="92"/>
      <c r="B535" s="93"/>
      <c r="C535" s="94"/>
      <c r="D535" s="94"/>
      <c r="E535" s="94"/>
      <c r="F535" s="60">
        <f>ПЛАТЕЖИ[[#This Row],[СЎМ]]+(ПЛАТЕЖИ[[#This Row],[ВАЛЮТА]]*ПЛАТЕЖИ[[#This Row],[КУРС]])</f>
        <v>0</v>
      </c>
      <c r="G535" s="93"/>
      <c r="H535" s="93"/>
      <c r="I535" s="165"/>
    </row>
    <row r="536" spans="1:9" ht="15" customHeight="1" x14ac:dyDescent="0.3">
      <c r="A536" s="92"/>
      <c r="B536" s="93"/>
      <c r="C536" s="94"/>
      <c r="D536" s="94"/>
      <c r="E536" s="94"/>
      <c r="F536" s="60">
        <f>ПЛАТЕЖИ[[#This Row],[СЎМ]]+(ПЛАТЕЖИ[[#This Row],[ВАЛЮТА]]*ПЛАТЕЖИ[[#This Row],[КУРС]])</f>
        <v>0</v>
      </c>
      <c r="G536" s="93"/>
      <c r="H536" s="93"/>
      <c r="I536" s="165"/>
    </row>
    <row r="537" spans="1:9" ht="15" customHeight="1" x14ac:dyDescent="0.3">
      <c r="A537" s="92"/>
      <c r="B537" s="93"/>
      <c r="C537" s="94"/>
      <c r="D537" s="94"/>
      <c r="E537" s="94"/>
      <c r="F537" s="60">
        <f>ПЛАТЕЖИ[[#This Row],[СЎМ]]+(ПЛАТЕЖИ[[#This Row],[ВАЛЮТА]]*ПЛАТЕЖИ[[#This Row],[КУРС]])</f>
        <v>0</v>
      </c>
      <c r="G537" s="93"/>
      <c r="H537" s="93"/>
      <c r="I537" s="165"/>
    </row>
    <row r="538" spans="1:9" ht="15" customHeight="1" x14ac:dyDescent="0.3">
      <c r="A538" s="92"/>
      <c r="B538" s="93"/>
      <c r="C538" s="94"/>
      <c r="D538" s="94"/>
      <c r="E538" s="94"/>
      <c r="F538" s="60">
        <f>ПЛАТЕЖИ[[#This Row],[СЎМ]]+(ПЛАТЕЖИ[[#This Row],[ВАЛЮТА]]*ПЛАТЕЖИ[[#This Row],[КУРС]])</f>
        <v>0</v>
      </c>
      <c r="G538" s="93"/>
      <c r="H538" s="93"/>
      <c r="I538" s="165"/>
    </row>
    <row r="539" spans="1:9" ht="15" customHeight="1" x14ac:dyDescent="0.3">
      <c r="A539" s="92"/>
      <c r="B539" s="93"/>
      <c r="C539" s="94"/>
      <c r="D539" s="94"/>
      <c r="E539" s="94"/>
      <c r="F539" s="60">
        <f>ПЛАТЕЖИ[[#This Row],[СЎМ]]+(ПЛАТЕЖИ[[#This Row],[ВАЛЮТА]]*ПЛАТЕЖИ[[#This Row],[КУРС]])</f>
        <v>0</v>
      </c>
      <c r="G539" s="93"/>
      <c r="H539" s="93"/>
      <c r="I539" s="165"/>
    </row>
    <row r="540" spans="1:9" ht="15" customHeight="1" x14ac:dyDescent="0.3">
      <c r="A540" s="92"/>
      <c r="B540" s="93"/>
      <c r="C540" s="94"/>
      <c r="D540" s="94"/>
      <c r="E540" s="94"/>
      <c r="F540" s="60">
        <f>ПЛАТЕЖИ[[#This Row],[СЎМ]]+(ПЛАТЕЖИ[[#This Row],[ВАЛЮТА]]*ПЛАТЕЖИ[[#This Row],[КУРС]])</f>
        <v>0</v>
      </c>
      <c r="G540" s="93"/>
      <c r="H540" s="93"/>
      <c r="I540" s="165"/>
    </row>
    <row r="541" spans="1:9" ht="15" customHeight="1" x14ac:dyDescent="0.3">
      <c r="A541" s="92"/>
      <c r="B541" s="93"/>
      <c r="C541" s="94"/>
      <c r="D541" s="94"/>
      <c r="E541" s="94"/>
      <c r="F541" s="60">
        <f>ПЛАТЕЖИ[[#This Row],[СЎМ]]+(ПЛАТЕЖИ[[#This Row],[ВАЛЮТА]]*ПЛАТЕЖИ[[#This Row],[КУРС]])</f>
        <v>0</v>
      </c>
      <c r="G541" s="93"/>
      <c r="H541" s="93"/>
      <c r="I541" s="165"/>
    </row>
    <row r="542" spans="1:9" ht="15" customHeight="1" x14ac:dyDescent="0.3">
      <c r="A542" s="92"/>
      <c r="B542" s="93"/>
      <c r="C542" s="94"/>
      <c r="D542" s="94"/>
      <c r="E542" s="94"/>
      <c r="F542" s="60">
        <f>ПЛАТЕЖИ[[#This Row],[СЎМ]]+(ПЛАТЕЖИ[[#This Row],[ВАЛЮТА]]*ПЛАТЕЖИ[[#This Row],[КУРС]])</f>
        <v>0</v>
      </c>
      <c r="G542" s="93"/>
      <c r="H542" s="93"/>
      <c r="I542" s="165"/>
    </row>
    <row r="543" spans="1:9" ht="15" customHeight="1" x14ac:dyDescent="0.3">
      <c r="A543" s="92"/>
      <c r="B543" s="93"/>
      <c r="C543" s="94"/>
      <c r="D543" s="94"/>
      <c r="E543" s="94"/>
      <c r="F543" s="60">
        <f>ПЛАТЕЖИ[[#This Row],[СЎМ]]+(ПЛАТЕЖИ[[#This Row],[ВАЛЮТА]]*ПЛАТЕЖИ[[#This Row],[КУРС]])</f>
        <v>0</v>
      </c>
      <c r="G543" s="93"/>
      <c r="H543" s="93"/>
      <c r="I543" s="165"/>
    </row>
    <row r="544" spans="1:9" ht="15" customHeight="1" x14ac:dyDescent="0.3">
      <c r="A544" s="92"/>
      <c r="B544" s="93"/>
      <c r="C544" s="94"/>
      <c r="D544" s="94"/>
      <c r="E544" s="94"/>
      <c r="F544" s="60">
        <f>ПЛАТЕЖИ[[#This Row],[СЎМ]]+(ПЛАТЕЖИ[[#This Row],[ВАЛЮТА]]*ПЛАТЕЖИ[[#This Row],[КУРС]])</f>
        <v>0</v>
      </c>
      <c r="G544" s="93"/>
      <c r="H544" s="93"/>
      <c r="I544" s="165"/>
    </row>
    <row r="545" spans="1:9" ht="15" customHeight="1" x14ac:dyDescent="0.3">
      <c r="A545" s="92"/>
      <c r="B545" s="93"/>
      <c r="C545" s="94"/>
      <c r="D545" s="94"/>
      <c r="E545" s="94"/>
      <c r="F545" s="60">
        <f>ПЛАТЕЖИ[[#This Row],[СЎМ]]+(ПЛАТЕЖИ[[#This Row],[ВАЛЮТА]]*ПЛАТЕЖИ[[#This Row],[КУРС]])</f>
        <v>0</v>
      </c>
      <c r="G545" s="93"/>
      <c r="I545" s="165"/>
    </row>
    <row r="546" spans="1:9" ht="15" customHeight="1" x14ac:dyDescent="0.3">
      <c r="A546" s="92"/>
      <c r="B546" s="93"/>
      <c r="C546" s="94"/>
      <c r="D546" s="94"/>
      <c r="E546" s="94"/>
      <c r="F546" s="60">
        <f>ПЛАТЕЖИ[[#This Row],[СЎМ]]+(ПЛАТЕЖИ[[#This Row],[ВАЛЮТА]]*ПЛАТЕЖИ[[#This Row],[КУРС]])</f>
        <v>0</v>
      </c>
      <c r="G546" s="93"/>
      <c r="H546" s="93"/>
      <c r="I546" s="165"/>
    </row>
    <row r="547" spans="1:9" ht="15" customHeight="1" x14ac:dyDescent="0.3">
      <c r="A547" s="92"/>
      <c r="B547" s="93"/>
      <c r="C547" s="94"/>
      <c r="D547" s="94"/>
      <c r="E547" s="94"/>
      <c r="F547" s="60">
        <f>ПЛАТЕЖИ[[#This Row],[СЎМ]]+(ПЛАТЕЖИ[[#This Row],[ВАЛЮТА]]*ПЛАТЕЖИ[[#This Row],[КУРС]])</f>
        <v>0</v>
      </c>
      <c r="G547" s="93"/>
      <c r="H547" s="93"/>
      <c r="I547" s="165"/>
    </row>
    <row r="548" spans="1:9" ht="15" customHeight="1" x14ac:dyDescent="0.3">
      <c r="A548" s="92"/>
      <c r="B548" s="93"/>
      <c r="C548" s="94"/>
      <c r="D548" s="94"/>
      <c r="E548" s="94"/>
      <c r="F548" s="60">
        <f>ПЛАТЕЖИ[[#This Row],[СЎМ]]+(ПЛАТЕЖИ[[#This Row],[ВАЛЮТА]]*ПЛАТЕЖИ[[#This Row],[КУРС]])</f>
        <v>0</v>
      </c>
      <c r="G548" s="93"/>
      <c r="H548" s="93"/>
      <c r="I548" s="165"/>
    </row>
    <row r="549" spans="1:9" ht="15" customHeight="1" x14ac:dyDescent="0.3">
      <c r="A549" s="92"/>
      <c r="B549" s="93"/>
      <c r="C549" s="94"/>
      <c r="D549" s="94"/>
      <c r="E549" s="94"/>
      <c r="F549" s="60">
        <f>ПЛАТЕЖИ[[#This Row],[СЎМ]]+(ПЛАТЕЖИ[[#This Row],[ВАЛЮТА]]*ПЛАТЕЖИ[[#This Row],[КУРС]])</f>
        <v>0</v>
      </c>
      <c r="G549" s="93"/>
      <c r="H549" s="93"/>
      <c r="I549" s="165"/>
    </row>
    <row r="550" spans="1:9" ht="15" customHeight="1" x14ac:dyDescent="0.3">
      <c r="A550" s="92"/>
      <c r="B550" s="93"/>
      <c r="C550" s="94"/>
      <c r="D550" s="94"/>
      <c r="E550" s="94"/>
      <c r="F550" s="60">
        <f>ПЛАТЕЖИ[[#This Row],[СЎМ]]+(ПЛАТЕЖИ[[#This Row],[ВАЛЮТА]]*ПЛАТЕЖИ[[#This Row],[КУРС]])</f>
        <v>0</v>
      </c>
      <c r="G550" s="93"/>
      <c r="H550" s="93"/>
      <c r="I550" s="165"/>
    </row>
    <row r="551" spans="1:9" ht="15" customHeight="1" x14ac:dyDescent="0.3">
      <c r="A551" s="92"/>
      <c r="B551" s="93"/>
      <c r="C551" s="94"/>
      <c r="D551" s="94"/>
      <c r="E551" s="94"/>
      <c r="F551" s="60">
        <f>ПЛАТЕЖИ[[#This Row],[СЎМ]]+(ПЛАТЕЖИ[[#This Row],[ВАЛЮТА]]*ПЛАТЕЖИ[[#This Row],[КУРС]])</f>
        <v>0</v>
      </c>
      <c r="G551" s="93"/>
      <c r="H551" s="93"/>
      <c r="I551" s="165"/>
    </row>
    <row r="552" spans="1:9" ht="15" customHeight="1" x14ac:dyDescent="0.3">
      <c r="A552" s="92"/>
      <c r="B552" s="93"/>
      <c r="C552" s="94"/>
      <c r="D552" s="94"/>
      <c r="E552" s="94"/>
      <c r="F552" s="60">
        <f>ПЛАТЕЖИ[[#This Row],[СЎМ]]+(ПЛАТЕЖИ[[#This Row],[ВАЛЮТА]]*ПЛАТЕЖИ[[#This Row],[КУРС]])</f>
        <v>0</v>
      </c>
      <c r="G552" s="93"/>
      <c r="H552" s="93"/>
      <c r="I552" s="165"/>
    </row>
    <row r="553" spans="1:9" ht="15" customHeight="1" x14ac:dyDescent="0.3">
      <c r="A553" s="92"/>
      <c r="B553" s="93"/>
      <c r="C553" s="94"/>
      <c r="D553" s="94"/>
      <c r="E553" s="94"/>
      <c r="F553" s="60">
        <f>ПЛАТЕЖИ[[#This Row],[СЎМ]]+(ПЛАТЕЖИ[[#This Row],[ВАЛЮТА]]*ПЛАТЕЖИ[[#This Row],[КУРС]])</f>
        <v>0</v>
      </c>
      <c r="G553" s="93"/>
      <c r="H553" s="93"/>
      <c r="I553" s="165"/>
    </row>
    <row r="554" spans="1:9" ht="15" customHeight="1" x14ac:dyDescent="0.3">
      <c r="A554" s="92"/>
      <c r="B554" s="93"/>
      <c r="C554" s="94"/>
      <c r="D554" s="94"/>
      <c r="E554" s="94"/>
      <c r="F554" s="60">
        <f>ПЛАТЕЖИ[[#This Row],[СЎМ]]+(ПЛАТЕЖИ[[#This Row],[ВАЛЮТА]]*ПЛАТЕЖИ[[#This Row],[КУРС]])</f>
        <v>0</v>
      </c>
      <c r="G554" s="93"/>
      <c r="H554" s="93"/>
      <c r="I554" s="165"/>
    </row>
    <row r="555" spans="1:9" ht="15" customHeight="1" x14ac:dyDescent="0.3">
      <c r="A555" s="92"/>
      <c r="B555" s="93"/>
      <c r="C555" s="94"/>
      <c r="D555" s="94"/>
      <c r="E555" s="94"/>
      <c r="F555" s="60">
        <f>ПЛАТЕЖИ[[#This Row],[СЎМ]]+(ПЛАТЕЖИ[[#This Row],[ВАЛЮТА]]*ПЛАТЕЖИ[[#This Row],[КУРС]])</f>
        <v>0</v>
      </c>
      <c r="G555" s="93"/>
      <c r="H555" s="93"/>
      <c r="I555" s="165"/>
    </row>
    <row r="556" spans="1:9" ht="15" customHeight="1" x14ac:dyDescent="0.3">
      <c r="A556" s="92"/>
      <c r="B556" s="93"/>
      <c r="C556" s="94"/>
      <c r="D556" s="94"/>
      <c r="E556" s="94"/>
      <c r="F556" s="60">
        <f>ПЛАТЕЖИ[[#This Row],[СЎМ]]+(ПЛАТЕЖИ[[#This Row],[ВАЛЮТА]]*ПЛАТЕЖИ[[#This Row],[КУРС]])</f>
        <v>0</v>
      </c>
      <c r="G556" s="93"/>
      <c r="H556" s="93"/>
      <c r="I556" s="165"/>
    </row>
    <row r="557" spans="1:9" ht="15" customHeight="1" x14ac:dyDescent="0.3">
      <c r="A557" s="92"/>
      <c r="B557" s="93"/>
      <c r="C557" s="94"/>
      <c r="D557" s="94"/>
      <c r="E557" s="94"/>
      <c r="F557" s="60">
        <f>ПЛАТЕЖИ[[#This Row],[СЎМ]]+(ПЛАТЕЖИ[[#This Row],[ВАЛЮТА]]*ПЛАТЕЖИ[[#This Row],[КУРС]])</f>
        <v>0</v>
      </c>
      <c r="G557" s="93"/>
      <c r="I557" s="165"/>
    </row>
    <row r="558" spans="1:9" ht="15" customHeight="1" x14ac:dyDescent="0.3">
      <c r="A558" s="92"/>
      <c r="B558" s="93"/>
      <c r="C558" s="94"/>
      <c r="D558" s="94"/>
      <c r="E558" s="94"/>
      <c r="F558" s="60">
        <f>ПЛАТЕЖИ[[#This Row],[СЎМ]]+(ПЛАТЕЖИ[[#This Row],[ВАЛЮТА]]*ПЛАТЕЖИ[[#This Row],[КУРС]])</f>
        <v>0</v>
      </c>
      <c r="G558" s="93"/>
      <c r="I558" s="165"/>
    </row>
    <row r="559" spans="1:9" ht="15" customHeight="1" x14ac:dyDescent="0.3">
      <c r="A559" s="92"/>
      <c r="B559" s="93"/>
      <c r="C559" s="94"/>
      <c r="D559" s="94"/>
      <c r="E559" s="94"/>
      <c r="F559" s="60">
        <f>ПЛАТЕЖИ[[#This Row],[СЎМ]]+(ПЛАТЕЖИ[[#This Row],[ВАЛЮТА]]*ПЛАТЕЖИ[[#This Row],[КУРС]])</f>
        <v>0</v>
      </c>
      <c r="G559" s="93"/>
      <c r="I559" s="165"/>
    </row>
    <row r="560" spans="1:9" ht="15" customHeight="1" x14ac:dyDescent="0.3">
      <c r="A560" s="92"/>
      <c r="B560" s="93"/>
      <c r="C560" s="94"/>
      <c r="D560" s="94"/>
      <c r="E560" s="94"/>
      <c r="F560" s="60">
        <f>ПЛАТЕЖИ[[#This Row],[СЎМ]]+(ПЛАТЕЖИ[[#This Row],[ВАЛЮТА]]*ПЛАТЕЖИ[[#This Row],[КУРС]])</f>
        <v>0</v>
      </c>
      <c r="G560" s="93"/>
      <c r="H560" s="93"/>
      <c r="I560" s="165"/>
    </row>
    <row r="561" spans="1:9" ht="15" customHeight="1" x14ac:dyDescent="0.3">
      <c r="A561" s="92"/>
      <c r="B561" s="93"/>
      <c r="C561" s="94"/>
      <c r="D561" s="94"/>
      <c r="E561" s="94"/>
      <c r="F561" s="60">
        <f>ПЛАТЕЖИ[[#This Row],[СЎМ]]+(ПЛАТЕЖИ[[#This Row],[ВАЛЮТА]]*ПЛАТЕЖИ[[#This Row],[КУРС]])</f>
        <v>0</v>
      </c>
      <c r="G561" s="93"/>
      <c r="H561" s="93"/>
      <c r="I561" s="165"/>
    </row>
    <row r="562" spans="1:9" ht="15" customHeight="1" x14ac:dyDescent="0.3">
      <c r="A562" s="92"/>
      <c r="B562" s="93"/>
      <c r="C562" s="94"/>
      <c r="D562" s="94"/>
      <c r="E562" s="94"/>
      <c r="F562" s="60">
        <f>ПЛАТЕЖИ[[#This Row],[СЎМ]]+(ПЛАТЕЖИ[[#This Row],[ВАЛЮТА]]*ПЛАТЕЖИ[[#This Row],[КУРС]])</f>
        <v>0</v>
      </c>
      <c r="G562" s="93"/>
      <c r="H562" s="93"/>
      <c r="I562" s="165"/>
    </row>
    <row r="563" spans="1:9" ht="15" customHeight="1" x14ac:dyDescent="0.3">
      <c r="A563" s="92"/>
      <c r="B563" s="93"/>
      <c r="C563" s="94"/>
      <c r="D563" s="94"/>
      <c r="E563" s="94"/>
      <c r="F563" s="60">
        <f>ПЛАТЕЖИ[[#This Row],[СЎМ]]+(ПЛАТЕЖИ[[#This Row],[ВАЛЮТА]]*ПЛАТЕЖИ[[#This Row],[КУРС]])</f>
        <v>0</v>
      </c>
      <c r="G563" s="93"/>
      <c r="H563" s="93"/>
      <c r="I563" s="165"/>
    </row>
    <row r="564" spans="1:9" ht="15" customHeight="1" x14ac:dyDescent="0.3">
      <c r="A564" s="92"/>
      <c r="B564" s="93"/>
      <c r="C564" s="94"/>
      <c r="D564" s="94"/>
      <c r="E564" s="94"/>
      <c r="F564" s="60">
        <f>ПЛАТЕЖИ[[#This Row],[СЎМ]]+(ПЛАТЕЖИ[[#This Row],[ВАЛЮТА]]*ПЛАТЕЖИ[[#This Row],[КУРС]])</f>
        <v>0</v>
      </c>
      <c r="G564" s="93"/>
      <c r="H564" s="93"/>
      <c r="I564" s="165"/>
    </row>
    <row r="565" spans="1:9" ht="15" customHeight="1" x14ac:dyDescent="0.3">
      <c r="A565" s="92"/>
      <c r="B565" s="93"/>
      <c r="C565" s="94"/>
      <c r="D565" s="94"/>
      <c r="E565" s="94"/>
      <c r="F565" s="60">
        <f>ПЛАТЕЖИ[[#This Row],[СЎМ]]+(ПЛАТЕЖИ[[#This Row],[ВАЛЮТА]]*ПЛАТЕЖИ[[#This Row],[КУРС]])</f>
        <v>0</v>
      </c>
      <c r="G565" s="93"/>
      <c r="H565" s="93"/>
      <c r="I565" s="165"/>
    </row>
    <row r="566" spans="1:9" ht="15" customHeight="1" x14ac:dyDescent="0.3">
      <c r="A566" s="92"/>
      <c r="B566" s="93"/>
      <c r="C566" s="94"/>
      <c r="D566" s="94"/>
      <c r="E566" s="94"/>
      <c r="F566" s="60">
        <f>ПЛАТЕЖИ[[#This Row],[СЎМ]]+(ПЛАТЕЖИ[[#This Row],[ВАЛЮТА]]*ПЛАТЕЖИ[[#This Row],[КУРС]])</f>
        <v>0</v>
      </c>
      <c r="G566" s="93"/>
      <c r="I566" s="165"/>
    </row>
    <row r="567" spans="1:9" ht="15" customHeight="1" x14ac:dyDescent="0.3">
      <c r="A567" s="92"/>
      <c r="B567" s="93"/>
      <c r="C567" s="94"/>
      <c r="D567" s="94"/>
      <c r="E567" s="94"/>
      <c r="F567" s="60">
        <f>ПЛАТЕЖИ[[#This Row],[СЎМ]]+(ПЛАТЕЖИ[[#This Row],[ВАЛЮТА]]*ПЛАТЕЖИ[[#This Row],[КУРС]])</f>
        <v>0</v>
      </c>
      <c r="G567" s="93"/>
      <c r="I567" s="165"/>
    </row>
    <row r="568" spans="1:9" ht="15" customHeight="1" x14ac:dyDescent="0.3">
      <c r="A568" s="92"/>
      <c r="B568" s="93"/>
      <c r="C568" s="94"/>
      <c r="D568" s="94"/>
      <c r="E568" s="94"/>
      <c r="F568" s="60">
        <f>ПЛАТЕЖИ[[#This Row],[СЎМ]]+(ПЛАТЕЖИ[[#This Row],[ВАЛЮТА]]*ПЛАТЕЖИ[[#This Row],[КУРС]])</f>
        <v>0</v>
      </c>
      <c r="G568" s="93"/>
      <c r="H568" s="93"/>
      <c r="I568" s="165"/>
    </row>
    <row r="569" spans="1:9" ht="15" customHeight="1" x14ac:dyDescent="0.3">
      <c r="A569" s="92"/>
      <c r="B569" s="93"/>
      <c r="C569" s="94"/>
      <c r="D569" s="94"/>
      <c r="E569" s="94"/>
      <c r="F569" s="60">
        <f>ПЛАТЕЖИ[[#This Row],[СЎМ]]+(ПЛАТЕЖИ[[#This Row],[ВАЛЮТА]]*ПЛАТЕЖИ[[#This Row],[КУРС]])</f>
        <v>0</v>
      </c>
      <c r="G569" s="93"/>
      <c r="H569" s="93"/>
      <c r="I569" s="165"/>
    </row>
    <row r="570" spans="1:9" ht="15" customHeight="1" x14ac:dyDescent="0.3">
      <c r="A570" s="92"/>
      <c r="B570" s="93"/>
      <c r="C570" s="94"/>
      <c r="D570" s="94"/>
      <c r="E570" s="94"/>
      <c r="F570" s="60">
        <f>ПЛАТЕЖИ[[#This Row],[СЎМ]]+(ПЛАТЕЖИ[[#This Row],[ВАЛЮТА]]*ПЛАТЕЖИ[[#This Row],[КУРС]])</f>
        <v>0</v>
      </c>
      <c r="G570" s="93"/>
      <c r="H570" s="93"/>
      <c r="I570" s="165"/>
    </row>
    <row r="571" spans="1:9" ht="15" customHeight="1" x14ac:dyDescent="0.3">
      <c r="A571" s="92"/>
      <c r="B571" s="93"/>
      <c r="C571" s="94"/>
      <c r="D571" s="94"/>
      <c r="E571" s="94"/>
      <c r="F571" s="60">
        <f>ПЛАТЕЖИ[[#This Row],[СЎМ]]+(ПЛАТЕЖИ[[#This Row],[ВАЛЮТА]]*ПЛАТЕЖИ[[#This Row],[КУРС]])</f>
        <v>0</v>
      </c>
      <c r="G571" s="93"/>
      <c r="H571" s="93"/>
      <c r="I571" s="165"/>
    </row>
    <row r="572" spans="1:9" ht="15" customHeight="1" x14ac:dyDescent="0.3">
      <c r="A572" s="92"/>
      <c r="B572" s="93"/>
      <c r="C572" s="94"/>
      <c r="D572" s="94"/>
      <c r="E572" s="94"/>
      <c r="F572" s="60">
        <f>ПЛАТЕЖИ[[#This Row],[СЎМ]]+(ПЛАТЕЖИ[[#This Row],[ВАЛЮТА]]*ПЛАТЕЖИ[[#This Row],[КУРС]])</f>
        <v>0</v>
      </c>
      <c r="G572" s="93"/>
      <c r="H572" s="93"/>
      <c r="I572" s="165"/>
    </row>
    <row r="573" spans="1:9" ht="15" customHeight="1" x14ac:dyDescent="0.3">
      <c r="A573" s="92"/>
      <c r="B573" s="93"/>
      <c r="C573" s="94"/>
      <c r="D573" s="94"/>
      <c r="E573" s="94"/>
      <c r="F573" s="60">
        <f>ПЛАТЕЖИ[[#This Row],[СЎМ]]+(ПЛАТЕЖИ[[#This Row],[ВАЛЮТА]]*ПЛАТЕЖИ[[#This Row],[КУРС]])</f>
        <v>0</v>
      </c>
      <c r="G573" s="93"/>
      <c r="H573" s="93"/>
      <c r="I573" s="165"/>
    </row>
    <row r="574" spans="1:9" ht="15" customHeight="1" x14ac:dyDescent="0.3">
      <c r="A574" s="92"/>
      <c r="B574" s="93"/>
      <c r="C574" s="94"/>
      <c r="D574" s="94"/>
      <c r="E574" s="94"/>
      <c r="F574" s="60">
        <f>ПЛАТЕЖИ[[#This Row],[СЎМ]]+(ПЛАТЕЖИ[[#This Row],[ВАЛЮТА]]*ПЛАТЕЖИ[[#This Row],[КУРС]])</f>
        <v>0</v>
      </c>
      <c r="G574" s="93"/>
      <c r="H574" s="93"/>
      <c r="I574" s="165"/>
    </row>
    <row r="575" spans="1:9" ht="15" customHeight="1" x14ac:dyDescent="0.3">
      <c r="A575" s="137"/>
      <c r="B575" s="136"/>
      <c r="C575" s="132"/>
      <c r="D575" s="132"/>
      <c r="E575" s="132"/>
      <c r="F575" s="60">
        <f>ПЛАТЕЖИ[[#This Row],[СЎМ]]+(ПЛАТЕЖИ[[#This Row],[ВАЛЮТА]]*ПЛАТЕЖИ[[#This Row],[КУРС]])</f>
        <v>0</v>
      </c>
      <c r="G575" s="136"/>
      <c r="H575" s="136"/>
      <c r="I575" s="165"/>
    </row>
    <row r="576" spans="1:9" ht="15" customHeight="1" x14ac:dyDescent="0.3">
      <c r="A576" s="92"/>
      <c r="B576" s="93"/>
      <c r="C576" s="94"/>
      <c r="D576" s="94"/>
      <c r="E576" s="94"/>
      <c r="F576" s="60">
        <f>ПЛАТЕЖИ[[#This Row],[СЎМ]]+(ПЛАТЕЖИ[[#This Row],[ВАЛЮТА]]*ПЛАТЕЖИ[[#This Row],[КУРС]])</f>
        <v>0</v>
      </c>
      <c r="G576" s="93"/>
      <c r="H576" s="93"/>
      <c r="I576" s="165"/>
    </row>
    <row r="577" spans="1:9" ht="15" customHeight="1" x14ac:dyDescent="0.3">
      <c r="A577" s="92"/>
      <c r="B577" s="93"/>
      <c r="C577" s="94"/>
      <c r="D577" s="94"/>
      <c r="E577" s="94"/>
      <c r="F577" s="60">
        <f>ПЛАТЕЖИ[[#This Row],[СЎМ]]+(ПЛАТЕЖИ[[#This Row],[ВАЛЮТА]]*ПЛАТЕЖИ[[#This Row],[КУРС]])</f>
        <v>0</v>
      </c>
      <c r="G577" s="93"/>
      <c r="H577" s="93"/>
      <c r="I577" s="165"/>
    </row>
    <row r="578" spans="1:9" ht="15" customHeight="1" x14ac:dyDescent="0.3">
      <c r="A578" s="137"/>
      <c r="B578" s="136"/>
      <c r="C578" s="132"/>
      <c r="D578" s="132"/>
      <c r="E578" s="132"/>
      <c r="F578" s="60">
        <f>ПЛАТЕЖИ[[#This Row],[СЎМ]]+(ПЛАТЕЖИ[[#This Row],[ВАЛЮТА]]*ПЛАТЕЖИ[[#This Row],[КУРС]])</f>
        <v>0</v>
      </c>
      <c r="G578" s="136"/>
      <c r="H578" s="147"/>
      <c r="I578" s="165"/>
    </row>
    <row r="579" spans="1:9" ht="15" customHeight="1" x14ac:dyDescent="0.3">
      <c r="A579" s="137"/>
      <c r="B579" s="136"/>
      <c r="C579" s="132"/>
      <c r="D579" s="132"/>
      <c r="E579" s="132"/>
      <c r="F579" s="60">
        <f>ПЛАТЕЖИ[[#This Row],[СЎМ]]+(ПЛАТЕЖИ[[#This Row],[ВАЛЮТА]]*ПЛАТЕЖИ[[#This Row],[КУРС]])</f>
        <v>0</v>
      </c>
      <c r="G579" s="136"/>
      <c r="H579" s="147"/>
      <c r="I579" s="165"/>
    </row>
    <row r="580" spans="1:9" ht="15" customHeight="1" x14ac:dyDescent="0.3">
      <c r="A580" s="92"/>
      <c r="B580" s="93"/>
      <c r="C580" s="94"/>
      <c r="D580" s="94"/>
      <c r="E580" s="94"/>
      <c r="F580" s="60">
        <f>ПЛАТЕЖИ[[#This Row],[СЎМ]]+(ПЛАТЕЖИ[[#This Row],[ВАЛЮТА]]*ПЛАТЕЖИ[[#This Row],[КУРС]])</f>
        <v>0</v>
      </c>
      <c r="G580" s="93"/>
      <c r="I580" s="165"/>
    </row>
    <row r="581" spans="1:9" ht="15" customHeight="1" x14ac:dyDescent="0.3">
      <c r="A581" s="92"/>
      <c r="B581" s="93"/>
      <c r="C581" s="94"/>
      <c r="D581" s="94"/>
      <c r="E581" s="94"/>
      <c r="F581" s="60">
        <f>ПЛАТЕЖИ[[#This Row],[СЎМ]]+(ПЛАТЕЖИ[[#This Row],[ВАЛЮТА]]*ПЛАТЕЖИ[[#This Row],[КУРС]])</f>
        <v>0</v>
      </c>
      <c r="G581" s="93"/>
      <c r="H581" s="93"/>
      <c r="I581" s="165"/>
    </row>
    <row r="582" spans="1:9" ht="15" customHeight="1" x14ac:dyDescent="0.3">
      <c r="A582" s="92"/>
      <c r="B582" s="93"/>
      <c r="C582" s="94"/>
      <c r="D582" s="94"/>
      <c r="E582" s="94"/>
      <c r="F582" s="60">
        <f>ПЛАТЕЖИ[[#This Row],[СЎМ]]+(ПЛАТЕЖИ[[#This Row],[ВАЛЮТА]]*ПЛАТЕЖИ[[#This Row],[КУРС]])</f>
        <v>0</v>
      </c>
      <c r="G582" s="93"/>
      <c r="H582" s="93"/>
      <c r="I582" s="165"/>
    </row>
    <row r="583" spans="1:9" ht="15" customHeight="1" x14ac:dyDescent="0.3">
      <c r="A583" s="92"/>
      <c r="B583" s="93"/>
      <c r="C583" s="94"/>
      <c r="D583" s="94"/>
      <c r="E583" s="94"/>
      <c r="F583" s="60">
        <f>ПЛАТЕЖИ[[#This Row],[СЎМ]]+(ПЛАТЕЖИ[[#This Row],[ВАЛЮТА]]*ПЛАТЕЖИ[[#This Row],[КУРС]])</f>
        <v>0</v>
      </c>
      <c r="G583" s="93"/>
      <c r="H583" s="93"/>
      <c r="I583" s="165"/>
    </row>
    <row r="584" spans="1:9" ht="15" customHeight="1" x14ac:dyDescent="0.3">
      <c r="A584" s="92"/>
      <c r="B584" s="93"/>
      <c r="C584" s="94"/>
      <c r="D584" s="94"/>
      <c r="E584" s="94"/>
      <c r="F584" s="60">
        <f>ПЛАТЕЖИ[[#This Row],[СЎМ]]+(ПЛАТЕЖИ[[#This Row],[ВАЛЮТА]]*ПЛАТЕЖИ[[#This Row],[КУРС]])</f>
        <v>0</v>
      </c>
      <c r="G584" s="93"/>
      <c r="H584" s="93"/>
      <c r="I584" s="165"/>
    </row>
    <row r="585" spans="1:9" ht="15" customHeight="1" x14ac:dyDescent="0.3">
      <c r="A585" s="92"/>
      <c r="B585" s="93"/>
      <c r="C585" s="94"/>
      <c r="D585" s="94"/>
      <c r="E585" s="94"/>
      <c r="F585" s="60">
        <f>ПЛАТЕЖИ[[#This Row],[СЎМ]]+(ПЛАТЕЖИ[[#This Row],[ВАЛЮТА]]*ПЛАТЕЖИ[[#This Row],[КУРС]])</f>
        <v>0</v>
      </c>
      <c r="G585" s="93"/>
      <c r="H585" s="93"/>
      <c r="I585" s="165"/>
    </row>
    <row r="586" spans="1:9" ht="15" customHeight="1" x14ac:dyDescent="0.3">
      <c r="A586" s="92"/>
      <c r="B586" s="93"/>
      <c r="C586" s="94"/>
      <c r="D586" s="94"/>
      <c r="E586" s="94"/>
      <c r="F586" s="60">
        <f>ПЛАТЕЖИ[[#This Row],[СЎМ]]+(ПЛАТЕЖИ[[#This Row],[ВАЛЮТА]]*ПЛАТЕЖИ[[#This Row],[КУРС]])</f>
        <v>0</v>
      </c>
      <c r="G586" s="93"/>
      <c r="H586" s="93"/>
      <c r="I586" s="165"/>
    </row>
    <row r="587" spans="1:9" ht="15" customHeight="1" x14ac:dyDescent="0.3">
      <c r="A587" s="92"/>
      <c r="B587" s="93"/>
      <c r="C587" s="94"/>
      <c r="D587" s="94"/>
      <c r="E587" s="94"/>
      <c r="F587" s="60">
        <f>ПЛАТЕЖИ[[#This Row],[СЎМ]]+(ПЛАТЕЖИ[[#This Row],[ВАЛЮТА]]*ПЛАТЕЖИ[[#This Row],[КУРС]])</f>
        <v>0</v>
      </c>
      <c r="G587" s="93"/>
      <c r="H587" s="93"/>
      <c r="I587" s="165"/>
    </row>
    <row r="588" spans="1:9" ht="15" customHeight="1" x14ac:dyDescent="0.3">
      <c r="A588" s="92"/>
      <c r="B588" s="93"/>
      <c r="C588" s="94"/>
      <c r="D588" s="94"/>
      <c r="E588" s="94"/>
      <c r="F588" s="60">
        <f>ПЛАТЕЖИ[[#This Row],[СЎМ]]+(ПЛАТЕЖИ[[#This Row],[ВАЛЮТА]]*ПЛАТЕЖИ[[#This Row],[КУРС]])</f>
        <v>0</v>
      </c>
      <c r="G588" s="93"/>
      <c r="I588" s="165"/>
    </row>
    <row r="589" spans="1:9" ht="15" customHeight="1" x14ac:dyDescent="0.3">
      <c r="A589" s="92"/>
      <c r="B589" s="93"/>
      <c r="C589" s="94"/>
      <c r="D589" s="94"/>
      <c r="E589" s="94"/>
      <c r="F589" s="60">
        <f>ПЛАТЕЖИ[[#This Row],[СЎМ]]+(ПЛАТЕЖИ[[#This Row],[ВАЛЮТА]]*ПЛАТЕЖИ[[#This Row],[КУРС]])</f>
        <v>0</v>
      </c>
      <c r="G589" s="93"/>
      <c r="I589" s="165"/>
    </row>
    <row r="590" spans="1:9" ht="15" customHeight="1" x14ac:dyDescent="0.3">
      <c r="A590" s="92"/>
      <c r="B590" s="93"/>
      <c r="C590" s="94"/>
      <c r="D590" s="94"/>
      <c r="E590" s="94"/>
      <c r="F590" s="60">
        <f>ПЛАТЕЖИ[[#This Row],[СЎМ]]+(ПЛАТЕЖИ[[#This Row],[ВАЛЮТА]]*ПЛАТЕЖИ[[#This Row],[КУРС]])</f>
        <v>0</v>
      </c>
      <c r="G590" s="93"/>
      <c r="I590" s="165"/>
    </row>
    <row r="591" spans="1:9" ht="15" customHeight="1" x14ac:dyDescent="0.3">
      <c r="A591" s="92"/>
      <c r="B591" s="93"/>
      <c r="C591" s="94"/>
      <c r="D591" s="94"/>
      <c r="E591" s="94"/>
      <c r="F591" s="60">
        <f>ПЛАТЕЖИ[[#This Row],[СЎМ]]+(ПЛАТЕЖИ[[#This Row],[ВАЛЮТА]]*ПЛАТЕЖИ[[#This Row],[КУРС]])</f>
        <v>0</v>
      </c>
      <c r="G591" s="93"/>
      <c r="H591" s="93"/>
      <c r="I591" s="165"/>
    </row>
    <row r="592" spans="1:9" ht="15" customHeight="1" x14ac:dyDescent="0.3">
      <c r="A592" s="92"/>
      <c r="B592" s="93"/>
      <c r="C592" s="94"/>
      <c r="D592" s="94"/>
      <c r="E592" s="94"/>
      <c r="F592" s="60">
        <f>ПЛАТЕЖИ[[#This Row],[СЎМ]]+(ПЛАТЕЖИ[[#This Row],[ВАЛЮТА]]*ПЛАТЕЖИ[[#This Row],[КУРС]])</f>
        <v>0</v>
      </c>
      <c r="G592" s="93"/>
      <c r="H592" s="93"/>
      <c r="I592" s="165"/>
    </row>
    <row r="593" spans="1:9" ht="15" customHeight="1" x14ac:dyDescent="0.3">
      <c r="A593" s="92"/>
      <c r="B593" s="93"/>
      <c r="C593" s="94"/>
      <c r="D593" s="94"/>
      <c r="E593" s="94"/>
      <c r="F593" s="60">
        <f>ПЛАТЕЖИ[[#This Row],[СЎМ]]+(ПЛАТЕЖИ[[#This Row],[ВАЛЮТА]]*ПЛАТЕЖИ[[#This Row],[КУРС]])</f>
        <v>0</v>
      </c>
      <c r="G593" s="93"/>
      <c r="H593" s="93"/>
      <c r="I593" s="165"/>
    </row>
    <row r="594" spans="1:9" ht="15" customHeight="1" x14ac:dyDescent="0.3">
      <c r="A594" s="92"/>
      <c r="B594" s="93"/>
      <c r="C594" s="94"/>
      <c r="D594" s="94"/>
      <c r="E594" s="94"/>
      <c r="F594" s="60">
        <f>ПЛАТЕЖИ[[#This Row],[СЎМ]]+(ПЛАТЕЖИ[[#This Row],[ВАЛЮТА]]*ПЛАТЕЖИ[[#This Row],[КУРС]])</f>
        <v>0</v>
      </c>
      <c r="G594" s="93"/>
      <c r="H594" s="93"/>
      <c r="I594" s="165"/>
    </row>
    <row r="595" spans="1:9" ht="15" customHeight="1" x14ac:dyDescent="0.3">
      <c r="A595" s="92"/>
      <c r="B595" s="93"/>
      <c r="C595" s="94"/>
      <c r="D595" s="94"/>
      <c r="E595" s="94"/>
      <c r="F595" s="60">
        <f>ПЛАТЕЖИ[[#This Row],[СЎМ]]+(ПЛАТЕЖИ[[#This Row],[ВАЛЮТА]]*ПЛАТЕЖИ[[#This Row],[КУРС]])</f>
        <v>0</v>
      </c>
      <c r="G595" s="93"/>
      <c r="H595" s="93"/>
      <c r="I595" s="165"/>
    </row>
    <row r="596" spans="1:9" ht="15" customHeight="1" x14ac:dyDescent="0.3">
      <c r="A596" s="92"/>
      <c r="B596" s="93"/>
      <c r="C596" s="94"/>
      <c r="D596" s="94"/>
      <c r="E596" s="94"/>
      <c r="F596" s="60">
        <f>ПЛАТЕЖИ[[#This Row],[СЎМ]]+(ПЛАТЕЖИ[[#This Row],[ВАЛЮТА]]*ПЛАТЕЖИ[[#This Row],[КУРС]])</f>
        <v>0</v>
      </c>
      <c r="G596" s="93"/>
      <c r="I596" s="165"/>
    </row>
    <row r="597" spans="1:9" ht="15" customHeight="1" x14ac:dyDescent="0.3">
      <c r="A597" s="92"/>
      <c r="B597" s="93"/>
      <c r="C597" s="94"/>
      <c r="D597" s="94"/>
      <c r="E597" s="94"/>
      <c r="F597" s="60">
        <f>ПЛАТЕЖИ[[#This Row],[СЎМ]]+(ПЛАТЕЖИ[[#This Row],[ВАЛЮТА]]*ПЛАТЕЖИ[[#This Row],[КУРС]])</f>
        <v>0</v>
      </c>
      <c r="G597" s="93"/>
      <c r="I597" s="165"/>
    </row>
    <row r="598" spans="1:9" ht="15" customHeight="1" x14ac:dyDescent="0.3">
      <c r="F598" s="60">
        <f>ПЛАТЕЖИ[[#This Row],[СЎМ]]+(ПЛАТЕЖИ[[#This Row],[ВАЛЮТА]]*ПЛАТЕЖИ[[#This Row],[КУРС]])</f>
        <v>0</v>
      </c>
      <c r="I598" s="165"/>
    </row>
    <row r="599" spans="1:9" ht="15" customHeight="1" x14ac:dyDescent="0.3">
      <c r="A599" s="92"/>
      <c r="B599" s="93"/>
      <c r="C599" s="94"/>
      <c r="D599" s="94"/>
      <c r="E599" s="94"/>
      <c r="F599" s="60">
        <f>ПЛАТЕЖИ[[#This Row],[СЎМ]]+(ПЛАТЕЖИ[[#This Row],[ВАЛЮТА]]*ПЛАТЕЖИ[[#This Row],[КУРС]])</f>
        <v>0</v>
      </c>
      <c r="G599" s="93"/>
      <c r="I599" s="165"/>
    </row>
    <row r="600" spans="1:9" ht="15" customHeight="1" x14ac:dyDescent="0.3">
      <c r="F600" s="60">
        <f>ПЛАТЕЖИ[[#This Row],[СЎМ]]+(ПЛАТЕЖИ[[#This Row],[ВАЛЮТА]]*ПЛАТЕЖИ[[#This Row],[КУРС]])</f>
        <v>0</v>
      </c>
      <c r="I600" s="165"/>
    </row>
    <row r="601" spans="1:9" ht="15" customHeight="1" x14ac:dyDescent="0.3">
      <c r="A601" s="92"/>
      <c r="B601" s="93"/>
      <c r="C601" s="94"/>
      <c r="D601" s="94"/>
      <c r="E601" s="94"/>
      <c r="F601" s="60">
        <f>ПЛАТЕЖИ[[#This Row],[СЎМ]]+(ПЛАТЕЖИ[[#This Row],[ВАЛЮТА]]*ПЛАТЕЖИ[[#This Row],[КУРС]])</f>
        <v>0</v>
      </c>
      <c r="G601" s="93"/>
      <c r="H601" s="93"/>
      <c r="I601" s="165"/>
    </row>
    <row r="602" spans="1:9" ht="15" customHeight="1" x14ac:dyDescent="0.3">
      <c r="A602" s="92"/>
      <c r="B602" s="93"/>
      <c r="C602" s="94"/>
      <c r="D602" s="94"/>
      <c r="E602" s="94"/>
      <c r="F602" s="60">
        <f>ПЛАТЕЖИ[[#This Row],[СЎМ]]+(ПЛАТЕЖИ[[#This Row],[ВАЛЮТА]]*ПЛАТЕЖИ[[#This Row],[КУРС]])</f>
        <v>0</v>
      </c>
      <c r="G602" s="93"/>
      <c r="H602" s="93"/>
      <c r="I602" s="165"/>
    </row>
    <row r="603" spans="1:9" ht="15" customHeight="1" x14ac:dyDescent="0.3">
      <c r="A603" s="92"/>
      <c r="B603" s="93"/>
      <c r="C603" s="94"/>
      <c r="D603" s="94"/>
      <c r="E603" s="94"/>
      <c r="F603" s="60">
        <f>ПЛАТЕЖИ[[#This Row],[СЎМ]]+(ПЛАТЕЖИ[[#This Row],[ВАЛЮТА]]*ПЛАТЕЖИ[[#This Row],[КУРС]])</f>
        <v>0</v>
      </c>
      <c r="G603" s="93"/>
      <c r="I603" s="165"/>
    </row>
    <row r="604" spans="1:9" ht="15" customHeight="1" x14ac:dyDescent="0.3">
      <c r="A604" s="92"/>
      <c r="B604" s="93"/>
      <c r="C604" s="94"/>
      <c r="D604" s="94"/>
      <c r="E604" s="94"/>
      <c r="F604" s="60">
        <f>ПЛАТЕЖИ[[#This Row],[СЎМ]]+(ПЛАТЕЖИ[[#This Row],[ВАЛЮТА]]*ПЛАТЕЖИ[[#This Row],[КУРС]])</f>
        <v>0</v>
      </c>
      <c r="G604" s="93"/>
      <c r="H604" s="93"/>
      <c r="I604" s="165"/>
    </row>
    <row r="605" spans="1:9" ht="15" customHeight="1" x14ac:dyDescent="0.3">
      <c r="A605" s="92"/>
      <c r="B605" s="93"/>
      <c r="C605" s="94"/>
      <c r="D605" s="94"/>
      <c r="E605" s="94"/>
      <c r="F605" s="60">
        <f>ПЛАТЕЖИ[[#This Row],[СЎМ]]+(ПЛАТЕЖИ[[#This Row],[ВАЛЮТА]]*ПЛАТЕЖИ[[#This Row],[КУРС]])</f>
        <v>0</v>
      </c>
      <c r="G605" s="93"/>
      <c r="H605" s="93"/>
      <c r="I605" s="165"/>
    </row>
    <row r="606" spans="1:9" ht="15" customHeight="1" x14ac:dyDescent="0.3">
      <c r="A606" s="92"/>
      <c r="B606" s="93"/>
      <c r="C606" s="94"/>
      <c r="D606" s="94"/>
      <c r="E606" s="94"/>
      <c r="F606" s="60">
        <f>ПЛАТЕЖИ[[#This Row],[СЎМ]]+(ПЛАТЕЖИ[[#This Row],[ВАЛЮТА]]*ПЛАТЕЖИ[[#This Row],[КУРС]])</f>
        <v>0</v>
      </c>
      <c r="G606" s="93"/>
      <c r="H606" s="93"/>
      <c r="I606" s="165"/>
    </row>
    <row r="607" spans="1:9" ht="15" customHeight="1" x14ac:dyDescent="0.3">
      <c r="A607" s="92"/>
      <c r="B607" s="93"/>
      <c r="C607" s="94"/>
      <c r="D607" s="94"/>
      <c r="E607" s="94"/>
      <c r="F607" s="60">
        <f>ПЛАТЕЖИ[[#This Row],[СЎМ]]+(ПЛАТЕЖИ[[#This Row],[ВАЛЮТА]]*ПЛАТЕЖИ[[#This Row],[КУРС]])</f>
        <v>0</v>
      </c>
      <c r="G607" s="93"/>
      <c r="H607" s="93"/>
      <c r="I607" s="165"/>
    </row>
    <row r="608" spans="1:9" ht="15" customHeight="1" x14ac:dyDescent="0.3">
      <c r="A608" s="92"/>
      <c r="B608" s="93"/>
      <c r="C608" s="94"/>
      <c r="D608" s="94"/>
      <c r="E608" s="94"/>
      <c r="F608" s="60">
        <f>ПЛАТЕЖИ[[#This Row],[СЎМ]]+(ПЛАТЕЖИ[[#This Row],[ВАЛЮТА]]*ПЛАТЕЖИ[[#This Row],[КУРС]])</f>
        <v>0</v>
      </c>
      <c r="G608" s="93"/>
      <c r="H608" s="93"/>
      <c r="I608" s="165"/>
    </row>
    <row r="609" spans="1:9" ht="15" customHeight="1" x14ac:dyDescent="0.3">
      <c r="A609" s="92"/>
      <c r="B609" s="93"/>
      <c r="C609" s="94"/>
      <c r="D609" s="94"/>
      <c r="E609" s="94"/>
      <c r="F609" s="60">
        <f>ПЛАТЕЖИ[[#This Row],[СЎМ]]+(ПЛАТЕЖИ[[#This Row],[ВАЛЮТА]]*ПЛАТЕЖИ[[#This Row],[КУРС]])</f>
        <v>0</v>
      </c>
      <c r="G609" s="93"/>
      <c r="H609" s="93"/>
      <c r="I609" s="165"/>
    </row>
    <row r="610" spans="1:9" ht="15" customHeight="1" x14ac:dyDescent="0.3">
      <c r="A610" s="92"/>
      <c r="B610" s="93"/>
      <c r="C610" s="94"/>
      <c r="D610" s="94"/>
      <c r="E610" s="94"/>
      <c r="F610" s="60">
        <f>ПЛАТЕЖИ[[#This Row],[СЎМ]]+(ПЛАТЕЖИ[[#This Row],[ВАЛЮТА]]*ПЛАТЕЖИ[[#This Row],[КУРС]])</f>
        <v>0</v>
      </c>
      <c r="G610" s="93"/>
      <c r="H610" s="93"/>
      <c r="I610" s="165"/>
    </row>
    <row r="611" spans="1:9" ht="15" customHeight="1" x14ac:dyDescent="0.3">
      <c r="A611" s="92"/>
      <c r="B611" s="93"/>
      <c r="C611" s="94"/>
      <c r="D611" s="94"/>
      <c r="E611" s="94"/>
      <c r="F611" s="60">
        <f>ПЛАТЕЖИ[[#This Row],[СЎМ]]+(ПЛАТЕЖИ[[#This Row],[ВАЛЮТА]]*ПЛАТЕЖИ[[#This Row],[КУРС]])</f>
        <v>0</v>
      </c>
      <c r="G611" s="93"/>
      <c r="H611" s="93"/>
      <c r="I611" s="165"/>
    </row>
    <row r="612" spans="1:9" ht="15" customHeight="1" x14ac:dyDescent="0.3">
      <c r="A612" s="92"/>
      <c r="B612" s="93"/>
      <c r="C612" s="94"/>
      <c r="D612" s="94"/>
      <c r="E612" s="94"/>
      <c r="F612" s="60">
        <f>ПЛАТЕЖИ[[#This Row],[СЎМ]]+(ПЛАТЕЖИ[[#This Row],[ВАЛЮТА]]*ПЛАТЕЖИ[[#This Row],[КУРС]])</f>
        <v>0</v>
      </c>
      <c r="G612" s="93"/>
      <c r="H612" s="93"/>
      <c r="I612" s="165"/>
    </row>
    <row r="613" spans="1:9" x14ac:dyDescent="0.3">
      <c r="A613" s="92"/>
      <c r="B613" s="93"/>
      <c r="C613" s="94"/>
      <c r="D613" s="94"/>
      <c r="E613" s="94"/>
      <c r="F613" s="60">
        <f>ПЛАТЕЖИ[[#This Row],[СЎМ]]+(ПЛАТЕЖИ[[#This Row],[ВАЛЮТА]]*ПЛАТЕЖИ[[#This Row],[КУРС]])</f>
        <v>0</v>
      </c>
      <c r="G613" s="93"/>
      <c r="H613" s="93"/>
      <c r="I613" s="165"/>
    </row>
    <row r="614" spans="1:9" ht="15" customHeight="1" x14ac:dyDescent="0.3">
      <c r="A614" s="92"/>
      <c r="B614" s="93"/>
      <c r="C614" s="94"/>
      <c r="D614" s="94"/>
      <c r="E614" s="94"/>
      <c r="F614" s="60">
        <f>ПЛАТЕЖИ[[#This Row],[СЎМ]]+(ПЛАТЕЖИ[[#This Row],[ВАЛЮТА]]*ПЛАТЕЖИ[[#This Row],[КУРС]])</f>
        <v>0</v>
      </c>
      <c r="G614" s="93"/>
      <c r="I614" s="165"/>
    </row>
    <row r="615" spans="1:9" ht="15" customHeight="1" x14ac:dyDescent="0.3">
      <c r="A615" s="92"/>
      <c r="B615" s="93"/>
      <c r="C615" s="94"/>
      <c r="D615" s="94"/>
      <c r="E615" s="94"/>
      <c r="F615" s="60">
        <f>ПЛАТЕЖИ[[#This Row],[СЎМ]]+(ПЛАТЕЖИ[[#This Row],[ВАЛЮТА]]*ПЛАТЕЖИ[[#This Row],[КУРС]])</f>
        <v>0</v>
      </c>
      <c r="G615" s="93"/>
      <c r="H615" s="93"/>
      <c r="I615" s="165"/>
    </row>
    <row r="616" spans="1:9" ht="15" customHeight="1" x14ac:dyDescent="0.3">
      <c r="A616" s="92"/>
      <c r="B616" s="93"/>
      <c r="C616" s="94"/>
      <c r="D616" s="94"/>
      <c r="E616" s="94"/>
      <c r="F616" s="60">
        <f>ПЛАТЕЖИ[[#This Row],[СЎМ]]+(ПЛАТЕЖИ[[#This Row],[ВАЛЮТА]]*ПЛАТЕЖИ[[#This Row],[КУРС]])</f>
        <v>0</v>
      </c>
      <c r="G616" s="93"/>
      <c r="H616" s="93"/>
      <c r="I616" s="165"/>
    </row>
    <row r="617" spans="1:9" ht="15" customHeight="1" x14ac:dyDescent="0.3">
      <c r="A617" s="92"/>
      <c r="B617" s="93"/>
      <c r="C617" s="94"/>
      <c r="D617" s="94"/>
      <c r="E617" s="94"/>
      <c r="F617" s="60">
        <f>ПЛАТЕЖИ[[#This Row],[СЎМ]]+(ПЛАТЕЖИ[[#This Row],[ВАЛЮТА]]*ПЛАТЕЖИ[[#This Row],[КУРС]])</f>
        <v>0</v>
      </c>
      <c r="G617" s="93"/>
      <c r="H617" s="93"/>
      <c r="I617" s="165"/>
    </row>
    <row r="618" spans="1:9" ht="15" customHeight="1" x14ac:dyDescent="0.3">
      <c r="A618" s="92"/>
      <c r="B618" s="93"/>
      <c r="C618" s="94"/>
      <c r="D618" s="94"/>
      <c r="E618" s="94"/>
      <c r="F618" s="60">
        <f>ПЛАТЕЖИ[[#This Row],[СЎМ]]+(ПЛАТЕЖИ[[#This Row],[ВАЛЮТА]]*ПЛАТЕЖИ[[#This Row],[КУРС]])</f>
        <v>0</v>
      </c>
      <c r="G618" s="93"/>
      <c r="H618" s="93"/>
      <c r="I618" s="165"/>
    </row>
    <row r="619" spans="1:9" ht="15" customHeight="1" x14ac:dyDescent="0.3">
      <c r="A619" s="92"/>
      <c r="B619" s="93"/>
      <c r="C619" s="94"/>
      <c r="D619" s="94"/>
      <c r="E619" s="94"/>
      <c r="F619" s="60">
        <f>ПЛАТЕЖИ[[#This Row],[СЎМ]]+(ПЛАТЕЖИ[[#This Row],[ВАЛЮТА]]*ПЛАТЕЖИ[[#This Row],[КУРС]])</f>
        <v>0</v>
      </c>
      <c r="G619" s="93"/>
      <c r="H619" s="93"/>
      <c r="I619" s="165"/>
    </row>
    <row r="620" spans="1:9" ht="15" customHeight="1" x14ac:dyDescent="0.3">
      <c r="A620" s="92"/>
      <c r="B620" s="93"/>
      <c r="C620" s="94"/>
      <c r="D620" s="94"/>
      <c r="E620" s="94"/>
      <c r="F620" s="60">
        <f>ПЛАТЕЖИ[[#This Row],[СЎМ]]+(ПЛАТЕЖИ[[#This Row],[ВАЛЮТА]]*ПЛАТЕЖИ[[#This Row],[КУРС]])</f>
        <v>0</v>
      </c>
      <c r="G620" s="93"/>
      <c r="H620" s="93"/>
      <c r="I620" s="165"/>
    </row>
    <row r="621" spans="1:9" ht="15" customHeight="1" x14ac:dyDescent="0.3">
      <c r="A621" s="92"/>
      <c r="B621" s="93"/>
      <c r="C621" s="94"/>
      <c r="D621" s="94"/>
      <c r="E621" s="94"/>
      <c r="F621" s="60">
        <f>ПЛАТЕЖИ[[#This Row],[СЎМ]]+(ПЛАТЕЖИ[[#This Row],[ВАЛЮТА]]*ПЛАТЕЖИ[[#This Row],[КУРС]])</f>
        <v>0</v>
      </c>
      <c r="G621" s="93"/>
      <c r="H621" s="93"/>
      <c r="I621" s="165"/>
    </row>
    <row r="622" spans="1:9" ht="15" customHeight="1" x14ac:dyDescent="0.3">
      <c r="A622" s="92"/>
      <c r="B622" s="93"/>
      <c r="C622" s="94"/>
      <c r="D622" s="94"/>
      <c r="E622" s="94"/>
      <c r="F622" s="60">
        <f>ПЛАТЕЖИ[[#This Row],[СЎМ]]+(ПЛАТЕЖИ[[#This Row],[ВАЛЮТА]]*ПЛАТЕЖИ[[#This Row],[КУРС]])</f>
        <v>0</v>
      </c>
      <c r="G622" s="93"/>
      <c r="H622" s="93"/>
      <c r="I622" s="165"/>
    </row>
    <row r="623" spans="1:9" ht="15" customHeight="1" x14ac:dyDescent="0.3">
      <c r="A623" s="92"/>
      <c r="B623" s="93"/>
      <c r="C623" s="94"/>
      <c r="D623" s="94"/>
      <c r="E623" s="94"/>
      <c r="F623" s="60">
        <f>ПЛАТЕЖИ[[#This Row],[СЎМ]]+(ПЛАТЕЖИ[[#This Row],[ВАЛЮТА]]*ПЛАТЕЖИ[[#This Row],[КУРС]])</f>
        <v>0</v>
      </c>
      <c r="G623" s="93"/>
      <c r="H623" s="93"/>
      <c r="I623" s="165"/>
    </row>
    <row r="624" spans="1:9" ht="15" customHeight="1" x14ac:dyDescent="0.3">
      <c r="A624" s="92"/>
      <c r="B624" s="93"/>
      <c r="C624" s="94"/>
      <c r="D624" s="94"/>
      <c r="E624" s="94"/>
      <c r="F624" s="60">
        <f>ПЛАТЕЖИ[[#This Row],[СЎМ]]+(ПЛАТЕЖИ[[#This Row],[ВАЛЮТА]]*ПЛАТЕЖИ[[#This Row],[КУРС]])</f>
        <v>0</v>
      </c>
      <c r="G624" s="93"/>
      <c r="H624" s="93"/>
      <c r="I624" s="165"/>
    </row>
    <row r="625" spans="1:9" ht="15" customHeight="1" x14ac:dyDescent="0.3">
      <c r="A625" s="92"/>
      <c r="B625" s="93"/>
      <c r="C625" s="94"/>
      <c r="D625" s="94"/>
      <c r="E625" s="94"/>
      <c r="F625" s="60">
        <f>ПЛАТЕЖИ[[#This Row],[СЎМ]]+(ПЛАТЕЖИ[[#This Row],[ВАЛЮТА]]*ПЛАТЕЖИ[[#This Row],[КУРС]])</f>
        <v>0</v>
      </c>
      <c r="G625" s="93"/>
      <c r="H625" s="93"/>
      <c r="I625" s="165"/>
    </row>
    <row r="626" spans="1:9" ht="15" customHeight="1" x14ac:dyDescent="0.3">
      <c r="A626" s="92"/>
      <c r="B626" s="93"/>
      <c r="C626" s="94"/>
      <c r="D626" s="94"/>
      <c r="E626" s="94"/>
      <c r="F626" s="60">
        <f>ПЛАТЕЖИ[[#This Row],[СЎМ]]+(ПЛАТЕЖИ[[#This Row],[ВАЛЮТА]]*ПЛАТЕЖИ[[#This Row],[КУРС]])</f>
        <v>0</v>
      </c>
      <c r="G626" s="93"/>
      <c r="H626" s="93"/>
      <c r="I626" s="165"/>
    </row>
    <row r="627" spans="1:9" ht="15" customHeight="1" x14ac:dyDescent="0.3">
      <c r="A627" s="92"/>
      <c r="B627" s="93"/>
      <c r="C627" s="94"/>
      <c r="D627" s="94"/>
      <c r="E627" s="94"/>
      <c r="F627" s="60">
        <f>ПЛАТЕЖИ[[#This Row],[СЎМ]]+(ПЛАТЕЖИ[[#This Row],[ВАЛЮТА]]*ПЛАТЕЖИ[[#This Row],[КУРС]])</f>
        <v>0</v>
      </c>
      <c r="G627" s="93"/>
      <c r="H627" s="93"/>
      <c r="I627" s="165"/>
    </row>
    <row r="628" spans="1:9" ht="15" customHeight="1" x14ac:dyDescent="0.3">
      <c r="A628" s="92"/>
      <c r="B628" s="93"/>
      <c r="C628" s="94"/>
      <c r="D628" s="94"/>
      <c r="E628" s="94"/>
      <c r="F628" s="60">
        <f>ПЛАТЕЖИ[[#This Row],[СЎМ]]+(ПЛАТЕЖИ[[#This Row],[ВАЛЮТА]]*ПЛАТЕЖИ[[#This Row],[КУРС]])</f>
        <v>0</v>
      </c>
      <c r="G628" s="93"/>
      <c r="H628" s="93"/>
      <c r="I628" s="165"/>
    </row>
    <row r="629" spans="1:9" ht="15" customHeight="1" x14ac:dyDescent="0.3">
      <c r="A629" s="92"/>
      <c r="B629" s="93"/>
      <c r="C629" s="94"/>
      <c r="D629" s="94"/>
      <c r="E629" s="94"/>
      <c r="F629" s="60">
        <f>ПЛАТЕЖИ[[#This Row],[СЎМ]]+(ПЛАТЕЖИ[[#This Row],[ВАЛЮТА]]*ПЛАТЕЖИ[[#This Row],[КУРС]])</f>
        <v>0</v>
      </c>
      <c r="G629" s="93"/>
      <c r="H629" s="93"/>
      <c r="I629" s="165"/>
    </row>
    <row r="630" spans="1:9" ht="15" customHeight="1" x14ac:dyDescent="0.3">
      <c r="A630" s="92"/>
      <c r="B630" s="93"/>
      <c r="C630" s="94"/>
      <c r="D630" s="94"/>
      <c r="E630" s="94"/>
      <c r="F630" s="60">
        <f>ПЛАТЕЖИ[[#This Row],[СЎМ]]+(ПЛАТЕЖИ[[#This Row],[ВАЛЮТА]]*ПЛАТЕЖИ[[#This Row],[КУРС]])</f>
        <v>0</v>
      </c>
      <c r="G630" s="93"/>
      <c r="H630" s="93"/>
      <c r="I630" s="165"/>
    </row>
    <row r="631" spans="1:9" ht="15" customHeight="1" x14ac:dyDescent="0.3">
      <c r="A631" s="92"/>
      <c r="B631" s="93"/>
      <c r="C631" s="94"/>
      <c r="D631" s="94"/>
      <c r="E631" s="94"/>
      <c r="F631" s="60">
        <f>ПЛАТЕЖИ[[#This Row],[СЎМ]]+(ПЛАТЕЖИ[[#This Row],[ВАЛЮТА]]*ПЛАТЕЖИ[[#This Row],[КУРС]])</f>
        <v>0</v>
      </c>
      <c r="G631" s="93"/>
      <c r="H631" s="93"/>
      <c r="I631" s="165"/>
    </row>
    <row r="632" spans="1:9" ht="15" customHeight="1" x14ac:dyDescent="0.3">
      <c r="A632" s="92"/>
      <c r="B632" s="93"/>
      <c r="C632" s="94"/>
      <c r="D632" s="94"/>
      <c r="E632" s="94"/>
      <c r="F632" s="60">
        <f>ПЛАТЕЖИ[[#This Row],[СЎМ]]+(ПЛАТЕЖИ[[#This Row],[ВАЛЮТА]]*ПЛАТЕЖИ[[#This Row],[КУРС]])</f>
        <v>0</v>
      </c>
      <c r="G632" s="93"/>
      <c r="I632" s="165"/>
    </row>
    <row r="633" spans="1:9" ht="15" customHeight="1" x14ac:dyDescent="0.3">
      <c r="A633" s="92"/>
      <c r="B633" s="93"/>
      <c r="C633" s="94"/>
      <c r="D633" s="94"/>
      <c r="E633" s="94"/>
      <c r="F633" s="60">
        <f>ПЛАТЕЖИ[[#This Row],[СЎМ]]+(ПЛАТЕЖИ[[#This Row],[ВАЛЮТА]]*ПЛАТЕЖИ[[#This Row],[КУРС]])</f>
        <v>0</v>
      </c>
      <c r="G633" s="93"/>
      <c r="I633" s="165"/>
    </row>
    <row r="634" spans="1:9" ht="15" customHeight="1" x14ac:dyDescent="0.3">
      <c r="A634" s="92"/>
      <c r="B634" s="93"/>
      <c r="C634" s="94"/>
      <c r="D634" s="94"/>
      <c r="E634" s="94"/>
      <c r="F634" s="60">
        <f>ПЛАТЕЖИ[[#This Row],[СЎМ]]+(ПЛАТЕЖИ[[#This Row],[ВАЛЮТА]]*ПЛАТЕЖИ[[#This Row],[КУРС]])</f>
        <v>0</v>
      </c>
      <c r="G634" s="93"/>
      <c r="H634" s="93"/>
      <c r="I634" s="165"/>
    </row>
    <row r="635" spans="1:9" ht="15" customHeight="1" x14ac:dyDescent="0.3">
      <c r="A635" s="92"/>
      <c r="B635" s="93"/>
      <c r="C635" s="94"/>
      <c r="D635" s="94"/>
      <c r="E635" s="94"/>
      <c r="F635" s="60">
        <f>ПЛАТЕЖИ[[#This Row],[СЎМ]]+(ПЛАТЕЖИ[[#This Row],[ВАЛЮТА]]*ПЛАТЕЖИ[[#This Row],[КУРС]])</f>
        <v>0</v>
      </c>
      <c r="G635" s="93"/>
      <c r="I635" s="165"/>
    </row>
    <row r="636" spans="1:9" ht="15" customHeight="1" x14ac:dyDescent="0.3">
      <c r="A636" s="92"/>
      <c r="B636" s="93"/>
      <c r="C636" s="94"/>
      <c r="D636" s="94"/>
      <c r="E636" s="94"/>
      <c r="F636" s="60">
        <f>ПЛАТЕЖИ[[#This Row],[СЎМ]]+(ПЛАТЕЖИ[[#This Row],[ВАЛЮТА]]*ПЛАТЕЖИ[[#This Row],[КУРС]])</f>
        <v>0</v>
      </c>
      <c r="G636" s="93"/>
      <c r="H636" s="93"/>
      <c r="I636" s="165"/>
    </row>
    <row r="637" spans="1:9" ht="15" customHeight="1" x14ac:dyDescent="0.3">
      <c r="A637" s="92"/>
      <c r="B637" s="93"/>
      <c r="C637" s="94"/>
      <c r="D637" s="94"/>
      <c r="E637" s="94"/>
      <c r="F637" s="60">
        <f>ПЛАТЕЖИ[[#This Row],[СЎМ]]+(ПЛАТЕЖИ[[#This Row],[ВАЛЮТА]]*ПЛАТЕЖИ[[#This Row],[КУРС]])</f>
        <v>0</v>
      </c>
      <c r="G637" s="93"/>
      <c r="H637" s="93"/>
      <c r="I637" s="165"/>
    </row>
    <row r="638" spans="1:9" ht="15" customHeight="1" x14ac:dyDescent="0.3">
      <c r="A638" s="92"/>
      <c r="B638" s="93"/>
      <c r="C638" s="94"/>
      <c r="D638" s="94"/>
      <c r="E638" s="94"/>
      <c r="F638" s="60">
        <f>ПЛАТЕЖИ[[#This Row],[СЎМ]]+(ПЛАТЕЖИ[[#This Row],[ВАЛЮТА]]*ПЛАТЕЖИ[[#This Row],[КУРС]])</f>
        <v>0</v>
      </c>
      <c r="G638" s="93"/>
      <c r="H638" s="93"/>
      <c r="I638" s="165"/>
    </row>
    <row r="639" spans="1:9" ht="15" customHeight="1" x14ac:dyDescent="0.3">
      <c r="A639" s="92"/>
      <c r="B639" s="93"/>
      <c r="C639" s="94"/>
      <c r="D639" s="94"/>
      <c r="E639" s="94"/>
      <c r="F639" s="60">
        <f>ПЛАТЕЖИ[[#This Row],[СЎМ]]+(ПЛАТЕЖИ[[#This Row],[ВАЛЮТА]]*ПЛАТЕЖИ[[#This Row],[КУРС]])</f>
        <v>0</v>
      </c>
      <c r="G639" s="93"/>
      <c r="H639" s="93"/>
      <c r="I639" s="165"/>
    </row>
    <row r="640" spans="1:9" ht="15" customHeight="1" x14ac:dyDescent="0.3">
      <c r="A640" s="92"/>
      <c r="B640" s="93"/>
      <c r="C640" s="94"/>
      <c r="D640" s="94"/>
      <c r="E640" s="94"/>
      <c r="F640" s="60">
        <f>ПЛАТЕЖИ[[#This Row],[СЎМ]]+(ПЛАТЕЖИ[[#This Row],[ВАЛЮТА]]*ПЛАТЕЖИ[[#This Row],[КУРС]])</f>
        <v>0</v>
      </c>
      <c r="G640" s="93"/>
      <c r="H640" s="93"/>
      <c r="I640" s="165"/>
    </row>
    <row r="641" spans="1:9" ht="15" customHeight="1" x14ac:dyDescent="0.3">
      <c r="A641" s="92"/>
      <c r="B641" s="93"/>
      <c r="C641" s="94"/>
      <c r="D641" s="94"/>
      <c r="E641" s="94"/>
      <c r="F641" s="60">
        <f>ПЛАТЕЖИ[[#This Row],[СЎМ]]+(ПЛАТЕЖИ[[#This Row],[ВАЛЮТА]]*ПЛАТЕЖИ[[#This Row],[КУРС]])</f>
        <v>0</v>
      </c>
      <c r="G641" s="93"/>
      <c r="I641" s="165"/>
    </row>
    <row r="642" spans="1:9" ht="15" customHeight="1" x14ac:dyDescent="0.3">
      <c r="A642" s="92"/>
      <c r="B642" s="93"/>
      <c r="C642" s="94"/>
      <c r="D642" s="94"/>
      <c r="E642" s="94"/>
      <c r="F642" s="60">
        <f>ПЛАТЕЖИ[[#This Row],[СЎМ]]+(ПЛАТЕЖИ[[#This Row],[ВАЛЮТА]]*ПЛАТЕЖИ[[#This Row],[КУРС]])</f>
        <v>0</v>
      </c>
      <c r="G642" s="93"/>
      <c r="I642" s="165"/>
    </row>
    <row r="643" spans="1:9" ht="15" customHeight="1" x14ac:dyDescent="0.3">
      <c r="A643" s="92"/>
      <c r="B643" s="93"/>
      <c r="C643" s="94"/>
      <c r="D643" s="94"/>
      <c r="E643" s="94"/>
      <c r="F643" s="60">
        <f>ПЛАТЕЖИ[[#This Row],[СЎМ]]+(ПЛАТЕЖИ[[#This Row],[ВАЛЮТА]]*ПЛАТЕЖИ[[#This Row],[КУРС]])</f>
        <v>0</v>
      </c>
      <c r="G643" s="93"/>
      <c r="I643" s="165"/>
    </row>
    <row r="644" spans="1:9" ht="15" customHeight="1" x14ac:dyDescent="0.3">
      <c r="A644" s="92"/>
      <c r="B644" s="93"/>
      <c r="C644" s="94"/>
      <c r="D644" s="94"/>
      <c r="E644" s="94"/>
      <c r="F644" s="60">
        <f>ПЛАТЕЖИ[[#This Row],[СЎМ]]+(ПЛАТЕЖИ[[#This Row],[ВАЛЮТА]]*ПЛАТЕЖИ[[#This Row],[КУРС]])</f>
        <v>0</v>
      </c>
      <c r="G644" s="93"/>
      <c r="H644" s="93"/>
      <c r="I644" s="165"/>
    </row>
    <row r="645" spans="1:9" ht="15" customHeight="1" x14ac:dyDescent="0.3">
      <c r="A645" s="92"/>
      <c r="B645" s="93"/>
      <c r="C645" s="94"/>
      <c r="D645" s="94"/>
      <c r="E645" s="94"/>
      <c r="F645" s="60">
        <f>ПЛАТЕЖИ[[#This Row],[СЎМ]]+(ПЛАТЕЖИ[[#This Row],[ВАЛЮТА]]*ПЛАТЕЖИ[[#This Row],[КУРС]])</f>
        <v>0</v>
      </c>
      <c r="G645" s="93"/>
      <c r="I645" s="165"/>
    </row>
    <row r="646" spans="1:9" ht="15" customHeight="1" x14ac:dyDescent="0.3">
      <c r="A646" s="92"/>
      <c r="B646" s="93"/>
      <c r="C646" s="94"/>
      <c r="D646" s="94"/>
      <c r="E646" s="94"/>
      <c r="F646" s="60">
        <f>ПЛАТЕЖИ[[#This Row],[СЎМ]]+(ПЛАТЕЖИ[[#This Row],[ВАЛЮТА]]*ПЛАТЕЖИ[[#This Row],[КУРС]])</f>
        <v>0</v>
      </c>
      <c r="G646" s="93"/>
      <c r="I646" s="165"/>
    </row>
    <row r="647" spans="1:9" ht="15" customHeight="1" x14ac:dyDescent="0.3">
      <c r="A647" s="92"/>
      <c r="B647" s="93"/>
      <c r="C647" s="94"/>
      <c r="D647" s="94"/>
      <c r="E647" s="94"/>
      <c r="F647" s="60">
        <f>ПЛАТЕЖИ[[#This Row],[СЎМ]]+(ПЛАТЕЖИ[[#This Row],[ВАЛЮТА]]*ПЛАТЕЖИ[[#This Row],[КУРС]])</f>
        <v>0</v>
      </c>
      <c r="G647" s="93"/>
      <c r="H647" s="93"/>
      <c r="I647" s="165"/>
    </row>
    <row r="648" spans="1:9" ht="15" customHeight="1" x14ac:dyDescent="0.3">
      <c r="A648" s="92"/>
      <c r="B648" s="93"/>
      <c r="C648" s="94"/>
      <c r="D648" s="94"/>
      <c r="E648" s="94"/>
      <c r="F648" s="60">
        <f>ПЛАТЕЖИ[[#This Row],[СЎМ]]+(ПЛАТЕЖИ[[#This Row],[ВАЛЮТА]]*ПЛАТЕЖИ[[#This Row],[КУРС]])</f>
        <v>0</v>
      </c>
      <c r="G648" s="93"/>
      <c r="H648" s="93"/>
      <c r="I648" s="165"/>
    </row>
    <row r="649" spans="1:9" ht="15" customHeight="1" x14ac:dyDescent="0.3">
      <c r="A649" s="92"/>
      <c r="B649" s="93"/>
      <c r="C649" s="94"/>
      <c r="D649" s="94"/>
      <c r="E649" s="94"/>
      <c r="F649" s="60">
        <f>ПЛАТЕЖИ[[#This Row],[СЎМ]]+(ПЛАТЕЖИ[[#This Row],[ВАЛЮТА]]*ПЛАТЕЖИ[[#This Row],[КУРС]])</f>
        <v>0</v>
      </c>
      <c r="G649" s="93"/>
      <c r="H649" s="93"/>
      <c r="I649" s="165"/>
    </row>
    <row r="650" spans="1:9" ht="15" customHeight="1" x14ac:dyDescent="0.3">
      <c r="A650" s="92"/>
      <c r="B650" s="93"/>
      <c r="C650" s="94"/>
      <c r="D650" s="94"/>
      <c r="E650" s="94"/>
      <c r="F650" s="60">
        <f>ПЛАТЕЖИ[[#This Row],[СЎМ]]+(ПЛАТЕЖИ[[#This Row],[ВАЛЮТА]]*ПЛАТЕЖИ[[#This Row],[КУРС]])</f>
        <v>0</v>
      </c>
      <c r="G650" s="93"/>
      <c r="H650" s="93"/>
      <c r="I650" s="165"/>
    </row>
    <row r="651" spans="1:9" ht="15" customHeight="1" x14ac:dyDescent="0.3">
      <c r="A651" s="92"/>
      <c r="B651" s="93"/>
      <c r="C651" s="94"/>
      <c r="D651" s="94"/>
      <c r="E651" s="94"/>
      <c r="F651" s="60">
        <f>ПЛАТЕЖИ[[#This Row],[СЎМ]]+(ПЛАТЕЖИ[[#This Row],[ВАЛЮТА]]*ПЛАТЕЖИ[[#This Row],[КУРС]])</f>
        <v>0</v>
      </c>
      <c r="G651" s="93"/>
      <c r="H651" s="93"/>
      <c r="I651" s="165"/>
    </row>
    <row r="652" spans="1:9" ht="15" customHeight="1" x14ac:dyDescent="0.3">
      <c r="A652" s="92"/>
      <c r="B652" s="93"/>
      <c r="C652" s="94"/>
      <c r="D652" s="94"/>
      <c r="E652" s="94"/>
      <c r="F652" s="60">
        <f>ПЛАТЕЖИ[[#This Row],[СЎМ]]+(ПЛАТЕЖИ[[#This Row],[ВАЛЮТА]]*ПЛАТЕЖИ[[#This Row],[КУРС]])</f>
        <v>0</v>
      </c>
      <c r="G652" s="93"/>
      <c r="H652" s="93"/>
      <c r="I652" s="165"/>
    </row>
    <row r="653" spans="1:9" ht="15" customHeight="1" x14ac:dyDescent="0.3">
      <c r="A653" s="92"/>
      <c r="B653" s="93"/>
      <c r="C653" s="94"/>
      <c r="D653" s="94"/>
      <c r="E653" s="94"/>
      <c r="F653" s="60">
        <f>ПЛАТЕЖИ[[#This Row],[СЎМ]]+(ПЛАТЕЖИ[[#This Row],[ВАЛЮТА]]*ПЛАТЕЖИ[[#This Row],[КУРС]])</f>
        <v>0</v>
      </c>
      <c r="G653" s="93"/>
      <c r="H653" s="93"/>
      <c r="I653" s="165"/>
    </row>
    <row r="654" spans="1:9" ht="15" customHeight="1" x14ac:dyDescent="0.3">
      <c r="A654" s="92"/>
      <c r="B654" s="93"/>
      <c r="C654" s="94"/>
      <c r="D654" s="94"/>
      <c r="E654" s="94"/>
      <c r="F654" s="60">
        <f>ПЛАТЕЖИ[[#This Row],[СЎМ]]+(ПЛАТЕЖИ[[#This Row],[ВАЛЮТА]]*ПЛАТЕЖИ[[#This Row],[КУРС]])</f>
        <v>0</v>
      </c>
      <c r="G654" s="93"/>
      <c r="H654" s="93"/>
      <c r="I654" s="165"/>
    </row>
    <row r="655" spans="1:9" ht="15" customHeight="1" x14ac:dyDescent="0.3">
      <c r="A655" s="92"/>
      <c r="B655" s="93"/>
      <c r="C655" s="94"/>
      <c r="D655" s="94"/>
      <c r="E655" s="94"/>
      <c r="F655" s="60">
        <f>ПЛАТЕЖИ[[#This Row],[СЎМ]]+(ПЛАТЕЖИ[[#This Row],[ВАЛЮТА]]*ПЛАТЕЖИ[[#This Row],[КУРС]])</f>
        <v>0</v>
      </c>
      <c r="G655" s="93"/>
      <c r="H655" s="93"/>
      <c r="I655" s="165"/>
    </row>
    <row r="656" spans="1:9" ht="15" customHeight="1" x14ac:dyDescent="0.3">
      <c r="A656" s="92"/>
      <c r="B656" s="93"/>
      <c r="C656" s="94"/>
      <c r="D656" s="94"/>
      <c r="E656" s="94"/>
      <c r="F656" s="60">
        <f>ПЛАТЕЖИ[[#This Row],[СЎМ]]+(ПЛАТЕЖИ[[#This Row],[ВАЛЮТА]]*ПЛАТЕЖИ[[#This Row],[КУРС]])</f>
        <v>0</v>
      </c>
      <c r="G656" s="93"/>
      <c r="H656" s="93"/>
      <c r="I656" s="165"/>
    </row>
    <row r="657" spans="1:9" ht="15" customHeight="1" x14ac:dyDescent="0.3">
      <c r="A657" s="92"/>
      <c r="B657" s="93"/>
      <c r="C657" s="94"/>
      <c r="D657" s="94"/>
      <c r="E657" s="94"/>
      <c r="F657" s="60">
        <f>ПЛАТЕЖИ[[#This Row],[СЎМ]]+(ПЛАТЕЖИ[[#This Row],[ВАЛЮТА]]*ПЛАТЕЖИ[[#This Row],[КУРС]])</f>
        <v>0</v>
      </c>
      <c r="G657" s="93"/>
      <c r="H657" s="93"/>
      <c r="I657" s="165"/>
    </row>
    <row r="658" spans="1:9" ht="15" customHeight="1" x14ac:dyDescent="0.3">
      <c r="A658" s="92"/>
      <c r="B658" s="93"/>
      <c r="C658" s="94"/>
      <c r="D658" s="94"/>
      <c r="E658" s="94"/>
      <c r="F658" s="60">
        <f>ПЛАТЕЖИ[[#This Row],[СЎМ]]+(ПЛАТЕЖИ[[#This Row],[ВАЛЮТА]]*ПЛАТЕЖИ[[#This Row],[КУРС]])</f>
        <v>0</v>
      </c>
      <c r="G658" s="93"/>
      <c r="H658" s="93"/>
      <c r="I658" s="165"/>
    </row>
    <row r="659" spans="1:9" ht="15" customHeight="1" x14ac:dyDescent="0.3">
      <c r="A659" s="92"/>
      <c r="B659" s="93"/>
      <c r="C659" s="94"/>
      <c r="D659" s="94"/>
      <c r="E659" s="94"/>
      <c r="F659" s="60">
        <f>ПЛАТЕЖИ[[#This Row],[СЎМ]]+(ПЛАТЕЖИ[[#This Row],[ВАЛЮТА]]*ПЛАТЕЖИ[[#This Row],[КУРС]])</f>
        <v>0</v>
      </c>
      <c r="G659" s="93"/>
      <c r="H659" s="93"/>
      <c r="I659" s="165"/>
    </row>
    <row r="660" spans="1:9" ht="15" customHeight="1" x14ac:dyDescent="0.3">
      <c r="A660" s="92"/>
      <c r="B660" s="93"/>
      <c r="C660" s="94"/>
      <c r="D660" s="94"/>
      <c r="E660" s="94"/>
      <c r="F660" s="60">
        <f>ПЛАТЕЖИ[[#This Row],[СЎМ]]+(ПЛАТЕЖИ[[#This Row],[ВАЛЮТА]]*ПЛАТЕЖИ[[#This Row],[КУРС]])</f>
        <v>0</v>
      </c>
      <c r="G660" s="93"/>
      <c r="H660" s="93"/>
      <c r="I660" s="165"/>
    </row>
    <row r="661" spans="1:9" ht="15" customHeight="1" x14ac:dyDescent="0.3">
      <c r="A661" s="92"/>
      <c r="B661" s="93"/>
      <c r="C661" s="94"/>
      <c r="D661" s="94"/>
      <c r="E661" s="94"/>
      <c r="F661" s="60">
        <f>ПЛАТЕЖИ[[#This Row],[СЎМ]]+(ПЛАТЕЖИ[[#This Row],[ВАЛЮТА]]*ПЛАТЕЖИ[[#This Row],[КУРС]])</f>
        <v>0</v>
      </c>
      <c r="G661" s="93"/>
      <c r="I661" s="165"/>
    </row>
    <row r="662" spans="1:9" ht="15" customHeight="1" x14ac:dyDescent="0.3">
      <c r="A662" s="92"/>
      <c r="B662" s="93"/>
      <c r="C662" s="94"/>
      <c r="D662" s="94"/>
      <c r="E662" s="94"/>
      <c r="F662" s="60">
        <f>ПЛАТЕЖИ[[#This Row],[СЎМ]]+(ПЛАТЕЖИ[[#This Row],[ВАЛЮТА]]*ПЛАТЕЖИ[[#This Row],[КУРС]])</f>
        <v>0</v>
      </c>
      <c r="G662" s="93"/>
      <c r="I662" s="165"/>
    </row>
    <row r="663" spans="1:9" ht="15" customHeight="1" x14ac:dyDescent="0.3">
      <c r="A663" s="92"/>
      <c r="B663" s="93"/>
      <c r="C663" s="94"/>
      <c r="D663" s="94"/>
      <c r="E663" s="94"/>
      <c r="F663" s="60">
        <f>ПЛАТЕЖИ[[#This Row],[СЎМ]]+(ПЛАТЕЖИ[[#This Row],[ВАЛЮТА]]*ПЛАТЕЖИ[[#This Row],[КУРС]])</f>
        <v>0</v>
      </c>
      <c r="G663" s="93"/>
      <c r="H663" s="93"/>
      <c r="I663" s="165"/>
    </row>
    <row r="664" spans="1:9" ht="15" customHeight="1" x14ac:dyDescent="0.3">
      <c r="A664" s="92"/>
      <c r="B664" s="93"/>
      <c r="C664" s="94"/>
      <c r="D664" s="94"/>
      <c r="E664" s="94"/>
      <c r="F664" s="60">
        <f>ПЛАТЕЖИ[[#This Row],[СЎМ]]+(ПЛАТЕЖИ[[#This Row],[ВАЛЮТА]]*ПЛАТЕЖИ[[#This Row],[КУРС]])</f>
        <v>0</v>
      </c>
      <c r="G664" s="93"/>
      <c r="H664" s="93"/>
      <c r="I664" s="165"/>
    </row>
    <row r="665" spans="1:9" ht="15" customHeight="1" x14ac:dyDescent="0.3">
      <c r="A665" s="92"/>
      <c r="B665" s="93"/>
      <c r="C665" s="94"/>
      <c r="D665" s="94"/>
      <c r="E665" s="94"/>
      <c r="F665" s="60">
        <f>ПЛАТЕЖИ[[#This Row],[СЎМ]]+(ПЛАТЕЖИ[[#This Row],[ВАЛЮТА]]*ПЛАТЕЖИ[[#This Row],[КУРС]])</f>
        <v>0</v>
      </c>
      <c r="G665" s="93"/>
      <c r="H665" s="93"/>
      <c r="I665" s="165"/>
    </row>
    <row r="666" spans="1:9" ht="15" customHeight="1" x14ac:dyDescent="0.3">
      <c r="A666" s="92"/>
      <c r="B666" s="93"/>
      <c r="C666" s="94"/>
      <c r="D666" s="94"/>
      <c r="E666" s="94"/>
      <c r="F666" s="60">
        <f>ПЛАТЕЖИ[[#This Row],[СЎМ]]+(ПЛАТЕЖИ[[#This Row],[ВАЛЮТА]]*ПЛАТЕЖИ[[#This Row],[КУРС]])</f>
        <v>0</v>
      </c>
      <c r="G666" s="93"/>
      <c r="H666" s="93"/>
      <c r="I666" s="165"/>
    </row>
    <row r="667" spans="1:9" ht="15" customHeight="1" x14ac:dyDescent="0.3">
      <c r="A667" s="92"/>
      <c r="B667" s="93"/>
      <c r="C667" s="94"/>
      <c r="D667" s="94"/>
      <c r="E667" s="94"/>
      <c r="F667" s="60">
        <f>ПЛАТЕЖИ[[#This Row],[СЎМ]]+(ПЛАТЕЖИ[[#This Row],[ВАЛЮТА]]*ПЛАТЕЖИ[[#This Row],[КУРС]])</f>
        <v>0</v>
      </c>
      <c r="G667" s="93"/>
      <c r="I667" s="165"/>
    </row>
    <row r="668" spans="1:9" ht="15" customHeight="1" x14ac:dyDescent="0.3">
      <c r="A668" s="92"/>
      <c r="B668" s="93"/>
      <c r="C668" s="94"/>
      <c r="D668" s="94"/>
      <c r="E668" s="94"/>
      <c r="F668" s="60">
        <f>ПЛАТЕЖИ[[#This Row],[СЎМ]]+(ПЛАТЕЖИ[[#This Row],[ВАЛЮТА]]*ПЛАТЕЖИ[[#This Row],[КУРС]])</f>
        <v>0</v>
      </c>
      <c r="G668" s="93"/>
      <c r="H668" s="93"/>
      <c r="I668" s="165"/>
    </row>
    <row r="669" spans="1:9" ht="15" customHeight="1" x14ac:dyDescent="0.3">
      <c r="A669" s="92"/>
      <c r="B669" s="93"/>
      <c r="C669" s="94"/>
      <c r="D669" s="94"/>
      <c r="E669" s="94"/>
      <c r="F669" s="60">
        <f>ПЛАТЕЖИ[[#This Row],[СЎМ]]+(ПЛАТЕЖИ[[#This Row],[ВАЛЮТА]]*ПЛАТЕЖИ[[#This Row],[КУРС]])</f>
        <v>0</v>
      </c>
      <c r="G669" s="93"/>
      <c r="H669" s="93"/>
      <c r="I669" s="165"/>
    </row>
    <row r="670" spans="1:9" ht="15" customHeight="1" x14ac:dyDescent="0.3">
      <c r="A670" s="92"/>
      <c r="B670" s="93"/>
      <c r="C670" s="94"/>
      <c r="D670" s="94"/>
      <c r="E670" s="94"/>
      <c r="F670" s="60">
        <f>ПЛАТЕЖИ[[#This Row],[СЎМ]]+(ПЛАТЕЖИ[[#This Row],[ВАЛЮТА]]*ПЛАТЕЖИ[[#This Row],[КУРС]])</f>
        <v>0</v>
      </c>
      <c r="G670" s="93"/>
      <c r="H670" s="93"/>
      <c r="I670" s="165"/>
    </row>
    <row r="671" spans="1:9" ht="15" customHeight="1" x14ac:dyDescent="0.3">
      <c r="A671" s="92"/>
      <c r="B671" s="93"/>
      <c r="C671" s="94"/>
      <c r="D671" s="94"/>
      <c r="E671" s="94"/>
      <c r="F671" s="60">
        <f>ПЛАТЕЖИ[[#This Row],[СЎМ]]+(ПЛАТЕЖИ[[#This Row],[ВАЛЮТА]]*ПЛАТЕЖИ[[#This Row],[КУРС]])</f>
        <v>0</v>
      </c>
      <c r="G671" s="93"/>
      <c r="H671" s="93"/>
      <c r="I671" s="165"/>
    </row>
    <row r="672" spans="1:9" ht="15" customHeight="1" x14ac:dyDescent="0.3">
      <c r="A672" s="92"/>
      <c r="B672" s="93"/>
      <c r="C672" s="94"/>
      <c r="D672" s="94"/>
      <c r="E672" s="94"/>
      <c r="F672" s="60">
        <f>ПЛАТЕЖИ[[#This Row],[СЎМ]]+(ПЛАТЕЖИ[[#This Row],[ВАЛЮТА]]*ПЛАТЕЖИ[[#This Row],[КУРС]])</f>
        <v>0</v>
      </c>
      <c r="G672" s="93"/>
      <c r="H672" s="93"/>
      <c r="I672" s="165"/>
    </row>
    <row r="673" spans="1:9" ht="15" customHeight="1" x14ac:dyDescent="0.3">
      <c r="A673" s="92"/>
      <c r="B673" s="93"/>
      <c r="C673" s="94"/>
      <c r="D673" s="94"/>
      <c r="E673" s="94"/>
      <c r="F673" s="60">
        <f>ПЛАТЕЖИ[[#This Row],[СЎМ]]+(ПЛАТЕЖИ[[#This Row],[ВАЛЮТА]]*ПЛАТЕЖИ[[#This Row],[КУРС]])</f>
        <v>0</v>
      </c>
      <c r="G673" s="93"/>
      <c r="H673" s="93"/>
      <c r="I673" s="165"/>
    </row>
    <row r="674" spans="1:9" ht="15" customHeight="1" x14ac:dyDescent="0.3">
      <c r="A674" s="92"/>
      <c r="B674" s="93"/>
      <c r="C674" s="94"/>
      <c r="D674" s="94"/>
      <c r="E674" s="94"/>
      <c r="F674" s="60">
        <f>ПЛАТЕЖИ[[#This Row],[СЎМ]]+(ПЛАТЕЖИ[[#This Row],[ВАЛЮТА]]*ПЛАТЕЖИ[[#This Row],[КУРС]])</f>
        <v>0</v>
      </c>
      <c r="G674" s="93"/>
      <c r="H674" s="93"/>
      <c r="I674" s="165"/>
    </row>
    <row r="675" spans="1:9" ht="15" customHeight="1" x14ac:dyDescent="0.3">
      <c r="A675" s="92"/>
      <c r="B675" s="93"/>
      <c r="C675" s="94"/>
      <c r="D675" s="94"/>
      <c r="E675" s="94"/>
      <c r="F675" s="60">
        <f>ПЛАТЕЖИ[[#This Row],[СЎМ]]+(ПЛАТЕЖИ[[#This Row],[ВАЛЮТА]]*ПЛАТЕЖИ[[#This Row],[КУРС]])</f>
        <v>0</v>
      </c>
      <c r="G675" s="93"/>
      <c r="I675" s="165"/>
    </row>
    <row r="676" spans="1:9" ht="15" customHeight="1" x14ac:dyDescent="0.3">
      <c r="A676" s="92"/>
      <c r="B676" s="93"/>
      <c r="C676" s="94"/>
      <c r="D676" s="94"/>
      <c r="E676" s="94"/>
      <c r="F676" s="60">
        <f>ПЛАТЕЖИ[[#This Row],[СЎМ]]+(ПЛАТЕЖИ[[#This Row],[ВАЛЮТА]]*ПЛАТЕЖИ[[#This Row],[КУРС]])</f>
        <v>0</v>
      </c>
      <c r="G676" s="93"/>
      <c r="I676" s="165"/>
    </row>
    <row r="677" spans="1:9" ht="15" customHeight="1" x14ac:dyDescent="0.3">
      <c r="A677" s="92"/>
      <c r="B677" s="93"/>
      <c r="C677" s="94"/>
      <c r="D677" s="94"/>
      <c r="E677" s="94"/>
      <c r="F677" s="60">
        <f>ПЛАТЕЖИ[[#This Row],[СЎМ]]+(ПЛАТЕЖИ[[#This Row],[ВАЛЮТА]]*ПЛАТЕЖИ[[#This Row],[КУРС]])</f>
        <v>0</v>
      </c>
      <c r="G677" s="93"/>
      <c r="H677" s="93"/>
      <c r="I677" s="165"/>
    </row>
    <row r="678" spans="1:9" ht="15" customHeight="1" x14ac:dyDescent="0.3">
      <c r="A678" s="92"/>
      <c r="B678" s="93"/>
      <c r="C678" s="94"/>
      <c r="D678" s="94"/>
      <c r="E678" s="94"/>
      <c r="F678" s="60">
        <f>ПЛАТЕЖИ[[#This Row],[СЎМ]]+(ПЛАТЕЖИ[[#This Row],[ВАЛЮТА]]*ПЛАТЕЖИ[[#This Row],[КУРС]])</f>
        <v>0</v>
      </c>
      <c r="G678" s="93"/>
      <c r="H678" s="93"/>
      <c r="I678" s="165"/>
    </row>
    <row r="679" spans="1:9" ht="15" customHeight="1" x14ac:dyDescent="0.3">
      <c r="A679" s="92"/>
      <c r="B679" s="93"/>
      <c r="C679" s="94"/>
      <c r="D679" s="94"/>
      <c r="E679" s="94"/>
      <c r="F679" s="60">
        <f>ПЛАТЕЖИ[[#This Row],[СЎМ]]+(ПЛАТЕЖИ[[#This Row],[ВАЛЮТА]]*ПЛАТЕЖИ[[#This Row],[КУРС]])</f>
        <v>0</v>
      </c>
      <c r="G679" s="93"/>
      <c r="H679" s="93"/>
      <c r="I679" s="165"/>
    </row>
    <row r="680" spans="1:9" ht="15" customHeight="1" x14ac:dyDescent="0.3">
      <c r="A680" s="92"/>
      <c r="B680" s="93"/>
      <c r="C680" s="94"/>
      <c r="D680" s="94"/>
      <c r="E680" s="94"/>
      <c r="F680" s="60">
        <f>ПЛАТЕЖИ[[#This Row],[СЎМ]]+(ПЛАТЕЖИ[[#This Row],[ВАЛЮТА]]*ПЛАТЕЖИ[[#This Row],[КУРС]])</f>
        <v>0</v>
      </c>
      <c r="G680" s="93"/>
      <c r="H680" s="93"/>
      <c r="I680" s="165"/>
    </row>
    <row r="681" spans="1:9" ht="15" customHeight="1" x14ac:dyDescent="0.3">
      <c r="A681" s="92"/>
      <c r="B681" s="93"/>
      <c r="C681" s="94"/>
      <c r="D681" s="94"/>
      <c r="E681" s="94"/>
      <c r="F681" s="60">
        <f>ПЛАТЕЖИ[[#This Row],[СЎМ]]+(ПЛАТЕЖИ[[#This Row],[ВАЛЮТА]]*ПЛАТЕЖИ[[#This Row],[КУРС]])</f>
        <v>0</v>
      </c>
      <c r="G681" s="93"/>
      <c r="H681" s="93"/>
      <c r="I681" s="165"/>
    </row>
    <row r="682" spans="1:9" ht="15" customHeight="1" x14ac:dyDescent="0.3">
      <c r="A682" s="92"/>
      <c r="B682" s="93"/>
      <c r="C682" s="94"/>
      <c r="D682" s="94"/>
      <c r="E682" s="94"/>
      <c r="F682" s="60">
        <f>ПЛАТЕЖИ[[#This Row],[СЎМ]]+(ПЛАТЕЖИ[[#This Row],[ВАЛЮТА]]*ПЛАТЕЖИ[[#This Row],[КУРС]])</f>
        <v>0</v>
      </c>
      <c r="G682" s="93"/>
      <c r="H682" s="93"/>
      <c r="I682" s="165"/>
    </row>
    <row r="683" spans="1:9" ht="15" customHeight="1" x14ac:dyDescent="0.3">
      <c r="A683" s="92"/>
      <c r="B683" s="93"/>
      <c r="C683" s="94"/>
      <c r="D683" s="94"/>
      <c r="E683" s="94"/>
      <c r="F683" s="60">
        <f>ПЛАТЕЖИ[[#This Row],[СЎМ]]+(ПЛАТЕЖИ[[#This Row],[ВАЛЮТА]]*ПЛАТЕЖИ[[#This Row],[КУРС]])</f>
        <v>0</v>
      </c>
      <c r="G683" s="93"/>
      <c r="H683" s="93"/>
      <c r="I683" s="165"/>
    </row>
    <row r="684" spans="1:9" ht="15" customHeight="1" x14ac:dyDescent="0.3">
      <c r="A684" s="92"/>
      <c r="B684" s="93"/>
      <c r="C684" s="94"/>
      <c r="D684" s="94"/>
      <c r="E684" s="94"/>
      <c r="F684" s="60">
        <f>ПЛАТЕЖИ[[#This Row],[СЎМ]]+(ПЛАТЕЖИ[[#This Row],[ВАЛЮТА]]*ПЛАТЕЖИ[[#This Row],[КУРС]])</f>
        <v>0</v>
      </c>
      <c r="G684" s="93"/>
      <c r="H684" s="93"/>
      <c r="I684" s="165"/>
    </row>
    <row r="685" spans="1:9" ht="15" customHeight="1" x14ac:dyDescent="0.3">
      <c r="A685" s="92"/>
      <c r="B685" s="93"/>
      <c r="C685" s="94"/>
      <c r="D685" s="94"/>
      <c r="E685" s="94"/>
      <c r="F685" s="60">
        <f>ПЛАТЕЖИ[[#This Row],[СЎМ]]+(ПЛАТЕЖИ[[#This Row],[ВАЛЮТА]]*ПЛАТЕЖИ[[#This Row],[КУРС]])</f>
        <v>0</v>
      </c>
      <c r="G685" s="93"/>
      <c r="I685" s="165"/>
    </row>
    <row r="686" spans="1:9" ht="15" customHeight="1" x14ac:dyDescent="0.3">
      <c r="A686" s="92"/>
      <c r="B686" s="93"/>
      <c r="C686" s="94"/>
      <c r="D686" s="94"/>
      <c r="E686" s="94"/>
      <c r="F686" s="60">
        <f>ПЛАТЕЖИ[[#This Row],[СЎМ]]+(ПЛАТЕЖИ[[#This Row],[ВАЛЮТА]]*ПЛАТЕЖИ[[#This Row],[КУРС]])</f>
        <v>0</v>
      </c>
      <c r="G686" s="93"/>
      <c r="I686" s="165"/>
    </row>
    <row r="687" spans="1:9" ht="15" customHeight="1" x14ac:dyDescent="0.3">
      <c r="A687" s="92"/>
      <c r="B687" s="93"/>
      <c r="C687" s="94"/>
      <c r="D687" s="94"/>
      <c r="E687" s="94"/>
      <c r="F687" s="60">
        <f>ПЛАТЕЖИ[[#This Row],[СЎМ]]+(ПЛАТЕЖИ[[#This Row],[ВАЛЮТА]]*ПЛАТЕЖИ[[#This Row],[КУРС]])</f>
        <v>0</v>
      </c>
      <c r="G687" s="93"/>
      <c r="H687" s="93"/>
      <c r="I687" s="165"/>
    </row>
    <row r="688" spans="1:9" ht="15" customHeight="1" x14ac:dyDescent="0.3">
      <c r="A688" s="92"/>
      <c r="B688" s="93"/>
      <c r="C688" s="94"/>
      <c r="D688" s="94"/>
      <c r="E688" s="94"/>
      <c r="F688" s="60">
        <f>ПЛАТЕЖИ[[#This Row],[СЎМ]]+(ПЛАТЕЖИ[[#This Row],[ВАЛЮТА]]*ПЛАТЕЖИ[[#This Row],[КУРС]])</f>
        <v>0</v>
      </c>
      <c r="G688" s="93"/>
      <c r="I688" s="165"/>
    </row>
    <row r="689" spans="1:9" ht="15" customHeight="1" x14ac:dyDescent="0.3">
      <c r="A689" s="92"/>
      <c r="B689" s="93"/>
      <c r="C689" s="94"/>
      <c r="D689" s="94"/>
      <c r="E689" s="94"/>
      <c r="F689" s="60">
        <f>ПЛАТЕЖИ[[#This Row],[СЎМ]]+(ПЛАТЕЖИ[[#This Row],[ВАЛЮТА]]*ПЛАТЕЖИ[[#This Row],[КУРС]])</f>
        <v>0</v>
      </c>
      <c r="G689" s="93"/>
      <c r="I689" s="165"/>
    </row>
    <row r="690" spans="1:9" ht="15" customHeight="1" x14ac:dyDescent="0.3">
      <c r="A690" s="92"/>
      <c r="B690" s="93"/>
      <c r="C690" s="94"/>
      <c r="D690" s="94"/>
      <c r="E690" s="94"/>
      <c r="F690" s="60">
        <f>ПЛАТЕЖИ[[#This Row],[СЎМ]]+(ПЛАТЕЖИ[[#This Row],[ВАЛЮТА]]*ПЛАТЕЖИ[[#This Row],[КУРС]])</f>
        <v>0</v>
      </c>
      <c r="G690" s="93"/>
      <c r="I690" s="165"/>
    </row>
    <row r="691" spans="1:9" ht="15" customHeight="1" x14ac:dyDescent="0.3">
      <c r="A691" s="92"/>
      <c r="B691" s="93"/>
      <c r="C691" s="94"/>
      <c r="D691" s="94"/>
      <c r="E691" s="94"/>
      <c r="F691" s="60">
        <f>ПЛАТЕЖИ[[#This Row],[СЎМ]]+(ПЛАТЕЖИ[[#This Row],[ВАЛЮТА]]*ПЛАТЕЖИ[[#This Row],[КУРС]])</f>
        <v>0</v>
      </c>
      <c r="G691" s="93"/>
      <c r="I691" s="165"/>
    </row>
    <row r="692" spans="1:9" ht="15" customHeight="1" x14ac:dyDescent="0.3">
      <c r="A692" s="92"/>
      <c r="B692" s="93"/>
      <c r="C692" s="94"/>
      <c r="D692" s="94"/>
      <c r="E692" s="94"/>
      <c r="F692" s="60">
        <f>ПЛАТЕЖИ[[#This Row],[СЎМ]]+(ПЛАТЕЖИ[[#This Row],[ВАЛЮТА]]*ПЛАТЕЖИ[[#This Row],[КУРС]])</f>
        <v>0</v>
      </c>
      <c r="G692" s="93"/>
      <c r="H692" s="93"/>
      <c r="I692" s="165"/>
    </row>
    <row r="693" spans="1:9" ht="15" customHeight="1" x14ac:dyDescent="0.3">
      <c r="A693" s="92"/>
      <c r="B693" s="93"/>
      <c r="C693" s="94"/>
      <c r="D693" s="94"/>
      <c r="E693" s="94"/>
      <c r="F693" s="60">
        <f>ПЛАТЕЖИ[[#This Row],[СЎМ]]+(ПЛАТЕЖИ[[#This Row],[ВАЛЮТА]]*ПЛАТЕЖИ[[#This Row],[КУРС]])</f>
        <v>0</v>
      </c>
      <c r="G693" s="93"/>
      <c r="H693" s="93"/>
      <c r="I693" s="165"/>
    </row>
    <row r="694" spans="1:9" ht="15" customHeight="1" x14ac:dyDescent="0.3">
      <c r="A694" s="92"/>
      <c r="B694" s="93"/>
      <c r="C694" s="94"/>
      <c r="D694" s="94"/>
      <c r="E694" s="94"/>
      <c r="F694" s="60">
        <f>ПЛАТЕЖИ[[#This Row],[СЎМ]]+(ПЛАТЕЖИ[[#This Row],[ВАЛЮТА]]*ПЛАТЕЖИ[[#This Row],[КУРС]])</f>
        <v>0</v>
      </c>
      <c r="G694" s="93"/>
      <c r="H694" s="93"/>
      <c r="I694" s="165"/>
    </row>
    <row r="695" spans="1:9" ht="15" customHeight="1" x14ac:dyDescent="0.3">
      <c r="A695" s="92"/>
      <c r="B695" s="93"/>
      <c r="C695" s="94"/>
      <c r="D695" s="94"/>
      <c r="E695" s="94"/>
      <c r="F695" s="60">
        <f>ПЛАТЕЖИ[[#This Row],[СЎМ]]+(ПЛАТЕЖИ[[#This Row],[ВАЛЮТА]]*ПЛАТЕЖИ[[#This Row],[КУРС]])</f>
        <v>0</v>
      </c>
      <c r="G695" s="93"/>
      <c r="H695" s="93"/>
      <c r="I695" s="165"/>
    </row>
    <row r="696" spans="1:9" ht="15" customHeight="1" x14ac:dyDescent="0.3">
      <c r="A696" s="92"/>
      <c r="B696" s="93"/>
      <c r="C696" s="94"/>
      <c r="D696" s="94"/>
      <c r="E696" s="94"/>
      <c r="F696" s="60">
        <f>ПЛАТЕЖИ[[#This Row],[СЎМ]]+(ПЛАТЕЖИ[[#This Row],[ВАЛЮТА]]*ПЛАТЕЖИ[[#This Row],[КУРС]])</f>
        <v>0</v>
      </c>
      <c r="G696" s="93"/>
      <c r="H696" s="93"/>
      <c r="I696" s="165"/>
    </row>
    <row r="697" spans="1:9" ht="15" customHeight="1" x14ac:dyDescent="0.3">
      <c r="A697" s="92"/>
      <c r="B697" s="93"/>
      <c r="C697" s="94"/>
      <c r="D697" s="94"/>
      <c r="E697" s="94"/>
      <c r="F697" s="60">
        <f>ПЛАТЕЖИ[[#This Row],[СЎМ]]+(ПЛАТЕЖИ[[#This Row],[ВАЛЮТА]]*ПЛАТЕЖИ[[#This Row],[КУРС]])</f>
        <v>0</v>
      </c>
      <c r="G697" s="93"/>
      <c r="H697" s="93"/>
      <c r="I697" s="165"/>
    </row>
    <row r="698" spans="1:9" ht="15" customHeight="1" x14ac:dyDescent="0.3">
      <c r="A698" s="92"/>
      <c r="B698" s="93"/>
      <c r="C698" s="94"/>
      <c r="D698" s="94"/>
      <c r="E698" s="94"/>
      <c r="F698" s="60">
        <f>ПЛАТЕЖИ[[#This Row],[СЎМ]]+(ПЛАТЕЖИ[[#This Row],[ВАЛЮТА]]*ПЛАТЕЖИ[[#This Row],[КУРС]])</f>
        <v>0</v>
      </c>
      <c r="G698" s="93"/>
      <c r="H698" s="93"/>
      <c r="I698" s="165"/>
    </row>
    <row r="699" spans="1:9" ht="15" customHeight="1" x14ac:dyDescent="0.3">
      <c r="A699" s="92"/>
      <c r="B699" s="93"/>
      <c r="C699" s="94"/>
      <c r="D699" s="94"/>
      <c r="E699" s="94"/>
      <c r="F699" s="60">
        <f>ПЛАТЕЖИ[[#This Row],[СЎМ]]+(ПЛАТЕЖИ[[#This Row],[ВАЛЮТА]]*ПЛАТЕЖИ[[#This Row],[КУРС]])</f>
        <v>0</v>
      </c>
      <c r="G699" s="93"/>
      <c r="H699" s="93"/>
      <c r="I699" s="165"/>
    </row>
    <row r="700" spans="1:9" ht="15" customHeight="1" x14ac:dyDescent="0.3">
      <c r="A700" s="92"/>
      <c r="B700" s="93"/>
      <c r="C700" s="94"/>
      <c r="D700" s="94"/>
      <c r="E700" s="94"/>
      <c r="F700" s="60">
        <f>ПЛАТЕЖИ[[#This Row],[СЎМ]]+(ПЛАТЕЖИ[[#This Row],[ВАЛЮТА]]*ПЛАТЕЖИ[[#This Row],[КУРС]])</f>
        <v>0</v>
      </c>
      <c r="G700" s="93"/>
      <c r="H700" s="93"/>
      <c r="I700" s="165"/>
    </row>
    <row r="701" spans="1:9" ht="15" customHeight="1" x14ac:dyDescent="0.3">
      <c r="A701" s="92"/>
      <c r="B701" s="93"/>
      <c r="C701" s="94"/>
      <c r="D701" s="94"/>
      <c r="E701" s="94"/>
      <c r="F701" s="60">
        <f>ПЛАТЕЖИ[[#This Row],[СЎМ]]+(ПЛАТЕЖИ[[#This Row],[ВАЛЮТА]]*ПЛАТЕЖИ[[#This Row],[КУРС]])</f>
        <v>0</v>
      </c>
      <c r="G701" s="93"/>
      <c r="H701" s="93"/>
      <c r="I701" s="165"/>
    </row>
    <row r="702" spans="1:9" ht="15" customHeight="1" x14ac:dyDescent="0.3">
      <c r="A702" s="92"/>
      <c r="B702" s="93"/>
      <c r="C702" s="94"/>
      <c r="D702" s="94"/>
      <c r="E702" s="94"/>
      <c r="F702" s="60">
        <f>ПЛАТЕЖИ[[#This Row],[СЎМ]]+(ПЛАТЕЖИ[[#This Row],[ВАЛЮТА]]*ПЛАТЕЖИ[[#This Row],[КУРС]])</f>
        <v>0</v>
      </c>
      <c r="G702" s="93"/>
      <c r="H702" s="93"/>
      <c r="I702" s="165"/>
    </row>
    <row r="703" spans="1:9" ht="15" customHeight="1" x14ac:dyDescent="0.3">
      <c r="A703" s="92"/>
      <c r="B703" s="93"/>
      <c r="C703" s="94"/>
      <c r="D703" s="94"/>
      <c r="E703" s="94"/>
      <c r="F703" s="60">
        <f>ПЛАТЕЖИ[[#This Row],[СЎМ]]+(ПЛАТЕЖИ[[#This Row],[ВАЛЮТА]]*ПЛАТЕЖИ[[#This Row],[КУРС]])</f>
        <v>0</v>
      </c>
      <c r="G703" s="93"/>
      <c r="H703" s="93"/>
      <c r="I703" s="165"/>
    </row>
    <row r="704" spans="1:9" ht="15" customHeight="1" x14ac:dyDescent="0.3">
      <c r="A704" s="92"/>
      <c r="B704" s="93"/>
      <c r="C704" s="94"/>
      <c r="D704" s="94"/>
      <c r="E704" s="94"/>
      <c r="F704" s="60">
        <f>ПЛАТЕЖИ[[#This Row],[СЎМ]]+(ПЛАТЕЖИ[[#This Row],[ВАЛЮТА]]*ПЛАТЕЖИ[[#This Row],[КУРС]])</f>
        <v>0</v>
      </c>
      <c r="G704" s="93"/>
      <c r="H704" s="93"/>
      <c r="I704" s="165"/>
    </row>
    <row r="705" spans="1:9" ht="15" customHeight="1" x14ac:dyDescent="0.3">
      <c r="A705" s="92"/>
      <c r="B705" s="93"/>
      <c r="C705" s="94"/>
      <c r="D705" s="94"/>
      <c r="E705" s="94"/>
      <c r="F705" s="60">
        <f>ПЛАТЕЖИ[[#This Row],[СЎМ]]+(ПЛАТЕЖИ[[#This Row],[ВАЛЮТА]]*ПЛАТЕЖИ[[#This Row],[КУРС]])</f>
        <v>0</v>
      </c>
      <c r="G705" s="93"/>
      <c r="H705" s="93"/>
      <c r="I705" s="165"/>
    </row>
    <row r="706" spans="1:9" ht="15" customHeight="1" x14ac:dyDescent="0.3">
      <c r="A706" s="92"/>
      <c r="B706" s="93"/>
      <c r="C706" s="94"/>
      <c r="D706" s="94"/>
      <c r="E706" s="94"/>
      <c r="F706" s="60">
        <f>ПЛАТЕЖИ[[#This Row],[СЎМ]]+(ПЛАТЕЖИ[[#This Row],[ВАЛЮТА]]*ПЛАТЕЖИ[[#This Row],[КУРС]])</f>
        <v>0</v>
      </c>
      <c r="G706" s="93"/>
      <c r="H706" s="93"/>
      <c r="I706" s="165"/>
    </row>
    <row r="707" spans="1:9" ht="15" customHeight="1" x14ac:dyDescent="0.3">
      <c r="A707" s="92"/>
      <c r="B707" s="93"/>
      <c r="C707" s="94"/>
      <c r="D707" s="94"/>
      <c r="E707" s="94"/>
      <c r="F707" s="60">
        <f>ПЛАТЕЖИ[[#This Row],[СЎМ]]+(ПЛАТЕЖИ[[#This Row],[ВАЛЮТА]]*ПЛАТЕЖИ[[#This Row],[КУРС]])</f>
        <v>0</v>
      </c>
      <c r="G707" s="93"/>
      <c r="H707" s="93"/>
      <c r="I707" s="165"/>
    </row>
    <row r="708" spans="1:9" ht="15" customHeight="1" x14ac:dyDescent="0.3">
      <c r="A708" s="92"/>
      <c r="B708" s="93"/>
      <c r="C708" s="94"/>
      <c r="D708" s="94"/>
      <c r="E708" s="94"/>
      <c r="F708" s="60">
        <f>ПЛАТЕЖИ[[#This Row],[СЎМ]]+(ПЛАТЕЖИ[[#This Row],[ВАЛЮТА]]*ПЛАТЕЖИ[[#This Row],[КУРС]])</f>
        <v>0</v>
      </c>
      <c r="G708" s="93"/>
      <c r="H708" s="93"/>
      <c r="I708" s="165"/>
    </row>
    <row r="709" spans="1:9" ht="15" customHeight="1" x14ac:dyDescent="0.3">
      <c r="A709" s="92"/>
      <c r="B709" s="93"/>
      <c r="C709" s="94"/>
      <c r="D709" s="94"/>
      <c r="E709" s="94"/>
      <c r="F709" s="60">
        <f>ПЛАТЕЖИ[[#This Row],[СЎМ]]+(ПЛАТЕЖИ[[#This Row],[ВАЛЮТА]]*ПЛАТЕЖИ[[#This Row],[КУРС]])</f>
        <v>0</v>
      </c>
      <c r="G709" s="93"/>
      <c r="H709" s="93"/>
      <c r="I709" s="165"/>
    </row>
    <row r="710" spans="1:9" ht="15" customHeight="1" x14ac:dyDescent="0.3">
      <c r="A710" s="92"/>
      <c r="B710" s="93"/>
      <c r="C710" s="94"/>
      <c r="D710" s="94"/>
      <c r="E710" s="94"/>
      <c r="F710" s="60">
        <f>ПЛАТЕЖИ[[#This Row],[СЎМ]]+(ПЛАТЕЖИ[[#This Row],[ВАЛЮТА]]*ПЛАТЕЖИ[[#This Row],[КУРС]])</f>
        <v>0</v>
      </c>
      <c r="G710" s="93"/>
      <c r="H710" s="93"/>
      <c r="I710" s="165"/>
    </row>
    <row r="711" spans="1:9" ht="15" customHeight="1" x14ac:dyDescent="0.3">
      <c r="A711" s="92"/>
      <c r="B711" s="93"/>
      <c r="C711" s="94"/>
      <c r="D711" s="94"/>
      <c r="E711" s="94"/>
      <c r="F711" s="60">
        <f>ПЛАТЕЖИ[[#This Row],[СЎМ]]+(ПЛАТЕЖИ[[#This Row],[ВАЛЮТА]]*ПЛАТЕЖИ[[#This Row],[КУРС]])</f>
        <v>0</v>
      </c>
      <c r="G711" s="93"/>
      <c r="I711" s="165"/>
    </row>
    <row r="712" spans="1:9" ht="15" customHeight="1" x14ac:dyDescent="0.3">
      <c r="A712" s="92"/>
      <c r="B712" s="93"/>
      <c r="C712" s="94"/>
      <c r="D712" s="94"/>
      <c r="E712" s="94"/>
      <c r="F712" s="60">
        <f>ПЛАТЕЖИ[[#This Row],[СЎМ]]+(ПЛАТЕЖИ[[#This Row],[ВАЛЮТА]]*ПЛАТЕЖИ[[#This Row],[КУРС]])</f>
        <v>0</v>
      </c>
      <c r="G712" s="93"/>
      <c r="H712" s="93"/>
      <c r="I712" s="165"/>
    </row>
    <row r="713" spans="1:9" ht="15" customHeight="1" x14ac:dyDescent="0.3">
      <c r="A713" s="92"/>
      <c r="B713" s="93"/>
      <c r="C713" s="94"/>
      <c r="D713" s="94"/>
      <c r="E713" s="94"/>
      <c r="F713" s="60">
        <f>ПЛАТЕЖИ[[#This Row],[СЎМ]]+(ПЛАТЕЖИ[[#This Row],[ВАЛЮТА]]*ПЛАТЕЖИ[[#This Row],[КУРС]])</f>
        <v>0</v>
      </c>
      <c r="G713" s="93"/>
      <c r="H713" s="93"/>
      <c r="I713" s="165"/>
    </row>
    <row r="714" spans="1:9" ht="15" customHeight="1" x14ac:dyDescent="0.3">
      <c r="A714" s="92"/>
      <c r="B714" s="93"/>
      <c r="C714" s="94"/>
      <c r="D714" s="94"/>
      <c r="E714" s="94"/>
      <c r="F714" s="60">
        <f>ПЛАТЕЖИ[[#This Row],[СЎМ]]+(ПЛАТЕЖИ[[#This Row],[ВАЛЮТА]]*ПЛАТЕЖИ[[#This Row],[КУРС]])</f>
        <v>0</v>
      </c>
      <c r="G714" s="93"/>
      <c r="H714" s="93"/>
      <c r="I714" s="165"/>
    </row>
    <row r="715" spans="1:9" ht="15" customHeight="1" x14ac:dyDescent="0.3">
      <c r="A715" s="92"/>
      <c r="B715" s="93"/>
      <c r="C715" s="94"/>
      <c r="D715" s="94"/>
      <c r="E715" s="94"/>
      <c r="F715" s="60">
        <f>ПЛАТЕЖИ[[#This Row],[СЎМ]]+(ПЛАТЕЖИ[[#This Row],[ВАЛЮТА]]*ПЛАТЕЖИ[[#This Row],[КУРС]])</f>
        <v>0</v>
      </c>
      <c r="G715" s="93"/>
      <c r="H715" s="93"/>
      <c r="I715" s="165"/>
    </row>
    <row r="716" spans="1:9" ht="15" customHeight="1" x14ac:dyDescent="0.3">
      <c r="A716" s="92"/>
      <c r="B716" s="93"/>
      <c r="C716" s="94"/>
      <c r="D716" s="94"/>
      <c r="E716" s="94"/>
      <c r="F716" s="60">
        <f>ПЛАТЕЖИ[[#This Row],[СЎМ]]+(ПЛАТЕЖИ[[#This Row],[ВАЛЮТА]]*ПЛАТЕЖИ[[#This Row],[КУРС]])</f>
        <v>0</v>
      </c>
      <c r="G716" s="93"/>
      <c r="H716" s="93"/>
      <c r="I716" s="165"/>
    </row>
    <row r="717" spans="1:9" ht="15" customHeight="1" x14ac:dyDescent="0.3">
      <c r="A717" s="92"/>
      <c r="B717" s="93"/>
      <c r="C717" s="94"/>
      <c r="D717" s="94"/>
      <c r="E717" s="94"/>
      <c r="F717" s="60">
        <f>ПЛАТЕЖИ[[#This Row],[СЎМ]]+(ПЛАТЕЖИ[[#This Row],[ВАЛЮТА]]*ПЛАТЕЖИ[[#This Row],[КУРС]])</f>
        <v>0</v>
      </c>
      <c r="G717" s="93"/>
      <c r="H717" s="93"/>
      <c r="I717" s="165"/>
    </row>
    <row r="718" spans="1:9" ht="15" customHeight="1" x14ac:dyDescent="0.3">
      <c r="A718" s="92"/>
      <c r="B718" s="93"/>
      <c r="C718" s="94"/>
      <c r="D718" s="94"/>
      <c r="E718" s="94"/>
      <c r="F718" s="60">
        <f>ПЛАТЕЖИ[[#This Row],[СЎМ]]+(ПЛАТЕЖИ[[#This Row],[ВАЛЮТА]]*ПЛАТЕЖИ[[#This Row],[КУРС]])</f>
        <v>0</v>
      </c>
      <c r="G718" s="93"/>
      <c r="H718" s="93"/>
      <c r="I718" s="165"/>
    </row>
    <row r="719" spans="1:9" ht="15" customHeight="1" x14ac:dyDescent="0.3">
      <c r="A719" s="92"/>
      <c r="B719" s="93"/>
      <c r="C719" s="94"/>
      <c r="D719" s="94"/>
      <c r="E719" s="94"/>
      <c r="F719" s="60">
        <f>ПЛАТЕЖИ[[#This Row],[СЎМ]]+(ПЛАТЕЖИ[[#This Row],[ВАЛЮТА]]*ПЛАТЕЖИ[[#This Row],[КУРС]])</f>
        <v>0</v>
      </c>
      <c r="G719" s="93"/>
      <c r="H719" s="93"/>
      <c r="I719" s="165"/>
    </row>
    <row r="720" spans="1:9" ht="15" customHeight="1" x14ac:dyDescent="0.3">
      <c r="A720" s="92"/>
      <c r="B720" s="93"/>
      <c r="C720" s="94"/>
      <c r="D720" s="94"/>
      <c r="E720" s="94"/>
      <c r="F720" s="60">
        <f>ПЛАТЕЖИ[[#This Row],[СЎМ]]+(ПЛАТЕЖИ[[#This Row],[ВАЛЮТА]]*ПЛАТЕЖИ[[#This Row],[КУРС]])</f>
        <v>0</v>
      </c>
      <c r="G720" s="93"/>
      <c r="H720" s="93"/>
      <c r="I720" s="165"/>
    </row>
    <row r="721" spans="1:9" ht="15" customHeight="1" x14ac:dyDescent="0.3">
      <c r="A721" s="92"/>
      <c r="B721" s="93"/>
      <c r="C721" s="94"/>
      <c r="D721" s="94"/>
      <c r="E721" s="94"/>
      <c r="F721" s="60">
        <f>ПЛАТЕЖИ[[#This Row],[СЎМ]]+(ПЛАТЕЖИ[[#This Row],[ВАЛЮТА]]*ПЛАТЕЖИ[[#This Row],[КУРС]])</f>
        <v>0</v>
      </c>
      <c r="G721" s="93"/>
      <c r="H721" s="93"/>
      <c r="I721" s="165"/>
    </row>
    <row r="722" spans="1:9" ht="15" customHeight="1" x14ac:dyDescent="0.3">
      <c r="A722" s="92"/>
      <c r="B722" s="93"/>
      <c r="C722" s="94"/>
      <c r="D722" s="94"/>
      <c r="E722" s="94"/>
      <c r="F722" s="60">
        <f>ПЛАТЕЖИ[[#This Row],[СЎМ]]+(ПЛАТЕЖИ[[#This Row],[ВАЛЮТА]]*ПЛАТЕЖИ[[#This Row],[КУРС]])</f>
        <v>0</v>
      </c>
      <c r="G722" s="93"/>
      <c r="H722" s="93"/>
      <c r="I722" s="165"/>
    </row>
    <row r="723" spans="1:9" ht="15" customHeight="1" x14ac:dyDescent="0.3">
      <c r="A723" s="92"/>
      <c r="B723" s="93"/>
      <c r="C723" s="94"/>
      <c r="D723" s="94"/>
      <c r="E723" s="94"/>
      <c r="F723" s="60">
        <f>ПЛАТЕЖИ[[#This Row],[СЎМ]]+(ПЛАТЕЖИ[[#This Row],[ВАЛЮТА]]*ПЛАТЕЖИ[[#This Row],[КУРС]])</f>
        <v>0</v>
      </c>
      <c r="G723" s="93"/>
      <c r="H723" s="93"/>
      <c r="I723" s="165"/>
    </row>
    <row r="724" spans="1:9" ht="15" customHeight="1" x14ac:dyDescent="0.3">
      <c r="A724" s="92"/>
      <c r="B724" s="93"/>
      <c r="C724" s="94"/>
      <c r="D724" s="94"/>
      <c r="E724" s="94"/>
      <c r="F724" s="60">
        <f>ПЛАТЕЖИ[[#This Row],[СЎМ]]+(ПЛАТЕЖИ[[#This Row],[ВАЛЮТА]]*ПЛАТЕЖИ[[#This Row],[КУРС]])</f>
        <v>0</v>
      </c>
      <c r="G724" s="93"/>
      <c r="H724" s="93"/>
      <c r="I724" s="165"/>
    </row>
    <row r="725" spans="1:9" ht="15" customHeight="1" x14ac:dyDescent="0.3">
      <c r="A725" s="92"/>
      <c r="B725" s="93"/>
      <c r="C725" s="94"/>
      <c r="D725" s="94"/>
      <c r="E725" s="94"/>
      <c r="F725" s="60">
        <f>ПЛАТЕЖИ[[#This Row],[СЎМ]]+(ПЛАТЕЖИ[[#This Row],[ВАЛЮТА]]*ПЛАТЕЖИ[[#This Row],[КУРС]])</f>
        <v>0</v>
      </c>
      <c r="G725" s="93"/>
      <c r="H725" s="93"/>
      <c r="I725" s="165"/>
    </row>
    <row r="726" spans="1:9" ht="15" customHeight="1" x14ac:dyDescent="0.3">
      <c r="A726" s="92"/>
      <c r="B726" s="93"/>
      <c r="C726" s="94"/>
      <c r="D726" s="94"/>
      <c r="E726" s="94"/>
      <c r="F726" s="60">
        <f>ПЛАТЕЖИ[[#This Row],[СЎМ]]+(ПЛАТЕЖИ[[#This Row],[ВАЛЮТА]]*ПЛАТЕЖИ[[#This Row],[КУРС]])</f>
        <v>0</v>
      </c>
      <c r="G726" s="93"/>
      <c r="H726" s="93"/>
      <c r="I726" s="165"/>
    </row>
    <row r="727" spans="1:9" ht="15" customHeight="1" x14ac:dyDescent="0.3">
      <c r="A727" s="92"/>
      <c r="B727" s="93"/>
      <c r="C727" s="94"/>
      <c r="D727" s="94"/>
      <c r="E727" s="94"/>
      <c r="F727" s="60">
        <f>ПЛАТЕЖИ[[#This Row],[СЎМ]]+(ПЛАТЕЖИ[[#This Row],[ВАЛЮТА]]*ПЛАТЕЖИ[[#This Row],[КУРС]])</f>
        <v>0</v>
      </c>
      <c r="G727" s="93"/>
      <c r="H727" s="93"/>
      <c r="I727" s="165"/>
    </row>
    <row r="728" spans="1:9" ht="15" customHeight="1" x14ac:dyDescent="0.3">
      <c r="A728" s="92"/>
      <c r="B728" s="93"/>
      <c r="C728" s="94"/>
      <c r="D728" s="94"/>
      <c r="E728" s="94"/>
      <c r="F728" s="60">
        <f>ПЛАТЕЖИ[[#This Row],[СЎМ]]+(ПЛАТЕЖИ[[#This Row],[ВАЛЮТА]]*ПЛАТЕЖИ[[#This Row],[КУРС]])</f>
        <v>0</v>
      </c>
      <c r="G728" s="93"/>
      <c r="H728" s="93"/>
      <c r="I728" s="165"/>
    </row>
    <row r="729" spans="1:9" ht="15" customHeight="1" x14ac:dyDescent="0.3">
      <c r="A729" s="92"/>
      <c r="B729" s="93"/>
      <c r="C729" s="94"/>
      <c r="D729" s="94"/>
      <c r="E729" s="94"/>
      <c r="F729" s="60">
        <f>ПЛАТЕЖИ[[#This Row],[СЎМ]]+(ПЛАТЕЖИ[[#This Row],[ВАЛЮТА]]*ПЛАТЕЖИ[[#This Row],[КУРС]])</f>
        <v>0</v>
      </c>
      <c r="G729" s="93"/>
      <c r="I729" s="165"/>
    </row>
    <row r="730" spans="1:9" ht="15" customHeight="1" x14ac:dyDescent="0.3">
      <c r="A730" s="92"/>
      <c r="B730" s="93"/>
      <c r="C730" s="94"/>
      <c r="D730" s="94"/>
      <c r="E730" s="94"/>
      <c r="F730" s="60">
        <f>ПЛАТЕЖИ[[#This Row],[СЎМ]]+(ПЛАТЕЖИ[[#This Row],[ВАЛЮТА]]*ПЛАТЕЖИ[[#This Row],[КУРС]])</f>
        <v>0</v>
      </c>
      <c r="G730" s="93"/>
      <c r="H730" s="93"/>
      <c r="I730" s="165"/>
    </row>
    <row r="731" spans="1:9" ht="15" customHeight="1" x14ac:dyDescent="0.3">
      <c r="A731" s="92"/>
      <c r="B731" s="93"/>
      <c r="C731" s="94"/>
      <c r="D731" s="94"/>
      <c r="E731" s="94"/>
      <c r="F731" s="60">
        <f>ПЛАТЕЖИ[[#This Row],[СЎМ]]+(ПЛАТЕЖИ[[#This Row],[ВАЛЮТА]]*ПЛАТЕЖИ[[#This Row],[КУРС]])</f>
        <v>0</v>
      </c>
      <c r="G731" s="93"/>
      <c r="I731" s="165"/>
    </row>
    <row r="732" spans="1:9" ht="15" customHeight="1" x14ac:dyDescent="0.3">
      <c r="A732" s="92"/>
      <c r="B732" s="93"/>
      <c r="C732" s="94"/>
      <c r="D732" s="94"/>
      <c r="E732" s="94"/>
      <c r="F732" s="60">
        <f>ПЛАТЕЖИ[[#This Row],[СЎМ]]+(ПЛАТЕЖИ[[#This Row],[ВАЛЮТА]]*ПЛАТЕЖИ[[#This Row],[КУРС]])</f>
        <v>0</v>
      </c>
      <c r="G732" s="93"/>
      <c r="H732" s="93"/>
      <c r="I732" s="165"/>
    </row>
    <row r="733" spans="1:9" ht="15" customHeight="1" x14ac:dyDescent="0.3">
      <c r="A733" s="92"/>
      <c r="B733" s="93"/>
      <c r="C733" s="94"/>
      <c r="D733" s="94"/>
      <c r="E733" s="94"/>
      <c r="F733" s="60">
        <f>ПЛАТЕЖИ[[#This Row],[СЎМ]]+(ПЛАТЕЖИ[[#This Row],[ВАЛЮТА]]*ПЛАТЕЖИ[[#This Row],[КУРС]])</f>
        <v>0</v>
      </c>
      <c r="G733" s="93"/>
      <c r="I733" s="165"/>
    </row>
    <row r="734" spans="1:9" ht="15" customHeight="1" x14ac:dyDescent="0.3">
      <c r="A734" s="92"/>
      <c r="B734" s="93"/>
      <c r="C734" s="94"/>
      <c r="D734" s="94"/>
      <c r="E734" s="94"/>
      <c r="F734" s="60">
        <f>ПЛАТЕЖИ[[#This Row],[СЎМ]]+(ПЛАТЕЖИ[[#This Row],[ВАЛЮТА]]*ПЛАТЕЖИ[[#This Row],[КУРС]])</f>
        <v>0</v>
      </c>
      <c r="G734" s="93"/>
      <c r="H734" s="93"/>
      <c r="I734" s="165"/>
    </row>
    <row r="735" spans="1:9" ht="15" customHeight="1" x14ac:dyDescent="0.3">
      <c r="A735" s="92"/>
      <c r="B735" s="93"/>
      <c r="C735" s="94"/>
      <c r="D735" s="94"/>
      <c r="E735" s="94"/>
      <c r="F735" s="60">
        <f>ПЛАТЕЖИ[[#This Row],[СЎМ]]+(ПЛАТЕЖИ[[#This Row],[ВАЛЮТА]]*ПЛАТЕЖИ[[#This Row],[КУРС]])</f>
        <v>0</v>
      </c>
      <c r="G735" s="93"/>
      <c r="H735" s="93"/>
      <c r="I735" s="165"/>
    </row>
    <row r="736" spans="1:9" ht="15" customHeight="1" x14ac:dyDescent="0.3">
      <c r="A736" s="92"/>
      <c r="B736" s="93"/>
      <c r="C736" s="94"/>
      <c r="D736" s="94"/>
      <c r="E736" s="94"/>
      <c r="F736" s="60">
        <f>ПЛАТЕЖИ[[#This Row],[СЎМ]]+(ПЛАТЕЖИ[[#This Row],[ВАЛЮТА]]*ПЛАТЕЖИ[[#This Row],[КУРС]])</f>
        <v>0</v>
      </c>
      <c r="G736" s="93"/>
      <c r="H736" s="93"/>
      <c r="I736" s="165"/>
    </row>
    <row r="737" spans="1:9" ht="15" customHeight="1" x14ac:dyDescent="0.3">
      <c r="A737" s="92"/>
      <c r="B737" s="93"/>
      <c r="C737" s="94"/>
      <c r="D737" s="94"/>
      <c r="E737" s="94"/>
      <c r="F737" s="60">
        <f>ПЛАТЕЖИ[[#This Row],[СЎМ]]+(ПЛАТЕЖИ[[#This Row],[ВАЛЮТА]]*ПЛАТЕЖИ[[#This Row],[КУРС]])</f>
        <v>0</v>
      </c>
      <c r="G737" s="93"/>
      <c r="H737" s="93"/>
      <c r="I737" s="165"/>
    </row>
    <row r="738" spans="1:9" ht="15" customHeight="1" x14ac:dyDescent="0.3">
      <c r="A738" s="92"/>
      <c r="B738" s="93"/>
      <c r="C738" s="94"/>
      <c r="D738" s="94"/>
      <c r="E738" s="94"/>
      <c r="F738" s="60">
        <f>ПЛАТЕЖИ[[#This Row],[СЎМ]]+(ПЛАТЕЖИ[[#This Row],[ВАЛЮТА]]*ПЛАТЕЖИ[[#This Row],[КУРС]])</f>
        <v>0</v>
      </c>
      <c r="G738" s="93"/>
      <c r="H738" s="93"/>
      <c r="I738" s="165"/>
    </row>
    <row r="739" spans="1:9" ht="15" customHeight="1" x14ac:dyDescent="0.3">
      <c r="A739" s="92"/>
      <c r="B739" s="93"/>
      <c r="C739" s="94"/>
      <c r="D739" s="94"/>
      <c r="E739" s="94"/>
      <c r="F739" s="60">
        <f>ПЛАТЕЖИ[[#This Row],[СЎМ]]+(ПЛАТЕЖИ[[#This Row],[ВАЛЮТА]]*ПЛАТЕЖИ[[#This Row],[КУРС]])</f>
        <v>0</v>
      </c>
      <c r="G739" s="93"/>
      <c r="H739" s="93"/>
      <c r="I739" s="165"/>
    </row>
    <row r="740" spans="1:9" ht="15" customHeight="1" x14ac:dyDescent="0.3">
      <c r="A740" s="92"/>
      <c r="B740" s="93"/>
      <c r="C740" s="94"/>
      <c r="D740" s="94"/>
      <c r="E740" s="94"/>
      <c r="F740" s="60">
        <f>ПЛАТЕЖИ[[#This Row],[СЎМ]]+(ПЛАТЕЖИ[[#This Row],[ВАЛЮТА]]*ПЛАТЕЖИ[[#This Row],[КУРС]])</f>
        <v>0</v>
      </c>
      <c r="G740" s="93"/>
      <c r="H740" s="93"/>
      <c r="I740" s="165"/>
    </row>
    <row r="741" spans="1:9" ht="15" customHeight="1" x14ac:dyDescent="0.3">
      <c r="A741" s="92"/>
      <c r="B741" s="93"/>
      <c r="C741" s="94"/>
      <c r="D741" s="94"/>
      <c r="E741" s="94"/>
      <c r="F741" s="60">
        <f>ПЛАТЕЖИ[[#This Row],[СЎМ]]+(ПЛАТЕЖИ[[#This Row],[ВАЛЮТА]]*ПЛАТЕЖИ[[#This Row],[КУРС]])</f>
        <v>0</v>
      </c>
      <c r="G741" s="93"/>
      <c r="I741" s="165"/>
    </row>
    <row r="742" spans="1:9" ht="15" customHeight="1" x14ac:dyDescent="0.3">
      <c r="A742" s="92"/>
      <c r="B742" s="93"/>
      <c r="C742" s="94"/>
      <c r="D742" s="94"/>
      <c r="E742" s="94"/>
      <c r="F742" s="60">
        <f>ПЛАТЕЖИ[[#This Row],[СЎМ]]+(ПЛАТЕЖИ[[#This Row],[ВАЛЮТА]]*ПЛАТЕЖИ[[#This Row],[КУРС]])</f>
        <v>0</v>
      </c>
      <c r="G742" s="93"/>
      <c r="H742" s="93"/>
      <c r="I742" s="165"/>
    </row>
    <row r="743" spans="1:9" ht="15" customHeight="1" x14ac:dyDescent="0.3">
      <c r="A743" s="92"/>
      <c r="B743" s="93"/>
      <c r="C743" s="94"/>
      <c r="D743" s="94"/>
      <c r="E743" s="94"/>
      <c r="F743" s="60">
        <f>ПЛАТЕЖИ[[#This Row],[СЎМ]]+(ПЛАТЕЖИ[[#This Row],[ВАЛЮТА]]*ПЛАТЕЖИ[[#This Row],[КУРС]])</f>
        <v>0</v>
      </c>
      <c r="G743" s="93"/>
      <c r="H743" s="93"/>
      <c r="I743" s="165"/>
    </row>
    <row r="744" spans="1:9" ht="15" customHeight="1" x14ac:dyDescent="0.3">
      <c r="A744" s="92"/>
      <c r="B744" s="93"/>
      <c r="C744" s="94"/>
      <c r="D744" s="94"/>
      <c r="E744" s="94"/>
      <c r="F744" s="60">
        <f>ПЛАТЕЖИ[[#This Row],[СЎМ]]+(ПЛАТЕЖИ[[#This Row],[ВАЛЮТА]]*ПЛАТЕЖИ[[#This Row],[КУРС]])</f>
        <v>0</v>
      </c>
      <c r="G744" s="93"/>
      <c r="H744" s="93"/>
      <c r="I744" s="165"/>
    </row>
    <row r="745" spans="1:9" ht="15" customHeight="1" x14ac:dyDescent="0.3">
      <c r="A745" s="92"/>
      <c r="B745" s="93"/>
      <c r="C745" s="94"/>
      <c r="D745" s="94"/>
      <c r="E745" s="94"/>
      <c r="F745" s="60">
        <f>ПЛАТЕЖИ[[#This Row],[СЎМ]]+(ПЛАТЕЖИ[[#This Row],[ВАЛЮТА]]*ПЛАТЕЖИ[[#This Row],[КУРС]])</f>
        <v>0</v>
      </c>
      <c r="G745" s="93"/>
      <c r="H745" s="93"/>
      <c r="I745" s="165"/>
    </row>
    <row r="746" spans="1:9" ht="15" customHeight="1" x14ac:dyDescent="0.3">
      <c r="A746" s="92"/>
      <c r="B746" s="93"/>
      <c r="C746" s="94"/>
      <c r="D746" s="94"/>
      <c r="E746" s="94"/>
      <c r="F746" s="60">
        <f>ПЛАТЕЖИ[[#This Row],[СЎМ]]+(ПЛАТЕЖИ[[#This Row],[ВАЛЮТА]]*ПЛАТЕЖИ[[#This Row],[КУРС]])</f>
        <v>0</v>
      </c>
      <c r="G746" s="93"/>
      <c r="H746" s="93"/>
      <c r="I746" s="165"/>
    </row>
    <row r="747" spans="1:9" ht="15" customHeight="1" x14ac:dyDescent="0.3">
      <c r="A747" s="92"/>
      <c r="B747" s="93"/>
      <c r="C747" s="94"/>
      <c r="D747" s="94"/>
      <c r="E747" s="94"/>
      <c r="F747" s="60">
        <f>ПЛАТЕЖИ[[#This Row],[СЎМ]]+(ПЛАТЕЖИ[[#This Row],[ВАЛЮТА]]*ПЛАТЕЖИ[[#This Row],[КУРС]])</f>
        <v>0</v>
      </c>
      <c r="G747" s="93"/>
      <c r="H747" s="93"/>
      <c r="I747" s="165"/>
    </row>
    <row r="748" spans="1:9" ht="15" customHeight="1" x14ac:dyDescent="0.3">
      <c r="A748" s="92"/>
      <c r="B748" s="93"/>
      <c r="C748" s="94"/>
      <c r="D748" s="94"/>
      <c r="E748" s="94"/>
      <c r="F748" s="60">
        <f>ПЛАТЕЖИ[[#This Row],[СЎМ]]+(ПЛАТЕЖИ[[#This Row],[ВАЛЮТА]]*ПЛАТЕЖИ[[#This Row],[КУРС]])</f>
        <v>0</v>
      </c>
      <c r="G748" s="93"/>
      <c r="H748" s="93"/>
      <c r="I748" s="165"/>
    </row>
    <row r="749" spans="1:9" ht="15" customHeight="1" x14ac:dyDescent="0.3">
      <c r="A749" s="92"/>
      <c r="B749" s="93"/>
      <c r="C749" s="94"/>
      <c r="D749" s="94"/>
      <c r="E749" s="94"/>
      <c r="F749" s="60">
        <f>ПЛАТЕЖИ[[#This Row],[СЎМ]]+(ПЛАТЕЖИ[[#This Row],[ВАЛЮТА]]*ПЛАТЕЖИ[[#This Row],[КУРС]])</f>
        <v>0</v>
      </c>
      <c r="G749" s="93"/>
      <c r="H749" s="93"/>
      <c r="I749" s="165"/>
    </row>
    <row r="750" spans="1:9" ht="15" customHeight="1" x14ac:dyDescent="0.3">
      <c r="A750" s="92"/>
      <c r="B750" s="93"/>
      <c r="C750" s="94"/>
      <c r="D750" s="94"/>
      <c r="E750" s="94"/>
      <c r="F750" s="60">
        <f>ПЛАТЕЖИ[[#This Row],[СЎМ]]+(ПЛАТЕЖИ[[#This Row],[ВАЛЮТА]]*ПЛАТЕЖИ[[#This Row],[КУРС]])</f>
        <v>0</v>
      </c>
      <c r="G750" s="93"/>
      <c r="H750" s="93"/>
      <c r="I750" s="165"/>
    </row>
    <row r="751" spans="1:9" ht="15" customHeight="1" x14ac:dyDescent="0.3">
      <c r="A751" s="92"/>
      <c r="B751" s="93"/>
      <c r="C751" s="94"/>
      <c r="D751" s="94"/>
      <c r="E751" s="94"/>
      <c r="F751" s="60">
        <f>ПЛАТЕЖИ[[#This Row],[СЎМ]]+(ПЛАТЕЖИ[[#This Row],[ВАЛЮТА]]*ПЛАТЕЖИ[[#This Row],[КУРС]])</f>
        <v>0</v>
      </c>
      <c r="G751" s="93"/>
      <c r="H751" s="93"/>
      <c r="I751" s="165"/>
    </row>
    <row r="752" spans="1:9" ht="15" customHeight="1" x14ac:dyDescent="0.3">
      <c r="A752" s="137"/>
      <c r="B752" s="136"/>
      <c r="C752" s="132"/>
      <c r="D752" s="132"/>
      <c r="E752" s="132"/>
      <c r="F752" s="60">
        <f>ПЛАТЕЖИ[[#This Row],[СЎМ]]+(ПЛАТЕЖИ[[#This Row],[ВАЛЮТА]]*ПЛАТЕЖИ[[#This Row],[КУРС]])</f>
        <v>0</v>
      </c>
      <c r="G752" s="136"/>
      <c r="H752" s="136"/>
      <c r="I752" s="165"/>
    </row>
    <row r="753" spans="1:9" ht="15" customHeight="1" x14ac:dyDescent="0.3">
      <c r="A753" s="92"/>
      <c r="B753" s="93"/>
      <c r="C753" s="94"/>
      <c r="D753" s="94"/>
      <c r="E753" s="94"/>
      <c r="F753" s="60">
        <f>ПЛАТЕЖИ[[#This Row],[СЎМ]]+(ПЛАТЕЖИ[[#This Row],[ВАЛЮТА]]*ПЛАТЕЖИ[[#This Row],[КУРС]])</f>
        <v>0</v>
      </c>
      <c r="G753" s="93"/>
      <c r="H753" s="93"/>
      <c r="I753" s="165"/>
    </row>
    <row r="754" spans="1:9" ht="15" customHeight="1" x14ac:dyDescent="0.3">
      <c r="A754" s="92"/>
      <c r="B754" s="93"/>
      <c r="C754" s="94"/>
      <c r="D754" s="94"/>
      <c r="E754" s="94"/>
      <c r="F754" s="60">
        <f>ПЛАТЕЖИ[[#This Row],[СЎМ]]+(ПЛАТЕЖИ[[#This Row],[ВАЛЮТА]]*ПЛАТЕЖИ[[#This Row],[КУРС]])</f>
        <v>0</v>
      </c>
      <c r="G754" s="93"/>
      <c r="H754" s="93"/>
      <c r="I754" s="165"/>
    </row>
    <row r="755" spans="1:9" ht="15" customHeight="1" x14ac:dyDescent="0.3">
      <c r="A755" s="92"/>
      <c r="B755" s="93"/>
      <c r="C755" s="94"/>
      <c r="D755" s="94"/>
      <c r="E755" s="94"/>
      <c r="F755" s="60">
        <f>ПЛАТЕЖИ[[#This Row],[СЎМ]]+(ПЛАТЕЖИ[[#This Row],[ВАЛЮТА]]*ПЛАТЕЖИ[[#This Row],[КУРС]])</f>
        <v>0</v>
      </c>
      <c r="G755" s="93"/>
      <c r="H755" s="93"/>
      <c r="I755" s="165"/>
    </row>
    <row r="756" spans="1:9" ht="15" customHeight="1" x14ac:dyDescent="0.3">
      <c r="A756" s="92"/>
      <c r="B756" s="93"/>
      <c r="C756" s="94"/>
      <c r="D756" s="94"/>
      <c r="E756" s="94"/>
      <c r="F756" s="60">
        <f>ПЛАТЕЖИ[[#This Row],[СЎМ]]+(ПЛАТЕЖИ[[#This Row],[ВАЛЮТА]]*ПЛАТЕЖИ[[#This Row],[КУРС]])</f>
        <v>0</v>
      </c>
      <c r="G756" s="93"/>
      <c r="H756" s="93"/>
      <c r="I756" s="165"/>
    </row>
    <row r="757" spans="1:9" ht="15" customHeight="1" x14ac:dyDescent="0.3">
      <c r="A757" s="92"/>
      <c r="B757" s="93"/>
      <c r="C757" s="94"/>
      <c r="D757" s="94"/>
      <c r="E757" s="94"/>
      <c r="F757" s="60">
        <f>ПЛАТЕЖИ[[#This Row],[СЎМ]]+(ПЛАТЕЖИ[[#This Row],[ВАЛЮТА]]*ПЛАТЕЖИ[[#This Row],[КУРС]])</f>
        <v>0</v>
      </c>
      <c r="G757" s="93"/>
      <c r="H757" s="93"/>
      <c r="I757" s="165"/>
    </row>
    <row r="758" spans="1:9" ht="15" customHeight="1" x14ac:dyDescent="0.3">
      <c r="A758" s="92"/>
      <c r="B758" s="93"/>
      <c r="C758" s="94"/>
      <c r="D758" s="94"/>
      <c r="E758" s="94"/>
      <c r="F758" s="60">
        <f>ПЛАТЕЖИ[[#This Row],[СЎМ]]+(ПЛАТЕЖИ[[#This Row],[ВАЛЮТА]]*ПЛАТЕЖИ[[#This Row],[КУРС]])</f>
        <v>0</v>
      </c>
      <c r="G758" s="93"/>
      <c r="H758" s="93"/>
      <c r="I758" s="165"/>
    </row>
    <row r="759" spans="1:9" ht="15" customHeight="1" x14ac:dyDescent="0.3">
      <c r="A759" s="92"/>
      <c r="B759" s="93"/>
      <c r="C759" s="94"/>
      <c r="D759" s="94"/>
      <c r="E759" s="94"/>
      <c r="F759" s="60">
        <f>ПЛАТЕЖИ[[#This Row],[СЎМ]]+(ПЛАТЕЖИ[[#This Row],[ВАЛЮТА]]*ПЛАТЕЖИ[[#This Row],[КУРС]])</f>
        <v>0</v>
      </c>
      <c r="G759" s="93"/>
      <c r="H759" s="93"/>
      <c r="I759" s="165"/>
    </row>
    <row r="760" spans="1:9" ht="15" customHeight="1" x14ac:dyDescent="0.3">
      <c r="A760" s="92"/>
      <c r="B760" s="93"/>
      <c r="C760" s="94"/>
      <c r="D760" s="94"/>
      <c r="E760" s="94"/>
      <c r="F760" s="60">
        <f>ПЛАТЕЖИ[[#This Row],[СЎМ]]+(ПЛАТЕЖИ[[#This Row],[ВАЛЮТА]]*ПЛАТЕЖИ[[#This Row],[КУРС]])</f>
        <v>0</v>
      </c>
      <c r="G760" s="93"/>
      <c r="H760" s="93"/>
      <c r="I760" s="165"/>
    </row>
    <row r="761" spans="1:9" ht="15" customHeight="1" x14ac:dyDescent="0.3">
      <c r="A761" s="92"/>
      <c r="B761" s="93"/>
      <c r="C761" s="94"/>
      <c r="D761" s="94"/>
      <c r="E761" s="94"/>
      <c r="F761" s="60">
        <f>ПЛАТЕЖИ[[#This Row],[СЎМ]]+(ПЛАТЕЖИ[[#This Row],[ВАЛЮТА]]*ПЛАТЕЖИ[[#This Row],[КУРС]])</f>
        <v>0</v>
      </c>
      <c r="G761" s="93"/>
      <c r="H761" s="93"/>
      <c r="I761" s="165"/>
    </row>
    <row r="762" spans="1:9" ht="15" customHeight="1" x14ac:dyDescent="0.3">
      <c r="A762" s="92"/>
      <c r="B762" s="93"/>
      <c r="C762" s="94"/>
      <c r="D762" s="94"/>
      <c r="E762" s="94"/>
      <c r="F762" s="60">
        <f>ПЛАТЕЖИ[[#This Row],[СЎМ]]+(ПЛАТЕЖИ[[#This Row],[ВАЛЮТА]]*ПЛАТЕЖИ[[#This Row],[КУРС]])</f>
        <v>0</v>
      </c>
      <c r="G762" s="93"/>
      <c r="H762" s="93"/>
      <c r="I762" s="165"/>
    </row>
    <row r="763" spans="1:9" ht="15" customHeight="1" x14ac:dyDescent="0.3">
      <c r="A763" s="92"/>
      <c r="B763" s="93"/>
      <c r="C763" s="94"/>
      <c r="D763" s="94"/>
      <c r="E763" s="94"/>
      <c r="F763" s="60">
        <f>ПЛАТЕЖИ[[#This Row],[СЎМ]]+(ПЛАТЕЖИ[[#This Row],[ВАЛЮТА]]*ПЛАТЕЖИ[[#This Row],[КУРС]])</f>
        <v>0</v>
      </c>
      <c r="G763" s="93"/>
      <c r="I763" s="165"/>
    </row>
    <row r="764" spans="1:9" ht="15" customHeight="1" x14ac:dyDescent="0.3">
      <c r="A764" s="92"/>
      <c r="B764" s="93"/>
      <c r="C764" s="94"/>
      <c r="D764" s="94"/>
      <c r="E764" s="94"/>
      <c r="F764" s="60">
        <f>ПЛАТЕЖИ[[#This Row],[СЎМ]]+(ПЛАТЕЖИ[[#This Row],[ВАЛЮТА]]*ПЛАТЕЖИ[[#This Row],[КУРС]])</f>
        <v>0</v>
      </c>
      <c r="G764" s="93"/>
      <c r="I764" s="165"/>
    </row>
    <row r="765" spans="1:9" ht="15" customHeight="1" x14ac:dyDescent="0.3">
      <c r="A765" s="92"/>
      <c r="B765" s="93"/>
      <c r="C765" s="94"/>
      <c r="D765" s="94"/>
      <c r="E765" s="94"/>
      <c r="F765" s="60">
        <f>ПЛАТЕЖИ[[#This Row],[СЎМ]]+(ПЛАТЕЖИ[[#This Row],[ВАЛЮТА]]*ПЛАТЕЖИ[[#This Row],[КУРС]])</f>
        <v>0</v>
      </c>
      <c r="G765" s="93"/>
      <c r="H765" s="93"/>
      <c r="I765" s="165"/>
    </row>
    <row r="766" spans="1:9" ht="15" customHeight="1" x14ac:dyDescent="0.3">
      <c r="A766" s="92"/>
      <c r="B766" s="93"/>
      <c r="C766" s="94"/>
      <c r="D766" s="94"/>
      <c r="E766" s="94"/>
      <c r="F766" s="60">
        <f>ПЛАТЕЖИ[[#This Row],[СЎМ]]+(ПЛАТЕЖИ[[#This Row],[ВАЛЮТА]]*ПЛАТЕЖИ[[#This Row],[КУРС]])</f>
        <v>0</v>
      </c>
      <c r="G766" s="93"/>
      <c r="I766" s="165"/>
    </row>
    <row r="767" spans="1:9" ht="15" customHeight="1" x14ac:dyDescent="0.3">
      <c r="A767" s="92"/>
      <c r="B767" s="93"/>
      <c r="C767" s="94"/>
      <c r="D767" s="94"/>
      <c r="E767" s="94"/>
      <c r="F767" s="60">
        <f>ПЛАТЕЖИ[[#This Row],[СЎМ]]+(ПЛАТЕЖИ[[#This Row],[ВАЛЮТА]]*ПЛАТЕЖИ[[#This Row],[КУРС]])</f>
        <v>0</v>
      </c>
      <c r="G767" s="93"/>
      <c r="H767" s="93"/>
      <c r="I767" s="165"/>
    </row>
    <row r="768" spans="1:9" ht="15" customHeight="1" x14ac:dyDescent="0.3">
      <c r="A768" s="92"/>
      <c r="B768" s="93"/>
      <c r="C768" s="94"/>
      <c r="D768" s="94"/>
      <c r="E768" s="94"/>
      <c r="F768" s="60">
        <f>ПЛАТЕЖИ[[#This Row],[СЎМ]]+(ПЛАТЕЖИ[[#This Row],[ВАЛЮТА]]*ПЛАТЕЖИ[[#This Row],[КУРС]])</f>
        <v>0</v>
      </c>
      <c r="G768" s="93"/>
      <c r="H768" s="93"/>
      <c r="I768" s="165"/>
    </row>
    <row r="769" spans="1:9" ht="15" customHeight="1" x14ac:dyDescent="0.3">
      <c r="A769" s="92"/>
      <c r="B769" s="93"/>
      <c r="C769" s="94"/>
      <c r="D769" s="94"/>
      <c r="E769" s="94"/>
      <c r="F769" s="60">
        <f>ПЛАТЕЖИ[[#This Row],[СЎМ]]+(ПЛАТЕЖИ[[#This Row],[ВАЛЮТА]]*ПЛАТЕЖИ[[#This Row],[КУРС]])</f>
        <v>0</v>
      </c>
      <c r="G769" s="93"/>
      <c r="H769" s="93"/>
      <c r="I769" s="165"/>
    </row>
    <row r="770" spans="1:9" ht="15" customHeight="1" x14ac:dyDescent="0.3">
      <c r="A770" s="92"/>
      <c r="B770" s="93"/>
      <c r="C770" s="94"/>
      <c r="D770" s="94"/>
      <c r="E770" s="94"/>
      <c r="F770" s="60">
        <f>ПЛАТЕЖИ[[#This Row],[СЎМ]]+(ПЛАТЕЖИ[[#This Row],[ВАЛЮТА]]*ПЛАТЕЖИ[[#This Row],[КУРС]])</f>
        <v>0</v>
      </c>
      <c r="G770" s="93"/>
      <c r="H770" s="93"/>
      <c r="I770" s="165"/>
    </row>
    <row r="771" spans="1:9" ht="15" customHeight="1" x14ac:dyDescent="0.3">
      <c r="A771" s="92"/>
      <c r="B771" s="93"/>
      <c r="C771" s="94"/>
      <c r="D771" s="94"/>
      <c r="E771" s="94"/>
      <c r="F771" s="60">
        <f>ПЛАТЕЖИ[[#This Row],[СЎМ]]+(ПЛАТЕЖИ[[#This Row],[ВАЛЮТА]]*ПЛАТЕЖИ[[#This Row],[КУРС]])</f>
        <v>0</v>
      </c>
      <c r="G771" s="93"/>
      <c r="H771" s="93"/>
      <c r="I771" s="165"/>
    </row>
    <row r="772" spans="1:9" ht="15" customHeight="1" x14ac:dyDescent="0.3">
      <c r="A772" s="92"/>
      <c r="B772" s="93"/>
      <c r="C772" s="94"/>
      <c r="D772" s="94"/>
      <c r="E772" s="94"/>
      <c r="F772" s="60">
        <f>ПЛАТЕЖИ[[#This Row],[СЎМ]]+(ПЛАТЕЖИ[[#This Row],[ВАЛЮТА]]*ПЛАТЕЖИ[[#This Row],[КУРС]])</f>
        <v>0</v>
      </c>
      <c r="G772" s="93"/>
      <c r="H772" s="93"/>
      <c r="I772" s="165"/>
    </row>
    <row r="773" spans="1:9" ht="15" customHeight="1" x14ac:dyDescent="0.3">
      <c r="A773" s="92"/>
      <c r="B773" s="93"/>
      <c r="C773" s="94"/>
      <c r="D773" s="94"/>
      <c r="E773" s="94"/>
      <c r="F773" s="60">
        <f>ПЛАТЕЖИ[[#This Row],[СЎМ]]+(ПЛАТЕЖИ[[#This Row],[ВАЛЮТА]]*ПЛАТЕЖИ[[#This Row],[КУРС]])</f>
        <v>0</v>
      </c>
      <c r="G773" s="93"/>
      <c r="I773" s="165"/>
    </row>
    <row r="774" spans="1:9" ht="15" customHeight="1" x14ac:dyDescent="0.3">
      <c r="A774" s="92"/>
      <c r="B774" s="93"/>
      <c r="C774" s="94"/>
      <c r="D774" s="94"/>
      <c r="E774" s="94"/>
      <c r="F774" s="60">
        <f>ПЛАТЕЖИ[[#This Row],[СЎМ]]+(ПЛАТЕЖИ[[#This Row],[ВАЛЮТА]]*ПЛАТЕЖИ[[#This Row],[КУРС]])</f>
        <v>0</v>
      </c>
      <c r="G774" s="93"/>
      <c r="I774" s="165"/>
    </row>
    <row r="775" spans="1:9" ht="15" customHeight="1" x14ac:dyDescent="0.3">
      <c r="A775" s="92"/>
      <c r="B775" s="93"/>
      <c r="C775" s="94"/>
      <c r="D775" s="94"/>
      <c r="E775" s="94"/>
      <c r="F775" s="60">
        <f>ПЛАТЕЖИ[[#This Row],[СЎМ]]+(ПЛАТЕЖИ[[#This Row],[ВАЛЮТА]]*ПЛАТЕЖИ[[#This Row],[КУРС]])</f>
        <v>0</v>
      </c>
      <c r="G775" s="93"/>
      <c r="H775" s="93"/>
      <c r="I775" s="165"/>
    </row>
    <row r="776" spans="1:9" ht="15" customHeight="1" x14ac:dyDescent="0.3">
      <c r="A776" s="92"/>
      <c r="B776" s="93"/>
      <c r="C776" s="94"/>
      <c r="D776" s="94"/>
      <c r="E776" s="94"/>
      <c r="F776" s="60">
        <f>ПЛАТЕЖИ[[#This Row],[СЎМ]]+(ПЛАТЕЖИ[[#This Row],[ВАЛЮТА]]*ПЛАТЕЖИ[[#This Row],[КУРС]])</f>
        <v>0</v>
      </c>
      <c r="G776" s="93"/>
      <c r="H776" s="93"/>
      <c r="I776" s="165"/>
    </row>
    <row r="777" spans="1:9" ht="15" customHeight="1" x14ac:dyDescent="0.3">
      <c r="A777" s="92"/>
      <c r="B777" s="93"/>
      <c r="C777" s="94"/>
      <c r="D777" s="94"/>
      <c r="E777" s="94"/>
      <c r="F777" s="60">
        <f>ПЛАТЕЖИ[[#This Row],[СЎМ]]+(ПЛАТЕЖИ[[#This Row],[ВАЛЮТА]]*ПЛАТЕЖИ[[#This Row],[КУРС]])</f>
        <v>0</v>
      </c>
      <c r="G777" s="93"/>
      <c r="H777" s="93"/>
      <c r="I777" s="165"/>
    </row>
    <row r="778" spans="1:9" ht="15" customHeight="1" x14ac:dyDescent="0.3">
      <c r="A778" s="92"/>
      <c r="B778" s="93"/>
      <c r="C778" s="94"/>
      <c r="D778" s="94"/>
      <c r="E778" s="94"/>
      <c r="F778" s="60">
        <f>ПЛАТЕЖИ[[#This Row],[СЎМ]]+(ПЛАТЕЖИ[[#This Row],[ВАЛЮТА]]*ПЛАТЕЖИ[[#This Row],[КУРС]])</f>
        <v>0</v>
      </c>
      <c r="G778" s="93"/>
      <c r="H778" s="93"/>
      <c r="I778" s="165"/>
    </row>
    <row r="779" spans="1:9" ht="15" customHeight="1" x14ac:dyDescent="0.3">
      <c r="A779" s="92"/>
      <c r="B779" s="93"/>
      <c r="C779" s="94"/>
      <c r="D779" s="94"/>
      <c r="E779" s="94"/>
      <c r="F779" s="60">
        <f>ПЛАТЕЖИ[[#This Row],[СЎМ]]+(ПЛАТЕЖИ[[#This Row],[ВАЛЮТА]]*ПЛАТЕЖИ[[#This Row],[КУРС]])</f>
        <v>0</v>
      </c>
      <c r="G779" s="93"/>
      <c r="H779" s="93"/>
      <c r="I779" s="165"/>
    </row>
    <row r="780" spans="1:9" ht="15" customHeight="1" x14ac:dyDescent="0.3">
      <c r="A780" s="92"/>
      <c r="B780" s="93"/>
      <c r="C780" s="94"/>
      <c r="D780" s="94"/>
      <c r="E780" s="94"/>
      <c r="F780" s="60">
        <f>ПЛАТЕЖИ[[#This Row],[СЎМ]]+(ПЛАТЕЖИ[[#This Row],[ВАЛЮТА]]*ПЛАТЕЖИ[[#This Row],[КУРС]])</f>
        <v>0</v>
      </c>
      <c r="G780" s="93"/>
      <c r="H780" s="93"/>
      <c r="I780" s="165"/>
    </row>
    <row r="781" spans="1:9" ht="15" customHeight="1" x14ac:dyDescent="0.3">
      <c r="A781" s="92"/>
      <c r="B781" s="93"/>
      <c r="C781" s="94"/>
      <c r="D781" s="94"/>
      <c r="E781" s="94"/>
      <c r="F781" s="60">
        <f>ПЛАТЕЖИ[[#This Row],[СЎМ]]+(ПЛАТЕЖИ[[#This Row],[ВАЛЮТА]]*ПЛАТЕЖИ[[#This Row],[КУРС]])</f>
        <v>0</v>
      </c>
      <c r="G781" s="93"/>
      <c r="H781" s="93"/>
      <c r="I781" s="165"/>
    </row>
    <row r="782" spans="1:9" ht="15" customHeight="1" x14ac:dyDescent="0.3">
      <c r="A782" s="92"/>
      <c r="B782" s="93"/>
      <c r="C782" s="94"/>
      <c r="D782" s="94"/>
      <c r="E782" s="94"/>
      <c r="F782" s="60">
        <f>ПЛАТЕЖИ[[#This Row],[СЎМ]]+(ПЛАТЕЖИ[[#This Row],[ВАЛЮТА]]*ПЛАТЕЖИ[[#This Row],[КУРС]])</f>
        <v>0</v>
      </c>
      <c r="G782" s="93"/>
      <c r="H782" s="93"/>
      <c r="I782" s="165"/>
    </row>
    <row r="783" spans="1:9" ht="15" customHeight="1" x14ac:dyDescent="0.3">
      <c r="A783" s="92"/>
      <c r="B783" s="93"/>
      <c r="C783" s="94"/>
      <c r="D783" s="94"/>
      <c r="E783" s="94"/>
      <c r="F783" s="60">
        <f>ПЛАТЕЖИ[[#This Row],[СЎМ]]+(ПЛАТЕЖИ[[#This Row],[ВАЛЮТА]]*ПЛАТЕЖИ[[#This Row],[КУРС]])</f>
        <v>0</v>
      </c>
      <c r="G783" s="93"/>
      <c r="H783" s="93"/>
      <c r="I783" s="165"/>
    </row>
    <row r="784" spans="1:9" ht="15" customHeight="1" x14ac:dyDescent="0.3">
      <c r="A784" s="92"/>
      <c r="B784" s="93"/>
      <c r="C784" s="94"/>
      <c r="D784" s="94"/>
      <c r="E784" s="94"/>
      <c r="F784" s="60">
        <f>ПЛАТЕЖИ[[#This Row],[СЎМ]]+(ПЛАТЕЖИ[[#This Row],[ВАЛЮТА]]*ПЛАТЕЖИ[[#This Row],[КУРС]])</f>
        <v>0</v>
      </c>
      <c r="G784" s="93"/>
      <c r="H784" s="93"/>
      <c r="I784" s="165"/>
    </row>
    <row r="785" spans="1:9" ht="15" customHeight="1" x14ac:dyDescent="0.3">
      <c r="A785" s="92"/>
      <c r="B785" s="93"/>
      <c r="C785" s="94"/>
      <c r="D785" s="94"/>
      <c r="E785" s="94"/>
      <c r="F785" s="60">
        <f>ПЛАТЕЖИ[[#This Row],[СЎМ]]+(ПЛАТЕЖИ[[#This Row],[ВАЛЮТА]]*ПЛАТЕЖИ[[#This Row],[КУРС]])</f>
        <v>0</v>
      </c>
      <c r="G785" s="93"/>
      <c r="H785" s="93"/>
      <c r="I785" s="165"/>
    </row>
    <row r="786" spans="1:9" ht="15" customHeight="1" x14ac:dyDescent="0.3">
      <c r="A786" s="92"/>
      <c r="B786" s="93"/>
      <c r="C786" s="94"/>
      <c r="D786" s="94"/>
      <c r="E786" s="94"/>
      <c r="F786" s="60">
        <f>ПЛАТЕЖИ[[#This Row],[СЎМ]]+(ПЛАТЕЖИ[[#This Row],[ВАЛЮТА]]*ПЛАТЕЖИ[[#This Row],[КУРС]])</f>
        <v>0</v>
      </c>
      <c r="G786" s="93"/>
      <c r="H786" s="93"/>
      <c r="I786" s="165"/>
    </row>
    <row r="787" spans="1:9" ht="15" customHeight="1" x14ac:dyDescent="0.3">
      <c r="A787" s="92"/>
      <c r="B787" s="93"/>
      <c r="C787" s="94"/>
      <c r="D787" s="182"/>
      <c r="E787" s="94"/>
      <c r="F787" s="60">
        <f>ПЛАТЕЖИ[[#This Row],[СЎМ]]+(ПЛАТЕЖИ[[#This Row],[ВАЛЮТА]]*ПЛАТЕЖИ[[#This Row],[КУРС]])</f>
        <v>0</v>
      </c>
      <c r="G787" s="93"/>
      <c r="I787" s="165"/>
    </row>
    <row r="788" spans="1:9" ht="15" customHeight="1" x14ac:dyDescent="0.3">
      <c r="A788" s="92"/>
      <c r="C788" s="94"/>
      <c r="D788" s="94"/>
      <c r="E788" s="94"/>
      <c r="F788" s="60">
        <f>ПЛАТЕЖИ[[#This Row],[СЎМ]]+(ПЛАТЕЖИ[[#This Row],[ВАЛЮТА]]*ПЛАТЕЖИ[[#This Row],[КУРС]])</f>
        <v>0</v>
      </c>
      <c r="G788" s="93"/>
      <c r="H788" s="93"/>
      <c r="I788" s="165"/>
    </row>
    <row r="789" spans="1:9" ht="15" customHeight="1" x14ac:dyDescent="0.3">
      <c r="A789" s="92"/>
      <c r="B789" s="93"/>
      <c r="C789" s="94"/>
      <c r="D789" s="94"/>
      <c r="E789" s="94"/>
      <c r="F789" s="60">
        <f>ПЛАТЕЖИ[[#This Row],[СЎМ]]+(ПЛАТЕЖИ[[#This Row],[ВАЛЮТА]]*ПЛАТЕЖИ[[#This Row],[КУРС]])</f>
        <v>0</v>
      </c>
      <c r="G789" s="93"/>
      <c r="H789" s="93"/>
      <c r="I789" s="165"/>
    </row>
    <row r="790" spans="1:9" ht="15" customHeight="1" x14ac:dyDescent="0.3">
      <c r="A790" s="92"/>
      <c r="B790" s="93"/>
      <c r="C790" s="94"/>
      <c r="D790" s="94"/>
      <c r="E790" s="94"/>
      <c r="F790" s="60">
        <f>ПЛАТЕЖИ[[#This Row],[СЎМ]]+(ПЛАТЕЖИ[[#This Row],[ВАЛЮТА]]*ПЛАТЕЖИ[[#This Row],[КУРС]])</f>
        <v>0</v>
      </c>
      <c r="G790" s="93"/>
      <c r="H790" s="93"/>
      <c r="I790" s="165"/>
    </row>
    <row r="791" spans="1:9" ht="15" customHeight="1" x14ac:dyDescent="0.3">
      <c r="A791" s="92"/>
      <c r="B791" s="93"/>
      <c r="C791" s="94"/>
      <c r="D791" s="94"/>
      <c r="E791" s="94"/>
      <c r="F791" s="60">
        <f>ПЛАТЕЖИ[[#This Row],[СЎМ]]+(ПЛАТЕЖИ[[#This Row],[ВАЛЮТА]]*ПЛАТЕЖИ[[#This Row],[КУРС]])</f>
        <v>0</v>
      </c>
      <c r="G791" s="93"/>
      <c r="H791" s="93"/>
      <c r="I791" s="165"/>
    </row>
    <row r="792" spans="1:9" ht="15" customHeight="1" x14ac:dyDescent="0.3">
      <c r="A792" s="92"/>
      <c r="B792" s="93"/>
      <c r="C792" s="94"/>
      <c r="D792" s="94"/>
      <c r="E792" s="94"/>
      <c r="F792" s="60">
        <f>ПЛАТЕЖИ[[#This Row],[СЎМ]]+(ПЛАТЕЖИ[[#This Row],[ВАЛЮТА]]*ПЛАТЕЖИ[[#This Row],[КУРС]])</f>
        <v>0</v>
      </c>
      <c r="G792" s="93"/>
      <c r="H792" s="93"/>
      <c r="I792" s="165"/>
    </row>
    <row r="793" spans="1:9" ht="15" customHeight="1" x14ac:dyDescent="0.3">
      <c r="A793" s="92"/>
      <c r="B793" s="93"/>
      <c r="C793" s="94"/>
      <c r="D793" s="94"/>
      <c r="E793" s="94"/>
      <c r="F793" s="60">
        <f>ПЛАТЕЖИ[[#This Row],[СЎМ]]+(ПЛАТЕЖИ[[#This Row],[ВАЛЮТА]]*ПЛАТЕЖИ[[#This Row],[КУРС]])</f>
        <v>0</v>
      </c>
      <c r="G793" s="93"/>
      <c r="H793" s="93"/>
      <c r="I793" s="165"/>
    </row>
    <row r="794" spans="1:9" ht="15" customHeight="1" x14ac:dyDescent="0.3">
      <c r="A794" s="92"/>
      <c r="B794" s="93"/>
      <c r="C794" s="94"/>
      <c r="D794" s="94"/>
      <c r="E794" s="94"/>
      <c r="F794" s="60">
        <f>ПЛАТЕЖИ[[#This Row],[СЎМ]]+(ПЛАТЕЖИ[[#This Row],[ВАЛЮТА]]*ПЛАТЕЖИ[[#This Row],[КУРС]])</f>
        <v>0</v>
      </c>
      <c r="G794" s="93"/>
      <c r="H794" s="93"/>
      <c r="I794" s="165"/>
    </row>
    <row r="795" spans="1:9" ht="15" customHeight="1" x14ac:dyDescent="0.3">
      <c r="A795" s="92"/>
      <c r="B795" s="93"/>
      <c r="C795" s="94"/>
      <c r="D795" s="94"/>
      <c r="E795" s="94"/>
      <c r="F795" s="60">
        <f>ПЛАТЕЖИ[[#This Row],[СЎМ]]+(ПЛАТЕЖИ[[#This Row],[ВАЛЮТА]]*ПЛАТЕЖИ[[#This Row],[КУРС]])</f>
        <v>0</v>
      </c>
      <c r="G795" s="93"/>
      <c r="I795" s="165"/>
    </row>
    <row r="796" spans="1:9" ht="15" customHeight="1" x14ac:dyDescent="0.3">
      <c r="A796" s="92"/>
      <c r="B796" s="93"/>
      <c r="C796" s="94"/>
      <c r="D796" s="94"/>
      <c r="E796" s="94"/>
      <c r="F796" s="60">
        <f>ПЛАТЕЖИ[[#This Row],[СЎМ]]+(ПЛАТЕЖИ[[#This Row],[ВАЛЮТА]]*ПЛАТЕЖИ[[#This Row],[КУРС]])</f>
        <v>0</v>
      </c>
      <c r="G796" s="93"/>
      <c r="H796" s="93"/>
      <c r="I796" s="165"/>
    </row>
    <row r="797" spans="1:9" ht="15" customHeight="1" x14ac:dyDescent="0.3">
      <c r="A797" s="92"/>
      <c r="B797" s="93"/>
      <c r="C797" s="94"/>
      <c r="D797" s="94"/>
      <c r="E797" s="94"/>
      <c r="F797" s="60">
        <f>ПЛАТЕЖИ[[#This Row],[СЎМ]]+(ПЛАТЕЖИ[[#This Row],[ВАЛЮТА]]*ПЛАТЕЖИ[[#This Row],[КУРС]])</f>
        <v>0</v>
      </c>
      <c r="G797" s="93"/>
      <c r="H797" s="93"/>
      <c r="I797" s="165"/>
    </row>
    <row r="798" spans="1:9" ht="15" customHeight="1" x14ac:dyDescent="0.3">
      <c r="A798" s="92"/>
      <c r="B798" s="153"/>
      <c r="C798" s="94"/>
      <c r="D798" s="94"/>
      <c r="E798" s="94"/>
      <c r="F798" s="60">
        <f>ПЛАТЕЖИ[[#This Row],[СЎМ]]+(ПЛАТЕЖИ[[#This Row],[ВАЛЮТА]]*ПЛАТЕЖИ[[#This Row],[КУРС]])</f>
        <v>0</v>
      </c>
      <c r="G798" s="93"/>
      <c r="I798" s="165"/>
    </row>
    <row r="799" spans="1:9" ht="15" customHeight="1" x14ac:dyDescent="0.3">
      <c r="A799" s="92"/>
      <c r="B799" s="93"/>
      <c r="C799" s="94"/>
      <c r="D799" s="94"/>
      <c r="E799" s="94"/>
      <c r="F799" s="60">
        <f>ПЛАТЕЖИ[[#This Row],[СЎМ]]+(ПЛАТЕЖИ[[#This Row],[ВАЛЮТА]]*ПЛАТЕЖИ[[#This Row],[КУРС]])</f>
        <v>0</v>
      </c>
      <c r="G799" s="93"/>
      <c r="H799" s="93"/>
      <c r="I799" s="165"/>
    </row>
    <row r="800" spans="1:9" ht="15" customHeight="1" x14ac:dyDescent="0.3">
      <c r="A800" s="92"/>
      <c r="B800" s="93"/>
      <c r="C800" s="94"/>
      <c r="D800" s="94"/>
      <c r="E800" s="94"/>
      <c r="F800" s="60">
        <f>ПЛАТЕЖИ[[#This Row],[СЎМ]]+(ПЛАТЕЖИ[[#This Row],[ВАЛЮТА]]*ПЛАТЕЖИ[[#This Row],[КУРС]])</f>
        <v>0</v>
      </c>
      <c r="G800" s="93"/>
      <c r="H800" s="93"/>
      <c r="I800" s="165"/>
    </row>
    <row r="801" spans="1:9" ht="15" customHeight="1" x14ac:dyDescent="0.3">
      <c r="A801" s="92"/>
      <c r="B801" s="93"/>
      <c r="C801" s="94"/>
      <c r="D801" s="94"/>
      <c r="E801" s="94"/>
      <c r="F801" s="60">
        <f>ПЛАТЕЖИ[[#This Row],[СЎМ]]+(ПЛАТЕЖИ[[#This Row],[ВАЛЮТА]]*ПЛАТЕЖИ[[#This Row],[КУРС]])</f>
        <v>0</v>
      </c>
      <c r="G801" s="93"/>
      <c r="H801" s="93"/>
      <c r="I801" s="165"/>
    </row>
    <row r="802" spans="1:9" ht="15" customHeight="1" x14ac:dyDescent="0.3">
      <c r="A802" s="92"/>
      <c r="B802" s="93"/>
      <c r="C802" s="94"/>
      <c r="D802" s="94"/>
      <c r="E802" s="94"/>
      <c r="F802" s="60">
        <f>ПЛАТЕЖИ[[#This Row],[СЎМ]]+(ПЛАТЕЖИ[[#This Row],[ВАЛЮТА]]*ПЛАТЕЖИ[[#This Row],[КУРС]])</f>
        <v>0</v>
      </c>
      <c r="G802" s="93"/>
      <c r="H802" s="93"/>
      <c r="I802" s="165"/>
    </row>
    <row r="803" spans="1:9" ht="15" customHeight="1" x14ac:dyDescent="0.3">
      <c r="A803" s="92"/>
      <c r="B803" s="93"/>
      <c r="C803" s="94"/>
      <c r="D803" s="94"/>
      <c r="E803" s="94"/>
      <c r="F803" s="60">
        <f>ПЛАТЕЖИ[[#This Row],[СЎМ]]+(ПЛАТЕЖИ[[#This Row],[ВАЛЮТА]]*ПЛАТЕЖИ[[#This Row],[КУРС]])</f>
        <v>0</v>
      </c>
      <c r="G803" s="93"/>
      <c r="H803" s="93"/>
      <c r="I803" s="165"/>
    </row>
    <row r="804" spans="1:9" ht="15" customHeight="1" x14ac:dyDescent="0.3">
      <c r="A804" s="92"/>
      <c r="B804" s="93"/>
      <c r="C804" s="94"/>
      <c r="D804" s="94"/>
      <c r="E804" s="94"/>
      <c r="F804" s="60">
        <f>ПЛАТЕЖИ[[#This Row],[СЎМ]]+(ПЛАТЕЖИ[[#This Row],[ВАЛЮТА]]*ПЛАТЕЖИ[[#This Row],[КУРС]])</f>
        <v>0</v>
      </c>
      <c r="G804" s="93"/>
      <c r="H804" s="93"/>
      <c r="I804" s="165"/>
    </row>
    <row r="805" spans="1:9" ht="15" customHeight="1" x14ac:dyDescent="0.3">
      <c r="A805" s="92"/>
      <c r="B805" s="93"/>
      <c r="C805" s="94"/>
      <c r="D805" s="94"/>
      <c r="E805" s="94"/>
      <c r="F805" s="60">
        <f>ПЛАТЕЖИ[[#This Row],[СЎМ]]+(ПЛАТЕЖИ[[#This Row],[ВАЛЮТА]]*ПЛАТЕЖИ[[#This Row],[КУРС]])</f>
        <v>0</v>
      </c>
      <c r="G805" s="93"/>
      <c r="H805" s="93"/>
      <c r="I805" s="165"/>
    </row>
    <row r="806" spans="1:9" ht="15" customHeight="1" x14ac:dyDescent="0.3">
      <c r="A806" s="92"/>
      <c r="B806" s="93"/>
      <c r="C806" s="94"/>
      <c r="D806" s="94"/>
      <c r="E806" s="94"/>
      <c r="F806" s="60">
        <f>ПЛАТЕЖИ[[#This Row],[СЎМ]]+(ПЛАТЕЖИ[[#This Row],[ВАЛЮТА]]*ПЛАТЕЖИ[[#This Row],[КУРС]])</f>
        <v>0</v>
      </c>
      <c r="G806" s="93"/>
      <c r="H806" s="93"/>
      <c r="I806" s="165"/>
    </row>
    <row r="807" spans="1:9" ht="15" customHeight="1" x14ac:dyDescent="0.3">
      <c r="B807" s="93"/>
      <c r="C807" s="94"/>
      <c r="D807" s="94"/>
      <c r="E807" s="94"/>
      <c r="F807" s="60">
        <f>ПЛАТЕЖИ[[#This Row],[СЎМ]]+(ПЛАТЕЖИ[[#This Row],[ВАЛЮТА]]*ПЛАТЕЖИ[[#This Row],[КУРС]])</f>
        <v>0</v>
      </c>
      <c r="G807" s="93"/>
      <c r="H807" s="93"/>
      <c r="I807" s="165"/>
    </row>
    <row r="808" spans="1:9" ht="15" customHeight="1" x14ac:dyDescent="0.3">
      <c r="A808" s="92"/>
      <c r="B808" s="93"/>
      <c r="C808" s="94"/>
      <c r="D808" s="94"/>
      <c r="E808" s="94"/>
      <c r="F808" s="60">
        <f>ПЛАТЕЖИ[[#This Row],[СЎМ]]+(ПЛАТЕЖИ[[#This Row],[ВАЛЮТА]]*ПЛАТЕЖИ[[#This Row],[КУРС]])</f>
        <v>0</v>
      </c>
      <c r="G808" s="93"/>
      <c r="H808" s="93"/>
      <c r="I808" s="165"/>
    </row>
    <row r="809" spans="1:9" ht="15" customHeight="1" x14ac:dyDescent="0.3">
      <c r="A809" s="92"/>
      <c r="B809" s="93"/>
      <c r="C809" s="94"/>
      <c r="D809" s="94"/>
      <c r="E809" s="94"/>
      <c r="F809" s="60">
        <f>ПЛАТЕЖИ[[#This Row],[СЎМ]]+(ПЛАТЕЖИ[[#This Row],[ВАЛЮТА]]*ПЛАТЕЖИ[[#This Row],[КУРС]])</f>
        <v>0</v>
      </c>
      <c r="G809" s="93"/>
      <c r="H809" s="93"/>
      <c r="I809" s="165"/>
    </row>
    <row r="810" spans="1:9" ht="15" customHeight="1" x14ac:dyDescent="0.3">
      <c r="A810" s="92"/>
      <c r="B810" s="93"/>
      <c r="C810" s="94"/>
      <c r="D810" s="94"/>
      <c r="E810" s="94"/>
      <c r="F810" s="60">
        <f>ПЛАТЕЖИ[[#This Row],[СЎМ]]+(ПЛАТЕЖИ[[#This Row],[ВАЛЮТА]]*ПЛАТЕЖИ[[#This Row],[КУРС]])</f>
        <v>0</v>
      </c>
      <c r="G810" s="93"/>
      <c r="I810" s="165"/>
    </row>
    <row r="811" spans="1:9" ht="15" customHeight="1" x14ac:dyDescent="0.3">
      <c r="A811" s="92"/>
      <c r="B811" s="93"/>
      <c r="C811" s="94"/>
      <c r="D811" s="94"/>
      <c r="E811" s="94"/>
      <c r="F811" s="60">
        <f>ПЛАТЕЖИ[[#This Row],[СЎМ]]+(ПЛАТЕЖИ[[#This Row],[ВАЛЮТА]]*ПЛАТЕЖИ[[#This Row],[КУРС]])</f>
        <v>0</v>
      </c>
      <c r="G811" s="93"/>
      <c r="H811" s="93"/>
      <c r="I811" s="165"/>
    </row>
    <row r="812" spans="1:9" ht="15" customHeight="1" x14ac:dyDescent="0.3">
      <c r="A812" s="92"/>
      <c r="B812" s="93"/>
      <c r="C812" s="94"/>
      <c r="D812" s="94"/>
      <c r="E812" s="94"/>
      <c r="F812" s="60">
        <f>ПЛАТЕЖИ[[#This Row],[СЎМ]]+(ПЛАТЕЖИ[[#This Row],[ВАЛЮТА]]*ПЛАТЕЖИ[[#This Row],[КУРС]])</f>
        <v>0</v>
      </c>
      <c r="G812" s="93"/>
      <c r="H812" s="93"/>
      <c r="I812" s="165"/>
    </row>
    <row r="813" spans="1:9" ht="15" customHeight="1" x14ac:dyDescent="0.3">
      <c r="A813" s="92"/>
      <c r="B813" s="93"/>
      <c r="C813" s="94"/>
      <c r="D813" s="94"/>
      <c r="E813" s="94"/>
      <c r="F813" s="60">
        <f>ПЛАТЕЖИ[[#This Row],[СЎМ]]+(ПЛАТЕЖИ[[#This Row],[ВАЛЮТА]]*ПЛАТЕЖИ[[#This Row],[КУРС]])</f>
        <v>0</v>
      </c>
      <c r="G813" s="93"/>
      <c r="H813" s="93"/>
      <c r="I813" s="165"/>
    </row>
    <row r="814" spans="1:9" ht="15" customHeight="1" x14ac:dyDescent="0.3">
      <c r="A814" s="92"/>
      <c r="B814" s="93"/>
      <c r="C814" s="94"/>
      <c r="D814" s="94"/>
      <c r="E814" s="94"/>
      <c r="F814" s="60">
        <f>ПЛАТЕЖИ[[#This Row],[СЎМ]]+(ПЛАТЕЖИ[[#This Row],[ВАЛЮТА]]*ПЛАТЕЖИ[[#This Row],[КУРС]])</f>
        <v>0</v>
      </c>
      <c r="G814" s="93"/>
      <c r="I814" s="165"/>
    </row>
    <row r="815" spans="1:9" ht="15" customHeight="1" x14ac:dyDescent="0.3">
      <c r="A815" s="92"/>
      <c r="B815" s="93"/>
      <c r="C815" s="94"/>
      <c r="D815" s="94"/>
      <c r="E815" s="94"/>
      <c r="F815" s="60">
        <f>ПЛАТЕЖИ[[#This Row],[СЎМ]]+(ПЛАТЕЖИ[[#This Row],[ВАЛЮТА]]*ПЛАТЕЖИ[[#This Row],[КУРС]])</f>
        <v>0</v>
      </c>
      <c r="G815" s="93"/>
      <c r="I815" s="165"/>
    </row>
    <row r="816" spans="1:9" ht="15" customHeight="1" x14ac:dyDescent="0.3">
      <c r="A816" s="92"/>
      <c r="B816" s="93"/>
      <c r="C816" s="94"/>
      <c r="D816" s="94"/>
      <c r="E816" s="94"/>
      <c r="F816" s="60">
        <f>ПЛАТЕЖИ[[#This Row],[СЎМ]]+(ПЛАТЕЖИ[[#This Row],[ВАЛЮТА]]*ПЛАТЕЖИ[[#This Row],[КУРС]])</f>
        <v>0</v>
      </c>
      <c r="G816" s="93"/>
      <c r="I816" s="165"/>
    </row>
    <row r="817" spans="1:9" ht="15" customHeight="1" x14ac:dyDescent="0.3">
      <c r="A817" s="92"/>
      <c r="B817" s="93"/>
      <c r="C817" s="94"/>
      <c r="D817" s="94"/>
      <c r="E817" s="94"/>
      <c r="F817" s="60">
        <f>ПЛАТЕЖИ[[#This Row],[СЎМ]]+(ПЛАТЕЖИ[[#This Row],[ВАЛЮТА]]*ПЛАТЕЖИ[[#This Row],[КУРС]])</f>
        <v>0</v>
      </c>
      <c r="G817" s="93"/>
      <c r="H817" s="93"/>
      <c r="I817" s="165"/>
    </row>
    <row r="818" spans="1:9" ht="15" customHeight="1" x14ac:dyDescent="0.3">
      <c r="A818" s="92"/>
      <c r="B818" s="93"/>
      <c r="C818" s="94"/>
      <c r="D818" s="94"/>
      <c r="E818" s="94"/>
      <c r="F818" s="60">
        <f>ПЛАТЕЖИ[[#This Row],[СЎМ]]+(ПЛАТЕЖИ[[#This Row],[ВАЛЮТА]]*ПЛАТЕЖИ[[#This Row],[КУРС]])</f>
        <v>0</v>
      </c>
      <c r="G818" s="93"/>
      <c r="H818" s="93"/>
      <c r="I818" s="165"/>
    </row>
    <row r="819" spans="1:9" ht="15" customHeight="1" x14ac:dyDescent="0.3">
      <c r="A819" s="92"/>
      <c r="B819" s="93"/>
      <c r="C819" s="94"/>
      <c r="D819" s="94"/>
      <c r="E819" s="94"/>
      <c r="F819" s="60">
        <f>ПЛАТЕЖИ[[#This Row],[СЎМ]]+(ПЛАТЕЖИ[[#This Row],[ВАЛЮТА]]*ПЛАТЕЖИ[[#This Row],[КУРС]])</f>
        <v>0</v>
      </c>
      <c r="G819" s="93"/>
      <c r="H819" s="93"/>
      <c r="I819" s="165"/>
    </row>
    <row r="820" spans="1:9" ht="15" customHeight="1" x14ac:dyDescent="0.3">
      <c r="A820" s="92"/>
      <c r="B820" s="93"/>
      <c r="C820" s="94"/>
      <c r="D820" s="94"/>
      <c r="E820" s="94"/>
      <c r="F820" s="60">
        <f>ПЛАТЕЖИ[[#This Row],[СЎМ]]+(ПЛАТЕЖИ[[#This Row],[ВАЛЮТА]]*ПЛАТЕЖИ[[#This Row],[КУРС]])</f>
        <v>0</v>
      </c>
      <c r="G820" s="93"/>
      <c r="I820" s="165"/>
    </row>
    <row r="821" spans="1:9" ht="15" customHeight="1" x14ac:dyDescent="0.3">
      <c r="A821" s="92"/>
      <c r="B821" s="93"/>
      <c r="C821" s="94"/>
      <c r="D821" s="94"/>
      <c r="E821" s="94"/>
      <c r="F821" s="60">
        <f>ПЛАТЕЖИ[[#This Row],[СЎМ]]+(ПЛАТЕЖИ[[#This Row],[ВАЛЮТА]]*ПЛАТЕЖИ[[#This Row],[КУРС]])</f>
        <v>0</v>
      </c>
      <c r="G821" s="93"/>
      <c r="H821" s="93"/>
      <c r="I821" s="165"/>
    </row>
    <row r="822" spans="1:9" ht="15" customHeight="1" x14ac:dyDescent="0.3">
      <c r="A822" s="92"/>
      <c r="B822" s="93"/>
      <c r="C822" s="94"/>
      <c r="D822" s="94"/>
      <c r="E822" s="94"/>
      <c r="F822" s="60">
        <f>ПЛАТЕЖИ[[#This Row],[СЎМ]]+(ПЛАТЕЖИ[[#This Row],[ВАЛЮТА]]*ПЛАТЕЖИ[[#This Row],[КУРС]])</f>
        <v>0</v>
      </c>
      <c r="G822" s="93"/>
      <c r="H822" s="93"/>
      <c r="I822" s="165"/>
    </row>
    <row r="823" spans="1:9" ht="15" customHeight="1" x14ac:dyDescent="0.3">
      <c r="A823" s="92"/>
      <c r="B823" s="93"/>
      <c r="C823" s="94"/>
      <c r="D823" s="94"/>
      <c r="E823" s="94"/>
      <c r="F823" s="60">
        <f>ПЛАТЕЖИ[[#This Row],[СЎМ]]+(ПЛАТЕЖИ[[#This Row],[ВАЛЮТА]]*ПЛАТЕЖИ[[#This Row],[КУРС]])</f>
        <v>0</v>
      </c>
      <c r="G823" s="93"/>
      <c r="H823" s="93"/>
      <c r="I823" s="165"/>
    </row>
    <row r="824" spans="1:9" ht="15" customHeight="1" x14ac:dyDescent="0.3">
      <c r="A824" s="92"/>
      <c r="B824" s="93"/>
      <c r="C824" s="94"/>
      <c r="D824" s="94"/>
      <c r="E824" s="94"/>
      <c r="F824" s="60">
        <f>ПЛАТЕЖИ[[#This Row],[СЎМ]]+(ПЛАТЕЖИ[[#This Row],[ВАЛЮТА]]*ПЛАТЕЖИ[[#This Row],[КУРС]])</f>
        <v>0</v>
      </c>
      <c r="G824" s="93"/>
      <c r="I824" s="165"/>
    </row>
    <row r="825" spans="1:9" ht="15" customHeight="1" x14ac:dyDescent="0.3">
      <c r="A825" s="92"/>
      <c r="B825" s="93"/>
      <c r="C825" s="94"/>
      <c r="D825" s="94"/>
      <c r="E825" s="94"/>
      <c r="F825" s="60">
        <f>ПЛАТЕЖИ[[#This Row],[СЎМ]]+(ПЛАТЕЖИ[[#This Row],[ВАЛЮТА]]*ПЛАТЕЖИ[[#This Row],[КУРС]])</f>
        <v>0</v>
      </c>
      <c r="G825" s="93"/>
      <c r="H825" s="93"/>
      <c r="I825" s="165"/>
    </row>
    <row r="826" spans="1:9" ht="15" customHeight="1" x14ac:dyDescent="0.3">
      <c r="A826" s="92"/>
      <c r="B826" s="93"/>
      <c r="C826" s="94"/>
      <c r="D826" s="94"/>
      <c r="E826" s="94"/>
      <c r="F826" s="60">
        <f>ПЛАТЕЖИ[[#This Row],[СЎМ]]+(ПЛАТЕЖИ[[#This Row],[ВАЛЮТА]]*ПЛАТЕЖИ[[#This Row],[КУРС]])</f>
        <v>0</v>
      </c>
      <c r="G826" s="93"/>
      <c r="H826" s="93"/>
      <c r="I826" s="165"/>
    </row>
    <row r="827" spans="1:9" ht="15" customHeight="1" x14ac:dyDescent="0.3">
      <c r="A827" s="92"/>
      <c r="B827" s="93"/>
      <c r="C827" s="94"/>
      <c r="D827" s="94"/>
      <c r="E827" s="94"/>
      <c r="F827" s="60">
        <f>ПЛАТЕЖИ[[#This Row],[СЎМ]]+(ПЛАТЕЖИ[[#This Row],[ВАЛЮТА]]*ПЛАТЕЖИ[[#This Row],[КУРС]])</f>
        <v>0</v>
      </c>
      <c r="G827" s="93"/>
      <c r="H827" s="93"/>
      <c r="I827" s="165"/>
    </row>
    <row r="828" spans="1:9" ht="15" customHeight="1" x14ac:dyDescent="0.3">
      <c r="A828" s="92"/>
      <c r="B828" s="93"/>
      <c r="C828" s="94"/>
      <c r="D828" s="94"/>
      <c r="E828" s="94"/>
      <c r="F828" s="60">
        <f>ПЛАТЕЖИ[[#This Row],[СЎМ]]+(ПЛАТЕЖИ[[#This Row],[ВАЛЮТА]]*ПЛАТЕЖИ[[#This Row],[КУРС]])</f>
        <v>0</v>
      </c>
      <c r="G828" s="93"/>
      <c r="H828" s="93"/>
      <c r="I828" s="165"/>
    </row>
    <row r="829" spans="1:9" ht="15" customHeight="1" x14ac:dyDescent="0.3">
      <c r="A829" s="92"/>
      <c r="B829" s="93"/>
      <c r="C829" s="94"/>
      <c r="D829" s="94"/>
      <c r="E829" s="94"/>
      <c r="F829" s="60">
        <f>ПЛАТЕЖИ[[#This Row],[СЎМ]]+(ПЛАТЕЖИ[[#This Row],[ВАЛЮТА]]*ПЛАТЕЖИ[[#This Row],[КУРС]])</f>
        <v>0</v>
      </c>
      <c r="G829" s="93"/>
      <c r="H829" s="93"/>
      <c r="I829" s="165"/>
    </row>
    <row r="830" spans="1:9" x14ac:dyDescent="0.3">
      <c r="A830" s="92"/>
      <c r="B830" s="93"/>
      <c r="C830" s="94"/>
      <c r="D830" s="94"/>
      <c r="E830" s="94"/>
      <c r="F830" s="60">
        <f>ПЛАТЕЖИ[[#This Row],[СЎМ]]+(ПЛАТЕЖИ[[#This Row],[ВАЛЮТА]]*ПЛАТЕЖИ[[#This Row],[КУРС]])</f>
        <v>0</v>
      </c>
      <c r="G830" s="93"/>
      <c r="H830" s="93"/>
      <c r="I830" s="165"/>
    </row>
    <row r="831" spans="1:9" ht="15" customHeight="1" x14ac:dyDescent="0.3">
      <c r="A831" s="92"/>
      <c r="B831" s="93"/>
      <c r="C831" s="94"/>
      <c r="D831" s="94"/>
      <c r="E831" s="94"/>
      <c r="F831" s="60">
        <f>ПЛАТЕЖИ[[#This Row],[СЎМ]]+(ПЛАТЕЖИ[[#This Row],[ВАЛЮТА]]*ПЛАТЕЖИ[[#This Row],[КУРС]])</f>
        <v>0</v>
      </c>
      <c r="G831" s="93"/>
      <c r="I831" s="165"/>
    </row>
    <row r="832" spans="1:9" ht="15" customHeight="1" x14ac:dyDescent="0.3">
      <c r="A832" s="92"/>
      <c r="B832" s="93"/>
      <c r="C832" s="94"/>
      <c r="D832" s="94"/>
      <c r="E832" s="94"/>
      <c r="F832" s="60">
        <f>ПЛАТЕЖИ[[#This Row],[СЎМ]]+(ПЛАТЕЖИ[[#This Row],[ВАЛЮТА]]*ПЛАТЕЖИ[[#This Row],[КУРС]])</f>
        <v>0</v>
      </c>
      <c r="G832" s="93"/>
      <c r="I832" s="165"/>
    </row>
    <row r="833" spans="1:9" ht="15" customHeight="1" x14ac:dyDescent="0.3">
      <c r="A833" s="92"/>
      <c r="B833" s="93"/>
      <c r="C833" s="94"/>
      <c r="D833" s="94"/>
      <c r="E833" s="94"/>
      <c r="F833" s="60">
        <f>ПЛАТЕЖИ[[#This Row],[СЎМ]]+(ПЛАТЕЖИ[[#This Row],[ВАЛЮТА]]*ПЛАТЕЖИ[[#This Row],[КУРС]])</f>
        <v>0</v>
      </c>
      <c r="G833" s="93"/>
      <c r="H833" s="93"/>
      <c r="I833" s="165"/>
    </row>
    <row r="834" spans="1:9" ht="15" customHeight="1" x14ac:dyDescent="0.3">
      <c r="A834" s="92"/>
      <c r="B834" s="93"/>
      <c r="C834" s="94"/>
      <c r="D834" s="94"/>
      <c r="E834" s="94"/>
      <c r="F834" s="60">
        <f>ПЛАТЕЖИ[[#This Row],[СЎМ]]+(ПЛАТЕЖИ[[#This Row],[ВАЛЮТА]]*ПЛАТЕЖИ[[#This Row],[КУРС]])</f>
        <v>0</v>
      </c>
      <c r="G834" s="93"/>
      <c r="H834" s="93"/>
      <c r="I834" s="165"/>
    </row>
    <row r="835" spans="1:9" ht="15" customHeight="1" x14ac:dyDescent="0.3">
      <c r="A835" s="92"/>
      <c r="B835" s="93"/>
      <c r="C835" s="94"/>
      <c r="D835" s="94"/>
      <c r="E835" s="94"/>
      <c r="F835" s="60">
        <f>ПЛАТЕЖИ[[#This Row],[СЎМ]]+(ПЛАТЕЖИ[[#This Row],[ВАЛЮТА]]*ПЛАТЕЖИ[[#This Row],[КУРС]])</f>
        <v>0</v>
      </c>
      <c r="G835" s="93"/>
      <c r="H835" s="93"/>
      <c r="I835" s="165"/>
    </row>
    <row r="836" spans="1:9" ht="15" customHeight="1" x14ac:dyDescent="0.3">
      <c r="A836" s="92"/>
      <c r="B836" s="93"/>
      <c r="C836" s="94"/>
      <c r="D836" s="94"/>
      <c r="E836" s="94"/>
      <c r="F836" s="60">
        <f>ПЛАТЕЖИ[[#This Row],[СЎМ]]+(ПЛАТЕЖИ[[#This Row],[ВАЛЮТА]]*ПЛАТЕЖИ[[#This Row],[КУРС]])</f>
        <v>0</v>
      </c>
      <c r="G836" s="93"/>
      <c r="H836" s="93"/>
      <c r="I836" s="165"/>
    </row>
    <row r="837" spans="1:9" ht="15" customHeight="1" x14ac:dyDescent="0.3">
      <c r="A837" s="92"/>
      <c r="B837" s="93"/>
      <c r="C837" s="94"/>
      <c r="D837" s="94"/>
      <c r="E837" s="94"/>
      <c r="F837" s="60">
        <f>ПЛАТЕЖИ[[#This Row],[СЎМ]]+(ПЛАТЕЖИ[[#This Row],[ВАЛЮТА]]*ПЛАТЕЖИ[[#This Row],[КУРС]])</f>
        <v>0</v>
      </c>
      <c r="G837" s="93"/>
      <c r="H837" s="93"/>
      <c r="I837" s="165"/>
    </row>
    <row r="838" spans="1:9" ht="15" customHeight="1" x14ac:dyDescent="0.3">
      <c r="A838" s="92"/>
      <c r="B838" s="93"/>
      <c r="C838" s="94"/>
      <c r="D838" s="94"/>
      <c r="E838" s="94"/>
      <c r="F838" s="60">
        <f>ПЛАТЕЖИ[[#This Row],[СЎМ]]+(ПЛАТЕЖИ[[#This Row],[ВАЛЮТА]]*ПЛАТЕЖИ[[#This Row],[КУРС]])</f>
        <v>0</v>
      </c>
      <c r="G838" s="93"/>
      <c r="H838" s="93"/>
      <c r="I838" s="165"/>
    </row>
    <row r="839" spans="1:9" ht="15" customHeight="1" x14ac:dyDescent="0.3">
      <c r="A839" s="92"/>
      <c r="B839" s="93"/>
      <c r="C839" s="94"/>
      <c r="D839" s="94"/>
      <c r="E839" s="94"/>
      <c r="F839" s="60">
        <f>ПЛАТЕЖИ[[#This Row],[СЎМ]]+(ПЛАТЕЖИ[[#This Row],[ВАЛЮТА]]*ПЛАТЕЖИ[[#This Row],[КУРС]])</f>
        <v>0</v>
      </c>
      <c r="G839" s="93"/>
      <c r="H839" s="93"/>
      <c r="I839" s="165"/>
    </row>
    <row r="840" spans="1:9" ht="15" customHeight="1" x14ac:dyDescent="0.3">
      <c r="A840" s="92"/>
      <c r="B840" s="93"/>
      <c r="C840" s="94"/>
      <c r="D840" s="94"/>
      <c r="E840" s="94"/>
      <c r="F840" s="60">
        <f>ПЛАТЕЖИ[[#This Row],[СЎМ]]+(ПЛАТЕЖИ[[#This Row],[ВАЛЮТА]]*ПЛАТЕЖИ[[#This Row],[КУРС]])</f>
        <v>0</v>
      </c>
      <c r="G840" s="93"/>
      <c r="I840" s="165"/>
    </row>
    <row r="841" spans="1:9" ht="15" customHeight="1" x14ac:dyDescent="0.3">
      <c r="A841" s="92"/>
      <c r="B841" s="93"/>
      <c r="C841" s="94"/>
      <c r="D841" s="94"/>
      <c r="E841" s="94"/>
      <c r="F841" s="60">
        <f>ПЛАТЕЖИ[[#This Row],[СЎМ]]+(ПЛАТЕЖИ[[#This Row],[ВАЛЮТА]]*ПЛАТЕЖИ[[#This Row],[КУРС]])</f>
        <v>0</v>
      </c>
      <c r="G841" s="93"/>
      <c r="H841" s="93"/>
      <c r="I841" s="165"/>
    </row>
    <row r="842" spans="1:9" ht="15" customHeight="1" x14ac:dyDescent="0.3">
      <c r="A842" s="92"/>
      <c r="B842" s="93"/>
      <c r="C842" s="94"/>
      <c r="D842" s="94"/>
      <c r="E842" s="94"/>
      <c r="F842" s="60">
        <f>ПЛАТЕЖИ[[#This Row],[СЎМ]]+(ПЛАТЕЖИ[[#This Row],[ВАЛЮТА]]*ПЛАТЕЖИ[[#This Row],[КУРС]])</f>
        <v>0</v>
      </c>
      <c r="G842" s="93"/>
      <c r="H842" s="93"/>
      <c r="I842" s="165"/>
    </row>
    <row r="843" spans="1:9" ht="15" customHeight="1" x14ac:dyDescent="0.3">
      <c r="A843" s="92"/>
      <c r="B843" s="93"/>
      <c r="C843" s="94"/>
      <c r="D843" s="94"/>
      <c r="E843" s="94"/>
      <c r="F843" s="60">
        <f>ПЛАТЕЖИ[[#This Row],[СЎМ]]+(ПЛАТЕЖИ[[#This Row],[ВАЛЮТА]]*ПЛАТЕЖИ[[#This Row],[КУРС]])</f>
        <v>0</v>
      </c>
      <c r="G843" s="93"/>
      <c r="H843" s="93"/>
      <c r="I843" s="165"/>
    </row>
    <row r="844" spans="1:9" ht="15" customHeight="1" x14ac:dyDescent="0.3">
      <c r="A844" s="92"/>
      <c r="B844" s="93"/>
      <c r="C844" s="94"/>
      <c r="D844" s="94"/>
      <c r="E844" s="94"/>
      <c r="F844" s="60">
        <f>ПЛАТЕЖИ[[#This Row],[СЎМ]]+(ПЛАТЕЖИ[[#This Row],[ВАЛЮТА]]*ПЛАТЕЖИ[[#This Row],[КУРС]])</f>
        <v>0</v>
      </c>
      <c r="G844" s="93"/>
      <c r="I844" s="165"/>
    </row>
    <row r="845" spans="1:9" ht="15" customHeight="1" x14ac:dyDescent="0.3">
      <c r="A845" s="92"/>
      <c r="B845" s="93"/>
      <c r="C845" s="94"/>
      <c r="D845" s="94"/>
      <c r="E845" s="94"/>
      <c r="F845" s="60">
        <f>ПЛАТЕЖИ[[#This Row],[СЎМ]]+(ПЛАТЕЖИ[[#This Row],[ВАЛЮТА]]*ПЛАТЕЖИ[[#This Row],[КУРС]])</f>
        <v>0</v>
      </c>
      <c r="G845" s="93"/>
      <c r="H845" s="93"/>
      <c r="I845" s="165"/>
    </row>
    <row r="846" spans="1:9" ht="15" customHeight="1" x14ac:dyDescent="0.3">
      <c r="A846" s="92"/>
      <c r="B846" s="93"/>
      <c r="C846" s="94"/>
      <c r="D846" s="94"/>
      <c r="E846" s="94"/>
      <c r="F846" s="60">
        <f>ПЛАТЕЖИ[[#This Row],[СЎМ]]+(ПЛАТЕЖИ[[#This Row],[ВАЛЮТА]]*ПЛАТЕЖИ[[#This Row],[КУРС]])</f>
        <v>0</v>
      </c>
      <c r="G846" s="93"/>
      <c r="H846" s="93"/>
      <c r="I846" s="165"/>
    </row>
    <row r="847" spans="1:9" ht="15" customHeight="1" x14ac:dyDescent="0.3">
      <c r="A847" s="92"/>
      <c r="B847" s="93"/>
      <c r="C847" s="94"/>
      <c r="D847" s="94"/>
      <c r="E847" s="94"/>
      <c r="F847" s="60">
        <f>ПЛАТЕЖИ[[#This Row],[СЎМ]]+(ПЛАТЕЖИ[[#This Row],[ВАЛЮТА]]*ПЛАТЕЖИ[[#This Row],[КУРС]])</f>
        <v>0</v>
      </c>
      <c r="G847" s="93"/>
      <c r="H847" s="93"/>
      <c r="I847" s="165"/>
    </row>
    <row r="848" spans="1:9" ht="15" customHeight="1" x14ac:dyDescent="0.3">
      <c r="A848" s="92"/>
      <c r="B848" s="93"/>
      <c r="C848" s="94"/>
      <c r="D848" s="94"/>
      <c r="E848" s="94"/>
      <c r="F848" s="60">
        <f>ПЛАТЕЖИ[[#This Row],[СЎМ]]+(ПЛАТЕЖИ[[#This Row],[ВАЛЮТА]]*ПЛАТЕЖИ[[#This Row],[КУРС]])</f>
        <v>0</v>
      </c>
      <c r="G848" s="93"/>
      <c r="H848" s="93"/>
      <c r="I848" s="165"/>
    </row>
    <row r="849" spans="1:9" ht="15" customHeight="1" x14ac:dyDescent="0.3">
      <c r="A849" s="92"/>
      <c r="B849" s="93"/>
      <c r="C849" s="94"/>
      <c r="D849" s="94"/>
      <c r="E849" s="94"/>
      <c r="F849" s="60">
        <f>ПЛАТЕЖИ[[#This Row],[СЎМ]]+(ПЛАТЕЖИ[[#This Row],[ВАЛЮТА]]*ПЛАТЕЖИ[[#This Row],[КУРС]])</f>
        <v>0</v>
      </c>
      <c r="G849" s="93"/>
      <c r="H849" s="93"/>
      <c r="I849" s="165"/>
    </row>
    <row r="850" spans="1:9" ht="15" customHeight="1" x14ac:dyDescent="0.3">
      <c r="A850" s="92"/>
      <c r="B850" s="93"/>
      <c r="C850" s="94"/>
      <c r="D850" s="94"/>
      <c r="E850" s="94"/>
      <c r="F850" s="60">
        <f>ПЛАТЕЖИ[[#This Row],[СЎМ]]+(ПЛАТЕЖИ[[#This Row],[ВАЛЮТА]]*ПЛАТЕЖИ[[#This Row],[КУРС]])</f>
        <v>0</v>
      </c>
      <c r="G850" s="93"/>
      <c r="H850" s="93"/>
      <c r="I850" s="165"/>
    </row>
    <row r="851" spans="1:9" ht="15" customHeight="1" x14ac:dyDescent="0.3">
      <c r="A851" s="92"/>
      <c r="B851" s="93"/>
      <c r="C851" s="94"/>
      <c r="D851" s="94"/>
      <c r="E851" s="94"/>
      <c r="F851" s="60">
        <f>ПЛАТЕЖИ[[#This Row],[СЎМ]]+(ПЛАТЕЖИ[[#This Row],[ВАЛЮТА]]*ПЛАТЕЖИ[[#This Row],[КУРС]])</f>
        <v>0</v>
      </c>
      <c r="G851" s="93"/>
      <c r="H851" s="93"/>
      <c r="I851" s="165"/>
    </row>
    <row r="852" spans="1:9" ht="15" customHeight="1" x14ac:dyDescent="0.3">
      <c r="A852" s="92"/>
      <c r="B852" s="93"/>
      <c r="C852" s="94"/>
      <c r="D852" s="94"/>
      <c r="E852" s="94"/>
      <c r="F852" s="60">
        <f>ПЛАТЕЖИ[[#This Row],[СЎМ]]+(ПЛАТЕЖИ[[#This Row],[ВАЛЮТА]]*ПЛАТЕЖИ[[#This Row],[КУРС]])</f>
        <v>0</v>
      </c>
      <c r="G852" s="93"/>
      <c r="H852" s="93"/>
      <c r="I852" s="165"/>
    </row>
    <row r="853" spans="1:9" ht="15" customHeight="1" x14ac:dyDescent="0.3">
      <c r="A853" s="92"/>
      <c r="B853" s="93"/>
      <c r="C853" s="94"/>
      <c r="D853" s="94"/>
      <c r="E853" s="94"/>
      <c r="F853" s="60">
        <f>ПЛАТЕЖИ[[#This Row],[СЎМ]]+(ПЛАТЕЖИ[[#This Row],[ВАЛЮТА]]*ПЛАТЕЖИ[[#This Row],[КУРС]])</f>
        <v>0</v>
      </c>
      <c r="G853" s="93"/>
      <c r="H853" s="93"/>
      <c r="I853" s="165"/>
    </row>
    <row r="854" spans="1:9" ht="15" customHeight="1" x14ac:dyDescent="0.3">
      <c r="A854" s="92"/>
      <c r="B854" s="93"/>
      <c r="C854" s="94"/>
      <c r="D854" s="94"/>
      <c r="E854" s="94"/>
      <c r="F854" s="60">
        <f>ПЛАТЕЖИ[[#This Row],[СЎМ]]+(ПЛАТЕЖИ[[#This Row],[ВАЛЮТА]]*ПЛАТЕЖИ[[#This Row],[КУРС]])</f>
        <v>0</v>
      </c>
      <c r="G854" s="93"/>
      <c r="H854" s="93"/>
      <c r="I854" s="165"/>
    </row>
    <row r="855" spans="1:9" ht="15" customHeight="1" x14ac:dyDescent="0.3">
      <c r="A855" s="92"/>
      <c r="B855" s="93"/>
      <c r="C855" s="94"/>
      <c r="D855" s="94"/>
      <c r="E855" s="94"/>
      <c r="F855" s="60">
        <f>ПЛАТЕЖИ[[#This Row],[СЎМ]]+(ПЛАТЕЖИ[[#This Row],[ВАЛЮТА]]*ПЛАТЕЖИ[[#This Row],[КУРС]])</f>
        <v>0</v>
      </c>
      <c r="G855" s="93"/>
      <c r="H855" s="93"/>
      <c r="I855" s="165"/>
    </row>
    <row r="856" spans="1:9" ht="15" customHeight="1" x14ac:dyDescent="0.3">
      <c r="A856" s="92"/>
      <c r="B856" s="93"/>
      <c r="C856" s="94"/>
      <c r="D856" s="94"/>
      <c r="E856" s="94"/>
      <c r="F856" s="60">
        <f>ПЛАТЕЖИ[[#This Row],[СЎМ]]+(ПЛАТЕЖИ[[#This Row],[ВАЛЮТА]]*ПЛАТЕЖИ[[#This Row],[КУРС]])</f>
        <v>0</v>
      </c>
      <c r="G856" s="93"/>
      <c r="I856" s="165"/>
    </row>
    <row r="857" spans="1:9" ht="15" customHeight="1" x14ac:dyDescent="0.3">
      <c r="A857" s="92"/>
      <c r="B857" s="93"/>
      <c r="C857" s="94"/>
      <c r="D857" s="94"/>
      <c r="E857" s="94"/>
      <c r="F857" s="60">
        <f>ПЛАТЕЖИ[[#This Row],[СЎМ]]+(ПЛАТЕЖИ[[#This Row],[ВАЛЮТА]]*ПЛАТЕЖИ[[#This Row],[КУРС]])</f>
        <v>0</v>
      </c>
      <c r="G857" s="93"/>
      <c r="H857" s="93"/>
      <c r="I857" s="165"/>
    </row>
    <row r="858" spans="1:9" ht="15" customHeight="1" x14ac:dyDescent="0.3">
      <c r="A858" s="92"/>
      <c r="B858" s="93"/>
      <c r="C858" s="94"/>
      <c r="D858" s="94"/>
      <c r="E858" s="94"/>
      <c r="F858" s="60">
        <f>ПЛАТЕЖИ[[#This Row],[СЎМ]]+(ПЛАТЕЖИ[[#This Row],[ВАЛЮТА]]*ПЛАТЕЖИ[[#This Row],[КУРС]])</f>
        <v>0</v>
      </c>
      <c r="G858" s="93"/>
      <c r="H858" s="93"/>
      <c r="I858" s="165"/>
    </row>
    <row r="859" spans="1:9" ht="15" customHeight="1" x14ac:dyDescent="0.3">
      <c r="A859" s="92"/>
      <c r="B859" s="93"/>
      <c r="C859" s="94"/>
      <c r="D859" s="94"/>
      <c r="E859" s="94"/>
      <c r="F859" s="60">
        <f>ПЛАТЕЖИ[[#This Row],[СЎМ]]+(ПЛАТЕЖИ[[#This Row],[ВАЛЮТА]]*ПЛАТЕЖИ[[#This Row],[КУРС]])</f>
        <v>0</v>
      </c>
      <c r="G859" s="93"/>
      <c r="H859" s="93"/>
      <c r="I859" s="165"/>
    </row>
    <row r="860" spans="1:9" ht="15" customHeight="1" x14ac:dyDescent="0.3">
      <c r="A860" s="92"/>
      <c r="B860" s="93"/>
      <c r="C860" s="94"/>
      <c r="D860" s="94"/>
      <c r="E860" s="94"/>
      <c r="F860" s="60">
        <f>ПЛАТЕЖИ[[#This Row],[СЎМ]]+(ПЛАТЕЖИ[[#This Row],[ВАЛЮТА]]*ПЛАТЕЖИ[[#This Row],[КУРС]])</f>
        <v>0</v>
      </c>
      <c r="G860" s="93"/>
      <c r="I860" s="165"/>
    </row>
    <row r="861" spans="1:9" ht="15" customHeight="1" x14ac:dyDescent="0.3">
      <c r="A861" s="92"/>
      <c r="B861" s="93"/>
      <c r="C861" s="94"/>
      <c r="D861" s="94"/>
      <c r="E861" s="94"/>
      <c r="F861" s="60">
        <f>ПЛАТЕЖИ[[#This Row],[СЎМ]]+(ПЛАТЕЖИ[[#This Row],[ВАЛЮТА]]*ПЛАТЕЖИ[[#This Row],[КУРС]])</f>
        <v>0</v>
      </c>
      <c r="G861" s="93"/>
      <c r="I861" s="165"/>
    </row>
    <row r="862" spans="1:9" ht="15" customHeight="1" x14ac:dyDescent="0.3">
      <c r="A862" s="92"/>
      <c r="B862" s="93"/>
      <c r="C862" s="94"/>
      <c r="D862" s="94"/>
      <c r="E862" s="94"/>
      <c r="F862" s="60">
        <f>ПЛАТЕЖИ[[#This Row],[СЎМ]]+(ПЛАТЕЖИ[[#This Row],[ВАЛЮТА]]*ПЛАТЕЖИ[[#This Row],[КУРС]])</f>
        <v>0</v>
      </c>
      <c r="G862" s="93"/>
      <c r="H862" s="93"/>
      <c r="I862" s="165"/>
    </row>
    <row r="863" spans="1:9" ht="15" customHeight="1" x14ac:dyDescent="0.3">
      <c r="A863" s="92"/>
      <c r="B863" s="93"/>
      <c r="C863" s="94"/>
      <c r="D863" s="94"/>
      <c r="E863" s="94"/>
      <c r="F863" s="60">
        <f>ПЛАТЕЖИ[[#This Row],[СЎМ]]+(ПЛАТЕЖИ[[#This Row],[ВАЛЮТА]]*ПЛАТЕЖИ[[#This Row],[КУРС]])</f>
        <v>0</v>
      </c>
      <c r="G863" s="93"/>
      <c r="H863" s="93"/>
      <c r="I863" s="165"/>
    </row>
    <row r="864" spans="1:9" ht="15" customHeight="1" x14ac:dyDescent="0.3">
      <c r="A864" s="92"/>
      <c r="B864" s="93"/>
      <c r="C864" s="94"/>
      <c r="D864" s="94"/>
      <c r="E864" s="94"/>
      <c r="F864" s="60">
        <f>ПЛАТЕЖИ[[#This Row],[СЎМ]]+(ПЛАТЕЖИ[[#This Row],[ВАЛЮТА]]*ПЛАТЕЖИ[[#This Row],[КУРС]])</f>
        <v>0</v>
      </c>
      <c r="G864" s="93"/>
      <c r="H864" s="93"/>
      <c r="I864" s="165"/>
    </row>
    <row r="865" spans="1:9" ht="15" customHeight="1" x14ac:dyDescent="0.3">
      <c r="A865" s="92"/>
      <c r="B865" s="93"/>
      <c r="C865" s="94"/>
      <c r="D865" s="94"/>
      <c r="E865" s="94"/>
      <c r="F865" s="60">
        <f>ПЛАТЕЖИ[[#This Row],[СЎМ]]+(ПЛАТЕЖИ[[#This Row],[ВАЛЮТА]]*ПЛАТЕЖИ[[#This Row],[КУРС]])</f>
        <v>0</v>
      </c>
      <c r="G865" s="93"/>
      <c r="H865" s="93"/>
      <c r="I865" s="165"/>
    </row>
    <row r="866" spans="1:9" ht="15" customHeight="1" x14ac:dyDescent="0.3">
      <c r="A866" s="92"/>
      <c r="B866" s="93"/>
      <c r="C866" s="94"/>
      <c r="D866" s="94"/>
      <c r="E866" s="94"/>
      <c r="F866" s="60">
        <f>ПЛАТЕЖИ[[#This Row],[СЎМ]]+(ПЛАТЕЖИ[[#This Row],[ВАЛЮТА]]*ПЛАТЕЖИ[[#This Row],[КУРС]])</f>
        <v>0</v>
      </c>
      <c r="G866" s="93"/>
      <c r="H866" s="93"/>
      <c r="I866" s="165"/>
    </row>
    <row r="867" spans="1:9" ht="15" customHeight="1" x14ac:dyDescent="0.3">
      <c r="A867" s="92"/>
      <c r="B867" s="93"/>
      <c r="C867" s="94"/>
      <c r="D867" s="94"/>
      <c r="E867" s="94"/>
      <c r="F867" s="60">
        <f>ПЛАТЕЖИ[[#This Row],[СЎМ]]+(ПЛАТЕЖИ[[#This Row],[ВАЛЮТА]]*ПЛАТЕЖИ[[#This Row],[КУРС]])</f>
        <v>0</v>
      </c>
      <c r="G867" s="93"/>
      <c r="H867" s="93"/>
      <c r="I867" s="165"/>
    </row>
    <row r="868" spans="1:9" ht="15" customHeight="1" x14ac:dyDescent="0.3">
      <c r="A868" s="92"/>
      <c r="B868" s="93"/>
      <c r="C868" s="94"/>
      <c r="D868" s="94"/>
      <c r="E868" s="94"/>
      <c r="F868" s="60">
        <f>ПЛАТЕЖИ[[#This Row],[СЎМ]]+(ПЛАТЕЖИ[[#This Row],[ВАЛЮТА]]*ПЛАТЕЖИ[[#This Row],[КУРС]])</f>
        <v>0</v>
      </c>
      <c r="G868" s="93"/>
      <c r="H868" s="93"/>
      <c r="I868" s="165"/>
    </row>
    <row r="869" spans="1:9" ht="15" customHeight="1" x14ac:dyDescent="0.3">
      <c r="A869" s="92"/>
      <c r="B869" s="93"/>
      <c r="C869" s="94"/>
      <c r="D869" s="94"/>
      <c r="E869" s="94"/>
      <c r="F869" s="60">
        <f>ПЛАТЕЖИ[[#This Row],[СЎМ]]+(ПЛАТЕЖИ[[#This Row],[ВАЛЮТА]]*ПЛАТЕЖИ[[#This Row],[КУРС]])</f>
        <v>0</v>
      </c>
      <c r="G869" s="93"/>
      <c r="H869" s="93"/>
      <c r="I869" s="165"/>
    </row>
    <row r="870" spans="1:9" ht="15" customHeight="1" x14ac:dyDescent="0.3">
      <c r="A870" s="92"/>
      <c r="B870" s="93"/>
      <c r="C870" s="94"/>
      <c r="D870" s="94"/>
      <c r="E870" s="94"/>
      <c r="F870" s="60">
        <f>ПЛАТЕЖИ[[#This Row],[СЎМ]]+(ПЛАТЕЖИ[[#This Row],[ВАЛЮТА]]*ПЛАТЕЖИ[[#This Row],[КУРС]])</f>
        <v>0</v>
      </c>
      <c r="G870" s="93"/>
      <c r="H870" s="93"/>
      <c r="I870" s="165"/>
    </row>
    <row r="871" spans="1:9" ht="15" customHeight="1" x14ac:dyDescent="0.3">
      <c r="A871" s="92"/>
      <c r="B871" s="93"/>
      <c r="C871" s="94"/>
      <c r="D871" s="94"/>
      <c r="E871" s="94"/>
      <c r="F871" s="60">
        <f>ПЛАТЕЖИ[[#This Row],[СЎМ]]+(ПЛАТЕЖИ[[#This Row],[ВАЛЮТА]]*ПЛАТЕЖИ[[#This Row],[КУРС]])</f>
        <v>0</v>
      </c>
      <c r="G871" s="93"/>
      <c r="H871" s="93"/>
      <c r="I871" s="165"/>
    </row>
    <row r="872" spans="1:9" ht="15" customHeight="1" x14ac:dyDescent="0.3">
      <c r="A872" s="92"/>
      <c r="B872" s="93"/>
      <c r="C872" s="94"/>
      <c r="D872" s="94"/>
      <c r="E872" s="94"/>
      <c r="F872" s="60">
        <f>ПЛАТЕЖИ[[#This Row],[СЎМ]]+(ПЛАТЕЖИ[[#This Row],[ВАЛЮТА]]*ПЛАТЕЖИ[[#This Row],[КУРС]])</f>
        <v>0</v>
      </c>
      <c r="G872" s="93"/>
      <c r="H872" s="93"/>
      <c r="I872" s="165"/>
    </row>
    <row r="873" spans="1:9" ht="15" customHeight="1" x14ac:dyDescent="0.3">
      <c r="A873" s="92"/>
      <c r="B873" s="93"/>
      <c r="C873" s="94"/>
      <c r="D873" s="94"/>
      <c r="E873" s="94"/>
      <c r="F873" s="60">
        <f>ПЛАТЕЖИ[[#This Row],[СЎМ]]+(ПЛАТЕЖИ[[#This Row],[ВАЛЮТА]]*ПЛАТЕЖИ[[#This Row],[КУРС]])</f>
        <v>0</v>
      </c>
      <c r="G873" s="93"/>
      <c r="H873" s="93"/>
      <c r="I873" s="165"/>
    </row>
    <row r="874" spans="1:9" ht="15" customHeight="1" x14ac:dyDescent="0.3">
      <c r="A874" s="92"/>
      <c r="B874" s="93"/>
      <c r="C874" s="94"/>
      <c r="D874" s="94"/>
      <c r="E874" s="94"/>
      <c r="F874" s="60">
        <f>ПЛАТЕЖИ[[#This Row],[СЎМ]]+(ПЛАТЕЖИ[[#This Row],[ВАЛЮТА]]*ПЛАТЕЖИ[[#This Row],[КУРС]])</f>
        <v>0</v>
      </c>
      <c r="G874" s="93"/>
      <c r="I874" s="165"/>
    </row>
    <row r="875" spans="1:9" ht="15" customHeight="1" x14ac:dyDescent="0.3">
      <c r="A875" s="92"/>
      <c r="B875" s="93"/>
      <c r="C875" s="94"/>
      <c r="D875" s="94"/>
      <c r="E875" s="94"/>
      <c r="F875" s="60">
        <f>ПЛАТЕЖИ[[#This Row],[СЎМ]]+(ПЛАТЕЖИ[[#This Row],[ВАЛЮТА]]*ПЛАТЕЖИ[[#This Row],[КУРС]])</f>
        <v>0</v>
      </c>
      <c r="G875" s="93"/>
      <c r="H875" s="93"/>
      <c r="I875" s="165"/>
    </row>
    <row r="876" spans="1:9" ht="15" customHeight="1" x14ac:dyDescent="0.3">
      <c r="A876" s="92"/>
      <c r="B876" s="93"/>
      <c r="C876" s="94"/>
      <c r="D876" s="94"/>
      <c r="E876" s="94"/>
      <c r="F876" s="60">
        <f>ПЛАТЕЖИ[[#This Row],[СЎМ]]+(ПЛАТЕЖИ[[#This Row],[ВАЛЮТА]]*ПЛАТЕЖИ[[#This Row],[КУРС]])</f>
        <v>0</v>
      </c>
      <c r="G876" s="93"/>
      <c r="H876" s="93"/>
      <c r="I876" s="165"/>
    </row>
    <row r="877" spans="1:9" ht="15" customHeight="1" x14ac:dyDescent="0.3">
      <c r="A877" s="92"/>
      <c r="B877" s="93"/>
      <c r="C877" s="94"/>
      <c r="D877" s="94"/>
      <c r="E877" s="94"/>
      <c r="F877" s="60">
        <f>ПЛАТЕЖИ[[#This Row],[СЎМ]]+(ПЛАТЕЖИ[[#This Row],[ВАЛЮТА]]*ПЛАТЕЖИ[[#This Row],[КУРС]])</f>
        <v>0</v>
      </c>
      <c r="G877" s="93"/>
      <c r="H877" s="93"/>
      <c r="I877" s="165"/>
    </row>
    <row r="878" spans="1:9" ht="15" customHeight="1" x14ac:dyDescent="0.3">
      <c r="A878" s="92"/>
      <c r="B878" s="93"/>
      <c r="C878" s="94"/>
      <c r="D878" s="94"/>
      <c r="E878" s="94"/>
      <c r="F878" s="60">
        <f>ПЛАТЕЖИ[[#This Row],[СЎМ]]+(ПЛАТЕЖИ[[#This Row],[ВАЛЮТА]]*ПЛАТЕЖИ[[#This Row],[КУРС]])</f>
        <v>0</v>
      </c>
      <c r="G878" s="93"/>
      <c r="H878" s="93"/>
      <c r="I878" s="165"/>
    </row>
    <row r="879" spans="1:9" ht="15" customHeight="1" x14ac:dyDescent="0.3">
      <c r="A879" s="92"/>
      <c r="B879" s="93"/>
      <c r="C879" s="94"/>
      <c r="D879" s="94"/>
      <c r="E879" s="94"/>
      <c r="F879" s="60">
        <f>ПЛАТЕЖИ[[#This Row],[СЎМ]]+(ПЛАТЕЖИ[[#This Row],[ВАЛЮТА]]*ПЛАТЕЖИ[[#This Row],[КУРС]])</f>
        <v>0</v>
      </c>
      <c r="G879" s="93"/>
      <c r="H879" s="93"/>
      <c r="I879" s="165"/>
    </row>
    <row r="880" spans="1:9" ht="15" customHeight="1" x14ac:dyDescent="0.3">
      <c r="A880" s="92"/>
      <c r="B880" s="93"/>
      <c r="C880" s="94"/>
      <c r="D880" s="94"/>
      <c r="E880" s="94"/>
      <c r="F880" s="60">
        <f>ПЛАТЕЖИ[[#This Row],[СЎМ]]+(ПЛАТЕЖИ[[#This Row],[ВАЛЮТА]]*ПЛАТЕЖИ[[#This Row],[КУРС]])</f>
        <v>0</v>
      </c>
      <c r="G880" s="93"/>
      <c r="H880" s="93"/>
      <c r="I880" s="165"/>
    </row>
    <row r="881" spans="1:9" ht="15" customHeight="1" x14ac:dyDescent="0.3">
      <c r="A881" s="92"/>
      <c r="B881" s="93"/>
      <c r="C881" s="94"/>
      <c r="D881" s="94"/>
      <c r="E881" s="94"/>
      <c r="F881" s="60">
        <f>ПЛАТЕЖИ[[#This Row],[СЎМ]]+(ПЛАТЕЖИ[[#This Row],[ВАЛЮТА]]*ПЛАТЕЖИ[[#This Row],[КУРС]])</f>
        <v>0</v>
      </c>
      <c r="G881" s="93"/>
      <c r="H881" s="93"/>
      <c r="I881" s="165"/>
    </row>
    <row r="882" spans="1:9" ht="15" customHeight="1" x14ac:dyDescent="0.3">
      <c r="A882" s="92"/>
      <c r="B882" s="93"/>
      <c r="C882" s="94"/>
      <c r="D882" s="94"/>
      <c r="E882" s="94"/>
      <c r="F882" s="60">
        <f>ПЛАТЕЖИ[[#This Row],[СЎМ]]+(ПЛАТЕЖИ[[#This Row],[ВАЛЮТА]]*ПЛАТЕЖИ[[#This Row],[КУРС]])</f>
        <v>0</v>
      </c>
      <c r="G882" s="93"/>
      <c r="H882" s="93"/>
      <c r="I882" s="165"/>
    </row>
    <row r="883" spans="1:9" ht="15" customHeight="1" x14ac:dyDescent="0.3">
      <c r="A883" s="92"/>
      <c r="B883" s="93"/>
      <c r="C883" s="94"/>
      <c r="D883" s="94"/>
      <c r="E883" s="94"/>
      <c r="F883" s="60">
        <f>ПЛАТЕЖИ[[#This Row],[СЎМ]]+(ПЛАТЕЖИ[[#This Row],[ВАЛЮТА]]*ПЛАТЕЖИ[[#This Row],[КУРС]])</f>
        <v>0</v>
      </c>
      <c r="G883" s="93"/>
      <c r="I883" s="165"/>
    </row>
    <row r="884" spans="1:9" ht="15" customHeight="1" x14ac:dyDescent="0.3">
      <c r="A884" s="92"/>
      <c r="B884" s="93"/>
      <c r="C884" s="94"/>
      <c r="D884" s="94"/>
      <c r="E884" s="94"/>
      <c r="F884" s="60">
        <f>ПЛАТЕЖИ[[#This Row],[СЎМ]]+(ПЛАТЕЖИ[[#This Row],[ВАЛЮТА]]*ПЛАТЕЖИ[[#This Row],[КУРС]])</f>
        <v>0</v>
      </c>
      <c r="G884" s="93"/>
      <c r="H884" s="93"/>
      <c r="I884" s="165"/>
    </row>
    <row r="885" spans="1:9" ht="15" customHeight="1" x14ac:dyDescent="0.3">
      <c r="A885" s="92"/>
      <c r="B885" s="93"/>
      <c r="C885" s="94"/>
      <c r="D885" s="94"/>
      <c r="E885" s="94"/>
      <c r="F885" s="60">
        <f>ПЛАТЕЖИ[[#This Row],[СЎМ]]+(ПЛАТЕЖИ[[#This Row],[ВАЛЮТА]]*ПЛАТЕЖИ[[#This Row],[КУРС]])</f>
        <v>0</v>
      </c>
      <c r="G885" s="93"/>
      <c r="H885" s="93"/>
      <c r="I885" s="165"/>
    </row>
    <row r="886" spans="1:9" ht="15" customHeight="1" x14ac:dyDescent="0.3">
      <c r="A886" s="92"/>
      <c r="B886" s="93"/>
      <c r="C886" s="94"/>
      <c r="D886" s="94"/>
      <c r="E886" s="94"/>
      <c r="F886" s="60">
        <f>ПЛАТЕЖИ[[#This Row],[СЎМ]]+(ПЛАТЕЖИ[[#This Row],[ВАЛЮТА]]*ПЛАТЕЖИ[[#This Row],[КУРС]])</f>
        <v>0</v>
      </c>
      <c r="G886" s="93"/>
      <c r="H886" s="93"/>
      <c r="I886" s="165"/>
    </row>
    <row r="887" spans="1:9" ht="15" customHeight="1" x14ac:dyDescent="0.3">
      <c r="A887" s="92"/>
      <c r="B887" s="93"/>
      <c r="C887" s="94"/>
      <c r="D887" s="94"/>
      <c r="E887" s="94"/>
      <c r="F887" s="60">
        <f>ПЛАТЕЖИ[[#This Row],[СЎМ]]+(ПЛАТЕЖИ[[#This Row],[ВАЛЮТА]]*ПЛАТЕЖИ[[#This Row],[КУРС]])</f>
        <v>0</v>
      </c>
      <c r="G887" s="93"/>
      <c r="H887" s="93"/>
      <c r="I887" s="165"/>
    </row>
    <row r="888" spans="1:9" ht="15" customHeight="1" x14ac:dyDescent="0.3">
      <c r="A888" s="92"/>
      <c r="B888" s="93"/>
      <c r="C888" s="94"/>
      <c r="D888" s="94"/>
      <c r="E888" s="94"/>
      <c r="F888" s="60">
        <f>ПЛАТЕЖИ[[#This Row],[СЎМ]]+(ПЛАТЕЖИ[[#This Row],[ВАЛЮТА]]*ПЛАТЕЖИ[[#This Row],[КУРС]])</f>
        <v>0</v>
      </c>
      <c r="G888" s="93"/>
      <c r="H888" s="93"/>
      <c r="I888" s="165"/>
    </row>
    <row r="889" spans="1:9" ht="15" customHeight="1" x14ac:dyDescent="0.3">
      <c r="A889" s="92"/>
      <c r="B889" s="93"/>
      <c r="C889" s="94"/>
      <c r="D889" s="94"/>
      <c r="E889" s="94"/>
      <c r="F889" s="60">
        <f>ПЛАТЕЖИ[[#This Row],[СЎМ]]+(ПЛАТЕЖИ[[#This Row],[ВАЛЮТА]]*ПЛАТЕЖИ[[#This Row],[КУРС]])</f>
        <v>0</v>
      </c>
      <c r="G889" s="93"/>
      <c r="H889" s="93"/>
      <c r="I889" s="165"/>
    </row>
    <row r="890" spans="1:9" ht="15" customHeight="1" x14ac:dyDescent="0.3">
      <c r="A890" s="92"/>
      <c r="B890" s="93"/>
      <c r="C890" s="94"/>
      <c r="D890" s="94"/>
      <c r="E890" s="94"/>
      <c r="F890" s="60">
        <f>ПЛАТЕЖИ[[#This Row],[СЎМ]]+(ПЛАТЕЖИ[[#This Row],[ВАЛЮТА]]*ПЛАТЕЖИ[[#This Row],[КУРС]])</f>
        <v>0</v>
      </c>
      <c r="G890" s="93"/>
      <c r="H890" s="93"/>
      <c r="I890" s="165"/>
    </row>
    <row r="891" spans="1:9" ht="15" customHeight="1" x14ac:dyDescent="0.3">
      <c r="A891" s="92"/>
      <c r="B891" s="93"/>
      <c r="C891" s="94"/>
      <c r="D891" s="94"/>
      <c r="E891" s="94"/>
      <c r="F891" s="60">
        <f>ПЛАТЕЖИ[[#This Row],[СЎМ]]+(ПЛАТЕЖИ[[#This Row],[ВАЛЮТА]]*ПЛАТЕЖИ[[#This Row],[КУРС]])</f>
        <v>0</v>
      </c>
      <c r="G891" s="93"/>
      <c r="H891" s="93"/>
      <c r="I891" s="165"/>
    </row>
    <row r="892" spans="1:9" ht="15" customHeight="1" x14ac:dyDescent="0.3">
      <c r="A892" s="92"/>
      <c r="B892" s="93"/>
      <c r="C892" s="94"/>
      <c r="D892" s="94"/>
      <c r="E892" s="94"/>
      <c r="F892" s="60">
        <f>ПЛАТЕЖИ[[#This Row],[СЎМ]]+(ПЛАТЕЖИ[[#This Row],[ВАЛЮТА]]*ПЛАТЕЖИ[[#This Row],[КУРС]])</f>
        <v>0</v>
      </c>
      <c r="G892" s="93"/>
      <c r="H892" s="93"/>
      <c r="I892" s="165"/>
    </row>
    <row r="893" spans="1:9" ht="15" customHeight="1" x14ac:dyDescent="0.3">
      <c r="A893" s="92"/>
      <c r="B893" s="93"/>
      <c r="C893" s="94"/>
      <c r="D893" s="94"/>
      <c r="E893" s="94"/>
      <c r="F893" s="60">
        <f>ПЛАТЕЖИ[[#This Row],[СЎМ]]+(ПЛАТЕЖИ[[#This Row],[ВАЛЮТА]]*ПЛАТЕЖИ[[#This Row],[КУРС]])</f>
        <v>0</v>
      </c>
      <c r="G893" s="93"/>
      <c r="I893" s="165"/>
    </row>
    <row r="894" spans="1:9" ht="15" customHeight="1" x14ac:dyDescent="0.3">
      <c r="A894" s="92"/>
      <c r="B894" s="93"/>
      <c r="C894" s="94"/>
      <c r="D894" s="94"/>
      <c r="E894" s="94"/>
      <c r="F894" s="60">
        <f>ПЛАТЕЖИ[[#This Row],[СЎМ]]+(ПЛАТЕЖИ[[#This Row],[ВАЛЮТА]]*ПЛАТЕЖИ[[#This Row],[КУРС]])</f>
        <v>0</v>
      </c>
      <c r="G894" s="93"/>
      <c r="I894" s="165"/>
    </row>
    <row r="895" spans="1:9" ht="15" customHeight="1" x14ac:dyDescent="0.3">
      <c r="A895" s="92"/>
      <c r="B895" s="93"/>
      <c r="C895" s="94"/>
      <c r="D895" s="94"/>
      <c r="E895" s="94"/>
      <c r="F895" s="60">
        <f>ПЛАТЕЖИ[[#This Row],[СЎМ]]+(ПЛАТЕЖИ[[#This Row],[ВАЛЮТА]]*ПЛАТЕЖИ[[#This Row],[КУРС]])</f>
        <v>0</v>
      </c>
      <c r="G895" s="93"/>
      <c r="I895" s="165"/>
    </row>
    <row r="896" spans="1:9" ht="15" customHeight="1" x14ac:dyDescent="0.3">
      <c r="A896" s="92"/>
      <c r="B896" s="93"/>
      <c r="C896" s="94"/>
      <c r="D896" s="94"/>
      <c r="E896" s="94"/>
      <c r="F896" s="60">
        <f>ПЛАТЕЖИ[[#This Row],[СЎМ]]+(ПЛАТЕЖИ[[#This Row],[ВАЛЮТА]]*ПЛАТЕЖИ[[#This Row],[КУРС]])</f>
        <v>0</v>
      </c>
      <c r="G896" s="93"/>
      <c r="H896" s="93"/>
      <c r="I896" s="165"/>
    </row>
    <row r="897" spans="1:9" ht="15" customHeight="1" x14ac:dyDescent="0.3">
      <c r="A897" s="92"/>
      <c r="B897" s="93"/>
      <c r="C897" s="94"/>
      <c r="D897" s="94"/>
      <c r="E897" s="94"/>
      <c r="F897" s="60">
        <f>ПЛАТЕЖИ[[#This Row],[СЎМ]]+(ПЛАТЕЖИ[[#This Row],[ВАЛЮТА]]*ПЛАТЕЖИ[[#This Row],[КУРС]])</f>
        <v>0</v>
      </c>
      <c r="G897" s="93"/>
      <c r="I897" s="165"/>
    </row>
    <row r="898" spans="1:9" ht="15" customHeight="1" x14ac:dyDescent="0.3">
      <c r="A898" s="92"/>
      <c r="B898" s="93"/>
      <c r="C898" s="94"/>
      <c r="D898" s="94"/>
      <c r="E898" s="94"/>
      <c r="F898" s="60">
        <f>ПЛАТЕЖИ[[#This Row],[СЎМ]]+(ПЛАТЕЖИ[[#This Row],[ВАЛЮТА]]*ПЛАТЕЖИ[[#This Row],[КУРС]])</f>
        <v>0</v>
      </c>
      <c r="G898" s="93"/>
      <c r="H898" s="93"/>
      <c r="I898" s="165"/>
    </row>
    <row r="899" spans="1:9" ht="15" customHeight="1" x14ac:dyDescent="0.3">
      <c r="A899" s="92"/>
      <c r="B899" s="93"/>
      <c r="C899" s="94"/>
      <c r="D899" s="94"/>
      <c r="E899" s="94"/>
      <c r="F899" s="60">
        <f>ПЛАТЕЖИ[[#This Row],[СЎМ]]+(ПЛАТЕЖИ[[#This Row],[ВАЛЮТА]]*ПЛАТЕЖИ[[#This Row],[КУРС]])</f>
        <v>0</v>
      </c>
      <c r="G899" s="93"/>
      <c r="H899" s="93"/>
      <c r="I899" s="165"/>
    </row>
    <row r="900" spans="1:9" ht="15" customHeight="1" x14ac:dyDescent="0.3">
      <c r="A900" s="92"/>
      <c r="B900" s="93"/>
      <c r="C900" s="94"/>
      <c r="D900" s="94"/>
      <c r="E900" s="94"/>
      <c r="F900" s="60">
        <f>ПЛАТЕЖИ[[#This Row],[СЎМ]]+(ПЛАТЕЖИ[[#This Row],[ВАЛЮТА]]*ПЛАТЕЖИ[[#This Row],[КУРС]])</f>
        <v>0</v>
      </c>
      <c r="G900" s="93"/>
      <c r="H900" s="93"/>
      <c r="I900" s="165"/>
    </row>
    <row r="901" spans="1:9" ht="15" customHeight="1" x14ac:dyDescent="0.3">
      <c r="A901" s="92"/>
      <c r="B901" s="93"/>
      <c r="C901" s="94"/>
      <c r="D901" s="94"/>
      <c r="E901" s="94"/>
      <c r="F901" s="60">
        <f>ПЛАТЕЖИ[[#This Row],[СЎМ]]+(ПЛАТЕЖИ[[#This Row],[ВАЛЮТА]]*ПЛАТЕЖИ[[#This Row],[КУРС]])</f>
        <v>0</v>
      </c>
      <c r="G901" s="93"/>
      <c r="H901" s="93"/>
      <c r="I901" s="165"/>
    </row>
    <row r="902" spans="1:9" ht="15" customHeight="1" x14ac:dyDescent="0.3">
      <c r="A902" s="92"/>
      <c r="B902" s="93"/>
      <c r="C902" s="94"/>
      <c r="D902" s="94"/>
      <c r="E902" s="94"/>
      <c r="F902" s="60">
        <f>ПЛАТЕЖИ[[#This Row],[СЎМ]]+(ПЛАТЕЖИ[[#This Row],[ВАЛЮТА]]*ПЛАТЕЖИ[[#This Row],[КУРС]])</f>
        <v>0</v>
      </c>
      <c r="G902" s="93"/>
      <c r="I902" s="165"/>
    </row>
    <row r="903" spans="1:9" ht="15" customHeight="1" x14ac:dyDescent="0.3">
      <c r="A903" s="92"/>
      <c r="B903" s="93"/>
      <c r="C903" s="94"/>
      <c r="D903" s="94"/>
      <c r="E903" s="94"/>
      <c r="F903" s="60">
        <f>ПЛАТЕЖИ[[#This Row],[СЎМ]]+(ПЛАТЕЖИ[[#This Row],[ВАЛЮТА]]*ПЛАТЕЖИ[[#This Row],[КУРС]])</f>
        <v>0</v>
      </c>
      <c r="G903" s="93"/>
      <c r="H903" s="93"/>
      <c r="I903" s="165"/>
    </row>
    <row r="904" spans="1:9" ht="15" customHeight="1" x14ac:dyDescent="0.3">
      <c r="A904" s="92"/>
      <c r="B904" s="93"/>
      <c r="C904" s="94"/>
      <c r="D904" s="94"/>
      <c r="E904" s="94"/>
      <c r="F904" s="60">
        <f>ПЛАТЕЖИ[[#This Row],[СЎМ]]+(ПЛАТЕЖИ[[#This Row],[ВАЛЮТА]]*ПЛАТЕЖИ[[#This Row],[КУРС]])</f>
        <v>0</v>
      </c>
      <c r="G904" s="93"/>
      <c r="H904" s="93"/>
      <c r="I904" s="165"/>
    </row>
    <row r="905" spans="1:9" ht="15" customHeight="1" x14ac:dyDescent="0.3">
      <c r="A905" s="92"/>
      <c r="B905" s="93"/>
      <c r="C905" s="94"/>
      <c r="D905" s="94"/>
      <c r="E905" s="94"/>
      <c r="F905" s="60">
        <f>ПЛАТЕЖИ[[#This Row],[СЎМ]]+(ПЛАТЕЖИ[[#This Row],[ВАЛЮТА]]*ПЛАТЕЖИ[[#This Row],[КУРС]])</f>
        <v>0</v>
      </c>
      <c r="G905" s="93"/>
      <c r="H905" s="93"/>
      <c r="I905" s="165"/>
    </row>
    <row r="906" spans="1:9" ht="15" customHeight="1" x14ac:dyDescent="0.3">
      <c r="A906" s="92"/>
      <c r="B906" s="93"/>
      <c r="C906" s="94"/>
      <c r="D906" s="94"/>
      <c r="E906" s="94"/>
      <c r="F906" s="60">
        <f>ПЛАТЕЖИ[[#This Row],[СЎМ]]+(ПЛАТЕЖИ[[#This Row],[ВАЛЮТА]]*ПЛАТЕЖИ[[#This Row],[КУРС]])</f>
        <v>0</v>
      </c>
      <c r="G906" s="93"/>
      <c r="H906" s="93"/>
      <c r="I906" s="165"/>
    </row>
    <row r="907" spans="1:9" ht="15" customHeight="1" x14ac:dyDescent="0.3">
      <c r="A907" s="92"/>
      <c r="B907" s="93"/>
      <c r="C907" s="94"/>
      <c r="D907" s="94"/>
      <c r="E907" s="94"/>
      <c r="F907" s="60">
        <f>ПЛАТЕЖИ[[#This Row],[СЎМ]]+(ПЛАТЕЖИ[[#This Row],[ВАЛЮТА]]*ПЛАТЕЖИ[[#This Row],[КУРС]])</f>
        <v>0</v>
      </c>
      <c r="G907" s="93"/>
      <c r="H907" s="93"/>
      <c r="I907" s="165"/>
    </row>
    <row r="908" spans="1:9" ht="15" customHeight="1" x14ac:dyDescent="0.3">
      <c r="A908" s="92"/>
      <c r="B908" s="93"/>
      <c r="C908" s="94"/>
      <c r="D908" s="94"/>
      <c r="E908" s="94"/>
      <c r="F908" s="60">
        <f>ПЛАТЕЖИ[[#This Row],[СЎМ]]+(ПЛАТЕЖИ[[#This Row],[ВАЛЮТА]]*ПЛАТЕЖИ[[#This Row],[КУРС]])</f>
        <v>0</v>
      </c>
      <c r="G908" s="93"/>
      <c r="H908" s="93"/>
      <c r="I908" s="165"/>
    </row>
    <row r="909" spans="1:9" ht="15" customHeight="1" x14ac:dyDescent="0.3">
      <c r="A909" s="92"/>
      <c r="B909" s="93"/>
      <c r="C909" s="94"/>
      <c r="D909" s="94"/>
      <c r="E909" s="94"/>
      <c r="F909" s="60">
        <f>ПЛАТЕЖИ[[#This Row],[СЎМ]]+(ПЛАТЕЖИ[[#This Row],[ВАЛЮТА]]*ПЛАТЕЖИ[[#This Row],[КУРС]])</f>
        <v>0</v>
      </c>
      <c r="G909" s="93"/>
      <c r="H909" s="93"/>
      <c r="I909" s="165"/>
    </row>
    <row r="910" spans="1:9" ht="15" customHeight="1" x14ac:dyDescent="0.3">
      <c r="A910" s="92"/>
      <c r="B910" s="93"/>
      <c r="C910" s="94"/>
      <c r="D910" s="94"/>
      <c r="E910" s="94"/>
      <c r="F910" s="60">
        <f>ПЛАТЕЖИ[[#This Row],[СЎМ]]+(ПЛАТЕЖИ[[#This Row],[ВАЛЮТА]]*ПЛАТЕЖИ[[#This Row],[КУРС]])</f>
        <v>0</v>
      </c>
      <c r="G910" s="93"/>
      <c r="H910" s="93"/>
      <c r="I910" s="165"/>
    </row>
    <row r="911" spans="1:9" ht="15" customHeight="1" x14ac:dyDescent="0.3">
      <c r="A911" s="92"/>
      <c r="B911" s="93"/>
      <c r="C911" s="94"/>
      <c r="D911" s="94"/>
      <c r="E911" s="94"/>
      <c r="F911" s="60">
        <f>ПЛАТЕЖИ[[#This Row],[СЎМ]]+(ПЛАТЕЖИ[[#This Row],[ВАЛЮТА]]*ПЛАТЕЖИ[[#This Row],[КУРС]])</f>
        <v>0</v>
      </c>
      <c r="G911" s="93"/>
      <c r="H911" s="93"/>
      <c r="I911" s="165"/>
    </row>
    <row r="912" spans="1:9" ht="15" customHeight="1" x14ac:dyDescent="0.3">
      <c r="A912" s="92"/>
      <c r="B912" s="93"/>
      <c r="C912" s="94"/>
      <c r="D912" s="94"/>
      <c r="E912" s="94"/>
      <c r="F912" s="60">
        <f>ПЛАТЕЖИ[[#This Row],[СЎМ]]+(ПЛАТЕЖИ[[#This Row],[ВАЛЮТА]]*ПЛАТЕЖИ[[#This Row],[КУРС]])</f>
        <v>0</v>
      </c>
      <c r="G912" s="93"/>
      <c r="I912" s="165"/>
    </row>
    <row r="913" spans="1:9" ht="15" customHeight="1" x14ac:dyDescent="0.3">
      <c r="A913" s="92"/>
      <c r="B913" s="93"/>
      <c r="C913" s="94"/>
      <c r="D913" s="94"/>
      <c r="E913" s="94"/>
      <c r="F913" s="60">
        <f>ПЛАТЕЖИ[[#This Row],[СЎМ]]+(ПЛАТЕЖИ[[#This Row],[ВАЛЮТА]]*ПЛАТЕЖИ[[#This Row],[КУРС]])</f>
        <v>0</v>
      </c>
      <c r="G913" s="93"/>
      <c r="H913" s="93"/>
      <c r="I913" s="165"/>
    </row>
    <row r="914" spans="1:9" ht="15" customHeight="1" x14ac:dyDescent="0.3">
      <c r="A914" s="92"/>
      <c r="B914" s="93"/>
      <c r="C914" s="94"/>
      <c r="D914" s="94"/>
      <c r="E914" s="94"/>
      <c r="F914" s="60">
        <f>ПЛАТЕЖИ[[#This Row],[СЎМ]]+(ПЛАТЕЖИ[[#This Row],[ВАЛЮТА]]*ПЛАТЕЖИ[[#This Row],[КУРС]])</f>
        <v>0</v>
      </c>
      <c r="G914" s="93"/>
      <c r="H914" s="93"/>
      <c r="I914" s="165"/>
    </row>
    <row r="915" spans="1:9" ht="15" customHeight="1" x14ac:dyDescent="0.3">
      <c r="A915" s="92"/>
      <c r="B915" s="93"/>
      <c r="C915" s="94"/>
      <c r="D915" s="94"/>
      <c r="E915" s="94"/>
      <c r="F915" s="60">
        <f>ПЛАТЕЖИ[[#This Row],[СЎМ]]+(ПЛАТЕЖИ[[#This Row],[ВАЛЮТА]]*ПЛАТЕЖИ[[#This Row],[КУРС]])</f>
        <v>0</v>
      </c>
      <c r="G915" s="93"/>
      <c r="H915" s="93"/>
      <c r="I915" s="165"/>
    </row>
    <row r="916" spans="1:9" ht="15" customHeight="1" x14ac:dyDescent="0.3">
      <c r="A916" s="92"/>
      <c r="B916" s="93"/>
      <c r="C916" s="94"/>
      <c r="D916" s="94"/>
      <c r="E916" s="94"/>
      <c r="F916" s="60">
        <f>ПЛАТЕЖИ[[#This Row],[СЎМ]]+(ПЛАТЕЖИ[[#This Row],[ВАЛЮТА]]*ПЛАТЕЖИ[[#This Row],[КУРС]])</f>
        <v>0</v>
      </c>
      <c r="G916" s="93"/>
      <c r="H916" s="93"/>
      <c r="I916" s="165"/>
    </row>
    <row r="917" spans="1:9" ht="15" customHeight="1" x14ac:dyDescent="0.3">
      <c r="A917" s="92"/>
      <c r="B917" s="93"/>
      <c r="C917" s="94"/>
      <c r="D917" s="94"/>
      <c r="E917" s="94"/>
      <c r="F917" s="60">
        <f>ПЛАТЕЖИ[[#This Row],[СЎМ]]+(ПЛАТЕЖИ[[#This Row],[ВАЛЮТА]]*ПЛАТЕЖИ[[#This Row],[КУРС]])</f>
        <v>0</v>
      </c>
      <c r="G917" s="93"/>
      <c r="H917" s="93"/>
      <c r="I917" s="165"/>
    </row>
    <row r="918" spans="1:9" ht="15" customHeight="1" x14ac:dyDescent="0.3">
      <c r="A918" s="92"/>
      <c r="B918" s="93"/>
      <c r="C918" s="94"/>
      <c r="D918" s="94"/>
      <c r="E918" s="94"/>
      <c r="F918" s="60">
        <f>ПЛАТЕЖИ[[#This Row],[СЎМ]]+(ПЛАТЕЖИ[[#This Row],[ВАЛЮТА]]*ПЛАТЕЖИ[[#This Row],[КУРС]])</f>
        <v>0</v>
      </c>
      <c r="G918" s="93"/>
      <c r="H918" s="93"/>
      <c r="I918" s="165"/>
    </row>
    <row r="919" spans="1:9" ht="15" customHeight="1" x14ac:dyDescent="0.3">
      <c r="A919" s="92"/>
      <c r="B919" s="93"/>
      <c r="C919" s="94"/>
      <c r="D919" s="94"/>
      <c r="E919" s="94"/>
      <c r="F919" s="60">
        <f>ПЛАТЕЖИ[[#This Row],[СЎМ]]+(ПЛАТЕЖИ[[#This Row],[ВАЛЮТА]]*ПЛАТЕЖИ[[#This Row],[КУРС]])</f>
        <v>0</v>
      </c>
      <c r="G919" s="93"/>
      <c r="H919" s="93"/>
      <c r="I919" s="165"/>
    </row>
    <row r="920" spans="1:9" ht="15" customHeight="1" x14ac:dyDescent="0.3">
      <c r="A920" s="92"/>
      <c r="B920" s="93"/>
      <c r="C920" s="94"/>
      <c r="D920" s="94"/>
      <c r="E920" s="94"/>
      <c r="F920" s="60">
        <f>ПЛАТЕЖИ[[#This Row],[СЎМ]]+(ПЛАТЕЖИ[[#This Row],[ВАЛЮТА]]*ПЛАТЕЖИ[[#This Row],[КУРС]])</f>
        <v>0</v>
      </c>
      <c r="G920" s="93"/>
      <c r="H920" s="93"/>
      <c r="I920" s="165"/>
    </row>
    <row r="921" spans="1:9" ht="15" customHeight="1" x14ac:dyDescent="0.3">
      <c r="A921" s="92"/>
      <c r="B921" s="93"/>
      <c r="C921" s="94"/>
      <c r="D921" s="94"/>
      <c r="E921" s="94"/>
      <c r="F921" s="60">
        <f>ПЛАТЕЖИ[[#This Row],[СЎМ]]+(ПЛАТЕЖИ[[#This Row],[ВАЛЮТА]]*ПЛАТЕЖИ[[#This Row],[КУРС]])</f>
        <v>0</v>
      </c>
      <c r="G921" s="93"/>
      <c r="H921" s="93"/>
      <c r="I921" s="165"/>
    </row>
    <row r="922" spans="1:9" ht="15" customHeight="1" x14ac:dyDescent="0.3">
      <c r="A922" s="92"/>
      <c r="B922" s="93"/>
      <c r="C922" s="94"/>
      <c r="D922" s="94"/>
      <c r="E922" s="94"/>
      <c r="F922" s="60">
        <f>ПЛАТЕЖИ[[#This Row],[СЎМ]]+(ПЛАТЕЖИ[[#This Row],[ВАЛЮТА]]*ПЛАТЕЖИ[[#This Row],[КУРС]])</f>
        <v>0</v>
      </c>
      <c r="G922" s="93"/>
      <c r="H922" s="93"/>
      <c r="I922" s="165"/>
    </row>
    <row r="923" spans="1:9" ht="15" customHeight="1" x14ac:dyDescent="0.3">
      <c r="A923" s="92"/>
      <c r="B923" s="93"/>
      <c r="C923" s="94"/>
      <c r="D923" s="94"/>
      <c r="E923" s="94"/>
      <c r="F923" s="60">
        <f>ПЛАТЕЖИ[[#This Row],[СЎМ]]+(ПЛАТЕЖИ[[#This Row],[ВАЛЮТА]]*ПЛАТЕЖИ[[#This Row],[КУРС]])</f>
        <v>0</v>
      </c>
      <c r="G923" s="93"/>
      <c r="H923" s="93"/>
      <c r="I923" s="165"/>
    </row>
    <row r="924" spans="1:9" ht="15" customHeight="1" x14ac:dyDescent="0.3">
      <c r="A924" s="92"/>
      <c r="B924" s="93"/>
      <c r="C924" s="94"/>
      <c r="D924" s="94"/>
      <c r="E924" s="94"/>
      <c r="F924" s="60">
        <f>ПЛАТЕЖИ[[#This Row],[СЎМ]]+(ПЛАТЕЖИ[[#This Row],[ВАЛЮТА]]*ПЛАТЕЖИ[[#This Row],[КУРС]])</f>
        <v>0</v>
      </c>
      <c r="G924" s="93"/>
      <c r="H924" s="93"/>
      <c r="I924" s="165"/>
    </row>
    <row r="925" spans="1:9" ht="15" customHeight="1" x14ac:dyDescent="0.3">
      <c r="A925" s="92"/>
      <c r="B925" s="93"/>
      <c r="C925" s="94"/>
      <c r="D925" s="94"/>
      <c r="E925" s="94"/>
      <c r="F925" s="60">
        <f>ПЛАТЕЖИ[[#This Row],[СЎМ]]+(ПЛАТЕЖИ[[#This Row],[ВАЛЮТА]]*ПЛАТЕЖИ[[#This Row],[КУРС]])</f>
        <v>0</v>
      </c>
      <c r="G925" s="93"/>
      <c r="I925" s="165"/>
    </row>
    <row r="926" spans="1:9" ht="15" customHeight="1" x14ac:dyDescent="0.3">
      <c r="A926" s="92"/>
      <c r="B926" s="93"/>
      <c r="C926" s="94"/>
      <c r="D926" s="94"/>
      <c r="E926" s="94"/>
      <c r="F926" s="60">
        <f>ПЛАТЕЖИ[[#This Row],[СЎМ]]+(ПЛАТЕЖИ[[#This Row],[ВАЛЮТА]]*ПЛАТЕЖИ[[#This Row],[КУРС]])</f>
        <v>0</v>
      </c>
      <c r="G926" s="93"/>
      <c r="H926" s="93"/>
      <c r="I926" s="165"/>
    </row>
    <row r="927" spans="1:9" ht="15" customHeight="1" x14ac:dyDescent="0.3">
      <c r="A927" s="92"/>
      <c r="B927" s="93"/>
      <c r="C927" s="94"/>
      <c r="D927" s="94"/>
      <c r="E927" s="94"/>
      <c r="F927" s="60">
        <f>ПЛАТЕЖИ[[#This Row],[СЎМ]]+(ПЛАТЕЖИ[[#This Row],[ВАЛЮТА]]*ПЛАТЕЖИ[[#This Row],[КУРС]])</f>
        <v>0</v>
      </c>
      <c r="G927" s="93"/>
      <c r="H927" s="93"/>
      <c r="I927" s="165"/>
    </row>
    <row r="928" spans="1:9" ht="15" customHeight="1" x14ac:dyDescent="0.3">
      <c r="A928" s="92"/>
      <c r="B928" s="93"/>
      <c r="C928" s="94"/>
      <c r="D928" s="94"/>
      <c r="E928" s="94"/>
      <c r="F928" s="60">
        <f>ПЛАТЕЖИ[[#This Row],[СЎМ]]+(ПЛАТЕЖИ[[#This Row],[ВАЛЮТА]]*ПЛАТЕЖИ[[#This Row],[КУРС]])</f>
        <v>0</v>
      </c>
      <c r="G928" s="93"/>
      <c r="H928" s="93"/>
      <c r="I928" s="165"/>
    </row>
    <row r="929" spans="1:9" ht="15" customHeight="1" x14ac:dyDescent="0.3">
      <c r="A929" s="92"/>
      <c r="B929" s="93"/>
      <c r="C929" s="94"/>
      <c r="D929" s="94"/>
      <c r="E929" s="94"/>
      <c r="F929" s="60">
        <f>ПЛАТЕЖИ[[#This Row],[СЎМ]]+(ПЛАТЕЖИ[[#This Row],[ВАЛЮТА]]*ПЛАТЕЖИ[[#This Row],[КУРС]])</f>
        <v>0</v>
      </c>
      <c r="G929" s="93"/>
      <c r="I929" s="165"/>
    </row>
    <row r="930" spans="1:9" ht="15" customHeight="1" x14ac:dyDescent="0.3">
      <c r="A930" s="92"/>
      <c r="B930" s="93"/>
      <c r="C930" s="94"/>
      <c r="D930" s="94"/>
      <c r="E930" s="94"/>
      <c r="F930" s="60">
        <f>ПЛАТЕЖИ[[#This Row],[СЎМ]]+(ПЛАТЕЖИ[[#This Row],[ВАЛЮТА]]*ПЛАТЕЖИ[[#This Row],[КУРС]])</f>
        <v>0</v>
      </c>
      <c r="G930" s="93"/>
      <c r="I930" s="165"/>
    </row>
    <row r="931" spans="1:9" ht="15" customHeight="1" x14ac:dyDescent="0.3">
      <c r="A931" s="92"/>
      <c r="B931" s="93"/>
      <c r="C931" s="94"/>
      <c r="D931" s="94"/>
      <c r="E931" s="94"/>
      <c r="F931" s="60">
        <f>ПЛАТЕЖИ[[#This Row],[СЎМ]]+(ПЛАТЕЖИ[[#This Row],[ВАЛЮТА]]*ПЛАТЕЖИ[[#This Row],[КУРС]])</f>
        <v>0</v>
      </c>
      <c r="G931" s="93"/>
      <c r="I931" s="165"/>
    </row>
    <row r="932" spans="1:9" ht="15" customHeight="1" x14ac:dyDescent="0.3">
      <c r="A932" s="92"/>
      <c r="B932" s="93"/>
      <c r="C932" s="94"/>
      <c r="D932" s="94"/>
      <c r="E932" s="94"/>
      <c r="F932" s="60">
        <f>ПЛАТЕЖИ[[#This Row],[СЎМ]]+(ПЛАТЕЖИ[[#This Row],[ВАЛЮТА]]*ПЛАТЕЖИ[[#This Row],[КУРС]])</f>
        <v>0</v>
      </c>
      <c r="G932" s="93"/>
      <c r="I932" s="165"/>
    </row>
    <row r="933" spans="1:9" ht="15" customHeight="1" x14ac:dyDescent="0.3">
      <c r="A933" s="92"/>
      <c r="B933" s="93"/>
      <c r="C933" s="94"/>
      <c r="D933" s="94"/>
      <c r="E933" s="94"/>
      <c r="F933" s="60">
        <f>ПЛАТЕЖИ[[#This Row],[СЎМ]]+(ПЛАТЕЖИ[[#This Row],[ВАЛЮТА]]*ПЛАТЕЖИ[[#This Row],[КУРС]])</f>
        <v>0</v>
      </c>
      <c r="G933" s="93"/>
      <c r="I933" s="165"/>
    </row>
    <row r="934" spans="1:9" ht="15" customHeight="1" x14ac:dyDescent="0.3">
      <c r="A934" s="92"/>
      <c r="B934" s="93"/>
      <c r="C934" s="94"/>
      <c r="D934" s="94"/>
      <c r="E934" s="94"/>
      <c r="F934" s="60">
        <f>ПЛАТЕЖИ[[#This Row],[СЎМ]]+(ПЛАТЕЖИ[[#This Row],[ВАЛЮТА]]*ПЛАТЕЖИ[[#This Row],[КУРС]])</f>
        <v>0</v>
      </c>
      <c r="G934" s="93"/>
      <c r="I934" s="165"/>
    </row>
    <row r="935" spans="1:9" ht="15" customHeight="1" x14ac:dyDescent="0.3">
      <c r="A935" s="92"/>
      <c r="B935" s="93"/>
      <c r="C935" s="94"/>
      <c r="D935" s="94"/>
      <c r="E935" s="94"/>
      <c r="F935" s="60">
        <f>ПЛАТЕЖИ[[#This Row],[СЎМ]]+(ПЛАТЕЖИ[[#This Row],[ВАЛЮТА]]*ПЛАТЕЖИ[[#This Row],[КУРС]])</f>
        <v>0</v>
      </c>
      <c r="G935" s="93"/>
      <c r="I935" s="165"/>
    </row>
    <row r="936" spans="1:9" ht="15" customHeight="1" x14ac:dyDescent="0.3">
      <c r="A936" s="92"/>
      <c r="B936" s="93"/>
      <c r="C936" s="94"/>
      <c r="D936" s="94"/>
      <c r="E936" s="94"/>
      <c r="F936" s="60">
        <f>ПЛАТЕЖИ[[#This Row],[СЎМ]]+(ПЛАТЕЖИ[[#This Row],[ВАЛЮТА]]*ПЛАТЕЖИ[[#This Row],[КУРС]])</f>
        <v>0</v>
      </c>
      <c r="G936" s="93"/>
      <c r="H936" s="93"/>
      <c r="I936" s="165"/>
    </row>
    <row r="937" spans="1:9" ht="15" customHeight="1" x14ac:dyDescent="0.3">
      <c r="A937" s="92"/>
      <c r="B937" s="93"/>
      <c r="C937" s="94"/>
      <c r="D937" s="94"/>
      <c r="E937" s="94"/>
      <c r="F937" s="60">
        <f>ПЛАТЕЖИ[[#This Row],[СЎМ]]+(ПЛАТЕЖИ[[#This Row],[ВАЛЮТА]]*ПЛАТЕЖИ[[#This Row],[КУРС]])</f>
        <v>0</v>
      </c>
      <c r="G937" s="93"/>
      <c r="H937" s="93"/>
      <c r="I937" s="165"/>
    </row>
    <row r="938" spans="1:9" ht="15" customHeight="1" x14ac:dyDescent="0.3">
      <c r="A938" s="92"/>
      <c r="B938" s="93"/>
      <c r="C938" s="94"/>
      <c r="D938" s="94"/>
      <c r="E938" s="94"/>
      <c r="F938" s="60">
        <f>ПЛАТЕЖИ[[#This Row],[СЎМ]]+(ПЛАТЕЖИ[[#This Row],[ВАЛЮТА]]*ПЛАТЕЖИ[[#This Row],[КУРС]])</f>
        <v>0</v>
      </c>
      <c r="G938" s="93"/>
      <c r="H938" s="93"/>
      <c r="I938" s="165"/>
    </row>
    <row r="939" spans="1:9" ht="15" customHeight="1" x14ac:dyDescent="0.3">
      <c r="A939" s="92"/>
      <c r="B939" s="93"/>
      <c r="C939" s="94"/>
      <c r="D939" s="94"/>
      <c r="E939" s="94"/>
      <c r="F939" s="60">
        <f>ПЛАТЕЖИ[[#This Row],[СЎМ]]+(ПЛАТЕЖИ[[#This Row],[ВАЛЮТА]]*ПЛАТЕЖИ[[#This Row],[КУРС]])</f>
        <v>0</v>
      </c>
      <c r="G939" s="93"/>
      <c r="H939" s="93"/>
      <c r="I939" s="165"/>
    </row>
    <row r="940" spans="1:9" ht="15" customHeight="1" x14ac:dyDescent="0.3">
      <c r="A940" s="92"/>
      <c r="B940" s="93"/>
      <c r="C940" s="94"/>
      <c r="D940" s="94"/>
      <c r="E940" s="94"/>
      <c r="F940" s="60">
        <f>ПЛАТЕЖИ[[#This Row],[СЎМ]]+(ПЛАТЕЖИ[[#This Row],[ВАЛЮТА]]*ПЛАТЕЖИ[[#This Row],[КУРС]])</f>
        <v>0</v>
      </c>
      <c r="G940" s="93"/>
      <c r="H940" s="93"/>
      <c r="I940" s="165"/>
    </row>
    <row r="941" spans="1:9" ht="15" customHeight="1" x14ac:dyDescent="0.3">
      <c r="A941" s="92"/>
      <c r="B941" s="93"/>
      <c r="C941" s="94"/>
      <c r="D941" s="94"/>
      <c r="E941" s="94"/>
      <c r="F941" s="60">
        <f>ПЛАТЕЖИ[[#This Row],[СЎМ]]+(ПЛАТЕЖИ[[#This Row],[ВАЛЮТА]]*ПЛАТЕЖИ[[#This Row],[КУРС]])</f>
        <v>0</v>
      </c>
      <c r="G941" s="93"/>
      <c r="H941" s="93"/>
      <c r="I941" s="165"/>
    </row>
    <row r="942" spans="1:9" ht="15" customHeight="1" x14ac:dyDescent="0.3">
      <c r="A942" s="92"/>
      <c r="B942" s="93"/>
      <c r="C942" s="94"/>
      <c r="D942" s="94"/>
      <c r="E942" s="94"/>
      <c r="F942" s="60">
        <f>ПЛАТЕЖИ[[#This Row],[СЎМ]]+(ПЛАТЕЖИ[[#This Row],[ВАЛЮТА]]*ПЛАТЕЖИ[[#This Row],[КУРС]])</f>
        <v>0</v>
      </c>
      <c r="G942" s="93"/>
      <c r="I942" s="165"/>
    </row>
    <row r="943" spans="1:9" ht="15" customHeight="1" x14ac:dyDescent="0.3">
      <c r="A943" s="92"/>
      <c r="B943" s="93"/>
      <c r="C943" s="94"/>
      <c r="D943" s="94"/>
      <c r="E943" s="94"/>
      <c r="F943" s="60">
        <f>ПЛАТЕЖИ[[#This Row],[СЎМ]]+(ПЛАТЕЖИ[[#This Row],[ВАЛЮТА]]*ПЛАТЕЖИ[[#This Row],[КУРС]])</f>
        <v>0</v>
      </c>
      <c r="G943" s="93"/>
      <c r="H943" s="93"/>
      <c r="I943" s="165"/>
    </row>
    <row r="944" spans="1:9" ht="15" customHeight="1" x14ac:dyDescent="0.3">
      <c r="A944" s="92"/>
      <c r="B944" s="93"/>
      <c r="C944" s="94"/>
      <c r="D944" s="94"/>
      <c r="E944" s="94"/>
      <c r="F944" s="60">
        <f>ПЛАТЕЖИ[[#This Row],[СЎМ]]+(ПЛАТЕЖИ[[#This Row],[ВАЛЮТА]]*ПЛАТЕЖИ[[#This Row],[КУРС]])</f>
        <v>0</v>
      </c>
      <c r="G944" s="93"/>
      <c r="I944" s="165"/>
    </row>
    <row r="945" spans="1:9" ht="15" customHeight="1" x14ac:dyDescent="0.3">
      <c r="A945" s="92"/>
      <c r="B945" s="93"/>
      <c r="C945" s="94"/>
      <c r="D945" s="94"/>
      <c r="E945" s="94"/>
      <c r="F945" s="60">
        <f>ПЛАТЕЖИ[[#This Row],[СЎМ]]+(ПЛАТЕЖИ[[#This Row],[ВАЛЮТА]]*ПЛАТЕЖИ[[#This Row],[КУРС]])</f>
        <v>0</v>
      </c>
      <c r="G945" s="93"/>
      <c r="I945" s="165"/>
    </row>
    <row r="946" spans="1:9" ht="15" customHeight="1" x14ac:dyDescent="0.3">
      <c r="A946" s="92"/>
      <c r="B946" s="93"/>
      <c r="C946" s="94"/>
      <c r="D946" s="94"/>
      <c r="E946" s="94"/>
      <c r="F946" s="60">
        <f>ПЛАТЕЖИ[[#This Row],[СЎМ]]+(ПЛАТЕЖИ[[#This Row],[ВАЛЮТА]]*ПЛАТЕЖИ[[#This Row],[КУРС]])</f>
        <v>0</v>
      </c>
      <c r="G946" s="93"/>
      <c r="I946" s="165"/>
    </row>
    <row r="947" spans="1:9" ht="15" customHeight="1" x14ac:dyDescent="0.3">
      <c r="A947" s="92"/>
      <c r="B947" s="93"/>
      <c r="C947" s="94"/>
      <c r="D947" s="94"/>
      <c r="E947" s="94"/>
      <c r="F947" s="60">
        <f>ПЛАТЕЖИ[[#This Row],[СЎМ]]+(ПЛАТЕЖИ[[#This Row],[ВАЛЮТА]]*ПЛАТЕЖИ[[#This Row],[КУРС]])</f>
        <v>0</v>
      </c>
      <c r="G947" s="93"/>
      <c r="H947" s="93"/>
      <c r="I947" s="165"/>
    </row>
    <row r="948" spans="1:9" ht="15" customHeight="1" x14ac:dyDescent="0.3">
      <c r="A948" s="92"/>
      <c r="B948" s="93"/>
      <c r="C948" s="94"/>
      <c r="D948" s="94"/>
      <c r="E948" s="94"/>
      <c r="F948" s="60">
        <f>ПЛАТЕЖИ[[#This Row],[СЎМ]]+(ПЛАТЕЖИ[[#This Row],[ВАЛЮТА]]*ПЛАТЕЖИ[[#This Row],[КУРС]])</f>
        <v>0</v>
      </c>
      <c r="G948" s="93"/>
      <c r="H948" s="93"/>
      <c r="I948" s="165"/>
    </row>
    <row r="949" spans="1:9" ht="15" customHeight="1" x14ac:dyDescent="0.3">
      <c r="A949" s="92"/>
      <c r="B949" s="93"/>
      <c r="C949" s="94"/>
      <c r="D949" s="94"/>
      <c r="E949" s="94"/>
      <c r="F949" s="60">
        <f>ПЛАТЕЖИ[[#This Row],[СЎМ]]+(ПЛАТЕЖИ[[#This Row],[ВАЛЮТА]]*ПЛАТЕЖИ[[#This Row],[КУРС]])</f>
        <v>0</v>
      </c>
      <c r="G949" s="93"/>
      <c r="H949" s="93"/>
      <c r="I949" s="165"/>
    </row>
    <row r="950" spans="1:9" ht="15" customHeight="1" x14ac:dyDescent="0.3">
      <c r="A950" s="92"/>
      <c r="B950" s="93"/>
      <c r="C950" s="94"/>
      <c r="D950" s="94"/>
      <c r="E950" s="94"/>
      <c r="F950" s="60">
        <f>ПЛАТЕЖИ[[#This Row],[СЎМ]]+(ПЛАТЕЖИ[[#This Row],[ВАЛЮТА]]*ПЛАТЕЖИ[[#This Row],[КУРС]])</f>
        <v>0</v>
      </c>
      <c r="G950" s="93"/>
      <c r="I950" s="165"/>
    </row>
    <row r="951" spans="1:9" ht="15" customHeight="1" x14ac:dyDescent="0.3">
      <c r="A951" s="92"/>
      <c r="B951" s="93"/>
      <c r="C951" s="94"/>
      <c r="D951" s="94"/>
      <c r="E951" s="94"/>
      <c r="F951" s="60">
        <f>ПЛАТЕЖИ[[#This Row],[СЎМ]]+(ПЛАТЕЖИ[[#This Row],[ВАЛЮТА]]*ПЛАТЕЖИ[[#This Row],[КУРС]])</f>
        <v>0</v>
      </c>
      <c r="G951" s="93"/>
      <c r="I951" s="165"/>
    </row>
    <row r="952" spans="1:9" ht="15" customHeight="1" x14ac:dyDescent="0.3">
      <c r="A952" s="92"/>
      <c r="B952" s="93"/>
      <c r="C952" s="94"/>
      <c r="D952" s="94"/>
      <c r="E952" s="94"/>
      <c r="F952" s="60">
        <f>ПЛАТЕЖИ[[#This Row],[СЎМ]]+(ПЛАТЕЖИ[[#This Row],[ВАЛЮТА]]*ПЛАТЕЖИ[[#This Row],[КУРС]])</f>
        <v>0</v>
      </c>
      <c r="G952" s="93"/>
      <c r="H952" s="93"/>
      <c r="I952" s="165"/>
    </row>
    <row r="953" spans="1:9" ht="15" customHeight="1" x14ac:dyDescent="0.3">
      <c r="A953" s="92"/>
      <c r="B953" s="93"/>
      <c r="C953" s="94"/>
      <c r="D953" s="94"/>
      <c r="E953" s="94"/>
      <c r="F953" s="60">
        <f>ПЛАТЕЖИ[[#This Row],[СЎМ]]+(ПЛАТЕЖИ[[#This Row],[ВАЛЮТА]]*ПЛАТЕЖИ[[#This Row],[КУРС]])</f>
        <v>0</v>
      </c>
      <c r="G953" s="93"/>
      <c r="H953" s="93"/>
      <c r="I953" s="165"/>
    </row>
    <row r="954" spans="1:9" ht="15" customHeight="1" x14ac:dyDescent="0.3">
      <c r="A954" s="92"/>
      <c r="B954" s="93"/>
      <c r="C954" s="94"/>
      <c r="D954" s="94"/>
      <c r="E954" s="94"/>
      <c r="F954" s="60">
        <f>ПЛАТЕЖИ[[#This Row],[СЎМ]]+(ПЛАТЕЖИ[[#This Row],[ВАЛЮТА]]*ПЛАТЕЖИ[[#This Row],[КУРС]])</f>
        <v>0</v>
      </c>
      <c r="G954" s="93"/>
      <c r="H954" s="93"/>
      <c r="I954" s="165"/>
    </row>
    <row r="955" spans="1:9" ht="15" customHeight="1" x14ac:dyDescent="0.3">
      <c r="A955" s="92"/>
      <c r="B955" s="93"/>
      <c r="C955" s="94"/>
      <c r="D955" s="94"/>
      <c r="E955" s="94"/>
      <c r="F955" s="60">
        <f>ПЛАТЕЖИ[[#This Row],[СЎМ]]+(ПЛАТЕЖИ[[#This Row],[ВАЛЮТА]]*ПЛАТЕЖИ[[#This Row],[КУРС]])</f>
        <v>0</v>
      </c>
      <c r="G955" s="93"/>
      <c r="H955" s="93"/>
      <c r="I955" s="165"/>
    </row>
    <row r="956" spans="1:9" ht="15" customHeight="1" x14ac:dyDescent="0.3">
      <c r="A956" s="92"/>
      <c r="B956" s="93"/>
      <c r="C956" s="94"/>
      <c r="D956" s="94"/>
      <c r="E956" s="94"/>
      <c r="F956" s="60">
        <f>ПЛАТЕЖИ[[#This Row],[СЎМ]]+(ПЛАТЕЖИ[[#This Row],[ВАЛЮТА]]*ПЛАТЕЖИ[[#This Row],[КУРС]])</f>
        <v>0</v>
      </c>
      <c r="G956" s="93"/>
      <c r="H956" s="93"/>
      <c r="I956" s="165"/>
    </row>
    <row r="957" spans="1:9" ht="15" customHeight="1" x14ac:dyDescent="0.3">
      <c r="A957" s="92"/>
      <c r="B957" s="93"/>
      <c r="C957" s="94"/>
      <c r="D957" s="94"/>
      <c r="E957" s="94"/>
      <c r="F957" s="60">
        <f>ПЛАТЕЖИ[[#This Row],[СЎМ]]+(ПЛАТЕЖИ[[#This Row],[ВАЛЮТА]]*ПЛАТЕЖИ[[#This Row],[КУРС]])</f>
        <v>0</v>
      </c>
      <c r="G957" s="93"/>
      <c r="H957" s="93"/>
      <c r="I957" s="165"/>
    </row>
    <row r="958" spans="1:9" ht="15" customHeight="1" x14ac:dyDescent="0.3">
      <c r="A958" s="92"/>
      <c r="B958" s="93"/>
      <c r="C958" s="94"/>
      <c r="D958" s="94"/>
      <c r="E958" s="94"/>
      <c r="F958" s="60">
        <f>ПЛАТЕЖИ[[#This Row],[СЎМ]]+(ПЛАТЕЖИ[[#This Row],[ВАЛЮТА]]*ПЛАТЕЖИ[[#This Row],[КУРС]])</f>
        <v>0</v>
      </c>
      <c r="G958" s="93"/>
      <c r="H958" s="93"/>
      <c r="I958" s="165"/>
    </row>
    <row r="959" spans="1:9" ht="15" customHeight="1" x14ac:dyDescent="0.3">
      <c r="A959" s="92"/>
      <c r="B959" s="93"/>
      <c r="C959" s="94"/>
      <c r="D959" s="94"/>
      <c r="E959" s="94"/>
      <c r="F959" s="60">
        <f>ПЛАТЕЖИ[[#This Row],[СЎМ]]+(ПЛАТЕЖИ[[#This Row],[ВАЛЮТА]]*ПЛАТЕЖИ[[#This Row],[КУРС]])</f>
        <v>0</v>
      </c>
      <c r="G959" s="93"/>
      <c r="H959" s="93"/>
      <c r="I959" s="165"/>
    </row>
    <row r="960" spans="1:9" ht="15" customHeight="1" x14ac:dyDescent="0.3">
      <c r="A960" s="92"/>
      <c r="B960" s="93"/>
      <c r="C960" s="94"/>
      <c r="D960" s="94"/>
      <c r="E960" s="94"/>
      <c r="F960" s="60">
        <f>ПЛАТЕЖИ[[#This Row],[СЎМ]]+(ПЛАТЕЖИ[[#This Row],[ВАЛЮТА]]*ПЛАТЕЖИ[[#This Row],[КУРС]])</f>
        <v>0</v>
      </c>
      <c r="G960" s="93"/>
      <c r="H960" s="93"/>
      <c r="I960" s="165"/>
    </row>
    <row r="961" spans="1:9" ht="15" customHeight="1" x14ac:dyDescent="0.3">
      <c r="A961" s="92"/>
      <c r="B961" s="93"/>
      <c r="C961" s="94"/>
      <c r="D961" s="94"/>
      <c r="E961" s="94"/>
      <c r="F961" s="60">
        <f>ПЛАТЕЖИ[[#This Row],[СЎМ]]+(ПЛАТЕЖИ[[#This Row],[ВАЛЮТА]]*ПЛАТЕЖИ[[#This Row],[КУРС]])</f>
        <v>0</v>
      </c>
      <c r="G961" s="93"/>
      <c r="I961" s="165"/>
    </row>
    <row r="962" spans="1:9" ht="15" customHeight="1" x14ac:dyDescent="0.3">
      <c r="A962" s="92"/>
      <c r="B962" s="93"/>
      <c r="C962" s="94"/>
      <c r="D962" s="94"/>
      <c r="E962" s="94"/>
      <c r="F962" s="60">
        <f>ПЛАТЕЖИ[[#This Row],[СЎМ]]+(ПЛАТЕЖИ[[#This Row],[ВАЛЮТА]]*ПЛАТЕЖИ[[#This Row],[КУРС]])</f>
        <v>0</v>
      </c>
      <c r="G962" s="93"/>
      <c r="I962" s="165"/>
    </row>
    <row r="963" spans="1:9" ht="15" customHeight="1" x14ac:dyDescent="0.3">
      <c r="A963" s="92"/>
      <c r="B963" s="93"/>
      <c r="C963" s="94"/>
      <c r="D963" s="94"/>
      <c r="E963" s="94"/>
      <c r="F963" s="60">
        <f>ПЛАТЕЖИ[[#This Row],[СЎМ]]+(ПЛАТЕЖИ[[#This Row],[ВАЛЮТА]]*ПЛАТЕЖИ[[#This Row],[КУРС]])</f>
        <v>0</v>
      </c>
      <c r="G963" s="93"/>
      <c r="I963" s="165"/>
    </row>
    <row r="964" spans="1:9" ht="15" customHeight="1" x14ac:dyDescent="0.3">
      <c r="A964" s="92"/>
      <c r="B964" s="93"/>
      <c r="C964" s="94"/>
      <c r="D964" s="94"/>
      <c r="E964" s="94"/>
      <c r="F964" s="60">
        <f>ПЛАТЕЖИ[[#This Row],[СЎМ]]+(ПЛАТЕЖИ[[#This Row],[ВАЛЮТА]]*ПЛАТЕЖИ[[#This Row],[КУРС]])</f>
        <v>0</v>
      </c>
      <c r="G964" s="93"/>
      <c r="I964" s="165"/>
    </row>
    <row r="965" spans="1:9" ht="15" customHeight="1" x14ac:dyDescent="0.3">
      <c r="A965" s="92"/>
      <c r="B965" s="93"/>
      <c r="C965" s="94"/>
      <c r="D965" s="94"/>
      <c r="E965" s="94"/>
      <c r="F965" s="60">
        <f>ПЛАТЕЖИ[[#This Row],[СЎМ]]+(ПЛАТЕЖИ[[#This Row],[ВАЛЮТА]]*ПЛАТЕЖИ[[#This Row],[КУРС]])</f>
        <v>0</v>
      </c>
      <c r="G965" s="93"/>
      <c r="I965" s="165"/>
    </row>
    <row r="966" spans="1:9" ht="15" customHeight="1" x14ac:dyDescent="0.3">
      <c r="A966" s="92"/>
      <c r="B966" s="93"/>
      <c r="C966" s="94"/>
      <c r="D966" s="94"/>
      <c r="E966" s="94"/>
      <c r="F966" s="60">
        <f>ПЛАТЕЖИ[[#This Row],[СЎМ]]+(ПЛАТЕЖИ[[#This Row],[ВАЛЮТА]]*ПЛАТЕЖИ[[#This Row],[КУРС]])</f>
        <v>0</v>
      </c>
      <c r="G966" s="93"/>
      <c r="I966" s="165"/>
    </row>
    <row r="967" spans="1:9" ht="15" customHeight="1" x14ac:dyDescent="0.3">
      <c r="A967" s="92"/>
      <c r="B967" s="93"/>
      <c r="C967" s="94"/>
      <c r="D967" s="94"/>
      <c r="E967" s="94"/>
      <c r="F967" s="60">
        <f>ПЛАТЕЖИ[[#This Row],[СЎМ]]+(ПЛАТЕЖИ[[#This Row],[ВАЛЮТА]]*ПЛАТЕЖИ[[#This Row],[КУРС]])</f>
        <v>0</v>
      </c>
      <c r="G967" s="93"/>
      <c r="H967" s="93"/>
      <c r="I967" s="165"/>
    </row>
    <row r="968" spans="1:9" ht="15" customHeight="1" x14ac:dyDescent="0.3">
      <c r="A968" s="92"/>
      <c r="B968" s="93"/>
      <c r="C968" s="94"/>
      <c r="D968" s="94"/>
      <c r="E968" s="94"/>
      <c r="F968" s="60">
        <f>ПЛАТЕЖИ[[#This Row],[СЎМ]]+(ПЛАТЕЖИ[[#This Row],[ВАЛЮТА]]*ПЛАТЕЖИ[[#This Row],[КУРС]])</f>
        <v>0</v>
      </c>
      <c r="G968" s="93"/>
      <c r="I968" s="165"/>
    </row>
    <row r="969" spans="1:9" ht="15" customHeight="1" x14ac:dyDescent="0.3">
      <c r="A969" s="92"/>
      <c r="B969" s="93"/>
      <c r="C969" s="94"/>
      <c r="D969" s="94"/>
      <c r="E969" s="94"/>
      <c r="F969" s="60">
        <f>ПЛАТЕЖИ[[#This Row],[СЎМ]]+(ПЛАТЕЖИ[[#This Row],[ВАЛЮТА]]*ПЛАТЕЖИ[[#This Row],[КУРС]])</f>
        <v>0</v>
      </c>
      <c r="G969" s="93"/>
      <c r="H969" s="93"/>
      <c r="I969" s="165"/>
    </row>
    <row r="970" spans="1:9" ht="15" customHeight="1" x14ac:dyDescent="0.3">
      <c r="A970" s="92"/>
      <c r="B970" s="93"/>
      <c r="C970" s="94"/>
      <c r="D970" s="94"/>
      <c r="E970" s="94"/>
      <c r="F970" s="60">
        <f>ПЛАТЕЖИ[[#This Row],[СЎМ]]+(ПЛАТЕЖИ[[#This Row],[ВАЛЮТА]]*ПЛАТЕЖИ[[#This Row],[КУРС]])</f>
        <v>0</v>
      </c>
      <c r="G970" s="93"/>
      <c r="H970" s="93"/>
      <c r="I970" s="165"/>
    </row>
    <row r="971" spans="1:9" ht="15" customHeight="1" x14ac:dyDescent="0.3">
      <c r="A971" s="92"/>
      <c r="B971" s="93"/>
      <c r="C971" s="94"/>
      <c r="D971" s="94"/>
      <c r="E971" s="94"/>
      <c r="F971" s="60">
        <f>ПЛАТЕЖИ[[#This Row],[СЎМ]]+(ПЛАТЕЖИ[[#This Row],[ВАЛЮТА]]*ПЛАТЕЖИ[[#This Row],[КУРС]])</f>
        <v>0</v>
      </c>
      <c r="G971" s="93"/>
      <c r="H971" s="93"/>
      <c r="I971" s="165"/>
    </row>
    <row r="972" spans="1:9" ht="15" customHeight="1" x14ac:dyDescent="0.3">
      <c r="A972" s="92"/>
      <c r="B972" s="93"/>
      <c r="C972" s="94"/>
      <c r="D972" s="94"/>
      <c r="E972" s="94"/>
      <c r="F972" s="60">
        <f>ПЛАТЕЖИ[[#This Row],[СЎМ]]+(ПЛАТЕЖИ[[#This Row],[ВАЛЮТА]]*ПЛАТЕЖИ[[#This Row],[КУРС]])</f>
        <v>0</v>
      </c>
      <c r="G972" s="93"/>
      <c r="H972" s="93"/>
      <c r="I972" s="165"/>
    </row>
    <row r="973" spans="1:9" ht="15" customHeight="1" x14ac:dyDescent="0.3">
      <c r="A973" s="92"/>
      <c r="B973" s="93"/>
      <c r="C973" s="94"/>
      <c r="D973" s="94"/>
      <c r="E973" s="94"/>
      <c r="F973" s="60">
        <f>ПЛАТЕЖИ[[#This Row],[СЎМ]]+(ПЛАТЕЖИ[[#This Row],[ВАЛЮТА]]*ПЛАТЕЖИ[[#This Row],[КУРС]])</f>
        <v>0</v>
      </c>
      <c r="G973" s="93"/>
      <c r="H973" s="93"/>
      <c r="I973" s="165"/>
    </row>
    <row r="974" spans="1:9" ht="15" customHeight="1" x14ac:dyDescent="0.3">
      <c r="A974" s="92"/>
      <c r="B974" s="93"/>
      <c r="C974" s="94"/>
      <c r="D974" s="94"/>
      <c r="E974" s="94"/>
      <c r="F974" s="60">
        <f>ПЛАТЕЖИ[[#This Row],[СЎМ]]+(ПЛАТЕЖИ[[#This Row],[ВАЛЮТА]]*ПЛАТЕЖИ[[#This Row],[КУРС]])</f>
        <v>0</v>
      </c>
      <c r="G974" s="93"/>
      <c r="H974" s="93"/>
      <c r="I974" s="165"/>
    </row>
    <row r="975" spans="1:9" ht="15" customHeight="1" x14ac:dyDescent="0.3">
      <c r="A975" s="92"/>
      <c r="B975" s="93"/>
      <c r="C975" s="94"/>
      <c r="D975" s="94"/>
      <c r="E975" s="94"/>
      <c r="F975" s="60">
        <f>ПЛАТЕЖИ[[#This Row],[СЎМ]]+(ПЛАТЕЖИ[[#This Row],[ВАЛЮТА]]*ПЛАТЕЖИ[[#This Row],[КУРС]])</f>
        <v>0</v>
      </c>
      <c r="G975" s="93"/>
      <c r="H975" s="93"/>
      <c r="I975" s="165"/>
    </row>
    <row r="976" spans="1:9" ht="15" customHeight="1" x14ac:dyDescent="0.3">
      <c r="A976" s="92"/>
      <c r="B976" s="93"/>
      <c r="C976" s="94"/>
      <c r="D976" s="94"/>
      <c r="E976" s="94"/>
      <c r="F976" s="60">
        <f>ПЛАТЕЖИ[[#This Row],[СЎМ]]+(ПЛАТЕЖИ[[#This Row],[ВАЛЮТА]]*ПЛАТЕЖИ[[#This Row],[КУРС]])</f>
        <v>0</v>
      </c>
      <c r="G976" s="93"/>
      <c r="H976" s="93"/>
      <c r="I976" s="165"/>
    </row>
    <row r="977" spans="1:9" ht="15" customHeight="1" x14ac:dyDescent="0.3">
      <c r="A977" s="92"/>
      <c r="B977" s="93"/>
      <c r="C977" s="94"/>
      <c r="D977" s="94"/>
      <c r="E977" s="94"/>
      <c r="F977" s="60">
        <f>ПЛАТЕЖИ[[#This Row],[СЎМ]]+(ПЛАТЕЖИ[[#This Row],[ВАЛЮТА]]*ПЛАТЕЖИ[[#This Row],[КУРС]])</f>
        <v>0</v>
      </c>
      <c r="G977" s="93"/>
      <c r="H977" s="93"/>
      <c r="I977" s="165"/>
    </row>
    <row r="978" spans="1:9" ht="15" customHeight="1" x14ac:dyDescent="0.3">
      <c r="A978" s="92"/>
      <c r="B978" s="93"/>
      <c r="C978" s="94"/>
      <c r="D978" s="94"/>
      <c r="E978" s="94"/>
      <c r="F978" s="60">
        <f>ПЛАТЕЖИ[[#This Row],[СЎМ]]+(ПЛАТЕЖИ[[#This Row],[ВАЛЮТА]]*ПЛАТЕЖИ[[#This Row],[КУРС]])</f>
        <v>0</v>
      </c>
      <c r="G978" s="93"/>
      <c r="H978" s="93"/>
      <c r="I978" s="165"/>
    </row>
    <row r="979" spans="1:9" ht="15" customHeight="1" x14ac:dyDescent="0.3">
      <c r="A979" s="92"/>
      <c r="B979" s="93"/>
      <c r="C979" s="94"/>
      <c r="D979" s="94"/>
      <c r="E979" s="94"/>
      <c r="F979" s="60">
        <f>ПЛАТЕЖИ[[#This Row],[СЎМ]]+(ПЛАТЕЖИ[[#This Row],[ВАЛЮТА]]*ПЛАТЕЖИ[[#This Row],[КУРС]])</f>
        <v>0</v>
      </c>
      <c r="G979" s="93"/>
      <c r="I979" s="165"/>
    </row>
    <row r="980" spans="1:9" ht="15" customHeight="1" x14ac:dyDescent="0.3">
      <c r="A980" s="92"/>
      <c r="B980" s="93"/>
      <c r="C980" s="94"/>
      <c r="D980" s="94"/>
      <c r="E980" s="94"/>
      <c r="F980" s="60">
        <f>ПЛАТЕЖИ[[#This Row],[СЎМ]]+(ПЛАТЕЖИ[[#This Row],[ВАЛЮТА]]*ПЛАТЕЖИ[[#This Row],[КУРС]])</f>
        <v>0</v>
      </c>
      <c r="G980" s="93"/>
      <c r="H980" s="93"/>
      <c r="I980" s="165"/>
    </row>
    <row r="981" spans="1:9" ht="15" customHeight="1" x14ac:dyDescent="0.3">
      <c r="A981" s="92"/>
      <c r="B981" s="93"/>
      <c r="C981" s="94"/>
      <c r="D981" s="94"/>
      <c r="E981" s="94"/>
      <c r="F981" s="60">
        <f>ПЛАТЕЖИ[[#This Row],[СЎМ]]+(ПЛАТЕЖИ[[#This Row],[ВАЛЮТА]]*ПЛАТЕЖИ[[#This Row],[КУРС]])</f>
        <v>0</v>
      </c>
      <c r="G981" s="93"/>
      <c r="H981" s="93"/>
      <c r="I981" s="165"/>
    </row>
    <row r="982" spans="1:9" ht="15" customHeight="1" x14ac:dyDescent="0.3">
      <c r="A982" s="92"/>
      <c r="B982" s="93"/>
      <c r="C982" s="94"/>
      <c r="D982" s="94"/>
      <c r="E982" s="94"/>
      <c r="F982" s="60">
        <f>ПЛАТЕЖИ[[#This Row],[СЎМ]]+(ПЛАТЕЖИ[[#This Row],[ВАЛЮТА]]*ПЛАТЕЖИ[[#This Row],[КУРС]])</f>
        <v>0</v>
      </c>
      <c r="G982" s="93"/>
      <c r="H982" s="93"/>
      <c r="I982" s="165"/>
    </row>
    <row r="983" spans="1:9" ht="15" customHeight="1" x14ac:dyDescent="0.3">
      <c r="A983" s="92"/>
      <c r="B983" s="93"/>
      <c r="C983" s="94"/>
      <c r="D983" s="94"/>
      <c r="E983" s="94"/>
      <c r="F983" s="60">
        <f>ПЛАТЕЖИ[[#This Row],[СЎМ]]+(ПЛАТЕЖИ[[#This Row],[ВАЛЮТА]]*ПЛАТЕЖИ[[#This Row],[КУРС]])</f>
        <v>0</v>
      </c>
      <c r="G983" s="93"/>
      <c r="H983" s="93"/>
      <c r="I983" s="165"/>
    </row>
    <row r="984" spans="1:9" ht="15" customHeight="1" x14ac:dyDescent="0.3">
      <c r="A984" s="92"/>
      <c r="B984" s="93"/>
      <c r="C984" s="94"/>
      <c r="D984" s="94"/>
      <c r="E984" s="94"/>
      <c r="F984" s="60">
        <f>ПЛАТЕЖИ[[#This Row],[СЎМ]]+(ПЛАТЕЖИ[[#This Row],[ВАЛЮТА]]*ПЛАТЕЖИ[[#This Row],[КУРС]])</f>
        <v>0</v>
      </c>
      <c r="G984" s="93"/>
      <c r="H984" s="93"/>
      <c r="I984" s="165"/>
    </row>
    <row r="985" spans="1:9" ht="15" customHeight="1" x14ac:dyDescent="0.3">
      <c r="A985" s="92"/>
      <c r="F985" s="60">
        <f>ПЛАТЕЖИ[[#This Row],[СЎМ]]+(ПЛАТЕЖИ[[#This Row],[ВАЛЮТА]]*ПЛАТЕЖИ[[#This Row],[КУРС]])</f>
        <v>0</v>
      </c>
      <c r="I985" s="165"/>
    </row>
    <row r="986" spans="1:9" ht="15" customHeight="1" x14ac:dyDescent="0.3">
      <c r="A986" s="92"/>
      <c r="B986" s="93"/>
      <c r="C986" s="94"/>
      <c r="D986" s="94"/>
      <c r="E986" s="94"/>
      <c r="F986" s="60">
        <f>ПЛАТЕЖИ[[#This Row],[СЎМ]]+(ПЛАТЕЖИ[[#This Row],[ВАЛЮТА]]*ПЛАТЕЖИ[[#This Row],[КУРС]])</f>
        <v>0</v>
      </c>
      <c r="G986" s="93"/>
      <c r="I986" s="165"/>
    </row>
    <row r="987" spans="1:9" ht="15" customHeight="1" x14ac:dyDescent="0.3">
      <c r="A987" s="92"/>
      <c r="B987" s="93"/>
      <c r="C987" s="94"/>
      <c r="D987" s="94"/>
      <c r="E987" s="94"/>
      <c r="F987" s="60">
        <f>ПЛАТЕЖИ[[#This Row],[СЎМ]]+(ПЛАТЕЖИ[[#This Row],[ВАЛЮТА]]*ПЛАТЕЖИ[[#This Row],[КУРС]])</f>
        <v>0</v>
      </c>
      <c r="G987" s="93"/>
      <c r="H987" s="93"/>
      <c r="I987" s="165"/>
    </row>
    <row r="988" spans="1:9" ht="15" customHeight="1" x14ac:dyDescent="0.3">
      <c r="A988" s="92"/>
      <c r="B988" s="93"/>
      <c r="C988" s="94"/>
      <c r="D988" s="94"/>
      <c r="E988" s="94"/>
      <c r="F988" s="60">
        <f>ПЛАТЕЖИ[[#This Row],[СЎМ]]+(ПЛАТЕЖИ[[#This Row],[ВАЛЮТА]]*ПЛАТЕЖИ[[#This Row],[КУРС]])</f>
        <v>0</v>
      </c>
      <c r="G988" s="93"/>
      <c r="H988" s="93"/>
      <c r="I988" s="165"/>
    </row>
    <row r="989" spans="1:9" ht="15" customHeight="1" x14ac:dyDescent="0.3">
      <c r="A989" s="92"/>
      <c r="B989" s="93"/>
      <c r="C989" s="94"/>
      <c r="D989" s="94"/>
      <c r="E989" s="94"/>
      <c r="F989" s="60">
        <f>ПЛАТЕЖИ[[#This Row],[СЎМ]]+(ПЛАТЕЖИ[[#This Row],[ВАЛЮТА]]*ПЛАТЕЖИ[[#This Row],[КУРС]])</f>
        <v>0</v>
      </c>
      <c r="G989" s="93"/>
      <c r="I989" s="165"/>
    </row>
    <row r="990" spans="1:9" ht="15" customHeight="1" x14ac:dyDescent="0.3">
      <c r="A990" s="92"/>
      <c r="B990" s="93"/>
      <c r="C990" s="94"/>
      <c r="D990" s="94"/>
      <c r="E990" s="94"/>
      <c r="F990" s="60">
        <f>ПЛАТЕЖИ[[#This Row],[СЎМ]]+(ПЛАТЕЖИ[[#This Row],[ВАЛЮТА]]*ПЛАТЕЖИ[[#This Row],[КУРС]])</f>
        <v>0</v>
      </c>
      <c r="G990" s="93"/>
      <c r="H990" s="93"/>
      <c r="I990" s="165"/>
    </row>
    <row r="991" spans="1:9" ht="15" customHeight="1" x14ac:dyDescent="0.3">
      <c r="A991" s="92"/>
      <c r="B991" s="93"/>
      <c r="C991" s="94"/>
      <c r="D991" s="94"/>
      <c r="E991" s="94"/>
      <c r="F991" s="60">
        <f>ПЛАТЕЖИ[[#This Row],[СЎМ]]+(ПЛАТЕЖИ[[#This Row],[ВАЛЮТА]]*ПЛАТЕЖИ[[#This Row],[КУРС]])</f>
        <v>0</v>
      </c>
      <c r="G991" s="93"/>
      <c r="H991" s="93"/>
      <c r="I991" s="165"/>
    </row>
    <row r="992" spans="1:9" ht="15" customHeight="1" x14ac:dyDescent="0.3">
      <c r="A992" s="92"/>
      <c r="B992" s="93"/>
      <c r="C992" s="94"/>
      <c r="D992" s="94"/>
      <c r="E992" s="94"/>
      <c r="F992" s="60">
        <f>ПЛАТЕЖИ[[#This Row],[СЎМ]]+(ПЛАТЕЖИ[[#This Row],[ВАЛЮТА]]*ПЛАТЕЖИ[[#This Row],[КУРС]])</f>
        <v>0</v>
      </c>
      <c r="G992" s="93"/>
      <c r="H992" s="93"/>
      <c r="I992" s="165"/>
    </row>
    <row r="993" spans="1:9" ht="15" customHeight="1" x14ac:dyDescent="0.3">
      <c r="A993" s="92"/>
      <c r="B993" s="93"/>
      <c r="C993" s="94"/>
      <c r="D993" s="94"/>
      <c r="E993" s="94"/>
      <c r="F993" s="60">
        <f>ПЛАТЕЖИ[[#This Row],[СЎМ]]+(ПЛАТЕЖИ[[#This Row],[ВАЛЮТА]]*ПЛАТЕЖИ[[#This Row],[КУРС]])</f>
        <v>0</v>
      </c>
      <c r="G993" s="93"/>
      <c r="H993" s="93"/>
      <c r="I993" s="165"/>
    </row>
    <row r="994" spans="1:9" ht="15" customHeight="1" x14ac:dyDescent="0.3">
      <c r="A994" s="92"/>
      <c r="B994" s="93"/>
      <c r="C994" s="94"/>
      <c r="D994" s="94"/>
      <c r="E994" s="94"/>
      <c r="F994" s="60">
        <f>ПЛАТЕЖИ[[#This Row],[СЎМ]]+(ПЛАТЕЖИ[[#This Row],[ВАЛЮТА]]*ПЛАТЕЖИ[[#This Row],[КУРС]])</f>
        <v>0</v>
      </c>
      <c r="G994" s="93"/>
      <c r="H994" s="93"/>
      <c r="I994" s="165"/>
    </row>
    <row r="995" spans="1:9" ht="15" customHeight="1" x14ac:dyDescent="0.3">
      <c r="A995" s="92"/>
      <c r="B995" s="93"/>
      <c r="C995" s="94"/>
      <c r="D995" s="94"/>
      <c r="E995" s="94"/>
      <c r="F995" s="60">
        <f>ПЛАТЕЖИ[[#This Row],[СЎМ]]+(ПЛАТЕЖИ[[#This Row],[ВАЛЮТА]]*ПЛАТЕЖИ[[#This Row],[КУРС]])</f>
        <v>0</v>
      </c>
      <c r="G995" s="93"/>
      <c r="H995" s="93"/>
      <c r="I995" s="165"/>
    </row>
    <row r="996" spans="1:9" ht="15" customHeight="1" x14ac:dyDescent="0.3">
      <c r="A996" s="92"/>
      <c r="B996" s="93"/>
      <c r="C996" s="94"/>
      <c r="D996" s="94"/>
      <c r="E996" s="94"/>
      <c r="F996" s="60">
        <f>ПЛАТЕЖИ[[#This Row],[СЎМ]]+(ПЛАТЕЖИ[[#This Row],[ВАЛЮТА]]*ПЛАТЕЖИ[[#This Row],[КУРС]])</f>
        <v>0</v>
      </c>
      <c r="G996" s="93"/>
      <c r="H996" s="93"/>
      <c r="I996" s="165"/>
    </row>
    <row r="997" spans="1:9" ht="15" customHeight="1" x14ac:dyDescent="0.3">
      <c r="A997" s="92"/>
      <c r="B997" s="93"/>
      <c r="C997" s="94"/>
      <c r="D997" s="94"/>
      <c r="E997" s="94"/>
      <c r="F997" s="60">
        <f>ПЛАТЕЖИ[[#This Row],[СЎМ]]+(ПЛАТЕЖИ[[#This Row],[ВАЛЮТА]]*ПЛАТЕЖИ[[#This Row],[КУРС]])</f>
        <v>0</v>
      </c>
      <c r="G997" s="93"/>
      <c r="H997" s="93"/>
      <c r="I997" s="165"/>
    </row>
    <row r="998" spans="1:9" ht="15" customHeight="1" x14ac:dyDescent="0.3">
      <c r="A998" s="92"/>
      <c r="B998" s="93"/>
      <c r="C998" s="94"/>
      <c r="D998" s="94"/>
      <c r="E998" s="94"/>
      <c r="F998" s="60">
        <f>ПЛАТЕЖИ[[#This Row],[СЎМ]]+(ПЛАТЕЖИ[[#This Row],[ВАЛЮТА]]*ПЛАТЕЖИ[[#This Row],[КУРС]])</f>
        <v>0</v>
      </c>
      <c r="G998" s="93"/>
      <c r="I998" s="165"/>
    </row>
    <row r="999" spans="1:9" ht="15" customHeight="1" x14ac:dyDescent="0.3">
      <c r="A999" s="92"/>
      <c r="B999" s="93"/>
      <c r="C999" s="94"/>
      <c r="D999" s="94"/>
      <c r="E999" s="94"/>
      <c r="F999" s="60">
        <f>ПЛАТЕЖИ[[#This Row],[СЎМ]]+(ПЛАТЕЖИ[[#This Row],[ВАЛЮТА]]*ПЛАТЕЖИ[[#This Row],[КУРС]])</f>
        <v>0</v>
      </c>
      <c r="G999" s="93"/>
      <c r="H999" s="93"/>
      <c r="I999" s="165"/>
    </row>
    <row r="1000" spans="1:9" ht="15" customHeight="1" x14ac:dyDescent="0.3">
      <c r="A1000" s="92"/>
      <c r="B1000" s="93"/>
      <c r="C1000" s="94"/>
      <c r="D1000" s="94"/>
      <c r="E1000" s="94"/>
      <c r="F1000" s="60">
        <f>ПЛАТЕЖИ[[#This Row],[СЎМ]]+(ПЛАТЕЖИ[[#This Row],[ВАЛЮТА]]*ПЛАТЕЖИ[[#This Row],[КУРС]])</f>
        <v>0</v>
      </c>
      <c r="G1000" s="93"/>
      <c r="H1000" s="93"/>
      <c r="I1000" s="165"/>
    </row>
    <row r="1001" spans="1:9" ht="15" customHeight="1" x14ac:dyDescent="0.3">
      <c r="A1001" s="92"/>
      <c r="B1001" s="93"/>
      <c r="C1001" s="94"/>
      <c r="D1001" s="94"/>
      <c r="E1001" s="94"/>
      <c r="F1001" s="60">
        <f>ПЛАТЕЖИ[[#This Row],[СЎМ]]+(ПЛАТЕЖИ[[#This Row],[ВАЛЮТА]]*ПЛАТЕЖИ[[#This Row],[КУРС]])</f>
        <v>0</v>
      </c>
      <c r="G1001" s="93"/>
      <c r="H1001" s="93"/>
      <c r="I1001" s="165"/>
    </row>
    <row r="1002" spans="1:9" ht="15" customHeight="1" x14ac:dyDescent="0.3">
      <c r="A1002" s="92"/>
      <c r="B1002" s="93"/>
      <c r="C1002" s="94"/>
      <c r="D1002" s="94"/>
      <c r="E1002" s="94"/>
      <c r="F1002" s="60">
        <f>ПЛАТЕЖИ[[#This Row],[СЎМ]]+(ПЛАТЕЖИ[[#This Row],[ВАЛЮТА]]*ПЛАТЕЖИ[[#This Row],[КУРС]])</f>
        <v>0</v>
      </c>
      <c r="G1002" s="93"/>
      <c r="H1002" s="93"/>
      <c r="I1002" s="165"/>
    </row>
    <row r="1003" spans="1:9" ht="15" customHeight="1" x14ac:dyDescent="0.3">
      <c r="A1003" s="92"/>
      <c r="B1003" s="93"/>
      <c r="C1003" s="94"/>
      <c r="D1003" s="94"/>
      <c r="E1003" s="94"/>
      <c r="F1003" s="60">
        <f>ПЛАТЕЖИ[[#This Row],[СЎМ]]+(ПЛАТЕЖИ[[#This Row],[ВАЛЮТА]]*ПЛАТЕЖИ[[#This Row],[КУРС]])</f>
        <v>0</v>
      </c>
      <c r="G1003" s="93"/>
      <c r="H1003" s="93"/>
      <c r="I1003" s="165"/>
    </row>
    <row r="1004" spans="1:9" ht="15" customHeight="1" x14ac:dyDescent="0.3">
      <c r="A1004" s="92"/>
      <c r="B1004" s="93"/>
      <c r="C1004" s="94"/>
      <c r="D1004" s="94"/>
      <c r="E1004" s="94"/>
      <c r="F1004" s="60">
        <f>ПЛАТЕЖИ[[#This Row],[СЎМ]]+(ПЛАТЕЖИ[[#This Row],[ВАЛЮТА]]*ПЛАТЕЖИ[[#This Row],[КУРС]])</f>
        <v>0</v>
      </c>
      <c r="G1004" s="93"/>
      <c r="H1004" s="93"/>
      <c r="I1004" s="165"/>
    </row>
    <row r="1005" spans="1:9" ht="15" customHeight="1" x14ac:dyDescent="0.3">
      <c r="A1005" s="92"/>
      <c r="B1005" s="93"/>
      <c r="C1005" s="94"/>
      <c r="D1005" s="94"/>
      <c r="E1005" s="94"/>
      <c r="F1005" s="60">
        <f>ПЛАТЕЖИ[[#This Row],[СЎМ]]+(ПЛАТЕЖИ[[#This Row],[ВАЛЮТА]]*ПЛАТЕЖИ[[#This Row],[КУРС]])</f>
        <v>0</v>
      </c>
      <c r="G1005" s="93"/>
      <c r="H1005" s="93"/>
      <c r="I1005" s="165"/>
    </row>
    <row r="1006" spans="1:9" ht="15" customHeight="1" x14ac:dyDescent="0.3">
      <c r="A1006" s="92"/>
      <c r="B1006" s="93"/>
      <c r="C1006" s="94"/>
      <c r="D1006" s="94"/>
      <c r="E1006" s="94"/>
      <c r="F1006" s="60">
        <f>ПЛАТЕЖИ[[#This Row],[СЎМ]]+(ПЛАТЕЖИ[[#This Row],[ВАЛЮТА]]*ПЛАТЕЖИ[[#This Row],[КУРС]])</f>
        <v>0</v>
      </c>
      <c r="G1006" s="93"/>
      <c r="H1006" s="93"/>
      <c r="I1006" s="165"/>
    </row>
    <row r="1007" spans="1:9" ht="15" customHeight="1" x14ac:dyDescent="0.3">
      <c r="A1007" s="92"/>
      <c r="B1007" s="93"/>
      <c r="C1007" s="94"/>
      <c r="D1007" s="94"/>
      <c r="E1007" s="94"/>
      <c r="F1007" s="60">
        <f>ПЛАТЕЖИ[[#This Row],[СЎМ]]+(ПЛАТЕЖИ[[#This Row],[ВАЛЮТА]]*ПЛАТЕЖИ[[#This Row],[КУРС]])</f>
        <v>0</v>
      </c>
      <c r="G1007" s="93"/>
      <c r="H1007" s="93"/>
      <c r="I1007" s="165"/>
    </row>
    <row r="1008" spans="1:9" ht="15" customHeight="1" x14ac:dyDescent="0.3">
      <c r="A1008" s="92"/>
      <c r="B1008" s="93"/>
      <c r="C1008" s="94"/>
      <c r="D1008" s="94"/>
      <c r="E1008" s="94"/>
      <c r="F1008" s="60">
        <f>ПЛАТЕЖИ[[#This Row],[СЎМ]]+(ПЛАТЕЖИ[[#This Row],[ВАЛЮТА]]*ПЛАТЕЖИ[[#This Row],[КУРС]])</f>
        <v>0</v>
      </c>
      <c r="G1008" s="93"/>
      <c r="I1008" s="165"/>
    </row>
    <row r="1009" spans="1:9" ht="15" customHeight="1" x14ac:dyDescent="0.3">
      <c r="A1009" s="92"/>
      <c r="B1009" s="93"/>
      <c r="C1009" s="94"/>
      <c r="D1009" s="94"/>
      <c r="E1009" s="94"/>
      <c r="F1009" s="60">
        <f>ПЛАТЕЖИ[[#This Row],[СЎМ]]+(ПЛАТЕЖИ[[#This Row],[ВАЛЮТА]]*ПЛАТЕЖИ[[#This Row],[КУРС]])</f>
        <v>0</v>
      </c>
      <c r="G1009" s="93"/>
      <c r="H1009" s="93"/>
      <c r="I1009" s="165"/>
    </row>
    <row r="1010" spans="1:9" ht="15" customHeight="1" x14ac:dyDescent="0.3">
      <c r="A1010" s="92"/>
      <c r="B1010" s="93"/>
      <c r="C1010" s="94"/>
      <c r="D1010" s="94"/>
      <c r="E1010" s="94"/>
      <c r="F1010" s="60">
        <f>ПЛАТЕЖИ[[#This Row],[СЎМ]]+(ПЛАТЕЖИ[[#This Row],[ВАЛЮТА]]*ПЛАТЕЖИ[[#This Row],[КУРС]])</f>
        <v>0</v>
      </c>
      <c r="G1010" s="93"/>
      <c r="H1010" s="93"/>
      <c r="I1010" s="165"/>
    </row>
    <row r="1011" spans="1:9" ht="15" customHeight="1" x14ac:dyDescent="0.3">
      <c r="A1011" s="92"/>
      <c r="B1011" s="93"/>
      <c r="C1011" s="94"/>
      <c r="D1011" s="94"/>
      <c r="E1011" s="94"/>
      <c r="F1011" s="60">
        <f>ПЛАТЕЖИ[[#This Row],[СЎМ]]+(ПЛАТЕЖИ[[#This Row],[ВАЛЮТА]]*ПЛАТЕЖИ[[#This Row],[КУРС]])</f>
        <v>0</v>
      </c>
      <c r="G1011" s="93"/>
      <c r="H1011" s="93"/>
      <c r="I1011" s="165"/>
    </row>
    <row r="1012" spans="1:9" ht="15" customHeight="1" x14ac:dyDescent="0.3">
      <c r="A1012" s="92"/>
      <c r="B1012" s="93"/>
      <c r="C1012" s="94"/>
      <c r="D1012" s="94"/>
      <c r="E1012" s="94"/>
      <c r="F1012" s="60">
        <f>ПЛАТЕЖИ[[#This Row],[СЎМ]]+(ПЛАТЕЖИ[[#This Row],[ВАЛЮТА]]*ПЛАТЕЖИ[[#This Row],[КУРС]])</f>
        <v>0</v>
      </c>
      <c r="G1012" s="93"/>
      <c r="H1012" s="93"/>
      <c r="I1012" s="165"/>
    </row>
    <row r="1013" spans="1:9" ht="15" customHeight="1" x14ac:dyDescent="0.3">
      <c r="A1013" s="92"/>
      <c r="B1013" s="93"/>
      <c r="C1013" s="94"/>
      <c r="D1013" s="94"/>
      <c r="E1013" s="94"/>
      <c r="F1013" s="60">
        <f>ПЛАТЕЖИ[[#This Row],[СЎМ]]+(ПЛАТЕЖИ[[#This Row],[ВАЛЮТА]]*ПЛАТЕЖИ[[#This Row],[КУРС]])</f>
        <v>0</v>
      </c>
      <c r="G1013" s="93"/>
      <c r="H1013" s="93"/>
      <c r="I1013" s="165"/>
    </row>
    <row r="1014" spans="1:9" ht="15" customHeight="1" x14ac:dyDescent="0.3">
      <c r="A1014" s="92"/>
      <c r="B1014" s="93"/>
      <c r="C1014" s="94"/>
      <c r="D1014" s="94"/>
      <c r="E1014" s="94"/>
      <c r="F1014" s="60">
        <f>ПЛАТЕЖИ[[#This Row],[СЎМ]]+(ПЛАТЕЖИ[[#This Row],[ВАЛЮТА]]*ПЛАТЕЖИ[[#This Row],[КУРС]])</f>
        <v>0</v>
      </c>
      <c r="G1014" s="93"/>
      <c r="I1014" s="165"/>
    </row>
    <row r="1015" spans="1:9" ht="15" customHeight="1" x14ac:dyDescent="0.3">
      <c r="A1015" s="92"/>
      <c r="B1015" s="93"/>
      <c r="C1015" s="94"/>
      <c r="D1015" s="94"/>
      <c r="E1015" s="94"/>
      <c r="F1015" s="60">
        <f>ПЛАТЕЖИ[[#This Row],[СЎМ]]+(ПЛАТЕЖИ[[#This Row],[ВАЛЮТА]]*ПЛАТЕЖИ[[#This Row],[КУРС]])</f>
        <v>0</v>
      </c>
      <c r="G1015" s="93"/>
      <c r="I1015" s="165"/>
    </row>
    <row r="1016" spans="1:9" ht="15" customHeight="1" x14ac:dyDescent="0.3">
      <c r="A1016" s="92"/>
      <c r="B1016" s="93"/>
      <c r="C1016" s="94"/>
      <c r="D1016" s="94"/>
      <c r="E1016" s="94"/>
      <c r="F1016" s="60">
        <f>ПЛАТЕЖИ[[#This Row],[СЎМ]]+(ПЛАТЕЖИ[[#This Row],[ВАЛЮТА]]*ПЛАТЕЖИ[[#This Row],[КУРС]])</f>
        <v>0</v>
      </c>
      <c r="G1016" s="93"/>
      <c r="H1016" s="93"/>
      <c r="I1016" s="165"/>
    </row>
    <row r="1017" spans="1:9" ht="15" customHeight="1" x14ac:dyDescent="0.3">
      <c r="A1017" s="92"/>
      <c r="B1017" s="93"/>
      <c r="C1017" s="94"/>
      <c r="D1017" s="94"/>
      <c r="E1017" s="94"/>
      <c r="F1017" s="60">
        <f>ПЛАТЕЖИ[[#This Row],[СЎМ]]+(ПЛАТЕЖИ[[#This Row],[ВАЛЮТА]]*ПЛАТЕЖИ[[#This Row],[КУРС]])</f>
        <v>0</v>
      </c>
      <c r="G1017" s="93"/>
      <c r="H1017" s="93"/>
      <c r="I1017" s="165"/>
    </row>
    <row r="1018" spans="1:9" ht="15" customHeight="1" x14ac:dyDescent="0.3">
      <c r="A1018" s="92"/>
      <c r="B1018" s="93"/>
      <c r="C1018" s="94"/>
      <c r="D1018" s="94"/>
      <c r="E1018" s="94"/>
      <c r="F1018" s="60">
        <f>ПЛАТЕЖИ[[#This Row],[СЎМ]]+(ПЛАТЕЖИ[[#This Row],[ВАЛЮТА]]*ПЛАТЕЖИ[[#This Row],[КУРС]])</f>
        <v>0</v>
      </c>
      <c r="G1018" s="93"/>
      <c r="H1018" s="93"/>
      <c r="I1018" s="165"/>
    </row>
    <row r="1019" spans="1:9" ht="15" customHeight="1" x14ac:dyDescent="0.3">
      <c r="A1019" s="92"/>
      <c r="B1019" s="93"/>
      <c r="C1019" s="94"/>
      <c r="D1019" s="94"/>
      <c r="E1019" s="94"/>
      <c r="F1019" s="60">
        <f>ПЛАТЕЖИ[[#This Row],[СЎМ]]+(ПЛАТЕЖИ[[#This Row],[ВАЛЮТА]]*ПЛАТЕЖИ[[#This Row],[КУРС]])</f>
        <v>0</v>
      </c>
      <c r="G1019" s="93"/>
      <c r="H1019" s="93"/>
      <c r="I1019" s="165"/>
    </row>
    <row r="1020" spans="1:9" ht="15" customHeight="1" x14ac:dyDescent="0.3">
      <c r="A1020" s="92"/>
      <c r="B1020" s="93"/>
      <c r="C1020" s="94"/>
      <c r="D1020" s="94"/>
      <c r="E1020" s="94"/>
      <c r="F1020" s="60">
        <f>ПЛАТЕЖИ[[#This Row],[СЎМ]]+(ПЛАТЕЖИ[[#This Row],[ВАЛЮТА]]*ПЛАТЕЖИ[[#This Row],[КУРС]])</f>
        <v>0</v>
      </c>
      <c r="G1020" s="93"/>
      <c r="H1020" s="93"/>
      <c r="I1020" s="165"/>
    </row>
    <row r="1021" spans="1:9" ht="15" customHeight="1" x14ac:dyDescent="0.3">
      <c r="A1021" s="92"/>
      <c r="B1021" s="93"/>
      <c r="C1021" s="94"/>
      <c r="D1021" s="94"/>
      <c r="E1021" s="94"/>
      <c r="F1021" s="60">
        <f>ПЛАТЕЖИ[[#This Row],[СЎМ]]+(ПЛАТЕЖИ[[#This Row],[ВАЛЮТА]]*ПЛАТЕЖИ[[#This Row],[КУРС]])</f>
        <v>0</v>
      </c>
      <c r="G1021" s="93"/>
      <c r="H1021" s="93"/>
      <c r="I1021" s="165"/>
    </row>
    <row r="1022" spans="1:9" ht="15" customHeight="1" x14ac:dyDescent="0.3">
      <c r="A1022" s="92"/>
      <c r="B1022" s="93"/>
      <c r="C1022" s="94"/>
      <c r="D1022" s="94"/>
      <c r="E1022" s="94"/>
      <c r="F1022" s="60">
        <f>ПЛАТЕЖИ[[#This Row],[СЎМ]]+(ПЛАТЕЖИ[[#This Row],[ВАЛЮТА]]*ПЛАТЕЖИ[[#This Row],[КУРС]])</f>
        <v>0</v>
      </c>
      <c r="G1022" s="93"/>
      <c r="H1022" s="93"/>
      <c r="I1022" s="165"/>
    </row>
    <row r="1023" spans="1:9" ht="15" customHeight="1" x14ac:dyDescent="0.3">
      <c r="A1023" s="92"/>
      <c r="B1023" s="93"/>
      <c r="C1023" s="94"/>
      <c r="D1023" s="94"/>
      <c r="E1023" s="94"/>
      <c r="F1023" s="60">
        <f>ПЛАТЕЖИ[[#This Row],[СЎМ]]+(ПЛАТЕЖИ[[#This Row],[ВАЛЮТА]]*ПЛАТЕЖИ[[#This Row],[КУРС]])</f>
        <v>0</v>
      </c>
      <c r="G1023" s="93"/>
      <c r="H1023" s="93"/>
      <c r="I1023" s="165"/>
    </row>
    <row r="1024" spans="1:9" ht="15" customHeight="1" x14ac:dyDescent="0.3">
      <c r="A1024" s="164"/>
      <c r="B1024" s="165"/>
      <c r="C1024" s="166"/>
      <c r="D1024" s="166"/>
      <c r="E1024" s="166"/>
      <c r="F1024" s="60">
        <f>ПЛАТЕЖИ[[#This Row],[СЎМ]]+(ПЛАТЕЖИ[[#This Row],[ВАЛЮТА]]*ПЛАТЕЖИ[[#This Row],[КУРС]])</f>
        <v>0</v>
      </c>
      <c r="G1024" s="165"/>
      <c r="H1024" s="165"/>
      <c r="I1024" s="165"/>
    </row>
    <row r="1025" spans="1:9" ht="15" customHeight="1" x14ac:dyDescent="0.3">
      <c r="A1025" s="92"/>
      <c r="B1025" s="93"/>
      <c r="C1025" s="94"/>
      <c r="D1025" s="94"/>
      <c r="E1025" s="94"/>
      <c r="F1025" s="60">
        <f>ПЛАТЕЖИ[[#This Row],[СЎМ]]+(ПЛАТЕЖИ[[#This Row],[ВАЛЮТА]]*ПЛАТЕЖИ[[#This Row],[КУРС]])</f>
        <v>0</v>
      </c>
      <c r="G1025" s="93"/>
      <c r="H1025" s="93"/>
      <c r="I1025" s="165"/>
    </row>
    <row r="1026" spans="1:9" ht="15" customHeight="1" x14ac:dyDescent="0.3">
      <c r="A1026" s="92"/>
      <c r="B1026" s="93"/>
      <c r="C1026" s="94"/>
      <c r="D1026" s="94"/>
      <c r="E1026" s="94"/>
      <c r="F1026" s="60">
        <f>ПЛАТЕЖИ[[#This Row],[СЎМ]]+(ПЛАТЕЖИ[[#This Row],[ВАЛЮТА]]*ПЛАТЕЖИ[[#This Row],[КУРС]])</f>
        <v>0</v>
      </c>
      <c r="G1026" s="93"/>
      <c r="H1026" s="93"/>
      <c r="I1026" s="165"/>
    </row>
    <row r="1027" spans="1:9" ht="15" customHeight="1" x14ac:dyDescent="0.3">
      <c r="A1027" s="92"/>
      <c r="B1027" s="93"/>
      <c r="C1027" s="94"/>
      <c r="D1027" s="94"/>
      <c r="E1027" s="94"/>
      <c r="F1027" s="60">
        <f>ПЛАТЕЖИ[[#This Row],[СЎМ]]+(ПЛАТЕЖИ[[#This Row],[ВАЛЮТА]]*ПЛАТЕЖИ[[#This Row],[КУРС]])</f>
        <v>0</v>
      </c>
      <c r="G1027" s="93"/>
      <c r="H1027" s="93"/>
      <c r="I1027" s="165"/>
    </row>
    <row r="1028" spans="1:9" ht="15" customHeight="1" x14ac:dyDescent="0.3">
      <c r="A1028" s="92"/>
      <c r="B1028" s="93"/>
      <c r="C1028" s="94"/>
      <c r="D1028" s="94"/>
      <c r="E1028" s="94"/>
      <c r="F1028" s="60">
        <f>ПЛАТЕЖИ[[#This Row],[СЎМ]]+(ПЛАТЕЖИ[[#This Row],[ВАЛЮТА]]*ПЛАТЕЖИ[[#This Row],[КУРС]])</f>
        <v>0</v>
      </c>
      <c r="G1028" s="93"/>
      <c r="H1028" s="93"/>
      <c r="I1028" s="165"/>
    </row>
    <row r="1029" spans="1:9" ht="15" customHeight="1" x14ac:dyDescent="0.3">
      <c r="A1029" s="92"/>
      <c r="B1029" s="93"/>
      <c r="C1029" s="94"/>
      <c r="D1029" s="94"/>
      <c r="E1029" s="94"/>
      <c r="F1029" s="60">
        <f>ПЛАТЕЖИ[[#This Row],[СЎМ]]+(ПЛАТЕЖИ[[#This Row],[ВАЛЮТА]]*ПЛАТЕЖИ[[#This Row],[КУРС]])</f>
        <v>0</v>
      </c>
      <c r="G1029" s="93"/>
      <c r="H1029" s="93"/>
      <c r="I1029" s="165"/>
    </row>
    <row r="1030" spans="1:9" ht="15" customHeight="1" x14ac:dyDescent="0.3">
      <c r="A1030" s="92"/>
      <c r="B1030" s="93"/>
      <c r="C1030" s="94"/>
      <c r="D1030" s="94"/>
      <c r="E1030" s="94"/>
      <c r="F1030" s="60">
        <f>ПЛАТЕЖИ[[#This Row],[СЎМ]]+(ПЛАТЕЖИ[[#This Row],[ВАЛЮТА]]*ПЛАТЕЖИ[[#This Row],[КУРС]])</f>
        <v>0</v>
      </c>
      <c r="G1030" s="93"/>
      <c r="H1030" s="93"/>
      <c r="I1030" s="165"/>
    </row>
    <row r="1031" spans="1:9" ht="15" customHeight="1" x14ac:dyDescent="0.3">
      <c r="A1031" s="92"/>
      <c r="B1031" s="93"/>
      <c r="C1031" s="94"/>
      <c r="D1031" s="94"/>
      <c r="E1031" s="94"/>
      <c r="F1031" s="60">
        <f>ПЛАТЕЖИ[[#This Row],[СЎМ]]+(ПЛАТЕЖИ[[#This Row],[ВАЛЮТА]]*ПЛАТЕЖИ[[#This Row],[КУРС]])</f>
        <v>0</v>
      </c>
      <c r="G1031" s="93"/>
      <c r="H1031" s="93"/>
      <c r="I1031" s="165"/>
    </row>
    <row r="1032" spans="1:9" ht="15" customHeight="1" x14ac:dyDescent="0.3">
      <c r="A1032" s="92"/>
      <c r="B1032" s="93"/>
      <c r="C1032" s="94"/>
      <c r="D1032" s="94"/>
      <c r="E1032" s="94"/>
      <c r="F1032" s="60">
        <f>ПЛАТЕЖИ[[#This Row],[СЎМ]]+(ПЛАТЕЖИ[[#This Row],[ВАЛЮТА]]*ПЛАТЕЖИ[[#This Row],[КУРС]])</f>
        <v>0</v>
      </c>
      <c r="G1032" s="93"/>
      <c r="H1032" s="93"/>
      <c r="I1032" s="165"/>
    </row>
    <row r="1033" spans="1:9" ht="15" customHeight="1" x14ac:dyDescent="0.3">
      <c r="A1033" s="92"/>
      <c r="B1033" s="93"/>
      <c r="C1033" s="94"/>
      <c r="D1033" s="94"/>
      <c r="E1033" s="94"/>
      <c r="F1033" s="60">
        <f>ПЛАТЕЖИ[[#This Row],[СЎМ]]+(ПЛАТЕЖИ[[#This Row],[ВАЛЮТА]]*ПЛАТЕЖИ[[#This Row],[КУРС]])</f>
        <v>0</v>
      </c>
      <c r="G1033" s="93"/>
      <c r="H1033" s="93"/>
      <c r="I1033" s="165"/>
    </row>
    <row r="1034" spans="1:9" ht="15" customHeight="1" x14ac:dyDescent="0.3">
      <c r="A1034" s="92"/>
      <c r="B1034" s="93"/>
      <c r="C1034" s="94"/>
      <c r="D1034" s="94"/>
      <c r="E1034" s="94"/>
      <c r="F1034" s="60">
        <f>ПЛАТЕЖИ[[#This Row],[СЎМ]]+(ПЛАТЕЖИ[[#This Row],[ВАЛЮТА]]*ПЛАТЕЖИ[[#This Row],[КУРС]])</f>
        <v>0</v>
      </c>
      <c r="G1034" s="93"/>
      <c r="H1034" s="93"/>
      <c r="I1034" s="165"/>
    </row>
    <row r="1035" spans="1:9" ht="15" customHeight="1" x14ac:dyDescent="0.3">
      <c r="A1035" s="92"/>
      <c r="B1035" s="93"/>
      <c r="C1035" s="94"/>
      <c r="D1035" s="94"/>
      <c r="E1035" s="94"/>
      <c r="F1035" s="60">
        <f>ПЛАТЕЖИ[[#This Row],[СЎМ]]+(ПЛАТЕЖИ[[#This Row],[ВАЛЮТА]]*ПЛАТЕЖИ[[#This Row],[КУРС]])</f>
        <v>0</v>
      </c>
      <c r="G1035" s="93"/>
      <c r="H1035" s="93"/>
      <c r="I1035" s="165"/>
    </row>
    <row r="1036" spans="1:9" ht="15" customHeight="1" x14ac:dyDescent="0.3">
      <c r="A1036" s="92"/>
      <c r="B1036" s="93"/>
      <c r="C1036" s="94"/>
      <c r="D1036" s="94"/>
      <c r="E1036" s="94"/>
      <c r="F1036" s="60">
        <f>ПЛАТЕЖИ[[#This Row],[СЎМ]]+(ПЛАТЕЖИ[[#This Row],[ВАЛЮТА]]*ПЛАТЕЖИ[[#This Row],[КУРС]])</f>
        <v>0</v>
      </c>
      <c r="G1036" s="93"/>
      <c r="H1036" s="93"/>
      <c r="I1036" s="165"/>
    </row>
    <row r="1037" spans="1:9" ht="15" customHeight="1" x14ac:dyDescent="0.3">
      <c r="A1037" s="92"/>
      <c r="B1037" s="93"/>
      <c r="C1037" s="94"/>
      <c r="D1037" s="94"/>
      <c r="E1037" s="94"/>
      <c r="F1037" s="60">
        <f>ПЛАТЕЖИ[[#This Row],[СЎМ]]+(ПЛАТЕЖИ[[#This Row],[ВАЛЮТА]]*ПЛАТЕЖИ[[#This Row],[КУРС]])</f>
        <v>0</v>
      </c>
      <c r="G1037" s="93"/>
      <c r="H1037" s="93"/>
      <c r="I1037" s="165"/>
    </row>
    <row r="1038" spans="1:9" ht="15" customHeight="1" x14ac:dyDescent="0.3">
      <c r="A1038" s="92"/>
      <c r="B1038" s="93"/>
      <c r="C1038" s="94"/>
      <c r="D1038" s="94"/>
      <c r="E1038" s="94"/>
      <c r="F1038" s="60">
        <f>ПЛАТЕЖИ[[#This Row],[СЎМ]]+(ПЛАТЕЖИ[[#This Row],[ВАЛЮТА]]*ПЛАТЕЖИ[[#This Row],[КУРС]])</f>
        <v>0</v>
      </c>
      <c r="G1038" s="93"/>
      <c r="H1038" s="93"/>
      <c r="I1038" s="165"/>
    </row>
    <row r="1039" spans="1:9" ht="15" customHeight="1" x14ac:dyDescent="0.3">
      <c r="A1039" s="92"/>
      <c r="B1039" s="93"/>
      <c r="C1039" s="94"/>
      <c r="D1039" s="94"/>
      <c r="E1039" s="94"/>
      <c r="F1039" s="60">
        <f>ПЛАТЕЖИ[[#This Row],[СЎМ]]+(ПЛАТЕЖИ[[#This Row],[ВАЛЮТА]]*ПЛАТЕЖИ[[#This Row],[КУРС]])</f>
        <v>0</v>
      </c>
      <c r="G1039" s="93"/>
      <c r="H1039" s="93"/>
      <c r="I1039" s="165"/>
    </row>
    <row r="1040" spans="1:9" ht="15" customHeight="1" x14ac:dyDescent="0.3">
      <c r="A1040" s="92"/>
      <c r="B1040" s="93"/>
      <c r="C1040" s="94"/>
      <c r="D1040" s="94"/>
      <c r="E1040" s="94"/>
      <c r="F1040" s="60">
        <f>ПЛАТЕЖИ[[#This Row],[СЎМ]]+(ПЛАТЕЖИ[[#This Row],[ВАЛЮТА]]*ПЛАТЕЖИ[[#This Row],[КУРС]])</f>
        <v>0</v>
      </c>
      <c r="G1040" s="93"/>
      <c r="H1040" s="93"/>
      <c r="I1040" s="165"/>
    </row>
    <row r="1041" spans="1:9" ht="15" customHeight="1" x14ac:dyDescent="0.3">
      <c r="A1041" s="92"/>
      <c r="B1041" s="93"/>
      <c r="C1041" s="94"/>
      <c r="D1041" s="94"/>
      <c r="E1041" s="94"/>
      <c r="F1041" s="60">
        <f>ПЛАТЕЖИ[[#This Row],[СЎМ]]+(ПЛАТЕЖИ[[#This Row],[ВАЛЮТА]]*ПЛАТЕЖИ[[#This Row],[КУРС]])</f>
        <v>0</v>
      </c>
      <c r="G1041" s="93"/>
      <c r="H1041" s="93"/>
      <c r="I1041" s="165"/>
    </row>
    <row r="1042" spans="1:9" ht="15" customHeight="1" x14ac:dyDescent="0.3">
      <c r="A1042" s="92"/>
      <c r="B1042" s="93"/>
      <c r="C1042" s="94"/>
      <c r="D1042" s="94"/>
      <c r="E1042" s="94"/>
      <c r="F1042" s="60">
        <f>ПЛАТЕЖИ[[#This Row],[СЎМ]]+(ПЛАТЕЖИ[[#This Row],[ВАЛЮТА]]*ПЛАТЕЖИ[[#This Row],[КУРС]])</f>
        <v>0</v>
      </c>
      <c r="G1042" s="93"/>
      <c r="H1042" s="93"/>
      <c r="I1042" s="165"/>
    </row>
    <row r="1043" spans="1:9" ht="15" customHeight="1" x14ac:dyDescent="0.3">
      <c r="A1043" s="92"/>
      <c r="B1043" s="93"/>
      <c r="C1043" s="94"/>
      <c r="D1043" s="94"/>
      <c r="E1043" s="94"/>
      <c r="F1043" s="60">
        <f>ПЛАТЕЖИ[[#This Row],[СЎМ]]+(ПЛАТЕЖИ[[#This Row],[ВАЛЮТА]]*ПЛАТЕЖИ[[#This Row],[КУРС]])</f>
        <v>0</v>
      </c>
      <c r="G1043" s="93"/>
      <c r="H1043" s="93"/>
      <c r="I1043" s="165"/>
    </row>
    <row r="1044" spans="1:9" ht="15" customHeight="1" x14ac:dyDescent="0.3">
      <c r="A1044" s="92"/>
      <c r="B1044" s="93"/>
      <c r="C1044" s="94"/>
      <c r="D1044" s="94"/>
      <c r="E1044" s="94"/>
      <c r="F1044" s="60">
        <f>ПЛАТЕЖИ[[#This Row],[СЎМ]]+(ПЛАТЕЖИ[[#This Row],[ВАЛЮТА]]*ПЛАТЕЖИ[[#This Row],[КУРС]])</f>
        <v>0</v>
      </c>
      <c r="G1044" s="93"/>
      <c r="H1044" s="93"/>
      <c r="I1044" s="165"/>
    </row>
    <row r="1045" spans="1:9" ht="15" customHeight="1" x14ac:dyDescent="0.3">
      <c r="A1045" s="92"/>
      <c r="B1045" s="93"/>
      <c r="C1045" s="94"/>
      <c r="D1045" s="94"/>
      <c r="E1045" s="94"/>
      <c r="F1045" s="60">
        <f>ПЛАТЕЖИ[[#This Row],[СЎМ]]+(ПЛАТЕЖИ[[#This Row],[ВАЛЮТА]]*ПЛАТЕЖИ[[#This Row],[КУРС]])</f>
        <v>0</v>
      </c>
      <c r="G1045" s="93"/>
      <c r="H1045" s="93"/>
      <c r="I1045" s="165"/>
    </row>
    <row r="1046" spans="1:9" ht="15" customHeight="1" x14ac:dyDescent="0.3">
      <c r="A1046" s="92"/>
      <c r="B1046" s="93"/>
      <c r="C1046" s="94"/>
      <c r="D1046" s="94"/>
      <c r="E1046" s="94"/>
      <c r="F1046" s="60">
        <f>ПЛАТЕЖИ[[#This Row],[СЎМ]]+(ПЛАТЕЖИ[[#This Row],[ВАЛЮТА]]*ПЛАТЕЖИ[[#This Row],[КУРС]])</f>
        <v>0</v>
      </c>
      <c r="G1046" s="93"/>
      <c r="H1046" s="93"/>
      <c r="I1046" s="165"/>
    </row>
    <row r="1047" spans="1:9" ht="15" customHeight="1" x14ac:dyDescent="0.3">
      <c r="A1047" s="92"/>
      <c r="B1047" s="93"/>
      <c r="C1047" s="94"/>
      <c r="D1047" s="94"/>
      <c r="E1047" s="94"/>
      <c r="F1047" s="60">
        <f>ПЛАТЕЖИ[[#This Row],[СЎМ]]+(ПЛАТЕЖИ[[#This Row],[ВАЛЮТА]]*ПЛАТЕЖИ[[#This Row],[КУРС]])</f>
        <v>0</v>
      </c>
      <c r="G1047" s="93"/>
      <c r="H1047" s="93"/>
      <c r="I1047" s="165"/>
    </row>
    <row r="1048" spans="1:9" ht="15" customHeight="1" x14ac:dyDescent="0.3">
      <c r="A1048" s="92"/>
      <c r="B1048" s="93"/>
      <c r="C1048" s="94"/>
      <c r="D1048" s="94"/>
      <c r="E1048" s="94"/>
      <c r="F1048" s="60">
        <f>ПЛАТЕЖИ[[#This Row],[СЎМ]]+(ПЛАТЕЖИ[[#This Row],[ВАЛЮТА]]*ПЛАТЕЖИ[[#This Row],[КУРС]])</f>
        <v>0</v>
      </c>
      <c r="G1048" s="93"/>
      <c r="I1048" s="165"/>
    </row>
    <row r="1049" spans="1:9" ht="15" customHeight="1" x14ac:dyDescent="0.3">
      <c r="A1049" s="92"/>
      <c r="B1049" s="84"/>
      <c r="C1049" s="94"/>
      <c r="D1049" s="94"/>
      <c r="E1049" s="94"/>
      <c r="F1049" s="60">
        <f>ПЛАТЕЖИ[[#This Row],[СЎМ]]+(ПЛАТЕЖИ[[#This Row],[ВАЛЮТА]]*ПЛАТЕЖИ[[#This Row],[КУРС]])</f>
        <v>0</v>
      </c>
      <c r="G1049" s="93"/>
      <c r="H1049" s="93"/>
      <c r="I1049" s="165"/>
    </row>
    <row r="1050" spans="1:9" ht="15" customHeight="1" x14ac:dyDescent="0.3">
      <c r="A1050" s="92"/>
      <c r="B1050" s="93"/>
      <c r="C1050" s="94"/>
      <c r="D1050" s="94"/>
      <c r="E1050" s="94"/>
      <c r="F1050" s="60">
        <f>ПЛАТЕЖИ[[#This Row],[СЎМ]]+(ПЛАТЕЖИ[[#This Row],[ВАЛЮТА]]*ПЛАТЕЖИ[[#This Row],[КУРС]])</f>
        <v>0</v>
      </c>
      <c r="G1050" s="93"/>
      <c r="I1050" s="165"/>
    </row>
    <row r="1051" spans="1:9" ht="15" customHeight="1" x14ac:dyDescent="0.3">
      <c r="A1051" s="92"/>
      <c r="B1051" s="93"/>
      <c r="C1051" s="94"/>
      <c r="D1051" s="94"/>
      <c r="E1051" s="94"/>
      <c r="F1051" s="60">
        <f>ПЛАТЕЖИ[[#This Row],[СЎМ]]+(ПЛАТЕЖИ[[#This Row],[ВАЛЮТА]]*ПЛАТЕЖИ[[#This Row],[КУРС]])</f>
        <v>0</v>
      </c>
      <c r="G1051" s="93"/>
      <c r="I1051" s="165"/>
    </row>
    <row r="1052" spans="1:9" ht="15" customHeight="1" x14ac:dyDescent="0.3">
      <c r="A1052" s="92"/>
      <c r="B1052" s="93"/>
      <c r="C1052" s="94"/>
      <c r="D1052" s="94"/>
      <c r="E1052" s="94"/>
      <c r="F1052" s="60">
        <f>ПЛАТЕЖИ[[#This Row],[СЎМ]]+(ПЛАТЕЖИ[[#This Row],[ВАЛЮТА]]*ПЛАТЕЖИ[[#This Row],[КУРС]])</f>
        <v>0</v>
      </c>
      <c r="G1052" s="93"/>
      <c r="H1052" s="93"/>
      <c r="I1052" s="165"/>
    </row>
    <row r="1053" spans="1:9" ht="15" customHeight="1" x14ac:dyDescent="0.3">
      <c r="A1053" s="92"/>
      <c r="B1053" s="93"/>
      <c r="C1053" s="94"/>
      <c r="D1053" s="94"/>
      <c r="E1053" s="94"/>
      <c r="F1053" s="60">
        <f>ПЛАТЕЖИ[[#This Row],[СЎМ]]+(ПЛАТЕЖИ[[#This Row],[ВАЛЮТА]]*ПЛАТЕЖИ[[#This Row],[КУРС]])</f>
        <v>0</v>
      </c>
      <c r="G1053" s="93"/>
      <c r="I1053" s="165"/>
    </row>
    <row r="1054" spans="1:9" ht="15" customHeight="1" x14ac:dyDescent="0.3">
      <c r="A1054" s="92"/>
      <c r="B1054" s="93"/>
      <c r="C1054" s="94"/>
      <c r="D1054" s="94"/>
      <c r="E1054" s="94"/>
      <c r="F1054" s="60">
        <f>ПЛАТЕЖИ[[#This Row],[СЎМ]]+(ПЛАТЕЖИ[[#This Row],[ВАЛЮТА]]*ПЛАТЕЖИ[[#This Row],[КУРС]])</f>
        <v>0</v>
      </c>
      <c r="G1054" s="93"/>
      <c r="I1054" s="165"/>
    </row>
    <row r="1055" spans="1:9" ht="15" customHeight="1" x14ac:dyDescent="0.3">
      <c r="A1055" s="164"/>
      <c r="B1055" s="165"/>
      <c r="C1055" s="166"/>
      <c r="D1055" s="166"/>
      <c r="E1055" s="166"/>
      <c r="F1055" s="60">
        <f>ПЛАТЕЖИ[[#This Row],[СЎМ]]+(ПЛАТЕЖИ[[#This Row],[ВАЛЮТА]]*ПЛАТЕЖИ[[#This Row],[КУРС]])</f>
        <v>0</v>
      </c>
      <c r="G1055" s="165"/>
      <c r="H1055" s="165"/>
      <c r="I1055" s="165"/>
    </row>
    <row r="1056" spans="1:9" ht="15" customHeight="1" x14ac:dyDescent="0.3">
      <c r="A1056" s="92"/>
      <c r="B1056" s="93"/>
      <c r="C1056" s="94"/>
      <c r="D1056" s="94"/>
      <c r="E1056" s="94"/>
      <c r="F1056" s="60">
        <f>ПЛАТЕЖИ[[#This Row],[СЎМ]]+(ПЛАТЕЖИ[[#This Row],[ВАЛЮТА]]*ПЛАТЕЖИ[[#This Row],[КУРС]])</f>
        <v>0</v>
      </c>
      <c r="G1056" s="93"/>
      <c r="I1056" s="165"/>
    </row>
    <row r="1057" spans="1:9" ht="15" customHeight="1" x14ac:dyDescent="0.3">
      <c r="A1057" s="92"/>
      <c r="B1057" s="93"/>
      <c r="C1057" s="94"/>
      <c r="D1057" s="94"/>
      <c r="E1057" s="94"/>
      <c r="F1057" s="60">
        <f>ПЛАТЕЖИ[[#This Row],[СЎМ]]+(ПЛАТЕЖИ[[#This Row],[ВАЛЮТА]]*ПЛАТЕЖИ[[#This Row],[КУРС]])</f>
        <v>0</v>
      </c>
      <c r="G1057" s="93"/>
      <c r="I1057" s="165"/>
    </row>
    <row r="1058" spans="1:9" ht="15" customHeight="1" x14ac:dyDescent="0.3">
      <c r="A1058" s="92"/>
      <c r="B1058" s="93"/>
      <c r="C1058" s="94"/>
      <c r="D1058" s="94"/>
      <c r="E1058" s="94"/>
      <c r="F1058" s="60">
        <f>ПЛАТЕЖИ[[#This Row],[СЎМ]]+(ПЛАТЕЖИ[[#This Row],[ВАЛЮТА]]*ПЛАТЕЖИ[[#This Row],[КУРС]])</f>
        <v>0</v>
      </c>
      <c r="G1058" s="93"/>
      <c r="I1058" s="165"/>
    </row>
    <row r="1059" spans="1:9" ht="15" customHeight="1" x14ac:dyDescent="0.3">
      <c r="A1059" s="92"/>
      <c r="B1059" s="93"/>
      <c r="C1059" s="94"/>
      <c r="D1059" s="94"/>
      <c r="E1059" s="94"/>
      <c r="F1059" s="60">
        <f>ПЛАТЕЖИ[[#This Row],[СЎМ]]+(ПЛАТЕЖИ[[#This Row],[ВАЛЮТА]]*ПЛАТЕЖИ[[#This Row],[КУРС]])</f>
        <v>0</v>
      </c>
      <c r="G1059" s="93"/>
      <c r="I1059" s="165"/>
    </row>
    <row r="1060" spans="1:9" ht="15" customHeight="1" x14ac:dyDescent="0.3">
      <c r="A1060" s="92"/>
      <c r="B1060" s="93"/>
      <c r="C1060" s="94"/>
      <c r="D1060" s="94"/>
      <c r="E1060" s="94"/>
      <c r="F1060" s="60">
        <f>ПЛАТЕЖИ[[#This Row],[СЎМ]]+(ПЛАТЕЖИ[[#This Row],[ВАЛЮТА]]*ПЛАТЕЖИ[[#This Row],[КУРС]])</f>
        <v>0</v>
      </c>
      <c r="G1060" s="93"/>
      <c r="H1060" s="93"/>
      <c r="I1060" s="165"/>
    </row>
    <row r="1061" spans="1:9" ht="15" customHeight="1" x14ac:dyDescent="0.3">
      <c r="A1061" s="92"/>
      <c r="B1061" s="93"/>
      <c r="C1061" s="94"/>
      <c r="D1061" s="94"/>
      <c r="E1061" s="94"/>
      <c r="F1061" s="60">
        <f>ПЛАТЕЖИ[[#This Row],[СЎМ]]+(ПЛАТЕЖИ[[#This Row],[ВАЛЮТА]]*ПЛАТЕЖИ[[#This Row],[КУРС]])</f>
        <v>0</v>
      </c>
      <c r="G1061" s="93"/>
      <c r="H1061" s="93"/>
      <c r="I1061" s="165"/>
    </row>
    <row r="1062" spans="1:9" ht="15" customHeight="1" x14ac:dyDescent="0.3">
      <c r="A1062" s="92"/>
      <c r="B1062" s="93"/>
      <c r="C1062" s="94"/>
      <c r="D1062" s="94"/>
      <c r="E1062" s="94"/>
      <c r="F1062" s="60">
        <f>ПЛАТЕЖИ[[#This Row],[СЎМ]]+(ПЛАТЕЖИ[[#This Row],[ВАЛЮТА]]*ПЛАТЕЖИ[[#This Row],[КУРС]])</f>
        <v>0</v>
      </c>
      <c r="G1062" s="93"/>
      <c r="H1062" s="93"/>
      <c r="I1062" s="165"/>
    </row>
    <row r="1063" spans="1:9" ht="15" customHeight="1" x14ac:dyDescent="0.3">
      <c r="A1063" s="92"/>
      <c r="B1063" s="93"/>
      <c r="C1063" s="94"/>
      <c r="D1063" s="94"/>
      <c r="E1063" s="94"/>
      <c r="F1063" s="60">
        <f>ПЛАТЕЖИ[[#This Row],[СЎМ]]+(ПЛАТЕЖИ[[#This Row],[ВАЛЮТА]]*ПЛАТЕЖИ[[#This Row],[КУРС]])</f>
        <v>0</v>
      </c>
      <c r="G1063" s="93"/>
      <c r="H1063" s="93"/>
      <c r="I1063" s="165"/>
    </row>
    <row r="1064" spans="1:9" ht="15" customHeight="1" x14ac:dyDescent="0.3">
      <c r="A1064" s="92"/>
      <c r="B1064" s="93"/>
      <c r="C1064" s="94"/>
      <c r="D1064" s="94"/>
      <c r="E1064" s="94"/>
      <c r="F1064" s="60">
        <f>ПЛАТЕЖИ[[#This Row],[СЎМ]]+(ПЛАТЕЖИ[[#This Row],[ВАЛЮТА]]*ПЛАТЕЖИ[[#This Row],[КУРС]])</f>
        <v>0</v>
      </c>
      <c r="G1064" s="93"/>
      <c r="H1064" s="93"/>
      <c r="I1064" s="165"/>
    </row>
    <row r="1065" spans="1:9" ht="15" customHeight="1" x14ac:dyDescent="0.3">
      <c r="A1065" s="92"/>
      <c r="B1065" s="93"/>
      <c r="C1065" s="94"/>
      <c r="D1065" s="94"/>
      <c r="E1065" s="94"/>
      <c r="F1065" s="60">
        <f>ПЛАТЕЖИ[[#This Row],[СЎМ]]+(ПЛАТЕЖИ[[#This Row],[ВАЛЮТА]]*ПЛАТЕЖИ[[#This Row],[КУРС]])</f>
        <v>0</v>
      </c>
      <c r="G1065" s="93"/>
      <c r="H1065" s="93"/>
      <c r="I1065" s="165"/>
    </row>
    <row r="1066" spans="1:9" ht="15" customHeight="1" x14ac:dyDescent="0.3">
      <c r="A1066" s="92"/>
      <c r="B1066" s="93"/>
      <c r="C1066" s="94"/>
      <c r="D1066" s="94"/>
      <c r="E1066" s="94"/>
      <c r="F1066" s="60">
        <f>ПЛАТЕЖИ[[#This Row],[СЎМ]]+(ПЛАТЕЖИ[[#This Row],[ВАЛЮТА]]*ПЛАТЕЖИ[[#This Row],[КУРС]])</f>
        <v>0</v>
      </c>
      <c r="G1066" s="93"/>
      <c r="H1066" s="93"/>
      <c r="I1066" s="165"/>
    </row>
    <row r="1067" spans="1:9" ht="15" customHeight="1" x14ac:dyDescent="0.3">
      <c r="A1067" s="92"/>
      <c r="B1067" s="93"/>
      <c r="C1067" s="94"/>
      <c r="D1067" s="94"/>
      <c r="E1067" s="94"/>
      <c r="F1067" s="60">
        <f>ПЛАТЕЖИ[[#This Row],[СЎМ]]+(ПЛАТЕЖИ[[#This Row],[ВАЛЮТА]]*ПЛАТЕЖИ[[#This Row],[КУРС]])</f>
        <v>0</v>
      </c>
      <c r="G1067" s="93"/>
      <c r="H1067" s="93"/>
      <c r="I1067" s="165"/>
    </row>
    <row r="1068" spans="1:9" ht="15" customHeight="1" x14ac:dyDescent="0.3">
      <c r="A1068" s="92"/>
      <c r="B1068" s="93"/>
      <c r="C1068" s="94"/>
      <c r="D1068" s="94"/>
      <c r="E1068" s="94"/>
      <c r="F1068" s="60">
        <f>ПЛАТЕЖИ[[#This Row],[СЎМ]]+(ПЛАТЕЖИ[[#This Row],[ВАЛЮТА]]*ПЛАТЕЖИ[[#This Row],[КУРС]])</f>
        <v>0</v>
      </c>
      <c r="G1068" s="93"/>
      <c r="H1068" s="93"/>
      <c r="I1068" s="165"/>
    </row>
    <row r="1069" spans="1:9" ht="15" customHeight="1" x14ac:dyDescent="0.3">
      <c r="A1069" s="92"/>
      <c r="B1069" s="93"/>
      <c r="C1069" s="94"/>
      <c r="D1069" s="94"/>
      <c r="E1069" s="94"/>
      <c r="F1069" s="60">
        <f>ПЛАТЕЖИ[[#This Row],[СЎМ]]+(ПЛАТЕЖИ[[#This Row],[ВАЛЮТА]]*ПЛАТЕЖИ[[#This Row],[КУРС]])</f>
        <v>0</v>
      </c>
      <c r="G1069" s="93"/>
      <c r="H1069" s="93"/>
      <c r="I1069" s="165"/>
    </row>
    <row r="1070" spans="1:9" ht="15" customHeight="1" x14ac:dyDescent="0.3">
      <c r="A1070" s="92"/>
      <c r="B1070" s="93"/>
      <c r="C1070" s="94"/>
      <c r="D1070" s="94"/>
      <c r="E1070" s="94"/>
      <c r="F1070" s="60">
        <f>ПЛАТЕЖИ[[#This Row],[СЎМ]]+(ПЛАТЕЖИ[[#This Row],[ВАЛЮТА]]*ПЛАТЕЖИ[[#This Row],[КУРС]])</f>
        <v>0</v>
      </c>
      <c r="G1070" s="93"/>
      <c r="H1070" s="93"/>
      <c r="I1070" s="165"/>
    </row>
    <row r="1071" spans="1:9" ht="15" customHeight="1" x14ac:dyDescent="0.3">
      <c r="A1071" s="92"/>
      <c r="B1071" s="93"/>
      <c r="C1071" s="94"/>
      <c r="D1071" s="94"/>
      <c r="E1071" s="94"/>
      <c r="F1071" s="60">
        <f>ПЛАТЕЖИ[[#This Row],[СЎМ]]+(ПЛАТЕЖИ[[#This Row],[ВАЛЮТА]]*ПЛАТЕЖИ[[#This Row],[КУРС]])</f>
        <v>0</v>
      </c>
      <c r="G1071" s="93"/>
      <c r="H1071" s="93"/>
      <c r="I1071" s="165"/>
    </row>
    <row r="1072" spans="1:9" ht="15" customHeight="1" x14ac:dyDescent="0.3">
      <c r="A1072" s="92"/>
      <c r="B1072" s="93"/>
      <c r="C1072" s="94"/>
      <c r="D1072" s="94"/>
      <c r="E1072" s="94"/>
      <c r="F1072" s="60">
        <f>ПЛАТЕЖИ[[#This Row],[СЎМ]]+(ПЛАТЕЖИ[[#This Row],[ВАЛЮТА]]*ПЛАТЕЖИ[[#This Row],[КУРС]])</f>
        <v>0</v>
      </c>
      <c r="G1072" s="93"/>
      <c r="H1072" s="93"/>
      <c r="I1072" s="165"/>
    </row>
    <row r="1073" spans="1:9" ht="15" customHeight="1" x14ac:dyDescent="0.3">
      <c r="A1073" s="92"/>
      <c r="B1073" s="93"/>
      <c r="C1073" s="94"/>
      <c r="D1073" s="94"/>
      <c r="E1073" s="94"/>
      <c r="F1073" s="60">
        <f>ПЛАТЕЖИ[[#This Row],[СЎМ]]+(ПЛАТЕЖИ[[#This Row],[ВАЛЮТА]]*ПЛАТЕЖИ[[#This Row],[КУРС]])</f>
        <v>0</v>
      </c>
      <c r="G1073" s="93"/>
      <c r="H1073" s="93"/>
      <c r="I1073" s="165"/>
    </row>
    <row r="1074" spans="1:9" ht="15" customHeight="1" x14ac:dyDescent="0.3">
      <c r="A1074" s="92"/>
      <c r="B1074" s="93"/>
      <c r="C1074" s="94"/>
      <c r="D1074" s="94"/>
      <c r="E1074" s="94"/>
      <c r="F1074" s="60">
        <f>ПЛАТЕЖИ[[#This Row],[СЎМ]]+(ПЛАТЕЖИ[[#This Row],[ВАЛЮТА]]*ПЛАТЕЖИ[[#This Row],[КУРС]])</f>
        <v>0</v>
      </c>
      <c r="G1074" s="93"/>
      <c r="H1074" s="93"/>
      <c r="I1074" s="165"/>
    </row>
    <row r="1075" spans="1:9" ht="15" customHeight="1" x14ac:dyDescent="0.3">
      <c r="A1075" s="92"/>
      <c r="B1075" s="93"/>
      <c r="C1075" s="94"/>
      <c r="D1075" s="94"/>
      <c r="E1075" s="94"/>
      <c r="F1075" s="60">
        <f>ПЛАТЕЖИ[[#This Row],[СЎМ]]+(ПЛАТЕЖИ[[#This Row],[ВАЛЮТА]]*ПЛАТЕЖИ[[#This Row],[КУРС]])</f>
        <v>0</v>
      </c>
      <c r="G1075" s="93"/>
      <c r="H1075" s="93"/>
      <c r="I1075" s="165"/>
    </row>
    <row r="1076" spans="1:9" ht="15" customHeight="1" x14ac:dyDescent="0.3">
      <c r="A1076" s="92"/>
      <c r="B1076" s="93"/>
      <c r="C1076" s="94"/>
      <c r="D1076" s="94"/>
      <c r="E1076" s="94"/>
      <c r="F1076" s="60">
        <f>ПЛАТЕЖИ[[#This Row],[СЎМ]]+(ПЛАТЕЖИ[[#This Row],[ВАЛЮТА]]*ПЛАТЕЖИ[[#This Row],[КУРС]])</f>
        <v>0</v>
      </c>
      <c r="G1076" s="93"/>
      <c r="H1076" s="93"/>
      <c r="I1076" s="165"/>
    </row>
    <row r="1077" spans="1:9" ht="15" customHeight="1" x14ac:dyDescent="0.3">
      <c r="A1077" s="92"/>
      <c r="B1077" s="93"/>
      <c r="C1077" s="94"/>
      <c r="D1077" s="94"/>
      <c r="E1077" s="94"/>
      <c r="F1077" s="60">
        <f>ПЛАТЕЖИ[[#This Row],[СЎМ]]+(ПЛАТЕЖИ[[#This Row],[ВАЛЮТА]]*ПЛАТЕЖИ[[#This Row],[КУРС]])</f>
        <v>0</v>
      </c>
      <c r="G1077" s="93"/>
      <c r="H1077" s="93"/>
      <c r="I1077" s="165"/>
    </row>
    <row r="1078" spans="1:9" ht="15" customHeight="1" x14ac:dyDescent="0.3">
      <c r="A1078" s="92"/>
      <c r="B1078" s="93"/>
      <c r="C1078" s="94"/>
      <c r="D1078" s="94"/>
      <c r="E1078" s="94"/>
      <c r="F1078" s="60">
        <f>ПЛАТЕЖИ[[#This Row],[СЎМ]]+(ПЛАТЕЖИ[[#This Row],[ВАЛЮТА]]*ПЛАТЕЖИ[[#This Row],[КУРС]])</f>
        <v>0</v>
      </c>
      <c r="G1078" s="93"/>
      <c r="H1078" s="93"/>
      <c r="I1078" s="165"/>
    </row>
    <row r="1079" spans="1:9" ht="15" customHeight="1" x14ac:dyDescent="0.3">
      <c r="A1079" s="92"/>
      <c r="B1079" s="93"/>
      <c r="C1079" s="94"/>
      <c r="D1079" s="94"/>
      <c r="E1079" s="94"/>
      <c r="F1079" s="60">
        <f>ПЛАТЕЖИ[[#This Row],[СЎМ]]+(ПЛАТЕЖИ[[#This Row],[ВАЛЮТА]]*ПЛАТЕЖИ[[#This Row],[КУРС]])</f>
        <v>0</v>
      </c>
      <c r="G1079" s="93"/>
      <c r="H1079" s="93"/>
      <c r="I1079" s="165"/>
    </row>
    <row r="1080" spans="1:9" ht="15" customHeight="1" x14ac:dyDescent="0.3">
      <c r="A1080" s="92"/>
      <c r="B1080" s="93"/>
      <c r="C1080" s="94"/>
      <c r="D1080" s="94"/>
      <c r="E1080" s="94"/>
      <c r="F1080" s="60">
        <f>ПЛАТЕЖИ[[#This Row],[СЎМ]]+(ПЛАТЕЖИ[[#This Row],[ВАЛЮТА]]*ПЛАТЕЖИ[[#This Row],[КУРС]])</f>
        <v>0</v>
      </c>
      <c r="G1080" s="93"/>
      <c r="H1080" s="93"/>
      <c r="I1080" s="165"/>
    </row>
    <row r="1081" spans="1:9" ht="15" customHeight="1" x14ac:dyDescent="0.3">
      <c r="A1081" s="92"/>
      <c r="B1081" s="93"/>
      <c r="C1081" s="94"/>
      <c r="D1081" s="94"/>
      <c r="E1081" s="94"/>
      <c r="F1081" s="60">
        <f>ПЛАТЕЖИ[[#This Row],[СЎМ]]+(ПЛАТЕЖИ[[#This Row],[ВАЛЮТА]]*ПЛАТЕЖИ[[#This Row],[КУРС]])</f>
        <v>0</v>
      </c>
      <c r="G1081" s="93"/>
      <c r="H1081" s="93"/>
      <c r="I1081" s="165"/>
    </row>
    <row r="1082" spans="1:9" ht="15" customHeight="1" x14ac:dyDescent="0.3">
      <c r="A1082" s="92"/>
      <c r="B1082" s="93"/>
      <c r="C1082" s="94"/>
      <c r="D1082" s="94"/>
      <c r="E1082" s="94"/>
      <c r="F1082" s="60">
        <f>ПЛАТЕЖИ[[#This Row],[СЎМ]]+(ПЛАТЕЖИ[[#This Row],[ВАЛЮТА]]*ПЛАТЕЖИ[[#This Row],[КУРС]])</f>
        <v>0</v>
      </c>
      <c r="G1082" s="93"/>
      <c r="H1082" s="93"/>
      <c r="I1082" s="165"/>
    </row>
    <row r="1083" spans="1:9" ht="15" customHeight="1" x14ac:dyDescent="0.3">
      <c r="A1083" s="92"/>
      <c r="B1083" s="93"/>
      <c r="C1083" s="94"/>
      <c r="D1083" s="94"/>
      <c r="E1083" s="94"/>
      <c r="F1083" s="60">
        <f>ПЛАТЕЖИ[[#This Row],[СЎМ]]+(ПЛАТЕЖИ[[#This Row],[ВАЛЮТА]]*ПЛАТЕЖИ[[#This Row],[КУРС]])</f>
        <v>0</v>
      </c>
      <c r="G1083" s="93"/>
      <c r="H1083" s="93"/>
      <c r="I1083" s="165"/>
    </row>
    <row r="1084" spans="1:9" ht="15" customHeight="1" x14ac:dyDescent="0.3">
      <c r="A1084" s="92"/>
      <c r="B1084" s="93"/>
      <c r="C1084" s="94"/>
      <c r="D1084" s="94"/>
      <c r="E1084" s="94"/>
      <c r="F1084" s="60">
        <f>ПЛАТЕЖИ[[#This Row],[СЎМ]]+(ПЛАТЕЖИ[[#This Row],[ВАЛЮТА]]*ПЛАТЕЖИ[[#This Row],[КУРС]])</f>
        <v>0</v>
      </c>
      <c r="G1084" s="93"/>
      <c r="H1084" s="93"/>
      <c r="I1084" s="165"/>
    </row>
    <row r="1085" spans="1:9" ht="15" customHeight="1" x14ac:dyDescent="0.3">
      <c r="A1085" s="92"/>
      <c r="B1085" s="93"/>
      <c r="C1085" s="94"/>
      <c r="D1085" s="94"/>
      <c r="E1085" s="94"/>
      <c r="F1085" s="60">
        <f>ПЛАТЕЖИ[[#This Row],[СЎМ]]+(ПЛАТЕЖИ[[#This Row],[ВАЛЮТА]]*ПЛАТЕЖИ[[#This Row],[КУРС]])</f>
        <v>0</v>
      </c>
      <c r="G1085" s="93"/>
      <c r="H1085" s="93"/>
      <c r="I1085" s="165"/>
    </row>
    <row r="1086" spans="1:9" ht="15" customHeight="1" x14ac:dyDescent="0.3">
      <c r="A1086" s="92"/>
      <c r="B1086" s="93"/>
      <c r="C1086" s="94"/>
      <c r="D1086" s="94"/>
      <c r="E1086" s="94"/>
      <c r="F1086" s="60">
        <f>ПЛАТЕЖИ[[#This Row],[СЎМ]]+(ПЛАТЕЖИ[[#This Row],[ВАЛЮТА]]*ПЛАТЕЖИ[[#This Row],[КУРС]])</f>
        <v>0</v>
      </c>
      <c r="G1086" s="93"/>
      <c r="H1086" s="93"/>
      <c r="I1086" s="165"/>
    </row>
    <row r="1087" spans="1:9" ht="15" customHeight="1" x14ac:dyDescent="0.3">
      <c r="A1087" s="92"/>
      <c r="B1087" s="93"/>
      <c r="C1087" s="94"/>
      <c r="D1087" s="94"/>
      <c r="E1087" s="94"/>
      <c r="F1087" s="60">
        <f>ПЛАТЕЖИ[[#This Row],[СЎМ]]+(ПЛАТЕЖИ[[#This Row],[ВАЛЮТА]]*ПЛАТЕЖИ[[#This Row],[КУРС]])</f>
        <v>0</v>
      </c>
      <c r="G1087" s="93"/>
      <c r="H1087" s="93"/>
      <c r="I1087" s="165"/>
    </row>
    <row r="1088" spans="1:9" ht="15" customHeight="1" x14ac:dyDescent="0.3">
      <c r="A1088" s="92"/>
      <c r="B1088" s="93"/>
      <c r="C1088" s="94"/>
      <c r="D1088" s="94"/>
      <c r="E1088" s="94"/>
      <c r="F1088" s="60">
        <f>ПЛАТЕЖИ[[#This Row],[СЎМ]]+(ПЛАТЕЖИ[[#This Row],[ВАЛЮТА]]*ПЛАТЕЖИ[[#This Row],[КУРС]])</f>
        <v>0</v>
      </c>
      <c r="G1088" s="93"/>
      <c r="H1088" s="93"/>
      <c r="I1088" s="165"/>
    </row>
    <row r="1089" spans="1:9" ht="15" customHeight="1" x14ac:dyDescent="0.3">
      <c r="A1089" s="92"/>
      <c r="B1089" s="93"/>
      <c r="C1089" s="94"/>
      <c r="D1089" s="94"/>
      <c r="E1089" s="94"/>
      <c r="F1089" s="60">
        <f>ПЛАТЕЖИ[[#This Row],[СЎМ]]+(ПЛАТЕЖИ[[#This Row],[ВАЛЮТА]]*ПЛАТЕЖИ[[#This Row],[КУРС]])</f>
        <v>0</v>
      </c>
      <c r="G1089" s="93"/>
      <c r="I1089" s="165"/>
    </row>
    <row r="1090" spans="1:9" ht="15" customHeight="1" x14ac:dyDescent="0.3">
      <c r="A1090" s="92"/>
      <c r="B1090" s="93"/>
      <c r="C1090" s="94"/>
      <c r="D1090" s="94"/>
      <c r="E1090" s="94"/>
      <c r="F1090" s="60">
        <f>ПЛАТЕЖИ[[#This Row],[СЎМ]]+(ПЛАТЕЖИ[[#This Row],[ВАЛЮТА]]*ПЛАТЕЖИ[[#This Row],[КУРС]])</f>
        <v>0</v>
      </c>
      <c r="G1090" s="93"/>
      <c r="I1090" s="165"/>
    </row>
    <row r="1091" spans="1:9" ht="15" customHeight="1" x14ac:dyDescent="0.3">
      <c r="A1091" s="92"/>
      <c r="B1091" s="93"/>
      <c r="C1091" s="94"/>
      <c r="D1091" s="94"/>
      <c r="E1091" s="94"/>
      <c r="F1091" s="60">
        <f>ПЛАТЕЖИ[[#This Row],[СЎМ]]+(ПЛАТЕЖИ[[#This Row],[ВАЛЮТА]]*ПЛАТЕЖИ[[#This Row],[КУРС]])</f>
        <v>0</v>
      </c>
      <c r="G1091" s="93"/>
      <c r="I1091" s="165"/>
    </row>
    <row r="1092" spans="1:9" ht="15" customHeight="1" x14ac:dyDescent="0.3">
      <c r="A1092" s="92"/>
      <c r="B1092" s="93"/>
      <c r="C1092" s="94"/>
      <c r="D1092" s="94"/>
      <c r="E1092" s="94"/>
      <c r="F1092" s="60">
        <f>ПЛАТЕЖИ[[#This Row],[СЎМ]]+(ПЛАТЕЖИ[[#This Row],[ВАЛЮТА]]*ПЛАТЕЖИ[[#This Row],[КУРС]])</f>
        <v>0</v>
      </c>
      <c r="G1092" s="93"/>
      <c r="I1092" s="165"/>
    </row>
    <row r="1093" spans="1:9" ht="15" customHeight="1" x14ac:dyDescent="0.3">
      <c r="A1093" s="92"/>
      <c r="B1093" s="93"/>
      <c r="C1093" s="94"/>
      <c r="D1093" s="94"/>
      <c r="E1093" s="94"/>
      <c r="F1093" s="60">
        <f>ПЛАТЕЖИ[[#This Row],[СЎМ]]+(ПЛАТЕЖИ[[#This Row],[ВАЛЮТА]]*ПЛАТЕЖИ[[#This Row],[КУРС]])</f>
        <v>0</v>
      </c>
      <c r="G1093" s="93"/>
      <c r="H1093" s="93"/>
      <c r="I1093" s="165"/>
    </row>
    <row r="1094" spans="1:9" ht="15" customHeight="1" x14ac:dyDescent="0.3">
      <c r="A1094" s="92"/>
      <c r="B1094" s="93"/>
      <c r="C1094" s="94"/>
      <c r="D1094" s="94"/>
      <c r="E1094" s="94"/>
      <c r="F1094" s="60">
        <f>ПЛАТЕЖИ[[#This Row],[СЎМ]]+(ПЛАТЕЖИ[[#This Row],[ВАЛЮТА]]*ПЛАТЕЖИ[[#This Row],[КУРС]])</f>
        <v>0</v>
      </c>
      <c r="G1094" s="93"/>
      <c r="H1094" s="93"/>
      <c r="I1094" s="165"/>
    </row>
    <row r="1095" spans="1:9" ht="15" customHeight="1" x14ac:dyDescent="0.3">
      <c r="A1095" s="92"/>
      <c r="B1095" s="93"/>
      <c r="C1095" s="94"/>
      <c r="D1095" s="94"/>
      <c r="E1095" s="94"/>
      <c r="F1095" s="60">
        <f>ПЛАТЕЖИ[[#This Row],[СЎМ]]+(ПЛАТЕЖИ[[#This Row],[ВАЛЮТА]]*ПЛАТЕЖИ[[#This Row],[КУРС]])</f>
        <v>0</v>
      </c>
      <c r="G1095" s="93"/>
      <c r="H1095" s="93"/>
      <c r="I1095" s="165"/>
    </row>
    <row r="1096" spans="1:9" ht="15" customHeight="1" x14ac:dyDescent="0.3">
      <c r="A1096" s="92"/>
      <c r="B1096" s="93"/>
      <c r="C1096" s="94"/>
      <c r="D1096" s="94"/>
      <c r="E1096" s="94"/>
      <c r="F1096" s="60">
        <f>ПЛАТЕЖИ[[#This Row],[СЎМ]]+(ПЛАТЕЖИ[[#This Row],[ВАЛЮТА]]*ПЛАТЕЖИ[[#This Row],[КУРС]])</f>
        <v>0</v>
      </c>
      <c r="G1096" s="93"/>
      <c r="H1096" s="93"/>
      <c r="I1096" s="165"/>
    </row>
    <row r="1097" spans="1:9" ht="15" customHeight="1" x14ac:dyDescent="0.3">
      <c r="A1097" s="92"/>
      <c r="B1097" s="93"/>
      <c r="C1097" s="94"/>
      <c r="D1097" s="94"/>
      <c r="E1097" s="94"/>
      <c r="F1097" s="60">
        <f>ПЛАТЕЖИ[[#This Row],[СЎМ]]+(ПЛАТЕЖИ[[#This Row],[ВАЛЮТА]]*ПЛАТЕЖИ[[#This Row],[КУРС]])</f>
        <v>0</v>
      </c>
      <c r="G1097" s="93"/>
      <c r="H1097" s="93"/>
      <c r="I1097" s="165"/>
    </row>
    <row r="1098" spans="1:9" ht="15" customHeight="1" x14ac:dyDescent="0.3">
      <c r="A1098" s="92"/>
      <c r="B1098" s="93"/>
      <c r="C1098" s="94"/>
      <c r="D1098" s="94"/>
      <c r="E1098" s="94"/>
      <c r="F1098" s="60">
        <f>ПЛАТЕЖИ[[#This Row],[СЎМ]]+(ПЛАТЕЖИ[[#This Row],[ВАЛЮТА]]*ПЛАТЕЖИ[[#This Row],[КУРС]])</f>
        <v>0</v>
      </c>
      <c r="G1098" s="93"/>
      <c r="H1098" s="93"/>
      <c r="I1098" s="165"/>
    </row>
    <row r="1099" spans="1:9" ht="15" customHeight="1" x14ac:dyDescent="0.3">
      <c r="A1099" s="92"/>
      <c r="B1099" s="93"/>
      <c r="C1099" s="94"/>
      <c r="D1099" s="94"/>
      <c r="E1099" s="94"/>
      <c r="F1099" s="60">
        <f>ПЛАТЕЖИ[[#This Row],[СЎМ]]+(ПЛАТЕЖИ[[#This Row],[ВАЛЮТА]]*ПЛАТЕЖИ[[#This Row],[КУРС]])</f>
        <v>0</v>
      </c>
      <c r="G1099" s="93"/>
      <c r="H1099" s="93"/>
      <c r="I1099" s="165"/>
    </row>
    <row r="1100" spans="1:9" ht="15" customHeight="1" x14ac:dyDescent="0.3">
      <c r="A1100" s="92"/>
      <c r="B1100" s="93"/>
      <c r="C1100" s="94"/>
      <c r="D1100" s="94"/>
      <c r="E1100" s="94"/>
      <c r="F1100" s="60">
        <f>ПЛАТЕЖИ[[#This Row],[СЎМ]]+(ПЛАТЕЖИ[[#This Row],[ВАЛЮТА]]*ПЛАТЕЖИ[[#This Row],[КУРС]])</f>
        <v>0</v>
      </c>
      <c r="G1100" s="93"/>
      <c r="H1100" s="93"/>
      <c r="I1100" s="165"/>
    </row>
    <row r="1101" spans="1:9" ht="15" customHeight="1" x14ac:dyDescent="0.3">
      <c r="A1101" s="92"/>
      <c r="B1101" s="93"/>
      <c r="C1101" s="94"/>
      <c r="D1101" s="94"/>
      <c r="E1101" s="94"/>
      <c r="F1101" s="60">
        <f>ПЛАТЕЖИ[[#This Row],[СЎМ]]+(ПЛАТЕЖИ[[#This Row],[ВАЛЮТА]]*ПЛАТЕЖИ[[#This Row],[КУРС]])</f>
        <v>0</v>
      </c>
      <c r="G1101" s="93"/>
      <c r="H1101" s="93"/>
      <c r="I1101" s="165"/>
    </row>
    <row r="1102" spans="1:9" ht="15" customHeight="1" x14ac:dyDescent="0.3">
      <c r="A1102" s="92"/>
      <c r="B1102" s="93"/>
      <c r="C1102" s="94"/>
      <c r="D1102" s="94"/>
      <c r="E1102" s="94"/>
      <c r="F1102" s="60">
        <f>ПЛАТЕЖИ[[#This Row],[СЎМ]]+(ПЛАТЕЖИ[[#This Row],[ВАЛЮТА]]*ПЛАТЕЖИ[[#This Row],[КУРС]])</f>
        <v>0</v>
      </c>
      <c r="G1102" s="93"/>
      <c r="I1102" s="165"/>
    </row>
    <row r="1103" spans="1:9" ht="15" customHeight="1" x14ac:dyDescent="0.3">
      <c r="A1103" s="92"/>
      <c r="B1103" s="93"/>
      <c r="C1103" s="94"/>
      <c r="D1103" s="94"/>
      <c r="E1103" s="94"/>
      <c r="F1103" s="60">
        <f>ПЛАТЕЖИ[[#This Row],[СЎМ]]+(ПЛАТЕЖИ[[#This Row],[ВАЛЮТА]]*ПЛАТЕЖИ[[#This Row],[КУРС]])</f>
        <v>0</v>
      </c>
      <c r="G1103" s="93"/>
      <c r="I1103" s="165"/>
    </row>
    <row r="1104" spans="1:9" ht="15" customHeight="1" x14ac:dyDescent="0.3">
      <c r="A1104" s="92"/>
      <c r="B1104" s="93"/>
      <c r="C1104" s="94"/>
      <c r="D1104" s="94"/>
      <c r="E1104" s="94"/>
      <c r="F1104" s="60">
        <f>ПЛАТЕЖИ[[#This Row],[СЎМ]]+(ПЛАТЕЖИ[[#This Row],[ВАЛЮТА]]*ПЛАТЕЖИ[[#This Row],[КУРС]])</f>
        <v>0</v>
      </c>
      <c r="G1104" s="93"/>
      <c r="I1104" s="165"/>
    </row>
    <row r="1105" spans="1:9" ht="15" customHeight="1" x14ac:dyDescent="0.3">
      <c r="A1105" s="92"/>
      <c r="B1105" s="93"/>
      <c r="C1105" s="94"/>
      <c r="D1105" s="94"/>
      <c r="E1105" s="94"/>
      <c r="F1105" s="60">
        <f>ПЛАТЕЖИ[[#This Row],[СЎМ]]+(ПЛАТЕЖИ[[#This Row],[ВАЛЮТА]]*ПЛАТЕЖИ[[#This Row],[КУРС]])</f>
        <v>0</v>
      </c>
      <c r="G1105" s="93"/>
      <c r="I1105" s="165"/>
    </row>
    <row r="1106" spans="1:9" ht="15" customHeight="1" x14ac:dyDescent="0.3">
      <c r="A1106" s="92"/>
      <c r="B1106" s="93"/>
      <c r="C1106" s="94"/>
      <c r="D1106" s="94"/>
      <c r="E1106" s="94"/>
      <c r="F1106" s="60">
        <f>ПЛАТЕЖИ[[#This Row],[СЎМ]]+(ПЛАТЕЖИ[[#This Row],[ВАЛЮТА]]*ПЛАТЕЖИ[[#This Row],[КУРС]])</f>
        <v>0</v>
      </c>
      <c r="G1106" s="93"/>
      <c r="H1106" s="93"/>
      <c r="I1106" s="165"/>
    </row>
    <row r="1107" spans="1:9" ht="15" customHeight="1" x14ac:dyDescent="0.3">
      <c r="A1107" s="92"/>
      <c r="B1107" s="93"/>
      <c r="C1107" s="94"/>
      <c r="D1107" s="94"/>
      <c r="E1107" s="94"/>
      <c r="F1107" s="60">
        <f>ПЛАТЕЖИ[[#This Row],[СЎМ]]+(ПЛАТЕЖИ[[#This Row],[ВАЛЮТА]]*ПЛАТЕЖИ[[#This Row],[КУРС]])</f>
        <v>0</v>
      </c>
      <c r="G1107" s="93"/>
      <c r="H1107" s="93"/>
      <c r="I1107" s="165"/>
    </row>
    <row r="1108" spans="1:9" ht="15" customHeight="1" x14ac:dyDescent="0.3">
      <c r="A1108" s="92"/>
      <c r="B1108" s="93"/>
      <c r="C1108" s="94"/>
      <c r="D1108" s="94"/>
      <c r="E1108" s="94"/>
      <c r="F1108" s="60">
        <f>ПЛАТЕЖИ[[#This Row],[СЎМ]]+(ПЛАТЕЖИ[[#This Row],[ВАЛЮТА]]*ПЛАТЕЖИ[[#This Row],[КУРС]])</f>
        <v>0</v>
      </c>
      <c r="G1108" s="93"/>
      <c r="H1108" s="93"/>
      <c r="I1108" s="165"/>
    </row>
    <row r="1109" spans="1:9" ht="15" customHeight="1" x14ac:dyDescent="0.3">
      <c r="A1109" s="92"/>
      <c r="B1109" s="93"/>
      <c r="C1109" s="94"/>
      <c r="D1109" s="94"/>
      <c r="E1109" s="94"/>
      <c r="F1109" s="60">
        <f>ПЛАТЕЖИ[[#This Row],[СЎМ]]+(ПЛАТЕЖИ[[#This Row],[ВАЛЮТА]]*ПЛАТЕЖИ[[#This Row],[КУРС]])</f>
        <v>0</v>
      </c>
      <c r="G1109" s="93"/>
      <c r="H1109" s="93"/>
      <c r="I1109" s="165"/>
    </row>
    <row r="1110" spans="1:9" ht="15" customHeight="1" x14ac:dyDescent="0.3">
      <c r="A1110" s="92"/>
      <c r="B1110" s="93"/>
      <c r="C1110" s="94"/>
      <c r="D1110" s="94"/>
      <c r="E1110" s="94"/>
      <c r="F1110" s="60">
        <f>ПЛАТЕЖИ[[#This Row],[СЎМ]]+(ПЛАТЕЖИ[[#This Row],[ВАЛЮТА]]*ПЛАТЕЖИ[[#This Row],[КУРС]])</f>
        <v>0</v>
      </c>
      <c r="G1110" s="93"/>
      <c r="H1110" s="93"/>
      <c r="I1110" s="165"/>
    </row>
    <row r="1111" spans="1:9" ht="15" customHeight="1" x14ac:dyDescent="0.3">
      <c r="A1111" s="92"/>
      <c r="B1111" s="93"/>
      <c r="C1111" s="94"/>
      <c r="D1111" s="94"/>
      <c r="E1111" s="94"/>
      <c r="F1111" s="60">
        <f>ПЛАТЕЖИ[[#This Row],[СЎМ]]+(ПЛАТЕЖИ[[#This Row],[ВАЛЮТА]]*ПЛАТЕЖИ[[#This Row],[КУРС]])</f>
        <v>0</v>
      </c>
      <c r="G1111" s="93"/>
      <c r="H1111" s="93"/>
      <c r="I1111" s="165"/>
    </row>
    <row r="1112" spans="1:9" ht="15" customHeight="1" x14ac:dyDescent="0.3">
      <c r="A1112" s="92"/>
      <c r="B1112" s="93"/>
      <c r="C1112" s="94"/>
      <c r="D1112" s="94"/>
      <c r="E1112" s="94"/>
      <c r="F1112" s="60">
        <f>ПЛАТЕЖИ[[#This Row],[СЎМ]]+(ПЛАТЕЖИ[[#This Row],[ВАЛЮТА]]*ПЛАТЕЖИ[[#This Row],[КУРС]])</f>
        <v>0</v>
      </c>
      <c r="G1112" s="93"/>
      <c r="H1112" s="93"/>
      <c r="I1112" s="165"/>
    </row>
    <row r="1113" spans="1:9" ht="15" customHeight="1" x14ac:dyDescent="0.3">
      <c r="A1113" s="92"/>
      <c r="B1113" s="93"/>
      <c r="C1113" s="94"/>
      <c r="D1113" s="94"/>
      <c r="E1113" s="94"/>
      <c r="F1113" s="60">
        <f>ПЛАТЕЖИ[[#This Row],[СЎМ]]+(ПЛАТЕЖИ[[#This Row],[ВАЛЮТА]]*ПЛАТЕЖИ[[#This Row],[КУРС]])</f>
        <v>0</v>
      </c>
      <c r="G1113" s="93"/>
      <c r="H1113" s="93"/>
      <c r="I1113" s="165"/>
    </row>
    <row r="1114" spans="1:9" ht="15" customHeight="1" x14ac:dyDescent="0.3">
      <c r="A1114" s="92"/>
      <c r="B1114" s="93"/>
      <c r="C1114" s="94"/>
      <c r="D1114" s="94"/>
      <c r="E1114" s="94"/>
      <c r="F1114" s="60">
        <f>ПЛАТЕЖИ[[#This Row],[СЎМ]]+(ПЛАТЕЖИ[[#This Row],[ВАЛЮТА]]*ПЛАТЕЖИ[[#This Row],[КУРС]])</f>
        <v>0</v>
      </c>
      <c r="G1114" s="93"/>
      <c r="H1114" s="93"/>
      <c r="I1114" s="165"/>
    </row>
    <row r="1115" spans="1:9" ht="15" customHeight="1" x14ac:dyDescent="0.3">
      <c r="A1115" s="92"/>
      <c r="B1115" s="93"/>
      <c r="C1115" s="94"/>
      <c r="D1115" s="94"/>
      <c r="E1115" s="94"/>
      <c r="F1115" s="60">
        <f>ПЛАТЕЖИ[[#This Row],[СЎМ]]+(ПЛАТЕЖИ[[#This Row],[ВАЛЮТА]]*ПЛАТЕЖИ[[#This Row],[КУРС]])</f>
        <v>0</v>
      </c>
      <c r="G1115" s="93"/>
      <c r="H1115" s="93"/>
      <c r="I1115" s="165"/>
    </row>
    <row r="1116" spans="1:9" ht="15" customHeight="1" x14ac:dyDescent="0.3">
      <c r="A1116" s="92"/>
      <c r="B1116" s="93"/>
      <c r="C1116" s="94"/>
      <c r="D1116" s="94"/>
      <c r="E1116" s="94"/>
      <c r="F1116" s="60">
        <f>ПЛАТЕЖИ[[#This Row],[СЎМ]]+(ПЛАТЕЖИ[[#This Row],[ВАЛЮТА]]*ПЛАТЕЖИ[[#This Row],[КУРС]])</f>
        <v>0</v>
      </c>
      <c r="G1116" s="93"/>
      <c r="H1116" s="93"/>
      <c r="I1116" s="165"/>
    </row>
    <row r="1117" spans="1:9" ht="15" customHeight="1" x14ac:dyDescent="0.3">
      <c r="A1117" s="92"/>
      <c r="B1117" s="93"/>
      <c r="C1117" s="94"/>
      <c r="D1117" s="94"/>
      <c r="E1117" s="94"/>
      <c r="F1117" s="60">
        <f>ПЛАТЕЖИ[[#This Row],[СЎМ]]+(ПЛАТЕЖИ[[#This Row],[ВАЛЮТА]]*ПЛАТЕЖИ[[#This Row],[КУРС]])</f>
        <v>0</v>
      </c>
      <c r="G1117" s="93"/>
      <c r="H1117" s="93"/>
      <c r="I1117" s="165"/>
    </row>
    <row r="1118" spans="1:9" ht="15" customHeight="1" x14ac:dyDescent="0.3">
      <c r="A1118" s="92"/>
      <c r="B1118" s="93"/>
      <c r="C1118" s="94"/>
      <c r="D1118" s="94"/>
      <c r="E1118" s="94"/>
      <c r="F1118" s="60">
        <f>ПЛАТЕЖИ[[#This Row],[СЎМ]]+(ПЛАТЕЖИ[[#This Row],[ВАЛЮТА]]*ПЛАТЕЖИ[[#This Row],[КУРС]])</f>
        <v>0</v>
      </c>
      <c r="G1118" s="93"/>
      <c r="H1118" s="93"/>
      <c r="I1118" s="165"/>
    </row>
    <row r="1119" spans="1:9" ht="15" customHeight="1" x14ac:dyDescent="0.3">
      <c r="A1119" s="92"/>
      <c r="B1119" s="93"/>
      <c r="C1119" s="94"/>
      <c r="D1119" s="94"/>
      <c r="E1119" s="94"/>
      <c r="F1119" s="60">
        <f>ПЛАТЕЖИ[[#This Row],[СЎМ]]+(ПЛАТЕЖИ[[#This Row],[ВАЛЮТА]]*ПЛАТЕЖИ[[#This Row],[КУРС]])</f>
        <v>0</v>
      </c>
      <c r="G1119" s="93"/>
      <c r="I1119" s="165"/>
    </row>
    <row r="1120" spans="1:9" ht="15" customHeight="1" x14ac:dyDescent="0.3">
      <c r="A1120" s="92"/>
      <c r="B1120" s="84"/>
      <c r="C1120" s="94"/>
      <c r="D1120" s="94"/>
      <c r="E1120" s="94"/>
      <c r="F1120" s="60">
        <f>ПЛАТЕЖИ[[#This Row],[СЎМ]]+(ПЛАТЕЖИ[[#This Row],[ВАЛЮТА]]*ПЛАТЕЖИ[[#This Row],[КУРС]])</f>
        <v>0</v>
      </c>
      <c r="G1120" s="93"/>
      <c r="H1120" s="93"/>
      <c r="I1120" s="165"/>
    </row>
    <row r="1121" spans="1:9" ht="15" customHeight="1" x14ac:dyDescent="0.3">
      <c r="A1121" s="92"/>
      <c r="B1121" s="93"/>
      <c r="C1121" s="94"/>
      <c r="D1121" s="94"/>
      <c r="E1121" s="94"/>
      <c r="F1121" s="60">
        <f>ПЛАТЕЖИ[[#This Row],[СЎМ]]+(ПЛАТЕЖИ[[#This Row],[ВАЛЮТА]]*ПЛАТЕЖИ[[#This Row],[КУРС]])</f>
        <v>0</v>
      </c>
      <c r="G1121" s="93"/>
      <c r="I1121" s="165"/>
    </row>
    <row r="1122" spans="1:9" ht="15" customHeight="1" x14ac:dyDescent="0.3">
      <c r="A1122" s="92"/>
      <c r="B1122" s="84"/>
      <c r="C1122" s="94"/>
      <c r="D1122" s="94"/>
      <c r="E1122" s="94"/>
      <c r="F1122" s="60">
        <f>ПЛАТЕЖИ[[#This Row],[СЎМ]]+(ПЛАТЕЖИ[[#This Row],[ВАЛЮТА]]*ПЛАТЕЖИ[[#This Row],[КУРС]])</f>
        <v>0</v>
      </c>
      <c r="G1122" s="93"/>
      <c r="I1122" s="165"/>
    </row>
    <row r="1123" spans="1:9" ht="15" customHeight="1" x14ac:dyDescent="0.3">
      <c r="A1123" s="92"/>
      <c r="B1123" s="84"/>
      <c r="C1123" s="94"/>
      <c r="D1123" s="94"/>
      <c r="E1123" s="94"/>
      <c r="F1123" s="60">
        <f>ПЛАТЕЖИ[[#This Row],[СЎМ]]+(ПЛАТЕЖИ[[#This Row],[ВАЛЮТА]]*ПЛАТЕЖИ[[#This Row],[КУРС]])</f>
        <v>0</v>
      </c>
      <c r="G1123" s="93"/>
      <c r="H1123" s="93"/>
      <c r="I1123" s="165"/>
    </row>
    <row r="1124" spans="1:9" ht="15" customHeight="1" x14ac:dyDescent="0.3">
      <c r="A1124" s="92"/>
      <c r="B1124" s="93"/>
      <c r="C1124" s="94"/>
      <c r="D1124" s="94"/>
      <c r="E1124" s="94"/>
      <c r="F1124" s="60">
        <f>ПЛАТЕЖИ[[#This Row],[СЎМ]]+(ПЛАТЕЖИ[[#This Row],[ВАЛЮТА]]*ПЛАТЕЖИ[[#This Row],[КУРС]])</f>
        <v>0</v>
      </c>
      <c r="G1124" s="93"/>
      <c r="H1124" s="93"/>
      <c r="I1124" s="165"/>
    </row>
    <row r="1125" spans="1:9" ht="15" customHeight="1" x14ac:dyDescent="0.3">
      <c r="A1125" s="92"/>
      <c r="B1125" s="93"/>
      <c r="C1125" s="94"/>
      <c r="D1125" s="94"/>
      <c r="E1125" s="94"/>
      <c r="F1125" s="60">
        <f>ПЛАТЕЖИ[[#This Row],[СЎМ]]+(ПЛАТЕЖИ[[#This Row],[ВАЛЮТА]]*ПЛАТЕЖИ[[#This Row],[КУРС]])</f>
        <v>0</v>
      </c>
      <c r="G1125" s="93"/>
      <c r="I1125" s="165"/>
    </row>
    <row r="1126" spans="1:9" ht="15" customHeight="1" x14ac:dyDescent="0.3">
      <c r="A1126" s="92"/>
      <c r="B1126" s="93"/>
      <c r="C1126" s="94"/>
      <c r="D1126" s="94"/>
      <c r="E1126" s="94"/>
      <c r="F1126" s="60">
        <f>ПЛАТЕЖИ[[#This Row],[СЎМ]]+(ПЛАТЕЖИ[[#This Row],[ВАЛЮТА]]*ПЛАТЕЖИ[[#This Row],[КУРС]])</f>
        <v>0</v>
      </c>
      <c r="G1126" s="93"/>
      <c r="H1126" s="93"/>
      <c r="I1126" s="165"/>
    </row>
    <row r="1127" spans="1:9" ht="15" customHeight="1" x14ac:dyDescent="0.3">
      <c r="A1127" s="92"/>
      <c r="B1127" s="93"/>
      <c r="C1127" s="94"/>
      <c r="D1127" s="94"/>
      <c r="E1127" s="94"/>
      <c r="F1127" s="60">
        <f>ПЛАТЕЖИ[[#This Row],[СЎМ]]+(ПЛАТЕЖИ[[#This Row],[ВАЛЮТА]]*ПЛАТЕЖИ[[#This Row],[КУРС]])</f>
        <v>0</v>
      </c>
      <c r="G1127" s="93"/>
      <c r="H1127" s="93"/>
      <c r="I1127" s="165"/>
    </row>
    <row r="1128" spans="1:9" ht="15" customHeight="1" x14ac:dyDescent="0.3">
      <c r="A1128" s="92"/>
      <c r="B1128" s="93"/>
      <c r="C1128" s="94"/>
      <c r="D1128" s="94"/>
      <c r="E1128" s="94"/>
      <c r="F1128" s="60">
        <f>ПЛАТЕЖИ[[#This Row],[СЎМ]]+(ПЛАТЕЖИ[[#This Row],[ВАЛЮТА]]*ПЛАТЕЖИ[[#This Row],[КУРС]])</f>
        <v>0</v>
      </c>
      <c r="G1128" s="93"/>
      <c r="H1128" s="93"/>
      <c r="I1128" s="165"/>
    </row>
    <row r="1129" spans="1:9" ht="15" customHeight="1" x14ac:dyDescent="0.3">
      <c r="A1129" s="92"/>
      <c r="B1129" s="93"/>
      <c r="C1129" s="94"/>
      <c r="D1129" s="94"/>
      <c r="E1129" s="94"/>
      <c r="F1129" s="60">
        <f>ПЛАТЕЖИ[[#This Row],[СЎМ]]+(ПЛАТЕЖИ[[#This Row],[ВАЛЮТА]]*ПЛАТЕЖИ[[#This Row],[КУРС]])</f>
        <v>0</v>
      </c>
      <c r="G1129" s="93"/>
      <c r="H1129" s="93"/>
      <c r="I1129" s="165"/>
    </row>
    <row r="1130" spans="1:9" ht="15" customHeight="1" x14ac:dyDescent="0.3">
      <c r="A1130" s="92"/>
      <c r="B1130" s="93"/>
      <c r="C1130" s="94"/>
      <c r="D1130" s="94"/>
      <c r="E1130" s="94"/>
      <c r="F1130" s="60">
        <f>ПЛАТЕЖИ[[#This Row],[СЎМ]]+(ПЛАТЕЖИ[[#This Row],[ВАЛЮТА]]*ПЛАТЕЖИ[[#This Row],[КУРС]])</f>
        <v>0</v>
      </c>
      <c r="G1130" s="93"/>
      <c r="H1130" s="93"/>
      <c r="I1130" s="165"/>
    </row>
    <row r="1131" spans="1:9" ht="15" customHeight="1" x14ac:dyDescent="0.3">
      <c r="A1131" s="92"/>
      <c r="B1131" s="93"/>
      <c r="C1131" s="94"/>
      <c r="D1131" s="94"/>
      <c r="E1131" s="94"/>
      <c r="F1131" s="60">
        <f>ПЛАТЕЖИ[[#This Row],[СЎМ]]+(ПЛАТЕЖИ[[#This Row],[ВАЛЮТА]]*ПЛАТЕЖИ[[#This Row],[КУРС]])</f>
        <v>0</v>
      </c>
      <c r="G1131" s="93"/>
      <c r="H1131" s="93"/>
      <c r="I1131" s="165"/>
    </row>
    <row r="1132" spans="1:9" ht="15" customHeight="1" x14ac:dyDescent="0.3">
      <c r="A1132" s="92"/>
      <c r="B1132" s="93"/>
      <c r="C1132" s="94"/>
      <c r="D1132" s="94"/>
      <c r="E1132" s="94"/>
      <c r="F1132" s="60">
        <f>ПЛАТЕЖИ[[#This Row],[СЎМ]]+(ПЛАТЕЖИ[[#This Row],[ВАЛЮТА]]*ПЛАТЕЖИ[[#This Row],[КУРС]])</f>
        <v>0</v>
      </c>
      <c r="G1132" s="93"/>
      <c r="H1132" s="93"/>
      <c r="I1132" s="165"/>
    </row>
    <row r="1133" spans="1:9" ht="15" customHeight="1" x14ac:dyDescent="0.3">
      <c r="A1133" s="92"/>
      <c r="B1133" s="93"/>
      <c r="C1133" s="94"/>
      <c r="D1133" s="94"/>
      <c r="E1133" s="94"/>
      <c r="F1133" s="60">
        <f>ПЛАТЕЖИ[[#This Row],[СЎМ]]+(ПЛАТЕЖИ[[#This Row],[ВАЛЮТА]]*ПЛАТЕЖИ[[#This Row],[КУРС]])</f>
        <v>0</v>
      </c>
      <c r="G1133" s="93"/>
      <c r="H1133" s="93"/>
      <c r="I1133" s="165"/>
    </row>
    <row r="1134" spans="1:9" ht="15" customHeight="1" x14ac:dyDescent="0.3">
      <c r="A1134" s="92"/>
      <c r="B1134" s="93"/>
      <c r="C1134" s="94"/>
      <c r="D1134" s="94"/>
      <c r="E1134" s="94"/>
      <c r="F1134" s="60">
        <f>ПЛАТЕЖИ[[#This Row],[СЎМ]]+(ПЛАТЕЖИ[[#This Row],[ВАЛЮТА]]*ПЛАТЕЖИ[[#This Row],[КУРС]])</f>
        <v>0</v>
      </c>
      <c r="G1134" s="93"/>
      <c r="H1134" s="93"/>
      <c r="I1134" s="165"/>
    </row>
    <row r="1135" spans="1:9" ht="15" customHeight="1" x14ac:dyDescent="0.3">
      <c r="A1135" s="92"/>
      <c r="B1135" s="93"/>
      <c r="C1135" s="94"/>
      <c r="D1135" s="94"/>
      <c r="E1135" s="94"/>
      <c r="F1135" s="60">
        <f>ПЛАТЕЖИ[[#This Row],[СЎМ]]+(ПЛАТЕЖИ[[#This Row],[ВАЛЮТА]]*ПЛАТЕЖИ[[#This Row],[КУРС]])</f>
        <v>0</v>
      </c>
      <c r="G1135" s="93"/>
      <c r="H1135" s="93"/>
      <c r="I1135" s="165"/>
    </row>
    <row r="1136" spans="1:9" ht="15" customHeight="1" x14ac:dyDescent="0.3">
      <c r="A1136" s="92"/>
      <c r="B1136" s="93"/>
      <c r="C1136" s="94"/>
      <c r="D1136" s="94"/>
      <c r="E1136" s="94"/>
      <c r="F1136" s="60">
        <f>ПЛАТЕЖИ[[#This Row],[СЎМ]]+(ПЛАТЕЖИ[[#This Row],[ВАЛЮТА]]*ПЛАТЕЖИ[[#This Row],[КУРС]])</f>
        <v>0</v>
      </c>
      <c r="G1136" s="93"/>
      <c r="H1136" s="93"/>
      <c r="I1136" s="165"/>
    </row>
    <row r="1137" spans="1:9" ht="15" customHeight="1" x14ac:dyDescent="0.3">
      <c r="A1137" s="92"/>
      <c r="B1137" s="93"/>
      <c r="C1137" s="94"/>
      <c r="D1137" s="94"/>
      <c r="E1137" s="94"/>
      <c r="F1137" s="60">
        <f>ПЛАТЕЖИ[[#This Row],[СЎМ]]+(ПЛАТЕЖИ[[#This Row],[ВАЛЮТА]]*ПЛАТЕЖИ[[#This Row],[КУРС]])</f>
        <v>0</v>
      </c>
      <c r="G1137" s="93"/>
      <c r="I1137" s="165"/>
    </row>
    <row r="1138" spans="1:9" ht="15" customHeight="1" x14ac:dyDescent="0.3">
      <c r="A1138" s="92"/>
      <c r="B1138" s="93"/>
      <c r="C1138" s="94"/>
      <c r="D1138" s="94"/>
      <c r="E1138" s="94"/>
      <c r="F1138" s="60">
        <f>ПЛАТЕЖИ[[#This Row],[СЎМ]]+(ПЛАТЕЖИ[[#This Row],[ВАЛЮТА]]*ПЛАТЕЖИ[[#This Row],[КУРС]])</f>
        <v>0</v>
      </c>
      <c r="G1138" s="93"/>
      <c r="H1138" s="93"/>
      <c r="I1138" s="165"/>
    </row>
    <row r="1139" spans="1:9" ht="15" customHeight="1" x14ac:dyDescent="0.3">
      <c r="A1139" s="92"/>
      <c r="B1139" s="93"/>
      <c r="C1139" s="94"/>
      <c r="D1139" s="94"/>
      <c r="E1139" s="94"/>
      <c r="F1139" s="60">
        <f>ПЛАТЕЖИ[[#This Row],[СЎМ]]+(ПЛАТЕЖИ[[#This Row],[ВАЛЮТА]]*ПЛАТЕЖИ[[#This Row],[КУРС]])</f>
        <v>0</v>
      </c>
      <c r="G1139" s="93"/>
      <c r="H1139" s="93"/>
      <c r="I1139" s="165"/>
    </row>
    <row r="1140" spans="1:9" ht="15" customHeight="1" x14ac:dyDescent="0.3">
      <c r="A1140" s="92"/>
      <c r="B1140" s="93"/>
      <c r="C1140" s="94"/>
      <c r="D1140" s="94"/>
      <c r="E1140" s="94"/>
      <c r="F1140" s="60">
        <f>ПЛАТЕЖИ[[#This Row],[СЎМ]]+(ПЛАТЕЖИ[[#This Row],[ВАЛЮТА]]*ПЛАТЕЖИ[[#This Row],[КУРС]])</f>
        <v>0</v>
      </c>
      <c r="G1140" s="93"/>
      <c r="H1140" s="93"/>
      <c r="I1140" s="165"/>
    </row>
    <row r="1141" spans="1:9" ht="15" customHeight="1" x14ac:dyDescent="0.3">
      <c r="A1141" s="92"/>
      <c r="B1141" s="93"/>
      <c r="C1141" s="94"/>
      <c r="D1141" s="94"/>
      <c r="E1141" s="94"/>
      <c r="F1141" s="60">
        <f>ПЛАТЕЖИ[[#This Row],[СЎМ]]+(ПЛАТЕЖИ[[#This Row],[ВАЛЮТА]]*ПЛАТЕЖИ[[#This Row],[КУРС]])</f>
        <v>0</v>
      </c>
      <c r="G1141" s="93"/>
      <c r="H1141" s="93"/>
      <c r="I1141" s="165"/>
    </row>
    <row r="1142" spans="1:9" ht="15" customHeight="1" x14ac:dyDescent="0.3">
      <c r="A1142" s="92"/>
      <c r="B1142" s="93"/>
      <c r="C1142" s="94"/>
      <c r="D1142" s="94"/>
      <c r="E1142" s="94"/>
      <c r="F1142" s="60">
        <f>ПЛАТЕЖИ[[#This Row],[СЎМ]]+(ПЛАТЕЖИ[[#This Row],[ВАЛЮТА]]*ПЛАТЕЖИ[[#This Row],[КУРС]])</f>
        <v>0</v>
      </c>
      <c r="G1142" s="93"/>
      <c r="H1142" s="93"/>
      <c r="I1142" s="165"/>
    </row>
    <row r="1143" spans="1:9" ht="15" customHeight="1" x14ac:dyDescent="0.3">
      <c r="A1143" s="92"/>
      <c r="B1143" s="93"/>
      <c r="C1143" s="94"/>
      <c r="D1143" s="94"/>
      <c r="E1143" s="94"/>
      <c r="F1143" s="60">
        <f>ПЛАТЕЖИ[[#This Row],[СЎМ]]+(ПЛАТЕЖИ[[#This Row],[ВАЛЮТА]]*ПЛАТЕЖИ[[#This Row],[КУРС]])</f>
        <v>0</v>
      </c>
      <c r="G1143" s="93"/>
      <c r="H1143" s="93"/>
      <c r="I1143" s="165"/>
    </row>
    <row r="1144" spans="1:9" ht="15" customHeight="1" x14ac:dyDescent="0.3">
      <c r="A1144" s="92"/>
      <c r="B1144" s="93"/>
      <c r="C1144" s="94"/>
      <c r="D1144" s="94"/>
      <c r="E1144" s="94"/>
      <c r="F1144" s="60">
        <f>ПЛАТЕЖИ[[#This Row],[СЎМ]]+(ПЛАТЕЖИ[[#This Row],[ВАЛЮТА]]*ПЛАТЕЖИ[[#This Row],[КУРС]])</f>
        <v>0</v>
      </c>
      <c r="G1144" s="93"/>
      <c r="H1144" s="93"/>
      <c r="I1144" s="165"/>
    </row>
    <row r="1145" spans="1:9" ht="15" customHeight="1" x14ac:dyDescent="0.3">
      <c r="A1145" s="92"/>
      <c r="B1145" s="93"/>
      <c r="C1145" s="94"/>
      <c r="D1145" s="94"/>
      <c r="E1145" s="94"/>
      <c r="F1145" s="60">
        <f>ПЛАТЕЖИ[[#This Row],[СЎМ]]+(ПЛАТЕЖИ[[#This Row],[ВАЛЮТА]]*ПЛАТЕЖИ[[#This Row],[КУРС]])</f>
        <v>0</v>
      </c>
      <c r="G1145" s="93"/>
      <c r="H1145" s="93"/>
      <c r="I1145" s="165"/>
    </row>
    <row r="1146" spans="1:9" ht="15" customHeight="1" x14ac:dyDescent="0.3">
      <c r="A1146" s="92"/>
      <c r="B1146" s="93"/>
      <c r="C1146" s="94"/>
      <c r="D1146" s="94"/>
      <c r="E1146" s="94"/>
      <c r="F1146" s="60">
        <f>ПЛАТЕЖИ[[#This Row],[СЎМ]]+(ПЛАТЕЖИ[[#This Row],[ВАЛЮТА]]*ПЛАТЕЖИ[[#This Row],[КУРС]])</f>
        <v>0</v>
      </c>
      <c r="G1146" s="93"/>
      <c r="H1146" s="93"/>
      <c r="I1146" s="165"/>
    </row>
    <row r="1147" spans="1:9" ht="15" customHeight="1" x14ac:dyDescent="0.3">
      <c r="A1147" s="92"/>
      <c r="B1147" s="93"/>
      <c r="C1147" s="94"/>
      <c r="D1147" s="94"/>
      <c r="E1147" s="94"/>
      <c r="F1147" s="60">
        <f>ПЛАТЕЖИ[[#This Row],[СЎМ]]+(ПЛАТЕЖИ[[#This Row],[ВАЛЮТА]]*ПЛАТЕЖИ[[#This Row],[КУРС]])</f>
        <v>0</v>
      </c>
      <c r="G1147" s="93"/>
      <c r="I1147" s="165"/>
    </row>
    <row r="1148" spans="1:9" ht="15" customHeight="1" x14ac:dyDescent="0.3">
      <c r="A1148" s="92"/>
      <c r="B1148" s="93"/>
      <c r="C1148" s="94"/>
      <c r="D1148" s="94"/>
      <c r="E1148" s="94"/>
      <c r="F1148" s="60">
        <f>ПЛАТЕЖИ[[#This Row],[СЎМ]]+(ПЛАТЕЖИ[[#This Row],[ВАЛЮТА]]*ПЛАТЕЖИ[[#This Row],[КУРС]])</f>
        <v>0</v>
      </c>
      <c r="G1148" s="93"/>
      <c r="H1148" s="93"/>
      <c r="I1148" s="165"/>
    </row>
    <row r="1149" spans="1:9" ht="15" customHeight="1" x14ac:dyDescent="0.3">
      <c r="A1149" s="92"/>
      <c r="B1149" s="93"/>
      <c r="C1149" s="94"/>
      <c r="D1149" s="94"/>
      <c r="E1149" s="94"/>
      <c r="F1149" s="60">
        <f>ПЛАТЕЖИ[[#This Row],[СЎМ]]+(ПЛАТЕЖИ[[#This Row],[ВАЛЮТА]]*ПЛАТЕЖИ[[#This Row],[КУРС]])</f>
        <v>0</v>
      </c>
      <c r="G1149" s="93"/>
      <c r="H1149" s="93"/>
      <c r="I1149" s="165"/>
    </row>
    <row r="1150" spans="1:9" ht="15" customHeight="1" x14ac:dyDescent="0.3">
      <c r="A1150" s="92"/>
      <c r="B1150" s="93"/>
      <c r="C1150" s="94"/>
      <c r="D1150" s="94"/>
      <c r="E1150" s="94"/>
      <c r="F1150" s="60">
        <f>ПЛАТЕЖИ[[#This Row],[СЎМ]]+(ПЛАТЕЖИ[[#This Row],[ВАЛЮТА]]*ПЛАТЕЖИ[[#This Row],[КУРС]])</f>
        <v>0</v>
      </c>
      <c r="G1150" s="93"/>
      <c r="I1150" s="165"/>
    </row>
    <row r="1151" spans="1:9" ht="15" customHeight="1" x14ac:dyDescent="0.3">
      <c r="F1151" s="60">
        <f>ПЛАТЕЖИ[[#This Row],[СЎМ]]+(ПЛАТЕЖИ[[#This Row],[ВАЛЮТА]]*ПЛАТЕЖИ[[#This Row],[КУРС]])</f>
        <v>0</v>
      </c>
      <c r="I1151" s="165"/>
    </row>
    <row r="1152" spans="1:9" ht="15" customHeight="1" x14ac:dyDescent="0.3">
      <c r="A1152" s="92"/>
      <c r="B1152" s="93"/>
      <c r="C1152" s="94"/>
      <c r="D1152" s="94"/>
      <c r="E1152" s="94"/>
      <c r="F1152" s="60">
        <f>ПЛАТЕЖИ[[#This Row],[СЎМ]]+(ПЛАТЕЖИ[[#This Row],[ВАЛЮТА]]*ПЛАТЕЖИ[[#This Row],[КУРС]])</f>
        <v>0</v>
      </c>
      <c r="G1152" s="93"/>
      <c r="I1152" s="165"/>
    </row>
    <row r="1153" spans="1:9" ht="15" customHeight="1" x14ac:dyDescent="0.3">
      <c r="A1153" s="92"/>
      <c r="B1153" s="93"/>
      <c r="C1153" s="94"/>
      <c r="D1153" s="94"/>
      <c r="E1153" s="94"/>
      <c r="F1153" s="60">
        <f>ПЛАТЕЖИ[[#This Row],[СЎМ]]+(ПЛАТЕЖИ[[#This Row],[ВАЛЮТА]]*ПЛАТЕЖИ[[#This Row],[КУРС]])</f>
        <v>0</v>
      </c>
      <c r="G1153" s="93"/>
      <c r="H1153" s="93"/>
      <c r="I1153" s="165"/>
    </row>
    <row r="1154" spans="1:9" ht="15" customHeight="1" x14ac:dyDescent="0.3">
      <c r="A1154" s="92"/>
      <c r="B1154" s="93"/>
      <c r="C1154" s="94"/>
      <c r="D1154" s="94"/>
      <c r="E1154" s="94"/>
      <c r="F1154" s="60">
        <f>ПЛАТЕЖИ[[#This Row],[СЎМ]]+(ПЛАТЕЖИ[[#This Row],[ВАЛЮТА]]*ПЛАТЕЖИ[[#This Row],[КУРС]])</f>
        <v>0</v>
      </c>
      <c r="G1154" s="93"/>
      <c r="H1154" s="93"/>
      <c r="I1154" s="165"/>
    </row>
    <row r="1155" spans="1:9" ht="15" customHeight="1" x14ac:dyDescent="0.3">
      <c r="A1155" s="92"/>
      <c r="B1155" s="93"/>
      <c r="C1155" s="94"/>
      <c r="D1155" s="94"/>
      <c r="E1155" s="94"/>
      <c r="F1155" s="60">
        <f>ПЛАТЕЖИ[[#This Row],[СЎМ]]+(ПЛАТЕЖИ[[#This Row],[ВАЛЮТА]]*ПЛАТЕЖИ[[#This Row],[КУРС]])</f>
        <v>0</v>
      </c>
      <c r="G1155" s="93"/>
      <c r="H1155" s="93"/>
      <c r="I1155" s="165"/>
    </row>
    <row r="1156" spans="1:9" ht="15" customHeight="1" x14ac:dyDescent="0.3">
      <c r="A1156" s="92"/>
      <c r="B1156" s="93"/>
      <c r="C1156" s="94"/>
      <c r="D1156" s="94"/>
      <c r="E1156" s="94"/>
      <c r="F1156" s="60">
        <f>ПЛАТЕЖИ[[#This Row],[СЎМ]]+(ПЛАТЕЖИ[[#This Row],[ВАЛЮТА]]*ПЛАТЕЖИ[[#This Row],[КУРС]])</f>
        <v>0</v>
      </c>
      <c r="G1156" s="93"/>
      <c r="H1156" s="93"/>
      <c r="I1156" s="165"/>
    </row>
    <row r="1157" spans="1:9" ht="15" customHeight="1" x14ac:dyDescent="0.3">
      <c r="A1157" s="92"/>
      <c r="B1157" s="93"/>
      <c r="C1157" s="94"/>
      <c r="D1157" s="94"/>
      <c r="E1157" s="94"/>
      <c r="F1157" s="60">
        <f>ПЛАТЕЖИ[[#This Row],[СЎМ]]+(ПЛАТЕЖИ[[#This Row],[ВАЛЮТА]]*ПЛАТЕЖИ[[#This Row],[КУРС]])</f>
        <v>0</v>
      </c>
      <c r="G1157" s="93"/>
      <c r="I1157" s="165"/>
    </row>
    <row r="1158" spans="1:9" ht="15" customHeight="1" x14ac:dyDescent="0.3">
      <c r="A1158" s="92"/>
      <c r="B1158" s="93"/>
      <c r="C1158" s="94"/>
      <c r="D1158" s="94"/>
      <c r="E1158" s="94"/>
      <c r="F1158" s="60">
        <f>ПЛАТЕЖИ[[#This Row],[СЎМ]]+(ПЛАТЕЖИ[[#This Row],[ВАЛЮТА]]*ПЛАТЕЖИ[[#This Row],[КУРС]])</f>
        <v>0</v>
      </c>
      <c r="G1158" s="93"/>
      <c r="I1158" s="165"/>
    </row>
    <row r="1159" spans="1:9" ht="15" customHeight="1" x14ac:dyDescent="0.3">
      <c r="A1159" s="92"/>
      <c r="B1159" s="93"/>
      <c r="C1159" s="94"/>
      <c r="D1159" s="94"/>
      <c r="E1159" s="94"/>
      <c r="F1159" s="60">
        <f>ПЛАТЕЖИ[[#This Row],[СЎМ]]+(ПЛАТЕЖИ[[#This Row],[ВАЛЮТА]]*ПЛАТЕЖИ[[#This Row],[КУРС]])</f>
        <v>0</v>
      </c>
      <c r="G1159" s="93"/>
      <c r="I1159" s="165"/>
    </row>
    <row r="1160" spans="1:9" ht="15" customHeight="1" x14ac:dyDescent="0.3">
      <c r="A1160" s="92"/>
      <c r="B1160" s="93"/>
      <c r="C1160" s="94"/>
      <c r="D1160" s="94"/>
      <c r="E1160" s="94"/>
      <c r="F1160" s="60">
        <f>ПЛАТЕЖИ[[#This Row],[СЎМ]]+(ПЛАТЕЖИ[[#This Row],[ВАЛЮТА]]*ПЛАТЕЖИ[[#This Row],[КУРС]])</f>
        <v>0</v>
      </c>
      <c r="G1160" s="93"/>
      <c r="H1160" s="93"/>
      <c r="I1160" s="165"/>
    </row>
    <row r="1161" spans="1:9" ht="15" customHeight="1" x14ac:dyDescent="0.3">
      <c r="A1161" s="92"/>
      <c r="B1161" s="93"/>
      <c r="C1161" s="94"/>
      <c r="D1161" s="94"/>
      <c r="E1161" s="94"/>
      <c r="F1161" s="60">
        <f>ПЛАТЕЖИ[[#This Row],[СЎМ]]+(ПЛАТЕЖИ[[#This Row],[ВАЛЮТА]]*ПЛАТЕЖИ[[#This Row],[КУРС]])</f>
        <v>0</v>
      </c>
      <c r="G1161" s="93"/>
      <c r="H1161" s="93"/>
      <c r="I1161" s="165"/>
    </row>
    <row r="1162" spans="1:9" ht="15" customHeight="1" x14ac:dyDescent="0.3">
      <c r="A1162" s="92"/>
      <c r="B1162" s="93"/>
      <c r="C1162" s="94"/>
      <c r="D1162" s="94"/>
      <c r="E1162" s="94"/>
      <c r="F1162" s="60">
        <f>ПЛАТЕЖИ[[#This Row],[СЎМ]]+(ПЛАТЕЖИ[[#This Row],[ВАЛЮТА]]*ПЛАТЕЖИ[[#This Row],[КУРС]])</f>
        <v>0</v>
      </c>
      <c r="G1162" s="93"/>
      <c r="H1162" s="93"/>
      <c r="I1162" s="165"/>
    </row>
    <row r="1163" spans="1:9" ht="15" customHeight="1" x14ac:dyDescent="0.3">
      <c r="A1163" s="92"/>
      <c r="B1163" s="93"/>
      <c r="C1163" s="94"/>
      <c r="D1163" s="94"/>
      <c r="E1163" s="94"/>
      <c r="F1163" s="60">
        <f>ПЛАТЕЖИ[[#This Row],[СЎМ]]+(ПЛАТЕЖИ[[#This Row],[ВАЛЮТА]]*ПЛАТЕЖИ[[#This Row],[КУРС]])</f>
        <v>0</v>
      </c>
      <c r="G1163" s="93"/>
      <c r="H1163" s="93"/>
      <c r="I1163" s="165"/>
    </row>
    <row r="1164" spans="1:9" ht="15" customHeight="1" x14ac:dyDescent="0.3">
      <c r="A1164" s="92"/>
      <c r="B1164" s="93"/>
      <c r="C1164" s="94"/>
      <c r="D1164" s="94"/>
      <c r="E1164" s="94"/>
      <c r="F1164" s="60">
        <f>ПЛАТЕЖИ[[#This Row],[СЎМ]]+(ПЛАТЕЖИ[[#This Row],[ВАЛЮТА]]*ПЛАТЕЖИ[[#This Row],[КУРС]])</f>
        <v>0</v>
      </c>
      <c r="G1164" s="93"/>
      <c r="H1164" s="93"/>
      <c r="I1164" s="165"/>
    </row>
    <row r="1165" spans="1:9" ht="15" customHeight="1" x14ac:dyDescent="0.3">
      <c r="A1165" s="92"/>
      <c r="B1165" s="93"/>
      <c r="C1165" s="94"/>
      <c r="D1165" s="94"/>
      <c r="E1165" s="94"/>
      <c r="F1165" s="60">
        <f>ПЛАТЕЖИ[[#This Row],[СЎМ]]+(ПЛАТЕЖИ[[#This Row],[ВАЛЮТА]]*ПЛАТЕЖИ[[#This Row],[КУРС]])</f>
        <v>0</v>
      </c>
      <c r="G1165" s="93"/>
      <c r="H1165" s="93"/>
      <c r="I1165" s="165"/>
    </row>
    <row r="1166" spans="1:9" ht="15" customHeight="1" x14ac:dyDescent="0.3">
      <c r="A1166" s="92"/>
      <c r="B1166" s="93"/>
      <c r="C1166" s="94"/>
      <c r="D1166" s="94"/>
      <c r="E1166" s="94"/>
      <c r="F1166" s="60">
        <f>ПЛАТЕЖИ[[#This Row],[СЎМ]]+(ПЛАТЕЖИ[[#This Row],[ВАЛЮТА]]*ПЛАТЕЖИ[[#This Row],[КУРС]])</f>
        <v>0</v>
      </c>
      <c r="G1166" s="93"/>
      <c r="H1166" s="93"/>
      <c r="I1166" s="165"/>
    </row>
    <row r="1167" spans="1:9" ht="15" customHeight="1" x14ac:dyDescent="0.3">
      <c r="A1167" s="92"/>
      <c r="B1167" s="93"/>
      <c r="C1167" s="94"/>
      <c r="D1167" s="94"/>
      <c r="E1167" s="94"/>
      <c r="F1167" s="60">
        <f>ПЛАТЕЖИ[[#This Row],[СЎМ]]+(ПЛАТЕЖИ[[#This Row],[ВАЛЮТА]]*ПЛАТЕЖИ[[#This Row],[КУРС]])</f>
        <v>0</v>
      </c>
      <c r="G1167" s="93"/>
      <c r="I1167" s="165"/>
    </row>
    <row r="1168" spans="1:9" ht="15" customHeight="1" x14ac:dyDescent="0.3">
      <c r="A1168" s="92"/>
      <c r="B1168" s="93"/>
      <c r="C1168" s="94"/>
      <c r="D1168" s="94"/>
      <c r="E1168" s="94"/>
      <c r="F1168" s="60">
        <f>ПЛАТЕЖИ[[#This Row],[СЎМ]]+(ПЛАТЕЖИ[[#This Row],[ВАЛЮТА]]*ПЛАТЕЖИ[[#This Row],[КУРС]])</f>
        <v>0</v>
      </c>
      <c r="G1168" s="93"/>
      <c r="H1168" s="93"/>
      <c r="I1168" s="165"/>
    </row>
    <row r="1169" spans="1:9" ht="15" customHeight="1" x14ac:dyDescent="0.3">
      <c r="A1169" s="92"/>
      <c r="B1169" s="93"/>
      <c r="C1169" s="94"/>
      <c r="D1169" s="94"/>
      <c r="E1169" s="94"/>
      <c r="F1169" s="60">
        <f>ПЛАТЕЖИ[[#This Row],[СЎМ]]+(ПЛАТЕЖИ[[#This Row],[ВАЛЮТА]]*ПЛАТЕЖИ[[#This Row],[КУРС]])</f>
        <v>0</v>
      </c>
      <c r="G1169" s="93"/>
      <c r="H1169" s="93"/>
      <c r="I1169" s="165"/>
    </row>
    <row r="1170" spans="1:9" ht="15" customHeight="1" x14ac:dyDescent="0.3">
      <c r="A1170" s="92"/>
      <c r="B1170" s="93"/>
      <c r="C1170" s="94"/>
      <c r="D1170" s="94"/>
      <c r="E1170" s="94"/>
      <c r="F1170" s="60">
        <f>ПЛАТЕЖИ[[#This Row],[СЎМ]]+(ПЛАТЕЖИ[[#This Row],[ВАЛЮТА]]*ПЛАТЕЖИ[[#This Row],[КУРС]])</f>
        <v>0</v>
      </c>
      <c r="G1170" s="93"/>
      <c r="H1170" s="93"/>
      <c r="I1170" s="165"/>
    </row>
    <row r="1171" spans="1:9" ht="15" customHeight="1" x14ac:dyDescent="0.3">
      <c r="A1171" s="92"/>
      <c r="B1171" s="93"/>
      <c r="C1171" s="94"/>
      <c r="D1171" s="94"/>
      <c r="E1171" s="94"/>
      <c r="F1171" s="60">
        <f>ПЛАТЕЖИ[[#This Row],[СЎМ]]+(ПЛАТЕЖИ[[#This Row],[ВАЛЮТА]]*ПЛАТЕЖИ[[#This Row],[КУРС]])</f>
        <v>0</v>
      </c>
      <c r="G1171" s="93"/>
      <c r="H1171" s="93"/>
      <c r="I1171" s="165"/>
    </row>
    <row r="1172" spans="1:9" ht="15" customHeight="1" x14ac:dyDescent="0.3">
      <c r="A1172" s="92"/>
      <c r="B1172" s="93"/>
      <c r="C1172" s="94"/>
      <c r="D1172" s="94"/>
      <c r="E1172" s="94"/>
      <c r="F1172" s="60">
        <f>ПЛАТЕЖИ[[#This Row],[СЎМ]]+(ПЛАТЕЖИ[[#This Row],[ВАЛЮТА]]*ПЛАТЕЖИ[[#This Row],[КУРС]])</f>
        <v>0</v>
      </c>
      <c r="G1172" s="93"/>
      <c r="H1172" s="93"/>
      <c r="I1172" s="165"/>
    </row>
    <row r="1173" spans="1:9" ht="15" customHeight="1" x14ac:dyDescent="0.3">
      <c r="A1173" s="92"/>
      <c r="B1173" s="93"/>
      <c r="C1173" s="94"/>
      <c r="D1173" s="94"/>
      <c r="E1173" s="94"/>
      <c r="F1173" s="60">
        <f>ПЛАТЕЖИ[[#This Row],[СЎМ]]+(ПЛАТЕЖИ[[#This Row],[ВАЛЮТА]]*ПЛАТЕЖИ[[#This Row],[КУРС]])</f>
        <v>0</v>
      </c>
      <c r="G1173" s="93"/>
      <c r="H1173" s="93"/>
      <c r="I1173" s="165"/>
    </row>
    <row r="1174" spans="1:9" ht="15" customHeight="1" x14ac:dyDescent="0.3">
      <c r="A1174" s="92"/>
      <c r="B1174" s="93"/>
      <c r="C1174" s="94"/>
      <c r="D1174" s="94"/>
      <c r="E1174" s="94"/>
      <c r="F1174" s="60">
        <f>ПЛАТЕЖИ[[#This Row],[СЎМ]]+(ПЛАТЕЖИ[[#This Row],[ВАЛЮТА]]*ПЛАТЕЖИ[[#This Row],[КУРС]])</f>
        <v>0</v>
      </c>
      <c r="G1174" s="93"/>
      <c r="H1174" s="93"/>
      <c r="I1174" s="165"/>
    </row>
    <row r="1175" spans="1:9" ht="15" customHeight="1" x14ac:dyDescent="0.3">
      <c r="A1175" s="92"/>
      <c r="B1175" s="93"/>
      <c r="C1175" s="94"/>
      <c r="D1175" s="94"/>
      <c r="E1175" s="94"/>
      <c r="F1175" s="60">
        <f>ПЛАТЕЖИ[[#This Row],[СЎМ]]+(ПЛАТЕЖИ[[#This Row],[ВАЛЮТА]]*ПЛАТЕЖИ[[#This Row],[КУРС]])</f>
        <v>0</v>
      </c>
      <c r="G1175" s="93"/>
      <c r="H1175" s="93"/>
      <c r="I1175" s="165"/>
    </row>
    <row r="1176" spans="1:9" ht="15" customHeight="1" x14ac:dyDescent="0.3">
      <c r="A1176" s="92"/>
      <c r="B1176" s="93"/>
      <c r="C1176" s="94"/>
      <c r="D1176" s="94"/>
      <c r="E1176" s="94"/>
      <c r="F1176" s="60">
        <f>ПЛАТЕЖИ[[#This Row],[СЎМ]]+(ПЛАТЕЖИ[[#This Row],[ВАЛЮТА]]*ПЛАТЕЖИ[[#This Row],[КУРС]])</f>
        <v>0</v>
      </c>
      <c r="G1176" s="93"/>
      <c r="H1176" s="93"/>
      <c r="I1176" s="165"/>
    </row>
    <row r="1177" spans="1:9" ht="15" customHeight="1" x14ac:dyDescent="0.3">
      <c r="A1177" s="92"/>
      <c r="B1177" s="93"/>
      <c r="C1177" s="94"/>
      <c r="D1177" s="94"/>
      <c r="E1177" s="94"/>
      <c r="F1177" s="60">
        <f>ПЛАТЕЖИ[[#This Row],[СЎМ]]+(ПЛАТЕЖИ[[#This Row],[ВАЛЮТА]]*ПЛАТЕЖИ[[#This Row],[КУРС]])</f>
        <v>0</v>
      </c>
      <c r="G1177" s="93"/>
      <c r="H1177" s="93"/>
      <c r="I1177" s="165"/>
    </row>
    <row r="1178" spans="1:9" ht="15" customHeight="1" x14ac:dyDescent="0.3">
      <c r="A1178" s="92"/>
      <c r="B1178" s="93"/>
      <c r="C1178" s="94"/>
      <c r="D1178" s="94"/>
      <c r="E1178" s="94"/>
      <c r="F1178" s="60">
        <f>ПЛАТЕЖИ[[#This Row],[СЎМ]]+(ПЛАТЕЖИ[[#This Row],[ВАЛЮТА]]*ПЛАТЕЖИ[[#This Row],[КУРС]])</f>
        <v>0</v>
      </c>
      <c r="G1178" s="93"/>
      <c r="H1178" s="93"/>
      <c r="I1178" s="165"/>
    </row>
    <row r="1179" spans="1:9" ht="15" customHeight="1" x14ac:dyDescent="0.3">
      <c r="A1179" s="92"/>
      <c r="B1179" s="93"/>
      <c r="C1179" s="94"/>
      <c r="D1179" s="94"/>
      <c r="E1179" s="94"/>
      <c r="F1179" s="60">
        <f>ПЛАТЕЖИ[[#This Row],[СЎМ]]+(ПЛАТЕЖИ[[#This Row],[ВАЛЮТА]]*ПЛАТЕЖИ[[#This Row],[КУРС]])</f>
        <v>0</v>
      </c>
      <c r="G1179" s="93"/>
      <c r="H1179" s="93"/>
      <c r="I1179" s="165"/>
    </row>
    <row r="1180" spans="1:9" ht="15" customHeight="1" x14ac:dyDescent="0.3">
      <c r="A1180" s="92"/>
      <c r="B1180" s="93"/>
      <c r="C1180" s="94"/>
      <c r="D1180" s="94"/>
      <c r="E1180" s="94"/>
      <c r="F1180" s="60">
        <f>ПЛАТЕЖИ[[#This Row],[СЎМ]]+(ПЛАТЕЖИ[[#This Row],[ВАЛЮТА]]*ПЛАТЕЖИ[[#This Row],[КУРС]])</f>
        <v>0</v>
      </c>
      <c r="G1180" s="93"/>
      <c r="H1180" s="93"/>
      <c r="I1180" s="165"/>
    </row>
    <row r="1181" spans="1:9" ht="15" customHeight="1" x14ac:dyDescent="0.3">
      <c r="A1181" s="92"/>
      <c r="B1181" s="93"/>
      <c r="C1181" s="94"/>
      <c r="D1181" s="94"/>
      <c r="E1181" s="94"/>
      <c r="F1181" s="60">
        <f>ПЛАТЕЖИ[[#This Row],[СЎМ]]+(ПЛАТЕЖИ[[#This Row],[ВАЛЮТА]]*ПЛАТЕЖИ[[#This Row],[КУРС]])</f>
        <v>0</v>
      </c>
      <c r="G1181" s="93"/>
      <c r="I1181" s="165"/>
    </row>
    <row r="1182" spans="1:9" ht="15" customHeight="1" x14ac:dyDescent="0.3">
      <c r="A1182" s="92"/>
      <c r="B1182" s="93"/>
      <c r="C1182" s="94"/>
      <c r="D1182" s="94"/>
      <c r="E1182" s="94"/>
      <c r="F1182" s="60">
        <f>ПЛАТЕЖИ[[#This Row],[СЎМ]]+(ПЛАТЕЖИ[[#This Row],[ВАЛЮТА]]*ПЛАТЕЖИ[[#This Row],[КУРС]])</f>
        <v>0</v>
      </c>
      <c r="G1182" s="93"/>
      <c r="H1182" s="93"/>
      <c r="I1182" s="165"/>
    </row>
    <row r="1183" spans="1:9" ht="15" customHeight="1" x14ac:dyDescent="0.3">
      <c r="A1183" s="92"/>
      <c r="B1183" s="93"/>
      <c r="C1183" s="94"/>
      <c r="D1183" s="94"/>
      <c r="E1183" s="94"/>
      <c r="F1183" s="60">
        <f>ПЛАТЕЖИ[[#This Row],[СЎМ]]+(ПЛАТЕЖИ[[#This Row],[ВАЛЮТА]]*ПЛАТЕЖИ[[#This Row],[КУРС]])</f>
        <v>0</v>
      </c>
      <c r="G1183" s="93"/>
      <c r="H1183" s="93"/>
      <c r="I1183" s="165"/>
    </row>
    <row r="1184" spans="1:9" ht="15" customHeight="1" x14ac:dyDescent="0.3">
      <c r="A1184" s="92"/>
      <c r="B1184" s="93"/>
      <c r="C1184" s="94"/>
      <c r="D1184" s="94"/>
      <c r="E1184" s="94"/>
      <c r="F1184" s="60">
        <f>ПЛАТЕЖИ[[#This Row],[СЎМ]]+(ПЛАТЕЖИ[[#This Row],[ВАЛЮТА]]*ПЛАТЕЖИ[[#This Row],[КУРС]])</f>
        <v>0</v>
      </c>
      <c r="G1184" s="93"/>
      <c r="H1184" s="93"/>
      <c r="I1184" s="165"/>
    </row>
    <row r="1185" spans="1:9" ht="15" customHeight="1" x14ac:dyDescent="0.3">
      <c r="A1185" s="92"/>
      <c r="B1185" s="93"/>
      <c r="C1185" s="94"/>
      <c r="D1185" s="94"/>
      <c r="E1185" s="94"/>
      <c r="F1185" s="60">
        <f>ПЛАТЕЖИ[[#This Row],[СЎМ]]+(ПЛАТЕЖИ[[#This Row],[ВАЛЮТА]]*ПЛАТЕЖИ[[#This Row],[КУРС]])</f>
        <v>0</v>
      </c>
      <c r="G1185" s="93"/>
      <c r="H1185" s="93"/>
      <c r="I1185" s="165"/>
    </row>
    <row r="1186" spans="1:9" ht="15" customHeight="1" x14ac:dyDescent="0.3">
      <c r="A1186" s="92"/>
      <c r="B1186" s="93"/>
      <c r="C1186" s="94"/>
      <c r="D1186" s="94"/>
      <c r="E1186" s="94"/>
      <c r="F1186" s="60">
        <f>ПЛАТЕЖИ[[#This Row],[СЎМ]]+(ПЛАТЕЖИ[[#This Row],[ВАЛЮТА]]*ПЛАТЕЖИ[[#This Row],[КУРС]])</f>
        <v>0</v>
      </c>
      <c r="G1186" s="93"/>
      <c r="H1186" s="93"/>
      <c r="I1186" s="165"/>
    </row>
    <row r="1187" spans="1:9" ht="15" customHeight="1" x14ac:dyDescent="0.3">
      <c r="A1187" s="92"/>
      <c r="B1187" s="93"/>
      <c r="C1187" s="94"/>
      <c r="D1187" s="94"/>
      <c r="E1187" s="94"/>
      <c r="F1187" s="60">
        <f>ПЛАТЕЖИ[[#This Row],[СЎМ]]+(ПЛАТЕЖИ[[#This Row],[ВАЛЮТА]]*ПЛАТЕЖИ[[#This Row],[КУРС]])</f>
        <v>0</v>
      </c>
      <c r="G1187" s="93"/>
      <c r="H1187" s="93"/>
      <c r="I1187" s="165"/>
    </row>
    <row r="1188" spans="1:9" ht="15" customHeight="1" x14ac:dyDescent="0.3">
      <c r="A1188" s="92"/>
      <c r="B1188" s="93"/>
      <c r="C1188" s="94"/>
      <c r="D1188" s="94"/>
      <c r="E1188" s="94"/>
      <c r="F1188" s="60">
        <f>ПЛАТЕЖИ[[#This Row],[СЎМ]]+(ПЛАТЕЖИ[[#This Row],[ВАЛЮТА]]*ПЛАТЕЖИ[[#This Row],[КУРС]])</f>
        <v>0</v>
      </c>
      <c r="G1188" s="93"/>
      <c r="H1188" s="93"/>
      <c r="I1188" s="165"/>
    </row>
    <row r="1189" spans="1:9" ht="15" customHeight="1" x14ac:dyDescent="0.3">
      <c r="A1189" s="92"/>
      <c r="B1189" s="93"/>
      <c r="C1189" s="94"/>
      <c r="D1189" s="94"/>
      <c r="E1189" s="94"/>
      <c r="F1189" s="60">
        <f>ПЛАТЕЖИ[[#This Row],[СЎМ]]+(ПЛАТЕЖИ[[#This Row],[ВАЛЮТА]]*ПЛАТЕЖИ[[#This Row],[КУРС]])</f>
        <v>0</v>
      </c>
      <c r="G1189" s="93"/>
      <c r="H1189" s="93"/>
      <c r="I1189" s="165"/>
    </row>
    <row r="1190" spans="1:9" ht="15" customHeight="1" x14ac:dyDescent="0.3">
      <c r="A1190" s="92"/>
      <c r="B1190" s="93"/>
      <c r="C1190" s="94"/>
      <c r="D1190" s="94"/>
      <c r="E1190" s="94"/>
      <c r="F1190" s="60">
        <f>ПЛАТЕЖИ[[#This Row],[СЎМ]]+(ПЛАТЕЖИ[[#This Row],[ВАЛЮТА]]*ПЛАТЕЖИ[[#This Row],[КУРС]])</f>
        <v>0</v>
      </c>
      <c r="G1190" s="93"/>
      <c r="H1190" s="93"/>
      <c r="I1190" s="165"/>
    </row>
    <row r="1191" spans="1:9" ht="15" customHeight="1" x14ac:dyDescent="0.3">
      <c r="A1191" s="92"/>
      <c r="B1191" s="93"/>
      <c r="C1191" s="94"/>
      <c r="D1191" s="94"/>
      <c r="E1191" s="94"/>
      <c r="F1191" s="60">
        <f>ПЛАТЕЖИ[[#This Row],[СЎМ]]+(ПЛАТЕЖИ[[#This Row],[ВАЛЮТА]]*ПЛАТЕЖИ[[#This Row],[КУРС]])</f>
        <v>0</v>
      </c>
      <c r="G1191" s="93"/>
      <c r="H1191" s="93"/>
      <c r="I1191" s="165"/>
    </row>
    <row r="1192" spans="1:9" ht="15" customHeight="1" x14ac:dyDescent="0.3">
      <c r="A1192" s="92"/>
      <c r="B1192" s="93"/>
      <c r="C1192" s="94"/>
      <c r="D1192" s="94"/>
      <c r="E1192" s="94"/>
      <c r="F1192" s="60">
        <f>ПЛАТЕЖИ[[#This Row],[СЎМ]]+(ПЛАТЕЖИ[[#This Row],[ВАЛЮТА]]*ПЛАТЕЖИ[[#This Row],[КУРС]])</f>
        <v>0</v>
      </c>
      <c r="G1192" s="93"/>
      <c r="H1192" s="93"/>
      <c r="I1192" s="165"/>
    </row>
    <row r="1193" spans="1:9" ht="15" customHeight="1" x14ac:dyDescent="0.3">
      <c r="A1193" s="92"/>
      <c r="B1193" s="93"/>
      <c r="C1193" s="94"/>
      <c r="D1193" s="94"/>
      <c r="E1193" s="94"/>
      <c r="F1193" s="60">
        <f>ПЛАТЕЖИ[[#This Row],[СЎМ]]+(ПЛАТЕЖИ[[#This Row],[ВАЛЮТА]]*ПЛАТЕЖИ[[#This Row],[КУРС]])</f>
        <v>0</v>
      </c>
      <c r="G1193" s="93"/>
      <c r="H1193" s="93"/>
      <c r="I1193" s="165"/>
    </row>
    <row r="1194" spans="1:9" ht="15" customHeight="1" x14ac:dyDescent="0.3">
      <c r="A1194" s="92"/>
      <c r="B1194" s="93"/>
      <c r="C1194" s="94"/>
      <c r="D1194" s="94"/>
      <c r="E1194" s="94"/>
      <c r="F1194" s="60">
        <f>ПЛАТЕЖИ[[#This Row],[СЎМ]]+(ПЛАТЕЖИ[[#This Row],[ВАЛЮТА]]*ПЛАТЕЖИ[[#This Row],[КУРС]])</f>
        <v>0</v>
      </c>
      <c r="G1194" s="93"/>
      <c r="H1194" s="93"/>
      <c r="I1194" s="165"/>
    </row>
    <row r="1195" spans="1:9" ht="15" customHeight="1" x14ac:dyDescent="0.3">
      <c r="A1195" s="92"/>
      <c r="B1195" s="93"/>
      <c r="C1195" s="94"/>
      <c r="D1195" s="94"/>
      <c r="E1195" s="94"/>
      <c r="F1195" s="60">
        <f>ПЛАТЕЖИ[[#This Row],[СЎМ]]+(ПЛАТЕЖИ[[#This Row],[ВАЛЮТА]]*ПЛАТЕЖИ[[#This Row],[КУРС]])</f>
        <v>0</v>
      </c>
      <c r="G1195" s="93"/>
      <c r="H1195" s="93"/>
      <c r="I1195" s="165"/>
    </row>
    <row r="1196" spans="1:9" ht="15" customHeight="1" x14ac:dyDescent="0.3">
      <c r="A1196" s="92"/>
      <c r="B1196" s="93"/>
      <c r="C1196" s="94"/>
      <c r="D1196" s="94"/>
      <c r="E1196" s="94"/>
      <c r="F1196" s="60">
        <f>ПЛАТЕЖИ[[#This Row],[СЎМ]]+(ПЛАТЕЖИ[[#This Row],[ВАЛЮТА]]*ПЛАТЕЖИ[[#This Row],[КУРС]])</f>
        <v>0</v>
      </c>
      <c r="G1196" s="93"/>
      <c r="H1196" s="93"/>
      <c r="I1196" s="165"/>
    </row>
    <row r="1197" spans="1:9" ht="15" customHeight="1" x14ac:dyDescent="0.3">
      <c r="A1197" s="92"/>
      <c r="B1197" s="93"/>
      <c r="C1197" s="94"/>
      <c r="D1197" s="94"/>
      <c r="E1197" s="94"/>
      <c r="F1197" s="60">
        <f>ПЛАТЕЖИ[[#This Row],[СЎМ]]+(ПЛАТЕЖИ[[#This Row],[ВАЛЮТА]]*ПЛАТЕЖИ[[#This Row],[КУРС]])</f>
        <v>0</v>
      </c>
      <c r="G1197" s="93"/>
      <c r="H1197" s="93"/>
      <c r="I1197" s="165"/>
    </row>
    <row r="1198" spans="1:9" ht="15" customHeight="1" x14ac:dyDescent="0.3">
      <c r="A1198" s="92"/>
      <c r="B1198" s="93"/>
      <c r="C1198" s="94"/>
      <c r="D1198" s="94"/>
      <c r="E1198" s="94"/>
      <c r="F1198" s="60">
        <f>ПЛАТЕЖИ[[#This Row],[СЎМ]]+(ПЛАТЕЖИ[[#This Row],[ВАЛЮТА]]*ПЛАТЕЖИ[[#This Row],[КУРС]])</f>
        <v>0</v>
      </c>
      <c r="G1198" s="93"/>
      <c r="H1198" s="93"/>
      <c r="I1198" s="165"/>
    </row>
    <row r="1199" spans="1:9" ht="15" customHeight="1" x14ac:dyDescent="0.3">
      <c r="A1199" s="92"/>
      <c r="B1199" s="93"/>
      <c r="C1199" s="94"/>
      <c r="D1199" s="94"/>
      <c r="E1199" s="94"/>
      <c r="F1199" s="60">
        <f>ПЛАТЕЖИ[[#This Row],[СЎМ]]+(ПЛАТЕЖИ[[#This Row],[ВАЛЮТА]]*ПЛАТЕЖИ[[#This Row],[КУРС]])</f>
        <v>0</v>
      </c>
      <c r="G1199" s="93"/>
      <c r="H1199" s="93"/>
      <c r="I1199" s="165"/>
    </row>
    <row r="1200" spans="1:9" ht="15" customHeight="1" x14ac:dyDescent="0.3">
      <c r="A1200" s="92"/>
      <c r="B1200" s="93"/>
      <c r="C1200" s="94"/>
      <c r="D1200" s="94"/>
      <c r="E1200" s="94"/>
      <c r="F1200" s="60">
        <f>ПЛАТЕЖИ[[#This Row],[СЎМ]]+(ПЛАТЕЖИ[[#This Row],[ВАЛЮТА]]*ПЛАТЕЖИ[[#This Row],[КУРС]])</f>
        <v>0</v>
      </c>
      <c r="G1200" s="93"/>
      <c r="H1200" s="93"/>
      <c r="I1200" s="165"/>
    </row>
    <row r="1201" spans="1:9" ht="15" customHeight="1" x14ac:dyDescent="0.3">
      <c r="A1201" s="92"/>
      <c r="B1201" s="93"/>
      <c r="C1201" s="94"/>
      <c r="D1201" s="94"/>
      <c r="E1201" s="94"/>
      <c r="F1201" s="60">
        <f>ПЛАТЕЖИ[[#This Row],[СЎМ]]+(ПЛАТЕЖИ[[#This Row],[ВАЛЮТА]]*ПЛАТЕЖИ[[#This Row],[КУРС]])</f>
        <v>0</v>
      </c>
      <c r="G1201" s="93"/>
      <c r="H1201" s="93"/>
      <c r="I1201" s="165"/>
    </row>
    <row r="1202" spans="1:9" ht="15" customHeight="1" x14ac:dyDescent="0.3">
      <c r="A1202" s="92"/>
      <c r="B1202" s="93"/>
      <c r="C1202" s="94"/>
      <c r="D1202" s="94"/>
      <c r="E1202" s="94"/>
      <c r="F1202" s="60">
        <f>ПЛАТЕЖИ[[#This Row],[СЎМ]]+(ПЛАТЕЖИ[[#This Row],[ВАЛЮТА]]*ПЛАТЕЖИ[[#This Row],[КУРС]])</f>
        <v>0</v>
      </c>
      <c r="G1202" s="93"/>
      <c r="H1202" s="93"/>
      <c r="I1202" s="165"/>
    </row>
    <row r="1203" spans="1:9" ht="15" customHeight="1" x14ac:dyDescent="0.3">
      <c r="A1203" s="92"/>
      <c r="B1203" s="93"/>
      <c r="C1203" s="94"/>
      <c r="D1203" s="94"/>
      <c r="E1203" s="94"/>
      <c r="F1203" s="60">
        <f>ПЛАТЕЖИ[[#This Row],[СЎМ]]+(ПЛАТЕЖИ[[#This Row],[ВАЛЮТА]]*ПЛАТЕЖИ[[#This Row],[КУРС]])</f>
        <v>0</v>
      </c>
      <c r="G1203" s="93"/>
      <c r="H1203" s="93"/>
      <c r="I1203" s="165"/>
    </row>
    <row r="1204" spans="1:9" ht="15" customHeight="1" x14ac:dyDescent="0.3">
      <c r="A1204" s="92"/>
      <c r="B1204" s="93"/>
      <c r="C1204" s="94"/>
      <c r="D1204" s="94"/>
      <c r="E1204" s="94"/>
      <c r="F1204" s="60">
        <f>ПЛАТЕЖИ[[#This Row],[СЎМ]]+(ПЛАТЕЖИ[[#This Row],[ВАЛЮТА]]*ПЛАТЕЖИ[[#This Row],[КУРС]])</f>
        <v>0</v>
      </c>
      <c r="G1204" s="93"/>
      <c r="H1204" s="93"/>
      <c r="I1204" s="165"/>
    </row>
    <row r="1205" spans="1:9" ht="15" customHeight="1" x14ac:dyDescent="0.3">
      <c r="A1205" s="92"/>
      <c r="B1205" s="93"/>
      <c r="C1205" s="94"/>
      <c r="D1205" s="94"/>
      <c r="E1205" s="94"/>
      <c r="F1205" s="60">
        <f>ПЛАТЕЖИ[[#This Row],[СЎМ]]+(ПЛАТЕЖИ[[#This Row],[ВАЛЮТА]]*ПЛАТЕЖИ[[#This Row],[КУРС]])</f>
        <v>0</v>
      </c>
      <c r="G1205" s="93"/>
      <c r="H1205" s="93"/>
      <c r="I1205" s="165"/>
    </row>
    <row r="1206" spans="1:9" ht="15" customHeight="1" x14ac:dyDescent="0.3">
      <c r="A1206" s="92"/>
      <c r="B1206" s="93"/>
      <c r="C1206" s="94"/>
      <c r="D1206" s="94"/>
      <c r="E1206" s="94"/>
      <c r="F1206" s="60">
        <f>ПЛАТЕЖИ[[#This Row],[СЎМ]]+(ПЛАТЕЖИ[[#This Row],[ВАЛЮТА]]*ПЛАТЕЖИ[[#This Row],[КУРС]])</f>
        <v>0</v>
      </c>
      <c r="G1206" s="93"/>
      <c r="I1206" s="165"/>
    </row>
    <row r="1207" spans="1:9" ht="15" customHeight="1" x14ac:dyDescent="0.3">
      <c r="A1207" s="92"/>
      <c r="B1207" s="93"/>
      <c r="C1207" s="94"/>
      <c r="D1207" s="94"/>
      <c r="E1207" s="94"/>
      <c r="F1207" s="60">
        <f>ПЛАТЕЖИ[[#This Row],[СЎМ]]+(ПЛАТЕЖИ[[#This Row],[ВАЛЮТА]]*ПЛАТЕЖИ[[#This Row],[КУРС]])</f>
        <v>0</v>
      </c>
      <c r="G1207" s="93"/>
      <c r="I1207" s="165"/>
    </row>
    <row r="1208" spans="1:9" ht="15" customHeight="1" x14ac:dyDescent="0.3">
      <c r="A1208" s="92"/>
      <c r="B1208" s="93"/>
      <c r="C1208" s="94"/>
      <c r="D1208" s="94"/>
      <c r="E1208" s="94"/>
      <c r="F1208" s="60">
        <f>ПЛАТЕЖИ[[#This Row],[СЎМ]]+(ПЛАТЕЖИ[[#This Row],[ВАЛЮТА]]*ПЛАТЕЖИ[[#This Row],[КУРС]])</f>
        <v>0</v>
      </c>
      <c r="G1208" s="93"/>
      <c r="I1208" s="165"/>
    </row>
    <row r="1209" spans="1:9" ht="15" customHeight="1" x14ac:dyDescent="0.3">
      <c r="A1209" s="92"/>
      <c r="B1209" s="93"/>
      <c r="C1209" s="94"/>
      <c r="D1209" s="94"/>
      <c r="E1209" s="94"/>
      <c r="F1209" s="60">
        <f>ПЛАТЕЖИ[[#This Row],[СЎМ]]+(ПЛАТЕЖИ[[#This Row],[ВАЛЮТА]]*ПЛАТЕЖИ[[#This Row],[КУРС]])</f>
        <v>0</v>
      </c>
      <c r="G1209" s="93"/>
      <c r="I1209" s="165"/>
    </row>
    <row r="1210" spans="1:9" ht="15" customHeight="1" x14ac:dyDescent="0.3">
      <c r="A1210" s="92"/>
      <c r="B1210" s="93"/>
      <c r="C1210" s="94"/>
      <c r="D1210" s="94"/>
      <c r="E1210" s="94"/>
      <c r="F1210" s="60">
        <f>ПЛАТЕЖИ[[#This Row],[СЎМ]]+(ПЛАТЕЖИ[[#This Row],[ВАЛЮТА]]*ПЛАТЕЖИ[[#This Row],[КУРС]])</f>
        <v>0</v>
      </c>
      <c r="G1210" s="93"/>
      <c r="I1210" s="165"/>
    </row>
    <row r="1211" spans="1:9" x14ac:dyDescent="0.3">
      <c r="A1211" s="92"/>
      <c r="B1211" s="93"/>
      <c r="C1211" s="94"/>
      <c r="D1211" s="94"/>
      <c r="E1211" s="94"/>
      <c r="F1211" s="60">
        <f>ПЛАТЕЖИ[[#This Row],[СЎМ]]+(ПЛАТЕЖИ[[#This Row],[ВАЛЮТА]]*ПЛАТЕЖИ[[#This Row],[КУРС]])</f>
        <v>0</v>
      </c>
      <c r="G1211" s="93"/>
      <c r="H1211" s="93"/>
      <c r="I1211" s="165"/>
    </row>
    <row r="1212" spans="1:9" ht="15" customHeight="1" x14ac:dyDescent="0.3">
      <c r="A1212" s="92"/>
      <c r="B1212" s="93"/>
      <c r="C1212" s="94"/>
      <c r="D1212" s="94"/>
      <c r="E1212" s="94"/>
      <c r="F1212" s="60">
        <f>ПЛАТЕЖИ[[#This Row],[СЎМ]]+(ПЛАТЕЖИ[[#This Row],[ВАЛЮТА]]*ПЛАТЕЖИ[[#This Row],[КУРС]])</f>
        <v>0</v>
      </c>
      <c r="G1212" s="93"/>
      <c r="H1212" s="93"/>
      <c r="I1212" s="165"/>
    </row>
    <row r="1213" spans="1:9" ht="15" customHeight="1" x14ac:dyDescent="0.3">
      <c r="A1213" s="92"/>
      <c r="B1213" s="93"/>
      <c r="C1213" s="94"/>
      <c r="D1213" s="94"/>
      <c r="E1213" s="94"/>
      <c r="F1213" s="60">
        <f>ПЛАТЕЖИ[[#This Row],[СЎМ]]+(ПЛАТЕЖИ[[#This Row],[ВАЛЮТА]]*ПЛАТЕЖИ[[#This Row],[КУРС]])</f>
        <v>0</v>
      </c>
      <c r="G1213" s="93"/>
      <c r="H1213" s="93"/>
      <c r="I1213" s="165"/>
    </row>
    <row r="1214" spans="1:9" ht="15" customHeight="1" x14ac:dyDescent="0.3">
      <c r="A1214" s="92"/>
      <c r="B1214" s="93"/>
      <c r="C1214" s="94"/>
      <c r="D1214" s="94"/>
      <c r="E1214" s="94"/>
      <c r="F1214" s="60">
        <f>ПЛАТЕЖИ[[#This Row],[СЎМ]]+(ПЛАТЕЖИ[[#This Row],[ВАЛЮТА]]*ПЛАТЕЖИ[[#This Row],[КУРС]])</f>
        <v>0</v>
      </c>
      <c r="G1214" s="93"/>
      <c r="H1214" s="93"/>
      <c r="I1214" s="165"/>
    </row>
    <row r="1215" spans="1:9" ht="15" customHeight="1" x14ac:dyDescent="0.3">
      <c r="A1215" s="92"/>
      <c r="B1215" s="93"/>
      <c r="C1215" s="94"/>
      <c r="D1215" s="94"/>
      <c r="E1215" s="94"/>
      <c r="F1215" s="60">
        <f>ПЛАТЕЖИ[[#This Row],[СЎМ]]+(ПЛАТЕЖИ[[#This Row],[ВАЛЮТА]]*ПЛАТЕЖИ[[#This Row],[КУРС]])</f>
        <v>0</v>
      </c>
      <c r="G1215" s="93"/>
      <c r="H1215" s="93"/>
      <c r="I1215" s="165"/>
    </row>
    <row r="1216" spans="1:9" ht="15" customHeight="1" x14ac:dyDescent="0.3">
      <c r="A1216" s="92"/>
      <c r="B1216" s="93"/>
      <c r="C1216" s="94"/>
      <c r="D1216" s="94"/>
      <c r="E1216" s="94"/>
      <c r="F1216" s="60">
        <f>ПЛАТЕЖИ[[#This Row],[СЎМ]]+(ПЛАТЕЖИ[[#This Row],[ВАЛЮТА]]*ПЛАТЕЖИ[[#This Row],[КУРС]])</f>
        <v>0</v>
      </c>
      <c r="G1216" s="93"/>
      <c r="H1216" s="93"/>
      <c r="I1216" s="165"/>
    </row>
    <row r="1217" spans="1:9" ht="15" customHeight="1" x14ac:dyDescent="0.3">
      <c r="A1217" s="92"/>
      <c r="B1217" s="93"/>
      <c r="C1217" s="94"/>
      <c r="D1217" s="94"/>
      <c r="E1217" s="94"/>
      <c r="F1217" s="60">
        <f>ПЛАТЕЖИ[[#This Row],[СЎМ]]+(ПЛАТЕЖИ[[#This Row],[ВАЛЮТА]]*ПЛАТЕЖИ[[#This Row],[КУРС]])</f>
        <v>0</v>
      </c>
      <c r="G1217" s="93"/>
      <c r="H1217" s="93"/>
      <c r="I1217" s="165"/>
    </row>
    <row r="1218" spans="1:9" ht="15" customHeight="1" x14ac:dyDescent="0.3">
      <c r="A1218" s="92"/>
      <c r="B1218" s="93"/>
      <c r="C1218" s="94"/>
      <c r="D1218" s="94"/>
      <c r="E1218" s="94"/>
      <c r="F1218" s="60">
        <f>ПЛАТЕЖИ[[#This Row],[СЎМ]]+(ПЛАТЕЖИ[[#This Row],[ВАЛЮТА]]*ПЛАТЕЖИ[[#This Row],[КУРС]])</f>
        <v>0</v>
      </c>
      <c r="G1218" s="93"/>
      <c r="H1218" s="93"/>
      <c r="I1218" s="165"/>
    </row>
    <row r="1219" spans="1:9" ht="15" customHeight="1" x14ac:dyDescent="0.3">
      <c r="A1219" s="92"/>
      <c r="B1219" s="93"/>
      <c r="C1219" s="94"/>
      <c r="D1219" s="94"/>
      <c r="E1219" s="94"/>
      <c r="F1219" s="60">
        <f>ПЛАТЕЖИ[[#This Row],[СЎМ]]+(ПЛАТЕЖИ[[#This Row],[ВАЛЮТА]]*ПЛАТЕЖИ[[#This Row],[КУРС]])</f>
        <v>0</v>
      </c>
      <c r="G1219" s="93"/>
      <c r="H1219" s="93"/>
      <c r="I1219" s="165"/>
    </row>
    <row r="1220" spans="1:9" ht="15" customHeight="1" x14ac:dyDescent="0.3">
      <c r="A1220" s="92"/>
      <c r="B1220" s="93"/>
      <c r="C1220" s="94"/>
      <c r="D1220" s="94"/>
      <c r="E1220" s="94"/>
      <c r="F1220" s="60">
        <f>ПЛАТЕЖИ[[#This Row],[СЎМ]]+(ПЛАТЕЖИ[[#This Row],[ВАЛЮТА]]*ПЛАТЕЖИ[[#This Row],[КУРС]])</f>
        <v>0</v>
      </c>
      <c r="G1220" s="93"/>
      <c r="H1220" s="93"/>
      <c r="I1220" s="165"/>
    </row>
    <row r="1221" spans="1:9" ht="15" customHeight="1" x14ac:dyDescent="0.3">
      <c r="A1221" s="92"/>
      <c r="B1221" s="93"/>
      <c r="C1221" s="94"/>
      <c r="D1221" s="94"/>
      <c r="E1221" s="94"/>
      <c r="F1221" s="60">
        <f>ПЛАТЕЖИ[[#This Row],[СЎМ]]+(ПЛАТЕЖИ[[#This Row],[ВАЛЮТА]]*ПЛАТЕЖИ[[#This Row],[КУРС]])</f>
        <v>0</v>
      </c>
      <c r="G1221" s="93"/>
      <c r="H1221" s="93"/>
      <c r="I1221" s="165"/>
    </row>
    <row r="1222" spans="1:9" ht="15" customHeight="1" x14ac:dyDescent="0.3">
      <c r="A1222" s="92"/>
      <c r="B1222" s="93"/>
      <c r="C1222" s="94"/>
      <c r="D1222" s="94"/>
      <c r="E1222" s="94"/>
      <c r="F1222" s="60">
        <f>ПЛАТЕЖИ[[#This Row],[СЎМ]]+(ПЛАТЕЖИ[[#This Row],[ВАЛЮТА]]*ПЛАТЕЖИ[[#This Row],[КУРС]])</f>
        <v>0</v>
      </c>
      <c r="G1222" s="93"/>
      <c r="H1222" s="93"/>
      <c r="I1222" s="165"/>
    </row>
    <row r="1223" spans="1:9" ht="15" customHeight="1" x14ac:dyDescent="0.3">
      <c r="A1223" s="92"/>
      <c r="B1223" s="93"/>
      <c r="C1223" s="94"/>
      <c r="D1223" s="94"/>
      <c r="E1223" s="94"/>
      <c r="F1223" s="60">
        <f>ПЛАТЕЖИ[[#This Row],[СЎМ]]+(ПЛАТЕЖИ[[#This Row],[ВАЛЮТА]]*ПЛАТЕЖИ[[#This Row],[КУРС]])</f>
        <v>0</v>
      </c>
      <c r="G1223" s="93"/>
      <c r="H1223" s="93"/>
      <c r="I1223" s="165"/>
    </row>
    <row r="1224" spans="1:9" ht="15" customHeight="1" x14ac:dyDescent="0.3">
      <c r="A1224" s="92"/>
      <c r="B1224" s="93"/>
      <c r="C1224" s="94"/>
      <c r="D1224" s="94"/>
      <c r="E1224" s="94"/>
      <c r="F1224" s="60">
        <f>ПЛАТЕЖИ[[#This Row],[СЎМ]]+(ПЛАТЕЖИ[[#This Row],[ВАЛЮТА]]*ПЛАТЕЖИ[[#This Row],[КУРС]])</f>
        <v>0</v>
      </c>
      <c r="G1224" s="93"/>
      <c r="H1224" s="93"/>
      <c r="I1224" s="165"/>
    </row>
    <row r="1225" spans="1:9" ht="15" customHeight="1" x14ac:dyDescent="0.3">
      <c r="A1225" s="92"/>
      <c r="B1225" s="93"/>
      <c r="C1225" s="94"/>
      <c r="D1225" s="94"/>
      <c r="E1225" s="94"/>
      <c r="F1225" s="60">
        <f>ПЛАТЕЖИ[[#This Row],[СЎМ]]+(ПЛАТЕЖИ[[#This Row],[ВАЛЮТА]]*ПЛАТЕЖИ[[#This Row],[КУРС]])</f>
        <v>0</v>
      </c>
      <c r="G1225" s="93"/>
      <c r="H1225" s="93"/>
      <c r="I1225" s="165"/>
    </row>
    <row r="1226" spans="1:9" ht="15" customHeight="1" x14ac:dyDescent="0.3">
      <c r="A1226" s="92"/>
      <c r="B1226" s="93"/>
      <c r="C1226" s="94"/>
      <c r="D1226" s="94"/>
      <c r="E1226" s="94"/>
      <c r="F1226" s="60">
        <f>ПЛАТЕЖИ[[#This Row],[СЎМ]]+(ПЛАТЕЖИ[[#This Row],[ВАЛЮТА]]*ПЛАТЕЖИ[[#This Row],[КУРС]])</f>
        <v>0</v>
      </c>
      <c r="G1226" s="93"/>
      <c r="H1226" s="93"/>
      <c r="I1226" s="165"/>
    </row>
    <row r="1227" spans="1:9" ht="15" customHeight="1" x14ac:dyDescent="0.3">
      <c r="A1227" s="92"/>
      <c r="B1227" s="93"/>
      <c r="C1227" s="94"/>
      <c r="D1227" s="94"/>
      <c r="E1227" s="94"/>
      <c r="F1227" s="60">
        <f>ПЛАТЕЖИ[[#This Row],[СЎМ]]+(ПЛАТЕЖИ[[#This Row],[ВАЛЮТА]]*ПЛАТЕЖИ[[#This Row],[КУРС]])</f>
        <v>0</v>
      </c>
      <c r="G1227" s="93"/>
      <c r="H1227" s="93"/>
      <c r="I1227" s="165"/>
    </row>
    <row r="1228" spans="1:9" ht="15" customHeight="1" x14ac:dyDescent="0.3">
      <c r="A1228" s="92"/>
      <c r="B1228" s="93"/>
      <c r="C1228" s="94"/>
      <c r="D1228" s="94"/>
      <c r="E1228" s="94"/>
      <c r="F1228" s="60">
        <f>ПЛАТЕЖИ[[#This Row],[СЎМ]]+(ПЛАТЕЖИ[[#This Row],[ВАЛЮТА]]*ПЛАТЕЖИ[[#This Row],[КУРС]])</f>
        <v>0</v>
      </c>
      <c r="G1228" s="93"/>
      <c r="H1228" s="93"/>
      <c r="I1228" s="165"/>
    </row>
    <row r="1229" spans="1:9" ht="15" customHeight="1" x14ac:dyDescent="0.3">
      <c r="A1229" s="92"/>
      <c r="B1229" s="93"/>
      <c r="C1229" s="94"/>
      <c r="D1229" s="94"/>
      <c r="E1229" s="94"/>
      <c r="F1229" s="60">
        <f>ПЛАТЕЖИ[[#This Row],[СЎМ]]+(ПЛАТЕЖИ[[#This Row],[ВАЛЮТА]]*ПЛАТЕЖИ[[#This Row],[КУРС]])</f>
        <v>0</v>
      </c>
      <c r="G1229" s="93"/>
      <c r="H1229" s="93"/>
      <c r="I1229" s="165"/>
    </row>
    <row r="1230" spans="1:9" ht="15" customHeight="1" x14ac:dyDescent="0.3">
      <c r="A1230" s="92"/>
      <c r="B1230" s="93"/>
      <c r="C1230" s="94"/>
      <c r="D1230" s="94"/>
      <c r="E1230" s="94"/>
      <c r="F1230" s="60">
        <f>ПЛАТЕЖИ[[#This Row],[СЎМ]]+(ПЛАТЕЖИ[[#This Row],[ВАЛЮТА]]*ПЛАТЕЖИ[[#This Row],[КУРС]])</f>
        <v>0</v>
      </c>
      <c r="G1230" s="93"/>
      <c r="H1230" s="93"/>
      <c r="I1230" s="165"/>
    </row>
    <row r="1231" spans="1:9" ht="15" customHeight="1" x14ac:dyDescent="0.3">
      <c r="A1231" s="92"/>
      <c r="B1231" s="93"/>
      <c r="C1231" s="94"/>
      <c r="D1231" s="94"/>
      <c r="E1231" s="94"/>
      <c r="F1231" s="60">
        <f>ПЛАТЕЖИ[[#This Row],[СЎМ]]+(ПЛАТЕЖИ[[#This Row],[ВАЛЮТА]]*ПЛАТЕЖИ[[#This Row],[КУРС]])</f>
        <v>0</v>
      </c>
      <c r="G1231" s="93"/>
      <c r="H1231" s="93"/>
      <c r="I1231" s="165"/>
    </row>
    <row r="1232" spans="1:9" ht="15" customHeight="1" x14ac:dyDescent="0.3">
      <c r="A1232" s="92"/>
      <c r="B1232" s="93"/>
      <c r="C1232" s="94"/>
      <c r="D1232" s="94"/>
      <c r="E1232" s="94"/>
      <c r="F1232" s="60">
        <f>ПЛАТЕЖИ[[#This Row],[СЎМ]]+(ПЛАТЕЖИ[[#This Row],[ВАЛЮТА]]*ПЛАТЕЖИ[[#This Row],[КУРС]])</f>
        <v>0</v>
      </c>
      <c r="G1232" s="93"/>
      <c r="I1232" s="165"/>
    </row>
    <row r="1233" spans="1:9" ht="15" customHeight="1" x14ac:dyDescent="0.3">
      <c r="A1233" s="92"/>
      <c r="B1233" s="93"/>
      <c r="C1233" s="94"/>
      <c r="D1233" s="94"/>
      <c r="E1233" s="94"/>
      <c r="F1233" s="60">
        <f>ПЛАТЕЖИ[[#This Row],[СЎМ]]+(ПЛАТЕЖИ[[#This Row],[ВАЛЮТА]]*ПЛАТЕЖИ[[#This Row],[КУРС]])</f>
        <v>0</v>
      </c>
      <c r="G1233" s="93"/>
      <c r="H1233" s="93"/>
      <c r="I1233" s="165"/>
    </row>
    <row r="1234" spans="1:9" ht="15" customHeight="1" x14ac:dyDescent="0.3">
      <c r="A1234" s="92"/>
      <c r="B1234" s="93"/>
      <c r="C1234" s="94"/>
      <c r="D1234" s="94"/>
      <c r="E1234" s="94"/>
      <c r="F1234" s="60">
        <f>ПЛАТЕЖИ[[#This Row],[СЎМ]]+(ПЛАТЕЖИ[[#This Row],[ВАЛЮТА]]*ПЛАТЕЖИ[[#This Row],[КУРС]])</f>
        <v>0</v>
      </c>
      <c r="G1234" s="93"/>
      <c r="I1234" s="165"/>
    </row>
    <row r="1235" spans="1:9" ht="15" customHeight="1" x14ac:dyDescent="0.3">
      <c r="A1235" s="92"/>
      <c r="B1235" s="93"/>
      <c r="C1235" s="94"/>
      <c r="D1235" s="94"/>
      <c r="E1235" s="94"/>
      <c r="F1235" s="60">
        <f>ПЛАТЕЖИ[[#This Row],[СЎМ]]+(ПЛАТЕЖИ[[#This Row],[ВАЛЮТА]]*ПЛАТЕЖИ[[#This Row],[КУРС]])</f>
        <v>0</v>
      </c>
      <c r="G1235" s="93"/>
      <c r="I1235" s="165"/>
    </row>
    <row r="1236" spans="1:9" ht="15" customHeight="1" x14ac:dyDescent="0.3">
      <c r="A1236" s="92"/>
      <c r="B1236" s="93"/>
      <c r="C1236" s="94"/>
      <c r="D1236" s="94"/>
      <c r="E1236" s="94"/>
      <c r="F1236" s="60">
        <f>ПЛАТЕЖИ[[#This Row],[СЎМ]]+(ПЛАТЕЖИ[[#This Row],[ВАЛЮТА]]*ПЛАТЕЖИ[[#This Row],[КУРС]])</f>
        <v>0</v>
      </c>
      <c r="G1236" s="93"/>
      <c r="H1236" s="93"/>
      <c r="I1236" s="165"/>
    </row>
    <row r="1237" spans="1:9" ht="15" customHeight="1" x14ac:dyDescent="0.3">
      <c r="A1237" s="92"/>
      <c r="B1237" s="93"/>
      <c r="C1237" s="94"/>
      <c r="D1237" s="94"/>
      <c r="E1237" s="94"/>
      <c r="F1237" s="60">
        <f>ПЛАТЕЖИ[[#This Row],[СЎМ]]+(ПЛАТЕЖИ[[#This Row],[ВАЛЮТА]]*ПЛАТЕЖИ[[#This Row],[КУРС]])</f>
        <v>0</v>
      </c>
      <c r="G1237" s="93"/>
      <c r="H1237" s="93"/>
      <c r="I1237" s="165"/>
    </row>
    <row r="1238" spans="1:9" ht="15" customHeight="1" x14ac:dyDescent="0.3">
      <c r="A1238" s="92"/>
      <c r="B1238" s="84"/>
      <c r="C1238" s="94"/>
      <c r="D1238" s="94"/>
      <c r="E1238" s="94"/>
      <c r="F1238" s="60">
        <f>ПЛАТЕЖИ[[#This Row],[СЎМ]]+(ПЛАТЕЖИ[[#This Row],[ВАЛЮТА]]*ПЛАТЕЖИ[[#This Row],[КУРС]])</f>
        <v>0</v>
      </c>
      <c r="G1238" s="93"/>
      <c r="H1238" s="93"/>
      <c r="I1238" s="165"/>
    </row>
    <row r="1239" spans="1:9" ht="15" customHeight="1" x14ac:dyDescent="0.3">
      <c r="A1239" s="92"/>
      <c r="B1239" s="93"/>
      <c r="C1239" s="94"/>
      <c r="D1239" s="94"/>
      <c r="E1239" s="94"/>
      <c r="F1239" s="60">
        <f>ПЛАТЕЖИ[[#This Row],[СЎМ]]+(ПЛАТЕЖИ[[#This Row],[ВАЛЮТА]]*ПЛАТЕЖИ[[#This Row],[КУРС]])</f>
        <v>0</v>
      </c>
      <c r="G1239" s="93"/>
      <c r="H1239" s="93"/>
      <c r="I1239" s="165"/>
    </row>
    <row r="1240" spans="1:9" ht="15" customHeight="1" x14ac:dyDescent="0.3">
      <c r="A1240" s="92"/>
      <c r="B1240" s="93"/>
      <c r="C1240" s="94"/>
      <c r="D1240" s="94"/>
      <c r="E1240" s="94"/>
      <c r="F1240" s="60">
        <f>ПЛАТЕЖИ[[#This Row],[СЎМ]]+(ПЛАТЕЖИ[[#This Row],[ВАЛЮТА]]*ПЛАТЕЖИ[[#This Row],[КУРС]])</f>
        <v>0</v>
      </c>
      <c r="G1240" s="93"/>
      <c r="H1240" s="93"/>
      <c r="I1240" s="165"/>
    </row>
    <row r="1241" spans="1:9" ht="15" customHeight="1" x14ac:dyDescent="0.3">
      <c r="A1241" s="92"/>
      <c r="B1241" s="93"/>
      <c r="C1241" s="94"/>
      <c r="D1241" s="94"/>
      <c r="E1241" s="94"/>
      <c r="F1241" s="60">
        <f>ПЛАТЕЖИ[[#This Row],[СЎМ]]+(ПЛАТЕЖИ[[#This Row],[ВАЛЮТА]]*ПЛАТЕЖИ[[#This Row],[КУРС]])</f>
        <v>0</v>
      </c>
      <c r="G1241" s="93"/>
      <c r="H1241" s="93"/>
      <c r="I1241" s="165"/>
    </row>
    <row r="1242" spans="1:9" ht="15" customHeight="1" x14ac:dyDescent="0.3">
      <c r="A1242" s="92"/>
      <c r="B1242" s="93"/>
      <c r="C1242" s="94"/>
      <c r="D1242" s="94"/>
      <c r="E1242" s="94"/>
      <c r="F1242" s="60">
        <f>ПЛАТЕЖИ[[#This Row],[СЎМ]]+(ПЛАТЕЖИ[[#This Row],[ВАЛЮТА]]*ПЛАТЕЖИ[[#This Row],[КУРС]])</f>
        <v>0</v>
      </c>
      <c r="G1242" s="93"/>
      <c r="I1242" s="165"/>
    </row>
    <row r="1243" spans="1:9" ht="15" customHeight="1" x14ac:dyDescent="0.3">
      <c r="A1243" s="92"/>
      <c r="B1243" s="93"/>
      <c r="C1243" s="94"/>
      <c r="D1243" s="94"/>
      <c r="E1243" s="94"/>
      <c r="F1243" s="60">
        <f>ПЛАТЕЖИ[[#This Row],[СЎМ]]+(ПЛАТЕЖИ[[#This Row],[ВАЛЮТА]]*ПЛАТЕЖИ[[#This Row],[КУРС]])</f>
        <v>0</v>
      </c>
      <c r="G1243" s="93"/>
      <c r="I1243" s="165"/>
    </row>
    <row r="1244" spans="1:9" ht="15" customHeight="1" x14ac:dyDescent="0.3">
      <c r="A1244" s="92"/>
      <c r="B1244" s="93"/>
      <c r="C1244" s="94"/>
      <c r="D1244" s="94"/>
      <c r="E1244" s="94"/>
      <c r="F1244" s="60">
        <f>ПЛАТЕЖИ[[#This Row],[СЎМ]]+(ПЛАТЕЖИ[[#This Row],[ВАЛЮТА]]*ПЛАТЕЖИ[[#This Row],[КУРС]])</f>
        <v>0</v>
      </c>
      <c r="G1244" s="93"/>
      <c r="H1244" s="93"/>
      <c r="I1244" s="165"/>
    </row>
    <row r="1245" spans="1:9" ht="15" customHeight="1" x14ac:dyDescent="0.3">
      <c r="A1245" s="92"/>
      <c r="B1245" s="93"/>
      <c r="C1245" s="94"/>
      <c r="D1245" s="94"/>
      <c r="E1245" s="94"/>
      <c r="F1245" s="60">
        <f>ПЛАТЕЖИ[[#This Row],[СЎМ]]+(ПЛАТЕЖИ[[#This Row],[ВАЛЮТА]]*ПЛАТЕЖИ[[#This Row],[КУРС]])</f>
        <v>0</v>
      </c>
      <c r="G1245" s="93"/>
      <c r="H1245" s="93"/>
      <c r="I1245" s="165"/>
    </row>
    <row r="1246" spans="1:9" ht="15" customHeight="1" x14ac:dyDescent="0.3">
      <c r="A1246" s="92"/>
      <c r="B1246" s="93"/>
      <c r="C1246" s="94"/>
      <c r="D1246" s="94"/>
      <c r="E1246" s="94"/>
      <c r="F1246" s="60">
        <f>ПЛАТЕЖИ[[#This Row],[СЎМ]]+(ПЛАТЕЖИ[[#This Row],[ВАЛЮТА]]*ПЛАТЕЖИ[[#This Row],[КУРС]])</f>
        <v>0</v>
      </c>
      <c r="G1246" s="93"/>
      <c r="H1246" s="93"/>
      <c r="I1246" s="165"/>
    </row>
    <row r="1247" spans="1:9" ht="15" customHeight="1" x14ac:dyDescent="0.3">
      <c r="A1247" s="92"/>
      <c r="B1247" s="93"/>
      <c r="C1247" s="94"/>
      <c r="D1247" s="94"/>
      <c r="E1247" s="94"/>
      <c r="F1247" s="60">
        <f>ПЛАТЕЖИ[[#This Row],[СЎМ]]+(ПЛАТЕЖИ[[#This Row],[ВАЛЮТА]]*ПЛАТЕЖИ[[#This Row],[КУРС]])</f>
        <v>0</v>
      </c>
      <c r="G1247" s="93"/>
      <c r="H1247" s="93"/>
      <c r="I1247" s="165"/>
    </row>
    <row r="1248" spans="1:9" ht="15" customHeight="1" x14ac:dyDescent="0.3">
      <c r="A1248" s="92"/>
      <c r="B1248" s="93"/>
      <c r="C1248" s="94"/>
      <c r="D1248" s="94"/>
      <c r="E1248" s="94"/>
      <c r="F1248" s="60">
        <f>ПЛАТЕЖИ[[#This Row],[СЎМ]]+(ПЛАТЕЖИ[[#This Row],[ВАЛЮТА]]*ПЛАТЕЖИ[[#This Row],[КУРС]])</f>
        <v>0</v>
      </c>
      <c r="G1248" s="93"/>
      <c r="H1248" s="93"/>
      <c r="I1248" s="165"/>
    </row>
    <row r="1249" spans="1:9" ht="15" customHeight="1" x14ac:dyDescent="0.3">
      <c r="A1249" s="92"/>
      <c r="B1249" s="93"/>
      <c r="C1249" s="94"/>
      <c r="D1249" s="94"/>
      <c r="E1249" s="94"/>
      <c r="F1249" s="60">
        <f>ПЛАТЕЖИ[[#This Row],[СЎМ]]+(ПЛАТЕЖИ[[#This Row],[ВАЛЮТА]]*ПЛАТЕЖИ[[#This Row],[КУРС]])</f>
        <v>0</v>
      </c>
      <c r="G1249" s="93"/>
      <c r="H1249" s="93"/>
      <c r="I1249" s="165"/>
    </row>
    <row r="1250" spans="1:9" ht="15" customHeight="1" x14ac:dyDescent="0.3">
      <c r="A1250" s="92"/>
      <c r="B1250" s="93"/>
      <c r="C1250" s="94"/>
      <c r="D1250" s="94"/>
      <c r="E1250" s="94"/>
      <c r="F1250" s="60">
        <f>ПЛАТЕЖИ[[#This Row],[СЎМ]]+(ПЛАТЕЖИ[[#This Row],[ВАЛЮТА]]*ПЛАТЕЖИ[[#This Row],[КУРС]])</f>
        <v>0</v>
      </c>
      <c r="G1250" s="93"/>
      <c r="H1250" s="93"/>
      <c r="I1250" s="165"/>
    </row>
    <row r="1251" spans="1:9" ht="15" customHeight="1" x14ac:dyDescent="0.3">
      <c r="A1251" s="92"/>
      <c r="B1251" s="93"/>
      <c r="C1251" s="94"/>
      <c r="D1251" s="94"/>
      <c r="E1251" s="94"/>
      <c r="F1251" s="60">
        <f>ПЛАТЕЖИ[[#This Row],[СЎМ]]+(ПЛАТЕЖИ[[#This Row],[ВАЛЮТА]]*ПЛАТЕЖИ[[#This Row],[КУРС]])</f>
        <v>0</v>
      </c>
      <c r="G1251" s="93"/>
      <c r="H1251" s="93"/>
      <c r="I1251" s="165"/>
    </row>
    <row r="1252" spans="1:9" ht="15" customHeight="1" x14ac:dyDescent="0.3">
      <c r="A1252" s="92"/>
      <c r="B1252" s="93"/>
      <c r="C1252" s="94"/>
      <c r="D1252" s="94"/>
      <c r="E1252" s="94"/>
      <c r="F1252" s="60">
        <f>ПЛАТЕЖИ[[#This Row],[СЎМ]]+(ПЛАТЕЖИ[[#This Row],[ВАЛЮТА]]*ПЛАТЕЖИ[[#This Row],[КУРС]])</f>
        <v>0</v>
      </c>
      <c r="G1252" s="93"/>
      <c r="H1252" s="93"/>
      <c r="I1252" s="165"/>
    </row>
    <row r="1253" spans="1:9" ht="15" customHeight="1" x14ac:dyDescent="0.3">
      <c r="A1253" s="92"/>
      <c r="B1253" s="93"/>
      <c r="C1253" s="94"/>
      <c r="D1253" s="94"/>
      <c r="E1253" s="94"/>
      <c r="F1253" s="60">
        <f>ПЛАТЕЖИ[[#This Row],[СЎМ]]+(ПЛАТЕЖИ[[#This Row],[ВАЛЮТА]]*ПЛАТЕЖИ[[#This Row],[КУРС]])</f>
        <v>0</v>
      </c>
      <c r="G1253" s="93"/>
      <c r="H1253" s="93"/>
      <c r="I1253" s="165"/>
    </row>
    <row r="1254" spans="1:9" ht="15" customHeight="1" x14ac:dyDescent="0.3">
      <c r="A1254" s="92"/>
      <c r="B1254" s="93"/>
      <c r="C1254" s="94"/>
      <c r="D1254" s="94"/>
      <c r="E1254" s="94"/>
      <c r="F1254" s="60">
        <f>ПЛАТЕЖИ[[#This Row],[СЎМ]]+(ПЛАТЕЖИ[[#This Row],[ВАЛЮТА]]*ПЛАТЕЖИ[[#This Row],[КУРС]])</f>
        <v>0</v>
      </c>
      <c r="G1254" s="93"/>
      <c r="H1254" s="93"/>
      <c r="I1254" s="165"/>
    </row>
    <row r="1255" spans="1:9" ht="15" customHeight="1" x14ac:dyDescent="0.3">
      <c r="A1255" s="92"/>
      <c r="B1255" s="93"/>
      <c r="C1255" s="94"/>
      <c r="D1255" s="94"/>
      <c r="E1255" s="94"/>
      <c r="F1255" s="60">
        <f>ПЛАТЕЖИ[[#This Row],[СЎМ]]+(ПЛАТЕЖИ[[#This Row],[ВАЛЮТА]]*ПЛАТЕЖИ[[#This Row],[КУРС]])</f>
        <v>0</v>
      </c>
      <c r="G1255" s="93"/>
      <c r="I1255" s="165"/>
    </row>
    <row r="1256" spans="1:9" ht="15" customHeight="1" x14ac:dyDescent="0.3">
      <c r="A1256" s="92"/>
      <c r="B1256" s="93"/>
      <c r="C1256" s="94"/>
      <c r="D1256" s="94"/>
      <c r="E1256" s="94"/>
      <c r="F1256" s="60">
        <f>ПЛАТЕЖИ[[#This Row],[СЎМ]]+(ПЛАТЕЖИ[[#This Row],[ВАЛЮТА]]*ПЛАТЕЖИ[[#This Row],[КУРС]])</f>
        <v>0</v>
      </c>
      <c r="G1256" s="93"/>
      <c r="I1256" s="165"/>
    </row>
    <row r="1257" spans="1:9" ht="15" customHeight="1" x14ac:dyDescent="0.3">
      <c r="A1257" s="92"/>
      <c r="B1257" s="93"/>
      <c r="C1257" s="94"/>
      <c r="D1257" s="94"/>
      <c r="E1257" s="94"/>
      <c r="F1257" s="60">
        <f>ПЛАТЕЖИ[[#This Row],[СЎМ]]+(ПЛАТЕЖИ[[#This Row],[ВАЛЮТА]]*ПЛАТЕЖИ[[#This Row],[КУРС]])</f>
        <v>0</v>
      </c>
      <c r="G1257" s="93"/>
      <c r="I1257" s="165"/>
    </row>
    <row r="1258" spans="1:9" ht="15" customHeight="1" x14ac:dyDescent="0.3">
      <c r="A1258" s="92"/>
      <c r="B1258" s="93"/>
      <c r="C1258" s="94"/>
      <c r="D1258" s="94"/>
      <c r="E1258" s="94"/>
      <c r="F1258" s="60">
        <f>ПЛАТЕЖИ[[#This Row],[СЎМ]]+(ПЛАТЕЖИ[[#This Row],[ВАЛЮТА]]*ПЛАТЕЖИ[[#This Row],[КУРС]])</f>
        <v>0</v>
      </c>
      <c r="G1258" s="93"/>
      <c r="H1258" s="93"/>
      <c r="I1258" s="165"/>
    </row>
    <row r="1259" spans="1:9" ht="15" customHeight="1" x14ac:dyDescent="0.3">
      <c r="A1259" s="92"/>
      <c r="B1259" s="93"/>
      <c r="C1259" s="94"/>
      <c r="D1259" s="94"/>
      <c r="E1259" s="94"/>
      <c r="F1259" s="60">
        <f>ПЛАТЕЖИ[[#This Row],[СЎМ]]+(ПЛАТЕЖИ[[#This Row],[ВАЛЮТА]]*ПЛАТЕЖИ[[#This Row],[КУРС]])</f>
        <v>0</v>
      </c>
      <c r="G1259" s="93"/>
      <c r="H1259" s="93"/>
      <c r="I1259" s="165"/>
    </row>
    <row r="1260" spans="1:9" ht="15" customHeight="1" x14ac:dyDescent="0.3">
      <c r="A1260" s="92"/>
      <c r="B1260" s="93"/>
      <c r="C1260" s="94"/>
      <c r="D1260" s="94"/>
      <c r="E1260" s="94"/>
      <c r="F1260" s="60">
        <f>ПЛАТЕЖИ[[#This Row],[СЎМ]]+(ПЛАТЕЖИ[[#This Row],[ВАЛЮТА]]*ПЛАТЕЖИ[[#This Row],[КУРС]])</f>
        <v>0</v>
      </c>
      <c r="G1260" s="93"/>
      <c r="H1260" s="93"/>
      <c r="I1260" s="165"/>
    </row>
    <row r="1261" spans="1:9" ht="15" customHeight="1" x14ac:dyDescent="0.3">
      <c r="A1261" s="92"/>
      <c r="B1261" s="93"/>
      <c r="C1261" s="94"/>
      <c r="D1261" s="94"/>
      <c r="E1261" s="94"/>
      <c r="F1261" s="60">
        <f>ПЛАТЕЖИ[[#This Row],[СЎМ]]+(ПЛАТЕЖИ[[#This Row],[ВАЛЮТА]]*ПЛАТЕЖИ[[#This Row],[КУРС]])</f>
        <v>0</v>
      </c>
      <c r="G1261" s="93"/>
      <c r="I1261" s="165"/>
    </row>
    <row r="1262" spans="1:9" ht="15" customHeight="1" x14ac:dyDescent="0.3">
      <c r="A1262" s="92"/>
      <c r="B1262" s="93"/>
      <c r="C1262" s="94"/>
      <c r="D1262" s="94"/>
      <c r="E1262" s="94"/>
      <c r="F1262" s="60">
        <f>ПЛАТЕЖИ[[#This Row],[СЎМ]]+(ПЛАТЕЖИ[[#This Row],[ВАЛЮТА]]*ПЛАТЕЖИ[[#This Row],[КУРС]])</f>
        <v>0</v>
      </c>
      <c r="G1262" s="93"/>
      <c r="I1262" s="165"/>
    </row>
    <row r="1263" spans="1:9" ht="15" customHeight="1" x14ac:dyDescent="0.3">
      <c r="A1263" s="92"/>
      <c r="B1263" s="93"/>
      <c r="C1263" s="94"/>
      <c r="D1263" s="94"/>
      <c r="E1263" s="94"/>
      <c r="F1263" s="60">
        <f>ПЛАТЕЖИ[[#This Row],[СЎМ]]+(ПЛАТЕЖИ[[#This Row],[ВАЛЮТА]]*ПЛАТЕЖИ[[#This Row],[КУРС]])</f>
        <v>0</v>
      </c>
      <c r="G1263" s="93"/>
      <c r="I1263" s="165"/>
    </row>
    <row r="1264" spans="1:9" ht="15" customHeight="1" x14ac:dyDescent="0.3">
      <c r="A1264" s="92"/>
      <c r="B1264" s="93"/>
      <c r="C1264" s="94"/>
      <c r="D1264" s="94"/>
      <c r="E1264" s="94"/>
      <c r="F1264" s="60">
        <f>ПЛАТЕЖИ[[#This Row],[СЎМ]]+(ПЛАТЕЖИ[[#This Row],[ВАЛЮТА]]*ПЛАТЕЖИ[[#This Row],[КУРС]])</f>
        <v>0</v>
      </c>
      <c r="G1264" s="93"/>
      <c r="H1264" s="93"/>
      <c r="I1264" s="165"/>
    </row>
    <row r="1265" spans="1:9" ht="15" customHeight="1" x14ac:dyDescent="0.3">
      <c r="A1265" s="92"/>
      <c r="B1265" s="93"/>
      <c r="C1265" s="94"/>
      <c r="D1265" s="94"/>
      <c r="E1265" s="94"/>
      <c r="F1265" s="60">
        <f>ПЛАТЕЖИ[[#This Row],[СЎМ]]+(ПЛАТЕЖИ[[#This Row],[ВАЛЮТА]]*ПЛАТЕЖИ[[#This Row],[КУРС]])</f>
        <v>0</v>
      </c>
      <c r="G1265" s="93"/>
      <c r="I1265" s="165"/>
    </row>
    <row r="1266" spans="1:9" ht="15" customHeight="1" x14ac:dyDescent="0.3">
      <c r="A1266" s="92"/>
      <c r="B1266" s="93"/>
      <c r="C1266" s="94"/>
      <c r="D1266" s="94"/>
      <c r="E1266" s="94"/>
      <c r="F1266" s="60">
        <f>ПЛАТЕЖИ[[#This Row],[СЎМ]]+(ПЛАТЕЖИ[[#This Row],[ВАЛЮТА]]*ПЛАТЕЖИ[[#This Row],[КУРС]])</f>
        <v>0</v>
      </c>
      <c r="G1266" s="93"/>
      <c r="I1266" s="165"/>
    </row>
    <row r="1267" spans="1:9" ht="15" customHeight="1" x14ac:dyDescent="0.3">
      <c r="A1267" s="92"/>
      <c r="B1267" s="93"/>
      <c r="C1267" s="94"/>
      <c r="D1267" s="94"/>
      <c r="E1267" s="94"/>
      <c r="F1267" s="60">
        <f>ПЛАТЕЖИ[[#This Row],[СЎМ]]+(ПЛАТЕЖИ[[#This Row],[ВАЛЮТА]]*ПЛАТЕЖИ[[#This Row],[КУРС]])</f>
        <v>0</v>
      </c>
      <c r="G1267" s="93"/>
      <c r="H1267" s="93"/>
      <c r="I1267" s="165"/>
    </row>
    <row r="1268" spans="1:9" ht="15" customHeight="1" x14ac:dyDescent="0.3">
      <c r="A1268" s="92"/>
      <c r="B1268" s="93"/>
      <c r="C1268" s="94"/>
      <c r="D1268" s="94"/>
      <c r="E1268" s="94"/>
      <c r="F1268" s="60">
        <f>ПЛАТЕЖИ[[#This Row],[СЎМ]]+(ПЛАТЕЖИ[[#This Row],[ВАЛЮТА]]*ПЛАТЕЖИ[[#This Row],[КУРС]])</f>
        <v>0</v>
      </c>
      <c r="G1268" s="93"/>
      <c r="H1268" s="93"/>
      <c r="I1268" s="165"/>
    </row>
    <row r="1269" spans="1:9" ht="15" customHeight="1" x14ac:dyDescent="0.3">
      <c r="A1269" s="92"/>
      <c r="B1269" s="93"/>
      <c r="C1269" s="94"/>
      <c r="D1269" s="94"/>
      <c r="E1269" s="94"/>
      <c r="F1269" s="60">
        <f>ПЛАТЕЖИ[[#This Row],[СЎМ]]+(ПЛАТЕЖИ[[#This Row],[ВАЛЮТА]]*ПЛАТЕЖИ[[#This Row],[КУРС]])</f>
        <v>0</v>
      </c>
      <c r="G1269" s="93"/>
      <c r="H1269" s="93"/>
      <c r="I1269" s="165"/>
    </row>
    <row r="1270" spans="1:9" ht="15" customHeight="1" x14ac:dyDescent="0.3">
      <c r="A1270" s="92"/>
      <c r="B1270" s="93"/>
      <c r="C1270" s="94"/>
      <c r="D1270" s="94"/>
      <c r="E1270" s="94"/>
      <c r="F1270" s="60">
        <f>ПЛАТЕЖИ[[#This Row],[СЎМ]]+(ПЛАТЕЖИ[[#This Row],[ВАЛЮТА]]*ПЛАТЕЖИ[[#This Row],[КУРС]])</f>
        <v>0</v>
      </c>
      <c r="G1270" s="93"/>
      <c r="H1270" s="93"/>
      <c r="I1270" s="165"/>
    </row>
    <row r="1271" spans="1:9" ht="15" customHeight="1" x14ac:dyDescent="0.3">
      <c r="A1271" s="92"/>
      <c r="B1271" s="93"/>
      <c r="C1271" s="94"/>
      <c r="D1271" s="94"/>
      <c r="E1271" s="94"/>
      <c r="F1271" s="60">
        <f>ПЛАТЕЖИ[[#This Row],[СЎМ]]+(ПЛАТЕЖИ[[#This Row],[ВАЛЮТА]]*ПЛАТЕЖИ[[#This Row],[КУРС]])</f>
        <v>0</v>
      </c>
      <c r="G1271" s="93"/>
      <c r="H1271" s="93"/>
      <c r="I1271" s="165"/>
    </row>
    <row r="1272" spans="1:9" ht="15" customHeight="1" x14ac:dyDescent="0.3">
      <c r="A1272" s="92"/>
      <c r="B1272" s="93"/>
      <c r="C1272" s="94"/>
      <c r="D1272" s="94"/>
      <c r="E1272" s="94"/>
      <c r="F1272" s="60">
        <f>ПЛАТЕЖИ[[#This Row],[СЎМ]]+(ПЛАТЕЖИ[[#This Row],[ВАЛЮТА]]*ПЛАТЕЖИ[[#This Row],[КУРС]])</f>
        <v>0</v>
      </c>
      <c r="G1272" s="93"/>
      <c r="H1272" s="93"/>
      <c r="I1272" s="165"/>
    </row>
    <row r="1273" spans="1:9" ht="15" customHeight="1" x14ac:dyDescent="0.3">
      <c r="A1273" s="92"/>
      <c r="B1273" s="93"/>
      <c r="C1273" s="94"/>
      <c r="D1273" s="94"/>
      <c r="E1273" s="94"/>
      <c r="F1273" s="60">
        <f>ПЛАТЕЖИ[[#This Row],[СЎМ]]+(ПЛАТЕЖИ[[#This Row],[ВАЛЮТА]]*ПЛАТЕЖИ[[#This Row],[КУРС]])</f>
        <v>0</v>
      </c>
      <c r="G1273" s="93"/>
      <c r="H1273" s="93"/>
      <c r="I1273" s="165"/>
    </row>
    <row r="1274" spans="1:9" ht="15" customHeight="1" x14ac:dyDescent="0.3">
      <c r="A1274" s="92"/>
      <c r="B1274" s="93"/>
      <c r="C1274" s="94"/>
      <c r="D1274" s="94"/>
      <c r="E1274" s="94"/>
      <c r="F1274" s="60">
        <f>ПЛАТЕЖИ[[#This Row],[СЎМ]]+(ПЛАТЕЖИ[[#This Row],[ВАЛЮТА]]*ПЛАТЕЖИ[[#This Row],[КУРС]])</f>
        <v>0</v>
      </c>
      <c r="G1274" s="93"/>
      <c r="H1274" s="93"/>
      <c r="I1274" s="165"/>
    </row>
    <row r="1275" spans="1:9" ht="15" customHeight="1" x14ac:dyDescent="0.3">
      <c r="A1275" s="164"/>
      <c r="B1275" s="165"/>
      <c r="C1275" s="166"/>
      <c r="D1275" s="166"/>
      <c r="E1275" s="166"/>
      <c r="F1275" s="60">
        <f>ПЛАТЕЖИ[[#This Row],[СЎМ]]+(ПЛАТЕЖИ[[#This Row],[ВАЛЮТА]]*ПЛАТЕЖИ[[#This Row],[КУРС]])</f>
        <v>0</v>
      </c>
      <c r="G1275" s="165"/>
      <c r="H1275" s="165"/>
      <c r="I1275" s="165"/>
    </row>
    <row r="1276" spans="1:9" ht="15" customHeight="1" x14ac:dyDescent="0.3">
      <c r="B1276" s="93"/>
      <c r="C1276" s="94"/>
      <c r="D1276" s="94"/>
      <c r="E1276" s="94"/>
      <c r="F1276" s="60">
        <f>ПЛАТЕЖИ[[#This Row],[СЎМ]]+(ПЛАТЕЖИ[[#This Row],[ВАЛЮТА]]*ПЛАТЕЖИ[[#This Row],[КУРС]])</f>
        <v>0</v>
      </c>
      <c r="G1276" s="93"/>
      <c r="I1276" s="165"/>
    </row>
    <row r="1277" spans="1:9" ht="15" customHeight="1" x14ac:dyDescent="0.3">
      <c r="A1277" s="92"/>
      <c r="B1277" s="93"/>
      <c r="C1277" s="94"/>
      <c r="D1277" s="94"/>
      <c r="E1277" s="94"/>
      <c r="F1277" s="60">
        <f>ПЛАТЕЖИ[[#This Row],[СЎМ]]+(ПЛАТЕЖИ[[#This Row],[ВАЛЮТА]]*ПЛАТЕЖИ[[#This Row],[КУРС]])</f>
        <v>0</v>
      </c>
      <c r="G1277" s="93"/>
      <c r="I1277" s="165"/>
    </row>
    <row r="1278" spans="1:9" ht="15" customHeight="1" x14ac:dyDescent="0.3">
      <c r="A1278" s="92"/>
      <c r="B1278" s="93"/>
      <c r="C1278" s="94"/>
      <c r="D1278" s="94"/>
      <c r="E1278" s="94"/>
      <c r="F1278" s="60">
        <f>ПЛАТЕЖИ[[#This Row],[СЎМ]]+(ПЛАТЕЖИ[[#This Row],[ВАЛЮТА]]*ПЛАТЕЖИ[[#This Row],[КУРС]])</f>
        <v>0</v>
      </c>
      <c r="G1278" s="93"/>
      <c r="H1278" s="93"/>
      <c r="I1278" s="165"/>
    </row>
    <row r="1279" spans="1:9" ht="15" customHeight="1" x14ac:dyDescent="0.3">
      <c r="A1279" s="92"/>
      <c r="B1279" s="93"/>
      <c r="C1279" s="94"/>
      <c r="D1279" s="94"/>
      <c r="E1279" s="94"/>
      <c r="F1279" s="60">
        <f>ПЛАТЕЖИ[[#This Row],[СЎМ]]+(ПЛАТЕЖИ[[#This Row],[ВАЛЮТА]]*ПЛАТЕЖИ[[#This Row],[КУРС]])</f>
        <v>0</v>
      </c>
      <c r="G1279" s="93"/>
      <c r="I1279" s="165"/>
    </row>
    <row r="1280" spans="1:9" ht="15" customHeight="1" x14ac:dyDescent="0.3">
      <c r="A1280" s="92"/>
      <c r="B1280" s="93"/>
      <c r="C1280" s="94"/>
      <c r="D1280" s="94"/>
      <c r="E1280" s="94"/>
      <c r="F1280" s="60">
        <f>ПЛАТЕЖИ[[#This Row],[СЎМ]]+(ПЛАТЕЖИ[[#This Row],[ВАЛЮТА]]*ПЛАТЕЖИ[[#This Row],[КУРС]])</f>
        <v>0</v>
      </c>
      <c r="G1280" s="93"/>
      <c r="H1280" s="93"/>
      <c r="I1280" s="165"/>
    </row>
    <row r="1281" spans="1:9" ht="15" customHeight="1" x14ac:dyDescent="0.3">
      <c r="A1281" s="92"/>
      <c r="B1281" s="93"/>
      <c r="C1281" s="94"/>
      <c r="D1281" s="94"/>
      <c r="E1281" s="94"/>
      <c r="F1281" s="60">
        <f>ПЛАТЕЖИ[[#This Row],[СЎМ]]+(ПЛАТЕЖИ[[#This Row],[ВАЛЮТА]]*ПЛАТЕЖИ[[#This Row],[КУРС]])</f>
        <v>0</v>
      </c>
      <c r="G1281" s="93"/>
      <c r="H1281" s="93"/>
      <c r="I1281" s="165"/>
    </row>
    <row r="1282" spans="1:9" ht="15" customHeight="1" x14ac:dyDescent="0.3">
      <c r="A1282" s="92"/>
      <c r="B1282" s="93"/>
      <c r="C1282" s="94"/>
      <c r="D1282" s="94"/>
      <c r="E1282" s="94"/>
      <c r="F1282" s="60">
        <f>ПЛАТЕЖИ[[#This Row],[СЎМ]]+(ПЛАТЕЖИ[[#This Row],[ВАЛЮТА]]*ПЛАТЕЖИ[[#This Row],[КУРС]])</f>
        <v>0</v>
      </c>
      <c r="G1282" s="93"/>
      <c r="H1282" s="93"/>
      <c r="I1282" s="165"/>
    </row>
    <row r="1283" spans="1:9" ht="15" customHeight="1" x14ac:dyDescent="0.3">
      <c r="A1283" s="92"/>
      <c r="B1283" s="93"/>
      <c r="C1283" s="94"/>
      <c r="D1283" s="94"/>
      <c r="E1283" s="94"/>
      <c r="F1283" s="60">
        <f>ПЛАТЕЖИ[[#This Row],[СЎМ]]+(ПЛАТЕЖИ[[#This Row],[ВАЛЮТА]]*ПЛАТЕЖИ[[#This Row],[КУРС]])</f>
        <v>0</v>
      </c>
      <c r="G1283" s="93"/>
      <c r="H1283" s="93"/>
      <c r="I1283" s="165"/>
    </row>
    <row r="1284" spans="1:9" ht="15" customHeight="1" x14ac:dyDescent="0.3">
      <c r="A1284" s="92"/>
      <c r="B1284" s="93"/>
      <c r="C1284" s="94"/>
      <c r="D1284" s="94"/>
      <c r="E1284" s="94"/>
      <c r="F1284" s="60">
        <f>ПЛАТЕЖИ[[#This Row],[СЎМ]]+(ПЛАТЕЖИ[[#This Row],[ВАЛЮТА]]*ПЛАТЕЖИ[[#This Row],[КУРС]])</f>
        <v>0</v>
      </c>
      <c r="G1284" s="93"/>
      <c r="H1284" s="93"/>
      <c r="I1284" s="165"/>
    </row>
    <row r="1285" spans="1:9" ht="15" customHeight="1" x14ac:dyDescent="0.3">
      <c r="A1285" s="92"/>
      <c r="B1285" s="93"/>
      <c r="C1285" s="94"/>
      <c r="D1285" s="94"/>
      <c r="E1285" s="94"/>
      <c r="F1285" s="60">
        <f>ПЛАТЕЖИ[[#This Row],[СЎМ]]+(ПЛАТЕЖИ[[#This Row],[ВАЛЮТА]]*ПЛАТЕЖИ[[#This Row],[КУРС]])</f>
        <v>0</v>
      </c>
      <c r="G1285" s="93"/>
      <c r="H1285" s="93"/>
      <c r="I1285" s="165"/>
    </row>
    <row r="1286" spans="1:9" ht="15" customHeight="1" x14ac:dyDescent="0.3">
      <c r="A1286" s="92"/>
      <c r="B1286" s="93"/>
      <c r="C1286" s="94"/>
      <c r="D1286" s="94"/>
      <c r="E1286" s="94"/>
      <c r="F1286" s="60">
        <f>ПЛАТЕЖИ[[#This Row],[СЎМ]]+(ПЛАТЕЖИ[[#This Row],[ВАЛЮТА]]*ПЛАТЕЖИ[[#This Row],[КУРС]])</f>
        <v>0</v>
      </c>
      <c r="G1286" s="93"/>
      <c r="H1286" s="93"/>
      <c r="I1286" s="165"/>
    </row>
    <row r="1287" spans="1:9" ht="15" customHeight="1" x14ac:dyDescent="0.3">
      <c r="A1287" s="92"/>
      <c r="B1287" s="93"/>
      <c r="C1287" s="94"/>
      <c r="D1287" s="94"/>
      <c r="E1287" s="94"/>
      <c r="F1287" s="60">
        <f>ПЛАТЕЖИ[[#This Row],[СЎМ]]+(ПЛАТЕЖИ[[#This Row],[ВАЛЮТА]]*ПЛАТЕЖИ[[#This Row],[КУРС]])</f>
        <v>0</v>
      </c>
      <c r="G1287" s="93"/>
      <c r="H1287" s="93"/>
      <c r="I1287" s="165"/>
    </row>
    <row r="1288" spans="1:9" ht="15" customHeight="1" x14ac:dyDescent="0.3">
      <c r="A1288" s="92"/>
      <c r="B1288" s="93"/>
      <c r="C1288" s="94"/>
      <c r="D1288" s="94"/>
      <c r="E1288" s="94"/>
      <c r="F1288" s="60">
        <f>ПЛАТЕЖИ[[#This Row],[СЎМ]]+(ПЛАТЕЖИ[[#This Row],[ВАЛЮТА]]*ПЛАТЕЖИ[[#This Row],[КУРС]])</f>
        <v>0</v>
      </c>
      <c r="G1288" s="93"/>
      <c r="H1288" s="93"/>
      <c r="I1288" s="165"/>
    </row>
    <row r="1289" spans="1:9" ht="15" customHeight="1" x14ac:dyDescent="0.3">
      <c r="A1289" s="92"/>
      <c r="B1289" s="93"/>
      <c r="C1289" s="94"/>
      <c r="D1289" s="94"/>
      <c r="E1289" s="94"/>
      <c r="F1289" s="60">
        <f>ПЛАТЕЖИ[[#This Row],[СЎМ]]+(ПЛАТЕЖИ[[#This Row],[ВАЛЮТА]]*ПЛАТЕЖИ[[#This Row],[КУРС]])</f>
        <v>0</v>
      </c>
      <c r="G1289" s="93"/>
      <c r="H1289" s="93"/>
      <c r="I1289" s="165"/>
    </row>
    <row r="1290" spans="1:9" ht="15" customHeight="1" x14ac:dyDescent="0.3">
      <c r="A1290" s="92"/>
      <c r="B1290" s="93"/>
      <c r="C1290" s="94"/>
      <c r="D1290" s="94"/>
      <c r="E1290" s="94"/>
      <c r="F1290" s="60">
        <f>ПЛАТЕЖИ[[#This Row],[СЎМ]]+(ПЛАТЕЖИ[[#This Row],[ВАЛЮТА]]*ПЛАТЕЖИ[[#This Row],[КУРС]])</f>
        <v>0</v>
      </c>
      <c r="G1290" s="93"/>
      <c r="H1290" s="93"/>
      <c r="I1290" s="165"/>
    </row>
    <row r="1291" spans="1:9" ht="15" customHeight="1" x14ac:dyDescent="0.3">
      <c r="A1291" s="92"/>
      <c r="B1291" s="93"/>
      <c r="C1291" s="94"/>
      <c r="D1291" s="94"/>
      <c r="E1291" s="94"/>
      <c r="F1291" s="60">
        <f>ПЛАТЕЖИ[[#This Row],[СЎМ]]+(ПЛАТЕЖИ[[#This Row],[ВАЛЮТА]]*ПЛАТЕЖИ[[#This Row],[КУРС]])</f>
        <v>0</v>
      </c>
      <c r="G1291" s="93"/>
      <c r="H1291" s="93"/>
      <c r="I1291" s="165"/>
    </row>
    <row r="1292" spans="1:9" ht="15" customHeight="1" x14ac:dyDescent="0.3">
      <c r="A1292" s="92"/>
      <c r="B1292" s="93"/>
      <c r="C1292" s="94"/>
      <c r="D1292" s="94"/>
      <c r="E1292" s="94"/>
      <c r="F1292" s="60">
        <f>ПЛАТЕЖИ[[#This Row],[СЎМ]]+(ПЛАТЕЖИ[[#This Row],[ВАЛЮТА]]*ПЛАТЕЖИ[[#This Row],[КУРС]])</f>
        <v>0</v>
      </c>
      <c r="G1292" s="93"/>
      <c r="I1292" s="165"/>
    </row>
    <row r="1293" spans="1:9" ht="15" customHeight="1" x14ac:dyDescent="0.3">
      <c r="F1293" s="60">
        <f>ПЛАТЕЖИ[[#This Row],[СЎМ]]+(ПЛАТЕЖИ[[#This Row],[ВАЛЮТА]]*ПЛАТЕЖИ[[#This Row],[КУРС]])</f>
        <v>0</v>
      </c>
      <c r="I1293" s="165"/>
    </row>
    <row r="1294" spans="1:9" ht="15" customHeight="1" x14ac:dyDescent="0.3">
      <c r="F1294" s="60">
        <f>ПЛАТЕЖИ[[#This Row],[СЎМ]]+(ПЛАТЕЖИ[[#This Row],[ВАЛЮТА]]*ПЛАТЕЖИ[[#This Row],[КУРС]])</f>
        <v>0</v>
      </c>
      <c r="I1294" s="165"/>
    </row>
    <row r="1295" spans="1:9" ht="15" customHeight="1" x14ac:dyDescent="0.3">
      <c r="F1295" s="60">
        <f>ПЛАТЕЖИ[[#This Row],[СЎМ]]+(ПЛАТЕЖИ[[#This Row],[ВАЛЮТА]]*ПЛАТЕЖИ[[#This Row],[КУРС]])</f>
        <v>0</v>
      </c>
      <c r="I1295" s="165"/>
    </row>
    <row r="1296" spans="1:9" ht="15" customHeight="1" x14ac:dyDescent="0.3">
      <c r="A1296" s="92"/>
      <c r="B1296" s="93"/>
      <c r="C1296" s="94"/>
      <c r="D1296" s="94"/>
      <c r="E1296" s="94"/>
      <c r="F1296" s="60">
        <f>ПЛАТЕЖИ[[#This Row],[СЎМ]]+(ПЛАТЕЖИ[[#This Row],[ВАЛЮТА]]*ПЛАТЕЖИ[[#This Row],[КУРС]])</f>
        <v>0</v>
      </c>
      <c r="G1296" s="93"/>
      <c r="H1296" s="93"/>
      <c r="I1296" s="165"/>
    </row>
    <row r="1297" spans="1:9" ht="15" customHeight="1" x14ac:dyDescent="0.3">
      <c r="A1297" s="92"/>
      <c r="B1297" s="93"/>
      <c r="C1297" s="94"/>
      <c r="D1297" s="94"/>
      <c r="E1297" s="94"/>
      <c r="F1297" s="60">
        <f>ПЛАТЕЖИ[[#This Row],[СЎМ]]+(ПЛАТЕЖИ[[#This Row],[ВАЛЮТА]]*ПЛАТЕЖИ[[#This Row],[КУРС]])</f>
        <v>0</v>
      </c>
      <c r="G1297" s="93"/>
      <c r="H1297" s="93"/>
      <c r="I1297" s="165"/>
    </row>
    <row r="1298" spans="1:9" ht="15" customHeight="1" x14ac:dyDescent="0.3">
      <c r="A1298" s="92"/>
      <c r="B1298" s="93"/>
      <c r="C1298" s="94"/>
      <c r="D1298" s="94"/>
      <c r="E1298" s="94"/>
      <c r="F1298" s="60">
        <f>ПЛАТЕЖИ[[#This Row],[СЎМ]]+(ПЛАТЕЖИ[[#This Row],[ВАЛЮТА]]*ПЛАТЕЖИ[[#This Row],[КУРС]])</f>
        <v>0</v>
      </c>
      <c r="G1298" s="93"/>
      <c r="H1298" s="93"/>
      <c r="I1298" s="165"/>
    </row>
    <row r="1299" spans="1:9" ht="15" customHeight="1" x14ac:dyDescent="0.3">
      <c r="A1299" s="92"/>
      <c r="B1299" s="93"/>
      <c r="C1299" s="94"/>
      <c r="D1299" s="94"/>
      <c r="E1299" s="94"/>
      <c r="F1299" s="60">
        <f>ПЛАТЕЖИ[[#This Row],[СЎМ]]+(ПЛАТЕЖИ[[#This Row],[ВАЛЮТА]]*ПЛАТЕЖИ[[#This Row],[КУРС]])</f>
        <v>0</v>
      </c>
      <c r="G1299" s="93"/>
      <c r="H1299" s="93"/>
      <c r="I1299" s="165"/>
    </row>
    <row r="1300" spans="1:9" ht="15" customHeight="1" x14ac:dyDescent="0.3">
      <c r="A1300" s="92"/>
      <c r="B1300" s="93"/>
      <c r="C1300" s="94"/>
      <c r="D1300" s="94"/>
      <c r="E1300" s="94"/>
      <c r="F1300" s="60">
        <f>ПЛАТЕЖИ[[#This Row],[СЎМ]]+(ПЛАТЕЖИ[[#This Row],[ВАЛЮТА]]*ПЛАТЕЖИ[[#This Row],[КУРС]])</f>
        <v>0</v>
      </c>
      <c r="G1300" s="93"/>
      <c r="H1300" s="93"/>
      <c r="I1300" s="165"/>
    </row>
    <row r="1301" spans="1:9" ht="15" customHeight="1" x14ac:dyDescent="0.3">
      <c r="A1301" s="92"/>
      <c r="B1301" s="93"/>
      <c r="C1301" s="94"/>
      <c r="D1301" s="94"/>
      <c r="E1301" s="94"/>
      <c r="F1301" s="60">
        <f>ПЛАТЕЖИ[[#This Row],[СЎМ]]+(ПЛАТЕЖИ[[#This Row],[ВАЛЮТА]]*ПЛАТЕЖИ[[#This Row],[КУРС]])</f>
        <v>0</v>
      </c>
      <c r="G1301" s="93"/>
      <c r="H1301" s="93"/>
      <c r="I1301" s="165"/>
    </row>
    <row r="1302" spans="1:9" ht="15" customHeight="1" x14ac:dyDescent="0.3">
      <c r="A1302" s="92"/>
      <c r="B1302" s="93"/>
      <c r="C1302" s="94"/>
      <c r="D1302" s="94"/>
      <c r="E1302" s="94"/>
      <c r="F1302" s="60">
        <f>ПЛАТЕЖИ[[#This Row],[СЎМ]]+(ПЛАТЕЖИ[[#This Row],[ВАЛЮТА]]*ПЛАТЕЖИ[[#This Row],[КУРС]])</f>
        <v>0</v>
      </c>
      <c r="G1302" s="93"/>
      <c r="I1302" s="165"/>
    </row>
    <row r="1303" spans="1:9" ht="15" customHeight="1" x14ac:dyDescent="0.3">
      <c r="A1303" s="92"/>
      <c r="B1303" s="93"/>
      <c r="C1303" s="94"/>
      <c r="D1303" s="94"/>
      <c r="E1303" s="94"/>
      <c r="F1303" s="60">
        <f>ПЛАТЕЖИ[[#This Row],[СЎМ]]+(ПЛАТЕЖИ[[#This Row],[ВАЛЮТА]]*ПЛАТЕЖИ[[#This Row],[КУРС]])</f>
        <v>0</v>
      </c>
      <c r="G1303" s="93"/>
      <c r="I1303" s="165"/>
    </row>
    <row r="1304" spans="1:9" ht="15" customHeight="1" x14ac:dyDescent="0.3">
      <c r="A1304" s="92"/>
      <c r="B1304" s="93"/>
      <c r="C1304" s="94"/>
      <c r="D1304" s="94"/>
      <c r="E1304" s="94"/>
      <c r="F1304" s="60">
        <f>ПЛАТЕЖИ[[#This Row],[СЎМ]]+(ПЛАТЕЖИ[[#This Row],[ВАЛЮТА]]*ПЛАТЕЖИ[[#This Row],[КУРС]])</f>
        <v>0</v>
      </c>
      <c r="G1304" s="93"/>
      <c r="I1304" s="165"/>
    </row>
    <row r="1305" spans="1:9" ht="15" customHeight="1" x14ac:dyDescent="0.3">
      <c r="A1305" s="92"/>
      <c r="B1305" s="93"/>
      <c r="C1305" s="94"/>
      <c r="D1305" s="94"/>
      <c r="E1305" s="94"/>
      <c r="F1305" s="60">
        <f>ПЛАТЕЖИ[[#This Row],[СЎМ]]+(ПЛАТЕЖИ[[#This Row],[ВАЛЮТА]]*ПЛАТЕЖИ[[#This Row],[КУРС]])</f>
        <v>0</v>
      </c>
      <c r="G1305" s="93"/>
      <c r="I1305" s="165"/>
    </row>
    <row r="1306" spans="1:9" ht="15" customHeight="1" x14ac:dyDescent="0.3">
      <c r="A1306" s="92"/>
      <c r="B1306" s="93"/>
      <c r="C1306" s="94"/>
      <c r="D1306" s="94"/>
      <c r="E1306" s="94"/>
      <c r="F1306" s="60">
        <f>ПЛАТЕЖИ[[#This Row],[СЎМ]]+(ПЛАТЕЖИ[[#This Row],[ВАЛЮТА]]*ПЛАТЕЖИ[[#This Row],[КУРС]])</f>
        <v>0</v>
      </c>
      <c r="G1306" s="93"/>
      <c r="I1306" s="165"/>
    </row>
    <row r="1307" spans="1:9" ht="15" customHeight="1" x14ac:dyDescent="0.3">
      <c r="A1307" s="92"/>
      <c r="B1307" s="93"/>
      <c r="C1307" s="94"/>
      <c r="D1307" s="94"/>
      <c r="E1307" s="94"/>
      <c r="F1307" s="60">
        <f>ПЛАТЕЖИ[[#This Row],[СЎМ]]+(ПЛАТЕЖИ[[#This Row],[ВАЛЮТА]]*ПЛАТЕЖИ[[#This Row],[КУРС]])</f>
        <v>0</v>
      </c>
      <c r="G1307" s="93"/>
      <c r="I1307" s="165"/>
    </row>
    <row r="1308" spans="1:9" ht="15" customHeight="1" x14ac:dyDescent="0.3">
      <c r="A1308" s="92"/>
      <c r="B1308" s="93"/>
      <c r="C1308" s="94"/>
      <c r="D1308" s="94"/>
      <c r="E1308" s="94"/>
      <c r="F1308" s="60">
        <f>ПЛАТЕЖИ[[#This Row],[СЎМ]]+(ПЛАТЕЖИ[[#This Row],[ВАЛЮТА]]*ПЛАТЕЖИ[[#This Row],[КУРС]])</f>
        <v>0</v>
      </c>
      <c r="G1308" s="93"/>
      <c r="I1308" s="165"/>
    </row>
    <row r="1309" spans="1:9" ht="15" customHeight="1" x14ac:dyDescent="0.3">
      <c r="A1309" s="92"/>
      <c r="B1309" s="93"/>
      <c r="C1309" s="94"/>
      <c r="D1309" s="94"/>
      <c r="E1309" s="94"/>
      <c r="F1309" s="60">
        <f>ПЛАТЕЖИ[[#This Row],[СЎМ]]+(ПЛАТЕЖИ[[#This Row],[ВАЛЮТА]]*ПЛАТЕЖИ[[#This Row],[КУРС]])</f>
        <v>0</v>
      </c>
      <c r="G1309" s="93"/>
      <c r="I1309" s="165"/>
    </row>
    <row r="1310" spans="1:9" ht="15" customHeight="1" x14ac:dyDescent="0.3">
      <c r="A1310" s="92"/>
      <c r="B1310" s="93"/>
      <c r="C1310" s="94"/>
      <c r="D1310" s="94"/>
      <c r="E1310" s="94"/>
      <c r="F1310" s="60">
        <f>ПЛАТЕЖИ[[#This Row],[СЎМ]]+(ПЛАТЕЖИ[[#This Row],[ВАЛЮТА]]*ПЛАТЕЖИ[[#This Row],[КУРС]])</f>
        <v>0</v>
      </c>
      <c r="G1310" s="93"/>
      <c r="I1310" s="165"/>
    </row>
    <row r="1311" spans="1:9" ht="15" customHeight="1" x14ac:dyDescent="0.3">
      <c r="A1311" s="92"/>
      <c r="B1311" s="93"/>
      <c r="C1311" s="94"/>
      <c r="D1311" s="94"/>
      <c r="E1311" s="94"/>
      <c r="F1311" s="60">
        <f>ПЛАТЕЖИ[[#This Row],[СЎМ]]+(ПЛАТЕЖИ[[#This Row],[ВАЛЮТА]]*ПЛАТЕЖИ[[#This Row],[КУРС]])</f>
        <v>0</v>
      </c>
      <c r="G1311" s="93"/>
      <c r="H1311" s="93"/>
      <c r="I1311" s="165"/>
    </row>
    <row r="1312" spans="1:9" ht="15" customHeight="1" x14ac:dyDescent="0.3">
      <c r="A1312" s="92"/>
      <c r="B1312" s="93"/>
      <c r="C1312" s="94"/>
      <c r="D1312" s="94"/>
      <c r="E1312" s="94"/>
      <c r="F1312" s="60">
        <f>ПЛАТЕЖИ[[#This Row],[СЎМ]]+(ПЛАТЕЖИ[[#This Row],[ВАЛЮТА]]*ПЛАТЕЖИ[[#This Row],[КУРС]])</f>
        <v>0</v>
      </c>
      <c r="G1312" s="93"/>
      <c r="H1312" s="93"/>
      <c r="I1312" s="165"/>
    </row>
    <row r="1313" spans="1:9" ht="15" customHeight="1" x14ac:dyDescent="0.3">
      <c r="A1313" s="92"/>
      <c r="B1313" s="93"/>
      <c r="C1313" s="94"/>
      <c r="D1313" s="94"/>
      <c r="E1313" s="94"/>
      <c r="F1313" s="60">
        <f>ПЛАТЕЖИ[[#This Row],[СЎМ]]+(ПЛАТЕЖИ[[#This Row],[ВАЛЮТА]]*ПЛАТЕЖИ[[#This Row],[КУРС]])</f>
        <v>0</v>
      </c>
      <c r="G1313" s="93"/>
      <c r="H1313" s="93"/>
      <c r="I1313" s="165"/>
    </row>
    <row r="1314" spans="1:9" ht="15" customHeight="1" x14ac:dyDescent="0.3">
      <c r="A1314" s="92"/>
      <c r="B1314" s="93"/>
      <c r="C1314" s="94"/>
      <c r="D1314" s="94"/>
      <c r="E1314" s="94"/>
      <c r="F1314" s="60">
        <f>ПЛАТЕЖИ[[#This Row],[СЎМ]]+(ПЛАТЕЖИ[[#This Row],[ВАЛЮТА]]*ПЛАТЕЖИ[[#This Row],[КУРС]])</f>
        <v>0</v>
      </c>
      <c r="G1314" s="93"/>
      <c r="H1314" s="93"/>
      <c r="I1314" s="165"/>
    </row>
    <row r="1315" spans="1:9" ht="15" customHeight="1" x14ac:dyDescent="0.3">
      <c r="A1315" s="92"/>
      <c r="B1315" s="93"/>
      <c r="C1315" s="94"/>
      <c r="D1315" s="94"/>
      <c r="E1315" s="94"/>
      <c r="F1315" s="60">
        <f>ПЛАТЕЖИ[[#This Row],[СЎМ]]+(ПЛАТЕЖИ[[#This Row],[ВАЛЮТА]]*ПЛАТЕЖИ[[#This Row],[КУРС]])</f>
        <v>0</v>
      </c>
      <c r="G1315" s="93"/>
      <c r="H1315" s="93"/>
      <c r="I1315" s="165"/>
    </row>
    <row r="1316" spans="1:9" ht="15" customHeight="1" x14ac:dyDescent="0.3">
      <c r="A1316" s="92"/>
      <c r="B1316" s="93"/>
      <c r="C1316" s="94"/>
      <c r="D1316" s="94"/>
      <c r="E1316" s="94"/>
      <c r="F1316" s="60">
        <f>ПЛАТЕЖИ[[#This Row],[СЎМ]]+(ПЛАТЕЖИ[[#This Row],[ВАЛЮТА]]*ПЛАТЕЖИ[[#This Row],[КУРС]])</f>
        <v>0</v>
      </c>
      <c r="G1316" s="93"/>
      <c r="H1316" s="93"/>
      <c r="I1316" s="165"/>
    </row>
    <row r="1317" spans="1:9" ht="15" customHeight="1" x14ac:dyDescent="0.3">
      <c r="A1317" s="92"/>
      <c r="B1317" s="93"/>
      <c r="C1317" s="94"/>
      <c r="D1317" s="94"/>
      <c r="E1317" s="94"/>
      <c r="F1317" s="60">
        <f>ПЛАТЕЖИ[[#This Row],[СЎМ]]+(ПЛАТЕЖИ[[#This Row],[ВАЛЮТА]]*ПЛАТЕЖИ[[#This Row],[КУРС]])</f>
        <v>0</v>
      </c>
      <c r="G1317" s="93"/>
      <c r="H1317" s="93"/>
      <c r="I1317" s="165"/>
    </row>
    <row r="1318" spans="1:9" ht="15" customHeight="1" x14ac:dyDescent="0.3">
      <c r="A1318" s="92"/>
      <c r="B1318" s="93"/>
      <c r="C1318" s="94"/>
      <c r="D1318" s="94"/>
      <c r="E1318" s="94"/>
      <c r="F1318" s="60">
        <f>ПЛАТЕЖИ[[#This Row],[СЎМ]]+(ПЛАТЕЖИ[[#This Row],[ВАЛЮТА]]*ПЛАТЕЖИ[[#This Row],[КУРС]])</f>
        <v>0</v>
      </c>
      <c r="G1318" s="93"/>
      <c r="H1318" s="93"/>
      <c r="I1318" s="165"/>
    </row>
    <row r="1319" spans="1:9" ht="15" customHeight="1" x14ac:dyDescent="0.3">
      <c r="F1319" s="60">
        <f>ПЛАТЕЖИ[[#This Row],[СЎМ]]+(ПЛАТЕЖИ[[#This Row],[ВАЛЮТА]]*ПЛАТЕЖИ[[#This Row],[КУРС]])</f>
        <v>0</v>
      </c>
      <c r="I1319" s="165"/>
    </row>
    <row r="1320" spans="1:9" ht="15" customHeight="1" x14ac:dyDescent="0.3">
      <c r="F1320" s="60">
        <f>ПЛАТЕЖИ[[#This Row],[СЎМ]]+(ПЛАТЕЖИ[[#This Row],[ВАЛЮТА]]*ПЛАТЕЖИ[[#This Row],[КУРС]])</f>
        <v>0</v>
      </c>
      <c r="I1320" s="165"/>
    </row>
    <row r="1321" spans="1:9" ht="15" customHeight="1" x14ac:dyDescent="0.3">
      <c r="A1321" s="92"/>
      <c r="B1321" s="93"/>
      <c r="C1321" s="94"/>
      <c r="D1321" s="94"/>
      <c r="E1321" s="94"/>
      <c r="F1321" s="60">
        <f>ПЛАТЕЖИ[[#This Row],[СЎМ]]+(ПЛАТЕЖИ[[#This Row],[ВАЛЮТА]]*ПЛАТЕЖИ[[#This Row],[КУРС]])</f>
        <v>0</v>
      </c>
      <c r="G1321" s="93"/>
      <c r="H1321" s="93"/>
      <c r="I1321" s="165"/>
    </row>
    <row r="1322" spans="1:9" ht="15" customHeight="1" x14ac:dyDescent="0.3">
      <c r="A1322" s="92"/>
      <c r="B1322" s="93"/>
      <c r="C1322" s="94"/>
      <c r="D1322" s="94"/>
      <c r="E1322" s="94"/>
      <c r="F1322" s="60">
        <f>ПЛАТЕЖИ[[#This Row],[СЎМ]]+(ПЛАТЕЖИ[[#This Row],[ВАЛЮТА]]*ПЛАТЕЖИ[[#This Row],[КУРС]])</f>
        <v>0</v>
      </c>
      <c r="G1322" s="93"/>
      <c r="H1322" s="93"/>
      <c r="I1322" s="165"/>
    </row>
    <row r="1323" spans="1:9" ht="15" customHeight="1" x14ac:dyDescent="0.3">
      <c r="A1323" s="92"/>
      <c r="B1323" s="93"/>
      <c r="C1323" s="94"/>
      <c r="D1323" s="94"/>
      <c r="E1323" s="94"/>
      <c r="F1323" s="60">
        <f>ПЛАТЕЖИ[[#This Row],[СЎМ]]+(ПЛАТЕЖИ[[#This Row],[ВАЛЮТА]]*ПЛАТЕЖИ[[#This Row],[КУРС]])</f>
        <v>0</v>
      </c>
      <c r="G1323" s="93"/>
      <c r="I1323" s="165"/>
    </row>
    <row r="1324" spans="1:9" ht="15" customHeight="1" x14ac:dyDescent="0.3">
      <c r="A1324" s="92"/>
      <c r="B1324" s="93"/>
      <c r="C1324" s="94"/>
      <c r="D1324" s="94"/>
      <c r="E1324" s="94"/>
      <c r="F1324" s="60">
        <f>ПЛАТЕЖИ[[#This Row],[СЎМ]]+(ПЛАТЕЖИ[[#This Row],[ВАЛЮТА]]*ПЛАТЕЖИ[[#This Row],[КУРС]])</f>
        <v>0</v>
      </c>
      <c r="G1324" s="93"/>
      <c r="H1324" s="93"/>
      <c r="I1324" s="165"/>
    </row>
    <row r="1325" spans="1:9" ht="15" customHeight="1" x14ac:dyDescent="0.3">
      <c r="A1325" s="92"/>
      <c r="B1325" s="93"/>
      <c r="C1325" s="94"/>
      <c r="D1325" s="94"/>
      <c r="E1325" s="94"/>
      <c r="F1325" s="60">
        <f>ПЛАТЕЖИ[[#This Row],[СЎМ]]+(ПЛАТЕЖИ[[#This Row],[ВАЛЮТА]]*ПЛАТЕЖИ[[#This Row],[КУРС]])</f>
        <v>0</v>
      </c>
      <c r="G1325" s="93"/>
      <c r="I1325" s="165"/>
    </row>
    <row r="1326" spans="1:9" ht="15" customHeight="1" x14ac:dyDescent="0.3">
      <c r="A1326" s="164"/>
      <c r="B1326" s="93"/>
      <c r="C1326" s="94"/>
      <c r="D1326" s="94"/>
      <c r="E1326" s="94"/>
      <c r="F1326" s="60">
        <f>ПЛАТЕЖИ[[#This Row],[СЎМ]]+(ПЛАТЕЖИ[[#This Row],[ВАЛЮТА]]*ПЛАТЕЖИ[[#This Row],[КУРС]])</f>
        <v>0</v>
      </c>
      <c r="G1326" s="93"/>
      <c r="I1326" s="165"/>
    </row>
    <row r="1327" spans="1:9" ht="15" customHeight="1" x14ac:dyDescent="0.3">
      <c r="A1327" s="92"/>
      <c r="B1327" s="93"/>
      <c r="C1327" s="94"/>
      <c r="D1327" s="94"/>
      <c r="E1327" s="94"/>
      <c r="F1327" s="60">
        <f>ПЛАТЕЖИ[[#This Row],[СЎМ]]+(ПЛАТЕЖИ[[#This Row],[ВАЛЮТА]]*ПЛАТЕЖИ[[#This Row],[КУРС]])</f>
        <v>0</v>
      </c>
      <c r="G1327" s="93"/>
      <c r="I1327" s="165"/>
    </row>
    <row r="1328" spans="1:9" ht="15" customHeight="1" x14ac:dyDescent="0.3">
      <c r="A1328" s="92"/>
      <c r="B1328" s="93"/>
      <c r="C1328" s="94"/>
      <c r="D1328" s="94"/>
      <c r="E1328" s="94"/>
      <c r="F1328" s="60">
        <f>ПЛАТЕЖИ[[#This Row],[СЎМ]]+(ПЛАТЕЖИ[[#This Row],[ВАЛЮТА]]*ПЛАТЕЖИ[[#This Row],[КУРС]])</f>
        <v>0</v>
      </c>
      <c r="G1328" s="93"/>
      <c r="I1328" s="165"/>
    </row>
    <row r="1329" spans="1:9" ht="15" customHeight="1" x14ac:dyDescent="0.3">
      <c r="A1329" s="92"/>
      <c r="B1329" s="93"/>
      <c r="C1329" s="94"/>
      <c r="D1329" s="94"/>
      <c r="E1329" s="94"/>
      <c r="F1329" s="60">
        <f>ПЛАТЕЖИ[[#This Row],[СЎМ]]+(ПЛАТЕЖИ[[#This Row],[ВАЛЮТА]]*ПЛАТЕЖИ[[#This Row],[КУРС]])</f>
        <v>0</v>
      </c>
      <c r="G1329" s="93"/>
      <c r="H1329" s="93"/>
      <c r="I1329" s="165"/>
    </row>
    <row r="1330" spans="1:9" ht="15" customHeight="1" x14ac:dyDescent="0.3">
      <c r="A1330" s="92"/>
      <c r="B1330" s="93"/>
      <c r="C1330" s="94"/>
      <c r="D1330" s="94"/>
      <c r="E1330" s="94"/>
      <c r="F1330" s="60">
        <f>ПЛАТЕЖИ[[#This Row],[СЎМ]]+(ПЛАТЕЖИ[[#This Row],[ВАЛЮТА]]*ПЛАТЕЖИ[[#This Row],[КУРС]])</f>
        <v>0</v>
      </c>
      <c r="G1330" s="93"/>
      <c r="H1330" s="93"/>
      <c r="I1330" s="165"/>
    </row>
    <row r="1331" spans="1:9" ht="15" customHeight="1" x14ac:dyDescent="0.3">
      <c r="A1331" s="92"/>
      <c r="B1331" s="93"/>
      <c r="C1331" s="94"/>
      <c r="D1331" s="94"/>
      <c r="E1331" s="94"/>
      <c r="F1331" s="60">
        <f>ПЛАТЕЖИ[[#This Row],[СЎМ]]+(ПЛАТЕЖИ[[#This Row],[ВАЛЮТА]]*ПЛАТЕЖИ[[#This Row],[КУРС]])</f>
        <v>0</v>
      </c>
      <c r="G1331" s="93"/>
      <c r="H1331" s="93"/>
      <c r="I1331" s="165"/>
    </row>
    <row r="1332" spans="1:9" ht="15" customHeight="1" x14ac:dyDescent="0.3">
      <c r="A1332" s="92"/>
      <c r="B1332" s="93"/>
      <c r="C1332" s="94"/>
      <c r="D1332" s="94"/>
      <c r="E1332" s="94"/>
      <c r="F1332" s="60">
        <f>ПЛАТЕЖИ[[#This Row],[СЎМ]]+(ПЛАТЕЖИ[[#This Row],[ВАЛЮТА]]*ПЛАТЕЖИ[[#This Row],[КУРС]])</f>
        <v>0</v>
      </c>
      <c r="G1332" s="93"/>
      <c r="H1332" s="93"/>
      <c r="I1332" s="165"/>
    </row>
    <row r="1333" spans="1:9" ht="15" customHeight="1" x14ac:dyDescent="0.3">
      <c r="A1333" s="92"/>
      <c r="B1333" s="93"/>
      <c r="C1333" s="94"/>
      <c r="D1333" s="94"/>
      <c r="E1333" s="94"/>
      <c r="F1333" s="60">
        <f>ПЛАТЕЖИ[[#This Row],[СЎМ]]+(ПЛАТЕЖИ[[#This Row],[ВАЛЮТА]]*ПЛАТЕЖИ[[#This Row],[КУРС]])</f>
        <v>0</v>
      </c>
      <c r="G1333" s="93"/>
      <c r="H1333" s="93"/>
      <c r="I1333" s="165"/>
    </row>
    <row r="1334" spans="1:9" ht="15" customHeight="1" x14ac:dyDescent="0.3">
      <c r="A1334" s="92"/>
      <c r="B1334" s="93"/>
      <c r="C1334" s="94"/>
      <c r="D1334" s="94"/>
      <c r="E1334" s="94"/>
      <c r="F1334" s="60">
        <f>ПЛАТЕЖИ[[#This Row],[СЎМ]]+(ПЛАТЕЖИ[[#This Row],[ВАЛЮТА]]*ПЛАТЕЖИ[[#This Row],[КУРС]])</f>
        <v>0</v>
      </c>
      <c r="G1334" s="93"/>
      <c r="H1334" s="93"/>
      <c r="I1334" s="165"/>
    </row>
    <row r="1335" spans="1:9" ht="15" customHeight="1" x14ac:dyDescent="0.3">
      <c r="A1335" s="137"/>
      <c r="B1335" s="93"/>
      <c r="C1335" s="132"/>
      <c r="D1335" s="132"/>
      <c r="E1335" s="132"/>
      <c r="F1335" s="60">
        <f>ПЛАТЕЖИ[[#This Row],[СЎМ]]+(ПЛАТЕЖИ[[#This Row],[ВАЛЮТА]]*ПЛАТЕЖИ[[#This Row],[КУРС]])</f>
        <v>0</v>
      </c>
      <c r="G1335" s="136"/>
      <c r="H1335" s="147"/>
      <c r="I1335" s="165"/>
    </row>
    <row r="1336" spans="1:9" ht="15" customHeight="1" x14ac:dyDescent="0.3">
      <c r="A1336" s="164"/>
      <c r="B1336" s="165"/>
      <c r="C1336" s="166"/>
      <c r="D1336" s="166"/>
      <c r="E1336" s="166"/>
      <c r="F1336" s="60">
        <f>ПЛАТЕЖИ[[#This Row],[СЎМ]]+(ПЛАТЕЖИ[[#This Row],[ВАЛЮТА]]*ПЛАТЕЖИ[[#This Row],[КУРС]])</f>
        <v>0</v>
      </c>
      <c r="G1336" s="165"/>
      <c r="H1336" s="165"/>
      <c r="I1336" s="165"/>
    </row>
    <row r="1337" spans="1:9" ht="15" customHeight="1" x14ac:dyDescent="0.3">
      <c r="A1337" s="164"/>
      <c r="B1337" s="165"/>
      <c r="C1337" s="166"/>
      <c r="D1337" s="166"/>
      <c r="E1337" s="166"/>
      <c r="F1337" s="60">
        <f>ПЛАТЕЖИ[[#This Row],[СЎМ]]+(ПЛАТЕЖИ[[#This Row],[ВАЛЮТА]]*ПЛАТЕЖИ[[#This Row],[КУРС]])</f>
        <v>0</v>
      </c>
      <c r="G1337" s="165"/>
      <c r="H1337" s="165"/>
      <c r="I1337" s="165"/>
    </row>
    <row r="1338" spans="1:9" ht="15" customHeight="1" x14ac:dyDescent="0.3">
      <c r="A1338" s="164"/>
      <c r="B1338" s="165"/>
      <c r="C1338" s="166"/>
      <c r="D1338" s="166"/>
      <c r="E1338" s="166"/>
      <c r="F1338" s="60">
        <f>ПЛАТЕЖИ[[#This Row],[СЎМ]]+(ПЛАТЕЖИ[[#This Row],[ВАЛЮТА]]*ПЛАТЕЖИ[[#This Row],[КУРС]])</f>
        <v>0</v>
      </c>
      <c r="G1338" s="165"/>
      <c r="H1338" s="165"/>
      <c r="I1338" s="165"/>
    </row>
    <row r="1339" spans="1:9" ht="15" customHeight="1" x14ac:dyDescent="0.3">
      <c r="A1339" s="164"/>
      <c r="B1339" s="165"/>
      <c r="C1339" s="166"/>
      <c r="D1339" s="166"/>
      <c r="E1339" s="166"/>
      <c r="F1339" s="60">
        <f>ПЛАТЕЖИ[[#This Row],[СЎМ]]+(ПЛАТЕЖИ[[#This Row],[ВАЛЮТА]]*ПЛАТЕЖИ[[#This Row],[КУРС]])</f>
        <v>0</v>
      </c>
      <c r="G1339" s="165"/>
      <c r="H1339" s="165"/>
      <c r="I1339" s="165"/>
    </row>
    <row r="1340" spans="1:9" ht="15" customHeight="1" x14ac:dyDescent="0.3">
      <c r="A1340" s="164"/>
      <c r="B1340" s="165"/>
      <c r="C1340" s="166"/>
      <c r="D1340" s="166"/>
      <c r="E1340" s="166"/>
      <c r="F1340" s="60">
        <f>ПЛАТЕЖИ[[#This Row],[СЎМ]]+(ПЛАТЕЖИ[[#This Row],[ВАЛЮТА]]*ПЛАТЕЖИ[[#This Row],[КУРС]])</f>
        <v>0</v>
      </c>
      <c r="G1340" s="165"/>
      <c r="H1340" s="165"/>
      <c r="I1340" s="165"/>
    </row>
    <row r="1341" spans="1:9" ht="15" customHeight="1" x14ac:dyDescent="0.3">
      <c r="A1341" s="164"/>
      <c r="B1341" s="165"/>
      <c r="C1341" s="166"/>
      <c r="D1341" s="166"/>
      <c r="E1341" s="166"/>
      <c r="F1341" s="60">
        <f>ПЛАТЕЖИ[[#This Row],[СЎМ]]+(ПЛАТЕЖИ[[#This Row],[ВАЛЮТА]]*ПЛАТЕЖИ[[#This Row],[КУРС]])</f>
        <v>0</v>
      </c>
      <c r="G1341" s="165"/>
      <c r="H1341" s="165"/>
      <c r="I1341" s="165"/>
    </row>
    <row r="1342" spans="1:9" ht="15" customHeight="1" x14ac:dyDescent="0.3">
      <c r="A1342" s="164"/>
      <c r="B1342" s="165"/>
      <c r="C1342" s="166"/>
      <c r="D1342" s="166"/>
      <c r="E1342" s="166"/>
      <c r="F1342" s="60">
        <f>ПЛАТЕЖИ[[#This Row],[СЎМ]]+(ПЛАТЕЖИ[[#This Row],[ВАЛЮТА]]*ПЛАТЕЖИ[[#This Row],[КУРС]])</f>
        <v>0</v>
      </c>
      <c r="G1342" s="165"/>
      <c r="H1342" s="165"/>
      <c r="I1342" s="165"/>
    </row>
    <row r="1343" spans="1:9" ht="15" customHeight="1" x14ac:dyDescent="0.3">
      <c r="A1343" s="164"/>
      <c r="B1343" s="165"/>
      <c r="C1343" s="166"/>
      <c r="D1343" s="166"/>
      <c r="E1343" s="166"/>
      <c r="F1343" s="60">
        <f>ПЛАТЕЖИ[[#This Row],[СЎМ]]+(ПЛАТЕЖИ[[#This Row],[ВАЛЮТА]]*ПЛАТЕЖИ[[#This Row],[КУРС]])</f>
        <v>0</v>
      </c>
      <c r="G1343" s="165"/>
      <c r="H1343" s="165"/>
      <c r="I1343" s="165"/>
    </row>
    <row r="1344" spans="1:9" ht="15" customHeight="1" x14ac:dyDescent="0.3">
      <c r="A1344" s="164"/>
      <c r="B1344" s="165"/>
      <c r="C1344" s="166"/>
      <c r="D1344" s="166"/>
      <c r="E1344" s="166"/>
      <c r="F1344" s="60">
        <f>ПЛАТЕЖИ[[#This Row],[СЎМ]]+(ПЛАТЕЖИ[[#This Row],[ВАЛЮТА]]*ПЛАТЕЖИ[[#This Row],[КУРС]])</f>
        <v>0</v>
      </c>
      <c r="G1344" s="165"/>
      <c r="H1344" s="165"/>
      <c r="I1344" s="165"/>
    </row>
    <row r="1345" spans="1:9" ht="15" customHeight="1" x14ac:dyDescent="0.3">
      <c r="A1345" s="164"/>
      <c r="B1345" s="165"/>
      <c r="C1345" s="166"/>
      <c r="D1345" s="166"/>
      <c r="E1345" s="166"/>
      <c r="F1345" s="60">
        <f>ПЛАТЕЖИ[[#This Row],[СЎМ]]+(ПЛАТЕЖИ[[#This Row],[ВАЛЮТА]]*ПЛАТЕЖИ[[#This Row],[КУРС]])</f>
        <v>0</v>
      </c>
      <c r="G1345" s="165"/>
      <c r="H1345" s="165"/>
      <c r="I1345" s="165"/>
    </row>
    <row r="1346" spans="1:9" ht="15" customHeight="1" x14ac:dyDescent="0.3">
      <c r="A1346" s="164"/>
      <c r="B1346" s="165"/>
      <c r="C1346" s="166"/>
      <c r="D1346" s="166"/>
      <c r="E1346" s="166"/>
      <c r="F1346" s="60">
        <f>ПЛАТЕЖИ[[#This Row],[СЎМ]]+(ПЛАТЕЖИ[[#This Row],[ВАЛЮТА]]*ПЛАТЕЖИ[[#This Row],[КУРС]])</f>
        <v>0</v>
      </c>
      <c r="G1346" s="165"/>
      <c r="H1346" s="165"/>
      <c r="I1346" s="165"/>
    </row>
    <row r="1347" spans="1:9" ht="15" customHeight="1" x14ac:dyDescent="0.3">
      <c r="A1347" s="164"/>
      <c r="B1347" s="165"/>
      <c r="C1347" s="166"/>
      <c r="D1347" s="166"/>
      <c r="E1347" s="166"/>
      <c r="F1347" s="60">
        <f>ПЛАТЕЖИ[[#This Row],[СЎМ]]+(ПЛАТЕЖИ[[#This Row],[ВАЛЮТА]]*ПЛАТЕЖИ[[#This Row],[КУРС]])</f>
        <v>0</v>
      </c>
      <c r="G1347" s="165"/>
      <c r="H1347" s="165"/>
      <c r="I1347" s="165"/>
    </row>
    <row r="1348" spans="1:9" ht="15" customHeight="1" x14ac:dyDescent="0.3">
      <c r="A1348" s="164"/>
      <c r="B1348" s="165"/>
      <c r="C1348" s="166"/>
      <c r="D1348" s="166"/>
      <c r="E1348" s="166"/>
      <c r="F1348" s="60">
        <f>ПЛАТЕЖИ[[#This Row],[СЎМ]]+(ПЛАТЕЖИ[[#This Row],[ВАЛЮТА]]*ПЛАТЕЖИ[[#This Row],[КУРС]])</f>
        <v>0</v>
      </c>
      <c r="G1348" s="165"/>
      <c r="H1348" s="165"/>
      <c r="I1348" s="165"/>
    </row>
    <row r="1349" spans="1:9" ht="15" customHeight="1" x14ac:dyDescent="0.3">
      <c r="A1349" s="164"/>
      <c r="B1349" s="165"/>
      <c r="C1349" s="166"/>
      <c r="D1349" s="166"/>
      <c r="E1349" s="166"/>
      <c r="F1349" s="60">
        <f>ПЛАТЕЖИ[[#This Row],[СЎМ]]+(ПЛАТЕЖИ[[#This Row],[ВАЛЮТА]]*ПЛАТЕЖИ[[#This Row],[КУРС]])</f>
        <v>0</v>
      </c>
      <c r="G1349" s="165"/>
      <c r="H1349" s="165"/>
      <c r="I1349" s="165"/>
    </row>
    <row r="1350" spans="1:9" ht="15" customHeight="1" x14ac:dyDescent="0.3">
      <c r="A1350" s="164"/>
      <c r="B1350" s="165"/>
      <c r="C1350" s="166"/>
      <c r="D1350" s="166"/>
      <c r="E1350" s="166"/>
      <c r="F1350" s="60">
        <f>ПЛАТЕЖИ[[#This Row],[СЎМ]]+(ПЛАТЕЖИ[[#This Row],[ВАЛЮТА]]*ПЛАТЕЖИ[[#This Row],[КУРС]])</f>
        <v>0</v>
      </c>
      <c r="G1350" s="165"/>
      <c r="H1350" s="165"/>
      <c r="I1350" s="165"/>
    </row>
    <row r="1351" spans="1:9" ht="15" customHeight="1" x14ac:dyDescent="0.3">
      <c r="A1351" s="164"/>
      <c r="B1351" s="165"/>
      <c r="C1351" s="166"/>
      <c r="D1351" s="166"/>
      <c r="E1351" s="166"/>
      <c r="F1351" s="60">
        <f>ПЛАТЕЖИ[[#This Row],[СЎМ]]+(ПЛАТЕЖИ[[#This Row],[ВАЛЮТА]]*ПЛАТЕЖИ[[#This Row],[КУРС]])</f>
        <v>0</v>
      </c>
      <c r="G1351" s="165"/>
      <c r="H1351" s="165"/>
      <c r="I1351" s="165"/>
    </row>
    <row r="1352" spans="1:9" ht="15" customHeight="1" x14ac:dyDescent="0.3">
      <c r="A1352" s="164"/>
      <c r="B1352" s="165"/>
      <c r="C1352" s="166"/>
      <c r="D1352" s="166"/>
      <c r="E1352" s="166"/>
      <c r="F1352" s="60">
        <f>ПЛАТЕЖИ[[#This Row],[СЎМ]]+(ПЛАТЕЖИ[[#This Row],[ВАЛЮТА]]*ПЛАТЕЖИ[[#This Row],[КУРС]])</f>
        <v>0</v>
      </c>
      <c r="G1352" s="165"/>
      <c r="H1352" s="165"/>
      <c r="I1352" s="165"/>
    </row>
    <row r="1353" spans="1:9" ht="15" customHeight="1" x14ac:dyDescent="0.3">
      <c r="A1353" s="164"/>
      <c r="B1353" s="165"/>
      <c r="C1353" s="166"/>
      <c r="D1353" s="166"/>
      <c r="E1353" s="166"/>
      <c r="F1353" s="60">
        <f>ПЛАТЕЖИ[[#This Row],[СЎМ]]+(ПЛАТЕЖИ[[#This Row],[ВАЛЮТА]]*ПЛАТЕЖИ[[#This Row],[КУРС]])</f>
        <v>0</v>
      </c>
      <c r="G1353" s="165"/>
      <c r="H1353" s="165"/>
      <c r="I1353" s="165"/>
    </row>
    <row r="1354" spans="1:9" ht="15" customHeight="1" x14ac:dyDescent="0.3">
      <c r="A1354" s="164"/>
      <c r="B1354" s="165"/>
      <c r="C1354" s="166"/>
      <c r="D1354" s="166"/>
      <c r="E1354" s="166"/>
      <c r="F1354" s="60">
        <f>ПЛАТЕЖИ[[#This Row],[СЎМ]]+(ПЛАТЕЖИ[[#This Row],[ВАЛЮТА]]*ПЛАТЕЖИ[[#This Row],[КУРС]])</f>
        <v>0</v>
      </c>
      <c r="G1354" s="165"/>
      <c r="H1354" s="165"/>
      <c r="I1354" s="165"/>
    </row>
    <row r="1355" spans="1:9" ht="15" customHeight="1" x14ac:dyDescent="0.3">
      <c r="A1355" s="164"/>
      <c r="B1355" s="165"/>
      <c r="C1355" s="166"/>
      <c r="D1355" s="166"/>
      <c r="E1355" s="166"/>
      <c r="F1355" s="60">
        <f>ПЛАТЕЖИ[[#This Row],[СЎМ]]+(ПЛАТЕЖИ[[#This Row],[ВАЛЮТА]]*ПЛАТЕЖИ[[#This Row],[КУРС]])</f>
        <v>0</v>
      </c>
      <c r="G1355" s="165"/>
      <c r="H1355" s="165"/>
      <c r="I1355" s="165"/>
    </row>
    <row r="1356" spans="1:9" ht="15" customHeight="1" x14ac:dyDescent="0.3">
      <c r="A1356" s="164"/>
      <c r="B1356" s="165"/>
      <c r="C1356" s="166"/>
      <c r="D1356" s="166"/>
      <c r="E1356" s="166"/>
      <c r="F1356" s="60">
        <f>ПЛАТЕЖИ[[#This Row],[СЎМ]]+(ПЛАТЕЖИ[[#This Row],[ВАЛЮТА]]*ПЛАТЕЖИ[[#This Row],[КУРС]])</f>
        <v>0</v>
      </c>
      <c r="G1356" s="165"/>
      <c r="H1356" s="165"/>
      <c r="I1356" s="165"/>
    </row>
    <row r="1357" spans="1:9" ht="15" customHeight="1" x14ac:dyDescent="0.3">
      <c r="A1357" s="164"/>
      <c r="B1357" s="165"/>
      <c r="C1357" s="166"/>
      <c r="D1357" s="166"/>
      <c r="E1357" s="166"/>
      <c r="F1357" s="60">
        <f>ПЛАТЕЖИ[[#This Row],[СЎМ]]+(ПЛАТЕЖИ[[#This Row],[ВАЛЮТА]]*ПЛАТЕЖИ[[#This Row],[КУРС]])</f>
        <v>0</v>
      </c>
      <c r="G1357" s="165"/>
      <c r="H1357" s="165"/>
      <c r="I1357" s="165"/>
    </row>
    <row r="1358" spans="1:9" ht="15" customHeight="1" x14ac:dyDescent="0.3">
      <c r="A1358" s="164"/>
      <c r="B1358" s="165"/>
      <c r="C1358" s="166"/>
      <c r="D1358" s="166"/>
      <c r="E1358" s="166"/>
      <c r="F1358" s="60">
        <f>ПЛАТЕЖИ[[#This Row],[СЎМ]]+(ПЛАТЕЖИ[[#This Row],[ВАЛЮТА]]*ПЛАТЕЖИ[[#This Row],[КУРС]])</f>
        <v>0</v>
      </c>
      <c r="G1358" s="165"/>
      <c r="H1358" s="165"/>
      <c r="I1358" s="165"/>
    </row>
    <row r="1359" spans="1:9" ht="15" customHeight="1" x14ac:dyDescent="0.3">
      <c r="A1359" s="164"/>
      <c r="B1359" s="165"/>
      <c r="C1359" s="166"/>
      <c r="D1359" s="166"/>
      <c r="E1359" s="166"/>
      <c r="F1359" s="60">
        <f>ПЛАТЕЖИ[[#This Row],[СЎМ]]+(ПЛАТЕЖИ[[#This Row],[ВАЛЮТА]]*ПЛАТЕЖИ[[#This Row],[КУРС]])</f>
        <v>0</v>
      </c>
      <c r="G1359" s="165"/>
      <c r="I1359" s="165"/>
    </row>
    <row r="1360" spans="1:9" ht="15" customHeight="1" x14ac:dyDescent="0.3">
      <c r="A1360" s="164"/>
      <c r="B1360" s="165"/>
      <c r="C1360" s="166"/>
      <c r="D1360" s="166"/>
      <c r="E1360" s="166"/>
      <c r="F1360" s="60">
        <f>ПЛАТЕЖИ[[#This Row],[СЎМ]]+(ПЛАТЕЖИ[[#This Row],[ВАЛЮТА]]*ПЛАТЕЖИ[[#This Row],[КУРС]])</f>
        <v>0</v>
      </c>
      <c r="G1360" s="165"/>
      <c r="I1360" s="165"/>
    </row>
    <row r="1361" spans="1:9" ht="15" customHeight="1" x14ac:dyDescent="0.3">
      <c r="A1361" s="164"/>
      <c r="B1361" s="165"/>
      <c r="C1361" s="166"/>
      <c r="D1361" s="166"/>
      <c r="E1361" s="166"/>
      <c r="F1361" s="60">
        <f>ПЛАТЕЖИ[[#This Row],[СЎМ]]+(ПЛАТЕЖИ[[#This Row],[ВАЛЮТА]]*ПЛАТЕЖИ[[#This Row],[КУРС]])</f>
        <v>0</v>
      </c>
      <c r="G1361" s="165"/>
      <c r="I1361" s="165"/>
    </row>
    <row r="1362" spans="1:9" ht="15" customHeight="1" x14ac:dyDescent="0.3">
      <c r="A1362" s="164"/>
      <c r="B1362" s="165"/>
      <c r="C1362" s="166"/>
      <c r="D1362" s="166"/>
      <c r="E1362" s="166"/>
      <c r="F1362" s="60">
        <f>ПЛАТЕЖИ[[#This Row],[СЎМ]]+(ПЛАТЕЖИ[[#This Row],[ВАЛЮТА]]*ПЛАТЕЖИ[[#This Row],[КУРС]])</f>
        <v>0</v>
      </c>
      <c r="G1362" s="165"/>
      <c r="I1362" s="165"/>
    </row>
    <row r="1363" spans="1:9" ht="15" customHeight="1" x14ac:dyDescent="0.3">
      <c r="A1363" s="164"/>
      <c r="B1363" s="165"/>
      <c r="C1363" s="166"/>
      <c r="D1363" s="166"/>
      <c r="E1363" s="166"/>
      <c r="F1363" s="60">
        <f>ПЛАТЕЖИ[[#This Row],[СЎМ]]+(ПЛАТЕЖИ[[#This Row],[ВАЛЮТА]]*ПЛАТЕЖИ[[#This Row],[КУРС]])</f>
        <v>0</v>
      </c>
      <c r="G1363" s="165"/>
      <c r="I1363" s="165"/>
    </row>
    <row r="1364" spans="1:9" ht="15" customHeight="1" x14ac:dyDescent="0.3">
      <c r="A1364" s="164"/>
      <c r="B1364" s="165"/>
      <c r="C1364" s="166"/>
      <c r="D1364" s="166"/>
      <c r="E1364" s="166"/>
      <c r="F1364" s="60">
        <f>ПЛАТЕЖИ[[#This Row],[СЎМ]]+(ПЛАТЕЖИ[[#This Row],[ВАЛЮТА]]*ПЛАТЕЖИ[[#This Row],[КУРС]])</f>
        <v>0</v>
      </c>
      <c r="G1364" s="165"/>
      <c r="I1364" s="165"/>
    </row>
    <row r="1365" spans="1:9" ht="15" customHeight="1" x14ac:dyDescent="0.3">
      <c r="A1365" s="164"/>
      <c r="B1365" s="165"/>
      <c r="C1365" s="166"/>
      <c r="D1365" s="166"/>
      <c r="E1365" s="166"/>
      <c r="F1365" s="60">
        <f>ПЛАТЕЖИ[[#This Row],[СЎМ]]+(ПЛАТЕЖИ[[#This Row],[ВАЛЮТА]]*ПЛАТЕЖИ[[#This Row],[КУРС]])</f>
        <v>0</v>
      </c>
      <c r="G1365" s="165"/>
      <c r="I1365" s="165"/>
    </row>
    <row r="1366" spans="1:9" ht="15" customHeight="1" x14ac:dyDescent="0.3">
      <c r="A1366" s="164"/>
      <c r="B1366" s="165"/>
      <c r="C1366" s="166"/>
      <c r="D1366" s="166"/>
      <c r="E1366" s="166"/>
      <c r="F1366" s="60">
        <f>ПЛАТЕЖИ[[#This Row],[СЎМ]]+(ПЛАТЕЖИ[[#This Row],[ВАЛЮТА]]*ПЛАТЕЖИ[[#This Row],[КУРС]])</f>
        <v>0</v>
      </c>
      <c r="G1366" s="165"/>
      <c r="I1366" s="165"/>
    </row>
    <row r="1367" spans="1:9" ht="15" customHeight="1" x14ac:dyDescent="0.3">
      <c r="A1367" s="164"/>
      <c r="B1367" s="165"/>
      <c r="C1367" s="166"/>
      <c r="D1367" s="166"/>
      <c r="E1367" s="166"/>
      <c r="F1367" s="60">
        <f>ПЛАТЕЖИ[[#This Row],[СЎМ]]+(ПЛАТЕЖИ[[#This Row],[ВАЛЮТА]]*ПЛАТЕЖИ[[#This Row],[КУРС]])</f>
        <v>0</v>
      </c>
      <c r="G1367" s="165"/>
      <c r="H1367" s="165"/>
      <c r="I1367" s="165"/>
    </row>
    <row r="1368" spans="1:9" ht="15" customHeight="1" x14ac:dyDescent="0.3">
      <c r="A1368" s="164"/>
      <c r="B1368" s="165"/>
      <c r="C1368" s="166"/>
      <c r="D1368" s="166"/>
      <c r="E1368" s="166"/>
      <c r="F1368" s="60">
        <f>ПЛАТЕЖИ[[#This Row],[СЎМ]]+(ПЛАТЕЖИ[[#This Row],[ВАЛЮТА]]*ПЛАТЕЖИ[[#This Row],[КУРС]])</f>
        <v>0</v>
      </c>
      <c r="G1368" s="165"/>
      <c r="H1368" s="165"/>
      <c r="I1368" s="165"/>
    </row>
    <row r="1369" spans="1:9" ht="15" customHeight="1" x14ac:dyDescent="0.3">
      <c r="A1369" s="164"/>
      <c r="B1369" s="165"/>
      <c r="C1369" s="166"/>
      <c r="D1369" s="166"/>
      <c r="E1369" s="166"/>
      <c r="F1369" s="60">
        <f>ПЛАТЕЖИ[[#This Row],[СЎМ]]+(ПЛАТЕЖИ[[#This Row],[ВАЛЮТА]]*ПЛАТЕЖИ[[#This Row],[КУРС]])</f>
        <v>0</v>
      </c>
      <c r="G1369" s="165"/>
      <c r="H1369" s="165"/>
      <c r="I1369" s="165"/>
    </row>
    <row r="1370" spans="1:9" ht="15" customHeight="1" x14ac:dyDescent="0.3">
      <c r="A1370" s="164"/>
      <c r="B1370" s="165"/>
      <c r="C1370" s="166"/>
      <c r="D1370" s="166"/>
      <c r="E1370" s="166"/>
      <c r="F1370" s="60">
        <f>ПЛАТЕЖИ[[#This Row],[СЎМ]]+(ПЛАТЕЖИ[[#This Row],[ВАЛЮТА]]*ПЛАТЕЖИ[[#This Row],[КУРС]])</f>
        <v>0</v>
      </c>
      <c r="G1370" s="165"/>
      <c r="H1370" s="165"/>
      <c r="I1370" s="165"/>
    </row>
    <row r="1371" spans="1:9" ht="15" customHeight="1" x14ac:dyDescent="0.3">
      <c r="A1371" s="164"/>
      <c r="B1371" s="165"/>
      <c r="C1371" s="166"/>
      <c r="D1371" s="166"/>
      <c r="E1371" s="166"/>
      <c r="F1371" s="60">
        <f>ПЛАТЕЖИ[[#This Row],[СЎМ]]+(ПЛАТЕЖИ[[#This Row],[ВАЛЮТА]]*ПЛАТЕЖИ[[#This Row],[КУРС]])</f>
        <v>0</v>
      </c>
      <c r="G1371" s="165"/>
      <c r="H1371" s="165"/>
      <c r="I1371" s="165"/>
    </row>
    <row r="1372" spans="1:9" ht="15" customHeight="1" x14ac:dyDescent="0.3">
      <c r="A1372" s="164"/>
      <c r="B1372" s="165"/>
      <c r="C1372" s="166"/>
      <c r="D1372" s="166"/>
      <c r="E1372" s="166"/>
      <c r="F1372" s="60">
        <f>ПЛАТЕЖИ[[#This Row],[СЎМ]]+(ПЛАТЕЖИ[[#This Row],[ВАЛЮТА]]*ПЛАТЕЖИ[[#This Row],[КУРС]])</f>
        <v>0</v>
      </c>
      <c r="G1372" s="165"/>
      <c r="H1372" s="165"/>
      <c r="I1372" s="165"/>
    </row>
    <row r="1373" spans="1:9" ht="15" customHeight="1" x14ac:dyDescent="0.3">
      <c r="A1373" s="164"/>
      <c r="B1373" s="165"/>
      <c r="C1373" s="166"/>
      <c r="D1373" s="166"/>
      <c r="E1373" s="166"/>
      <c r="F1373" s="60">
        <f>ПЛАТЕЖИ[[#This Row],[СЎМ]]+(ПЛАТЕЖИ[[#This Row],[ВАЛЮТА]]*ПЛАТЕЖИ[[#This Row],[КУРС]])</f>
        <v>0</v>
      </c>
      <c r="G1373" s="165"/>
      <c r="H1373" s="165"/>
      <c r="I1373" s="165"/>
    </row>
    <row r="1374" spans="1:9" ht="15" customHeight="1" x14ac:dyDescent="0.3">
      <c r="A1374" s="164"/>
      <c r="B1374" s="165"/>
      <c r="C1374" s="166"/>
      <c r="D1374" s="166"/>
      <c r="E1374" s="166"/>
      <c r="F1374" s="60">
        <f>ПЛАТЕЖИ[[#This Row],[СЎМ]]+(ПЛАТЕЖИ[[#This Row],[ВАЛЮТА]]*ПЛАТЕЖИ[[#This Row],[КУРС]])</f>
        <v>0</v>
      </c>
      <c r="G1374" s="165"/>
      <c r="H1374" s="165"/>
      <c r="I1374" s="165"/>
    </row>
    <row r="1375" spans="1:9" ht="15" customHeight="1" x14ac:dyDescent="0.3">
      <c r="A1375" s="164"/>
      <c r="B1375" s="165"/>
      <c r="C1375" s="166"/>
      <c r="D1375" s="166"/>
      <c r="E1375" s="166"/>
      <c r="F1375" s="60">
        <f>ПЛАТЕЖИ[[#This Row],[СЎМ]]+(ПЛАТЕЖИ[[#This Row],[ВАЛЮТА]]*ПЛАТЕЖИ[[#This Row],[КУРС]])</f>
        <v>0</v>
      </c>
      <c r="G1375" s="165"/>
      <c r="H1375" s="165"/>
      <c r="I1375" s="165"/>
    </row>
    <row r="1376" spans="1:9" ht="15" customHeight="1" x14ac:dyDescent="0.3">
      <c r="A1376" s="164"/>
      <c r="B1376" s="165"/>
      <c r="C1376" s="166"/>
      <c r="D1376" s="166"/>
      <c r="E1376" s="166"/>
      <c r="F1376" s="60">
        <f>ПЛАТЕЖИ[[#This Row],[СЎМ]]+(ПЛАТЕЖИ[[#This Row],[ВАЛЮТА]]*ПЛАТЕЖИ[[#This Row],[КУРС]])</f>
        <v>0</v>
      </c>
      <c r="G1376" s="165"/>
      <c r="H1376" s="165"/>
      <c r="I1376" s="165"/>
    </row>
    <row r="1377" spans="1:9" ht="15" customHeight="1" x14ac:dyDescent="0.3">
      <c r="A1377" s="164"/>
      <c r="B1377" s="165"/>
      <c r="C1377" s="166"/>
      <c r="D1377" s="166"/>
      <c r="E1377" s="166"/>
      <c r="F1377" s="60">
        <f>ПЛАТЕЖИ[[#This Row],[СЎМ]]+(ПЛАТЕЖИ[[#This Row],[ВАЛЮТА]]*ПЛАТЕЖИ[[#This Row],[КУРС]])</f>
        <v>0</v>
      </c>
      <c r="G1377" s="165"/>
      <c r="H1377" s="165"/>
      <c r="I1377" s="165"/>
    </row>
    <row r="1378" spans="1:9" ht="15" customHeight="1" x14ac:dyDescent="0.3">
      <c r="A1378" s="164"/>
      <c r="B1378" s="165"/>
      <c r="C1378" s="166"/>
      <c r="D1378" s="166"/>
      <c r="E1378" s="166"/>
      <c r="F1378" s="60">
        <f>ПЛАТЕЖИ[[#This Row],[СЎМ]]+(ПЛАТЕЖИ[[#This Row],[ВАЛЮТА]]*ПЛАТЕЖИ[[#This Row],[КУРС]])</f>
        <v>0</v>
      </c>
      <c r="G1378" s="165"/>
      <c r="H1378" s="165"/>
      <c r="I1378" s="165"/>
    </row>
    <row r="1379" spans="1:9" ht="15" customHeight="1" x14ac:dyDescent="0.3">
      <c r="A1379" s="164"/>
      <c r="B1379" s="165"/>
      <c r="C1379" s="166"/>
      <c r="D1379" s="166"/>
      <c r="E1379" s="166"/>
      <c r="F1379" s="60">
        <f>ПЛАТЕЖИ[[#This Row],[СЎМ]]+(ПЛАТЕЖИ[[#This Row],[ВАЛЮТА]]*ПЛАТЕЖИ[[#This Row],[КУРС]])</f>
        <v>0</v>
      </c>
      <c r="G1379" s="165"/>
      <c r="H1379" s="165"/>
      <c r="I1379" s="165"/>
    </row>
    <row r="1380" spans="1:9" ht="15" customHeight="1" x14ac:dyDescent="0.3">
      <c r="F1380" s="60">
        <f>ПЛАТЕЖИ[[#This Row],[СЎМ]]+(ПЛАТЕЖИ[[#This Row],[ВАЛЮТА]]*ПЛАТЕЖИ[[#This Row],[КУРС]])</f>
        <v>0</v>
      </c>
      <c r="I1380" s="165"/>
    </row>
    <row r="1381" spans="1:9" ht="15" customHeight="1" x14ac:dyDescent="0.3">
      <c r="F1381" s="60">
        <f>ПЛАТЕЖИ[[#This Row],[СЎМ]]+(ПЛАТЕЖИ[[#This Row],[ВАЛЮТА]]*ПЛАТЕЖИ[[#This Row],[КУРС]])</f>
        <v>0</v>
      </c>
      <c r="I1381" s="165"/>
    </row>
    <row r="1382" spans="1:9" ht="15" customHeight="1" x14ac:dyDescent="0.3">
      <c r="F1382" s="60">
        <f>ПЛАТЕЖИ[[#This Row],[СЎМ]]+(ПЛАТЕЖИ[[#This Row],[ВАЛЮТА]]*ПЛАТЕЖИ[[#This Row],[КУРС]])</f>
        <v>0</v>
      </c>
      <c r="I1382" s="165"/>
    </row>
    <row r="1383" spans="1:9" ht="15" customHeight="1" x14ac:dyDescent="0.3">
      <c r="F1383" s="60">
        <f>ПЛАТЕЖИ[[#This Row],[СЎМ]]+(ПЛАТЕЖИ[[#This Row],[ВАЛЮТА]]*ПЛАТЕЖИ[[#This Row],[КУРС]])</f>
        <v>0</v>
      </c>
      <c r="I1383" s="165"/>
    </row>
    <row r="1384" spans="1:9" ht="15" customHeight="1" x14ac:dyDescent="0.3">
      <c r="F1384" s="60">
        <f>ПЛАТЕЖИ[[#This Row],[СЎМ]]+(ПЛАТЕЖИ[[#This Row],[ВАЛЮТА]]*ПЛАТЕЖИ[[#This Row],[КУРС]])</f>
        <v>0</v>
      </c>
      <c r="I1384" s="165"/>
    </row>
    <row r="1385" spans="1:9" ht="15" customHeight="1" x14ac:dyDescent="0.3">
      <c r="F1385" s="60">
        <f>ПЛАТЕЖИ[[#This Row],[СЎМ]]+(ПЛАТЕЖИ[[#This Row],[ВАЛЮТА]]*ПЛАТЕЖИ[[#This Row],[КУРС]])</f>
        <v>0</v>
      </c>
      <c r="I1385" s="165"/>
    </row>
    <row r="1386" spans="1:9" ht="15" customHeight="1" x14ac:dyDescent="0.3">
      <c r="F1386" s="60">
        <f>ПЛАТЕЖИ[[#This Row],[СЎМ]]+(ПЛАТЕЖИ[[#This Row],[ВАЛЮТА]]*ПЛАТЕЖИ[[#This Row],[КУРС]])</f>
        <v>0</v>
      </c>
      <c r="I1386" s="165"/>
    </row>
    <row r="1387" spans="1:9" ht="15" customHeight="1" x14ac:dyDescent="0.3">
      <c r="F1387" s="60">
        <f>ПЛАТЕЖИ[[#This Row],[СЎМ]]+(ПЛАТЕЖИ[[#This Row],[ВАЛЮТА]]*ПЛАТЕЖИ[[#This Row],[КУРС]])</f>
        <v>0</v>
      </c>
      <c r="I1387" s="165"/>
    </row>
    <row r="1388" spans="1:9" ht="15" customHeight="1" x14ac:dyDescent="0.3">
      <c r="F1388" s="60">
        <f>ПЛАТЕЖИ[[#This Row],[СЎМ]]+(ПЛАТЕЖИ[[#This Row],[ВАЛЮТА]]*ПЛАТЕЖИ[[#This Row],[КУРС]])</f>
        <v>0</v>
      </c>
      <c r="I1388" s="165"/>
    </row>
    <row r="1389" spans="1:9" ht="15" customHeight="1" x14ac:dyDescent="0.3">
      <c r="F1389" s="60">
        <f>ПЛАТЕЖИ[[#This Row],[СЎМ]]+(ПЛАТЕЖИ[[#This Row],[ВАЛЮТА]]*ПЛАТЕЖИ[[#This Row],[КУРС]])</f>
        <v>0</v>
      </c>
      <c r="I1389" s="165"/>
    </row>
    <row r="1390" spans="1:9" ht="15" customHeight="1" x14ac:dyDescent="0.3">
      <c r="F1390" s="60">
        <f>ПЛАТЕЖИ[[#This Row],[СЎМ]]+(ПЛАТЕЖИ[[#This Row],[ВАЛЮТА]]*ПЛАТЕЖИ[[#This Row],[КУРС]])</f>
        <v>0</v>
      </c>
      <c r="I1390" s="165"/>
    </row>
    <row r="1391" spans="1:9" ht="15" customHeight="1" x14ac:dyDescent="0.3">
      <c r="F1391" s="60">
        <f>ПЛАТЕЖИ[[#This Row],[СЎМ]]+(ПЛАТЕЖИ[[#This Row],[ВАЛЮТА]]*ПЛАТЕЖИ[[#This Row],[КУРС]])</f>
        <v>0</v>
      </c>
      <c r="I1391" s="165"/>
    </row>
    <row r="1392" spans="1:9" ht="15" customHeight="1" x14ac:dyDescent="0.3">
      <c r="F1392" s="60">
        <f>ПЛАТЕЖИ[[#This Row],[СЎМ]]+(ПЛАТЕЖИ[[#This Row],[ВАЛЮТА]]*ПЛАТЕЖИ[[#This Row],[КУРС]])</f>
        <v>0</v>
      </c>
      <c r="I1392" s="165"/>
    </row>
    <row r="1393" spans="1:9" ht="15" customHeight="1" x14ac:dyDescent="0.3">
      <c r="F1393" s="60">
        <f>ПЛАТЕЖИ[[#This Row],[СЎМ]]+(ПЛАТЕЖИ[[#This Row],[ВАЛЮТА]]*ПЛАТЕЖИ[[#This Row],[КУРС]])</f>
        <v>0</v>
      </c>
      <c r="I1393" s="165"/>
    </row>
    <row r="1394" spans="1:9" ht="15" customHeight="1" x14ac:dyDescent="0.3">
      <c r="F1394" s="60">
        <f>ПЛАТЕЖИ[[#This Row],[СЎМ]]+(ПЛАТЕЖИ[[#This Row],[ВАЛЮТА]]*ПЛАТЕЖИ[[#This Row],[КУРС]])</f>
        <v>0</v>
      </c>
      <c r="I1394" s="165"/>
    </row>
    <row r="1395" spans="1:9" ht="15" customHeight="1" x14ac:dyDescent="0.3">
      <c r="A1395" s="164"/>
      <c r="B1395" s="165"/>
      <c r="C1395" s="166"/>
      <c r="D1395" s="166"/>
      <c r="E1395" s="166"/>
      <c r="F1395" s="60">
        <f>ПЛАТЕЖИ[[#This Row],[СЎМ]]+(ПЛАТЕЖИ[[#This Row],[ВАЛЮТА]]*ПЛАТЕЖИ[[#This Row],[КУРС]])</f>
        <v>0</v>
      </c>
      <c r="G1395" s="165"/>
      <c r="H1395" s="165"/>
      <c r="I1395" s="165"/>
    </row>
    <row r="1396" spans="1:9" ht="15" customHeight="1" x14ac:dyDescent="0.3">
      <c r="A1396" s="164"/>
      <c r="B1396" s="165"/>
      <c r="C1396" s="166"/>
      <c r="D1396" s="166"/>
      <c r="E1396" s="166"/>
      <c r="F1396" s="60">
        <f>ПЛАТЕЖИ[[#This Row],[СЎМ]]+(ПЛАТЕЖИ[[#This Row],[ВАЛЮТА]]*ПЛАТЕЖИ[[#This Row],[КУРС]])</f>
        <v>0</v>
      </c>
      <c r="G1396" s="165"/>
      <c r="H1396" s="165"/>
      <c r="I1396" s="165"/>
    </row>
    <row r="1397" spans="1:9" ht="15" customHeight="1" x14ac:dyDescent="0.3">
      <c r="A1397" s="164"/>
      <c r="B1397" s="165"/>
      <c r="C1397" s="166"/>
      <c r="D1397" s="166"/>
      <c r="E1397" s="166"/>
      <c r="F1397" s="60">
        <f>ПЛАТЕЖИ[[#This Row],[СЎМ]]+(ПЛАТЕЖИ[[#This Row],[ВАЛЮТА]]*ПЛАТЕЖИ[[#This Row],[КУРС]])</f>
        <v>0</v>
      </c>
      <c r="G1397" s="165"/>
      <c r="H1397" s="165"/>
      <c r="I1397" s="165"/>
    </row>
    <row r="1398" spans="1:9" ht="15" customHeight="1" x14ac:dyDescent="0.3">
      <c r="A1398" s="164"/>
      <c r="B1398" s="165"/>
      <c r="C1398" s="166"/>
      <c r="D1398" s="166"/>
      <c r="E1398" s="166"/>
      <c r="F1398" s="60">
        <f>ПЛАТЕЖИ[[#This Row],[СЎМ]]+(ПЛАТЕЖИ[[#This Row],[ВАЛЮТА]]*ПЛАТЕЖИ[[#This Row],[КУРС]])</f>
        <v>0</v>
      </c>
      <c r="G1398" s="165"/>
      <c r="H1398" s="165"/>
      <c r="I1398" s="165"/>
    </row>
    <row r="1399" spans="1:9" ht="15" customHeight="1" x14ac:dyDescent="0.3">
      <c r="A1399" s="164"/>
      <c r="B1399" s="165"/>
      <c r="C1399" s="166"/>
      <c r="D1399" s="166"/>
      <c r="E1399" s="166"/>
      <c r="F1399" s="60">
        <f>ПЛАТЕЖИ[[#This Row],[СЎМ]]+(ПЛАТЕЖИ[[#This Row],[ВАЛЮТА]]*ПЛАТЕЖИ[[#This Row],[КУРС]])</f>
        <v>0</v>
      </c>
      <c r="G1399" s="165"/>
      <c r="H1399" s="165"/>
      <c r="I1399" s="165"/>
    </row>
    <row r="1400" spans="1:9" ht="15" customHeight="1" x14ac:dyDescent="0.3">
      <c r="A1400" s="164"/>
      <c r="B1400" s="165"/>
      <c r="C1400" s="166"/>
      <c r="D1400" s="166"/>
      <c r="E1400" s="166"/>
      <c r="F1400" s="60">
        <f>ПЛАТЕЖИ[[#This Row],[СЎМ]]+(ПЛАТЕЖИ[[#This Row],[ВАЛЮТА]]*ПЛАТЕЖИ[[#This Row],[КУРС]])</f>
        <v>0</v>
      </c>
      <c r="G1400" s="165"/>
      <c r="H1400" s="165"/>
      <c r="I1400" s="165"/>
    </row>
    <row r="1401" spans="1:9" ht="15" customHeight="1" x14ac:dyDescent="0.3">
      <c r="A1401" s="164"/>
      <c r="B1401" s="165"/>
      <c r="C1401" s="166"/>
      <c r="D1401" s="166"/>
      <c r="E1401" s="166"/>
      <c r="F1401" s="60">
        <f>ПЛАТЕЖИ[[#This Row],[СЎМ]]+(ПЛАТЕЖИ[[#This Row],[ВАЛЮТА]]*ПЛАТЕЖИ[[#This Row],[КУРС]])</f>
        <v>0</v>
      </c>
      <c r="G1401" s="165"/>
      <c r="H1401" s="165"/>
      <c r="I1401" s="165"/>
    </row>
    <row r="1402" spans="1:9" ht="15" customHeight="1" x14ac:dyDescent="0.3">
      <c r="A1402" s="164"/>
      <c r="B1402" s="165"/>
      <c r="C1402" s="166"/>
      <c r="D1402" s="166"/>
      <c r="E1402" s="166"/>
      <c r="F1402" s="60">
        <f>ПЛАТЕЖИ[[#This Row],[СЎМ]]+(ПЛАТЕЖИ[[#This Row],[ВАЛЮТА]]*ПЛАТЕЖИ[[#This Row],[КУРС]])</f>
        <v>0</v>
      </c>
      <c r="G1402" s="165"/>
      <c r="H1402" s="165"/>
      <c r="I1402" s="165"/>
    </row>
    <row r="1403" spans="1:9" ht="15" customHeight="1" x14ac:dyDescent="0.3">
      <c r="A1403" s="164"/>
      <c r="B1403" s="165"/>
      <c r="C1403" s="166"/>
      <c r="D1403" s="166"/>
      <c r="E1403" s="166"/>
      <c r="F1403" s="60">
        <f>ПЛАТЕЖИ[[#This Row],[СЎМ]]+(ПЛАТЕЖИ[[#This Row],[ВАЛЮТА]]*ПЛАТЕЖИ[[#This Row],[КУРС]])</f>
        <v>0</v>
      </c>
      <c r="G1403" s="165"/>
      <c r="H1403" s="165"/>
      <c r="I1403" s="165"/>
    </row>
    <row r="1404" spans="1:9" ht="15" customHeight="1" x14ac:dyDescent="0.3">
      <c r="A1404" s="164"/>
      <c r="B1404" s="165"/>
      <c r="C1404" s="166"/>
      <c r="D1404" s="166"/>
      <c r="E1404" s="166"/>
      <c r="F1404" s="60">
        <f>ПЛАТЕЖИ[[#This Row],[СЎМ]]+(ПЛАТЕЖИ[[#This Row],[ВАЛЮТА]]*ПЛАТЕЖИ[[#This Row],[КУРС]])</f>
        <v>0</v>
      </c>
      <c r="G1404" s="165"/>
      <c r="H1404" s="165"/>
      <c r="I1404" s="165"/>
    </row>
    <row r="1405" spans="1:9" ht="15" customHeight="1" x14ac:dyDescent="0.3">
      <c r="A1405" s="164"/>
      <c r="B1405" s="165"/>
      <c r="C1405" s="166"/>
      <c r="D1405" s="166"/>
      <c r="E1405" s="166"/>
      <c r="F1405" s="60">
        <f>ПЛАТЕЖИ[[#This Row],[СЎМ]]+(ПЛАТЕЖИ[[#This Row],[ВАЛЮТА]]*ПЛАТЕЖИ[[#This Row],[КУРС]])</f>
        <v>0</v>
      </c>
      <c r="G1405" s="165"/>
      <c r="H1405" s="165"/>
      <c r="I1405" s="165"/>
    </row>
    <row r="1406" spans="1:9" ht="15" customHeight="1" x14ac:dyDescent="0.3">
      <c r="A1406" s="164"/>
      <c r="B1406" s="165"/>
      <c r="C1406" s="166"/>
      <c r="D1406" s="166"/>
      <c r="E1406" s="166"/>
      <c r="F1406" s="60">
        <f>ПЛАТЕЖИ[[#This Row],[СЎМ]]+(ПЛАТЕЖИ[[#This Row],[ВАЛЮТА]]*ПЛАТЕЖИ[[#This Row],[КУРС]])</f>
        <v>0</v>
      </c>
      <c r="G1406" s="165"/>
      <c r="H1406" s="165"/>
      <c r="I1406" s="165"/>
    </row>
    <row r="1407" spans="1:9" ht="15" customHeight="1" x14ac:dyDescent="0.3">
      <c r="A1407" s="164"/>
      <c r="B1407" s="165"/>
      <c r="C1407" s="166"/>
      <c r="D1407" s="166"/>
      <c r="E1407" s="166"/>
      <c r="F1407" s="60">
        <f>ПЛАТЕЖИ[[#This Row],[СЎМ]]+(ПЛАТЕЖИ[[#This Row],[ВАЛЮТА]]*ПЛАТЕЖИ[[#This Row],[КУРС]])</f>
        <v>0</v>
      </c>
      <c r="G1407" s="165"/>
      <c r="H1407" s="165"/>
      <c r="I1407" s="165"/>
    </row>
    <row r="1408" spans="1:9" ht="15" customHeight="1" x14ac:dyDescent="0.3">
      <c r="A1408" s="164"/>
      <c r="B1408" s="165"/>
      <c r="C1408" s="166"/>
      <c r="D1408" s="166"/>
      <c r="E1408" s="166"/>
      <c r="F1408" s="60">
        <f>ПЛАТЕЖИ[[#This Row],[СЎМ]]+(ПЛАТЕЖИ[[#This Row],[ВАЛЮТА]]*ПЛАТЕЖИ[[#This Row],[КУРС]])</f>
        <v>0</v>
      </c>
      <c r="G1408" s="165"/>
      <c r="H1408" s="165"/>
      <c r="I1408" s="165"/>
    </row>
    <row r="1409" spans="1:9" ht="15" customHeight="1" x14ac:dyDescent="0.3">
      <c r="A1409" s="164"/>
      <c r="B1409" s="165"/>
      <c r="C1409" s="166"/>
      <c r="D1409" s="166"/>
      <c r="E1409" s="166"/>
      <c r="F1409" s="60">
        <f>ПЛАТЕЖИ[[#This Row],[СЎМ]]+(ПЛАТЕЖИ[[#This Row],[ВАЛЮТА]]*ПЛАТЕЖИ[[#This Row],[КУРС]])</f>
        <v>0</v>
      </c>
      <c r="G1409" s="165"/>
      <c r="H1409" s="165"/>
      <c r="I1409" s="165"/>
    </row>
    <row r="1410" spans="1:9" ht="15" customHeight="1" x14ac:dyDescent="0.3">
      <c r="A1410" s="164"/>
      <c r="B1410" s="165"/>
      <c r="C1410" s="166"/>
      <c r="D1410" s="166"/>
      <c r="E1410" s="166"/>
      <c r="F1410" s="60">
        <f>ПЛАТЕЖИ[[#This Row],[СЎМ]]+(ПЛАТЕЖИ[[#This Row],[ВАЛЮТА]]*ПЛАТЕЖИ[[#This Row],[КУРС]])</f>
        <v>0</v>
      </c>
      <c r="G1410" s="165"/>
      <c r="H1410" s="165"/>
      <c r="I1410" s="165"/>
    </row>
    <row r="1411" spans="1:9" ht="15" customHeight="1" x14ac:dyDescent="0.3">
      <c r="A1411" s="164"/>
      <c r="B1411" s="165"/>
      <c r="C1411" s="166"/>
      <c r="D1411" s="166"/>
      <c r="E1411" s="166"/>
      <c r="F1411" s="60">
        <f>ПЛАТЕЖИ[[#This Row],[СЎМ]]+(ПЛАТЕЖИ[[#This Row],[ВАЛЮТА]]*ПЛАТЕЖИ[[#This Row],[КУРС]])</f>
        <v>0</v>
      </c>
      <c r="G1411" s="165"/>
      <c r="H1411" s="165"/>
      <c r="I1411" s="165"/>
    </row>
    <row r="1412" spans="1:9" x14ac:dyDescent="0.3">
      <c r="A1412" s="164"/>
      <c r="B1412" s="165"/>
      <c r="C1412" s="166"/>
      <c r="D1412" s="166"/>
      <c r="E1412" s="166"/>
      <c r="F1412" s="60">
        <f>ПЛАТЕЖИ[[#This Row],[СЎМ]]+(ПЛАТЕЖИ[[#This Row],[ВАЛЮТА]]*ПЛАТЕЖИ[[#This Row],[КУРС]])</f>
        <v>0</v>
      </c>
      <c r="G1412" s="165"/>
      <c r="H1412" s="165"/>
      <c r="I1412" s="165"/>
    </row>
    <row r="1413" spans="1:9" ht="15" customHeight="1" x14ac:dyDescent="0.3">
      <c r="A1413" s="164"/>
      <c r="B1413" s="165"/>
      <c r="C1413" s="166"/>
      <c r="D1413" s="166"/>
      <c r="E1413" s="166"/>
      <c r="F1413" s="60">
        <f>ПЛАТЕЖИ[[#This Row],[СЎМ]]+(ПЛАТЕЖИ[[#This Row],[ВАЛЮТА]]*ПЛАТЕЖИ[[#This Row],[КУРС]])</f>
        <v>0</v>
      </c>
      <c r="G1413" s="165"/>
      <c r="H1413" s="165"/>
      <c r="I1413" s="165"/>
    </row>
    <row r="1414" spans="1:9" ht="15" customHeight="1" x14ac:dyDescent="0.3">
      <c r="A1414" s="164"/>
      <c r="B1414" s="165"/>
      <c r="C1414" s="166"/>
      <c r="D1414" s="166"/>
      <c r="E1414" s="166"/>
      <c r="F1414" s="60">
        <f>ПЛАТЕЖИ[[#This Row],[СЎМ]]+(ПЛАТЕЖИ[[#This Row],[ВАЛЮТА]]*ПЛАТЕЖИ[[#This Row],[КУРС]])</f>
        <v>0</v>
      </c>
      <c r="G1414" s="165"/>
      <c r="H1414" s="165"/>
      <c r="I1414" s="165"/>
    </row>
    <row r="1415" spans="1:9" ht="15" customHeight="1" x14ac:dyDescent="0.3">
      <c r="A1415" s="164"/>
      <c r="B1415" s="165"/>
      <c r="C1415" s="166"/>
      <c r="D1415" s="166"/>
      <c r="E1415" s="166"/>
      <c r="F1415" s="60">
        <f>ПЛАТЕЖИ[[#This Row],[СЎМ]]+(ПЛАТЕЖИ[[#This Row],[ВАЛЮТА]]*ПЛАТЕЖИ[[#This Row],[КУРС]])</f>
        <v>0</v>
      </c>
      <c r="G1415" s="165"/>
      <c r="H1415" s="165"/>
      <c r="I1415" s="165"/>
    </row>
    <row r="1416" spans="1:9" ht="15" customHeight="1" x14ac:dyDescent="0.3">
      <c r="A1416" s="164"/>
      <c r="B1416" s="165"/>
      <c r="C1416" s="166"/>
      <c r="D1416" s="166"/>
      <c r="E1416" s="166"/>
      <c r="F1416" s="60">
        <f>ПЛАТЕЖИ[[#This Row],[СЎМ]]+(ПЛАТЕЖИ[[#This Row],[ВАЛЮТА]]*ПЛАТЕЖИ[[#This Row],[КУРС]])</f>
        <v>0</v>
      </c>
      <c r="G1416" s="165"/>
      <c r="H1416" s="165"/>
      <c r="I1416" s="165"/>
    </row>
    <row r="1417" spans="1:9" ht="15" customHeight="1" x14ac:dyDescent="0.3">
      <c r="A1417" s="164"/>
      <c r="B1417" s="165"/>
      <c r="C1417" s="166"/>
      <c r="D1417" s="166"/>
      <c r="E1417" s="166"/>
      <c r="F1417" s="60">
        <f>ПЛАТЕЖИ[[#This Row],[СЎМ]]+(ПЛАТЕЖИ[[#This Row],[ВАЛЮТА]]*ПЛАТЕЖИ[[#This Row],[КУРС]])</f>
        <v>0</v>
      </c>
      <c r="G1417" s="165"/>
      <c r="H1417" s="165"/>
      <c r="I1417" s="165"/>
    </row>
    <row r="1418" spans="1:9" ht="15" customHeight="1" x14ac:dyDescent="0.3">
      <c r="A1418" s="164"/>
      <c r="B1418" s="165"/>
      <c r="C1418" s="166"/>
      <c r="D1418" s="166"/>
      <c r="E1418" s="166"/>
      <c r="F1418" s="60">
        <f>ПЛАТЕЖИ[[#This Row],[СЎМ]]+(ПЛАТЕЖИ[[#This Row],[ВАЛЮТА]]*ПЛАТЕЖИ[[#This Row],[КУРС]])</f>
        <v>0</v>
      </c>
      <c r="G1418" s="165"/>
      <c r="H1418" s="165"/>
      <c r="I1418" s="165"/>
    </row>
    <row r="1419" spans="1:9" ht="15" customHeight="1" x14ac:dyDescent="0.3">
      <c r="A1419" s="164"/>
      <c r="B1419" s="165"/>
      <c r="C1419" s="166"/>
      <c r="D1419" s="166"/>
      <c r="E1419" s="166"/>
      <c r="F1419" s="60">
        <f>ПЛАТЕЖИ[[#This Row],[СЎМ]]+(ПЛАТЕЖИ[[#This Row],[ВАЛЮТА]]*ПЛАТЕЖИ[[#This Row],[КУРС]])</f>
        <v>0</v>
      </c>
      <c r="G1419" s="165"/>
      <c r="H1419" s="165"/>
      <c r="I1419" s="165"/>
    </row>
    <row r="1420" spans="1:9" ht="15" customHeight="1" x14ac:dyDescent="0.3">
      <c r="A1420" s="164"/>
      <c r="B1420" s="165"/>
      <c r="C1420" s="166"/>
      <c r="D1420" s="166"/>
      <c r="E1420" s="166"/>
      <c r="F1420" s="60">
        <f>ПЛАТЕЖИ[[#This Row],[СЎМ]]+(ПЛАТЕЖИ[[#This Row],[ВАЛЮТА]]*ПЛАТЕЖИ[[#This Row],[КУРС]])</f>
        <v>0</v>
      </c>
      <c r="G1420" s="165"/>
      <c r="H1420" s="165"/>
      <c r="I1420" s="165"/>
    </row>
    <row r="1421" spans="1:9" ht="15" customHeight="1" x14ac:dyDescent="0.3">
      <c r="A1421" s="164"/>
      <c r="B1421" s="165"/>
      <c r="C1421" s="166"/>
      <c r="D1421" s="166"/>
      <c r="E1421" s="166"/>
      <c r="F1421" s="60">
        <f>ПЛАТЕЖИ[[#This Row],[СЎМ]]+(ПЛАТЕЖИ[[#This Row],[ВАЛЮТА]]*ПЛАТЕЖИ[[#This Row],[КУРС]])</f>
        <v>0</v>
      </c>
      <c r="G1421" s="165"/>
      <c r="H1421" s="165"/>
      <c r="I1421" s="165"/>
    </row>
    <row r="1422" spans="1:9" ht="15" customHeight="1" x14ac:dyDescent="0.3">
      <c r="A1422" s="164"/>
      <c r="B1422" s="165"/>
      <c r="C1422" s="166"/>
      <c r="D1422" s="166"/>
      <c r="E1422" s="166"/>
      <c r="F1422" s="60">
        <f>ПЛАТЕЖИ[[#This Row],[СЎМ]]+(ПЛАТЕЖИ[[#This Row],[ВАЛЮТА]]*ПЛАТЕЖИ[[#This Row],[КУРС]])</f>
        <v>0</v>
      </c>
      <c r="G1422" s="165"/>
      <c r="H1422" s="165"/>
      <c r="I1422" s="165"/>
    </row>
    <row r="1423" spans="1:9" ht="15" customHeight="1" x14ac:dyDescent="0.3">
      <c r="A1423" s="164"/>
      <c r="B1423" s="165"/>
      <c r="C1423" s="166"/>
      <c r="D1423" s="166"/>
      <c r="E1423" s="166"/>
      <c r="F1423" s="60">
        <f>ПЛАТЕЖИ[[#This Row],[СЎМ]]+(ПЛАТЕЖИ[[#This Row],[ВАЛЮТА]]*ПЛАТЕЖИ[[#This Row],[КУРС]])</f>
        <v>0</v>
      </c>
      <c r="G1423" s="165"/>
      <c r="H1423" s="165"/>
      <c r="I1423" s="165"/>
    </row>
    <row r="1424" spans="1:9" ht="15" customHeight="1" x14ac:dyDescent="0.3">
      <c r="A1424" s="164"/>
      <c r="B1424" s="165"/>
      <c r="C1424" s="166"/>
      <c r="D1424" s="166"/>
      <c r="E1424" s="166"/>
      <c r="F1424" s="60">
        <f>ПЛАТЕЖИ[[#This Row],[СЎМ]]+(ПЛАТЕЖИ[[#This Row],[ВАЛЮТА]]*ПЛАТЕЖИ[[#This Row],[КУРС]])</f>
        <v>0</v>
      </c>
      <c r="G1424" s="165"/>
      <c r="H1424" s="165"/>
      <c r="I1424" s="165"/>
    </row>
    <row r="1425" spans="1:9" ht="15" customHeight="1" x14ac:dyDescent="0.3">
      <c r="A1425" s="164"/>
      <c r="B1425" s="165"/>
      <c r="C1425" s="166"/>
      <c r="D1425" s="166"/>
      <c r="E1425" s="166"/>
      <c r="F1425" s="60">
        <f>ПЛАТЕЖИ[[#This Row],[СЎМ]]+(ПЛАТЕЖИ[[#This Row],[ВАЛЮТА]]*ПЛАТЕЖИ[[#This Row],[КУРС]])</f>
        <v>0</v>
      </c>
      <c r="G1425" s="165"/>
      <c r="H1425" s="165"/>
      <c r="I1425" s="165"/>
    </row>
    <row r="1426" spans="1:9" ht="15" customHeight="1" x14ac:dyDescent="0.3">
      <c r="A1426" s="164"/>
      <c r="B1426" s="165"/>
      <c r="C1426" s="166"/>
      <c r="D1426" s="166"/>
      <c r="E1426" s="166"/>
      <c r="F1426" s="60">
        <f>ПЛАТЕЖИ[[#This Row],[СЎМ]]+(ПЛАТЕЖИ[[#This Row],[ВАЛЮТА]]*ПЛАТЕЖИ[[#This Row],[КУРС]])</f>
        <v>0</v>
      </c>
      <c r="G1426" s="165"/>
      <c r="H1426" s="165"/>
      <c r="I1426" s="165"/>
    </row>
    <row r="1427" spans="1:9" ht="15" customHeight="1" x14ac:dyDescent="0.3">
      <c r="A1427" s="164"/>
      <c r="B1427" s="165"/>
      <c r="C1427" s="166"/>
      <c r="D1427" s="166"/>
      <c r="E1427" s="166"/>
      <c r="F1427" s="60">
        <f>ПЛАТЕЖИ[[#This Row],[СЎМ]]+(ПЛАТЕЖИ[[#This Row],[ВАЛЮТА]]*ПЛАТЕЖИ[[#This Row],[КУРС]])</f>
        <v>0</v>
      </c>
      <c r="G1427" s="165"/>
      <c r="H1427" s="165"/>
      <c r="I1427" s="165"/>
    </row>
    <row r="1428" spans="1:9" ht="15" customHeight="1" x14ac:dyDescent="0.3">
      <c r="A1428" s="164"/>
      <c r="B1428" s="165"/>
      <c r="C1428" s="166"/>
      <c r="D1428" s="166"/>
      <c r="E1428" s="166"/>
      <c r="F1428" s="60">
        <f>ПЛАТЕЖИ[[#This Row],[СЎМ]]+(ПЛАТЕЖИ[[#This Row],[ВАЛЮТА]]*ПЛАТЕЖИ[[#This Row],[КУРС]])</f>
        <v>0</v>
      </c>
      <c r="G1428" s="165"/>
      <c r="H1428" s="165"/>
      <c r="I1428" s="165"/>
    </row>
    <row r="1429" spans="1:9" ht="15" customHeight="1" x14ac:dyDescent="0.3">
      <c r="A1429" s="164"/>
      <c r="B1429" s="165"/>
      <c r="C1429" s="166"/>
      <c r="D1429" s="166"/>
      <c r="E1429" s="166"/>
      <c r="F1429" s="60">
        <f>ПЛАТЕЖИ[[#This Row],[СЎМ]]+(ПЛАТЕЖИ[[#This Row],[ВАЛЮТА]]*ПЛАТЕЖИ[[#This Row],[КУРС]])</f>
        <v>0</v>
      </c>
      <c r="G1429" s="165"/>
      <c r="H1429" s="165"/>
      <c r="I1429" s="165"/>
    </row>
    <row r="1430" spans="1:9" ht="15" customHeight="1" x14ac:dyDescent="0.3">
      <c r="A1430" s="164"/>
      <c r="B1430" s="165"/>
      <c r="C1430" s="166"/>
      <c r="D1430" s="166"/>
      <c r="E1430" s="166"/>
      <c r="F1430" s="60">
        <f>ПЛАТЕЖИ[[#This Row],[СЎМ]]+(ПЛАТЕЖИ[[#This Row],[ВАЛЮТА]]*ПЛАТЕЖИ[[#This Row],[КУРС]])</f>
        <v>0</v>
      </c>
      <c r="G1430" s="165"/>
      <c r="H1430" s="165"/>
      <c r="I1430" s="165"/>
    </row>
    <row r="1431" spans="1:9" ht="15" customHeight="1" x14ac:dyDescent="0.3">
      <c r="A1431" s="164"/>
      <c r="B1431" s="165"/>
      <c r="C1431" s="166"/>
      <c r="D1431" s="166"/>
      <c r="E1431" s="166"/>
      <c r="F1431" s="60">
        <f>ПЛАТЕЖИ[[#This Row],[СЎМ]]+(ПЛАТЕЖИ[[#This Row],[ВАЛЮТА]]*ПЛАТЕЖИ[[#This Row],[КУРС]])</f>
        <v>0</v>
      </c>
      <c r="G1431" s="165"/>
      <c r="H1431" s="165"/>
      <c r="I1431" s="165"/>
    </row>
    <row r="1432" spans="1:9" ht="15" customHeight="1" x14ac:dyDescent="0.3">
      <c r="A1432" s="164"/>
      <c r="B1432" s="165"/>
      <c r="C1432" s="166"/>
      <c r="D1432" s="166"/>
      <c r="E1432" s="166"/>
      <c r="F1432" s="60">
        <f>ПЛАТЕЖИ[[#This Row],[СЎМ]]+(ПЛАТЕЖИ[[#This Row],[ВАЛЮТА]]*ПЛАТЕЖИ[[#This Row],[КУРС]])</f>
        <v>0</v>
      </c>
      <c r="G1432" s="165"/>
      <c r="H1432" s="165"/>
      <c r="I1432" s="165"/>
    </row>
    <row r="1433" spans="1:9" ht="15" customHeight="1" x14ac:dyDescent="0.3">
      <c r="A1433" s="164"/>
      <c r="B1433" s="165"/>
      <c r="C1433" s="166"/>
      <c r="D1433" s="166"/>
      <c r="E1433" s="166"/>
      <c r="F1433" s="60">
        <f>ПЛАТЕЖИ[[#This Row],[СЎМ]]+(ПЛАТЕЖИ[[#This Row],[ВАЛЮТА]]*ПЛАТЕЖИ[[#This Row],[КУРС]])</f>
        <v>0</v>
      </c>
      <c r="G1433" s="165"/>
      <c r="H1433" s="165"/>
      <c r="I1433" s="165"/>
    </row>
    <row r="1434" spans="1:9" ht="15" customHeight="1" x14ac:dyDescent="0.3">
      <c r="A1434" s="164"/>
      <c r="B1434" s="165"/>
      <c r="C1434" s="166"/>
      <c r="D1434" s="166"/>
      <c r="E1434" s="166"/>
      <c r="F1434" s="60">
        <f>ПЛАТЕЖИ[[#This Row],[СЎМ]]+(ПЛАТЕЖИ[[#This Row],[ВАЛЮТА]]*ПЛАТЕЖИ[[#This Row],[КУРС]])</f>
        <v>0</v>
      </c>
      <c r="G1434" s="165"/>
      <c r="H1434" s="165"/>
      <c r="I1434" s="165"/>
    </row>
    <row r="1435" spans="1:9" ht="15" customHeight="1" x14ac:dyDescent="0.3">
      <c r="A1435" s="164"/>
      <c r="B1435" s="165"/>
      <c r="C1435" s="166"/>
      <c r="D1435" s="166"/>
      <c r="E1435" s="166"/>
      <c r="F1435" s="60">
        <f>ПЛАТЕЖИ[[#This Row],[СЎМ]]+(ПЛАТЕЖИ[[#This Row],[ВАЛЮТА]]*ПЛАТЕЖИ[[#This Row],[КУРС]])</f>
        <v>0</v>
      </c>
      <c r="G1435" s="165"/>
      <c r="H1435" s="165"/>
      <c r="I1435" s="165"/>
    </row>
    <row r="1436" spans="1:9" ht="15" customHeight="1" x14ac:dyDescent="0.3">
      <c r="A1436" s="164"/>
      <c r="B1436" s="165"/>
      <c r="C1436" s="166"/>
      <c r="D1436" s="166"/>
      <c r="E1436" s="166"/>
      <c r="F1436" s="60">
        <f>ПЛАТЕЖИ[[#This Row],[СЎМ]]+(ПЛАТЕЖИ[[#This Row],[ВАЛЮТА]]*ПЛАТЕЖИ[[#This Row],[КУРС]])</f>
        <v>0</v>
      </c>
      <c r="G1436" s="165"/>
      <c r="H1436" s="165"/>
      <c r="I1436" s="165"/>
    </row>
    <row r="1437" spans="1:9" ht="15" customHeight="1" x14ac:dyDescent="0.3">
      <c r="A1437" s="164"/>
      <c r="B1437" s="165"/>
      <c r="C1437" s="166"/>
      <c r="D1437" s="166"/>
      <c r="E1437" s="166"/>
      <c r="F1437" s="60">
        <f>ПЛАТЕЖИ[[#This Row],[СЎМ]]+(ПЛАТЕЖИ[[#This Row],[ВАЛЮТА]]*ПЛАТЕЖИ[[#This Row],[КУРС]])</f>
        <v>0</v>
      </c>
      <c r="G1437" s="165"/>
      <c r="H1437" s="165"/>
      <c r="I1437" s="165"/>
    </row>
    <row r="1438" spans="1:9" ht="15" customHeight="1" x14ac:dyDescent="0.3">
      <c r="A1438" s="164"/>
      <c r="B1438" s="165"/>
      <c r="C1438" s="166"/>
      <c r="D1438" s="166"/>
      <c r="E1438" s="166"/>
      <c r="F1438" s="60">
        <f>ПЛАТЕЖИ[[#This Row],[СЎМ]]+(ПЛАТЕЖИ[[#This Row],[ВАЛЮТА]]*ПЛАТЕЖИ[[#This Row],[КУРС]])</f>
        <v>0</v>
      </c>
      <c r="G1438" s="165"/>
      <c r="H1438" s="165"/>
      <c r="I1438" s="165"/>
    </row>
    <row r="1439" spans="1:9" ht="15" customHeight="1" x14ac:dyDescent="0.3">
      <c r="A1439" s="164"/>
      <c r="B1439" s="165"/>
      <c r="C1439" s="166"/>
      <c r="D1439" s="166"/>
      <c r="E1439" s="166"/>
      <c r="F1439" s="60">
        <f>ПЛАТЕЖИ[[#This Row],[СЎМ]]+(ПЛАТЕЖИ[[#This Row],[ВАЛЮТА]]*ПЛАТЕЖИ[[#This Row],[КУРС]])</f>
        <v>0</v>
      </c>
      <c r="G1439" s="165"/>
      <c r="H1439" s="165"/>
      <c r="I1439" s="165"/>
    </row>
    <row r="1440" spans="1:9" ht="15" customHeight="1" x14ac:dyDescent="0.3">
      <c r="A1440" s="164"/>
      <c r="B1440" s="165"/>
      <c r="C1440" s="166"/>
      <c r="D1440" s="166"/>
      <c r="E1440" s="166"/>
      <c r="F1440" s="60">
        <f>ПЛАТЕЖИ[[#This Row],[СЎМ]]+(ПЛАТЕЖИ[[#This Row],[ВАЛЮТА]]*ПЛАТЕЖИ[[#This Row],[КУРС]])</f>
        <v>0</v>
      </c>
      <c r="G1440" s="165"/>
      <c r="H1440" s="165"/>
      <c r="I1440" s="165"/>
    </row>
    <row r="1441" spans="1:9" ht="15" customHeight="1" x14ac:dyDescent="0.3">
      <c r="A1441" s="164"/>
      <c r="B1441" s="165"/>
      <c r="C1441" s="166"/>
      <c r="D1441" s="166"/>
      <c r="E1441" s="166"/>
      <c r="F1441" s="60">
        <f>ПЛАТЕЖИ[[#This Row],[СЎМ]]+(ПЛАТЕЖИ[[#This Row],[ВАЛЮТА]]*ПЛАТЕЖИ[[#This Row],[КУРС]])</f>
        <v>0</v>
      </c>
      <c r="G1441" s="165"/>
      <c r="H1441" s="165"/>
      <c r="I1441" s="165"/>
    </row>
    <row r="1442" spans="1:9" ht="15" customHeight="1" x14ac:dyDescent="0.3">
      <c r="A1442" s="164"/>
      <c r="B1442" s="165"/>
      <c r="C1442" s="166"/>
      <c r="D1442" s="166"/>
      <c r="E1442" s="166"/>
      <c r="F1442" s="60">
        <f>ПЛАТЕЖИ[[#This Row],[СЎМ]]+(ПЛАТЕЖИ[[#This Row],[ВАЛЮТА]]*ПЛАТЕЖИ[[#This Row],[КУРС]])</f>
        <v>0</v>
      </c>
      <c r="G1442" s="165"/>
      <c r="H1442" s="165"/>
      <c r="I1442" s="165"/>
    </row>
    <row r="1443" spans="1:9" ht="15" customHeight="1" x14ac:dyDescent="0.3">
      <c r="A1443" s="164"/>
      <c r="B1443" s="165"/>
      <c r="C1443" s="166"/>
      <c r="D1443" s="166"/>
      <c r="E1443" s="166"/>
      <c r="F1443" s="60">
        <f>ПЛАТЕЖИ[[#This Row],[СЎМ]]+(ПЛАТЕЖИ[[#This Row],[ВАЛЮТА]]*ПЛАТЕЖИ[[#This Row],[КУРС]])</f>
        <v>0</v>
      </c>
      <c r="G1443" s="165"/>
      <c r="H1443" s="165"/>
      <c r="I1443" s="165"/>
    </row>
    <row r="1444" spans="1:9" ht="15" customHeight="1" x14ac:dyDescent="0.3">
      <c r="A1444" s="164"/>
      <c r="B1444" s="165"/>
      <c r="C1444" s="166"/>
      <c r="D1444" s="166"/>
      <c r="E1444" s="166"/>
      <c r="F1444" s="60">
        <f>ПЛАТЕЖИ[[#This Row],[СЎМ]]+(ПЛАТЕЖИ[[#This Row],[ВАЛЮТА]]*ПЛАТЕЖИ[[#This Row],[КУРС]])</f>
        <v>0</v>
      </c>
      <c r="G1444" s="165"/>
      <c r="H1444" s="165"/>
      <c r="I1444" s="165"/>
    </row>
    <row r="1445" spans="1:9" ht="15" customHeight="1" x14ac:dyDescent="0.3">
      <c r="A1445" s="164"/>
      <c r="B1445" s="165"/>
      <c r="C1445" s="166"/>
      <c r="D1445" s="166"/>
      <c r="E1445" s="166"/>
      <c r="F1445" s="60">
        <f>ПЛАТЕЖИ[[#This Row],[СЎМ]]+(ПЛАТЕЖИ[[#This Row],[ВАЛЮТА]]*ПЛАТЕЖИ[[#This Row],[КУРС]])</f>
        <v>0</v>
      </c>
      <c r="G1445" s="165"/>
      <c r="H1445" s="165"/>
      <c r="I1445" s="165"/>
    </row>
    <row r="1446" spans="1:9" ht="15" customHeight="1" x14ac:dyDescent="0.3">
      <c r="A1446" s="164"/>
      <c r="B1446" s="165"/>
      <c r="C1446" s="166"/>
      <c r="D1446" s="166"/>
      <c r="E1446" s="166"/>
      <c r="F1446" s="60">
        <f>ПЛАТЕЖИ[[#This Row],[СЎМ]]+(ПЛАТЕЖИ[[#This Row],[ВАЛЮТА]]*ПЛАТЕЖИ[[#This Row],[КУРС]])</f>
        <v>0</v>
      </c>
      <c r="G1446" s="165"/>
      <c r="H1446" s="165"/>
      <c r="I1446" s="165"/>
    </row>
    <row r="1447" spans="1:9" ht="15" customHeight="1" x14ac:dyDescent="0.3">
      <c r="A1447" s="164"/>
      <c r="B1447" s="165"/>
      <c r="C1447" s="166"/>
      <c r="D1447" s="166"/>
      <c r="E1447" s="166"/>
      <c r="F1447" s="60">
        <f>ПЛАТЕЖИ[[#This Row],[СЎМ]]+(ПЛАТЕЖИ[[#This Row],[ВАЛЮТА]]*ПЛАТЕЖИ[[#This Row],[КУРС]])</f>
        <v>0</v>
      </c>
      <c r="G1447" s="165"/>
      <c r="H1447" s="165"/>
      <c r="I1447" s="165"/>
    </row>
    <row r="1448" spans="1:9" ht="15" customHeight="1" x14ac:dyDescent="0.3">
      <c r="A1448" s="164"/>
      <c r="B1448" s="165"/>
      <c r="C1448" s="166"/>
      <c r="D1448" s="166"/>
      <c r="E1448" s="166"/>
      <c r="F1448" s="60">
        <f>ПЛАТЕЖИ[[#This Row],[СЎМ]]+(ПЛАТЕЖИ[[#This Row],[ВАЛЮТА]]*ПЛАТЕЖИ[[#This Row],[КУРС]])</f>
        <v>0</v>
      </c>
      <c r="G1448" s="165"/>
      <c r="H1448" s="165"/>
      <c r="I1448" s="165"/>
    </row>
    <row r="1449" spans="1:9" ht="15" customHeight="1" x14ac:dyDescent="0.3">
      <c r="A1449" s="164"/>
      <c r="B1449" s="165"/>
      <c r="C1449" s="166"/>
      <c r="D1449" s="166"/>
      <c r="E1449" s="166"/>
      <c r="F1449" s="60">
        <f>ПЛАТЕЖИ[[#This Row],[СЎМ]]+(ПЛАТЕЖИ[[#This Row],[ВАЛЮТА]]*ПЛАТЕЖИ[[#This Row],[КУРС]])</f>
        <v>0</v>
      </c>
      <c r="G1449" s="165"/>
      <c r="H1449" s="165"/>
      <c r="I1449" s="165"/>
    </row>
    <row r="1450" spans="1:9" ht="15" customHeight="1" x14ac:dyDescent="0.3">
      <c r="A1450" s="164"/>
      <c r="B1450" s="165"/>
      <c r="C1450" s="166"/>
      <c r="D1450" s="166"/>
      <c r="E1450" s="166"/>
      <c r="F1450" s="60">
        <f>ПЛАТЕЖИ[[#This Row],[СЎМ]]+(ПЛАТЕЖИ[[#This Row],[ВАЛЮТА]]*ПЛАТЕЖИ[[#This Row],[КУРС]])</f>
        <v>0</v>
      </c>
      <c r="G1450" s="165"/>
      <c r="H1450" s="165"/>
      <c r="I1450" s="165"/>
    </row>
    <row r="1451" spans="1:9" ht="15" customHeight="1" x14ac:dyDescent="0.3">
      <c r="A1451" s="164"/>
      <c r="B1451" s="165"/>
      <c r="C1451" s="166"/>
      <c r="D1451" s="166"/>
      <c r="E1451" s="166"/>
      <c r="F1451" s="60">
        <f>ПЛАТЕЖИ[[#This Row],[СЎМ]]+(ПЛАТЕЖИ[[#This Row],[ВАЛЮТА]]*ПЛАТЕЖИ[[#This Row],[КУРС]])</f>
        <v>0</v>
      </c>
      <c r="G1451" s="165"/>
      <c r="H1451" s="165"/>
      <c r="I1451" s="165"/>
    </row>
    <row r="1452" spans="1:9" ht="15" customHeight="1" x14ac:dyDescent="0.3">
      <c r="A1452" s="164"/>
      <c r="B1452" s="165"/>
      <c r="C1452" s="166"/>
      <c r="D1452" s="166"/>
      <c r="E1452" s="166"/>
      <c r="F1452" s="60">
        <f>ПЛАТЕЖИ[[#This Row],[СЎМ]]+(ПЛАТЕЖИ[[#This Row],[ВАЛЮТА]]*ПЛАТЕЖИ[[#This Row],[КУРС]])</f>
        <v>0</v>
      </c>
      <c r="G1452" s="165"/>
      <c r="H1452" s="165"/>
      <c r="I1452" s="165"/>
    </row>
    <row r="1453" spans="1:9" ht="15" customHeight="1" x14ac:dyDescent="0.3">
      <c r="A1453" s="164"/>
      <c r="B1453" s="165"/>
      <c r="C1453" s="166"/>
      <c r="D1453" s="166"/>
      <c r="E1453" s="166"/>
      <c r="F1453" s="60">
        <f>ПЛАТЕЖИ[[#This Row],[СЎМ]]+(ПЛАТЕЖИ[[#This Row],[ВАЛЮТА]]*ПЛАТЕЖИ[[#This Row],[КУРС]])</f>
        <v>0</v>
      </c>
      <c r="G1453" s="165"/>
      <c r="H1453" s="165"/>
      <c r="I1453" s="165"/>
    </row>
    <row r="1454" spans="1:9" ht="15" customHeight="1" x14ac:dyDescent="0.3">
      <c r="A1454" s="164"/>
      <c r="B1454" s="165"/>
      <c r="C1454" s="166"/>
      <c r="D1454" s="166"/>
      <c r="E1454" s="166"/>
      <c r="F1454" s="60">
        <f>ПЛАТЕЖИ[[#This Row],[СЎМ]]+(ПЛАТЕЖИ[[#This Row],[ВАЛЮТА]]*ПЛАТЕЖИ[[#This Row],[КУРС]])</f>
        <v>0</v>
      </c>
      <c r="G1454" s="165"/>
      <c r="H1454" s="165"/>
      <c r="I1454" s="165"/>
    </row>
    <row r="1455" spans="1:9" ht="15" customHeight="1" x14ac:dyDescent="0.3">
      <c r="A1455" s="164"/>
      <c r="B1455" s="165"/>
      <c r="C1455" s="166"/>
      <c r="D1455" s="166"/>
      <c r="E1455" s="166"/>
      <c r="F1455" s="60">
        <f>ПЛАТЕЖИ[[#This Row],[СЎМ]]+(ПЛАТЕЖИ[[#This Row],[ВАЛЮТА]]*ПЛАТЕЖИ[[#This Row],[КУРС]])</f>
        <v>0</v>
      </c>
      <c r="G1455" s="165"/>
      <c r="H1455" s="165"/>
      <c r="I1455" s="165"/>
    </row>
    <row r="1456" spans="1:9" ht="15" customHeight="1" x14ac:dyDescent="0.3">
      <c r="A1456" s="164"/>
      <c r="B1456" s="165"/>
      <c r="C1456" s="166"/>
      <c r="D1456" s="166"/>
      <c r="E1456" s="166"/>
      <c r="F1456" s="60">
        <f>ПЛАТЕЖИ[[#This Row],[СЎМ]]+(ПЛАТЕЖИ[[#This Row],[ВАЛЮТА]]*ПЛАТЕЖИ[[#This Row],[КУРС]])</f>
        <v>0</v>
      </c>
      <c r="G1456" s="165"/>
      <c r="H1456" s="165"/>
      <c r="I1456" s="165"/>
    </row>
    <row r="1457" spans="1:9" ht="15" customHeight="1" x14ac:dyDescent="0.3">
      <c r="A1457" s="164"/>
      <c r="B1457" s="165"/>
      <c r="C1457" s="166"/>
      <c r="D1457" s="166"/>
      <c r="E1457" s="166"/>
      <c r="F1457" s="60">
        <f>ПЛАТЕЖИ[[#This Row],[СЎМ]]+(ПЛАТЕЖИ[[#This Row],[ВАЛЮТА]]*ПЛАТЕЖИ[[#This Row],[КУРС]])</f>
        <v>0</v>
      </c>
      <c r="G1457" s="165"/>
      <c r="H1457" s="165"/>
      <c r="I1457" s="165"/>
    </row>
    <row r="1458" spans="1:9" ht="15" customHeight="1" x14ac:dyDescent="0.3">
      <c r="A1458" s="164"/>
      <c r="B1458" s="165"/>
      <c r="C1458" s="166"/>
      <c r="D1458" s="166"/>
      <c r="E1458" s="166"/>
      <c r="F1458" s="60">
        <f>ПЛАТЕЖИ[[#This Row],[СЎМ]]+(ПЛАТЕЖИ[[#This Row],[ВАЛЮТА]]*ПЛАТЕЖИ[[#This Row],[КУРС]])</f>
        <v>0</v>
      </c>
      <c r="G1458" s="165"/>
      <c r="H1458" s="165"/>
      <c r="I1458" s="165"/>
    </row>
    <row r="1459" spans="1:9" ht="15" customHeight="1" x14ac:dyDescent="0.3">
      <c r="A1459" s="164"/>
      <c r="B1459" s="165"/>
      <c r="C1459" s="166"/>
      <c r="D1459" s="166"/>
      <c r="E1459" s="166"/>
      <c r="F1459" s="60">
        <f>ПЛАТЕЖИ[[#This Row],[СЎМ]]+(ПЛАТЕЖИ[[#This Row],[ВАЛЮТА]]*ПЛАТЕЖИ[[#This Row],[КУРС]])</f>
        <v>0</v>
      </c>
      <c r="G1459" s="165"/>
      <c r="H1459" s="165"/>
      <c r="I1459" s="165"/>
    </row>
    <row r="1460" spans="1:9" ht="15" customHeight="1" x14ac:dyDescent="0.3">
      <c r="A1460" s="164"/>
      <c r="B1460" s="165"/>
      <c r="C1460" s="166"/>
      <c r="D1460" s="166"/>
      <c r="E1460" s="166"/>
      <c r="F1460" s="60">
        <f>ПЛАТЕЖИ[[#This Row],[СЎМ]]+(ПЛАТЕЖИ[[#This Row],[ВАЛЮТА]]*ПЛАТЕЖИ[[#This Row],[КУРС]])</f>
        <v>0</v>
      </c>
      <c r="G1460" s="165"/>
      <c r="H1460" s="165"/>
      <c r="I1460" s="165"/>
    </row>
    <row r="1461" spans="1:9" ht="15" customHeight="1" x14ac:dyDescent="0.3">
      <c r="A1461" s="164"/>
      <c r="B1461" s="165"/>
      <c r="C1461" s="166"/>
      <c r="D1461" s="166"/>
      <c r="E1461" s="166"/>
      <c r="F1461" s="60">
        <f>ПЛАТЕЖИ[[#This Row],[СЎМ]]+(ПЛАТЕЖИ[[#This Row],[ВАЛЮТА]]*ПЛАТЕЖИ[[#This Row],[КУРС]])</f>
        <v>0</v>
      </c>
      <c r="G1461" s="165"/>
      <c r="H1461" s="165"/>
      <c r="I1461" s="165"/>
    </row>
    <row r="1462" spans="1:9" ht="15" customHeight="1" x14ac:dyDescent="0.3">
      <c r="A1462" s="164"/>
      <c r="B1462" s="165"/>
      <c r="C1462" s="166"/>
      <c r="D1462" s="166"/>
      <c r="E1462" s="166"/>
      <c r="F1462" s="60">
        <f>ПЛАТЕЖИ[[#This Row],[СЎМ]]+(ПЛАТЕЖИ[[#This Row],[ВАЛЮТА]]*ПЛАТЕЖИ[[#This Row],[КУРС]])</f>
        <v>0</v>
      </c>
      <c r="G1462" s="165"/>
      <c r="H1462" s="165"/>
      <c r="I1462" s="165"/>
    </row>
    <row r="1463" spans="1:9" ht="15" customHeight="1" x14ac:dyDescent="0.3">
      <c r="A1463" s="164"/>
      <c r="B1463" s="165"/>
      <c r="C1463" s="166"/>
      <c r="D1463" s="166"/>
      <c r="E1463" s="166"/>
      <c r="F1463" s="60">
        <f>ПЛАТЕЖИ[[#This Row],[СЎМ]]+(ПЛАТЕЖИ[[#This Row],[ВАЛЮТА]]*ПЛАТЕЖИ[[#This Row],[КУРС]])</f>
        <v>0</v>
      </c>
      <c r="G1463" s="165"/>
      <c r="H1463" s="165"/>
      <c r="I1463" s="165"/>
    </row>
    <row r="1464" spans="1:9" ht="15" customHeight="1" x14ac:dyDescent="0.3">
      <c r="A1464" s="164"/>
      <c r="B1464" s="165"/>
      <c r="C1464" s="166"/>
      <c r="D1464" s="166"/>
      <c r="E1464" s="166"/>
      <c r="F1464" s="60">
        <f>ПЛАТЕЖИ[[#This Row],[СЎМ]]+(ПЛАТЕЖИ[[#This Row],[ВАЛЮТА]]*ПЛАТЕЖИ[[#This Row],[КУРС]])</f>
        <v>0</v>
      </c>
      <c r="G1464" s="165"/>
      <c r="H1464" s="165"/>
      <c r="I1464" s="165"/>
    </row>
    <row r="1465" spans="1:9" ht="15" customHeight="1" x14ac:dyDescent="0.3">
      <c r="A1465" s="164"/>
      <c r="B1465" s="165"/>
      <c r="C1465" s="166"/>
      <c r="D1465" s="166"/>
      <c r="E1465" s="166"/>
      <c r="F1465" s="60">
        <f>ПЛАТЕЖИ[[#This Row],[СЎМ]]+(ПЛАТЕЖИ[[#This Row],[ВАЛЮТА]]*ПЛАТЕЖИ[[#This Row],[КУРС]])</f>
        <v>0</v>
      </c>
      <c r="G1465" s="165"/>
      <c r="H1465" s="165"/>
      <c r="I1465" s="165"/>
    </row>
    <row r="1466" spans="1:9" ht="15" customHeight="1" x14ac:dyDescent="0.3">
      <c r="A1466" s="164"/>
      <c r="B1466" s="165"/>
      <c r="C1466" s="166"/>
      <c r="D1466" s="166"/>
      <c r="E1466" s="166"/>
      <c r="F1466" s="60">
        <f>ПЛАТЕЖИ[[#This Row],[СЎМ]]+(ПЛАТЕЖИ[[#This Row],[ВАЛЮТА]]*ПЛАТЕЖИ[[#This Row],[КУРС]])</f>
        <v>0</v>
      </c>
      <c r="G1466" s="165"/>
      <c r="H1466" s="165"/>
      <c r="I1466" s="165"/>
    </row>
    <row r="1467" spans="1:9" ht="15" customHeight="1" x14ac:dyDescent="0.3">
      <c r="A1467" s="164"/>
      <c r="B1467" s="165"/>
      <c r="C1467" s="166"/>
      <c r="D1467" s="166"/>
      <c r="E1467" s="166"/>
      <c r="F1467" s="60">
        <f>ПЛАТЕЖИ[[#This Row],[СЎМ]]+(ПЛАТЕЖИ[[#This Row],[ВАЛЮТА]]*ПЛАТЕЖИ[[#This Row],[КУРС]])</f>
        <v>0</v>
      </c>
      <c r="G1467" s="165"/>
      <c r="H1467" s="165"/>
      <c r="I1467" s="165"/>
    </row>
    <row r="1468" spans="1:9" ht="15" customHeight="1" x14ac:dyDescent="0.3">
      <c r="A1468" s="164"/>
      <c r="B1468" s="165"/>
      <c r="C1468" s="166"/>
      <c r="D1468" s="166"/>
      <c r="E1468" s="166"/>
      <c r="F1468" s="60">
        <f>ПЛАТЕЖИ[[#This Row],[СЎМ]]+(ПЛАТЕЖИ[[#This Row],[ВАЛЮТА]]*ПЛАТЕЖИ[[#This Row],[КУРС]])</f>
        <v>0</v>
      </c>
      <c r="G1468" s="165"/>
      <c r="H1468" s="165"/>
      <c r="I1468" s="165"/>
    </row>
    <row r="1469" spans="1:9" ht="15" customHeight="1" x14ac:dyDescent="0.3">
      <c r="A1469" s="164"/>
      <c r="B1469" s="165"/>
      <c r="C1469" s="166"/>
      <c r="D1469" s="166"/>
      <c r="E1469" s="166"/>
      <c r="F1469" s="60">
        <f>ПЛАТЕЖИ[[#This Row],[СЎМ]]+(ПЛАТЕЖИ[[#This Row],[ВАЛЮТА]]*ПЛАТЕЖИ[[#This Row],[КУРС]])</f>
        <v>0</v>
      </c>
      <c r="G1469" s="165"/>
      <c r="H1469" s="165"/>
      <c r="I1469" s="165"/>
    </row>
    <row r="1470" spans="1:9" ht="15" customHeight="1" x14ac:dyDescent="0.3">
      <c r="A1470" s="164"/>
      <c r="B1470" s="165"/>
      <c r="C1470" s="166"/>
      <c r="D1470" s="166"/>
      <c r="E1470" s="166"/>
      <c r="F1470" s="60">
        <f>ПЛАТЕЖИ[[#This Row],[СЎМ]]+(ПЛАТЕЖИ[[#This Row],[ВАЛЮТА]]*ПЛАТЕЖИ[[#This Row],[КУРС]])</f>
        <v>0</v>
      </c>
      <c r="G1470" s="165"/>
      <c r="H1470" s="165"/>
      <c r="I1470" s="165"/>
    </row>
    <row r="1471" spans="1:9" ht="15" customHeight="1" x14ac:dyDescent="0.3">
      <c r="A1471" s="164"/>
      <c r="B1471" s="165"/>
      <c r="C1471" s="166"/>
      <c r="D1471" s="166"/>
      <c r="E1471" s="166"/>
      <c r="F1471" s="60">
        <f>ПЛАТЕЖИ[[#This Row],[СЎМ]]+(ПЛАТЕЖИ[[#This Row],[ВАЛЮТА]]*ПЛАТЕЖИ[[#This Row],[КУРС]])</f>
        <v>0</v>
      </c>
      <c r="G1471" s="165"/>
      <c r="H1471" s="165"/>
      <c r="I1471" s="165"/>
    </row>
    <row r="1472" spans="1:9" ht="15" customHeight="1" x14ac:dyDescent="0.3">
      <c r="A1472" s="164"/>
      <c r="B1472" s="165"/>
      <c r="C1472" s="166"/>
      <c r="D1472" s="166"/>
      <c r="E1472" s="166"/>
      <c r="F1472" s="60">
        <f>ПЛАТЕЖИ[[#This Row],[СЎМ]]+(ПЛАТЕЖИ[[#This Row],[ВАЛЮТА]]*ПЛАТЕЖИ[[#This Row],[КУРС]])</f>
        <v>0</v>
      </c>
      <c r="G1472" s="165"/>
      <c r="H1472" s="165"/>
      <c r="I1472" s="165"/>
    </row>
    <row r="1473" spans="1:9" ht="15" customHeight="1" x14ac:dyDescent="0.3">
      <c r="A1473" s="164"/>
      <c r="B1473" s="165"/>
      <c r="C1473" s="166"/>
      <c r="D1473" s="166"/>
      <c r="E1473" s="166"/>
      <c r="F1473" s="60">
        <f>ПЛАТЕЖИ[[#This Row],[СЎМ]]+(ПЛАТЕЖИ[[#This Row],[ВАЛЮТА]]*ПЛАТЕЖИ[[#This Row],[КУРС]])</f>
        <v>0</v>
      </c>
      <c r="G1473" s="165"/>
      <c r="H1473" s="165"/>
      <c r="I1473" s="165"/>
    </row>
    <row r="1474" spans="1:9" ht="15" customHeight="1" x14ac:dyDescent="0.3">
      <c r="A1474" s="164"/>
      <c r="B1474" s="165"/>
      <c r="C1474" s="166"/>
      <c r="D1474" s="166"/>
      <c r="E1474" s="166"/>
      <c r="F1474" s="60">
        <f>ПЛАТЕЖИ[[#This Row],[СЎМ]]+(ПЛАТЕЖИ[[#This Row],[ВАЛЮТА]]*ПЛАТЕЖИ[[#This Row],[КУРС]])</f>
        <v>0</v>
      </c>
      <c r="G1474" s="165"/>
      <c r="H1474" s="165"/>
      <c r="I1474" s="165"/>
    </row>
    <row r="1475" spans="1:9" ht="15" customHeight="1" x14ac:dyDescent="0.3">
      <c r="A1475" s="164"/>
      <c r="B1475" s="165"/>
      <c r="C1475" s="166"/>
      <c r="D1475" s="166"/>
      <c r="E1475" s="166"/>
      <c r="F1475" s="60">
        <f>ПЛАТЕЖИ[[#This Row],[СЎМ]]+(ПЛАТЕЖИ[[#This Row],[ВАЛЮТА]]*ПЛАТЕЖИ[[#This Row],[КУРС]])</f>
        <v>0</v>
      </c>
      <c r="G1475" s="165"/>
      <c r="H1475" s="165"/>
      <c r="I1475" s="165"/>
    </row>
    <row r="1476" spans="1:9" ht="15" customHeight="1" x14ac:dyDescent="0.3">
      <c r="A1476" s="164"/>
      <c r="B1476" s="165"/>
      <c r="C1476" s="166"/>
      <c r="D1476" s="166"/>
      <c r="E1476" s="166"/>
      <c r="F1476" s="60">
        <f>ПЛАТЕЖИ[[#This Row],[СЎМ]]+(ПЛАТЕЖИ[[#This Row],[ВАЛЮТА]]*ПЛАТЕЖИ[[#This Row],[КУРС]])</f>
        <v>0</v>
      </c>
      <c r="G1476" s="165"/>
      <c r="H1476" s="165"/>
      <c r="I1476" s="165"/>
    </row>
    <row r="1477" spans="1:9" ht="15" customHeight="1" x14ac:dyDescent="0.3">
      <c r="A1477" s="164"/>
      <c r="B1477" s="165"/>
      <c r="C1477" s="166"/>
      <c r="D1477" s="166"/>
      <c r="E1477" s="166"/>
      <c r="F1477" s="60">
        <f>ПЛАТЕЖИ[[#This Row],[СЎМ]]+(ПЛАТЕЖИ[[#This Row],[ВАЛЮТА]]*ПЛАТЕЖИ[[#This Row],[КУРС]])</f>
        <v>0</v>
      </c>
      <c r="G1477" s="165"/>
      <c r="H1477" s="165"/>
      <c r="I1477" s="165"/>
    </row>
    <row r="1478" spans="1:9" ht="15" customHeight="1" x14ac:dyDescent="0.3">
      <c r="A1478" s="164"/>
      <c r="B1478" s="165"/>
      <c r="C1478" s="166"/>
      <c r="D1478" s="166"/>
      <c r="E1478" s="166"/>
      <c r="F1478" s="60">
        <f>ПЛАТЕЖИ[[#This Row],[СЎМ]]+(ПЛАТЕЖИ[[#This Row],[ВАЛЮТА]]*ПЛАТЕЖИ[[#This Row],[КУРС]])</f>
        <v>0</v>
      </c>
      <c r="G1478" s="165"/>
      <c r="H1478" s="165"/>
      <c r="I1478" s="165"/>
    </row>
    <row r="1479" spans="1:9" ht="15" customHeight="1" x14ac:dyDescent="0.3">
      <c r="A1479" s="164"/>
      <c r="B1479" s="165"/>
      <c r="C1479" s="166"/>
      <c r="D1479" s="166"/>
      <c r="E1479" s="166"/>
      <c r="F1479" s="60">
        <f>ПЛАТЕЖИ[[#This Row],[СЎМ]]+(ПЛАТЕЖИ[[#This Row],[ВАЛЮТА]]*ПЛАТЕЖИ[[#This Row],[КУРС]])</f>
        <v>0</v>
      </c>
      <c r="G1479" s="165"/>
      <c r="H1479" s="165"/>
      <c r="I1479" s="165"/>
    </row>
    <row r="1480" spans="1:9" ht="15" customHeight="1" x14ac:dyDescent="0.3">
      <c r="A1480" s="164"/>
      <c r="B1480" s="165"/>
      <c r="C1480" s="166"/>
      <c r="D1480" s="166"/>
      <c r="E1480" s="166"/>
      <c r="F1480" s="60">
        <f>ПЛАТЕЖИ[[#This Row],[СЎМ]]+(ПЛАТЕЖИ[[#This Row],[ВАЛЮТА]]*ПЛАТЕЖИ[[#This Row],[КУРС]])</f>
        <v>0</v>
      </c>
      <c r="G1480" s="165"/>
      <c r="H1480" s="165"/>
      <c r="I1480" s="165"/>
    </row>
    <row r="1481" spans="1:9" ht="15" customHeight="1" x14ac:dyDescent="0.3">
      <c r="A1481" s="164"/>
      <c r="B1481" s="165"/>
      <c r="C1481" s="166"/>
      <c r="D1481" s="166"/>
      <c r="E1481" s="166"/>
      <c r="F1481" s="60">
        <f>ПЛАТЕЖИ[[#This Row],[СЎМ]]+(ПЛАТЕЖИ[[#This Row],[ВАЛЮТА]]*ПЛАТЕЖИ[[#This Row],[КУРС]])</f>
        <v>0</v>
      </c>
      <c r="G1481" s="165"/>
      <c r="H1481" s="165"/>
      <c r="I1481" s="165"/>
    </row>
    <row r="1482" spans="1:9" ht="15" customHeight="1" x14ac:dyDescent="0.3">
      <c r="A1482" s="164"/>
      <c r="B1482" s="165"/>
      <c r="C1482" s="166"/>
      <c r="D1482" s="166"/>
      <c r="E1482" s="166"/>
      <c r="F1482" s="60">
        <f>ПЛАТЕЖИ[[#This Row],[СЎМ]]+(ПЛАТЕЖИ[[#This Row],[ВАЛЮТА]]*ПЛАТЕЖИ[[#This Row],[КУРС]])</f>
        <v>0</v>
      </c>
      <c r="G1482" s="165"/>
      <c r="H1482" s="165"/>
      <c r="I1482" s="165"/>
    </row>
    <row r="1483" spans="1:9" ht="15" customHeight="1" x14ac:dyDescent="0.3">
      <c r="A1483" s="164"/>
      <c r="B1483" s="165"/>
      <c r="C1483" s="166"/>
      <c r="D1483" s="166"/>
      <c r="E1483" s="166"/>
      <c r="F1483" s="60">
        <f>ПЛАТЕЖИ[[#This Row],[СЎМ]]+(ПЛАТЕЖИ[[#This Row],[ВАЛЮТА]]*ПЛАТЕЖИ[[#This Row],[КУРС]])</f>
        <v>0</v>
      </c>
      <c r="G1483" s="165"/>
      <c r="H1483" s="165"/>
      <c r="I1483" s="165"/>
    </row>
    <row r="1484" spans="1:9" ht="15" customHeight="1" x14ac:dyDescent="0.3">
      <c r="A1484" s="164"/>
      <c r="B1484" s="165"/>
      <c r="C1484" s="166"/>
      <c r="D1484" s="166"/>
      <c r="E1484" s="166"/>
      <c r="F1484" s="60">
        <f>ПЛАТЕЖИ[[#This Row],[СЎМ]]+(ПЛАТЕЖИ[[#This Row],[ВАЛЮТА]]*ПЛАТЕЖИ[[#This Row],[КУРС]])</f>
        <v>0</v>
      </c>
      <c r="G1484" s="165"/>
      <c r="H1484" s="165"/>
      <c r="I1484" s="165"/>
    </row>
    <row r="1485" spans="1:9" ht="15" customHeight="1" x14ac:dyDescent="0.3">
      <c r="A1485" s="164"/>
      <c r="B1485" s="165"/>
      <c r="C1485" s="166"/>
      <c r="D1485" s="166"/>
      <c r="E1485" s="166"/>
      <c r="F1485" s="60">
        <f>ПЛАТЕЖИ[[#This Row],[СЎМ]]+(ПЛАТЕЖИ[[#This Row],[ВАЛЮТА]]*ПЛАТЕЖИ[[#This Row],[КУРС]])</f>
        <v>0</v>
      </c>
      <c r="G1485" s="165"/>
      <c r="H1485" s="165"/>
      <c r="I1485" s="165"/>
    </row>
    <row r="1486" spans="1:9" ht="15" customHeight="1" x14ac:dyDescent="0.3">
      <c r="A1486" s="164"/>
      <c r="B1486" s="165"/>
      <c r="C1486" s="166"/>
      <c r="D1486" s="166"/>
      <c r="E1486" s="166"/>
      <c r="F1486" s="60">
        <f>ПЛАТЕЖИ[[#This Row],[СЎМ]]+(ПЛАТЕЖИ[[#This Row],[ВАЛЮТА]]*ПЛАТЕЖИ[[#This Row],[КУРС]])</f>
        <v>0</v>
      </c>
      <c r="G1486" s="165"/>
      <c r="H1486" s="165"/>
      <c r="I1486" s="165"/>
    </row>
    <row r="1487" spans="1:9" ht="15" customHeight="1" x14ac:dyDescent="0.3">
      <c r="A1487" s="164"/>
      <c r="B1487" s="165"/>
      <c r="C1487" s="166"/>
      <c r="D1487" s="166"/>
      <c r="E1487" s="166"/>
      <c r="F1487" s="60">
        <f>ПЛАТЕЖИ[[#This Row],[СЎМ]]+(ПЛАТЕЖИ[[#This Row],[ВАЛЮТА]]*ПЛАТЕЖИ[[#This Row],[КУРС]])</f>
        <v>0</v>
      </c>
      <c r="G1487" s="165"/>
      <c r="H1487" s="165"/>
      <c r="I1487" s="165"/>
    </row>
    <row r="1488" spans="1:9" ht="15" customHeight="1" x14ac:dyDescent="0.3">
      <c r="A1488" s="164"/>
      <c r="B1488" s="165"/>
      <c r="C1488" s="166"/>
      <c r="D1488" s="166"/>
      <c r="E1488" s="166"/>
      <c r="F1488" s="60">
        <f>ПЛАТЕЖИ[[#This Row],[СЎМ]]+(ПЛАТЕЖИ[[#This Row],[ВАЛЮТА]]*ПЛАТЕЖИ[[#This Row],[КУРС]])</f>
        <v>0</v>
      </c>
      <c r="G1488" s="165"/>
      <c r="H1488" s="165"/>
      <c r="I1488" s="165"/>
    </row>
    <row r="1489" spans="1:9" ht="15" customHeight="1" x14ac:dyDescent="0.3">
      <c r="A1489" s="164"/>
      <c r="B1489" s="165"/>
      <c r="C1489" s="166"/>
      <c r="D1489" s="166"/>
      <c r="E1489" s="166"/>
      <c r="F1489" s="60">
        <f>ПЛАТЕЖИ[[#This Row],[СЎМ]]+(ПЛАТЕЖИ[[#This Row],[ВАЛЮТА]]*ПЛАТЕЖИ[[#This Row],[КУРС]])</f>
        <v>0</v>
      </c>
      <c r="G1489" s="165"/>
      <c r="H1489" s="165"/>
      <c r="I1489" s="165"/>
    </row>
    <row r="1490" spans="1:9" ht="15" customHeight="1" x14ac:dyDescent="0.3">
      <c r="A1490" s="164"/>
      <c r="B1490" s="165"/>
      <c r="C1490" s="166"/>
      <c r="D1490" s="166"/>
      <c r="E1490" s="166"/>
      <c r="F1490" s="60">
        <f>ПЛАТЕЖИ[[#This Row],[СЎМ]]+(ПЛАТЕЖИ[[#This Row],[ВАЛЮТА]]*ПЛАТЕЖИ[[#This Row],[КУРС]])</f>
        <v>0</v>
      </c>
      <c r="G1490" s="165"/>
      <c r="H1490" s="165"/>
      <c r="I1490" s="165"/>
    </row>
    <row r="1491" spans="1:9" ht="15" customHeight="1" x14ac:dyDescent="0.3">
      <c r="A1491" s="164"/>
      <c r="B1491" s="165"/>
      <c r="C1491" s="166"/>
      <c r="D1491" s="166"/>
      <c r="E1491" s="166"/>
      <c r="F1491" s="60">
        <f>ПЛАТЕЖИ[[#This Row],[СЎМ]]+(ПЛАТЕЖИ[[#This Row],[ВАЛЮТА]]*ПЛАТЕЖИ[[#This Row],[КУРС]])</f>
        <v>0</v>
      </c>
      <c r="G1491" s="165"/>
      <c r="H1491" s="165"/>
      <c r="I1491" s="165"/>
    </row>
    <row r="1492" spans="1:9" ht="15" customHeight="1" x14ac:dyDescent="0.3">
      <c r="A1492" s="164"/>
      <c r="B1492" s="165"/>
      <c r="C1492" s="166"/>
      <c r="D1492" s="166"/>
      <c r="E1492" s="166"/>
      <c r="F1492" s="60">
        <f>ПЛАТЕЖИ[[#This Row],[СЎМ]]+(ПЛАТЕЖИ[[#This Row],[ВАЛЮТА]]*ПЛАТЕЖИ[[#This Row],[КУРС]])</f>
        <v>0</v>
      </c>
      <c r="G1492" s="165"/>
      <c r="H1492" s="165"/>
      <c r="I1492" s="165"/>
    </row>
    <row r="1493" spans="1:9" ht="15" customHeight="1" x14ac:dyDescent="0.3">
      <c r="A1493" s="164"/>
      <c r="B1493" s="165"/>
      <c r="C1493" s="166"/>
      <c r="D1493" s="166"/>
      <c r="E1493" s="166"/>
      <c r="F1493" s="60">
        <f>ПЛАТЕЖИ[[#This Row],[СЎМ]]+(ПЛАТЕЖИ[[#This Row],[ВАЛЮТА]]*ПЛАТЕЖИ[[#This Row],[КУРС]])</f>
        <v>0</v>
      </c>
      <c r="G1493" s="165"/>
      <c r="H1493" s="165"/>
      <c r="I1493" s="165"/>
    </row>
    <row r="1494" spans="1:9" ht="15" customHeight="1" x14ac:dyDescent="0.3">
      <c r="A1494" s="164"/>
      <c r="B1494" s="165"/>
      <c r="C1494" s="166"/>
      <c r="D1494" s="166"/>
      <c r="E1494" s="166"/>
      <c r="F1494" s="60">
        <f>ПЛАТЕЖИ[[#This Row],[СЎМ]]+(ПЛАТЕЖИ[[#This Row],[ВАЛЮТА]]*ПЛАТЕЖИ[[#This Row],[КУРС]])</f>
        <v>0</v>
      </c>
      <c r="G1494" s="165"/>
      <c r="H1494" s="165"/>
      <c r="I1494" s="165"/>
    </row>
    <row r="1495" spans="1:9" ht="15" customHeight="1" x14ac:dyDescent="0.3">
      <c r="A1495" s="164"/>
      <c r="B1495" s="165"/>
      <c r="C1495" s="166"/>
      <c r="D1495" s="166"/>
      <c r="E1495" s="166"/>
      <c r="F1495" s="60">
        <f>ПЛАТЕЖИ[[#This Row],[СЎМ]]+(ПЛАТЕЖИ[[#This Row],[ВАЛЮТА]]*ПЛАТЕЖИ[[#This Row],[КУРС]])</f>
        <v>0</v>
      </c>
      <c r="G1495" s="165"/>
      <c r="H1495" s="165"/>
      <c r="I1495" s="165"/>
    </row>
    <row r="1496" spans="1:9" ht="15" customHeight="1" x14ac:dyDescent="0.3">
      <c r="A1496" s="164"/>
      <c r="B1496" s="165"/>
      <c r="C1496" s="166"/>
      <c r="D1496" s="166"/>
      <c r="E1496" s="166"/>
      <c r="F1496" s="60">
        <f>ПЛАТЕЖИ[[#This Row],[СЎМ]]+(ПЛАТЕЖИ[[#This Row],[ВАЛЮТА]]*ПЛАТЕЖИ[[#This Row],[КУРС]])</f>
        <v>0</v>
      </c>
      <c r="G1496" s="165"/>
      <c r="H1496" s="165"/>
      <c r="I1496" s="165"/>
    </row>
    <row r="1497" spans="1:9" ht="15" customHeight="1" x14ac:dyDescent="0.3">
      <c r="A1497" s="164"/>
      <c r="B1497" s="165"/>
      <c r="C1497" s="166"/>
      <c r="D1497" s="166"/>
      <c r="E1497" s="166"/>
      <c r="F1497" s="60">
        <f>ПЛАТЕЖИ[[#This Row],[СЎМ]]+(ПЛАТЕЖИ[[#This Row],[ВАЛЮТА]]*ПЛАТЕЖИ[[#This Row],[КУРС]])</f>
        <v>0</v>
      </c>
      <c r="G1497" s="165"/>
      <c r="H1497" s="165"/>
      <c r="I1497" s="165"/>
    </row>
    <row r="1498" spans="1:9" ht="15" customHeight="1" x14ac:dyDescent="0.3">
      <c r="A1498" s="164"/>
      <c r="B1498" s="165"/>
      <c r="C1498" s="166"/>
      <c r="D1498" s="166"/>
      <c r="E1498" s="166"/>
      <c r="F1498" s="60">
        <f>ПЛАТЕЖИ[[#This Row],[СЎМ]]+(ПЛАТЕЖИ[[#This Row],[ВАЛЮТА]]*ПЛАТЕЖИ[[#This Row],[КУРС]])</f>
        <v>0</v>
      </c>
      <c r="G1498" s="165"/>
      <c r="H1498" s="165"/>
      <c r="I1498" s="165"/>
    </row>
    <row r="1499" spans="1:9" ht="15" customHeight="1" x14ac:dyDescent="0.3">
      <c r="A1499" s="164"/>
      <c r="B1499" s="165"/>
      <c r="C1499" s="166"/>
      <c r="D1499" s="166"/>
      <c r="E1499" s="166"/>
      <c r="F1499" s="60">
        <f>ПЛАТЕЖИ[[#This Row],[СЎМ]]+(ПЛАТЕЖИ[[#This Row],[ВАЛЮТА]]*ПЛАТЕЖИ[[#This Row],[КУРС]])</f>
        <v>0</v>
      </c>
      <c r="G1499" s="165"/>
      <c r="H1499" s="165"/>
      <c r="I1499" s="165"/>
    </row>
    <row r="1500" spans="1:9" ht="15" customHeight="1" x14ac:dyDescent="0.3">
      <c r="A1500" s="164"/>
      <c r="B1500" s="165"/>
      <c r="C1500" s="166"/>
      <c r="D1500" s="166"/>
      <c r="E1500" s="166"/>
      <c r="F1500" s="60">
        <f>ПЛАТЕЖИ[[#This Row],[СЎМ]]+(ПЛАТЕЖИ[[#This Row],[ВАЛЮТА]]*ПЛАТЕЖИ[[#This Row],[КУРС]])</f>
        <v>0</v>
      </c>
      <c r="G1500" s="165"/>
      <c r="H1500" s="165"/>
      <c r="I1500" s="165"/>
    </row>
    <row r="1501" spans="1:9" ht="15" customHeight="1" x14ac:dyDescent="0.3">
      <c r="A1501" s="164"/>
      <c r="B1501" s="165"/>
      <c r="C1501" s="166"/>
      <c r="D1501" s="166"/>
      <c r="E1501" s="166"/>
      <c r="F1501" s="60">
        <f>ПЛАТЕЖИ[[#This Row],[СЎМ]]+(ПЛАТЕЖИ[[#This Row],[ВАЛЮТА]]*ПЛАТЕЖИ[[#This Row],[КУРС]])</f>
        <v>0</v>
      </c>
      <c r="G1501" s="165"/>
      <c r="H1501" s="165"/>
      <c r="I1501" s="165"/>
    </row>
    <row r="1502" spans="1:9" ht="15" customHeight="1" x14ac:dyDescent="0.3">
      <c r="A1502" s="164"/>
      <c r="B1502" s="165"/>
      <c r="C1502" s="166"/>
      <c r="D1502" s="166"/>
      <c r="E1502" s="166"/>
      <c r="F1502" s="60">
        <f>ПЛАТЕЖИ[[#This Row],[СЎМ]]+(ПЛАТЕЖИ[[#This Row],[ВАЛЮТА]]*ПЛАТЕЖИ[[#This Row],[КУРС]])</f>
        <v>0</v>
      </c>
      <c r="G1502" s="165"/>
      <c r="H1502" s="165"/>
      <c r="I1502" s="165"/>
    </row>
    <row r="1503" spans="1:9" ht="15" customHeight="1" x14ac:dyDescent="0.3">
      <c r="A1503" s="164"/>
      <c r="B1503" s="165"/>
      <c r="C1503" s="166"/>
      <c r="D1503" s="166"/>
      <c r="E1503" s="166"/>
      <c r="F1503" s="60">
        <f>ПЛАТЕЖИ[[#This Row],[СЎМ]]+(ПЛАТЕЖИ[[#This Row],[ВАЛЮТА]]*ПЛАТЕЖИ[[#This Row],[КУРС]])</f>
        <v>0</v>
      </c>
      <c r="G1503" s="165"/>
      <c r="H1503" s="165"/>
      <c r="I1503" s="165"/>
    </row>
    <row r="1504" spans="1:9" ht="15" customHeight="1" x14ac:dyDescent="0.3">
      <c r="A1504" s="164"/>
      <c r="B1504" s="165"/>
      <c r="C1504" s="166"/>
      <c r="D1504" s="166"/>
      <c r="E1504" s="166"/>
      <c r="F1504" s="60">
        <f>ПЛАТЕЖИ[[#This Row],[СЎМ]]+(ПЛАТЕЖИ[[#This Row],[ВАЛЮТА]]*ПЛАТЕЖИ[[#This Row],[КУРС]])</f>
        <v>0</v>
      </c>
      <c r="G1504" s="165"/>
      <c r="H1504" s="165"/>
      <c r="I1504" s="165"/>
    </row>
    <row r="1505" spans="1:9" ht="15" customHeight="1" x14ac:dyDescent="0.3">
      <c r="A1505" s="164"/>
      <c r="B1505" s="165"/>
      <c r="C1505" s="166"/>
      <c r="D1505" s="166"/>
      <c r="E1505" s="166"/>
      <c r="F1505" s="60">
        <f>ПЛАТЕЖИ[[#This Row],[СЎМ]]+(ПЛАТЕЖИ[[#This Row],[ВАЛЮТА]]*ПЛАТЕЖИ[[#This Row],[КУРС]])</f>
        <v>0</v>
      </c>
      <c r="G1505" s="165"/>
      <c r="H1505" s="165"/>
      <c r="I1505" s="165"/>
    </row>
    <row r="1506" spans="1:9" ht="15" customHeight="1" x14ac:dyDescent="0.3">
      <c r="A1506" s="164"/>
      <c r="B1506" s="165"/>
      <c r="C1506" s="166"/>
      <c r="D1506" s="166"/>
      <c r="E1506" s="166"/>
      <c r="F1506" s="60">
        <f>ПЛАТЕЖИ[[#This Row],[СЎМ]]+(ПЛАТЕЖИ[[#This Row],[ВАЛЮТА]]*ПЛАТЕЖИ[[#This Row],[КУРС]])</f>
        <v>0</v>
      </c>
      <c r="G1506" s="165"/>
      <c r="H1506" s="165"/>
      <c r="I1506" s="165"/>
    </row>
    <row r="1507" spans="1:9" ht="15" customHeight="1" x14ac:dyDescent="0.3">
      <c r="A1507" s="164"/>
      <c r="B1507" s="165"/>
      <c r="C1507" s="166"/>
      <c r="D1507" s="166"/>
      <c r="E1507" s="166"/>
      <c r="F1507" s="60">
        <f>ПЛАТЕЖИ[[#This Row],[СЎМ]]+(ПЛАТЕЖИ[[#This Row],[ВАЛЮТА]]*ПЛАТЕЖИ[[#This Row],[КУРС]])</f>
        <v>0</v>
      </c>
      <c r="G1507" s="165"/>
      <c r="H1507" s="165"/>
      <c r="I1507" s="165"/>
    </row>
    <row r="1508" spans="1:9" ht="15" customHeight="1" x14ac:dyDescent="0.3">
      <c r="A1508" s="164"/>
      <c r="B1508" s="165"/>
      <c r="C1508" s="166"/>
      <c r="D1508" s="166"/>
      <c r="E1508" s="166"/>
      <c r="F1508" s="60">
        <f>ПЛАТЕЖИ[[#This Row],[СЎМ]]+(ПЛАТЕЖИ[[#This Row],[ВАЛЮТА]]*ПЛАТЕЖИ[[#This Row],[КУРС]])</f>
        <v>0</v>
      </c>
      <c r="G1508" s="165"/>
      <c r="H1508" s="165"/>
      <c r="I1508" s="165"/>
    </row>
    <row r="1509" spans="1:9" ht="15" customHeight="1" x14ac:dyDescent="0.3">
      <c r="A1509" s="164"/>
      <c r="B1509" s="165"/>
      <c r="C1509" s="166"/>
      <c r="D1509" s="166"/>
      <c r="E1509" s="166"/>
      <c r="F1509" s="60">
        <f>ПЛАТЕЖИ[[#This Row],[СЎМ]]+(ПЛАТЕЖИ[[#This Row],[ВАЛЮТА]]*ПЛАТЕЖИ[[#This Row],[КУРС]])</f>
        <v>0</v>
      </c>
      <c r="G1509" s="165"/>
      <c r="H1509" s="165"/>
      <c r="I1509" s="165"/>
    </row>
    <row r="1510" spans="1:9" ht="15" customHeight="1" x14ac:dyDescent="0.3">
      <c r="A1510" s="164"/>
      <c r="B1510" s="165"/>
      <c r="C1510" s="166"/>
      <c r="D1510" s="166"/>
      <c r="E1510" s="166"/>
      <c r="F1510" s="60">
        <f>ПЛАТЕЖИ[[#This Row],[СЎМ]]+(ПЛАТЕЖИ[[#This Row],[ВАЛЮТА]]*ПЛАТЕЖИ[[#This Row],[КУРС]])</f>
        <v>0</v>
      </c>
      <c r="G1510" s="165"/>
      <c r="H1510" s="165"/>
      <c r="I1510" s="165"/>
    </row>
    <row r="1511" spans="1:9" ht="15" customHeight="1" x14ac:dyDescent="0.3">
      <c r="A1511" s="164"/>
      <c r="B1511" s="165"/>
      <c r="C1511" s="166"/>
      <c r="D1511" s="166"/>
      <c r="E1511" s="166"/>
      <c r="F1511" s="60">
        <f>ПЛАТЕЖИ[[#This Row],[СЎМ]]+(ПЛАТЕЖИ[[#This Row],[ВАЛЮТА]]*ПЛАТЕЖИ[[#This Row],[КУРС]])</f>
        <v>0</v>
      </c>
      <c r="G1511" s="165"/>
      <c r="H1511" s="165"/>
      <c r="I1511" s="165"/>
    </row>
    <row r="1512" spans="1:9" ht="15" customHeight="1" x14ac:dyDescent="0.3">
      <c r="A1512" s="164"/>
      <c r="B1512" s="165"/>
      <c r="C1512" s="166"/>
      <c r="D1512" s="166"/>
      <c r="E1512" s="166"/>
      <c r="F1512" s="60">
        <f>ПЛАТЕЖИ[[#This Row],[СЎМ]]+(ПЛАТЕЖИ[[#This Row],[ВАЛЮТА]]*ПЛАТЕЖИ[[#This Row],[КУРС]])</f>
        <v>0</v>
      </c>
      <c r="G1512" s="165"/>
      <c r="H1512" s="165"/>
      <c r="I1512" s="165"/>
    </row>
    <row r="1513" spans="1:9" ht="15" customHeight="1" x14ac:dyDescent="0.3">
      <c r="A1513" s="164"/>
      <c r="B1513" s="165"/>
      <c r="C1513" s="166"/>
      <c r="D1513" s="166"/>
      <c r="E1513" s="166"/>
      <c r="F1513" s="60">
        <f>ПЛАТЕЖИ[[#This Row],[СЎМ]]+(ПЛАТЕЖИ[[#This Row],[ВАЛЮТА]]*ПЛАТЕЖИ[[#This Row],[КУРС]])</f>
        <v>0</v>
      </c>
      <c r="G1513" s="165"/>
      <c r="H1513" s="165"/>
      <c r="I1513" s="165"/>
    </row>
    <row r="1514" spans="1:9" ht="15" customHeight="1" x14ac:dyDescent="0.3">
      <c r="A1514" s="164"/>
      <c r="B1514" s="165"/>
      <c r="C1514" s="166"/>
      <c r="D1514" s="166"/>
      <c r="E1514" s="166"/>
      <c r="F1514" s="60">
        <f>ПЛАТЕЖИ[[#This Row],[СЎМ]]+(ПЛАТЕЖИ[[#This Row],[ВАЛЮТА]]*ПЛАТЕЖИ[[#This Row],[КУРС]])</f>
        <v>0</v>
      </c>
      <c r="G1514" s="165"/>
      <c r="H1514" s="165"/>
      <c r="I1514" s="165"/>
    </row>
    <row r="1515" spans="1:9" x14ac:dyDescent="0.3">
      <c r="A1515" s="164"/>
      <c r="B1515" s="165"/>
      <c r="C1515" s="166"/>
      <c r="D1515" s="166"/>
      <c r="E1515" s="166"/>
      <c r="F1515" s="60">
        <f>ПЛАТЕЖИ[[#This Row],[СЎМ]]+(ПЛАТЕЖИ[[#This Row],[ВАЛЮТА]]*ПЛАТЕЖИ[[#This Row],[КУРС]])</f>
        <v>0</v>
      </c>
      <c r="G1515" s="165"/>
      <c r="H1515" s="165"/>
      <c r="I1515" s="165"/>
    </row>
    <row r="1516" spans="1:9" ht="15" customHeight="1" x14ac:dyDescent="0.3">
      <c r="A1516" s="164"/>
      <c r="B1516" s="165"/>
      <c r="C1516" s="166"/>
      <c r="D1516" s="166"/>
      <c r="E1516" s="166"/>
      <c r="F1516" s="60">
        <f>ПЛАТЕЖИ[[#This Row],[СЎМ]]+(ПЛАТЕЖИ[[#This Row],[ВАЛЮТА]]*ПЛАТЕЖИ[[#This Row],[КУРС]])</f>
        <v>0</v>
      </c>
      <c r="G1516" s="165"/>
      <c r="H1516" s="165"/>
      <c r="I1516" s="165"/>
    </row>
    <row r="1517" spans="1:9" ht="15" customHeight="1" x14ac:dyDescent="0.3">
      <c r="A1517" s="164"/>
      <c r="B1517" s="165"/>
      <c r="C1517" s="166"/>
      <c r="D1517" s="166"/>
      <c r="E1517" s="166"/>
      <c r="F1517" s="60">
        <f>ПЛАТЕЖИ[[#This Row],[СЎМ]]+(ПЛАТЕЖИ[[#This Row],[ВАЛЮТА]]*ПЛАТЕЖИ[[#This Row],[КУРС]])</f>
        <v>0</v>
      </c>
      <c r="G1517" s="165"/>
      <c r="H1517" s="165"/>
      <c r="I1517" s="165"/>
    </row>
    <row r="1518" spans="1:9" ht="15" customHeight="1" x14ac:dyDescent="0.3">
      <c r="A1518" s="164"/>
      <c r="B1518" s="165"/>
      <c r="C1518" s="166"/>
      <c r="D1518" s="166"/>
      <c r="E1518" s="166"/>
      <c r="F1518" s="60">
        <f>ПЛАТЕЖИ[[#This Row],[СЎМ]]+(ПЛАТЕЖИ[[#This Row],[ВАЛЮТА]]*ПЛАТЕЖИ[[#This Row],[КУРС]])</f>
        <v>0</v>
      </c>
      <c r="G1518" s="165"/>
      <c r="H1518" s="165"/>
      <c r="I1518" s="165"/>
    </row>
    <row r="1519" spans="1:9" ht="15" customHeight="1" x14ac:dyDescent="0.3">
      <c r="A1519" s="164"/>
      <c r="B1519" s="165"/>
      <c r="C1519" s="166"/>
      <c r="D1519" s="166"/>
      <c r="E1519" s="166"/>
      <c r="F1519" s="60">
        <f>ПЛАТЕЖИ[[#This Row],[СЎМ]]+(ПЛАТЕЖИ[[#This Row],[ВАЛЮТА]]*ПЛАТЕЖИ[[#This Row],[КУРС]])</f>
        <v>0</v>
      </c>
      <c r="G1519" s="165"/>
      <c r="H1519" s="165"/>
      <c r="I1519" s="165"/>
    </row>
    <row r="1520" spans="1:9" ht="15" customHeight="1" x14ac:dyDescent="0.3">
      <c r="A1520" s="164"/>
      <c r="B1520" s="165"/>
      <c r="C1520" s="166"/>
      <c r="D1520" s="166"/>
      <c r="E1520" s="166"/>
      <c r="F1520" s="60">
        <f>ПЛАТЕЖИ[[#This Row],[СЎМ]]+(ПЛАТЕЖИ[[#This Row],[ВАЛЮТА]]*ПЛАТЕЖИ[[#This Row],[КУРС]])</f>
        <v>0</v>
      </c>
      <c r="G1520" s="165"/>
      <c r="H1520" s="165"/>
      <c r="I1520" s="165"/>
    </row>
    <row r="1521" spans="1:9" ht="15" customHeight="1" x14ac:dyDescent="0.3">
      <c r="A1521" s="164"/>
      <c r="B1521" s="165"/>
      <c r="C1521" s="166"/>
      <c r="D1521" s="166"/>
      <c r="E1521" s="166"/>
      <c r="F1521" s="60">
        <f>ПЛАТЕЖИ[[#This Row],[СЎМ]]+(ПЛАТЕЖИ[[#This Row],[ВАЛЮТА]]*ПЛАТЕЖИ[[#This Row],[КУРС]])</f>
        <v>0</v>
      </c>
      <c r="G1521" s="165"/>
      <c r="H1521" s="165"/>
      <c r="I1521" s="165"/>
    </row>
    <row r="1522" spans="1:9" ht="15" customHeight="1" x14ac:dyDescent="0.3">
      <c r="A1522" s="164"/>
      <c r="B1522" s="165"/>
      <c r="C1522" s="166"/>
      <c r="D1522" s="166"/>
      <c r="E1522" s="166"/>
      <c r="F1522" s="60">
        <f>ПЛАТЕЖИ[[#This Row],[СЎМ]]+(ПЛАТЕЖИ[[#This Row],[ВАЛЮТА]]*ПЛАТЕЖИ[[#This Row],[КУРС]])</f>
        <v>0</v>
      </c>
      <c r="G1522" s="165"/>
      <c r="H1522" s="165"/>
      <c r="I1522" s="165"/>
    </row>
    <row r="1523" spans="1:9" ht="15" customHeight="1" x14ac:dyDescent="0.3">
      <c r="A1523" s="164"/>
      <c r="B1523" s="165"/>
      <c r="C1523" s="166"/>
      <c r="D1523" s="166"/>
      <c r="E1523" s="166"/>
      <c r="F1523" s="60">
        <f>ПЛАТЕЖИ[[#This Row],[СЎМ]]+(ПЛАТЕЖИ[[#This Row],[ВАЛЮТА]]*ПЛАТЕЖИ[[#This Row],[КУРС]])</f>
        <v>0</v>
      </c>
      <c r="G1523" s="165"/>
      <c r="H1523" s="165"/>
      <c r="I1523" s="165"/>
    </row>
    <row r="1524" spans="1:9" ht="15" customHeight="1" x14ac:dyDescent="0.3">
      <c r="A1524" s="164"/>
      <c r="B1524" s="165"/>
      <c r="C1524" s="166"/>
      <c r="D1524" s="166"/>
      <c r="E1524" s="166"/>
      <c r="F1524" s="60">
        <f>ПЛАТЕЖИ[[#This Row],[СЎМ]]+(ПЛАТЕЖИ[[#This Row],[ВАЛЮТА]]*ПЛАТЕЖИ[[#This Row],[КУРС]])</f>
        <v>0</v>
      </c>
      <c r="G1524" s="165"/>
      <c r="H1524" s="165"/>
      <c r="I1524" s="165"/>
    </row>
    <row r="1525" spans="1:9" ht="15" customHeight="1" x14ac:dyDescent="0.3">
      <c r="A1525" s="164"/>
      <c r="B1525" s="165"/>
      <c r="C1525" s="166"/>
      <c r="D1525" s="166"/>
      <c r="E1525" s="166"/>
      <c r="F1525" s="60">
        <f>ПЛАТЕЖИ[[#This Row],[СЎМ]]+(ПЛАТЕЖИ[[#This Row],[ВАЛЮТА]]*ПЛАТЕЖИ[[#This Row],[КУРС]])</f>
        <v>0</v>
      </c>
      <c r="G1525" s="165"/>
      <c r="H1525" s="165"/>
      <c r="I1525" s="165"/>
    </row>
    <row r="1526" spans="1:9" ht="15" customHeight="1" x14ac:dyDescent="0.3">
      <c r="A1526" s="164"/>
      <c r="B1526" s="165"/>
      <c r="C1526" s="166"/>
      <c r="D1526" s="166"/>
      <c r="E1526" s="166"/>
      <c r="F1526" s="60">
        <f>ПЛАТЕЖИ[[#This Row],[СЎМ]]+(ПЛАТЕЖИ[[#This Row],[ВАЛЮТА]]*ПЛАТЕЖИ[[#This Row],[КУРС]])</f>
        <v>0</v>
      </c>
      <c r="G1526" s="165"/>
      <c r="H1526" s="165"/>
      <c r="I1526" s="165"/>
    </row>
    <row r="1527" spans="1:9" ht="15" customHeight="1" x14ac:dyDescent="0.3">
      <c r="A1527" s="164"/>
      <c r="B1527" s="165"/>
      <c r="C1527" s="166"/>
      <c r="D1527" s="166"/>
      <c r="E1527" s="166"/>
      <c r="F1527" s="60">
        <f>ПЛАТЕЖИ[[#This Row],[СЎМ]]+(ПЛАТЕЖИ[[#This Row],[ВАЛЮТА]]*ПЛАТЕЖИ[[#This Row],[КУРС]])</f>
        <v>0</v>
      </c>
      <c r="G1527" s="165"/>
      <c r="H1527" s="165"/>
      <c r="I1527" s="165"/>
    </row>
    <row r="1528" spans="1:9" ht="15" customHeight="1" x14ac:dyDescent="0.3">
      <c r="A1528" s="164"/>
      <c r="B1528" s="165"/>
      <c r="C1528" s="166"/>
      <c r="D1528" s="166"/>
      <c r="E1528" s="166"/>
      <c r="F1528" s="60">
        <f>ПЛАТЕЖИ[[#This Row],[СЎМ]]+(ПЛАТЕЖИ[[#This Row],[ВАЛЮТА]]*ПЛАТЕЖИ[[#This Row],[КУРС]])</f>
        <v>0</v>
      </c>
      <c r="G1528" s="165"/>
      <c r="H1528" s="165"/>
      <c r="I1528" s="165"/>
    </row>
    <row r="1529" spans="1:9" ht="15" customHeight="1" x14ac:dyDescent="0.3">
      <c r="A1529" s="164"/>
      <c r="B1529" s="165"/>
      <c r="C1529" s="166"/>
      <c r="D1529" s="166"/>
      <c r="E1529" s="166"/>
      <c r="F1529" s="60">
        <f>ПЛАТЕЖИ[[#This Row],[СЎМ]]+(ПЛАТЕЖИ[[#This Row],[ВАЛЮТА]]*ПЛАТЕЖИ[[#This Row],[КУРС]])</f>
        <v>0</v>
      </c>
      <c r="G1529" s="165"/>
      <c r="H1529" s="165"/>
      <c r="I1529" s="165"/>
    </row>
    <row r="1530" spans="1:9" ht="15" customHeight="1" x14ac:dyDescent="0.3">
      <c r="A1530" s="164"/>
      <c r="B1530" s="194"/>
      <c r="C1530" s="166"/>
      <c r="D1530" s="166"/>
      <c r="E1530" s="166"/>
      <c r="F1530" s="60">
        <f>ПЛАТЕЖИ[[#This Row],[СЎМ]]+(ПЛАТЕЖИ[[#This Row],[ВАЛЮТА]]*ПЛАТЕЖИ[[#This Row],[КУРС]])</f>
        <v>0</v>
      </c>
      <c r="G1530" s="165"/>
      <c r="H1530" s="165"/>
      <c r="I1530" s="165"/>
    </row>
    <row r="1531" spans="1:9" ht="15" customHeight="1" x14ac:dyDescent="0.3">
      <c r="A1531" s="164"/>
      <c r="B1531" s="165"/>
      <c r="C1531" s="166"/>
      <c r="D1531" s="166"/>
      <c r="E1531" s="166"/>
      <c r="F1531" s="60">
        <f>ПЛАТЕЖИ[[#This Row],[СЎМ]]+(ПЛАТЕЖИ[[#This Row],[ВАЛЮТА]]*ПЛАТЕЖИ[[#This Row],[КУРС]])</f>
        <v>0</v>
      </c>
      <c r="G1531" s="165"/>
      <c r="H1531" s="165"/>
      <c r="I1531" s="165"/>
    </row>
    <row r="1532" spans="1:9" ht="15" customHeight="1" x14ac:dyDescent="0.3">
      <c r="A1532" s="164"/>
      <c r="B1532" s="165"/>
      <c r="C1532" s="166"/>
      <c r="D1532" s="166"/>
      <c r="E1532" s="166"/>
      <c r="F1532" s="60">
        <f>ПЛАТЕЖИ[[#This Row],[СЎМ]]+(ПЛАТЕЖИ[[#This Row],[ВАЛЮТА]]*ПЛАТЕЖИ[[#This Row],[КУРС]])</f>
        <v>0</v>
      </c>
      <c r="G1532" s="165"/>
      <c r="H1532" s="165"/>
      <c r="I1532" s="165"/>
    </row>
    <row r="1533" spans="1:9" ht="15" customHeight="1" x14ac:dyDescent="0.3">
      <c r="A1533" s="164"/>
      <c r="B1533" s="165"/>
      <c r="C1533" s="166"/>
      <c r="D1533" s="166"/>
      <c r="E1533" s="166"/>
      <c r="F1533" s="60">
        <f>ПЛАТЕЖИ[[#This Row],[СЎМ]]+(ПЛАТЕЖИ[[#This Row],[ВАЛЮТА]]*ПЛАТЕЖИ[[#This Row],[КУРС]])</f>
        <v>0</v>
      </c>
      <c r="G1533" s="165"/>
      <c r="H1533" s="165"/>
      <c r="I1533" s="165"/>
    </row>
    <row r="1534" spans="1:9" ht="15" customHeight="1" x14ac:dyDescent="0.3">
      <c r="A1534" s="164"/>
      <c r="B1534" s="165"/>
      <c r="C1534" s="166"/>
      <c r="D1534" s="166"/>
      <c r="E1534" s="166"/>
      <c r="F1534" s="60">
        <f>ПЛАТЕЖИ[[#This Row],[СЎМ]]+(ПЛАТЕЖИ[[#This Row],[ВАЛЮТА]]*ПЛАТЕЖИ[[#This Row],[КУРС]])</f>
        <v>0</v>
      </c>
      <c r="G1534" s="165"/>
      <c r="H1534" s="165"/>
      <c r="I1534" s="165"/>
    </row>
    <row r="1535" spans="1:9" ht="15" customHeight="1" x14ac:dyDescent="0.3">
      <c r="A1535" s="164"/>
      <c r="B1535" s="165"/>
      <c r="C1535" s="166"/>
      <c r="D1535" s="166"/>
      <c r="E1535" s="166"/>
      <c r="F1535" s="60">
        <f>ПЛАТЕЖИ[[#This Row],[СЎМ]]+(ПЛАТЕЖИ[[#This Row],[ВАЛЮТА]]*ПЛАТЕЖИ[[#This Row],[КУРС]])</f>
        <v>0</v>
      </c>
      <c r="G1535" s="165"/>
      <c r="H1535" s="165"/>
      <c r="I1535" s="165"/>
    </row>
    <row r="1536" spans="1:9" ht="15" customHeight="1" x14ac:dyDescent="0.3">
      <c r="A1536" s="164"/>
      <c r="B1536" s="165"/>
      <c r="C1536" s="166"/>
      <c r="D1536" s="166"/>
      <c r="E1536" s="166"/>
      <c r="F1536" s="60">
        <f>ПЛАТЕЖИ[[#This Row],[СЎМ]]+(ПЛАТЕЖИ[[#This Row],[ВАЛЮТА]]*ПЛАТЕЖИ[[#This Row],[КУРС]])</f>
        <v>0</v>
      </c>
      <c r="G1536" s="165"/>
      <c r="H1536" s="165"/>
      <c r="I1536" s="165"/>
    </row>
    <row r="1537" spans="1:9" ht="15" customHeight="1" x14ac:dyDescent="0.3">
      <c r="A1537" s="164"/>
      <c r="B1537" s="165"/>
      <c r="C1537" s="166"/>
      <c r="D1537" s="166"/>
      <c r="E1537" s="166"/>
      <c r="F1537" s="60">
        <f>ПЛАТЕЖИ[[#This Row],[СЎМ]]+(ПЛАТЕЖИ[[#This Row],[ВАЛЮТА]]*ПЛАТЕЖИ[[#This Row],[КУРС]])</f>
        <v>0</v>
      </c>
      <c r="G1537" s="165"/>
      <c r="H1537" s="165"/>
      <c r="I1537" s="165"/>
    </row>
    <row r="1538" spans="1:9" ht="15" customHeight="1" x14ac:dyDescent="0.3">
      <c r="A1538" s="164"/>
      <c r="B1538" s="165"/>
      <c r="C1538" s="166"/>
      <c r="D1538" s="166"/>
      <c r="E1538" s="166"/>
      <c r="F1538" s="60">
        <f>ПЛАТЕЖИ[[#This Row],[СЎМ]]+(ПЛАТЕЖИ[[#This Row],[ВАЛЮТА]]*ПЛАТЕЖИ[[#This Row],[КУРС]])</f>
        <v>0</v>
      </c>
      <c r="G1538" s="165"/>
      <c r="H1538" s="165"/>
      <c r="I1538" s="165"/>
    </row>
    <row r="1539" spans="1:9" ht="15" customHeight="1" x14ac:dyDescent="0.3">
      <c r="A1539" s="164"/>
      <c r="B1539" s="165"/>
      <c r="C1539" s="166"/>
      <c r="D1539" s="166"/>
      <c r="E1539" s="166"/>
      <c r="F1539" s="60">
        <f>ПЛАТЕЖИ[[#This Row],[СЎМ]]+(ПЛАТЕЖИ[[#This Row],[ВАЛЮТА]]*ПЛАТЕЖИ[[#This Row],[КУРС]])</f>
        <v>0</v>
      </c>
      <c r="G1539" s="165"/>
      <c r="H1539" s="165"/>
      <c r="I1539" s="165"/>
    </row>
    <row r="1540" spans="1:9" ht="15" customHeight="1" x14ac:dyDescent="0.3">
      <c r="A1540" s="164"/>
      <c r="B1540" s="165"/>
      <c r="C1540" s="166"/>
      <c r="D1540" s="166"/>
      <c r="E1540" s="166"/>
      <c r="F1540" s="60">
        <f>ПЛАТЕЖИ[[#This Row],[СЎМ]]+(ПЛАТЕЖИ[[#This Row],[ВАЛЮТА]]*ПЛАТЕЖИ[[#This Row],[КУРС]])</f>
        <v>0</v>
      </c>
      <c r="G1540" s="165"/>
      <c r="H1540" s="165"/>
      <c r="I1540" s="165"/>
    </row>
    <row r="1541" spans="1:9" ht="15" customHeight="1" x14ac:dyDescent="0.3">
      <c r="A1541" s="164"/>
      <c r="B1541" s="165"/>
      <c r="C1541" s="166"/>
      <c r="D1541" s="166"/>
      <c r="E1541" s="166"/>
      <c r="F1541" s="60">
        <f>ПЛАТЕЖИ[[#This Row],[СЎМ]]+(ПЛАТЕЖИ[[#This Row],[ВАЛЮТА]]*ПЛАТЕЖИ[[#This Row],[КУРС]])</f>
        <v>0</v>
      </c>
      <c r="G1541" s="165"/>
      <c r="H1541" s="165"/>
      <c r="I1541" s="165"/>
    </row>
    <row r="1542" spans="1:9" ht="15" customHeight="1" x14ac:dyDescent="0.3">
      <c r="A1542" s="164"/>
      <c r="B1542" s="165"/>
      <c r="C1542" s="166"/>
      <c r="D1542" s="166"/>
      <c r="E1542" s="166"/>
      <c r="F1542" s="60">
        <f>ПЛАТЕЖИ[[#This Row],[СЎМ]]+(ПЛАТЕЖИ[[#This Row],[ВАЛЮТА]]*ПЛАТЕЖИ[[#This Row],[КУРС]])</f>
        <v>0</v>
      </c>
      <c r="G1542" s="165"/>
      <c r="H1542" s="165"/>
      <c r="I1542" s="165"/>
    </row>
    <row r="1543" spans="1:9" ht="15" customHeight="1" x14ac:dyDescent="0.3">
      <c r="A1543" s="164"/>
      <c r="B1543" s="165"/>
      <c r="C1543" s="166"/>
      <c r="D1543" s="166"/>
      <c r="E1543" s="166"/>
      <c r="F1543" s="60">
        <f>ПЛАТЕЖИ[[#This Row],[СЎМ]]+(ПЛАТЕЖИ[[#This Row],[ВАЛЮТА]]*ПЛАТЕЖИ[[#This Row],[КУРС]])</f>
        <v>0</v>
      </c>
      <c r="G1543" s="165"/>
      <c r="H1543" s="165"/>
      <c r="I1543" s="165"/>
    </row>
    <row r="1544" spans="1:9" ht="15" customHeight="1" x14ac:dyDescent="0.3">
      <c r="A1544" s="164"/>
      <c r="B1544" s="165"/>
      <c r="C1544" s="166"/>
      <c r="D1544" s="166"/>
      <c r="E1544" s="166"/>
      <c r="F1544" s="60">
        <f>ПЛАТЕЖИ[[#This Row],[СЎМ]]+(ПЛАТЕЖИ[[#This Row],[ВАЛЮТА]]*ПЛАТЕЖИ[[#This Row],[КУРС]])</f>
        <v>0</v>
      </c>
      <c r="G1544" s="165"/>
      <c r="H1544" s="165"/>
      <c r="I1544" s="165"/>
    </row>
    <row r="1545" spans="1:9" ht="15" customHeight="1" x14ac:dyDescent="0.3">
      <c r="A1545" s="164"/>
      <c r="B1545" s="165"/>
      <c r="C1545" s="166"/>
      <c r="D1545" s="166"/>
      <c r="E1545" s="166"/>
      <c r="F1545" s="60">
        <f>ПЛАТЕЖИ[[#This Row],[СЎМ]]+(ПЛАТЕЖИ[[#This Row],[ВАЛЮТА]]*ПЛАТЕЖИ[[#This Row],[КУРС]])</f>
        <v>0</v>
      </c>
      <c r="G1545" s="165"/>
      <c r="H1545" s="165"/>
      <c r="I1545" s="165"/>
    </row>
    <row r="1546" spans="1:9" ht="15" customHeight="1" x14ac:dyDescent="0.3">
      <c r="A1546" s="164"/>
      <c r="B1546" s="165"/>
      <c r="C1546" s="166"/>
      <c r="D1546" s="166"/>
      <c r="E1546" s="166"/>
      <c r="F1546" s="60">
        <f>ПЛАТЕЖИ[[#This Row],[СЎМ]]+(ПЛАТЕЖИ[[#This Row],[ВАЛЮТА]]*ПЛАТЕЖИ[[#This Row],[КУРС]])</f>
        <v>0</v>
      </c>
      <c r="G1546" s="165"/>
      <c r="H1546" s="165"/>
      <c r="I1546" s="165"/>
    </row>
    <row r="1547" spans="1:9" ht="15" customHeight="1" x14ac:dyDescent="0.3">
      <c r="A1547" s="164"/>
      <c r="B1547" s="165"/>
      <c r="C1547" s="166"/>
      <c r="D1547" s="166"/>
      <c r="E1547" s="166"/>
      <c r="F1547" s="60">
        <f>ПЛАТЕЖИ[[#This Row],[СЎМ]]+(ПЛАТЕЖИ[[#This Row],[ВАЛЮТА]]*ПЛАТЕЖИ[[#This Row],[КУРС]])</f>
        <v>0</v>
      </c>
      <c r="G1547" s="165"/>
      <c r="H1547" s="165"/>
      <c r="I1547" s="165"/>
    </row>
    <row r="1548" spans="1:9" ht="15" customHeight="1" x14ac:dyDescent="0.3">
      <c r="A1548" s="164"/>
      <c r="B1548" s="165"/>
      <c r="C1548" s="166"/>
      <c r="D1548" s="166"/>
      <c r="E1548" s="166"/>
      <c r="F1548" s="60">
        <f>ПЛАТЕЖИ[[#This Row],[СЎМ]]+(ПЛАТЕЖИ[[#This Row],[ВАЛЮТА]]*ПЛАТЕЖИ[[#This Row],[КУРС]])</f>
        <v>0</v>
      </c>
      <c r="G1548" s="165"/>
      <c r="H1548" s="165"/>
      <c r="I1548" s="165"/>
    </row>
    <row r="1549" spans="1:9" ht="15" customHeight="1" x14ac:dyDescent="0.3">
      <c r="A1549" s="164"/>
      <c r="B1549" s="165"/>
      <c r="C1549" s="166"/>
      <c r="D1549" s="166"/>
      <c r="E1549" s="166"/>
      <c r="F1549" s="60">
        <f>ПЛАТЕЖИ[[#This Row],[СЎМ]]+(ПЛАТЕЖИ[[#This Row],[ВАЛЮТА]]*ПЛАТЕЖИ[[#This Row],[КУРС]])</f>
        <v>0</v>
      </c>
      <c r="G1549" s="165"/>
      <c r="H1549" s="165"/>
      <c r="I1549" s="165"/>
    </row>
    <row r="1550" spans="1:9" ht="15" customHeight="1" x14ac:dyDescent="0.3">
      <c r="A1550" s="164"/>
      <c r="B1550" s="165"/>
      <c r="C1550" s="166"/>
      <c r="D1550" s="166"/>
      <c r="E1550" s="166"/>
      <c r="F1550" s="60">
        <f>ПЛАТЕЖИ[[#This Row],[СЎМ]]+(ПЛАТЕЖИ[[#This Row],[ВАЛЮТА]]*ПЛАТЕЖИ[[#This Row],[КУРС]])</f>
        <v>0</v>
      </c>
      <c r="G1550" s="165"/>
      <c r="H1550" s="165"/>
      <c r="I1550" s="165"/>
    </row>
    <row r="1551" spans="1:9" ht="15" customHeight="1" x14ac:dyDescent="0.3">
      <c r="A1551" s="164"/>
      <c r="B1551" s="165"/>
      <c r="C1551" s="166"/>
      <c r="D1551" s="166"/>
      <c r="E1551" s="166"/>
      <c r="F1551" s="60">
        <f>ПЛАТЕЖИ[[#This Row],[СЎМ]]+(ПЛАТЕЖИ[[#This Row],[ВАЛЮТА]]*ПЛАТЕЖИ[[#This Row],[КУРС]])</f>
        <v>0</v>
      </c>
      <c r="G1551" s="165"/>
      <c r="H1551" s="165"/>
      <c r="I1551" s="165"/>
    </row>
    <row r="1552" spans="1:9" ht="15" customHeight="1" x14ac:dyDescent="0.3">
      <c r="A1552" s="164"/>
      <c r="B1552" s="165"/>
      <c r="C1552" s="166"/>
      <c r="D1552" s="166"/>
      <c r="E1552" s="166"/>
      <c r="F1552" s="60">
        <f>ПЛАТЕЖИ[[#This Row],[СЎМ]]+(ПЛАТЕЖИ[[#This Row],[ВАЛЮТА]]*ПЛАТЕЖИ[[#This Row],[КУРС]])</f>
        <v>0</v>
      </c>
      <c r="G1552" s="165"/>
      <c r="H1552" s="165"/>
      <c r="I1552" s="165"/>
    </row>
    <row r="1553" spans="1:9" ht="15" customHeight="1" x14ac:dyDescent="0.3">
      <c r="A1553" s="164"/>
      <c r="B1553" s="165"/>
      <c r="C1553" s="166"/>
      <c r="D1553" s="166"/>
      <c r="E1553" s="166"/>
      <c r="F1553" s="60">
        <f>ПЛАТЕЖИ[[#This Row],[СЎМ]]+(ПЛАТЕЖИ[[#This Row],[ВАЛЮТА]]*ПЛАТЕЖИ[[#This Row],[КУРС]])</f>
        <v>0</v>
      </c>
      <c r="G1553" s="165"/>
      <c r="H1553" s="165"/>
      <c r="I1553" s="165"/>
    </row>
    <row r="1554" spans="1:9" ht="15" customHeight="1" x14ac:dyDescent="0.3">
      <c r="A1554" s="164"/>
      <c r="B1554" s="165"/>
      <c r="C1554" s="166"/>
      <c r="D1554" s="166"/>
      <c r="E1554" s="166"/>
      <c r="F1554" s="60">
        <f>ПЛАТЕЖИ[[#This Row],[СЎМ]]+(ПЛАТЕЖИ[[#This Row],[ВАЛЮТА]]*ПЛАТЕЖИ[[#This Row],[КУРС]])</f>
        <v>0</v>
      </c>
      <c r="G1554" s="165"/>
      <c r="H1554" s="165"/>
      <c r="I1554" s="165"/>
    </row>
    <row r="1555" spans="1:9" ht="15" customHeight="1" x14ac:dyDescent="0.3">
      <c r="A1555" s="164"/>
      <c r="B1555" s="165"/>
      <c r="C1555" s="166"/>
      <c r="D1555" s="166"/>
      <c r="E1555" s="166"/>
      <c r="F1555" s="60">
        <f>ПЛАТЕЖИ[[#This Row],[СЎМ]]+(ПЛАТЕЖИ[[#This Row],[ВАЛЮТА]]*ПЛАТЕЖИ[[#This Row],[КУРС]])</f>
        <v>0</v>
      </c>
      <c r="G1555" s="165"/>
      <c r="H1555" s="165"/>
      <c r="I1555" s="165"/>
    </row>
    <row r="1556" spans="1:9" ht="15" customHeight="1" x14ac:dyDescent="0.3">
      <c r="A1556" s="164"/>
      <c r="B1556" s="165"/>
      <c r="C1556" s="166"/>
      <c r="D1556" s="166"/>
      <c r="E1556" s="166"/>
      <c r="F1556" s="60">
        <f>ПЛАТЕЖИ[[#This Row],[СЎМ]]+(ПЛАТЕЖИ[[#This Row],[ВАЛЮТА]]*ПЛАТЕЖИ[[#This Row],[КУРС]])</f>
        <v>0</v>
      </c>
      <c r="G1556" s="165"/>
      <c r="H1556" s="165"/>
      <c r="I1556" s="165"/>
    </row>
    <row r="1557" spans="1:9" ht="15" customHeight="1" x14ac:dyDescent="0.3">
      <c r="A1557" s="164"/>
      <c r="B1557" s="165"/>
      <c r="C1557" s="166"/>
      <c r="D1557" s="166"/>
      <c r="E1557" s="166"/>
      <c r="F1557" s="60">
        <f>ПЛАТЕЖИ[[#This Row],[СЎМ]]+(ПЛАТЕЖИ[[#This Row],[ВАЛЮТА]]*ПЛАТЕЖИ[[#This Row],[КУРС]])</f>
        <v>0</v>
      </c>
      <c r="G1557" s="165"/>
      <c r="H1557" s="165"/>
      <c r="I1557" s="165"/>
    </row>
    <row r="1558" spans="1:9" ht="15" customHeight="1" x14ac:dyDescent="0.3">
      <c r="A1558" s="164"/>
      <c r="B1558" s="165"/>
      <c r="C1558" s="166"/>
      <c r="D1558" s="166"/>
      <c r="E1558" s="166"/>
      <c r="F1558" s="60">
        <f>ПЛАТЕЖИ[[#This Row],[СЎМ]]+(ПЛАТЕЖИ[[#This Row],[ВАЛЮТА]]*ПЛАТЕЖИ[[#This Row],[КУРС]])</f>
        <v>0</v>
      </c>
      <c r="G1558" s="165"/>
      <c r="H1558" s="165"/>
      <c r="I1558" s="165"/>
    </row>
    <row r="1559" spans="1:9" ht="15" customHeight="1" x14ac:dyDescent="0.3">
      <c r="A1559" s="164"/>
      <c r="B1559" s="165"/>
      <c r="C1559" s="166"/>
      <c r="D1559" s="166"/>
      <c r="E1559" s="166"/>
      <c r="F1559" s="60">
        <f>ПЛАТЕЖИ[[#This Row],[СЎМ]]+(ПЛАТЕЖИ[[#This Row],[ВАЛЮТА]]*ПЛАТЕЖИ[[#This Row],[КУРС]])</f>
        <v>0</v>
      </c>
      <c r="G1559" s="165"/>
      <c r="H1559" s="165"/>
      <c r="I1559" s="165"/>
    </row>
    <row r="1560" spans="1:9" ht="15" customHeight="1" x14ac:dyDescent="0.3">
      <c r="A1560" s="164"/>
      <c r="B1560" s="165"/>
      <c r="C1560" s="166"/>
      <c r="D1560" s="166"/>
      <c r="E1560" s="166"/>
      <c r="F1560" s="60">
        <f>ПЛАТЕЖИ[[#This Row],[СЎМ]]+(ПЛАТЕЖИ[[#This Row],[ВАЛЮТА]]*ПЛАТЕЖИ[[#This Row],[КУРС]])</f>
        <v>0</v>
      </c>
      <c r="G1560" s="165"/>
      <c r="H1560" s="165"/>
      <c r="I1560" s="165"/>
    </row>
    <row r="1561" spans="1:9" ht="15" customHeight="1" x14ac:dyDescent="0.3">
      <c r="A1561" s="164"/>
      <c r="B1561" s="165"/>
      <c r="C1561" s="166"/>
      <c r="D1561" s="166"/>
      <c r="E1561" s="166"/>
      <c r="F1561" s="60">
        <f>ПЛАТЕЖИ[[#This Row],[СЎМ]]+(ПЛАТЕЖИ[[#This Row],[ВАЛЮТА]]*ПЛАТЕЖИ[[#This Row],[КУРС]])</f>
        <v>0</v>
      </c>
      <c r="G1561" s="165"/>
      <c r="H1561" s="147"/>
      <c r="I1561" s="165"/>
    </row>
    <row r="1562" spans="1:9" ht="15" customHeight="1" x14ac:dyDescent="0.3">
      <c r="A1562" s="164"/>
      <c r="B1562" s="165"/>
      <c r="C1562" s="166"/>
      <c r="D1562" s="166"/>
      <c r="E1562" s="166"/>
      <c r="F1562" s="60">
        <f>ПЛАТЕЖИ[[#This Row],[СЎМ]]+(ПЛАТЕЖИ[[#This Row],[ВАЛЮТА]]*ПЛАТЕЖИ[[#This Row],[КУРС]])</f>
        <v>0</v>
      </c>
      <c r="G1562" s="165"/>
      <c r="H1562" s="165"/>
      <c r="I1562" s="165"/>
    </row>
    <row r="1563" spans="1:9" ht="15" customHeight="1" x14ac:dyDescent="0.3">
      <c r="A1563" s="164"/>
      <c r="B1563" s="165"/>
      <c r="C1563" s="166"/>
      <c r="D1563" s="166"/>
      <c r="E1563" s="166"/>
      <c r="F1563" s="60">
        <f>ПЛАТЕЖИ[[#This Row],[СЎМ]]+(ПЛАТЕЖИ[[#This Row],[ВАЛЮТА]]*ПЛАТЕЖИ[[#This Row],[КУРС]])</f>
        <v>0</v>
      </c>
      <c r="G1563" s="165"/>
      <c r="H1563" s="165"/>
      <c r="I1563" s="165"/>
    </row>
    <row r="1564" spans="1:9" ht="15" customHeight="1" x14ac:dyDescent="0.3">
      <c r="A1564" s="164"/>
      <c r="B1564" s="165"/>
      <c r="C1564" s="166"/>
      <c r="D1564" s="166"/>
      <c r="E1564" s="166"/>
      <c r="F1564" s="60">
        <f>ПЛАТЕЖИ[[#This Row],[СЎМ]]+(ПЛАТЕЖИ[[#This Row],[ВАЛЮТА]]*ПЛАТЕЖИ[[#This Row],[КУРС]])</f>
        <v>0</v>
      </c>
      <c r="G1564" s="165"/>
      <c r="H1564" s="165"/>
      <c r="I1564" s="165"/>
    </row>
    <row r="1565" spans="1:9" ht="15" customHeight="1" x14ac:dyDescent="0.3">
      <c r="A1565" s="164"/>
      <c r="B1565" s="165"/>
      <c r="C1565" s="166"/>
      <c r="D1565" s="166"/>
      <c r="E1565" s="166"/>
      <c r="F1565" s="60">
        <f>ПЛАТЕЖИ[[#This Row],[СЎМ]]+(ПЛАТЕЖИ[[#This Row],[ВАЛЮТА]]*ПЛАТЕЖИ[[#This Row],[КУРС]])</f>
        <v>0</v>
      </c>
      <c r="G1565" s="165"/>
      <c r="H1565" s="165"/>
      <c r="I1565" s="165"/>
    </row>
    <row r="1566" spans="1:9" ht="15" customHeight="1" x14ac:dyDescent="0.3">
      <c r="A1566" s="164"/>
      <c r="B1566" s="165"/>
      <c r="C1566" s="166"/>
      <c r="D1566" s="166"/>
      <c r="E1566" s="166"/>
      <c r="F1566" s="60">
        <f>ПЛАТЕЖИ[[#This Row],[СЎМ]]+(ПЛАТЕЖИ[[#This Row],[ВАЛЮТА]]*ПЛАТЕЖИ[[#This Row],[КУРС]])</f>
        <v>0</v>
      </c>
      <c r="G1566" s="165"/>
      <c r="H1566" s="165"/>
      <c r="I1566" s="165"/>
    </row>
    <row r="1567" spans="1:9" ht="15" customHeight="1" x14ac:dyDescent="0.3">
      <c r="A1567" s="164"/>
      <c r="B1567" s="165"/>
      <c r="C1567" s="166"/>
      <c r="D1567" s="166"/>
      <c r="E1567" s="166"/>
      <c r="F1567" s="60">
        <f>ПЛАТЕЖИ[[#This Row],[СЎМ]]+(ПЛАТЕЖИ[[#This Row],[ВАЛЮТА]]*ПЛАТЕЖИ[[#This Row],[КУРС]])</f>
        <v>0</v>
      </c>
      <c r="G1567" s="165"/>
      <c r="H1567" s="165"/>
      <c r="I1567" s="165"/>
    </row>
    <row r="1568" spans="1:9" ht="15" customHeight="1" x14ac:dyDescent="0.3">
      <c r="A1568" s="164"/>
      <c r="B1568" s="165"/>
      <c r="C1568" s="166"/>
      <c r="D1568" s="166"/>
      <c r="E1568" s="166"/>
      <c r="F1568" s="60">
        <f>ПЛАТЕЖИ[[#This Row],[СЎМ]]+(ПЛАТЕЖИ[[#This Row],[ВАЛЮТА]]*ПЛАТЕЖИ[[#This Row],[КУРС]])</f>
        <v>0</v>
      </c>
      <c r="G1568" s="165"/>
      <c r="H1568" s="165"/>
      <c r="I1568" s="165"/>
    </row>
    <row r="1569" spans="1:9" ht="15" customHeight="1" x14ac:dyDescent="0.3">
      <c r="A1569" s="164"/>
      <c r="B1569" s="165"/>
      <c r="C1569" s="166"/>
      <c r="D1569" s="166"/>
      <c r="E1569" s="166"/>
      <c r="F1569" s="60">
        <f>ПЛАТЕЖИ[[#This Row],[СЎМ]]+(ПЛАТЕЖИ[[#This Row],[ВАЛЮТА]]*ПЛАТЕЖИ[[#This Row],[КУРС]])</f>
        <v>0</v>
      </c>
      <c r="G1569" s="165"/>
      <c r="H1569" s="165"/>
      <c r="I1569" s="165"/>
    </row>
    <row r="1570" spans="1:9" ht="15" customHeight="1" x14ac:dyDescent="0.3">
      <c r="A1570" s="164"/>
      <c r="B1570" s="165"/>
      <c r="C1570" s="166"/>
      <c r="D1570" s="166"/>
      <c r="E1570" s="166"/>
      <c r="F1570" s="60">
        <f>ПЛАТЕЖИ[[#This Row],[СЎМ]]+(ПЛАТЕЖИ[[#This Row],[ВАЛЮТА]]*ПЛАТЕЖИ[[#This Row],[КУРС]])</f>
        <v>0</v>
      </c>
      <c r="G1570" s="165"/>
      <c r="H1570" s="165"/>
      <c r="I1570" s="165"/>
    </row>
    <row r="1571" spans="1:9" ht="15" customHeight="1" x14ac:dyDescent="0.3">
      <c r="A1571" s="164"/>
      <c r="B1571" s="165"/>
      <c r="C1571" s="166"/>
      <c r="D1571" s="166"/>
      <c r="E1571" s="166"/>
      <c r="F1571" s="60">
        <f>ПЛАТЕЖИ[[#This Row],[СЎМ]]+(ПЛАТЕЖИ[[#This Row],[ВАЛЮТА]]*ПЛАТЕЖИ[[#This Row],[КУРС]])</f>
        <v>0</v>
      </c>
      <c r="G1571" s="165"/>
      <c r="H1571" s="165"/>
      <c r="I1571" s="165"/>
    </row>
    <row r="1572" spans="1:9" ht="15" customHeight="1" x14ac:dyDescent="0.3">
      <c r="A1572" s="164"/>
      <c r="B1572" s="165"/>
      <c r="C1572" s="166"/>
      <c r="D1572" s="166"/>
      <c r="E1572" s="166"/>
      <c r="F1572" s="60">
        <f>ПЛАТЕЖИ[[#This Row],[СЎМ]]+(ПЛАТЕЖИ[[#This Row],[ВАЛЮТА]]*ПЛАТЕЖИ[[#This Row],[КУРС]])</f>
        <v>0</v>
      </c>
      <c r="G1572" s="165"/>
      <c r="H1572" s="165"/>
      <c r="I1572" s="165"/>
    </row>
    <row r="1573" spans="1:9" ht="15" customHeight="1" x14ac:dyDescent="0.3">
      <c r="A1573" s="164"/>
      <c r="B1573" s="165"/>
      <c r="C1573" s="166"/>
      <c r="D1573" s="166"/>
      <c r="E1573" s="166"/>
      <c r="F1573" s="60">
        <f>ПЛАТЕЖИ[[#This Row],[СЎМ]]+(ПЛАТЕЖИ[[#This Row],[ВАЛЮТА]]*ПЛАТЕЖИ[[#This Row],[КУРС]])</f>
        <v>0</v>
      </c>
      <c r="G1573" s="165"/>
      <c r="I1573" s="165"/>
    </row>
    <row r="1574" spans="1:9" ht="15" customHeight="1" x14ac:dyDescent="0.3">
      <c r="A1574" s="164"/>
      <c r="B1574" s="147"/>
      <c r="C1574" s="166"/>
      <c r="D1574" s="166"/>
      <c r="E1574" s="166"/>
      <c r="F1574" s="60">
        <f>ПЛАТЕЖИ[[#This Row],[СЎМ]]+(ПЛАТЕЖИ[[#This Row],[ВАЛЮТА]]*ПЛАТЕЖИ[[#This Row],[КУРС]])</f>
        <v>0</v>
      </c>
      <c r="G1574" s="165"/>
      <c r="I1574" s="165"/>
    </row>
    <row r="1575" spans="1:9" ht="15" customHeight="1" x14ac:dyDescent="0.3">
      <c r="A1575" s="164"/>
      <c r="B1575" s="165"/>
      <c r="C1575" s="166"/>
      <c r="D1575" s="166"/>
      <c r="E1575" s="166"/>
      <c r="F1575" s="60">
        <f>ПЛАТЕЖИ[[#This Row],[СЎМ]]+(ПЛАТЕЖИ[[#This Row],[ВАЛЮТА]]*ПЛАТЕЖИ[[#This Row],[КУРС]])</f>
        <v>0</v>
      </c>
      <c r="G1575" s="165"/>
      <c r="I1575" s="165"/>
    </row>
    <row r="1576" spans="1:9" ht="15" customHeight="1" x14ac:dyDescent="0.3">
      <c r="A1576" s="164"/>
      <c r="B1576" s="165"/>
      <c r="C1576" s="166"/>
      <c r="D1576" s="166"/>
      <c r="E1576" s="166"/>
      <c r="F1576" s="60">
        <f>ПЛАТЕЖИ[[#This Row],[СЎМ]]+(ПЛАТЕЖИ[[#This Row],[ВАЛЮТА]]*ПЛАТЕЖИ[[#This Row],[КУРС]])</f>
        <v>0</v>
      </c>
      <c r="G1576" s="165"/>
      <c r="I1576" s="165"/>
    </row>
    <row r="1577" spans="1:9" ht="15" customHeight="1" x14ac:dyDescent="0.3">
      <c r="A1577" s="164"/>
      <c r="B1577" s="165"/>
      <c r="C1577" s="166"/>
      <c r="D1577" s="166"/>
      <c r="E1577" s="166"/>
      <c r="F1577" s="60">
        <f>ПЛАТЕЖИ[[#This Row],[СЎМ]]+(ПЛАТЕЖИ[[#This Row],[ВАЛЮТА]]*ПЛАТЕЖИ[[#This Row],[КУРС]])</f>
        <v>0</v>
      </c>
      <c r="G1577" s="165"/>
      <c r="I1577" s="165"/>
    </row>
    <row r="1578" spans="1:9" ht="15" customHeight="1" x14ac:dyDescent="0.3">
      <c r="A1578" s="164"/>
      <c r="B1578" s="165"/>
      <c r="C1578" s="166"/>
      <c r="D1578" s="166"/>
      <c r="E1578" s="166"/>
      <c r="F1578" s="60">
        <f>ПЛАТЕЖИ[[#This Row],[СЎМ]]+(ПЛАТЕЖИ[[#This Row],[ВАЛЮТА]]*ПЛАТЕЖИ[[#This Row],[КУРС]])</f>
        <v>0</v>
      </c>
      <c r="G1578" s="165"/>
      <c r="I1578" s="165"/>
    </row>
    <row r="1579" spans="1:9" ht="15" customHeight="1" x14ac:dyDescent="0.3">
      <c r="A1579" s="164"/>
      <c r="B1579" s="165"/>
      <c r="C1579" s="166"/>
      <c r="D1579" s="166"/>
      <c r="E1579" s="166"/>
      <c r="F1579" s="60">
        <f>ПЛАТЕЖИ[[#This Row],[СЎМ]]+(ПЛАТЕЖИ[[#This Row],[ВАЛЮТА]]*ПЛАТЕЖИ[[#This Row],[КУРС]])</f>
        <v>0</v>
      </c>
      <c r="G1579" s="165"/>
      <c r="I1579" s="165"/>
    </row>
    <row r="1580" spans="1:9" ht="15" customHeight="1" x14ac:dyDescent="0.3">
      <c r="A1580" s="164"/>
      <c r="B1580" s="165"/>
      <c r="C1580" s="166"/>
      <c r="D1580" s="166"/>
      <c r="E1580" s="166"/>
      <c r="F1580" s="60">
        <f>ПЛАТЕЖИ[[#This Row],[СЎМ]]+(ПЛАТЕЖИ[[#This Row],[ВАЛЮТА]]*ПЛАТЕЖИ[[#This Row],[КУРС]])</f>
        <v>0</v>
      </c>
      <c r="G1580" s="165"/>
      <c r="I1580" s="165"/>
    </row>
    <row r="1581" spans="1:9" ht="15" customHeight="1" x14ac:dyDescent="0.3">
      <c r="A1581" s="164"/>
      <c r="B1581" s="165"/>
      <c r="C1581" s="166"/>
      <c r="D1581" s="166"/>
      <c r="E1581" s="166"/>
      <c r="F1581" s="60">
        <f>ПЛАТЕЖИ[[#This Row],[СЎМ]]+(ПЛАТЕЖИ[[#This Row],[ВАЛЮТА]]*ПЛАТЕЖИ[[#This Row],[КУРС]])</f>
        <v>0</v>
      </c>
      <c r="G1581" s="165"/>
      <c r="I1581" s="165"/>
    </row>
    <row r="1582" spans="1:9" ht="15" customHeight="1" x14ac:dyDescent="0.3">
      <c r="A1582" s="164"/>
      <c r="B1582" s="165"/>
      <c r="C1582" s="166"/>
      <c r="D1582" s="166"/>
      <c r="E1582" s="166"/>
      <c r="F1582" s="60">
        <f>ПЛАТЕЖИ[[#This Row],[СЎМ]]+(ПЛАТЕЖИ[[#This Row],[ВАЛЮТА]]*ПЛАТЕЖИ[[#This Row],[КУРС]])</f>
        <v>0</v>
      </c>
      <c r="G1582" s="165"/>
      <c r="H1582" s="165"/>
      <c r="I1582" s="165"/>
    </row>
    <row r="1583" spans="1:9" ht="15" customHeight="1" x14ac:dyDescent="0.3">
      <c r="A1583" s="164"/>
      <c r="B1583" s="165"/>
      <c r="C1583" s="166"/>
      <c r="D1583" s="166"/>
      <c r="E1583" s="166"/>
      <c r="F1583" s="60">
        <f>ПЛАТЕЖИ[[#This Row],[СЎМ]]+(ПЛАТЕЖИ[[#This Row],[ВАЛЮТА]]*ПЛАТЕЖИ[[#This Row],[КУРС]])</f>
        <v>0</v>
      </c>
      <c r="G1583" s="165"/>
      <c r="H1583" s="165"/>
      <c r="I1583" s="165"/>
    </row>
    <row r="1584" spans="1:9" ht="15" customHeight="1" x14ac:dyDescent="0.3">
      <c r="A1584" s="164"/>
      <c r="B1584" s="165"/>
      <c r="C1584" s="166"/>
      <c r="D1584" s="166"/>
      <c r="E1584" s="166"/>
      <c r="F1584" s="60">
        <f>ПЛАТЕЖИ[[#This Row],[СЎМ]]+(ПЛАТЕЖИ[[#This Row],[ВАЛЮТА]]*ПЛАТЕЖИ[[#This Row],[КУРС]])</f>
        <v>0</v>
      </c>
      <c r="G1584" s="165"/>
      <c r="H1584" s="165"/>
      <c r="I1584" s="165"/>
    </row>
    <row r="1585" spans="1:9" ht="15" customHeight="1" x14ac:dyDescent="0.3">
      <c r="A1585" s="164"/>
      <c r="B1585" s="165"/>
      <c r="C1585" s="166"/>
      <c r="D1585" s="166"/>
      <c r="E1585" s="166"/>
      <c r="F1585" s="60">
        <f>ПЛАТЕЖИ[[#This Row],[СЎМ]]+(ПЛАТЕЖИ[[#This Row],[ВАЛЮТА]]*ПЛАТЕЖИ[[#This Row],[КУРС]])</f>
        <v>0</v>
      </c>
      <c r="G1585" s="165"/>
      <c r="H1585" s="165"/>
      <c r="I1585" s="165"/>
    </row>
    <row r="1586" spans="1:9" ht="15" customHeight="1" x14ac:dyDescent="0.3">
      <c r="A1586" s="164"/>
      <c r="B1586" s="165"/>
      <c r="C1586" s="166"/>
      <c r="D1586" s="166"/>
      <c r="E1586" s="166"/>
      <c r="F1586" s="60">
        <f>ПЛАТЕЖИ[[#This Row],[СЎМ]]+(ПЛАТЕЖИ[[#This Row],[ВАЛЮТА]]*ПЛАТЕЖИ[[#This Row],[КУРС]])</f>
        <v>0</v>
      </c>
      <c r="G1586" s="165"/>
      <c r="H1586" s="165"/>
      <c r="I1586" s="165"/>
    </row>
    <row r="1587" spans="1:9" ht="15" customHeight="1" x14ac:dyDescent="0.3">
      <c r="A1587" s="164"/>
      <c r="B1587" s="165"/>
      <c r="C1587" s="166"/>
      <c r="D1587" s="166"/>
      <c r="E1587" s="166"/>
      <c r="F1587" s="60">
        <f>ПЛАТЕЖИ[[#This Row],[СЎМ]]+(ПЛАТЕЖИ[[#This Row],[ВАЛЮТА]]*ПЛАТЕЖИ[[#This Row],[КУРС]])</f>
        <v>0</v>
      </c>
      <c r="G1587" s="165"/>
      <c r="H1587" s="165"/>
      <c r="I1587" s="165"/>
    </row>
    <row r="1588" spans="1:9" ht="15" customHeight="1" x14ac:dyDescent="0.3">
      <c r="A1588" s="164"/>
      <c r="B1588" s="165"/>
      <c r="C1588" s="166"/>
      <c r="D1588" s="166"/>
      <c r="E1588" s="166"/>
      <c r="F1588" s="60">
        <f>ПЛАТЕЖИ[[#This Row],[СЎМ]]+(ПЛАТЕЖИ[[#This Row],[ВАЛЮТА]]*ПЛАТЕЖИ[[#This Row],[КУРС]])</f>
        <v>0</v>
      </c>
      <c r="G1588" s="165"/>
      <c r="H1588" s="165"/>
      <c r="I1588" s="165"/>
    </row>
    <row r="1589" spans="1:9" ht="15" customHeight="1" x14ac:dyDescent="0.3">
      <c r="A1589" s="164"/>
      <c r="B1589" s="165"/>
      <c r="C1589" s="166"/>
      <c r="D1589" s="166"/>
      <c r="E1589" s="166"/>
      <c r="F1589" s="60">
        <f>ПЛАТЕЖИ[[#This Row],[СЎМ]]+(ПЛАТЕЖИ[[#This Row],[ВАЛЮТА]]*ПЛАТЕЖИ[[#This Row],[КУРС]])</f>
        <v>0</v>
      </c>
      <c r="G1589" s="165"/>
      <c r="H1589" s="165"/>
      <c r="I1589" s="165"/>
    </row>
    <row r="1590" spans="1:9" ht="15" customHeight="1" x14ac:dyDescent="0.3">
      <c r="A1590" s="164"/>
      <c r="B1590" s="165"/>
      <c r="C1590" s="166"/>
      <c r="D1590" s="166"/>
      <c r="E1590" s="166"/>
      <c r="F1590" s="60">
        <f>ПЛАТЕЖИ[[#This Row],[СЎМ]]+(ПЛАТЕЖИ[[#This Row],[ВАЛЮТА]]*ПЛАТЕЖИ[[#This Row],[КУРС]])</f>
        <v>0</v>
      </c>
      <c r="G1590" s="165"/>
      <c r="H1590" s="165"/>
      <c r="I1590" s="165"/>
    </row>
    <row r="1591" spans="1:9" ht="15" customHeight="1" x14ac:dyDescent="0.3">
      <c r="A1591" s="164"/>
      <c r="B1591" s="165"/>
      <c r="C1591" s="166"/>
      <c r="D1591" s="166"/>
      <c r="E1591" s="166"/>
      <c r="F1591" s="60">
        <f>ПЛАТЕЖИ[[#This Row],[СЎМ]]+(ПЛАТЕЖИ[[#This Row],[ВАЛЮТА]]*ПЛАТЕЖИ[[#This Row],[КУРС]])</f>
        <v>0</v>
      </c>
      <c r="G1591" s="165"/>
      <c r="H1591" s="165"/>
      <c r="I1591" s="165"/>
    </row>
    <row r="1592" spans="1:9" ht="15" customHeight="1" x14ac:dyDescent="0.3">
      <c r="A1592" s="164"/>
      <c r="B1592" s="165"/>
      <c r="C1592" s="166"/>
      <c r="D1592" s="166"/>
      <c r="E1592" s="166"/>
      <c r="F1592" s="60">
        <f>ПЛАТЕЖИ[[#This Row],[СЎМ]]+(ПЛАТЕЖИ[[#This Row],[ВАЛЮТА]]*ПЛАТЕЖИ[[#This Row],[КУРС]])</f>
        <v>0</v>
      </c>
      <c r="G1592" s="165"/>
      <c r="H1592" s="165"/>
      <c r="I1592" s="165"/>
    </row>
    <row r="1593" spans="1:9" ht="15" customHeight="1" x14ac:dyDescent="0.3">
      <c r="A1593" s="164"/>
      <c r="B1593" s="165"/>
      <c r="C1593" s="166"/>
      <c r="D1593" s="166"/>
      <c r="E1593" s="166"/>
      <c r="F1593" s="60">
        <f>ПЛАТЕЖИ[[#This Row],[СЎМ]]+(ПЛАТЕЖИ[[#This Row],[ВАЛЮТА]]*ПЛАТЕЖИ[[#This Row],[КУРС]])</f>
        <v>0</v>
      </c>
      <c r="G1593" s="165"/>
      <c r="H1593" s="165"/>
      <c r="I1593" s="165"/>
    </row>
    <row r="1594" spans="1:9" ht="15" customHeight="1" x14ac:dyDescent="0.3">
      <c r="A1594" s="164"/>
      <c r="B1594" s="165"/>
      <c r="C1594" s="166"/>
      <c r="D1594" s="166"/>
      <c r="E1594" s="166"/>
      <c r="F1594" s="60">
        <f>ПЛАТЕЖИ[[#This Row],[СЎМ]]+(ПЛАТЕЖИ[[#This Row],[ВАЛЮТА]]*ПЛАТЕЖИ[[#This Row],[КУРС]])</f>
        <v>0</v>
      </c>
      <c r="G1594" s="165"/>
      <c r="I1594" s="165"/>
    </row>
    <row r="1595" spans="1:9" ht="15" customHeight="1" x14ac:dyDescent="0.3">
      <c r="A1595" s="164"/>
      <c r="B1595" s="165"/>
      <c r="C1595" s="166"/>
      <c r="D1595" s="166"/>
      <c r="E1595" s="166"/>
      <c r="F1595" s="60">
        <f>ПЛАТЕЖИ[[#This Row],[СЎМ]]+(ПЛАТЕЖИ[[#This Row],[ВАЛЮТА]]*ПЛАТЕЖИ[[#This Row],[КУРС]])</f>
        <v>0</v>
      </c>
      <c r="G1595" s="165"/>
      <c r="H1595" s="165"/>
      <c r="I1595" s="165"/>
    </row>
    <row r="1596" spans="1:9" ht="15" customHeight="1" x14ac:dyDescent="0.3">
      <c r="A1596" s="164"/>
      <c r="B1596" s="165"/>
      <c r="C1596" s="166"/>
      <c r="D1596" s="166"/>
      <c r="E1596" s="166"/>
      <c r="F1596" s="60">
        <f>ПЛАТЕЖИ[[#This Row],[СЎМ]]+(ПЛАТЕЖИ[[#This Row],[ВАЛЮТА]]*ПЛАТЕЖИ[[#This Row],[КУРС]])</f>
        <v>0</v>
      </c>
      <c r="G1596" s="165"/>
      <c r="H1596" s="165"/>
      <c r="I1596" s="165"/>
    </row>
    <row r="1597" spans="1:9" ht="15" customHeight="1" x14ac:dyDescent="0.3">
      <c r="A1597" s="164"/>
      <c r="B1597" s="165"/>
      <c r="C1597" s="166"/>
      <c r="D1597" s="166"/>
      <c r="E1597" s="166"/>
      <c r="F1597" s="60">
        <f>ПЛАТЕЖИ[[#This Row],[СЎМ]]+(ПЛАТЕЖИ[[#This Row],[ВАЛЮТА]]*ПЛАТЕЖИ[[#This Row],[КУРС]])</f>
        <v>0</v>
      </c>
      <c r="G1597" s="165"/>
      <c r="H1597" s="165"/>
      <c r="I1597" s="165"/>
    </row>
    <row r="1598" spans="1:9" ht="15" customHeight="1" x14ac:dyDescent="0.3">
      <c r="A1598" s="164"/>
      <c r="B1598" s="165"/>
      <c r="C1598" s="166"/>
      <c r="D1598" s="166"/>
      <c r="E1598" s="166"/>
      <c r="F1598" s="60">
        <f>ПЛАТЕЖИ[[#This Row],[СЎМ]]+(ПЛАТЕЖИ[[#This Row],[ВАЛЮТА]]*ПЛАТЕЖИ[[#This Row],[КУРС]])</f>
        <v>0</v>
      </c>
      <c r="G1598" s="165"/>
      <c r="H1598" s="165"/>
      <c r="I1598" s="165"/>
    </row>
    <row r="1599" spans="1:9" ht="15" customHeight="1" x14ac:dyDescent="0.3">
      <c r="A1599" s="164"/>
      <c r="B1599" s="165"/>
      <c r="C1599" s="166"/>
      <c r="D1599" s="166"/>
      <c r="E1599" s="166"/>
      <c r="F1599" s="60">
        <f>ПЛАТЕЖИ[[#This Row],[СЎМ]]+(ПЛАТЕЖИ[[#This Row],[ВАЛЮТА]]*ПЛАТЕЖИ[[#This Row],[КУРС]])</f>
        <v>0</v>
      </c>
      <c r="G1599" s="165"/>
      <c r="H1599" s="165"/>
      <c r="I1599" s="165"/>
    </row>
    <row r="1600" spans="1:9" ht="15" customHeight="1" x14ac:dyDescent="0.3">
      <c r="A1600" s="164"/>
      <c r="B1600" s="165"/>
      <c r="C1600" s="166"/>
      <c r="D1600" s="166"/>
      <c r="E1600" s="166"/>
      <c r="F1600" s="60">
        <f>ПЛАТЕЖИ[[#This Row],[СЎМ]]+(ПЛАТЕЖИ[[#This Row],[ВАЛЮТА]]*ПЛАТЕЖИ[[#This Row],[КУРС]])</f>
        <v>0</v>
      </c>
      <c r="G1600" s="165"/>
      <c r="H1600" s="165"/>
      <c r="I1600" s="165"/>
    </row>
    <row r="1601" spans="1:9" ht="15" customHeight="1" x14ac:dyDescent="0.3">
      <c r="A1601" s="164"/>
      <c r="B1601" s="165"/>
      <c r="C1601" s="166"/>
      <c r="D1601" s="166"/>
      <c r="E1601" s="166"/>
      <c r="F1601" s="60">
        <f>ПЛАТЕЖИ[[#This Row],[СЎМ]]+(ПЛАТЕЖИ[[#This Row],[ВАЛЮТА]]*ПЛАТЕЖИ[[#This Row],[КУРС]])</f>
        <v>0</v>
      </c>
      <c r="G1601" s="165"/>
      <c r="H1601" s="165"/>
      <c r="I1601" s="165"/>
    </row>
    <row r="1602" spans="1:9" ht="15" customHeight="1" x14ac:dyDescent="0.3">
      <c r="F1602" s="60">
        <f>ПЛАТЕЖИ[[#This Row],[СЎМ]]+(ПЛАТЕЖИ[[#This Row],[ВАЛЮТА]]*ПЛАТЕЖИ[[#This Row],[КУРС]])</f>
        <v>0</v>
      </c>
      <c r="I1602" s="165"/>
    </row>
    <row r="1603" spans="1:9" ht="15" customHeight="1" x14ac:dyDescent="0.3">
      <c r="F1603" s="60">
        <f>ПЛАТЕЖИ[[#This Row],[СЎМ]]+(ПЛАТЕЖИ[[#This Row],[ВАЛЮТА]]*ПЛАТЕЖИ[[#This Row],[КУРС]])</f>
        <v>0</v>
      </c>
      <c r="I1603" s="165"/>
    </row>
    <row r="1604" spans="1:9" ht="15" customHeight="1" x14ac:dyDescent="0.3">
      <c r="F1604" s="60">
        <f>ПЛАТЕЖИ[[#This Row],[СЎМ]]+(ПЛАТЕЖИ[[#This Row],[ВАЛЮТА]]*ПЛАТЕЖИ[[#This Row],[КУРС]])</f>
        <v>0</v>
      </c>
      <c r="I1604" s="165"/>
    </row>
    <row r="1605" spans="1:9" ht="15" customHeight="1" x14ac:dyDescent="0.3">
      <c r="F1605" s="60">
        <f>ПЛАТЕЖИ[[#This Row],[СЎМ]]+(ПЛАТЕЖИ[[#This Row],[ВАЛЮТА]]*ПЛАТЕЖИ[[#This Row],[КУРС]])</f>
        <v>0</v>
      </c>
      <c r="I1605" s="165"/>
    </row>
    <row r="1606" spans="1:9" ht="15" customHeight="1" x14ac:dyDescent="0.3">
      <c r="F1606" s="60">
        <f>ПЛАТЕЖИ[[#This Row],[СЎМ]]+(ПЛАТЕЖИ[[#This Row],[ВАЛЮТА]]*ПЛАТЕЖИ[[#This Row],[КУРС]])</f>
        <v>0</v>
      </c>
      <c r="I1606" s="165"/>
    </row>
    <row r="1607" spans="1:9" ht="15" customHeight="1" x14ac:dyDescent="0.3">
      <c r="F1607" s="60">
        <f>ПЛАТЕЖИ[[#This Row],[СЎМ]]+(ПЛАТЕЖИ[[#This Row],[ВАЛЮТА]]*ПЛАТЕЖИ[[#This Row],[КУРС]])</f>
        <v>0</v>
      </c>
      <c r="I1607" s="165"/>
    </row>
    <row r="1608" spans="1:9" ht="15" customHeight="1" x14ac:dyDescent="0.3">
      <c r="F1608" s="60">
        <f>ПЛАТЕЖИ[[#This Row],[СЎМ]]+(ПЛАТЕЖИ[[#This Row],[ВАЛЮТА]]*ПЛАТЕЖИ[[#This Row],[КУРС]])</f>
        <v>0</v>
      </c>
      <c r="I1608" s="165"/>
    </row>
    <row r="1609" spans="1:9" ht="15" customHeight="1" x14ac:dyDescent="0.3">
      <c r="F1609" s="60">
        <f>ПЛАТЕЖИ[[#This Row],[СЎМ]]+(ПЛАТЕЖИ[[#This Row],[ВАЛЮТА]]*ПЛАТЕЖИ[[#This Row],[КУРС]])</f>
        <v>0</v>
      </c>
      <c r="I1609" s="165"/>
    </row>
    <row r="1610" spans="1:9" ht="15" customHeight="1" x14ac:dyDescent="0.3">
      <c r="F1610" s="60">
        <f>ПЛАТЕЖИ[[#This Row],[СЎМ]]+(ПЛАТЕЖИ[[#This Row],[ВАЛЮТА]]*ПЛАТЕЖИ[[#This Row],[КУРС]])</f>
        <v>0</v>
      </c>
      <c r="I1610" s="165"/>
    </row>
    <row r="1611" spans="1:9" ht="15" customHeight="1" x14ac:dyDescent="0.3">
      <c r="F1611" s="60">
        <f>ПЛАТЕЖИ[[#This Row],[СЎМ]]+(ПЛАТЕЖИ[[#This Row],[ВАЛЮТА]]*ПЛАТЕЖИ[[#This Row],[КУРС]])</f>
        <v>0</v>
      </c>
      <c r="I1611" s="165"/>
    </row>
    <row r="1612" spans="1:9" ht="15" customHeight="1" x14ac:dyDescent="0.3">
      <c r="F1612" s="60">
        <f>ПЛАТЕЖИ[[#This Row],[СЎМ]]+(ПЛАТЕЖИ[[#This Row],[ВАЛЮТА]]*ПЛАТЕЖИ[[#This Row],[КУРС]])</f>
        <v>0</v>
      </c>
      <c r="I1612" s="165"/>
    </row>
    <row r="1613" spans="1:9" ht="15" customHeight="1" x14ac:dyDescent="0.3">
      <c r="F1613" s="60">
        <f>ПЛАТЕЖИ[[#This Row],[СЎМ]]+(ПЛАТЕЖИ[[#This Row],[ВАЛЮТА]]*ПЛАТЕЖИ[[#This Row],[КУРС]])</f>
        <v>0</v>
      </c>
      <c r="I1613" s="165"/>
    </row>
    <row r="1614" spans="1:9" ht="15" customHeight="1" x14ac:dyDescent="0.3">
      <c r="F1614" s="60">
        <f>ПЛАТЕЖИ[[#This Row],[СЎМ]]+(ПЛАТЕЖИ[[#This Row],[ВАЛЮТА]]*ПЛАТЕЖИ[[#This Row],[КУРС]])</f>
        <v>0</v>
      </c>
      <c r="I1614" s="165"/>
    </row>
    <row r="1615" spans="1:9" ht="15" customHeight="1" x14ac:dyDescent="0.3">
      <c r="F1615" s="60">
        <f>ПЛАТЕЖИ[[#This Row],[СЎМ]]+(ПЛАТЕЖИ[[#This Row],[ВАЛЮТА]]*ПЛАТЕЖИ[[#This Row],[КУРС]])</f>
        <v>0</v>
      </c>
      <c r="I1615" s="165"/>
    </row>
    <row r="1616" spans="1:9" ht="15" customHeight="1" x14ac:dyDescent="0.3">
      <c r="F1616" s="60">
        <f>ПЛАТЕЖИ[[#This Row],[СЎМ]]+(ПЛАТЕЖИ[[#This Row],[ВАЛЮТА]]*ПЛАТЕЖИ[[#This Row],[КУРС]])</f>
        <v>0</v>
      </c>
      <c r="I1616" s="165"/>
    </row>
    <row r="1617" spans="1:9" ht="15" customHeight="1" x14ac:dyDescent="0.3">
      <c r="F1617" s="60">
        <f>ПЛАТЕЖИ[[#This Row],[СЎМ]]+(ПЛАТЕЖИ[[#This Row],[ВАЛЮТА]]*ПЛАТЕЖИ[[#This Row],[КУРС]])</f>
        <v>0</v>
      </c>
      <c r="I1617" s="165"/>
    </row>
    <row r="1618" spans="1:9" ht="15" customHeight="1" x14ac:dyDescent="0.3">
      <c r="F1618" s="60">
        <f>ПЛАТЕЖИ[[#This Row],[СЎМ]]+(ПЛАТЕЖИ[[#This Row],[ВАЛЮТА]]*ПЛАТЕЖИ[[#This Row],[КУРС]])</f>
        <v>0</v>
      </c>
      <c r="I1618" s="165"/>
    </row>
    <row r="1619" spans="1:9" ht="15" customHeight="1" x14ac:dyDescent="0.3">
      <c r="F1619" s="60">
        <f>ПЛАТЕЖИ[[#This Row],[СЎМ]]+(ПЛАТЕЖИ[[#This Row],[ВАЛЮТА]]*ПЛАТЕЖИ[[#This Row],[КУРС]])</f>
        <v>0</v>
      </c>
      <c r="I1619" s="165"/>
    </row>
    <row r="1620" spans="1:9" ht="15" customHeight="1" x14ac:dyDescent="0.3">
      <c r="F1620" s="60">
        <f>ПЛАТЕЖИ[[#This Row],[СЎМ]]+(ПЛАТЕЖИ[[#This Row],[ВАЛЮТА]]*ПЛАТЕЖИ[[#This Row],[КУРС]])</f>
        <v>0</v>
      </c>
      <c r="I1620" s="165"/>
    </row>
    <row r="1621" spans="1:9" ht="15" customHeight="1" x14ac:dyDescent="0.3">
      <c r="F1621" s="60">
        <f>ПЛАТЕЖИ[[#This Row],[СЎМ]]+(ПЛАТЕЖИ[[#This Row],[ВАЛЮТА]]*ПЛАТЕЖИ[[#This Row],[КУРС]])</f>
        <v>0</v>
      </c>
      <c r="I1621" s="165"/>
    </row>
    <row r="1622" spans="1:9" ht="15" customHeight="1" x14ac:dyDescent="0.3">
      <c r="F1622" s="60">
        <f>ПЛАТЕЖИ[[#This Row],[СЎМ]]+(ПЛАТЕЖИ[[#This Row],[ВАЛЮТА]]*ПЛАТЕЖИ[[#This Row],[КУРС]])</f>
        <v>0</v>
      </c>
      <c r="I1622" s="165"/>
    </row>
    <row r="1623" spans="1:9" ht="15" customHeight="1" x14ac:dyDescent="0.3">
      <c r="F1623" s="60">
        <f>ПЛАТЕЖИ[[#This Row],[СЎМ]]+(ПЛАТЕЖИ[[#This Row],[ВАЛЮТА]]*ПЛАТЕЖИ[[#This Row],[КУРС]])</f>
        <v>0</v>
      </c>
      <c r="I1623" s="165"/>
    </row>
    <row r="1624" spans="1:9" ht="15" customHeight="1" x14ac:dyDescent="0.3">
      <c r="A1624" s="164"/>
      <c r="B1624" s="165"/>
      <c r="C1624" s="166"/>
      <c r="D1624" s="166"/>
      <c r="E1624" s="166"/>
      <c r="F1624" s="60">
        <f>ПЛАТЕЖИ[[#This Row],[СЎМ]]+(ПЛАТЕЖИ[[#This Row],[ВАЛЮТА]]*ПЛАТЕЖИ[[#This Row],[КУРС]])</f>
        <v>0</v>
      </c>
      <c r="G1624" s="165"/>
      <c r="H1624" s="165"/>
      <c r="I1624" s="165"/>
    </row>
    <row r="1625" spans="1:9" ht="15" customHeight="1" x14ac:dyDescent="0.3">
      <c r="A1625" s="164"/>
      <c r="B1625" s="165"/>
      <c r="C1625" s="166"/>
      <c r="D1625" s="166"/>
      <c r="E1625" s="166"/>
      <c r="F1625" s="60">
        <f>ПЛАТЕЖИ[[#This Row],[СЎМ]]+(ПЛАТЕЖИ[[#This Row],[ВАЛЮТА]]*ПЛАТЕЖИ[[#This Row],[КУРС]])</f>
        <v>0</v>
      </c>
      <c r="G1625" s="165"/>
      <c r="H1625" s="165"/>
      <c r="I1625" s="165"/>
    </row>
    <row r="1626" spans="1:9" ht="15" customHeight="1" x14ac:dyDescent="0.3">
      <c r="A1626" s="164"/>
      <c r="B1626" s="165"/>
      <c r="C1626" s="166"/>
      <c r="D1626" s="166"/>
      <c r="E1626" s="166"/>
      <c r="F1626" s="60">
        <f>ПЛАТЕЖИ[[#This Row],[СЎМ]]+(ПЛАТЕЖИ[[#This Row],[ВАЛЮТА]]*ПЛАТЕЖИ[[#This Row],[КУРС]])</f>
        <v>0</v>
      </c>
      <c r="G1626" s="165"/>
      <c r="H1626" s="147"/>
      <c r="I1626" s="165"/>
    </row>
    <row r="1627" spans="1:9" ht="15" customHeight="1" x14ac:dyDescent="0.3">
      <c r="A1627" s="164"/>
      <c r="B1627" s="165"/>
      <c r="C1627" s="166"/>
      <c r="D1627" s="166"/>
      <c r="E1627" s="166"/>
      <c r="F1627" s="60">
        <f>ПЛАТЕЖИ[[#This Row],[СЎМ]]+(ПЛАТЕЖИ[[#This Row],[ВАЛЮТА]]*ПЛАТЕЖИ[[#This Row],[КУРС]])</f>
        <v>0</v>
      </c>
      <c r="G1627" s="165"/>
      <c r="H1627" s="147"/>
      <c r="I1627" s="165"/>
    </row>
    <row r="1628" spans="1:9" ht="15" customHeight="1" x14ac:dyDescent="0.3">
      <c r="A1628" s="164"/>
      <c r="B1628" s="165"/>
      <c r="C1628" s="166"/>
      <c r="D1628" s="166"/>
      <c r="E1628" s="166"/>
      <c r="F1628" s="60">
        <f>ПЛАТЕЖИ[[#This Row],[СЎМ]]+(ПЛАТЕЖИ[[#This Row],[ВАЛЮТА]]*ПЛАТЕЖИ[[#This Row],[КУРС]])</f>
        <v>0</v>
      </c>
      <c r="G1628" s="165"/>
      <c r="H1628" s="147"/>
      <c r="I1628" s="165"/>
    </row>
    <row r="1629" spans="1:9" ht="15" customHeight="1" x14ac:dyDescent="0.3">
      <c r="A1629" s="164"/>
      <c r="B1629" s="165"/>
      <c r="C1629" s="166"/>
      <c r="D1629" s="166"/>
      <c r="E1629" s="166"/>
      <c r="F1629" s="60">
        <f>ПЛАТЕЖИ[[#This Row],[СЎМ]]+(ПЛАТЕЖИ[[#This Row],[ВАЛЮТА]]*ПЛАТЕЖИ[[#This Row],[КУРС]])</f>
        <v>0</v>
      </c>
      <c r="G1629" s="165"/>
      <c r="H1629" s="147"/>
      <c r="I1629" s="165"/>
    </row>
    <row r="1630" spans="1:9" ht="15" customHeight="1" x14ac:dyDescent="0.3">
      <c r="A1630" s="164"/>
      <c r="B1630" s="165"/>
      <c r="C1630" s="166"/>
      <c r="D1630" s="166"/>
      <c r="E1630" s="166"/>
      <c r="F1630" s="60">
        <f>ПЛАТЕЖИ[[#This Row],[СЎМ]]+(ПЛАТЕЖИ[[#This Row],[ВАЛЮТА]]*ПЛАТЕЖИ[[#This Row],[КУРС]])</f>
        <v>0</v>
      </c>
      <c r="G1630" s="165"/>
      <c r="H1630" s="147"/>
      <c r="I1630" s="165"/>
    </row>
    <row r="1631" spans="1:9" ht="15" customHeight="1" x14ac:dyDescent="0.3">
      <c r="A1631" s="164"/>
      <c r="B1631" s="165"/>
      <c r="C1631" s="166"/>
      <c r="D1631" s="166"/>
      <c r="E1631" s="166"/>
      <c r="F1631" s="60">
        <f>ПЛАТЕЖИ[[#This Row],[СЎМ]]+(ПЛАТЕЖИ[[#This Row],[ВАЛЮТА]]*ПЛАТЕЖИ[[#This Row],[КУРС]])</f>
        <v>0</v>
      </c>
      <c r="G1631" s="165"/>
      <c r="H1631" s="165"/>
      <c r="I1631" s="165"/>
    </row>
    <row r="1632" spans="1:9" ht="15" customHeight="1" x14ac:dyDescent="0.3">
      <c r="A1632" s="164"/>
      <c r="B1632" s="165"/>
      <c r="C1632" s="166"/>
      <c r="D1632" s="166"/>
      <c r="E1632" s="166"/>
      <c r="F1632" s="60">
        <f>ПЛАТЕЖИ[[#This Row],[СЎМ]]+(ПЛАТЕЖИ[[#This Row],[ВАЛЮТА]]*ПЛАТЕЖИ[[#This Row],[КУРС]])</f>
        <v>0</v>
      </c>
      <c r="G1632" s="165"/>
      <c r="H1632" s="165"/>
      <c r="I1632" s="165"/>
    </row>
    <row r="1633" spans="1:9" ht="15" customHeight="1" x14ac:dyDescent="0.3">
      <c r="A1633" s="164"/>
      <c r="B1633" s="165"/>
      <c r="C1633" s="166"/>
      <c r="D1633" s="166"/>
      <c r="E1633" s="166"/>
      <c r="F1633" s="60">
        <f>ПЛАТЕЖИ[[#This Row],[СЎМ]]+(ПЛАТЕЖИ[[#This Row],[ВАЛЮТА]]*ПЛАТЕЖИ[[#This Row],[КУРС]])</f>
        <v>0</v>
      </c>
      <c r="G1633" s="165"/>
      <c r="H1633" s="165"/>
      <c r="I1633" s="165"/>
    </row>
    <row r="1634" spans="1:9" ht="15" customHeight="1" x14ac:dyDescent="0.3">
      <c r="A1634" s="164"/>
      <c r="B1634" s="165"/>
      <c r="C1634" s="166"/>
      <c r="D1634" s="166"/>
      <c r="E1634" s="166"/>
      <c r="F1634" s="60">
        <f>ПЛАТЕЖИ[[#This Row],[СЎМ]]+(ПЛАТЕЖИ[[#This Row],[ВАЛЮТА]]*ПЛАТЕЖИ[[#This Row],[КУРС]])</f>
        <v>0</v>
      </c>
      <c r="G1634" s="165"/>
      <c r="H1634" s="165"/>
      <c r="I1634" s="165"/>
    </row>
    <row r="1635" spans="1:9" ht="15" customHeight="1" x14ac:dyDescent="0.3">
      <c r="A1635" s="164"/>
      <c r="B1635" s="165"/>
      <c r="C1635" s="166"/>
      <c r="D1635" s="166"/>
      <c r="E1635" s="166"/>
      <c r="F1635" s="60">
        <f>ПЛАТЕЖИ[[#This Row],[СЎМ]]+(ПЛАТЕЖИ[[#This Row],[ВАЛЮТА]]*ПЛАТЕЖИ[[#This Row],[КУРС]])</f>
        <v>0</v>
      </c>
      <c r="G1635" s="165"/>
      <c r="H1635" s="165"/>
      <c r="I1635" s="165"/>
    </row>
    <row r="1636" spans="1:9" ht="15" customHeight="1" x14ac:dyDescent="0.3">
      <c r="A1636" s="164"/>
      <c r="B1636" s="165"/>
      <c r="C1636" s="166"/>
      <c r="D1636" s="166"/>
      <c r="E1636" s="166"/>
      <c r="F1636" s="60">
        <f>ПЛАТЕЖИ[[#This Row],[СЎМ]]+(ПЛАТЕЖИ[[#This Row],[ВАЛЮТА]]*ПЛАТЕЖИ[[#This Row],[КУРС]])</f>
        <v>0</v>
      </c>
      <c r="G1636" s="165"/>
      <c r="H1636" s="147"/>
      <c r="I1636" s="165"/>
    </row>
    <row r="1637" spans="1:9" ht="15" customHeight="1" x14ac:dyDescent="0.3">
      <c r="A1637" s="164"/>
      <c r="B1637" s="165"/>
      <c r="C1637" s="166"/>
      <c r="D1637" s="166"/>
      <c r="E1637" s="166"/>
      <c r="F1637" s="60">
        <f>ПЛАТЕЖИ[[#This Row],[СЎМ]]+(ПЛАТЕЖИ[[#This Row],[ВАЛЮТА]]*ПЛАТЕЖИ[[#This Row],[КУРС]])</f>
        <v>0</v>
      </c>
      <c r="G1637" s="165"/>
      <c r="H1637" s="165"/>
      <c r="I1637" s="165"/>
    </row>
    <row r="1638" spans="1:9" ht="15" customHeight="1" x14ac:dyDescent="0.3">
      <c r="A1638" s="164"/>
      <c r="B1638" s="165"/>
      <c r="C1638" s="166"/>
      <c r="D1638" s="166"/>
      <c r="E1638" s="166"/>
      <c r="F1638" s="60">
        <f>ПЛАТЕЖИ[[#This Row],[СЎМ]]+(ПЛАТЕЖИ[[#This Row],[ВАЛЮТА]]*ПЛАТЕЖИ[[#This Row],[КУРС]])</f>
        <v>0</v>
      </c>
      <c r="G1638" s="165"/>
      <c r="H1638" s="165"/>
      <c r="I1638" s="165"/>
    </row>
    <row r="1639" spans="1:9" ht="15" customHeight="1" x14ac:dyDescent="0.3">
      <c r="A1639" s="164"/>
      <c r="B1639" s="165"/>
      <c r="C1639" s="166"/>
      <c r="D1639" s="166"/>
      <c r="E1639" s="166"/>
      <c r="F1639" s="60">
        <f>ПЛАТЕЖИ[[#This Row],[СЎМ]]+(ПЛАТЕЖИ[[#This Row],[ВАЛЮТА]]*ПЛАТЕЖИ[[#This Row],[КУРС]])</f>
        <v>0</v>
      </c>
      <c r="G1639" s="165"/>
      <c r="H1639" s="165"/>
      <c r="I1639" s="165"/>
    </row>
    <row r="1640" spans="1:9" ht="15" customHeight="1" x14ac:dyDescent="0.3">
      <c r="A1640" s="164"/>
      <c r="B1640" s="165"/>
      <c r="C1640" s="166"/>
      <c r="D1640" s="166"/>
      <c r="E1640" s="166"/>
      <c r="F1640" s="60">
        <f>ПЛАТЕЖИ[[#This Row],[СЎМ]]+(ПЛАТЕЖИ[[#This Row],[ВАЛЮТА]]*ПЛАТЕЖИ[[#This Row],[КУРС]])</f>
        <v>0</v>
      </c>
      <c r="G1640" s="165"/>
      <c r="H1640" s="165"/>
      <c r="I1640" s="165"/>
    </row>
    <row r="1641" spans="1:9" ht="15" customHeight="1" x14ac:dyDescent="0.3">
      <c r="A1641" s="164"/>
      <c r="B1641" s="165"/>
      <c r="C1641" s="166"/>
      <c r="D1641" s="166"/>
      <c r="E1641" s="166"/>
      <c r="F1641" s="60">
        <f>ПЛАТЕЖИ[[#This Row],[СЎМ]]+(ПЛАТЕЖИ[[#This Row],[ВАЛЮТА]]*ПЛАТЕЖИ[[#This Row],[КУРС]])</f>
        <v>0</v>
      </c>
      <c r="G1641" s="165"/>
      <c r="H1641" s="165"/>
      <c r="I1641" s="165"/>
    </row>
    <row r="1642" spans="1:9" ht="15" customHeight="1" x14ac:dyDescent="0.3">
      <c r="A1642" s="164"/>
      <c r="B1642" s="165"/>
      <c r="C1642" s="166"/>
      <c r="D1642" s="166"/>
      <c r="E1642" s="166"/>
      <c r="F1642" s="60">
        <f>ПЛАТЕЖИ[[#This Row],[СЎМ]]+(ПЛАТЕЖИ[[#This Row],[ВАЛЮТА]]*ПЛАТЕЖИ[[#This Row],[КУРС]])</f>
        <v>0</v>
      </c>
      <c r="G1642" s="165"/>
      <c r="H1642" s="165"/>
      <c r="I1642" s="165"/>
    </row>
    <row r="1643" spans="1:9" ht="15" customHeight="1" x14ac:dyDescent="0.3">
      <c r="A1643" s="164"/>
      <c r="B1643" s="165"/>
      <c r="C1643" s="166"/>
      <c r="D1643" s="166"/>
      <c r="E1643" s="166"/>
      <c r="F1643" s="60">
        <f>ПЛАТЕЖИ[[#This Row],[СЎМ]]+(ПЛАТЕЖИ[[#This Row],[ВАЛЮТА]]*ПЛАТЕЖИ[[#This Row],[КУРС]])</f>
        <v>0</v>
      </c>
      <c r="G1643" s="165"/>
      <c r="H1643" s="165"/>
      <c r="I1643" s="165"/>
    </row>
    <row r="1644" spans="1:9" ht="15" customHeight="1" x14ac:dyDescent="0.3">
      <c r="A1644" s="164"/>
      <c r="B1644" s="165"/>
      <c r="C1644" s="166"/>
      <c r="D1644" s="166"/>
      <c r="E1644" s="166"/>
      <c r="F1644" s="60">
        <f>ПЛАТЕЖИ[[#This Row],[СЎМ]]+(ПЛАТЕЖИ[[#This Row],[ВАЛЮТА]]*ПЛАТЕЖИ[[#This Row],[КУРС]])</f>
        <v>0</v>
      </c>
      <c r="G1644" s="165"/>
      <c r="H1644" s="165"/>
      <c r="I1644" s="165"/>
    </row>
    <row r="1645" spans="1:9" ht="15" customHeight="1" x14ac:dyDescent="0.3">
      <c r="A1645" s="164"/>
      <c r="B1645" s="165"/>
      <c r="C1645" s="166"/>
      <c r="D1645" s="166"/>
      <c r="E1645" s="166"/>
      <c r="F1645" s="60">
        <f>ПЛАТЕЖИ[[#This Row],[СЎМ]]+(ПЛАТЕЖИ[[#This Row],[ВАЛЮТА]]*ПЛАТЕЖИ[[#This Row],[КУРС]])</f>
        <v>0</v>
      </c>
      <c r="G1645" s="165"/>
      <c r="H1645" s="165"/>
      <c r="I1645" s="165"/>
    </row>
    <row r="1646" spans="1:9" ht="15" customHeight="1" x14ac:dyDescent="0.3">
      <c r="A1646" s="164"/>
      <c r="B1646" s="165"/>
      <c r="C1646" s="166"/>
      <c r="D1646" s="166"/>
      <c r="E1646" s="166"/>
      <c r="F1646" s="60">
        <f>ПЛАТЕЖИ[[#This Row],[СЎМ]]+(ПЛАТЕЖИ[[#This Row],[ВАЛЮТА]]*ПЛАТЕЖИ[[#This Row],[КУРС]])</f>
        <v>0</v>
      </c>
      <c r="G1646" s="165"/>
      <c r="H1646" s="165"/>
      <c r="I1646" s="165"/>
    </row>
    <row r="1647" spans="1:9" ht="15" customHeight="1" x14ac:dyDescent="0.3">
      <c r="A1647" s="164"/>
      <c r="B1647" s="165"/>
      <c r="C1647" s="166"/>
      <c r="D1647" s="166"/>
      <c r="E1647" s="166"/>
      <c r="F1647" s="60">
        <f>ПЛАТЕЖИ[[#This Row],[СЎМ]]+(ПЛАТЕЖИ[[#This Row],[ВАЛЮТА]]*ПЛАТЕЖИ[[#This Row],[КУРС]])</f>
        <v>0</v>
      </c>
      <c r="G1647" s="165"/>
      <c r="H1647" s="165"/>
      <c r="I1647" s="165"/>
    </row>
    <row r="1648" spans="1:9" ht="15" customHeight="1" x14ac:dyDescent="0.3">
      <c r="A1648" s="164"/>
      <c r="B1648" s="165"/>
      <c r="C1648" s="166"/>
      <c r="D1648" s="166"/>
      <c r="E1648" s="166"/>
      <c r="F1648" s="60">
        <f>ПЛАТЕЖИ[[#This Row],[СЎМ]]+(ПЛАТЕЖИ[[#This Row],[ВАЛЮТА]]*ПЛАТЕЖИ[[#This Row],[КУРС]])</f>
        <v>0</v>
      </c>
      <c r="G1648" s="165"/>
      <c r="H1648" s="165"/>
      <c r="I1648" s="165"/>
    </row>
    <row r="1649" spans="1:9" ht="15" customHeight="1" x14ac:dyDescent="0.3">
      <c r="A1649" s="164"/>
      <c r="B1649" s="165"/>
      <c r="C1649" s="166"/>
      <c r="D1649" s="166"/>
      <c r="E1649" s="166"/>
      <c r="F1649" s="60">
        <f>ПЛАТЕЖИ[[#This Row],[СЎМ]]+(ПЛАТЕЖИ[[#This Row],[ВАЛЮТА]]*ПЛАТЕЖИ[[#This Row],[КУРС]])</f>
        <v>0</v>
      </c>
      <c r="G1649" s="165"/>
      <c r="H1649" s="165"/>
      <c r="I1649" s="165"/>
    </row>
    <row r="1650" spans="1:9" ht="15" customHeight="1" x14ac:dyDescent="0.3">
      <c r="A1650" s="164"/>
      <c r="B1650" s="165"/>
      <c r="C1650" s="166"/>
      <c r="D1650" s="166"/>
      <c r="E1650" s="166"/>
      <c r="F1650" s="60">
        <f>ПЛАТЕЖИ[[#This Row],[СЎМ]]+(ПЛАТЕЖИ[[#This Row],[ВАЛЮТА]]*ПЛАТЕЖИ[[#This Row],[КУРС]])</f>
        <v>0</v>
      </c>
      <c r="G1650" s="165"/>
      <c r="H1650" s="165"/>
      <c r="I1650" s="165"/>
    </row>
    <row r="1651" spans="1:9" ht="15" customHeight="1" x14ac:dyDescent="0.3">
      <c r="A1651" s="164"/>
      <c r="B1651" s="165"/>
      <c r="C1651" s="166"/>
      <c r="D1651" s="166"/>
      <c r="E1651" s="166"/>
      <c r="F1651" s="60">
        <f>ПЛАТЕЖИ[[#This Row],[СЎМ]]+(ПЛАТЕЖИ[[#This Row],[ВАЛЮТА]]*ПЛАТЕЖИ[[#This Row],[КУРС]])</f>
        <v>0</v>
      </c>
      <c r="G1651" s="165"/>
      <c r="H1651" s="165"/>
      <c r="I1651" s="165"/>
    </row>
    <row r="1652" spans="1:9" ht="15" customHeight="1" x14ac:dyDescent="0.3">
      <c r="A1652" s="164"/>
      <c r="B1652" s="165"/>
      <c r="C1652" s="166"/>
      <c r="D1652" s="166"/>
      <c r="E1652" s="166"/>
      <c r="F1652" s="60">
        <f>ПЛАТЕЖИ[[#This Row],[СЎМ]]+(ПЛАТЕЖИ[[#This Row],[ВАЛЮТА]]*ПЛАТЕЖИ[[#This Row],[КУРС]])</f>
        <v>0</v>
      </c>
      <c r="G1652" s="165"/>
      <c r="H1652" s="165"/>
      <c r="I1652" s="165"/>
    </row>
    <row r="1653" spans="1:9" ht="15" customHeight="1" x14ac:dyDescent="0.3">
      <c r="A1653" s="164"/>
      <c r="B1653" s="165"/>
      <c r="C1653" s="166"/>
      <c r="D1653" s="166"/>
      <c r="E1653" s="166"/>
      <c r="F1653" s="60">
        <f>ПЛАТЕЖИ[[#This Row],[СЎМ]]+(ПЛАТЕЖИ[[#This Row],[ВАЛЮТА]]*ПЛАТЕЖИ[[#This Row],[КУРС]])</f>
        <v>0</v>
      </c>
      <c r="G1653" s="165"/>
      <c r="H1653" s="165"/>
      <c r="I1653" s="165"/>
    </row>
    <row r="1654" spans="1:9" ht="15" customHeight="1" x14ac:dyDescent="0.3">
      <c r="A1654" s="164"/>
      <c r="B1654" s="165"/>
      <c r="C1654" s="166"/>
      <c r="D1654" s="166"/>
      <c r="E1654" s="166"/>
      <c r="F1654" s="60">
        <f>ПЛАТЕЖИ[[#This Row],[СЎМ]]+(ПЛАТЕЖИ[[#This Row],[ВАЛЮТА]]*ПЛАТЕЖИ[[#This Row],[КУРС]])</f>
        <v>0</v>
      </c>
      <c r="G1654" s="165"/>
      <c r="H1654" s="165"/>
      <c r="I1654" s="165"/>
    </row>
    <row r="1655" spans="1:9" ht="15" customHeight="1" x14ac:dyDescent="0.3">
      <c r="A1655" s="164"/>
      <c r="B1655" s="165"/>
      <c r="C1655" s="166"/>
      <c r="D1655" s="166"/>
      <c r="E1655" s="166"/>
      <c r="F1655" s="60">
        <f>ПЛАТЕЖИ[[#This Row],[СЎМ]]+(ПЛАТЕЖИ[[#This Row],[ВАЛЮТА]]*ПЛАТЕЖИ[[#This Row],[КУРС]])</f>
        <v>0</v>
      </c>
      <c r="G1655" s="165"/>
      <c r="H1655" s="165"/>
      <c r="I1655" s="165"/>
    </row>
    <row r="1656" spans="1:9" ht="15" customHeight="1" x14ac:dyDescent="0.3">
      <c r="A1656" s="164"/>
      <c r="B1656" s="165"/>
      <c r="C1656" s="166"/>
      <c r="D1656" s="166"/>
      <c r="E1656" s="166"/>
      <c r="F1656" s="60">
        <f>ПЛАТЕЖИ[[#This Row],[СЎМ]]+(ПЛАТЕЖИ[[#This Row],[ВАЛЮТА]]*ПЛАТЕЖИ[[#This Row],[КУРС]])</f>
        <v>0</v>
      </c>
      <c r="G1656" s="165"/>
      <c r="H1656" s="165"/>
      <c r="I1656" s="165"/>
    </row>
    <row r="1657" spans="1:9" ht="15" customHeight="1" x14ac:dyDescent="0.3">
      <c r="A1657" s="164"/>
      <c r="B1657" s="165"/>
      <c r="C1657" s="166"/>
      <c r="D1657" s="166"/>
      <c r="E1657" s="166"/>
      <c r="F1657" s="60">
        <f>ПЛАТЕЖИ[[#This Row],[СЎМ]]+(ПЛАТЕЖИ[[#This Row],[ВАЛЮТА]]*ПЛАТЕЖИ[[#This Row],[КУРС]])</f>
        <v>0</v>
      </c>
      <c r="G1657" s="165"/>
      <c r="H1657" s="165"/>
      <c r="I1657" s="165"/>
    </row>
    <row r="1658" spans="1:9" ht="15" customHeight="1" x14ac:dyDescent="0.3">
      <c r="A1658" s="164"/>
      <c r="B1658" s="165"/>
      <c r="C1658" s="166"/>
      <c r="D1658" s="166"/>
      <c r="E1658" s="166"/>
      <c r="F1658" s="60">
        <f>ПЛАТЕЖИ[[#This Row],[СЎМ]]+(ПЛАТЕЖИ[[#This Row],[ВАЛЮТА]]*ПЛАТЕЖИ[[#This Row],[КУРС]])</f>
        <v>0</v>
      </c>
      <c r="G1658" s="165"/>
      <c r="H1658" s="165"/>
      <c r="I1658" s="165"/>
    </row>
    <row r="1659" spans="1:9" ht="15" customHeight="1" x14ac:dyDescent="0.3">
      <c r="A1659" s="164"/>
      <c r="B1659" s="165"/>
      <c r="C1659" s="166"/>
      <c r="D1659" s="166"/>
      <c r="E1659" s="166"/>
      <c r="F1659" s="60">
        <f>ПЛАТЕЖИ[[#This Row],[СЎМ]]+(ПЛАТЕЖИ[[#This Row],[ВАЛЮТА]]*ПЛАТЕЖИ[[#This Row],[КУРС]])</f>
        <v>0</v>
      </c>
      <c r="G1659" s="165"/>
      <c r="H1659" s="165"/>
      <c r="I1659" s="165"/>
    </row>
    <row r="1660" spans="1:9" ht="15" customHeight="1" x14ac:dyDescent="0.3">
      <c r="A1660" s="164"/>
      <c r="B1660" s="165"/>
      <c r="C1660" s="166"/>
      <c r="D1660" s="166"/>
      <c r="E1660" s="166"/>
      <c r="F1660" s="60">
        <f>ПЛАТЕЖИ[[#This Row],[СЎМ]]+(ПЛАТЕЖИ[[#This Row],[ВАЛЮТА]]*ПЛАТЕЖИ[[#This Row],[КУРС]])</f>
        <v>0</v>
      </c>
      <c r="G1660" s="165"/>
      <c r="H1660" s="165"/>
      <c r="I1660" s="165"/>
    </row>
    <row r="1661" spans="1:9" ht="15" customHeight="1" x14ac:dyDescent="0.3">
      <c r="A1661" s="164"/>
      <c r="B1661" s="165"/>
      <c r="C1661" s="166"/>
      <c r="D1661" s="166"/>
      <c r="E1661" s="166"/>
      <c r="F1661" s="60">
        <f>ПЛАТЕЖИ[[#This Row],[СЎМ]]+(ПЛАТЕЖИ[[#This Row],[ВАЛЮТА]]*ПЛАТЕЖИ[[#This Row],[КУРС]])</f>
        <v>0</v>
      </c>
      <c r="G1661" s="165"/>
      <c r="H1661" s="165"/>
      <c r="I1661" s="165"/>
    </row>
    <row r="1662" spans="1:9" ht="15" customHeight="1" x14ac:dyDescent="0.3">
      <c r="A1662" s="164"/>
      <c r="B1662" s="165"/>
      <c r="C1662" s="166"/>
      <c r="D1662" s="166"/>
      <c r="E1662" s="166"/>
      <c r="F1662" s="60">
        <f>ПЛАТЕЖИ[[#This Row],[СЎМ]]+(ПЛАТЕЖИ[[#This Row],[ВАЛЮТА]]*ПЛАТЕЖИ[[#This Row],[КУРС]])</f>
        <v>0</v>
      </c>
      <c r="G1662" s="165"/>
      <c r="H1662" s="165"/>
      <c r="I1662" s="165"/>
    </row>
    <row r="1663" spans="1:9" ht="15" customHeight="1" x14ac:dyDescent="0.3">
      <c r="A1663" s="164"/>
      <c r="B1663" s="165"/>
      <c r="C1663" s="166"/>
      <c r="D1663" s="166"/>
      <c r="E1663" s="166"/>
      <c r="F1663" s="60">
        <f>ПЛАТЕЖИ[[#This Row],[СЎМ]]+(ПЛАТЕЖИ[[#This Row],[ВАЛЮТА]]*ПЛАТЕЖИ[[#This Row],[КУРС]])</f>
        <v>0</v>
      </c>
      <c r="G1663" s="165"/>
      <c r="H1663" s="165"/>
      <c r="I1663" s="165"/>
    </row>
    <row r="1664" spans="1:9" ht="15" customHeight="1" x14ac:dyDescent="0.3">
      <c r="A1664" s="164"/>
      <c r="B1664" s="165"/>
      <c r="C1664" s="166"/>
      <c r="D1664" s="166"/>
      <c r="E1664" s="166"/>
      <c r="F1664" s="60">
        <f>ПЛАТЕЖИ[[#This Row],[СЎМ]]+(ПЛАТЕЖИ[[#This Row],[ВАЛЮТА]]*ПЛАТЕЖИ[[#This Row],[КУРС]])</f>
        <v>0</v>
      </c>
      <c r="G1664" s="165"/>
      <c r="H1664" s="165"/>
      <c r="I1664" s="165"/>
    </row>
    <row r="1665" spans="1:9" ht="15" customHeight="1" x14ac:dyDescent="0.3">
      <c r="A1665" s="164"/>
      <c r="B1665" s="165"/>
      <c r="C1665" s="166"/>
      <c r="D1665" s="166"/>
      <c r="E1665" s="166"/>
      <c r="F1665" s="60">
        <f>ПЛАТЕЖИ[[#This Row],[СЎМ]]+(ПЛАТЕЖИ[[#This Row],[ВАЛЮТА]]*ПЛАТЕЖИ[[#This Row],[КУРС]])</f>
        <v>0</v>
      </c>
      <c r="G1665" s="165"/>
      <c r="H1665" s="165"/>
      <c r="I1665" s="165"/>
    </row>
    <row r="1666" spans="1:9" ht="15" customHeight="1" x14ac:dyDescent="0.3">
      <c r="A1666" s="164"/>
      <c r="B1666" s="165"/>
      <c r="C1666" s="166"/>
      <c r="D1666" s="166"/>
      <c r="E1666" s="166"/>
      <c r="F1666" s="60">
        <f>ПЛАТЕЖИ[[#This Row],[СЎМ]]+(ПЛАТЕЖИ[[#This Row],[ВАЛЮТА]]*ПЛАТЕЖИ[[#This Row],[КУРС]])</f>
        <v>0</v>
      </c>
      <c r="G1666" s="165"/>
      <c r="H1666" s="165"/>
      <c r="I1666" s="165"/>
    </row>
    <row r="1667" spans="1:9" ht="15" customHeight="1" x14ac:dyDescent="0.3">
      <c r="A1667" s="164"/>
      <c r="B1667" s="165"/>
      <c r="C1667" s="166"/>
      <c r="D1667" s="166"/>
      <c r="E1667" s="166"/>
      <c r="F1667" s="60">
        <f>ПЛАТЕЖИ[[#This Row],[СЎМ]]+(ПЛАТЕЖИ[[#This Row],[ВАЛЮТА]]*ПЛАТЕЖИ[[#This Row],[КУРС]])</f>
        <v>0</v>
      </c>
      <c r="G1667" s="165"/>
      <c r="H1667" s="165"/>
      <c r="I1667" s="165"/>
    </row>
    <row r="1668" spans="1:9" ht="15" customHeight="1" x14ac:dyDescent="0.3">
      <c r="A1668" s="164"/>
      <c r="B1668" s="165"/>
      <c r="C1668" s="166"/>
      <c r="D1668" s="166"/>
      <c r="E1668" s="166"/>
      <c r="F1668" s="60">
        <f>ПЛАТЕЖИ[[#This Row],[СЎМ]]+(ПЛАТЕЖИ[[#This Row],[ВАЛЮТА]]*ПЛАТЕЖИ[[#This Row],[КУРС]])</f>
        <v>0</v>
      </c>
      <c r="G1668" s="165"/>
      <c r="H1668" s="165"/>
      <c r="I1668" s="165"/>
    </row>
    <row r="1669" spans="1:9" ht="15" customHeight="1" x14ac:dyDescent="0.3">
      <c r="A1669" s="164"/>
      <c r="B1669" s="165"/>
      <c r="C1669" s="166"/>
      <c r="D1669" s="166"/>
      <c r="E1669" s="166"/>
      <c r="F1669" s="60">
        <f>ПЛАТЕЖИ[[#This Row],[СЎМ]]+(ПЛАТЕЖИ[[#This Row],[ВАЛЮТА]]*ПЛАТЕЖИ[[#This Row],[КУРС]])</f>
        <v>0</v>
      </c>
      <c r="G1669" s="165"/>
      <c r="H1669" s="165"/>
      <c r="I1669" s="165"/>
    </row>
    <row r="1670" spans="1:9" ht="15" customHeight="1" x14ac:dyDescent="0.3">
      <c r="A1670" s="164"/>
      <c r="B1670" s="165"/>
      <c r="C1670" s="166"/>
      <c r="D1670" s="166"/>
      <c r="E1670" s="166"/>
      <c r="F1670" s="60">
        <f>ПЛАТЕЖИ[[#This Row],[СЎМ]]+(ПЛАТЕЖИ[[#This Row],[ВАЛЮТА]]*ПЛАТЕЖИ[[#This Row],[КУРС]])</f>
        <v>0</v>
      </c>
      <c r="G1670" s="165"/>
      <c r="H1670" s="165"/>
      <c r="I1670" s="165"/>
    </row>
    <row r="1671" spans="1:9" ht="15" customHeight="1" x14ac:dyDescent="0.3">
      <c r="A1671" s="164"/>
      <c r="B1671" s="165"/>
      <c r="C1671" s="166"/>
      <c r="D1671" s="166"/>
      <c r="E1671" s="166"/>
      <c r="F1671" s="60">
        <f>ПЛАТЕЖИ[[#This Row],[СЎМ]]+(ПЛАТЕЖИ[[#This Row],[ВАЛЮТА]]*ПЛАТЕЖИ[[#This Row],[КУРС]])</f>
        <v>0</v>
      </c>
      <c r="G1671" s="165"/>
      <c r="H1671" s="165"/>
      <c r="I1671" s="165"/>
    </row>
    <row r="1672" spans="1:9" ht="15" customHeight="1" x14ac:dyDescent="0.3">
      <c r="A1672" s="164"/>
      <c r="B1672" s="165"/>
      <c r="C1672" s="166"/>
      <c r="D1672" s="166"/>
      <c r="E1672" s="166"/>
      <c r="F1672" s="60">
        <f>ПЛАТЕЖИ[[#This Row],[СЎМ]]+(ПЛАТЕЖИ[[#This Row],[ВАЛЮТА]]*ПЛАТЕЖИ[[#This Row],[КУРС]])</f>
        <v>0</v>
      </c>
      <c r="G1672" s="165"/>
      <c r="H1672" s="165"/>
      <c r="I1672" s="165"/>
    </row>
    <row r="1673" spans="1:9" ht="15" customHeight="1" x14ac:dyDescent="0.3">
      <c r="A1673" s="164"/>
      <c r="B1673" s="165"/>
      <c r="C1673" s="166"/>
      <c r="D1673" s="166"/>
      <c r="E1673" s="166"/>
      <c r="F1673" s="60">
        <f>ПЛАТЕЖИ[[#This Row],[СЎМ]]+(ПЛАТЕЖИ[[#This Row],[ВАЛЮТА]]*ПЛАТЕЖИ[[#This Row],[КУРС]])</f>
        <v>0</v>
      </c>
      <c r="G1673" s="165"/>
      <c r="H1673" s="165"/>
      <c r="I1673" s="165"/>
    </row>
    <row r="1674" spans="1:9" ht="15" customHeight="1" x14ac:dyDescent="0.3">
      <c r="A1674" s="164"/>
      <c r="B1674" s="165"/>
      <c r="C1674" s="166"/>
      <c r="D1674" s="166"/>
      <c r="E1674" s="166"/>
      <c r="F1674" s="60">
        <f>ПЛАТЕЖИ[[#This Row],[СЎМ]]+(ПЛАТЕЖИ[[#This Row],[ВАЛЮТА]]*ПЛАТЕЖИ[[#This Row],[КУРС]])</f>
        <v>0</v>
      </c>
      <c r="G1674" s="165"/>
      <c r="H1674" s="165"/>
      <c r="I1674" s="165"/>
    </row>
    <row r="1675" spans="1:9" ht="15" customHeight="1" x14ac:dyDescent="0.3">
      <c r="A1675" s="164"/>
      <c r="B1675" s="165"/>
      <c r="C1675" s="166"/>
      <c r="D1675" s="166"/>
      <c r="E1675" s="166"/>
      <c r="F1675" s="60">
        <f>ПЛАТЕЖИ[[#This Row],[СЎМ]]+(ПЛАТЕЖИ[[#This Row],[ВАЛЮТА]]*ПЛАТЕЖИ[[#This Row],[КУРС]])</f>
        <v>0</v>
      </c>
      <c r="G1675" s="165"/>
      <c r="H1675" s="165"/>
      <c r="I1675" s="165"/>
    </row>
    <row r="1676" spans="1:9" ht="15" customHeight="1" x14ac:dyDescent="0.3">
      <c r="A1676" s="164"/>
      <c r="B1676" s="165"/>
      <c r="C1676" s="166"/>
      <c r="D1676" s="166"/>
      <c r="E1676" s="166"/>
      <c r="F1676" s="60">
        <f>ПЛАТЕЖИ[[#This Row],[СЎМ]]+(ПЛАТЕЖИ[[#This Row],[ВАЛЮТА]]*ПЛАТЕЖИ[[#This Row],[КУРС]])</f>
        <v>0</v>
      </c>
      <c r="G1676" s="165"/>
      <c r="H1676" s="165"/>
      <c r="I1676" s="165"/>
    </row>
    <row r="1677" spans="1:9" ht="15" customHeight="1" x14ac:dyDescent="0.3">
      <c r="A1677" s="164"/>
      <c r="B1677" s="165"/>
      <c r="C1677" s="166"/>
      <c r="D1677" s="166"/>
      <c r="E1677" s="166"/>
      <c r="F1677" s="60">
        <f>ПЛАТЕЖИ[[#This Row],[СЎМ]]+(ПЛАТЕЖИ[[#This Row],[ВАЛЮТА]]*ПЛАТЕЖИ[[#This Row],[КУРС]])</f>
        <v>0</v>
      </c>
      <c r="G1677" s="165"/>
      <c r="H1677" s="165"/>
      <c r="I1677" s="165"/>
    </row>
    <row r="1678" spans="1:9" ht="15" customHeight="1" x14ac:dyDescent="0.3">
      <c r="A1678" s="164"/>
      <c r="B1678" s="165"/>
      <c r="C1678" s="166"/>
      <c r="D1678" s="166"/>
      <c r="E1678" s="166"/>
      <c r="F1678" s="60">
        <f>ПЛАТЕЖИ[[#This Row],[СЎМ]]+(ПЛАТЕЖИ[[#This Row],[ВАЛЮТА]]*ПЛАТЕЖИ[[#This Row],[КУРС]])</f>
        <v>0</v>
      </c>
      <c r="G1678" s="165"/>
      <c r="H1678" s="165"/>
      <c r="I1678" s="165"/>
    </row>
    <row r="1679" spans="1:9" ht="15" customHeight="1" x14ac:dyDescent="0.3">
      <c r="A1679" s="164"/>
      <c r="B1679" s="165"/>
      <c r="C1679" s="166"/>
      <c r="D1679" s="166"/>
      <c r="E1679" s="166"/>
      <c r="F1679" s="60">
        <f>ПЛАТЕЖИ[[#This Row],[СЎМ]]+(ПЛАТЕЖИ[[#This Row],[ВАЛЮТА]]*ПЛАТЕЖИ[[#This Row],[КУРС]])</f>
        <v>0</v>
      </c>
      <c r="G1679" s="165"/>
      <c r="H1679" s="165"/>
      <c r="I1679" s="165"/>
    </row>
    <row r="1680" spans="1:9" ht="15" customHeight="1" x14ac:dyDescent="0.3">
      <c r="A1680" s="164"/>
      <c r="B1680" s="165"/>
      <c r="C1680" s="166"/>
      <c r="D1680" s="166"/>
      <c r="E1680" s="166"/>
      <c r="F1680" s="60">
        <f>ПЛАТЕЖИ[[#This Row],[СЎМ]]+(ПЛАТЕЖИ[[#This Row],[ВАЛЮТА]]*ПЛАТЕЖИ[[#This Row],[КУРС]])</f>
        <v>0</v>
      </c>
      <c r="G1680" s="165"/>
      <c r="H1680" s="165"/>
      <c r="I1680" s="165"/>
    </row>
    <row r="1681" spans="1:9" ht="15" customHeight="1" x14ac:dyDescent="0.3">
      <c r="A1681" s="164"/>
      <c r="B1681" s="165"/>
      <c r="C1681" s="166"/>
      <c r="D1681" s="166"/>
      <c r="E1681" s="166"/>
      <c r="F1681" s="60">
        <f>ПЛАТЕЖИ[[#This Row],[СЎМ]]+(ПЛАТЕЖИ[[#This Row],[ВАЛЮТА]]*ПЛАТЕЖИ[[#This Row],[КУРС]])</f>
        <v>0</v>
      </c>
      <c r="G1681" s="165"/>
      <c r="H1681" s="165"/>
      <c r="I1681" s="165"/>
    </row>
    <row r="1682" spans="1:9" ht="15" customHeight="1" x14ac:dyDescent="0.3">
      <c r="A1682" s="164"/>
      <c r="B1682" s="165"/>
      <c r="C1682" s="166"/>
      <c r="D1682" s="166"/>
      <c r="E1682" s="166"/>
      <c r="F1682" s="60">
        <f>ПЛАТЕЖИ[[#This Row],[СЎМ]]+(ПЛАТЕЖИ[[#This Row],[ВАЛЮТА]]*ПЛАТЕЖИ[[#This Row],[КУРС]])</f>
        <v>0</v>
      </c>
      <c r="G1682" s="165"/>
      <c r="H1682" s="165"/>
      <c r="I1682" s="165"/>
    </row>
    <row r="1683" spans="1:9" ht="15" customHeight="1" x14ac:dyDescent="0.3">
      <c r="A1683" s="164"/>
      <c r="B1683" s="165"/>
      <c r="C1683" s="166"/>
      <c r="D1683" s="166"/>
      <c r="E1683" s="166"/>
      <c r="F1683" s="60">
        <f>ПЛАТЕЖИ[[#This Row],[СЎМ]]+(ПЛАТЕЖИ[[#This Row],[ВАЛЮТА]]*ПЛАТЕЖИ[[#This Row],[КУРС]])</f>
        <v>0</v>
      </c>
      <c r="G1683" s="165"/>
      <c r="H1683" s="165"/>
      <c r="I1683" s="165"/>
    </row>
    <row r="1684" spans="1:9" ht="15" customHeight="1" x14ac:dyDescent="0.3">
      <c r="A1684" s="164"/>
      <c r="B1684" s="165"/>
      <c r="C1684" s="166"/>
      <c r="D1684" s="166"/>
      <c r="E1684" s="166"/>
      <c r="F1684" s="60">
        <f>ПЛАТЕЖИ[[#This Row],[СЎМ]]+(ПЛАТЕЖИ[[#This Row],[ВАЛЮТА]]*ПЛАТЕЖИ[[#This Row],[КУРС]])</f>
        <v>0</v>
      </c>
      <c r="G1684" s="165"/>
      <c r="H1684" s="165"/>
      <c r="I1684" s="165"/>
    </row>
    <row r="1685" spans="1:9" ht="15" customHeight="1" x14ac:dyDescent="0.3">
      <c r="A1685" s="164"/>
      <c r="B1685" s="165"/>
      <c r="C1685" s="166"/>
      <c r="D1685" s="166"/>
      <c r="E1685" s="166"/>
      <c r="F1685" s="60">
        <f>ПЛАТЕЖИ[[#This Row],[СЎМ]]+(ПЛАТЕЖИ[[#This Row],[ВАЛЮТА]]*ПЛАТЕЖИ[[#This Row],[КУРС]])</f>
        <v>0</v>
      </c>
      <c r="G1685" s="165"/>
      <c r="H1685" s="165"/>
      <c r="I1685" s="165"/>
    </row>
    <row r="1686" spans="1:9" ht="15" customHeight="1" x14ac:dyDescent="0.3">
      <c r="A1686" s="164"/>
      <c r="B1686" s="165"/>
      <c r="C1686" s="166"/>
      <c r="D1686" s="166"/>
      <c r="E1686" s="166"/>
      <c r="F1686" s="60">
        <f>ПЛАТЕЖИ[[#This Row],[СЎМ]]+(ПЛАТЕЖИ[[#This Row],[ВАЛЮТА]]*ПЛАТЕЖИ[[#This Row],[КУРС]])</f>
        <v>0</v>
      </c>
      <c r="G1686" s="165"/>
      <c r="H1686" s="165"/>
      <c r="I1686" s="165"/>
    </row>
    <row r="1687" spans="1:9" ht="15" customHeight="1" x14ac:dyDescent="0.3">
      <c r="A1687" s="164"/>
      <c r="B1687" s="165"/>
      <c r="C1687" s="166"/>
      <c r="D1687" s="166"/>
      <c r="E1687" s="166"/>
      <c r="F1687" s="60">
        <f>ПЛАТЕЖИ[[#This Row],[СЎМ]]+(ПЛАТЕЖИ[[#This Row],[ВАЛЮТА]]*ПЛАТЕЖИ[[#This Row],[КУРС]])</f>
        <v>0</v>
      </c>
      <c r="G1687" s="165"/>
      <c r="H1687" s="165"/>
      <c r="I1687" s="165"/>
    </row>
    <row r="1688" spans="1:9" ht="15" customHeight="1" x14ac:dyDescent="0.3">
      <c r="A1688" s="164"/>
      <c r="B1688" s="165"/>
      <c r="C1688" s="166"/>
      <c r="D1688" s="166"/>
      <c r="E1688" s="166"/>
      <c r="F1688" s="60">
        <f>ПЛАТЕЖИ[[#This Row],[СЎМ]]+(ПЛАТЕЖИ[[#This Row],[ВАЛЮТА]]*ПЛАТЕЖИ[[#This Row],[КУРС]])</f>
        <v>0</v>
      </c>
      <c r="G1688" s="165"/>
      <c r="H1688" s="165"/>
      <c r="I1688" s="165"/>
    </row>
    <row r="1689" spans="1:9" ht="15" customHeight="1" x14ac:dyDescent="0.3">
      <c r="A1689" s="164"/>
      <c r="B1689" s="165"/>
      <c r="C1689" s="166"/>
      <c r="D1689" s="166"/>
      <c r="E1689" s="166"/>
      <c r="F1689" s="60">
        <f>ПЛАТЕЖИ[[#This Row],[СЎМ]]+(ПЛАТЕЖИ[[#This Row],[ВАЛЮТА]]*ПЛАТЕЖИ[[#This Row],[КУРС]])</f>
        <v>0</v>
      </c>
      <c r="G1689" s="165"/>
      <c r="H1689" s="165"/>
      <c r="I1689" s="165"/>
    </row>
    <row r="1690" spans="1:9" ht="15" customHeight="1" x14ac:dyDescent="0.3">
      <c r="A1690" s="164"/>
      <c r="B1690" s="165"/>
      <c r="C1690" s="166"/>
      <c r="D1690" s="166"/>
      <c r="E1690" s="166"/>
      <c r="F1690" s="60">
        <f>ПЛАТЕЖИ[[#This Row],[СЎМ]]+(ПЛАТЕЖИ[[#This Row],[ВАЛЮТА]]*ПЛАТЕЖИ[[#This Row],[КУРС]])</f>
        <v>0</v>
      </c>
      <c r="G1690" s="165"/>
      <c r="H1690" s="165"/>
      <c r="I1690" s="165"/>
    </row>
    <row r="1691" spans="1:9" ht="15" customHeight="1" x14ac:dyDescent="0.3">
      <c r="A1691" s="164"/>
      <c r="B1691" s="165"/>
      <c r="C1691" s="166"/>
      <c r="D1691" s="166"/>
      <c r="E1691" s="166"/>
      <c r="F1691" s="60">
        <f>ПЛАТЕЖИ[[#This Row],[СЎМ]]+(ПЛАТЕЖИ[[#This Row],[ВАЛЮТА]]*ПЛАТЕЖИ[[#This Row],[КУРС]])</f>
        <v>0</v>
      </c>
      <c r="G1691" s="165"/>
      <c r="H1691" s="165"/>
      <c r="I1691" s="165"/>
    </row>
    <row r="1692" spans="1:9" ht="15" customHeight="1" x14ac:dyDescent="0.3">
      <c r="A1692" s="164"/>
      <c r="B1692" s="165"/>
      <c r="C1692" s="166"/>
      <c r="D1692" s="166"/>
      <c r="E1692" s="166"/>
      <c r="F1692" s="60">
        <f>ПЛАТЕЖИ[[#This Row],[СЎМ]]+(ПЛАТЕЖИ[[#This Row],[ВАЛЮТА]]*ПЛАТЕЖИ[[#This Row],[КУРС]])</f>
        <v>0</v>
      </c>
      <c r="G1692" s="165"/>
      <c r="H1692" s="165"/>
      <c r="I1692" s="165"/>
    </row>
    <row r="1693" spans="1:9" ht="15" customHeight="1" x14ac:dyDescent="0.3">
      <c r="A1693" s="164"/>
      <c r="B1693" s="165"/>
      <c r="C1693" s="166"/>
      <c r="D1693" s="166"/>
      <c r="E1693" s="166"/>
      <c r="F1693" s="60">
        <f>ПЛАТЕЖИ[[#This Row],[СЎМ]]+(ПЛАТЕЖИ[[#This Row],[ВАЛЮТА]]*ПЛАТЕЖИ[[#This Row],[КУРС]])</f>
        <v>0</v>
      </c>
      <c r="G1693" s="165"/>
      <c r="H1693" s="165"/>
      <c r="I1693" s="165"/>
    </row>
    <row r="1694" spans="1:9" ht="15" customHeight="1" x14ac:dyDescent="0.3">
      <c r="A1694" s="164"/>
      <c r="B1694" s="165"/>
      <c r="C1694" s="166"/>
      <c r="D1694" s="166"/>
      <c r="E1694" s="166"/>
      <c r="F1694" s="60">
        <f>ПЛАТЕЖИ[[#This Row],[СЎМ]]+(ПЛАТЕЖИ[[#This Row],[ВАЛЮТА]]*ПЛАТЕЖИ[[#This Row],[КУРС]])</f>
        <v>0</v>
      </c>
      <c r="G1694" s="165"/>
      <c r="H1694" s="165"/>
      <c r="I1694" s="165"/>
    </row>
    <row r="1695" spans="1:9" ht="15" customHeight="1" x14ac:dyDescent="0.3">
      <c r="A1695" s="164"/>
      <c r="B1695" s="165"/>
      <c r="C1695" s="166"/>
      <c r="D1695" s="166"/>
      <c r="E1695" s="166"/>
      <c r="F1695" s="60">
        <f>ПЛАТЕЖИ[[#This Row],[СЎМ]]+(ПЛАТЕЖИ[[#This Row],[ВАЛЮТА]]*ПЛАТЕЖИ[[#This Row],[КУРС]])</f>
        <v>0</v>
      </c>
      <c r="G1695" s="165"/>
      <c r="H1695" s="165"/>
      <c r="I1695" s="165"/>
    </row>
    <row r="1696" spans="1:9" ht="15" customHeight="1" x14ac:dyDescent="0.3">
      <c r="A1696" s="164"/>
      <c r="B1696" s="165"/>
      <c r="C1696" s="166"/>
      <c r="D1696" s="166"/>
      <c r="E1696" s="166"/>
      <c r="F1696" s="60">
        <f>ПЛАТЕЖИ[[#This Row],[СЎМ]]+(ПЛАТЕЖИ[[#This Row],[ВАЛЮТА]]*ПЛАТЕЖИ[[#This Row],[КУРС]])</f>
        <v>0</v>
      </c>
      <c r="G1696" s="165"/>
      <c r="H1696" s="165"/>
      <c r="I1696" s="165"/>
    </row>
    <row r="1697" spans="1:9" ht="15" customHeight="1" x14ac:dyDescent="0.3">
      <c r="A1697" s="164"/>
      <c r="B1697" s="165"/>
      <c r="C1697" s="166"/>
      <c r="D1697" s="166"/>
      <c r="E1697" s="166"/>
      <c r="F1697" s="60">
        <f>ПЛАТЕЖИ[[#This Row],[СЎМ]]+(ПЛАТЕЖИ[[#This Row],[ВАЛЮТА]]*ПЛАТЕЖИ[[#This Row],[КУРС]])</f>
        <v>0</v>
      </c>
      <c r="G1697" s="165"/>
      <c r="H1697" s="165"/>
      <c r="I1697" s="165"/>
    </row>
    <row r="1698" spans="1:9" ht="15" customHeight="1" x14ac:dyDescent="0.3">
      <c r="A1698" s="164"/>
      <c r="B1698" s="165"/>
      <c r="C1698" s="166"/>
      <c r="D1698" s="166"/>
      <c r="E1698" s="166"/>
      <c r="F1698" s="60">
        <f>ПЛАТЕЖИ[[#This Row],[СЎМ]]+(ПЛАТЕЖИ[[#This Row],[ВАЛЮТА]]*ПЛАТЕЖИ[[#This Row],[КУРС]])</f>
        <v>0</v>
      </c>
      <c r="G1698" s="165"/>
      <c r="H1698" s="165"/>
      <c r="I1698" s="165"/>
    </row>
    <row r="1699" spans="1:9" ht="15" customHeight="1" x14ac:dyDescent="0.3">
      <c r="A1699" s="164"/>
      <c r="B1699" s="165"/>
      <c r="C1699" s="166"/>
      <c r="D1699" s="166"/>
      <c r="E1699" s="166"/>
      <c r="F1699" s="60">
        <f>ПЛАТЕЖИ[[#This Row],[СЎМ]]+(ПЛАТЕЖИ[[#This Row],[ВАЛЮТА]]*ПЛАТЕЖИ[[#This Row],[КУРС]])</f>
        <v>0</v>
      </c>
      <c r="G1699" s="165"/>
      <c r="H1699" s="165"/>
      <c r="I1699" s="165"/>
    </row>
    <row r="1700" spans="1:9" ht="15" customHeight="1" x14ac:dyDescent="0.3">
      <c r="A1700" s="164"/>
      <c r="B1700" s="165"/>
      <c r="C1700" s="166"/>
      <c r="D1700" s="166"/>
      <c r="E1700" s="166"/>
      <c r="F1700" s="60">
        <f>ПЛАТЕЖИ[[#This Row],[СЎМ]]+(ПЛАТЕЖИ[[#This Row],[ВАЛЮТА]]*ПЛАТЕЖИ[[#This Row],[КУРС]])</f>
        <v>0</v>
      </c>
      <c r="G1700" s="165"/>
      <c r="H1700" s="165"/>
      <c r="I1700" s="165"/>
    </row>
    <row r="1701" spans="1:9" ht="15" customHeight="1" x14ac:dyDescent="0.3">
      <c r="A1701" s="164"/>
      <c r="B1701" s="165"/>
      <c r="C1701" s="166"/>
      <c r="D1701" s="166"/>
      <c r="E1701" s="166"/>
      <c r="F1701" s="60">
        <f>ПЛАТЕЖИ[[#This Row],[СЎМ]]+(ПЛАТЕЖИ[[#This Row],[ВАЛЮТА]]*ПЛАТЕЖИ[[#This Row],[КУРС]])</f>
        <v>0</v>
      </c>
      <c r="G1701" s="165"/>
      <c r="H1701" s="165"/>
      <c r="I1701" s="165"/>
    </row>
    <row r="1702" spans="1:9" ht="15" customHeight="1" x14ac:dyDescent="0.3">
      <c r="A1702" s="164"/>
      <c r="B1702" s="165"/>
      <c r="C1702" s="166"/>
      <c r="D1702" s="166"/>
      <c r="E1702" s="166"/>
      <c r="F1702" s="60">
        <f>ПЛАТЕЖИ[[#This Row],[СЎМ]]+(ПЛАТЕЖИ[[#This Row],[ВАЛЮТА]]*ПЛАТЕЖИ[[#This Row],[КУРС]])</f>
        <v>0</v>
      </c>
      <c r="G1702" s="165"/>
      <c r="H1702" s="165"/>
      <c r="I1702" s="165"/>
    </row>
    <row r="1703" spans="1:9" ht="15" customHeight="1" x14ac:dyDescent="0.3">
      <c r="A1703" s="164"/>
      <c r="B1703" s="84"/>
      <c r="C1703" s="166"/>
      <c r="D1703" s="166"/>
      <c r="E1703" s="166"/>
      <c r="F1703" s="60">
        <f>ПЛАТЕЖИ[[#This Row],[СЎМ]]+(ПЛАТЕЖИ[[#This Row],[ВАЛЮТА]]*ПЛАТЕЖИ[[#This Row],[КУРС]])</f>
        <v>0</v>
      </c>
      <c r="G1703" s="165"/>
      <c r="H1703" s="165"/>
      <c r="I1703" s="165"/>
    </row>
    <row r="1704" spans="1:9" ht="15" customHeight="1" x14ac:dyDescent="0.3">
      <c r="A1704" s="164"/>
      <c r="B1704" s="165"/>
      <c r="C1704" s="166"/>
      <c r="D1704" s="166"/>
      <c r="E1704" s="166"/>
      <c r="F1704" s="60">
        <f>ПЛАТЕЖИ[[#This Row],[СЎМ]]+(ПЛАТЕЖИ[[#This Row],[ВАЛЮТА]]*ПЛАТЕЖИ[[#This Row],[КУРС]])</f>
        <v>0</v>
      </c>
      <c r="G1704" s="165"/>
      <c r="H1704" s="165"/>
      <c r="I1704" s="165"/>
    </row>
    <row r="1705" spans="1:9" ht="15" customHeight="1" x14ac:dyDescent="0.3">
      <c r="A1705" s="164"/>
      <c r="B1705" s="165"/>
      <c r="C1705" s="166"/>
      <c r="D1705" s="166"/>
      <c r="E1705" s="166"/>
      <c r="F1705" s="60">
        <f>ПЛАТЕЖИ[[#This Row],[СЎМ]]+(ПЛАТЕЖИ[[#This Row],[ВАЛЮТА]]*ПЛАТЕЖИ[[#This Row],[КУРС]])</f>
        <v>0</v>
      </c>
      <c r="G1705" s="165"/>
      <c r="H1705" s="165"/>
      <c r="I1705" s="165"/>
    </row>
    <row r="1706" spans="1:9" ht="15" customHeight="1" x14ac:dyDescent="0.3">
      <c r="A1706" s="164"/>
      <c r="B1706" s="165"/>
      <c r="C1706" s="166"/>
      <c r="D1706" s="166"/>
      <c r="E1706" s="166"/>
      <c r="F1706" s="60">
        <f>ПЛАТЕЖИ[[#This Row],[СЎМ]]+(ПЛАТЕЖИ[[#This Row],[ВАЛЮТА]]*ПЛАТЕЖИ[[#This Row],[КУРС]])</f>
        <v>0</v>
      </c>
      <c r="G1706" s="165"/>
      <c r="H1706" s="165"/>
      <c r="I1706" s="165"/>
    </row>
    <row r="1707" spans="1:9" ht="15" customHeight="1" x14ac:dyDescent="0.3">
      <c r="A1707" s="164"/>
      <c r="B1707" s="165"/>
      <c r="C1707" s="166"/>
      <c r="D1707" s="166"/>
      <c r="E1707" s="166"/>
      <c r="F1707" s="60">
        <f>ПЛАТЕЖИ[[#This Row],[СЎМ]]+(ПЛАТЕЖИ[[#This Row],[ВАЛЮТА]]*ПЛАТЕЖИ[[#This Row],[КУРС]])</f>
        <v>0</v>
      </c>
      <c r="G1707" s="165"/>
      <c r="H1707" s="165"/>
      <c r="I1707" s="165"/>
    </row>
    <row r="1708" spans="1:9" ht="15" customHeight="1" x14ac:dyDescent="0.3">
      <c r="A1708" s="164"/>
      <c r="B1708" s="165"/>
      <c r="C1708" s="166"/>
      <c r="D1708" s="166"/>
      <c r="E1708" s="166"/>
      <c r="F1708" s="60">
        <f>ПЛАТЕЖИ[[#This Row],[СЎМ]]+(ПЛАТЕЖИ[[#This Row],[ВАЛЮТА]]*ПЛАТЕЖИ[[#This Row],[КУРС]])</f>
        <v>0</v>
      </c>
      <c r="G1708" s="165"/>
      <c r="H1708" s="165"/>
      <c r="I1708" s="165"/>
    </row>
    <row r="1709" spans="1:9" ht="15" customHeight="1" x14ac:dyDescent="0.3">
      <c r="A1709" s="164"/>
      <c r="B1709" s="165"/>
      <c r="C1709" s="166"/>
      <c r="D1709" s="166"/>
      <c r="E1709" s="166"/>
      <c r="F1709" s="60">
        <f>ПЛАТЕЖИ[[#This Row],[СЎМ]]+(ПЛАТЕЖИ[[#This Row],[ВАЛЮТА]]*ПЛАТЕЖИ[[#This Row],[КУРС]])</f>
        <v>0</v>
      </c>
      <c r="G1709" s="165"/>
      <c r="H1709" s="165"/>
      <c r="I1709" s="165"/>
    </row>
    <row r="1710" spans="1:9" ht="15" customHeight="1" x14ac:dyDescent="0.3">
      <c r="A1710" s="164"/>
      <c r="B1710" s="165"/>
      <c r="C1710" s="166"/>
      <c r="D1710" s="166"/>
      <c r="E1710" s="166"/>
      <c r="F1710" s="60">
        <f>ПЛАТЕЖИ[[#This Row],[СЎМ]]+(ПЛАТЕЖИ[[#This Row],[ВАЛЮТА]]*ПЛАТЕЖИ[[#This Row],[КУРС]])</f>
        <v>0</v>
      </c>
      <c r="G1710" s="165"/>
      <c r="H1710" s="165"/>
      <c r="I1710" s="165"/>
    </row>
    <row r="1711" spans="1:9" ht="15" customHeight="1" x14ac:dyDescent="0.3">
      <c r="A1711" s="164"/>
      <c r="B1711" s="165"/>
      <c r="C1711" s="166"/>
      <c r="D1711" s="166"/>
      <c r="E1711" s="166"/>
      <c r="F1711" s="60">
        <f>ПЛАТЕЖИ[[#This Row],[СЎМ]]+(ПЛАТЕЖИ[[#This Row],[ВАЛЮТА]]*ПЛАТЕЖИ[[#This Row],[КУРС]])</f>
        <v>0</v>
      </c>
      <c r="G1711" s="165"/>
      <c r="H1711" s="165"/>
      <c r="I1711" s="165"/>
    </row>
    <row r="1712" spans="1:9" ht="15" customHeight="1" x14ac:dyDescent="0.3">
      <c r="A1712" s="164"/>
      <c r="B1712" s="165"/>
      <c r="C1712" s="166"/>
      <c r="D1712" s="166"/>
      <c r="E1712" s="166"/>
      <c r="F1712" s="60">
        <f>ПЛАТЕЖИ[[#This Row],[СЎМ]]+(ПЛАТЕЖИ[[#This Row],[ВАЛЮТА]]*ПЛАТЕЖИ[[#This Row],[КУРС]])</f>
        <v>0</v>
      </c>
      <c r="G1712" s="165"/>
      <c r="H1712" s="165"/>
      <c r="I1712" s="165"/>
    </row>
    <row r="1713" spans="1:9" ht="15" customHeight="1" x14ac:dyDescent="0.3">
      <c r="A1713" s="164"/>
      <c r="B1713" s="165"/>
      <c r="C1713" s="166"/>
      <c r="D1713" s="166"/>
      <c r="E1713" s="166"/>
      <c r="F1713" s="60">
        <f>ПЛАТЕЖИ[[#This Row],[СЎМ]]+(ПЛАТЕЖИ[[#This Row],[ВАЛЮТА]]*ПЛАТЕЖИ[[#This Row],[КУРС]])</f>
        <v>0</v>
      </c>
      <c r="G1713" s="165"/>
      <c r="H1713" s="165"/>
      <c r="I1713" s="165"/>
    </row>
    <row r="1714" spans="1:9" ht="15" customHeight="1" x14ac:dyDescent="0.3">
      <c r="A1714" s="164"/>
      <c r="B1714" s="165"/>
      <c r="C1714" s="166"/>
      <c r="D1714" s="166"/>
      <c r="E1714" s="166"/>
      <c r="F1714" s="60">
        <f>ПЛАТЕЖИ[[#This Row],[СЎМ]]+(ПЛАТЕЖИ[[#This Row],[ВАЛЮТА]]*ПЛАТЕЖИ[[#This Row],[КУРС]])</f>
        <v>0</v>
      </c>
      <c r="G1714" s="165"/>
      <c r="H1714" s="165"/>
      <c r="I1714" s="165"/>
    </row>
    <row r="1715" spans="1:9" ht="15" customHeight="1" x14ac:dyDescent="0.3">
      <c r="A1715" s="164"/>
      <c r="B1715" s="165"/>
      <c r="C1715" s="166"/>
      <c r="D1715" s="166"/>
      <c r="E1715" s="166"/>
      <c r="F1715" s="60">
        <f>ПЛАТЕЖИ[[#This Row],[СЎМ]]+(ПЛАТЕЖИ[[#This Row],[ВАЛЮТА]]*ПЛАТЕЖИ[[#This Row],[КУРС]])</f>
        <v>0</v>
      </c>
      <c r="G1715" s="165"/>
      <c r="H1715" s="165"/>
      <c r="I1715" s="165"/>
    </row>
    <row r="1716" spans="1:9" ht="15" customHeight="1" x14ac:dyDescent="0.3">
      <c r="A1716" s="164"/>
      <c r="B1716" s="165"/>
      <c r="C1716" s="166"/>
      <c r="D1716" s="166"/>
      <c r="E1716" s="166"/>
      <c r="F1716" s="60">
        <f>ПЛАТЕЖИ[[#This Row],[СЎМ]]+(ПЛАТЕЖИ[[#This Row],[ВАЛЮТА]]*ПЛАТЕЖИ[[#This Row],[КУРС]])</f>
        <v>0</v>
      </c>
      <c r="G1716" s="165"/>
      <c r="H1716" s="165"/>
      <c r="I1716" s="165"/>
    </row>
    <row r="1717" spans="1:9" ht="15" customHeight="1" x14ac:dyDescent="0.3">
      <c r="A1717" s="164"/>
      <c r="B1717" s="165"/>
      <c r="C1717" s="166"/>
      <c r="D1717" s="166"/>
      <c r="E1717" s="166"/>
      <c r="F1717" s="60">
        <f>ПЛАТЕЖИ[[#This Row],[СЎМ]]+(ПЛАТЕЖИ[[#This Row],[ВАЛЮТА]]*ПЛАТЕЖИ[[#This Row],[КУРС]])</f>
        <v>0</v>
      </c>
      <c r="G1717" s="165"/>
      <c r="H1717" s="165"/>
      <c r="I1717" s="165"/>
    </row>
    <row r="1718" spans="1:9" ht="15" customHeight="1" x14ac:dyDescent="0.3">
      <c r="A1718" s="164"/>
      <c r="B1718" s="165"/>
      <c r="C1718" s="166"/>
      <c r="D1718" s="166"/>
      <c r="E1718" s="166"/>
      <c r="F1718" s="60">
        <f>ПЛАТЕЖИ[[#This Row],[СЎМ]]+(ПЛАТЕЖИ[[#This Row],[ВАЛЮТА]]*ПЛАТЕЖИ[[#This Row],[КУРС]])</f>
        <v>0</v>
      </c>
      <c r="G1718" s="165"/>
      <c r="H1718" s="165"/>
      <c r="I1718" s="165"/>
    </row>
    <row r="1719" spans="1:9" ht="15" customHeight="1" x14ac:dyDescent="0.3">
      <c r="A1719" s="164"/>
      <c r="B1719" s="165"/>
      <c r="C1719" s="166"/>
      <c r="D1719" s="166"/>
      <c r="E1719" s="166"/>
      <c r="F1719" s="60">
        <f>ПЛАТЕЖИ[[#This Row],[СЎМ]]+(ПЛАТЕЖИ[[#This Row],[ВАЛЮТА]]*ПЛАТЕЖИ[[#This Row],[КУРС]])</f>
        <v>0</v>
      </c>
      <c r="G1719" s="165"/>
      <c r="H1719" s="165"/>
      <c r="I1719" s="165"/>
    </row>
    <row r="1720" spans="1:9" ht="15" customHeight="1" x14ac:dyDescent="0.3">
      <c r="A1720" s="164"/>
      <c r="B1720" s="165"/>
      <c r="C1720" s="166"/>
      <c r="D1720" s="166"/>
      <c r="E1720" s="166"/>
      <c r="F1720" s="60">
        <f>ПЛАТЕЖИ[[#This Row],[СЎМ]]+(ПЛАТЕЖИ[[#This Row],[ВАЛЮТА]]*ПЛАТЕЖИ[[#This Row],[КУРС]])</f>
        <v>0</v>
      </c>
      <c r="G1720" s="165"/>
      <c r="H1720" s="165"/>
      <c r="I1720" s="165"/>
    </row>
    <row r="1721" spans="1:9" ht="15" customHeight="1" x14ac:dyDescent="0.3">
      <c r="A1721" s="164"/>
      <c r="B1721" s="165"/>
      <c r="C1721" s="166"/>
      <c r="D1721" s="166"/>
      <c r="E1721" s="166"/>
      <c r="F1721" s="60">
        <f>ПЛАТЕЖИ[[#This Row],[СЎМ]]+(ПЛАТЕЖИ[[#This Row],[ВАЛЮТА]]*ПЛАТЕЖИ[[#This Row],[КУРС]])</f>
        <v>0</v>
      </c>
      <c r="G1721" s="165"/>
      <c r="H1721" s="165"/>
      <c r="I1721" s="165"/>
    </row>
    <row r="1722" spans="1:9" ht="15" customHeight="1" x14ac:dyDescent="0.3">
      <c r="A1722" s="164"/>
      <c r="B1722" s="165"/>
      <c r="C1722" s="166"/>
      <c r="D1722" s="166"/>
      <c r="E1722" s="166"/>
      <c r="F1722" s="60">
        <f>ПЛАТЕЖИ[[#This Row],[СЎМ]]+(ПЛАТЕЖИ[[#This Row],[ВАЛЮТА]]*ПЛАТЕЖИ[[#This Row],[КУРС]])</f>
        <v>0</v>
      </c>
      <c r="G1722" s="165"/>
      <c r="H1722" s="165"/>
      <c r="I1722" s="165"/>
    </row>
    <row r="1723" spans="1:9" ht="15" customHeight="1" x14ac:dyDescent="0.3">
      <c r="A1723" s="164"/>
      <c r="B1723" s="165"/>
      <c r="C1723" s="166"/>
      <c r="D1723" s="166"/>
      <c r="E1723" s="166"/>
      <c r="F1723" s="60">
        <f>ПЛАТЕЖИ[[#This Row],[СЎМ]]+(ПЛАТЕЖИ[[#This Row],[ВАЛЮТА]]*ПЛАТЕЖИ[[#This Row],[КУРС]])</f>
        <v>0</v>
      </c>
      <c r="G1723" s="165"/>
      <c r="H1723" s="165"/>
      <c r="I1723" s="165"/>
    </row>
    <row r="1724" spans="1:9" ht="15" customHeight="1" x14ac:dyDescent="0.3">
      <c r="A1724" s="164"/>
      <c r="B1724" s="165"/>
      <c r="C1724" s="166"/>
      <c r="D1724" s="166"/>
      <c r="E1724" s="166"/>
      <c r="F1724" s="60">
        <f>ПЛАТЕЖИ[[#This Row],[СЎМ]]+(ПЛАТЕЖИ[[#This Row],[ВАЛЮТА]]*ПЛАТЕЖИ[[#This Row],[КУРС]])</f>
        <v>0</v>
      </c>
      <c r="G1724" s="165"/>
      <c r="H1724" s="165"/>
      <c r="I1724" s="165"/>
    </row>
    <row r="1725" spans="1:9" ht="15" customHeight="1" x14ac:dyDescent="0.3">
      <c r="A1725" s="164"/>
      <c r="B1725" s="165"/>
      <c r="C1725" s="166"/>
      <c r="D1725" s="166"/>
      <c r="E1725" s="166"/>
      <c r="F1725" s="60">
        <f>ПЛАТЕЖИ[[#This Row],[СЎМ]]+(ПЛАТЕЖИ[[#This Row],[ВАЛЮТА]]*ПЛАТЕЖИ[[#This Row],[КУРС]])</f>
        <v>0</v>
      </c>
      <c r="G1725" s="165"/>
      <c r="H1725" s="165"/>
      <c r="I1725" s="165"/>
    </row>
    <row r="1726" spans="1:9" ht="15" customHeight="1" x14ac:dyDescent="0.3">
      <c r="A1726" s="164"/>
      <c r="B1726" s="165"/>
      <c r="C1726" s="166"/>
      <c r="D1726" s="166"/>
      <c r="E1726" s="166"/>
      <c r="F1726" s="60">
        <f>ПЛАТЕЖИ[[#This Row],[СЎМ]]+(ПЛАТЕЖИ[[#This Row],[ВАЛЮТА]]*ПЛАТЕЖИ[[#This Row],[КУРС]])</f>
        <v>0</v>
      </c>
      <c r="G1726" s="165"/>
      <c r="H1726" s="165"/>
      <c r="I1726" s="165"/>
    </row>
    <row r="1727" spans="1:9" ht="15" customHeight="1" x14ac:dyDescent="0.3">
      <c r="A1727" s="164"/>
      <c r="B1727" s="165"/>
      <c r="C1727" s="166"/>
      <c r="D1727" s="166"/>
      <c r="E1727" s="166"/>
      <c r="F1727" s="60">
        <f>ПЛАТЕЖИ[[#This Row],[СЎМ]]+(ПЛАТЕЖИ[[#This Row],[ВАЛЮТА]]*ПЛАТЕЖИ[[#This Row],[КУРС]])</f>
        <v>0</v>
      </c>
      <c r="G1727" s="165"/>
      <c r="H1727" s="165"/>
      <c r="I1727" s="165"/>
    </row>
    <row r="1728" spans="1:9" ht="15" customHeight="1" x14ac:dyDescent="0.3">
      <c r="A1728" s="164"/>
      <c r="B1728" s="165"/>
      <c r="C1728" s="166"/>
      <c r="D1728" s="166"/>
      <c r="E1728" s="166"/>
      <c r="F1728" s="60">
        <f>ПЛАТЕЖИ[[#This Row],[СЎМ]]+(ПЛАТЕЖИ[[#This Row],[ВАЛЮТА]]*ПЛАТЕЖИ[[#This Row],[КУРС]])</f>
        <v>0</v>
      </c>
      <c r="G1728" s="165"/>
      <c r="H1728" s="147"/>
      <c r="I1728" s="165"/>
    </row>
    <row r="1729" spans="1:9" ht="15" customHeight="1" x14ac:dyDescent="0.3">
      <c r="A1729" s="164"/>
      <c r="B1729" s="165"/>
      <c r="C1729" s="166"/>
      <c r="D1729" s="166"/>
      <c r="E1729" s="166"/>
      <c r="F1729" s="60">
        <f>ПЛАТЕЖИ[[#This Row],[СЎМ]]+(ПЛАТЕЖИ[[#This Row],[ВАЛЮТА]]*ПЛАТЕЖИ[[#This Row],[КУРС]])</f>
        <v>0</v>
      </c>
      <c r="G1729" s="165"/>
      <c r="H1729" s="165"/>
      <c r="I1729" s="165"/>
    </row>
    <row r="1730" spans="1:9" ht="15" customHeight="1" x14ac:dyDescent="0.3">
      <c r="A1730" s="164"/>
      <c r="B1730" s="165"/>
      <c r="C1730" s="166"/>
      <c r="D1730" s="166"/>
      <c r="E1730" s="166"/>
      <c r="F1730" s="60">
        <f>ПЛАТЕЖИ[[#This Row],[СЎМ]]+(ПЛАТЕЖИ[[#This Row],[ВАЛЮТА]]*ПЛАТЕЖИ[[#This Row],[КУРС]])</f>
        <v>0</v>
      </c>
      <c r="G1730" s="165"/>
      <c r="H1730" s="147"/>
      <c r="I1730" s="165"/>
    </row>
    <row r="1731" spans="1:9" ht="15" customHeight="1" x14ac:dyDescent="0.3">
      <c r="A1731" s="164"/>
      <c r="B1731" s="165"/>
      <c r="C1731" s="166"/>
      <c r="D1731" s="166"/>
      <c r="E1731" s="166"/>
      <c r="F1731" s="60">
        <f>ПЛАТЕЖИ[[#This Row],[СЎМ]]+(ПЛАТЕЖИ[[#This Row],[ВАЛЮТА]]*ПЛАТЕЖИ[[#This Row],[КУРС]])</f>
        <v>0</v>
      </c>
      <c r="G1731" s="165"/>
      <c r="H1731" s="147"/>
      <c r="I1731" s="165"/>
    </row>
    <row r="1732" spans="1:9" ht="15" customHeight="1" x14ac:dyDescent="0.3">
      <c r="A1732" s="164"/>
      <c r="B1732" s="165"/>
      <c r="C1732" s="166"/>
      <c r="D1732" s="166"/>
      <c r="E1732" s="166"/>
      <c r="F1732" s="60">
        <f>ПЛАТЕЖИ[[#This Row],[СЎМ]]+(ПЛАТЕЖИ[[#This Row],[ВАЛЮТА]]*ПЛАТЕЖИ[[#This Row],[КУРС]])</f>
        <v>0</v>
      </c>
      <c r="G1732" s="165"/>
      <c r="H1732" s="165"/>
      <c r="I1732" s="165"/>
    </row>
    <row r="1733" spans="1:9" ht="15" customHeight="1" x14ac:dyDescent="0.3">
      <c r="A1733" s="164"/>
      <c r="B1733" s="165"/>
      <c r="C1733" s="166"/>
      <c r="D1733" s="166"/>
      <c r="E1733" s="166"/>
      <c r="F1733" s="60">
        <f>ПЛАТЕЖИ[[#This Row],[СЎМ]]+(ПЛАТЕЖИ[[#This Row],[ВАЛЮТА]]*ПЛАТЕЖИ[[#This Row],[КУРС]])</f>
        <v>0</v>
      </c>
      <c r="G1733" s="165"/>
      <c r="H1733" s="165"/>
      <c r="I1733" s="165"/>
    </row>
    <row r="1734" spans="1:9" ht="15" customHeight="1" x14ac:dyDescent="0.3">
      <c r="A1734" s="164"/>
      <c r="B1734" s="165"/>
      <c r="C1734" s="166"/>
      <c r="D1734" s="166"/>
      <c r="E1734" s="166"/>
      <c r="F1734" s="60">
        <f>ПЛАТЕЖИ[[#This Row],[СЎМ]]+(ПЛАТЕЖИ[[#This Row],[ВАЛЮТА]]*ПЛАТЕЖИ[[#This Row],[КУРС]])</f>
        <v>0</v>
      </c>
      <c r="G1734" s="165"/>
      <c r="H1734" s="165"/>
      <c r="I1734" s="165"/>
    </row>
    <row r="1735" spans="1:9" ht="15" customHeight="1" x14ac:dyDescent="0.3">
      <c r="A1735" s="164"/>
      <c r="B1735" s="165"/>
      <c r="C1735" s="166"/>
      <c r="D1735" s="166"/>
      <c r="E1735" s="166"/>
      <c r="F1735" s="60">
        <f>ПЛАТЕЖИ[[#This Row],[СЎМ]]+(ПЛАТЕЖИ[[#This Row],[ВАЛЮТА]]*ПЛАТЕЖИ[[#This Row],[КУРС]])</f>
        <v>0</v>
      </c>
      <c r="G1735" s="165"/>
      <c r="H1735" s="165"/>
      <c r="I1735" s="165"/>
    </row>
    <row r="1736" spans="1:9" ht="15" customHeight="1" x14ac:dyDescent="0.3">
      <c r="A1736" s="164"/>
      <c r="B1736" s="165"/>
      <c r="C1736" s="166"/>
      <c r="D1736" s="166"/>
      <c r="E1736" s="166"/>
      <c r="F1736" s="60">
        <f>ПЛАТЕЖИ[[#This Row],[СЎМ]]+(ПЛАТЕЖИ[[#This Row],[ВАЛЮТА]]*ПЛАТЕЖИ[[#This Row],[КУРС]])</f>
        <v>0</v>
      </c>
      <c r="G1736" s="165"/>
      <c r="H1736" s="165"/>
      <c r="I1736" s="165"/>
    </row>
    <row r="1737" spans="1:9" ht="15" customHeight="1" x14ac:dyDescent="0.3">
      <c r="A1737" s="164"/>
      <c r="B1737" s="165"/>
      <c r="C1737" s="166"/>
      <c r="D1737" s="166"/>
      <c r="E1737" s="166"/>
      <c r="F1737" s="60">
        <f>ПЛАТЕЖИ[[#This Row],[СЎМ]]+(ПЛАТЕЖИ[[#This Row],[ВАЛЮТА]]*ПЛАТЕЖИ[[#This Row],[КУРС]])</f>
        <v>0</v>
      </c>
      <c r="G1737" s="165"/>
      <c r="H1737" s="165"/>
      <c r="I1737" s="165"/>
    </row>
    <row r="1738" spans="1:9" ht="15" customHeight="1" x14ac:dyDescent="0.3">
      <c r="A1738" s="164"/>
      <c r="B1738" s="165"/>
      <c r="C1738" s="166"/>
      <c r="D1738" s="166"/>
      <c r="E1738" s="166"/>
      <c r="F1738" s="60">
        <f>ПЛАТЕЖИ[[#This Row],[СЎМ]]+(ПЛАТЕЖИ[[#This Row],[ВАЛЮТА]]*ПЛАТЕЖИ[[#This Row],[КУРС]])</f>
        <v>0</v>
      </c>
      <c r="G1738" s="165"/>
      <c r="H1738" s="147"/>
      <c r="I1738" s="165"/>
    </row>
    <row r="1739" spans="1:9" ht="15" customHeight="1" x14ac:dyDescent="0.3">
      <c r="A1739" s="164"/>
      <c r="B1739" s="165"/>
      <c r="C1739" s="166"/>
      <c r="D1739" s="166"/>
      <c r="E1739" s="166"/>
      <c r="F1739" s="60">
        <f>ПЛАТЕЖИ[[#This Row],[СЎМ]]+(ПЛАТЕЖИ[[#This Row],[ВАЛЮТА]]*ПЛАТЕЖИ[[#This Row],[КУРС]])</f>
        <v>0</v>
      </c>
      <c r="G1739" s="165"/>
      <c r="H1739" s="165"/>
      <c r="I1739" s="165"/>
    </row>
    <row r="1740" spans="1:9" ht="15" customHeight="1" x14ac:dyDescent="0.3">
      <c r="A1740" s="164"/>
      <c r="B1740" s="165"/>
      <c r="C1740" s="166"/>
      <c r="D1740" s="166"/>
      <c r="E1740" s="166"/>
      <c r="F1740" s="60">
        <f>ПЛАТЕЖИ[[#This Row],[СЎМ]]+(ПЛАТЕЖИ[[#This Row],[ВАЛЮТА]]*ПЛАТЕЖИ[[#This Row],[КУРС]])</f>
        <v>0</v>
      </c>
      <c r="G1740" s="165"/>
      <c r="H1740" s="165"/>
      <c r="I1740" s="165"/>
    </row>
    <row r="1741" spans="1:9" ht="15" customHeight="1" x14ac:dyDescent="0.3">
      <c r="A1741" s="164"/>
      <c r="B1741" s="165"/>
      <c r="C1741" s="166"/>
      <c r="D1741" s="166"/>
      <c r="E1741" s="166"/>
      <c r="F1741" s="60">
        <f>ПЛАТЕЖИ[[#This Row],[СЎМ]]+(ПЛАТЕЖИ[[#This Row],[ВАЛЮТА]]*ПЛАТЕЖИ[[#This Row],[КУРС]])</f>
        <v>0</v>
      </c>
      <c r="G1741" s="165"/>
      <c r="H1741" s="165"/>
      <c r="I1741" s="165"/>
    </row>
    <row r="1742" spans="1:9" ht="15" customHeight="1" x14ac:dyDescent="0.3">
      <c r="A1742" s="164"/>
      <c r="B1742" s="165"/>
      <c r="C1742" s="166"/>
      <c r="D1742" s="166"/>
      <c r="E1742" s="166"/>
      <c r="F1742" s="60">
        <f>ПЛАТЕЖИ[[#This Row],[СЎМ]]+(ПЛАТЕЖИ[[#This Row],[ВАЛЮТА]]*ПЛАТЕЖИ[[#This Row],[КУРС]])</f>
        <v>0</v>
      </c>
      <c r="G1742" s="165"/>
      <c r="H1742" s="165"/>
      <c r="I1742" s="165"/>
    </row>
    <row r="1743" spans="1:9" ht="15" customHeight="1" x14ac:dyDescent="0.3">
      <c r="A1743" s="164"/>
      <c r="B1743" s="165"/>
      <c r="C1743" s="166"/>
      <c r="D1743" s="166"/>
      <c r="E1743" s="166"/>
      <c r="F1743" s="60">
        <f>ПЛАТЕЖИ[[#This Row],[СЎМ]]+(ПЛАТЕЖИ[[#This Row],[ВАЛЮТА]]*ПЛАТЕЖИ[[#This Row],[КУРС]])</f>
        <v>0</v>
      </c>
      <c r="G1743" s="165"/>
      <c r="H1743" s="165"/>
      <c r="I1743" s="165"/>
    </row>
    <row r="1744" spans="1:9" ht="15" customHeight="1" x14ac:dyDescent="0.3">
      <c r="A1744" s="164"/>
      <c r="B1744" s="165"/>
      <c r="C1744" s="166"/>
      <c r="D1744" s="166"/>
      <c r="E1744" s="166"/>
      <c r="F1744" s="60">
        <f>ПЛАТЕЖИ[[#This Row],[СЎМ]]+(ПЛАТЕЖИ[[#This Row],[ВАЛЮТА]]*ПЛАТЕЖИ[[#This Row],[КУРС]])</f>
        <v>0</v>
      </c>
      <c r="G1744" s="165"/>
      <c r="H1744" s="165"/>
      <c r="I1744" s="165"/>
    </row>
    <row r="1745" spans="1:9" ht="15" customHeight="1" x14ac:dyDescent="0.3">
      <c r="A1745" s="164"/>
      <c r="B1745" s="165"/>
      <c r="C1745" s="166"/>
      <c r="D1745" s="166"/>
      <c r="E1745" s="166"/>
      <c r="F1745" s="60">
        <f>ПЛАТЕЖИ[[#This Row],[СЎМ]]+(ПЛАТЕЖИ[[#This Row],[ВАЛЮТА]]*ПЛАТЕЖИ[[#This Row],[КУРС]])</f>
        <v>0</v>
      </c>
      <c r="G1745" s="165"/>
      <c r="H1745" s="165"/>
      <c r="I1745" s="165"/>
    </row>
    <row r="1746" spans="1:9" ht="15" customHeight="1" x14ac:dyDescent="0.3">
      <c r="A1746" s="164"/>
      <c r="B1746" s="165"/>
      <c r="C1746" s="166"/>
      <c r="D1746" s="166"/>
      <c r="E1746" s="166"/>
      <c r="F1746" s="60">
        <f>ПЛАТЕЖИ[[#This Row],[СЎМ]]+(ПЛАТЕЖИ[[#This Row],[ВАЛЮТА]]*ПЛАТЕЖИ[[#This Row],[КУРС]])</f>
        <v>0</v>
      </c>
      <c r="G1746" s="165"/>
      <c r="H1746" s="165"/>
      <c r="I1746" s="165"/>
    </row>
    <row r="1747" spans="1:9" ht="15" customHeight="1" x14ac:dyDescent="0.3">
      <c r="A1747" s="164"/>
      <c r="B1747" s="165"/>
      <c r="C1747" s="166"/>
      <c r="D1747" s="166"/>
      <c r="E1747" s="166"/>
      <c r="F1747" s="60">
        <f>ПЛАТЕЖИ[[#This Row],[СЎМ]]+(ПЛАТЕЖИ[[#This Row],[ВАЛЮТА]]*ПЛАТЕЖИ[[#This Row],[КУРС]])</f>
        <v>0</v>
      </c>
      <c r="G1747" s="165"/>
      <c r="H1747" s="165"/>
      <c r="I1747" s="165"/>
    </row>
    <row r="1748" spans="1:9" ht="15" customHeight="1" x14ac:dyDescent="0.3">
      <c r="A1748" s="164"/>
      <c r="B1748" s="165"/>
      <c r="C1748" s="166"/>
      <c r="D1748" s="166"/>
      <c r="E1748" s="166"/>
      <c r="F1748" s="60">
        <f>ПЛАТЕЖИ[[#This Row],[СЎМ]]+(ПЛАТЕЖИ[[#This Row],[ВАЛЮТА]]*ПЛАТЕЖИ[[#This Row],[КУРС]])</f>
        <v>0</v>
      </c>
      <c r="G1748" s="165"/>
      <c r="H1748" s="165"/>
      <c r="I1748" s="165"/>
    </row>
    <row r="1749" spans="1:9" ht="15" customHeight="1" x14ac:dyDescent="0.3">
      <c r="A1749" s="164"/>
      <c r="B1749" s="165"/>
      <c r="C1749" s="166"/>
      <c r="D1749" s="166"/>
      <c r="E1749" s="166"/>
      <c r="F1749" s="60">
        <f>ПЛАТЕЖИ[[#This Row],[СЎМ]]+(ПЛАТЕЖИ[[#This Row],[ВАЛЮТА]]*ПЛАТЕЖИ[[#This Row],[КУРС]])</f>
        <v>0</v>
      </c>
      <c r="G1749" s="165"/>
      <c r="H1749" s="165"/>
      <c r="I1749" s="165"/>
    </row>
    <row r="1750" spans="1:9" ht="15" customHeight="1" x14ac:dyDescent="0.3">
      <c r="A1750" s="164"/>
      <c r="B1750" s="165"/>
      <c r="C1750" s="166"/>
      <c r="D1750" s="166"/>
      <c r="E1750" s="166"/>
      <c r="F1750" s="60">
        <f>ПЛАТЕЖИ[[#This Row],[СЎМ]]+(ПЛАТЕЖИ[[#This Row],[ВАЛЮТА]]*ПЛАТЕЖИ[[#This Row],[КУРС]])</f>
        <v>0</v>
      </c>
      <c r="G1750" s="165"/>
      <c r="H1750" s="165"/>
      <c r="I1750" s="165"/>
    </row>
    <row r="1751" spans="1:9" ht="15" customHeight="1" x14ac:dyDescent="0.3">
      <c r="A1751" s="164"/>
      <c r="B1751" s="165"/>
      <c r="C1751" s="166"/>
      <c r="D1751" s="166"/>
      <c r="E1751" s="166"/>
      <c r="F1751" s="60">
        <f>ПЛАТЕЖИ[[#This Row],[СЎМ]]+(ПЛАТЕЖИ[[#This Row],[ВАЛЮТА]]*ПЛАТЕЖИ[[#This Row],[КУРС]])</f>
        <v>0</v>
      </c>
      <c r="G1751" s="165"/>
      <c r="H1751" s="165"/>
      <c r="I1751" s="165"/>
    </row>
    <row r="1752" spans="1:9" ht="15" customHeight="1" x14ac:dyDescent="0.3">
      <c r="A1752" s="164"/>
      <c r="B1752" s="165"/>
      <c r="C1752" s="166"/>
      <c r="D1752" s="166"/>
      <c r="E1752" s="166"/>
      <c r="F1752" s="60">
        <f>ПЛАТЕЖИ[[#This Row],[СЎМ]]+(ПЛАТЕЖИ[[#This Row],[ВАЛЮТА]]*ПЛАТЕЖИ[[#This Row],[КУРС]])</f>
        <v>0</v>
      </c>
      <c r="G1752" s="165"/>
      <c r="H1752" s="165"/>
      <c r="I1752" s="165"/>
    </row>
    <row r="1753" spans="1:9" ht="15" customHeight="1" x14ac:dyDescent="0.3">
      <c r="A1753" s="164"/>
      <c r="B1753" s="165"/>
      <c r="C1753" s="166"/>
      <c r="D1753" s="166"/>
      <c r="E1753" s="166"/>
      <c r="F1753" s="60">
        <f>ПЛАТЕЖИ[[#This Row],[СЎМ]]+(ПЛАТЕЖИ[[#This Row],[ВАЛЮТА]]*ПЛАТЕЖИ[[#This Row],[КУРС]])</f>
        <v>0</v>
      </c>
      <c r="G1753" s="165"/>
      <c r="H1753" s="165"/>
      <c r="I1753" s="165"/>
    </row>
    <row r="1754" spans="1:9" ht="15" customHeight="1" x14ac:dyDescent="0.3">
      <c r="A1754" s="164"/>
      <c r="B1754" s="165"/>
      <c r="C1754" s="166"/>
      <c r="D1754" s="166"/>
      <c r="E1754" s="166"/>
      <c r="F1754" s="60">
        <f>ПЛАТЕЖИ[[#This Row],[СЎМ]]+(ПЛАТЕЖИ[[#This Row],[ВАЛЮТА]]*ПЛАТЕЖИ[[#This Row],[КУРС]])</f>
        <v>0</v>
      </c>
      <c r="G1754" s="165"/>
      <c r="H1754" s="165"/>
      <c r="I1754" s="165"/>
    </row>
    <row r="1755" spans="1:9" ht="15" customHeight="1" x14ac:dyDescent="0.3">
      <c r="A1755" s="164"/>
      <c r="B1755" s="165"/>
      <c r="C1755" s="166"/>
      <c r="D1755" s="166"/>
      <c r="E1755" s="166"/>
      <c r="F1755" s="60">
        <f>ПЛАТЕЖИ[[#This Row],[СЎМ]]+(ПЛАТЕЖИ[[#This Row],[ВАЛЮТА]]*ПЛАТЕЖИ[[#This Row],[КУРС]])</f>
        <v>0</v>
      </c>
      <c r="G1755" s="165"/>
      <c r="H1755" s="165"/>
      <c r="I1755" s="165"/>
    </row>
    <row r="1756" spans="1:9" ht="15" customHeight="1" x14ac:dyDescent="0.3">
      <c r="A1756" s="164"/>
      <c r="B1756" s="165"/>
      <c r="C1756" s="166"/>
      <c r="D1756" s="166"/>
      <c r="E1756" s="166"/>
      <c r="F1756" s="60">
        <f>ПЛАТЕЖИ[[#This Row],[СЎМ]]+(ПЛАТЕЖИ[[#This Row],[ВАЛЮТА]]*ПЛАТЕЖИ[[#This Row],[КУРС]])</f>
        <v>0</v>
      </c>
      <c r="G1756" s="165"/>
      <c r="H1756" s="165"/>
      <c r="I1756" s="165"/>
    </row>
    <row r="1757" spans="1:9" ht="15" customHeight="1" x14ac:dyDescent="0.3">
      <c r="A1757" s="164"/>
      <c r="B1757" s="165"/>
      <c r="C1757" s="166"/>
      <c r="D1757" s="166"/>
      <c r="E1757" s="166"/>
      <c r="F1757" s="60">
        <f>ПЛАТЕЖИ[[#This Row],[СЎМ]]+(ПЛАТЕЖИ[[#This Row],[ВАЛЮТА]]*ПЛАТЕЖИ[[#This Row],[КУРС]])</f>
        <v>0</v>
      </c>
      <c r="G1757" s="165"/>
      <c r="H1757" s="165"/>
      <c r="I1757" s="165"/>
    </row>
    <row r="1758" spans="1:9" ht="15" customHeight="1" x14ac:dyDescent="0.3">
      <c r="A1758" s="164"/>
      <c r="B1758" s="165"/>
      <c r="C1758" s="166"/>
      <c r="D1758" s="166"/>
      <c r="E1758" s="166"/>
      <c r="F1758" s="60">
        <f>ПЛАТЕЖИ[[#This Row],[СЎМ]]+(ПЛАТЕЖИ[[#This Row],[ВАЛЮТА]]*ПЛАТЕЖИ[[#This Row],[КУРС]])</f>
        <v>0</v>
      </c>
      <c r="G1758" s="165"/>
      <c r="H1758" s="165"/>
      <c r="I1758" s="165"/>
    </row>
    <row r="1759" spans="1:9" ht="15" customHeight="1" x14ac:dyDescent="0.3">
      <c r="A1759" s="164"/>
      <c r="B1759" s="165"/>
      <c r="C1759" s="166"/>
      <c r="D1759" s="166"/>
      <c r="E1759" s="166"/>
      <c r="F1759" s="60">
        <f>ПЛАТЕЖИ[[#This Row],[СЎМ]]+(ПЛАТЕЖИ[[#This Row],[ВАЛЮТА]]*ПЛАТЕЖИ[[#This Row],[КУРС]])</f>
        <v>0</v>
      </c>
      <c r="G1759" s="165"/>
      <c r="H1759" s="165"/>
      <c r="I1759" s="165"/>
    </row>
    <row r="1760" spans="1:9" ht="15" customHeight="1" x14ac:dyDescent="0.3">
      <c r="A1760" s="164"/>
      <c r="B1760" s="165"/>
      <c r="C1760" s="166"/>
      <c r="D1760" s="166"/>
      <c r="E1760" s="166"/>
      <c r="F1760" s="60">
        <f>ПЛАТЕЖИ[[#This Row],[СЎМ]]+(ПЛАТЕЖИ[[#This Row],[ВАЛЮТА]]*ПЛАТЕЖИ[[#This Row],[КУРС]])</f>
        <v>0</v>
      </c>
      <c r="G1760" s="165"/>
      <c r="H1760" s="165"/>
      <c r="I1760" s="165"/>
    </row>
    <row r="1761" spans="1:9" ht="15" customHeight="1" x14ac:dyDescent="0.3">
      <c r="A1761" s="164"/>
      <c r="B1761" s="165"/>
      <c r="C1761" s="166"/>
      <c r="D1761" s="166"/>
      <c r="E1761" s="166"/>
      <c r="F1761" s="60">
        <f>ПЛАТЕЖИ[[#This Row],[СЎМ]]+(ПЛАТЕЖИ[[#This Row],[ВАЛЮТА]]*ПЛАТЕЖИ[[#This Row],[КУРС]])</f>
        <v>0</v>
      </c>
      <c r="G1761" s="165"/>
      <c r="H1761" s="165"/>
      <c r="I1761" s="165"/>
    </row>
    <row r="1762" spans="1:9" ht="15" customHeight="1" x14ac:dyDescent="0.3">
      <c r="A1762" s="164"/>
      <c r="B1762" s="165"/>
      <c r="C1762" s="166"/>
      <c r="D1762" s="166"/>
      <c r="E1762" s="166"/>
      <c r="F1762" s="60">
        <f>ПЛАТЕЖИ[[#This Row],[СЎМ]]+(ПЛАТЕЖИ[[#This Row],[ВАЛЮТА]]*ПЛАТЕЖИ[[#This Row],[КУРС]])</f>
        <v>0</v>
      </c>
      <c r="G1762" s="165"/>
      <c r="H1762" s="165"/>
      <c r="I1762" s="165"/>
    </row>
    <row r="1763" spans="1:9" ht="15" customHeight="1" x14ac:dyDescent="0.3">
      <c r="A1763" s="164"/>
      <c r="B1763" s="165"/>
      <c r="C1763" s="166"/>
      <c r="D1763" s="166"/>
      <c r="E1763" s="166"/>
      <c r="F1763" s="60">
        <f>ПЛАТЕЖИ[[#This Row],[СЎМ]]+(ПЛАТЕЖИ[[#This Row],[ВАЛЮТА]]*ПЛАТЕЖИ[[#This Row],[КУРС]])</f>
        <v>0</v>
      </c>
      <c r="G1763" s="165"/>
      <c r="H1763" s="165"/>
      <c r="I1763" s="165"/>
    </row>
    <row r="1764" spans="1:9" ht="15" customHeight="1" x14ac:dyDescent="0.3">
      <c r="A1764" s="164"/>
      <c r="B1764" s="165"/>
      <c r="C1764" s="166"/>
      <c r="D1764" s="166"/>
      <c r="E1764" s="166"/>
      <c r="F1764" s="60">
        <f>ПЛАТЕЖИ[[#This Row],[СЎМ]]+(ПЛАТЕЖИ[[#This Row],[ВАЛЮТА]]*ПЛАТЕЖИ[[#This Row],[КУРС]])</f>
        <v>0</v>
      </c>
      <c r="G1764" s="165"/>
      <c r="H1764" s="165"/>
      <c r="I1764" s="165"/>
    </row>
    <row r="1765" spans="1:9" ht="15" customHeight="1" x14ac:dyDescent="0.3">
      <c r="A1765" s="164"/>
      <c r="B1765" s="165"/>
      <c r="C1765" s="166"/>
      <c r="D1765" s="166"/>
      <c r="E1765" s="166"/>
      <c r="F1765" s="60">
        <f>ПЛАТЕЖИ[[#This Row],[СЎМ]]+(ПЛАТЕЖИ[[#This Row],[ВАЛЮТА]]*ПЛАТЕЖИ[[#This Row],[КУРС]])</f>
        <v>0</v>
      </c>
      <c r="G1765" s="165"/>
      <c r="H1765" s="165"/>
      <c r="I1765" s="165"/>
    </row>
    <row r="1766" spans="1:9" ht="15" customHeight="1" x14ac:dyDescent="0.3">
      <c r="A1766" s="164"/>
      <c r="B1766" s="165"/>
      <c r="C1766" s="166"/>
      <c r="D1766" s="166"/>
      <c r="E1766" s="166"/>
      <c r="F1766" s="60">
        <f>ПЛАТЕЖИ[[#This Row],[СЎМ]]+(ПЛАТЕЖИ[[#This Row],[ВАЛЮТА]]*ПЛАТЕЖИ[[#This Row],[КУРС]])</f>
        <v>0</v>
      </c>
      <c r="G1766" s="165"/>
      <c r="H1766" s="165"/>
      <c r="I1766" s="165"/>
    </row>
    <row r="1767" spans="1:9" ht="15" customHeight="1" x14ac:dyDescent="0.3">
      <c r="A1767" s="164"/>
      <c r="B1767" s="165"/>
      <c r="C1767" s="166"/>
      <c r="D1767" s="166"/>
      <c r="E1767" s="166"/>
      <c r="F1767" s="60">
        <f>ПЛАТЕЖИ[[#This Row],[СЎМ]]+(ПЛАТЕЖИ[[#This Row],[ВАЛЮТА]]*ПЛАТЕЖИ[[#This Row],[КУРС]])</f>
        <v>0</v>
      </c>
      <c r="G1767" s="165"/>
      <c r="H1767" s="165"/>
      <c r="I1767" s="165"/>
    </row>
    <row r="1768" spans="1:9" ht="15" customHeight="1" x14ac:dyDescent="0.3">
      <c r="A1768" s="164"/>
      <c r="B1768" s="165"/>
      <c r="C1768" s="166"/>
      <c r="D1768" s="166"/>
      <c r="E1768" s="166"/>
      <c r="F1768" s="60">
        <f>ПЛАТЕЖИ[[#This Row],[СЎМ]]+(ПЛАТЕЖИ[[#This Row],[ВАЛЮТА]]*ПЛАТЕЖИ[[#This Row],[КУРС]])</f>
        <v>0</v>
      </c>
      <c r="G1768" s="165"/>
      <c r="H1768" s="165"/>
      <c r="I1768" s="165"/>
    </row>
    <row r="1769" spans="1:9" ht="15" customHeight="1" x14ac:dyDescent="0.3">
      <c r="A1769" s="164"/>
      <c r="B1769" s="165"/>
      <c r="C1769" s="166"/>
      <c r="D1769" s="166"/>
      <c r="E1769" s="166"/>
      <c r="F1769" s="60">
        <f>ПЛАТЕЖИ[[#This Row],[СЎМ]]+(ПЛАТЕЖИ[[#This Row],[ВАЛЮТА]]*ПЛАТЕЖИ[[#This Row],[КУРС]])</f>
        <v>0</v>
      </c>
      <c r="G1769" s="165"/>
      <c r="H1769" s="165"/>
      <c r="I1769" s="165"/>
    </row>
    <row r="1770" spans="1:9" ht="15" customHeight="1" x14ac:dyDescent="0.3">
      <c r="A1770" s="164"/>
      <c r="B1770" s="165"/>
      <c r="C1770" s="166"/>
      <c r="D1770" s="166"/>
      <c r="E1770" s="166"/>
      <c r="F1770" s="60">
        <f>ПЛАТЕЖИ[[#This Row],[СЎМ]]+(ПЛАТЕЖИ[[#This Row],[ВАЛЮТА]]*ПЛАТЕЖИ[[#This Row],[КУРС]])</f>
        <v>0</v>
      </c>
      <c r="G1770" s="165"/>
      <c r="H1770" s="165"/>
      <c r="I1770" s="165"/>
    </row>
    <row r="1771" spans="1:9" ht="15" customHeight="1" x14ac:dyDescent="0.3">
      <c r="A1771" s="164"/>
      <c r="B1771" s="165"/>
      <c r="C1771" s="166"/>
      <c r="D1771" s="166"/>
      <c r="E1771" s="166"/>
      <c r="F1771" s="60">
        <f>ПЛАТЕЖИ[[#This Row],[СЎМ]]+(ПЛАТЕЖИ[[#This Row],[ВАЛЮТА]]*ПЛАТЕЖИ[[#This Row],[КУРС]])</f>
        <v>0</v>
      </c>
      <c r="G1771" s="165"/>
      <c r="H1771" s="165"/>
      <c r="I1771" s="165"/>
    </row>
    <row r="1772" spans="1:9" ht="15" customHeight="1" x14ac:dyDescent="0.3">
      <c r="A1772" s="164"/>
      <c r="B1772" s="165"/>
      <c r="C1772" s="166"/>
      <c r="D1772" s="166"/>
      <c r="E1772" s="166"/>
      <c r="F1772" s="60">
        <f>ПЛАТЕЖИ[[#This Row],[СЎМ]]+(ПЛАТЕЖИ[[#This Row],[ВАЛЮТА]]*ПЛАТЕЖИ[[#This Row],[КУРС]])</f>
        <v>0</v>
      </c>
      <c r="G1772" s="165"/>
      <c r="H1772" s="165"/>
      <c r="I1772" s="165"/>
    </row>
    <row r="1773" spans="1:9" ht="15" customHeight="1" x14ac:dyDescent="0.3">
      <c r="A1773" s="164"/>
      <c r="B1773" s="165"/>
      <c r="C1773" s="166"/>
      <c r="D1773" s="166"/>
      <c r="E1773" s="166"/>
      <c r="F1773" s="60">
        <f>ПЛАТЕЖИ[[#This Row],[СЎМ]]+(ПЛАТЕЖИ[[#This Row],[ВАЛЮТА]]*ПЛАТЕЖИ[[#This Row],[КУРС]])</f>
        <v>0</v>
      </c>
      <c r="G1773" s="165"/>
      <c r="H1773" s="165"/>
      <c r="I1773" s="165"/>
    </row>
    <row r="1774" spans="1:9" ht="15" customHeight="1" x14ac:dyDescent="0.3">
      <c r="A1774" s="164"/>
      <c r="B1774" s="165"/>
      <c r="C1774" s="166"/>
      <c r="D1774" s="166"/>
      <c r="E1774" s="166"/>
      <c r="F1774" s="60">
        <f>ПЛАТЕЖИ[[#This Row],[СЎМ]]+(ПЛАТЕЖИ[[#This Row],[ВАЛЮТА]]*ПЛАТЕЖИ[[#This Row],[КУРС]])</f>
        <v>0</v>
      </c>
      <c r="G1774" s="165"/>
      <c r="H1774" s="165"/>
      <c r="I1774" s="165"/>
    </row>
    <row r="1775" spans="1:9" ht="15" customHeight="1" x14ac:dyDescent="0.3">
      <c r="A1775" s="164"/>
      <c r="B1775" s="165"/>
      <c r="C1775" s="166"/>
      <c r="D1775" s="166"/>
      <c r="E1775" s="166"/>
      <c r="F1775" s="60">
        <f>ПЛАТЕЖИ[[#This Row],[СЎМ]]+(ПЛАТЕЖИ[[#This Row],[ВАЛЮТА]]*ПЛАТЕЖИ[[#This Row],[КУРС]])</f>
        <v>0</v>
      </c>
      <c r="G1775" s="165"/>
      <c r="H1775" s="165"/>
      <c r="I1775" s="165"/>
    </row>
    <row r="1776" spans="1:9" ht="15" customHeight="1" x14ac:dyDescent="0.3">
      <c r="A1776" s="164"/>
      <c r="B1776" s="165"/>
      <c r="C1776" s="166"/>
      <c r="D1776" s="166"/>
      <c r="E1776" s="166"/>
      <c r="F1776" s="60">
        <f>ПЛАТЕЖИ[[#This Row],[СЎМ]]+(ПЛАТЕЖИ[[#This Row],[ВАЛЮТА]]*ПЛАТЕЖИ[[#This Row],[КУРС]])</f>
        <v>0</v>
      </c>
      <c r="G1776" s="165"/>
      <c r="H1776" s="165"/>
      <c r="I1776" s="165"/>
    </row>
    <row r="1777" spans="1:9" ht="15" customHeight="1" x14ac:dyDescent="0.3">
      <c r="A1777" s="164"/>
      <c r="B1777" s="165"/>
      <c r="C1777" s="166"/>
      <c r="D1777" s="166"/>
      <c r="E1777" s="166"/>
      <c r="F1777" s="60">
        <f>ПЛАТЕЖИ[[#This Row],[СЎМ]]+(ПЛАТЕЖИ[[#This Row],[ВАЛЮТА]]*ПЛАТЕЖИ[[#This Row],[КУРС]])</f>
        <v>0</v>
      </c>
      <c r="G1777" s="165"/>
      <c r="H1777" s="165"/>
      <c r="I1777" s="165"/>
    </row>
    <row r="1778" spans="1:9" ht="15" customHeight="1" x14ac:dyDescent="0.3">
      <c r="A1778" s="164"/>
      <c r="B1778" s="165"/>
      <c r="C1778" s="166"/>
      <c r="D1778" s="166"/>
      <c r="E1778" s="166"/>
      <c r="F1778" s="60">
        <f>ПЛАТЕЖИ[[#This Row],[СЎМ]]+(ПЛАТЕЖИ[[#This Row],[ВАЛЮТА]]*ПЛАТЕЖИ[[#This Row],[КУРС]])</f>
        <v>0</v>
      </c>
      <c r="G1778" s="165"/>
      <c r="H1778" s="165"/>
      <c r="I1778" s="165"/>
    </row>
    <row r="1779" spans="1:9" ht="15" customHeight="1" x14ac:dyDescent="0.3">
      <c r="A1779" s="164"/>
      <c r="B1779" s="165"/>
      <c r="C1779" s="166"/>
      <c r="D1779" s="166"/>
      <c r="E1779" s="166"/>
      <c r="F1779" s="60">
        <f>ПЛАТЕЖИ[[#This Row],[СЎМ]]+(ПЛАТЕЖИ[[#This Row],[ВАЛЮТА]]*ПЛАТЕЖИ[[#This Row],[КУРС]])</f>
        <v>0</v>
      </c>
      <c r="G1779" s="165"/>
      <c r="H1779" s="165"/>
      <c r="I1779" s="165"/>
    </row>
    <row r="1780" spans="1:9" ht="15" customHeight="1" x14ac:dyDescent="0.3">
      <c r="A1780" s="164"/>
      <c r="B1780" s="165"/>
      <c r="C1780" s="166"/>
      <c r="D1780" s="166"/>
      <c r="E1780" s="166"/>
      <c r="F1780" s="60">
        <f>ПЛАТЕЖИ[[#This Row],[СЎМ]]+(ПЛАТЕЖИ[[#This Row],[ВАЛЮТА]]*ПЛАТЕЖИ[[#This Row],[КУРС]])</f>
        <v>0</v>
      </c>
      <c r="G1780" s="165"/>
      <c r="H1780" s="165"/>
      <c r="I1780" s="165"/>
    </row>
    <row r="1781" spans="1:9" ht="15" customHeight="1" x14ac:dyDescent="0.3">
      <c r="A1781" s="164"/>
      <c r="B1781" s="165"/>
      <c r="C1781" s="166"/>
      <c r="D1781" s="166"/>
      <c r="E1781" s="166"/>
      <c r="F1781" s="60">
        <f>ПЛАТЕЖИ[[#This Row],[СЎМ]]+(ПЛАТЕЖИ[[#This Row],[ВАЛЮТА]]*ПЛАТЕЖИ[[#This Row],[КУРС]])</f>
        <v>0</v>
      </c>
      <c r="G1781" s="165"/>
      <c r="H1781" s="165"/>
      <c r="I1781" s="165"/>
    </row>
    <row r="1782" spans="1:9" ht="15" customHeight="1" x14ac:dyDescent="0.3">
      <c r="A1782" s="164"/>
      <c r="B1782" s="165"/>
      <c r="C1782" s="166"/>
      <c r="D1782" s="166"/>
      <c r="E1782" s="166"/>
      <c r="F1782" s="60">
        <f>ПЛАТЕЖИ[[#This Row],[СЎМ]]+(ПЛАТЕЖИ[[#This Row],[ВАЛЮТА]]*ПЛАТЕЖИ[[#This Row],[КУРС]])</f>
        <v>0</v>
      </c>
      <c r="G1782" s="165"/>
      <c r="H1782" s="165"/>
      <c r="I1782" s="165"/>
    </row>
    <row r="1783" spans="1:9" ht="15" customHeight="1" x14ac:dyDescent="0.3">
      <c r="A1783" s="164"/>
      <c r="B1783" s="165"/>
      <c r="C1783" s="166"/>
      <c r="D1783" s="166"/>
      <c r="E1783" s="166"/>
      <c r="F1783" s="60">
        <f>ПЛАТЕЖИ[[#This Row],[СЎМ]]+(ПЛАТЕЖИ[[#This Row],[ВАЛЮТА]]*ПЛАТЕЖИ[[#This Row],[КУРС]])</f>
        <v>0</v>
      </c>
      <c r="G1783" s="165"/>
      <c r="H1783" s="165"/>
      <c r="I1783" s="165"/>
    </row>
    <row r="1784" spans="1:9" ht="15" customHeight="1" x14ac:dyDescent="0.3">
      <c r="A1784" s="164"/>
      <c r="B1784" s="165"/>
      <c r="C1784" s="166"/>
      <c r="D1784" s="166"/>
      <c r="E1784" s="166"/>
      <c r="F1784" s="60">
        <f>ПЛАТЕЖИ[[#This Row],[СЎМ]]+(ПЛАТЕЖИ[[#This Row],[ВАЛЮТА]]*ПЛАТЕЖИ[[#This Row],[КУРС]])</f>
        <v>0</v>
      </c>
      <c r="G1784" s="165"/>
      <c r="H1784" s="165"/>
      <c r="I1784" s="165"/>
    </row>
    <row r="1785" spans="1:9" ht="15" customHeight="1" x14ac:dyDescent="0.3">
      <c r="A1785" s="164"/>
      <c r="B1785" s="165"/>
      <c r="C1785" s="166"/>
      <c r="D1785" s="166"/>
      <c r="E1785" s="166"/>
      <c r="F1785" s="60">
        <f>ПЛАТЕЖИ[[#This Row],[СЎМ]]+(ПЛАТЕЖИ[[#This Row],[ВАЛЮТА]]*ПЛАТЕЖИ[[#This Row],[КУРС]])</f>
        <v>0</v>
      </c>
      <c r="G1785" s="165"/>
      <c r="H1785" s="165"/>
      <c r="I1785" s="165"/>
    </row>
    <row r="1786" spans="1:9" ht="15" customHeight="1" x14ac:dyDescent="0.3">
      <c r="A1786" s="164"/>
      <c r="B1786" s="165"/>
      <c r="C1786" s="166"/>
      <c r="D1786" s="166"/>
      <c r="E1786" s="166"/>
      <c r="F1786" s="60">
        <f>ПЛАТЕЖИ[[#This Row],[СЎМ]]+(ПЛАТЕЖИ[[#This Row],[ВАЛЮТА]]*ПЛАТЕЖИ[[#This Row],[КУРС]])</f>
        <v>0</v>
      </c>
      <c r="G1786" s="165"/>
      <c r="H1786" s="165"/>
      <c r="I1786" s="165"/>
    </row>
    <row r="1787" spans="1:9" ht="15" customHeight="1" x14ac:dyDescent="0.3">
      <c r="A1787" s="164"/>
      <c r="B1787" s="165"/>
      <c r="C1787" s="166"/>
      <c r="D1787" s="166"/>
      <c r="E1787" s="166"/>
      <c r="F1787" s="60">
        <f>ПЛАТЕЖИ[[#This Row],[СЎМ]]+(ПЛАТЕЖИ[[#This Row],[ВАЛЮТА]]*ПЛАТЕЖИ[[#This Row],[КУРС]])</f>
        <v>0</v>
      </c>
      <c r="G1787" s="165"/>
      <c r="H1787" s="165"/>
      <c r="I1787" s="165"/>
    </row>
    <row r="1788" spans="1:9" ht="15" customHeight="1" x14ac:dyDescent="0.3">
      <c r="A1788" s="164"/>
      <c r="B1788" s="165"/>
      <c r="C1788" s="166"/>
      <c r="D1788" s="166"/>
      <c r="E1788" s="166"/>
      <c r="F1788" s="60">
        <f>ПЛАТЕЖИ[[#This Row],[СЎМ]]+(ПЛАТЕЖИ[[#This Row],[ВАЛЮТА]]*ПЛАТЕЖИ[[#This Row],[КУРС]])</f>
        <v>0</v>
      </c>
      <c r="G1788" s="165"/>
      <c r="H1788" s="165"/>
      <c r="I1788" s="165"/>
    </row>
    <row r="1789" spans="1:9" ht="15" customHeight="1" x14ac:dyDescent="0.3">
      <c r="A1789" s="164"/>
      <c r="B1789" s="165"/>
      <c r="C1789" s="166"/>
      <c r="D1789" s="166"/>
      <c r="E1789" s="166"/>
      <c r="F1789" s="60">
        <f>ПЛАТЕЖИ[[#This Row],[СЎМ]]+(ПЛАТЕЖИ[[#This Row],[ВАЛЮТА]]*ПЛАТЕЖИ[[#This Row],[КУРС]])</f>
        <v>0</v>
      </c>
      <c r="G1789" s="165"/>
      <c r="H1789" s="165"/>
      <c r="I1789" s="165"/>
    </row>
    <row r="1790" spans="1:9" ht="15" customHeight="1" x14ac:dyDescent="0.3">
      <c r="A1790" s="164"/>
      <c r="B1790" s="165"/>
      <c r="C1790" s="166"/>
      <c r="D1790" s="166"/>
      <c r="E1790" s="166"/>
      <c r="F1790" s="60">
        <f>ПЛАТЕЖИ[[#This Row],[СЎМ]]+(ПЛАТЕЖИ[[#This Row],[ВАЛЮТА]]*ПЛАТЕЖИ[[#This Row],[КУРС]])</f>
        <v>0</v>
      </c>
      <c r="G1790" s="165"/>
      <c r="H1790" s="165"/>
      <c r="I1790" s="165"/>
    </row>
    <row r="1791" spans="1:9" ht="15" customHeight="1" x14ac:dyDescent="0.3">
      <c r="A1791" s="164"/>
      <c r="B1791" s="165"/>
      <c r="C1791" s="166"/>
      <c r="D1791" s="166"/>
      <c r="E1791" s="166"/>
      <c r="F1791" s="60">
        <f>ПЛАТЕЖИ[[#This Row],[СЎМ]]+(ПЛАТЕЖИ[[#This Row],[ВАЛЮТА]]*ПЛАТЕЖИ[[#This Row],[КУРС]])</f>
        <v>0</v>
      </c>
      <c r="G1791" s="165"/>
      <c r="H1791" s="165"/>
      <c r="I1791" s="165"/>
    </row>
    <row r="1792" spans="1:9" ht="15" customHeight="1" x14ac:dyDescent="0.3">
      <c r="A1792" s="164"/>
      <c r="B1792" s="165"/>
      <c r="C1792" s="166"/>
      <c r="D1792" s="166"/>
      <c r="E1792" s="166"/>
      <c r="F1792" s="60">
        <f>ПЛАТЕЖИ[[#This Row],[СЎМ]]+(ПЛАТЕЖИ[[#This Row],[ВАЛЮТА]]*ПЛАТЕЖИ[[#This Row],[КУРС]])</f>
        <v>0</v>
      </c>
      <c r="G1792" s="165"/>
      <c r="H1792" s="165"/>
      <c r="I1792" s="165"/>
    </row>
    <row r="1793" spans="1:9" ht="15" customHeight="1" x14ac:dyDescent="0.3">
      <c r="A1793" s="164"/>
      <c r="B1793" s="165"/>
      <c r="C1793" s="166"/>
      <c r="D1793" s="166"/>
      <c r="E1793" s="166"/>
      <c r="F1793" s="60">
        <f>ПЛАТЕЖИ[[#This Row],[СЎМ]]+(ПЛАТЕЖИ[[#This Row],[ВАЛЮТА]]*ПЛАТЕЖИ[[#This Row],[КУРС]])</f>
        <v>0</v>
      </c>
      <c r="G1793" s="165"/>
      <c r="H1793" s="165"/>
      <c r="I1793" s="165"/>
    </row>
    <row r="1794" spans="1:9" ht="15" customHeight="1" x14ac:dyDescent="0.3">
      <c r="A1794" s="164"/>
      <c r="B1794" s="165"/>
      <c r="C1794" s="166"/>
      <c r="D1794" s="166"/>
      <c r="E1794" s="166"/>
      <c r="F1794" s="60">
        <f>ПЛАТЕЖИ[[#This Row],[СЎМ]]+(ПЛАТЕЖИ[[#This Row],[ВАЛЮТА]]*ПЛАТЕЖИ[[#This Row],[КУРС]])</f>
        <v>0</v>
      </c>
      <c r="G1794" s="165"/>
      <c r="H1794" s="165"/>
      <c r="I1794" s="165"/>
    </row>
    <row r="1795" spans="1:9" ht="15" customHeight="1" x14ac:dyDescent="0.3">
      <c r="A1795" s="164"/>
      <c r="B1795" s="165"/>
      <c r="C1795" s="166"/>
      <c r="D1795" s="166"/>
      <c r="E1795" s="166"/>
      <c r="F1795" s="60">
        <f>ПЛАТЕЖИ[[#This Row],[СЎМ]]+(ПЛАТЕЖИ[[#This Row],[ВАЛЮТА]]*ПЛАТЕЖИ[[#This Row],[КУРС]])</f>
        <v>0</v>
      </c>
      <c r="G1795" s="165"/>
      <c r="H1795" s="165"/>
      <c r="I1795" s="165"/>
    </row>
    <row r="1796" spans="1:9" ht="15" customHeight="1" x14ac:dyDescent="0.3">
      <c r="A1796" s="164"/>
      <c r="B1796" s="165"/>
      <c r="C1796" s="166"/>
      <c r="D1796" s="166"/>
      <c r="E1796" s="166"/>
      <c r="F1796" s="60">
        <f>ПЛАТЕЖИ[[#This Row],[СЎМ]]+(ПЛАТЕЖИ[[#This Row],[ВАЛЮТА]]*ПЛАТЕЖИ[[#This Row],[КУРС]])</f>
        <v>0</v>
      </c>
      <c r="G1796" s="165"/>
      <c r="H1796" s="165"/>
      <c r="I1796" s="165"/>
    </row>
    <row r="1797" spans="1:9" ht="15" customHeight="1" x14ac:dyDescent="0.3">
      <c r="A1797" s="164"/>
      <c r="B1797" s="165"/>
      <c r="C1797" s="166"/>
      <c r="D1797" s="166"/>
      <c r="E1797" s="166"/>
      <c r="F1797" s="60">
        <f>ПЛАТЕЖИ[[#This Row],[СЎМ]]+(ПЛАТЕЖИ[[#This Row],[ВАЛЮТА]]*ПЛАТЕЖИ[[#This Row],[КУРС]])</f>
        <v>0</v>
      </c>
      <c r="G1797" s="165"/>
      <c r="H1797" s="165"/>
      <c r="I1797" s="165"/>
    </row>
    <row r="1798" spans="1:9" ht="15" customHeight="1" x14ac:dyDescent="0.3">
      <c r="A1798" s="164"/>
      <c r="B1798" s="165"/>
      <c r="C1798" s="166"/>
      <c r="D1798" s="166"/>
      <c r="E1798" s="166"/>
      <c r="F1798" s="60">
        <f>ПЛАТЕЖИ[[#This Row],[СЎМ]]+(ПЛАТЕЖИ[[#This Row],[ВАЛЮТА]]*ПЛАТЕЖИ[[#This Row],[КУРС]])</f>
        <v>0</v>
      </c>
      <c r="G1798" s="165"/>
      <c r="H1798" s="165"/>
      <c r="I1798" s="165"/>
    </row>
    <row r="1799" spans="1:9" ht="15" customHeight="1" x14ac:dyDescent="0.3">
      <c r="A1799" s="164"/>
      <c r="B1799" s="165"/>
      <c r="C1799" s="166"/>
      <c r="D1799" s="166"/>
      <c r="E1799" s="166"/>
      <c r="F1799" s="60">
        <f>ПЛАТЕЖИ[[#This Row],[СЎМ]]+(ПЛАТЕЖИ[[#This Row],[ВАЛЮТА]]*ПЛАТЕЖИ[[#This Row],[КУРС]])</f>
        <v>0</v>
      </c>
      <c r="G1799" s="165"/>
      <c r="H1799" s="165"/>
      <c r="I1799" s="165"/>
    </row>
    <row r="1800" spans="1:9" ht="15" customHeight="1" x14ac:dyDescent="0.3">
      <c r="A1800" s="164"/>
      <c r="B1800" s="165"/>
      <c r="C1800" s="166"/>
      <c r="D1800" s="166"/>
      <c r="E1800" s="166"/>
      <c r="F1800" s="60">
        <f>ПЛАТЕЖИ[[#This Row],[СЎМ]]+(ПЛАТЕЖИ[[#This Row],[ВАЛЮТА]]*ПЛАТЕЖИ[[#This Row],[КУРС]])</f>
        <v>0</v>
      </c>
      <c r="G1800" s="165"/>
      <c r="H1800" s="165"/>
      <c r="I1800" s="165"/>
    </row>
    <row r="1801" spans="1:9" ht="15" customHeight="1" x14ac:dyDescent="0.3">
      <c r="A1801" s="164"/>
      <c r="B1801" s="165"/>
      <c r="C1801" s="166"/>
      <c r="D1801" s="166"/>
      <c r="E1801" s="166"/>
      <c r="F1801" s="60">
        <f>ПЛАТЕЖИ[[#This Row],[СЎМ]]+(ПЛАТЕЖИ[[#This Row],[ВАЛЮТА]]*ПЛАТЕЖИ[[#This Row],[КУРС]])</f>
        <v>0</v>
      </c>
      <c r="G1801" s="165"/>
      <c r="H1801" s="165"/>
      <c r="I1801" s="165"/>
    </row>
    <row r="1802" spans="1:9" ht="15" customHeight="1" x14ac:dyDescent="0.3">
      <c r="A1802" s="164"/>
      <c r="B1802" s="165"/>
      <c r="C1802" s="166"/>
      <c r="D1802" s="166"/>
      <c r="E1802" s="166"/>
      <c r="F1802" s="60">
        <f>ПЛАТЕЖИ[[#This Row],[СЎМ]]+(ПЛАТЕЖИ[[#This Row],[ВАЛЮТА]]*ПЛАТЕЖИ[[#This Row],[КУРС]])</f>
        <v>0</v>
      </c>
      <c r="G1802" s="165"/>
      <c r="H1802" s="165"/>
      <c r="I1802" s="165"/>
    </row>
    <row r="1803" spans="1:9" ht="15" customHeight="1" x14ac:dyDescent="0.3">
      <c r="A1803" s="164"/>
      <c r="B1803" s="165"/>
      <c r="C1803" s="166"/>
      <c r="D1803" s="166"/>
      <c r="E1803" s="166"/>
      <c r="F1803" s="60">
        <f>ПЛАТЕЖИ[[#This Row],[СЎМ]]+(ПЛАТЕЖИ[[#This Row],[ВАЛЮТА]]*ПЛАТЕЖИ[[#This Row],[КУРС]])</f>
        <v>0</v>
      </c>
      <c r="G1803" s="165"/>
      <c r="H1803" s="165"/>
      <c r="I1803" s="165"/>
    </row>
    <row r="1804" spans="1:9" ht="15" customHeight="1" x14ac:dyDescent="0.3">
      <c r="A1804" s="164"/>
      <c r="B1804" s="165"/>
      <c r="C1804" s="166"/>
      <c r="D1804" s="166"/>
      <c r="E1804" s="166"/>
      <c r="F1804" s="60">
        <f>ПЛАТЕЖИ[[#This Row],[СЎМ]]+(ПЛАТЕЖИ[[#This Row],[ВАЛЮТА]]*ПЛАТЕЖИ[[#This Row],[КУРС]])</f>
        <v>0</v>
      </c>
      <c r="G1804" s="165"/>
      <c r="H1804" s="165"/>
      <c r="I1804" s="165"/>
    </row>
    <row r="1805" spans="1:9" ht="15" customHeight="1" x14ac:dyDescent="0.3">
      <c r="A1805" s="164"/>
      <c r="B1805" s="165"/>
      <c r="C1805" s="166"/>
      <c r="D1805" s="166"/>
      <c r="E1805" s="166"/>
      <c r="F1805" s="60">
        <f>ПЛАТЕЖИ[[#This Row],[СЎМ]]+(ПЛАТЕЖИ[[#This Row],[ВАЛЮТА]]*ПЛАТЕЖИ[[#This Row],[КУРС]])</f>
        <v>0</v>
      </c>
      <c r="G1805" s="165"/>
      <c r="H1805" s="165"/>
      <c r="I1805" s="165"/>
    </row>
    <row r="1806" spans="1:9" ht="15" customHeight="1" x14ac:dyDescent="0.3">
      <c r="A1806" s="164"/>
      <c r="B1806" s="165"/>
      <c r="C1806" s="166"/>
      <c r="D1806" s="166"/>
      <c r="E1806" s="166"/>
      <c r="F1806" s="60">
        <f>ПЛАТЕЖИ[[#This Row],[СЎМ]]+(ПЛАТЕЖИ[[#This Row],[ВАЛЮТА]]*ПЛАТЕЖИ[[#This Row],[КУРС]])</f>
        <v>0</v>
      </c>
      <c r="G1806" s="165"/>
      <c r="H1806" s="165"/>
      <c r="I1806" s="165"/>
    </row>
    <row r="1807" spans="1:9" ht="15" customHeight="1" x14ac:dyDescent="0.3">
      <c r="A1807" s="164"/>
      <c r="B1807" s="165"/>
      <c r="C1807" s="166"/>
      <c r="D1807" s="166"/>
      <c r="E1807" s="166"/>
      <c r="F1807" s="60">
        <f>ПЛАТЕЖИ[[#This Row],[СЎМ]]+(ПЛАТЕЖИ[[#This Row],[ВАЛЮТА]]*ПЛАТЕЖИ[[#This Row],[КУРС]])</f>
        <v>0</v>
      </c>
      <c r="G1807" s="165"/>
      <c r="H1807" s="165"/>
      <c r="I1807" s="165"/>
    </row>
    <row r="1808" spans="1:9" ht="15" customHeight="1" x14ac:dyDescent="0.3">
      <c r="A1808" s="164"/>
      <c r="B1808" s="165"/>
      <c r="C1808" s="166"/>
      <c r="D1808" s="166"/>
      <c r="E1808" s="166"/>
      <c r="F1808" s="60">
        <f>ПЛАТЕЖИ[[#This Row],[СЎМ]]+(ПЛАТЕЖИ[[#This Row],[ВАЛЮТА]]*ПЛАТЕЖИ[[#This Row],[КУРС]])</f>
        <v>0</v>
      </c>
      <c r="G1808" s="165"/>
      <c r="H1808" s="165"/>
      <c r="I1808" s="165"/>
    </row>
    <row r="1809" spans="1:9" ht="15" customHeight="1" x14ac:dyDescent="0.3">
      <c r="A1809" s="164"/>
      <c r="B1809" s="165"/>
      <c r="C1809" s="166"/>
      <c r="D1809" s="166"/>
      <c r="E1809" s="166"/>
      <c r="F1809" s="60">
        <f>ПЛАТЕЖИ[[#This Row],[СЎМ]]+(ПЛАТЕЖИ[[#This Row],[ВАЛЮТА]]*ПЛАТЕЖИ[[#This Row],[КУРС]])</f>
        <v>0</v>
      </c>
      <c r="G1809" s="165"/>
      <c r="H1809" s="165"/>
      <c r="I1809" s="165"/>
    </row>
    <row r="1810" spans="1:9" ht="15" customHeight="1" x14ac:dyDescent="0.3">
      <c r="A1810" s="164"/>
      <c r="B1810" s="165"/>
      <c r="C1810" s="166"/>
      <c r="D1810" s="166"/>
      <c r="E1810" s="166"/>
      <c r="F1810" s="60">
        <f>ПЛАТЕЖИ[[#This Row],[СЎМ]]+(ПЛАТЕЖИ[[#This Row],[ВАЛЮТА]]*ПЛАТЕЖИ[[#This Row],[КУРС]])</f>
        <v>0</v>
      </c>
      <c r="G1810" s="165"/>
      <c r="H1810" s="165"/>
      <c r="I1810" s="165"/>
    </row>
    <row r="1811" spans="1:9" ht="15" customHeight="1" x14ac:dyDescent="0.3">
      <c r="A1811" s="164"/>
      <c r="B1811" s="165"/>
      <c r="C1811" s="166"/>
      <c r="D1811" s="166"/>
      <c r="E1811" s="166"/>
      <c r="F1811" s="60">
        <f>ПЛАТЕЖИ[[#This Row],[СЎМ]]+(ПЛАТЕЖИ[[#This Row],[ВАЛЮТА]]*ПЛАТЕЖИ[[#This Row],[КУРС]])</f>
        <v>0</v>
      </c>
      <c r="G1811" s="165"/>
      <c r="H1811" s="165"/>
      <c r="I1811" s="165"/>
    </row>
    <row r="1812" spans="1:9" ht="15" customHeight="1" x14ac:dyDescent="0.3">
      <c r="A1812" s="164"/>
      <c r="B1812" s="165"/>
      <c r="C1812" s="166"/>
      <c r="D1812" s="166"/>
      <c r="E1812" s="166"/>
      <c r="F1812" s="60">
        <f>ПЛАТЕЖИ[[#This Row],[СЎМ]]+(ПЛАТЕЖИ[[#This Row],[ВАЛЮТА]]*ПЛАТЕЖИ[[#This Row],[КУРС]])</f>
        <v>0</v>
      </c>
      <c r="G1812" s="165"/>
      <c r="H1812" s="165"/>
      <c r="I1812" s="165"/>
    </row>
    <row r="1813" spans="1:9" ht="15" customHeight="1" x14ac:dyDescent="0.3">
      <c r="A1813" s="164"/>
      <c r="B1813" s="165"/>
      <c r="C1813" s="166"/>
      <c r="D1813" s="166"/>
      <c r="E1813" s="166"/>
      <c r="F1813" s="60">
        <f>ПЛАТЕЖИ[[#This Row],[СЎМ]]+(ПЛАТЕЖИ[[#This Row],[ВАЛЮТА]]*ПЛАТЕЖИ[[#This Row],[КУРС]])</f>
        <v>0</v>
      </c>
      <c r="G1813" s="165"/>
      <c r="H1813" s="165"/>
      <c r="I1813" s="165"/>
    </row>
    <row r="1814" spans="1:9" ht="15" customHeight="1" x14ac:dyDescent="0.3">
      <c r="A1814" s="164"/>
      <c r="B1814" s="165"/>
      <c r="C1814" s="166"/>
      <c r="D1814" s="166"/>
      <c r="E1814" s="166"/>
      <c r="F1814" s="60">
        <f>ПЛАТЕЖИ[[#This Row],[СЎМ]]+(ПЛАТЕЖИ[[#This Row],[ВАЛЮТА]]*ПЛАТЕЖИ[[#This Row],[КУРС]])</f>
        <v>0</v>
      </c>
      <c r="G1814" s="165"/>
      <c r="H1814" s="165"/>
      <c r="I1814" s="165"/>
    </row>
    <row r="1815" spans="1:9" ht="15" customHeight="1" x14ac:dyDescent="0.3">
      <c r="A1815" s="164"/>
      <c r="B1815" s="165"/>
      <c r="C1815" s="166"/>
      <c r="D1815" s="166"/>
      <c r="E1815" s="166"/>
      <c r="F1815" s="60">
        <f>ПЛАТЕЖИ[[#This Row],[СЎМ]]+(ПЛАТЕЖИ[[#This Row],[ВАЛЮТА]]*ПЛАТЕЖИ[[#This Row],[КУРС]])</f>
        <v>0</v>
      </c>
      <c r="G1815" s="165"/>
      <c r="H1815" s="165"/>
      <c r="I1815" s="165"/>
    </row>
    <row r="1816" spans="1:9" ht="15" customHeight="1" x14ac:dyDescent="0.3">
      <c r="A1816" s="164"/>
      <c r="B1816" s="165"/>
      <c r="C1816" s="166"/>
      <c r="D1816" s="166"/>
      <c r="E1816" s="166"/>
      <c r="F1816" s="60">
        <f>ПЛАТЕЖИ[[#This Row],[СЎМ]]+(ПЛАТЕЖИ[[#This Row],[ВАЛЮТА]]*ПЛАТЕЖИ[[#This Row],[КУРС]])</f>
        <v>0</v>
      </c>
      <c r="G1816" s="165"/>
      <c r="H1816" s="165"/>
      <c r="I1816" s="165"/>
    </row>
    <row r="1817" spans="1:9" ht="15" customHeight="1" x14ac:dyDescent="0.3">
      <c r="A1817" s="164"/>
      <c r="B1817" s="165"/>
      <c r="C1817" s="166"/>
      <c r="D1817" s="166"/>
      <c r="E1817" s="166"/>
      <c r="F1817" s="60">
        <f>ПЛАТЕЖИ[[#This Row],[СЎМ]]+(ПЛАТЕЖИ[[#This Row],[ВАЛЮТА]]*ПЛАТЕЖИ[[#This Row],[КУРС]])</f>
        <v>0</v>
      </c>
      <c r="G1817" s="165"/>
      <c r="H1817" s="165"/>
      <c r="I1817" s="165"/>
    </row>
    <row r="1818" spans="1:9" ht="15" customHeight="1" x14ac:dyDescent="0.3">
      <c r="A1818" s="164"/>
      <c r="B1818" s="165"/>
      <c r="C1818" s="166"/>
      <c r="D1818" s="166"/>
      <c r="E1818" s="166"/>
      <c r="F1818" s="60">
        <f>ПЛАТЕЖИ[[#This Row],[СЎМ]]+(ПЛАТЕЖИ[[#This Row],[ВАЛЮТА]]*ПЛАТЕЖИ[[#This Row],[КУРС]])</f>
        <v>0</v>
      </c>
      <c r="G1818" s="165"/>
      <c r="H1818" s="165"/>
      <c r="I1818" s="165"/>
    </row>
    <row r="1819" spans="1:9" ht="15" customHeight="1" x14ac:dyDescent="0.3">
      <c r="A1819" s="164"/>
      <c r="B1819" s="165"/>
      <c r="C1819" s="166"/>
      <c r="D1819" s="166"/>
      <c r="E1819" s="166"/>
      <c r="F1819" s="60">
        <f>ПЛАТЕЖИ[[#This Row],[СЎМ]]+(ПЛАТЕЖИ[[#This Row],[ВАЛЮТА]]*ПЛАТЕЖИ[[#This Row],[КУРС]])</f>
        <v>0</v>
      </c>
      <c r="G1819" s="165"/>
      <c r="H1819" s="165"/>
      <c r="I1819" s="165"/>
    </row>
    <row r="1820" spans="1:9" ht="15" customHeight="1" x14ac:dyDescent="0.3">
      <c r="A1820" s="164"/>
      <c r="B1820" s="165"/>
      <c r="C1820" s="166"/>
      <c r="D1820" s="166"/>
      <c r="E1820" s="166"/>
      <c r="F1820" s="60">
        <f>ПЛАТЕЖИ[[#This Row],[СЎМ]]+(ПЛАТЕЖИ[[#This Row],[ВАЛЮТА]]*ПЛАТЕЖИ[[#This Row],[КУРС]])</f>
        <v>0</v>
      </c>
      <c r="G1820" s="165"/>
      <c r="H1820" s="165"/>
      <c r="I1820" s="165"/>
    </row>
    <row r="1821" spans="1:9" ht="15" customHeight="1" x14ac:dyDescent="0.3">
      <c r="A1821" s="164"/>
      <c r="B1821" s="165"/>
      <c r="C1821" s="166"/>
      <c r="D1821" s="166"/>
      <c r="E1821" s="166"/>
      <c r="F1821" s="60">
        <f>ПЛАТЕЖИ[[#This Row],[СЎМ]]+(ПЛАТЕЖИ[[#This Row],[ВАЛЮТА]]*ПЛАТЕЖИ[[#This Row],[КУРС]])</f>
        <v>0</v>
      </c>
      <c r="G1821" s="165"/>
      <c r="H1821" s="165"/>
      <c r="I1821" s="165"/>
    </row>
    <row r="1822" spans="1:9" ht="15" customHeight="1" x14ac:dyDescent="0.3">
      <c r="A1822" s="164"/>
      <c r="B1822" s="165"/>
      <c r="C1822" s="166"/>
      <c r="D1822" s="166"/>
      <c r="E1822" s="166"/>
      <c r="F1822" s="60">
        <f>ПЛАТЕЖИ[[#This Row],[СЎМ]]+(ПЛАТЕЖИ[[#This Row],[ВАЛЮТА]]*ПЛАТЕЖИ[[#This Row],[КУРС]])</f>
        <v>0</v>
      </c>
      <c r="G1822" s="165"/>
      <c r="H1822" s="165"/>
      <c r="I1822" s="165"/>
    </row>
    <row r="1823" spans="1:9" ht="15" customHeight="1" x14ac:dyDescent="0.3">
      <c r="A1823" s="164"/>
      <c r="B1823" s="165"/>
      <c r="C1823" s="166"/>
      <c r="D1823" s="166"/>
      <c r="E1823" s="166"/>
      <c r="F1823" s="60">
        <f>ПЛАТЕЖИ[[#This Row],[СЎМ]]+(ПЛАТЕЖИ[[#This Row],[ВАЛЮТА]]*ПЛАТЕЖИ[[#This Row],[КУРС]])</f>
        <v>0</v>
      </c>
      <c r="G1823" s="165"/>
      <c r="H1823" s="165"/>
      <c r="I1823" s="165"/>
    </row>
    <row r="1824" spans="1:9" ht="15" customHeight="1" x14ac:dyDescent="0.3">
      <c r="A1824" s="164"/>
      <c r="B1824" s="165"/>
      <c r="C1824" s="166"/>
      <c r="D1824" s="166"/>
      <c r="E1824" s="166"/>
      <c r="F1824" s="60">
        <f>ПЛАТЕЖИ[[#This Row],[СЎМ]]+(ПЛАТЕЖИ[[#This Row],[ВАЛЮТА]]*ПЛАТЕЖИ[[#This Row],[КУРС]])</f>
        <v>0</v>
      </c>
      <c r="G1824" s="165"/>
      <c r="H1824" s="165"/>
      <c r="I1824" s="165"/>
    </row>
    <row r="1825" spans="1:9" ht="15" customHeight="1" x14ac:dyDescent="0.3">
      <c r="A1825" s="164"/>
      <c r="B1825" s="165"/>
      <c r="C1825" s="166"/>
      <c r="D1825" s="166"/>
      <c r="E1825" s="166"/>
      <c r="F1825" s="60">
        <f>ПЛАТЕЖИ[[#This Row],[СЎМ]]+(ПЛАТЕЖИ[[#This Row],[ВАЛЮТА]]*ПЛАТЕЖИ[[#This Row],[КУРС]])</f>
        <v>0</v>
      </c>
      <c r="G1825" s="165"/>
      <c r="H1825" s="165"/>
      <c r="I1825" s="165"/>
    </row>
    <row r="1826" spans="1:9" ht="15" customHeight="1" x14ac:dyDescent="0.3">
      <c r="A1826" s="164"/>
      <c r="B1826" s="165"/>
      <c r="C1826" s="166"/>
      <c r="D1826" s="166"/>
      <c r="E1826" s="166"/>
      <c r="F1826" s="60">
        <f>ПЛАТЕЖИ[[#This Row],[СЎМ]]+(ПЛАТЕЖИ[[#This Row],[ВАЛЮТА]]*ПЛАТЕЖИ[[#This Row],[КУРС]])</f>
        <v>0</v>
      </c>
      <c r="G1826" s="165"/>
      <c r="H1826" s="165"/>
      <c r="I1826" s="165"/>
    </row>
    <row r="1827" spans="1:9" ht="15" customHeight="1" x14ac:dyDescent="0.3">
      <c r="A1827" s="164"/>
      <c r="B1827" s="165"/>
      <c r="C1827" s="166"/>
      <c r="D1827" s="166"/>
      <c r="E1827" s="166"/>
      <c r="F1827" s="60">
        <f>ПЛАТЕЖИ[[#This Row],[СЎМ]]+(ПЛАТЕЖИ[[#This Row],[ВАЛЮТА]]*ПЛАТЕЖИ[[#This Row],[КУРС]])</f>
        <v>0</v>
      </c>
      <c r="G1827" s="165"/>
      <c r="H1827" s="165"/>
      <c r="I1827" s="165"/>
    </row>
    <row r="1828" spans="1:9" ht="15" customHeight="1" x14ac:dyDescent="0.3">
      <c r="A1828" s="164"/>
      <c r="B1828" s="165"/>
      <c r="C1828" s="166"/>
      <c r="D1828" s="166"/>
      <c r="E1828" s="166"/>
      <c r="F1828" s="60">
        <f>ПЛАТЕЖИ[[#This Row],[СЎМ]]+(ПЛАТЕЖИ[[#This Row],[ВАЛЮТА]]*ПЛАТЕЖИ[[#This Row],[КУРС]])</f>
        <v>0</v>
      </c>
      <c r="G1828" s="165"/>
      <c r="H1828" s="165"/>
      <c r="I1828" s="165"/>
    </row>
    <row r="1829" spans="1:9" ht="15" customHeight="1" x14ac:dyDescent="0.3">
      <c r="A1829" s="164"/>
      <c r="B1829" s="165"/>
      <c r="C1829" s="166"/>
      <c r="D1829" s="166"/>
      <c r="E1829" s="166"/>
      <c r="F1829" s="60">
        <f>ПЛАТЕЖИ[[#This Row],[СЎМ]]+(ПЛАТЕЖИ[[#This Row],[ВАЛЮТА]]*ПЛАТЕЖИ[[#This Row],[КУРС]])</f>
        <v>0</v>
      </c>
      <c r="G1829" s="165"/>
      <c r="H1829" s="165"/>
      <c r="I1829" s="165"/>
    </row>
    <row r="1830" spans="1:9" ht="15" customHeight="1" x14ac:dyDescent="0.3">
      <c r="A1830" s="164"/>
      <c r="B1830" s="165"/>
      <c r="C1830" s="166"/>
      <c r="D1830" s="166"/>
      <c r="E1830" s="166"/>
      <c r="F1830" s="60">
        <f>ПЛАТЕЖИ[[#This Row],[СЎМ]]+(ПЛАТЕЖИ[[#This Row],[ВАЛЮТА]]*ПЛАТЕЖИ[[#This Row],[КУРС]])</f>
        <v>0</v>
      </c>
      <c r="G1830" s="165"/>
      <c r="H1830" s="165"/>
      <c r="I1830" s="165"/>
    </row>
    <row r="1831" spans="1:9" ht="15" customHeight="1" x14ac:dyDescent="0.3">
      <c r="A1831" s="164"/>
      <c r="B1831" s="165"/>
      <c r="C1831" s="166"/>
      <c r="D1831" s="166"/>
      <c r="E1831" s="166"/>
      <c r="F1831" s="60">
        <f>ПЛАТЕЖИ[[#This Row],[СЎМ]]+(ПЛАТЕЖИ[[#This Row],[ВАЛЮТА]]*ПЛАТЕЖИ[[#This Row],[КУРС]])</f>
        <v>0</v>
      </c>
      <c r="G1831" s="165"/>
      <c r="H1831" s="165"/>
      <c r="I1831" s="165"/>
    </row>
    <row r="1832" spans="1:9" ht="15" customHeight="1" x14ac:dyDescent="0.3">
      <c r="A1832" s="164"/>
      <c r="B1832" s="165"/>
      <c r="C1832" s="166"/>
      <c r="D1832" s="166"/>
      <c r="E1832" s="166"/>
      <c r="F1832" s="60">
        <f>ПЛАТЕЖИ[[#This Row],[СЎМ]]+(ПЛАТЕЖИ[[#This Row],[ВАЛЮТА]]*ПЛАТЕЖИ[[#This Row],[КУРС]])</f>
        <v>0</v>
      </c>
      <c r="G1832" s="165"/>
      <c r="H1832" s="165"/>
      <c r="I1832" s="165"/>
    </row>
    <row r="1833" spans="1:9" ht="15" customHeight="1" x14ac:dyDescent="0.3">
      <c r="A1833" s="164"/>
      <c r="B1833" s="165"/>
      <c r="C1833" s="166"/>
      <c r="D1833" s="166"/>
      <c r="E1833" s="166"/>
      <c r="F1833" s="60">
        <f>ПЛАТЕЖИ[[#This Row],[СЎМ]]+(ПЛАТЕЖИ[[#This Row],[ВАЛЮТА]]*ПЛАТЕЖИ[[#This Row],[КУРС]])</f>
        <v>0</v>
      </c>
      <c r="G1833" s="165"/>
      <c r="H1833" s="165"/>
      <c r="I1833" s="165"/>
    </row>
    <row r="1834" spans="1:9" ht="15" customHeight="1" x14ac:dyDescent="0.3">
      <c r="A1834" s="164"/>
      <c r="B1834" s="165"/>
      <c r="C1834" s="166"/>
      <c r="D1834" s="166"/>
      <c r="E1834" s="166"/>
      <c r="F1834" s="60">
        <f>ПЛАТЕЖИ[[#This Row],[СЎМ]]+(ПЛАТЕЖИ[[#This Row],[ВАЛЮТА]]*ПЛАТЕЖИ[[#This Row],[КУРС]])</f>
        <v>0</v>
      </c>
      <c r="G1834" s="165"/>
      <c r="H1834" s="165"/>
      <c r="I1834" s="165"/>
    </row>
    <row r="1835" spans="1:9" ht="15" customHeight="1" x14ac:dyDescent="0.3">
      <c r="A1835" s="164"/>
      <c r="B1835" s="165"/>
      <c r="C1835" s="166"/>
      <c r="D1835" s="166"/>
      <c r="E1835" s="166"/>
      <c r="F1835" s="60">
        <f>ПЛАТЕЖИ[[#This Row],[СЎМ]]+(ПЛАТЕЖИ[[#This Row],[ВАЛЮТА]]*ПЛАТЕЖИ[[#This Row],[КУРС]])</f>
        <v>0</v>
      </c>
      <c r="G1835" s="165"/>
      <c r="H1835" s="165"/>
      <c r="I1835" s="165"/>
    </row>
    <row r="1836" spans="1:9" ht="15" customHeight="1" x14ac:dyDescent="0.3">
      <c r="A1836" s="164"/>
      <c r="B1836" s="165"/>
      <c r="C1836" s="166"/>
      <c r="D1836" s="166"/>
      <c r="E1836" s="166"/>
      <c r="F1836" s="60">
        <f>ПЛАТЕЖИ[[#This Row],[СЎМ]]+(ПЛАТЕЖИ[[#This Row],[ВАЛЮТА]]*ПЛАТЕЖИ[[#This Row],[КУРС]])</f>
        <v>0</v>
      </c>
      <c r="G1836" s="165"/>
      <c r="H1836" s="165"/>
      <c r="I1836" s="165"/>
    </row>
    <row r="1837" spans="1:9" ht="15" customHeight="1" x14ac:dyDescent="0.3">
      <c r="A1837" s="164"/>
      <c r="B1837" s="165"/>
      <c r="C1837" s="166"/>
      <c r="D1837" s="166"/>
      <c r="E1837" s="166"/>
      <c r="F1837" s="60">
        <f>ПЛАТЕЖИ[[#This Row],[СЎМ]]+(ПЛАТЕЖИ[[#This Row],[ВАЛЮТА]]*ПЛАТЕЖИ[[#This Row],[КУРС]])</f>
        <v>0</v>
      </c>
      <c r="G1837" s="165"/>
      <c r="H1837" s="165"/>
      <c r="I1837" s="165"/>
    </row>
    <row r="1838" spans="1:9" ht="15" customHeight="1" x14ac:dyDescent="0.3">
      <c r="A1838" s="164"/>
      <c r="B1838" s="165"/>
      <c r="C1838" s="166"/>
      <c r="D1838" s="166"/>
      <c r="E1838" s="166"/>
      <c r="F1838" s="60">
        <f>ПЛАТЕЖИ[[#This Row],[СЎМ]]+(ПЛАТЕЖИ[[#This Row],[ВАЛЮТА]]*ПЛАТЕЖИ[[#This Row],[КУРС]])</f>
        <v>0</v>
      </c>
      <c r="G1838" s="165"/>
      <c r="H1838" s="165"/>
      <c r="I1838" s="165"/>
    </row>
    <row r="1839" spans="1:9" ht="15" customHeight="1" x14ac:dyDescent="0.3">
      <c r="A1839" s="164"/>
      <c r="B1839" s="165"/>
      <c r="C1839" s="166"/>
      <c r="D1839" s="166"/>
      <c r="E1839" s="166"/>
      <c r="F1839" s="60">
        <f>ПЛАТЕЖИ[[#This Row],[СЎМ]]+(ПЛАТЕЖИ[[#This Row],[ВАЛЮТА]]*ПЛАТЕЖИ[[#This Row],[КУРС]])</f>
        <v>0</v>
      </c>
      <c r="G1839" s="165"/>
      <c r="H1839" s="165"/>
      <c r="I1839" s="165"/>
    </row>
    <row r="1840" spans="1:9" ht="15" customHeight="1" x14ac:dyDescent="0.3">
      <c r="A1840" s="164"/>
      <c r="B1840" s="165"/>
      <c r="C1840" s="166"/>
      <c r="D1840" s="166"/>
      <c r="E1840" s="166"/>
      <c r="F1840" s="60">
        <f>ПЛАТЕЖИ[[#This Row],[СЎМ]]+(ПЛАТЕЖИ[[#This Row],[ВАЛЮТА]]*ПЛАТЕЖИ[[#This Row],[КУРС]])</f>
        <v>0</v>
      </c>
      <c r="G1840" s="165"/>
      <c r="H1840" s="165"/>
      <c r="I1840" s="165"/>
    </row>
    <row r="1841" spans="1:9" ht="15" customHeight="1" x14ac:dyDescent="0.3">
      <c r="A1841" s="164"/>
      <c r="B1841" s="165"/>
      <c r="C1841" s="166"/>
      <c r="D1841" s="166"/>
      <c r="E1841" s="166"/>
      <c r="F1841" s="60">
        <f>ПЛАТЕЖИ[[#This Row],[СЎМ]]+(ПЛАТЕЖИ[[#This Row],[ВАЛЮТА]]*ПЛАТЕЖИ[[#This Row],[КУРС]])</f>
        <v>0</v>
      </c>
      <c r="G1841" s="165"/>
      <c r="H1841" s="165"/>
      <c r="I1841" s="165"/>
    </row>
    <row r="1842" spans="1:9" ht="15" customHeight="1" x14ac:dyDescent="0.3">
      <c r="A1842" s="164"/>
      <c r="B1842" s="165"/>
      <c r="C1842" s="166"/>
      <c r="D1842" s="166"/>
      <c r="E1842" s="166"/>
      <c r="F1842" s="60">
        <f>ПЛАТЕЖИ[[#This Row],[СЎМ]]+(ПЛАТЕЖИ[[#This Row],[ВАЛЮТА]]*ПЛАТЕЖИ[[#This Row],[КУРС]])</f>
        <v>0</v>
      </c>
      <c r="G1842" s="165"/>
      <c r="H1842" s="165"/>
      <c r="I1842" s="165"/>
    </row>
    <row r="1843" spans="1:9" ht="15" customHeight="1" x14ac:dyDescent="0.3">
      <c r="A1843" s="164"/>
      <c r="B1843" s="165"/>
      <c r="C1843" s="166"/>
      <c r="D1843" s="166"/>
      <c r="E1843" s="166"/>
      <c r="F1843" s="60">
        <f>ПЛАТЕЖИ[[#This Row],[СЎМ]]+(ПЛАТЕЖИ[[#This Row],[ВАЛЮТА]]*ПЛАТЕЖИ[[#This Row],[КУРС]])</f>
        <v>0</v>
      </c>
      <c r="G1843" s="165"/>
      <c r="H1843" s="165"/>
      <c r="I1843" s="165"/>
    </row>
    <row r="1844" spans="1:9" ht="15" customHeight="1" x14ac:dyDescent="0.3">
      <c r="A1844" s="164"/>
      <c r="B1844" s="165"/>
      <c r="C1844" s="166"/>
      <c r="D1844" s="166"/>
      <c r="E1844" s="166"/>
      <c r="F1844" s="60">
        <f>ПЛАТЕЖИ[[#This Row],[СЎМ]]+(ПЛАТЕЖИ[[#This Row],[ВАЛЮТА]]*ПЛАТЕЖИ[[#This Row],[КУРС]])</f>
        <v>0</v>
      </c>
      <c r="G1844" s="165"/>
      <c r="H1844" s="165"/>
      <c r="I1844" s="165"/>
    </row>
    <row r="1845" spans="1:9" ht="15" customHeight="1" x14ac:dyDescent="0.3">
      <c r="A1845" s="164"/>
      <c r="B1845" s="165"/>
      <c r="C1845" s="166"/>
      <c r="D1845" s="166"/>
      <c r="E1845" s="166"/>
      <c r="F1845" s="60">
        <f>ПЛАТЕЖИ[[#This Row],[СЎМ]]+(ПЛАТЕЖИ[[#This Row],[ВАЛЮТА]]*ПЛАТЕЖИ[[#This Row],[КУРС]])</f>
        <v>0</v>
      </c>
      <c r="G1845" s="165"/>
      <c r="H1845" s="165"/>
      <c r="I1845" s="165"/>
    </row>
    <row r="1846" spans="1:9" ht="15" customHeight="1" x14ac:dyDescent="0.3">
      <c r="A1846" s="164"/>
      <c r="B1846" s="165"/>
      <c r="C1846" s="166"/>
      <c r="D1846" s="166"/>
      <c r="E1846" s="166"/>
      <c r="F1846" s="60">
        <f>ПЛАТЕЖИ[[#This Row],[СЎМ]]+(ПЛАТЕЖИ[[#This Row],[ВАЛЮТА]]*ПЛАТЕЖИ[[#This Row],[КУРС]])</f>
        <v>0</v>
      </c>
      <c r="G1846" s="165"/>
      <c r="H1846" s="165"/>
      <c r="I1846" s="165"/>
    </row>
    <row r="1847" spans="1:9" ht="15" customHeight="1" x14ac:dyDescent="0.3">
      <c r="A1847" s="164"/>
      <c r="B1847" s="165"/>
      <c r="C1847" s="166"/>
      <c r="D1847" s="166"/>
      <c r="E1847" s="166"/>
      <c r="F1847" s="60">
        <f>ПЛАТЕЖИ[[#This Row],[СЎМ]]+(ПЛАТЕЖИ[[#This Row],[ВАЛЮТА]]*ПЛАТЕЖИ[[#This Row],[КУРС]])</f>
        <v>0</v>
      </c>
      <c r="G1847" s="165"/>
      <c r="H1847" s="165"/>
      <c r="I1847" s="165"/>
    </row>
    <row r="1848" spans="1:9" ht="15" customHeight="1" x14ac:dyDescent="0.3">
      <c r="A1848" s="164"/>
      <c r="B1848" s="165"/>
      <c r="C1848" s="166"/>
      <c r="D1848" s="166"/>
      <c r="E1848" s="166"/>
      <c r="F1848" s="60">
        <f>ПЛАТЕЖИ[[#This Row],[СЎМ]]+(ПЛАТЕЖИ[[#This Row],[ВАЛЮТА]]*ПЛАТЕЖИ[[#This Row],[КУРС]])</f>
        <v>0</v>
      </c>
      <c r="G1848" s="165"/>
      <c r="H1848" s="165"/>
      <c r="I1848" s="165"/>
    </row>
    <row r="1849" spans="1:9" ht="15" customHeight="1" x14ac:dyDescent="0.3">
      <c r="A1849" s="164"/>
      <c r="B1849" s="165"/>
      <c r="C1849" s="166"/>
      <c r="D1849" s="166"/>
      <c r="E1849" s="166"/>
      <c r="F1849" s="60">
        <f>ПЛАТЕЖИ[[#This Row],[СЎМ]]+(ПЛАТЕЖИ[[#This Row],[ВАЛЮТА]]*ПЛАТЕЖИ[[#This Row],[КУРС]])</f>
        <v>0</v>
      </c>
      <c r="G1849" s="165"/>
      <c r="H1849" s="165"/>
      <c r="I1849" s="165"/>
    </row>
    <row r="1850" spans="1:9" ht="15" customHeight="1" x14ac:dyDescent="0.3">
      <c r="A1850" s="164"/>
      <c r="B1850" s="165"/>
      <c r="C1850" s="166"/>
      <c r="D1850" s="166"/>
      <c r="E1850" s="166"/>
      <c r="F1850" s="60">
        <f>ПЛАТЕЖИ[[#This Row],[СЎМ]]+(ПЛАТЕЖИ[[#This Row],[ВАЛЮТА]]*ПЛАТЕЖИ[[#This Row],[КУРС]])</f>
        <v>0</v>
      </c>
      <c r="G1850" s="165"/>
      <c r="H1850" s="165"/>
      <c r="I1850" s="165"/>
    </row>
    <row r="1851" spans="1:9" ht="15" customHeight="1" x14ac:dyDescent="0.3">
      <c r="A1851" s="164"/>
      <c r="B1851" s="165"/>
      <c r="C1851" s="166"/>
      <c r="D1851" s="166"/>
      <c r="E1851" s="166"/>
      <c r="F1851" s="60">
        <f>ПЛАТЕЖИ[[#This Row],[СЎМ]]+(ПЛАТЕЖИ[[#This Row],[ВАЛЮТА]]*ПЛАТЕЖИ[[#This Row],[КУРС]])</f>
        <v>0</v>
      </c>
      <c r="G1851" s="165"/>
      <c r="H1851" s="165"/>
      <c r="I1851" s="165"/>
    </row>
    <row r="1852" spans="1:9" ht="15" customHeight="1" x14ac:dyDescent="0.3">
      <c r="A1852" s="164"/>
      <c r="B1852" s="165"/>
      <c r="C1852" s="166"/>
      <c r="D1852" s="166"/>
      <c r="E1852" s="166"/>
      <c r="F1852" s="60">
        <f>ПЛАТЕЖИ[[#This Row],[СЎМ]]+(ПЛАТЕЖИ[[#This Row],[ВАЛЮТА]]*ПЛАТЕЖИ[[#This Row],[КУРС]])</f>
        <v>0</v>
      </c>
      <c r="G1852" s="165"/>
      <c r="H1852" s="165"/>
      <c r="I1852" s="165"/>
    </row>
    <row r="1853" spans="1:9" ht="15" customHeight="1" x14ac:dyDescent="0.3">
      <c r="A1853" s="164"/>
      <c r="B1853" s="165"/>
      <c r="C1853" s="166"/>
      <c r="D1853" s="166"/>
      <c r="E1853" s="166"/>
      <c r="F1853" s="60">
        <f>ПЛАТЕЖИ[[#This Row],[СЎМ]]+(ПЛАТЕЖИ[[#This Row],[ВАЛЮТА]]*ПЛАТЕЖИ[[#This Row],[КУРС]])</f>
        <v>0</v>
      </c>
      <c r="G1853" s="165"/>
      <c r="H1853" s="165"/>
      <c r="I1853" s="165"/>
    </row>
    <row r="1854" spans="1:9" ht="15" customHeight="1" x14ac:dyDescent="0.3">
      <c r="A1854" s="164"/>
      <c r="B1854" s="165"/>
      <c r="C1854" s="166"/>
      <c r="D1854" s="166"/>
      <c r="E1854" s="166"/>
      <c r="F1854" s="60">
        <f>ПЛАТЕЖИ[[#This Row],[СЎМ]]+(ПЛАТЕЖИ[[#This Row],[ВАЛЮТА]]*ПЛАТЕЖИ[[#This Row],[КУРС]])</f>
        <v>0</v>
      </c>
      <c r="G1854" s="165"/>
      <c r="H1854" s="165"/>
      <c r="I1854" s="165"/>
    </row>
    <row r="1855" spans="1:9" ht="15" customHeight="1" x14ac:dyDescent="0.3">
      <c r="A1855" s="164"/>
      <c r="B1855" s="165"/>
      <c r="C1855" s="166"/>
      <c r="D1855" s="166"/>
      <c r="E1855" s="166"/>
      <c r="F1855" s="60">
        <f>ПЛАТЕЖИ[[#This Row],[СЎМ]]+(ПЛАТЕЖИ[[#This Row],[ВАЛЮТА]]*ПЛАТЕЖИ[[#This Row],[КУРС]])</f>
        <v>0</v>
      </c>
      <c r="G1855" s="165"/>
      <c r="H1855" s="165"/>
      <c r="I1855" s="165"/>
    </row>
    <row r="1856" spans="1:9" ht="15" customHeight="1" x14ac:dyDescent="0.3">
      <c r="A1856" s="164"/>
      <c r="B1856" s="165"/>
      <c r="C1856" s="166"/>
      <c r="D1856" s="166"/>
      <c r="E1856" s="166"/>
      <c r="F1856" s="60">
        <f>ПЛАТЕЖИ[[#This Row],[СЎМ]]+(ПЛАТЕЖИ[[#This Row],[ВАЛЮТА]]*ПЛАТЕЖИ[[#This Row],[КУРС]])</f>
        <v>0</v>
      </c>
      <c r="G1856" s="165"/>
      <c r="H1856" s="165"/>
      <c r="I1856" s="165"/>
    </row>
    <row r="1857" spans="1:9" ht="15" customHeight="1" x14ac:dyDescent="0.3">
      <c r="A1857" s="164"/>
      <c r="B1857" s="165"/>
      <c r="C1857" s="166"/>
      <c r="D1857" s="166"/>
      <c r="E1857" s="166"/>
      <c r="F1857" s="60">
        <f>ПЛАТЕЖИ[[#This Row],[СЎМ]]+(ПЛАТЕЖИ[[#This Row],[ВАЛЮТА]]*ПЛАТЕЖИ[[#This Row],[КУРС]])</f>
        <v>0</v>
      </c>
      <c r="G1857" s="165"/>
      <c r="H1857" s="165"/>
      <c r="I1857" s="165"/>
    </row>
    <row r="1858" spans="1:9" ht="15" customHeight="1" x14ac:dyDescent="0.3">
      <c r="A1858" s="164"/>
      <c r="B1858" s="165"/>
      <c r="C1858" s="166"/>
      <c r="D1858" s="166"/>
      <c r="E1858" s="166"/>
      <c r="F1858" s="60">
        <f>ПЛАТЕЖИ[[#This Row],[СЎМ]]+(ПЛАТЕЖИ[[#This Row],[ВАЛЮТА]]*ПЛАТЕЖИ[[#This Row],[КУРС]])</f>
        <v>0</v>
      </c>
      <c r="G1858" s="165"/>
      <c r="H1858" s="165"/>
      <c r="I1858" s="165"/>
    </row>
    <row r="1859" spans="1:9" ht="15" customHeight="1" x14ac:dyDescent="0.3">
      <c r="A1859" s="164"/>
      <c r="B1859" s="165"/>
      <c r="C1859" s="166"/>
      <c r="D1859" s="166"/>
      <c r="E1859" s="166"/>
      <c r="F1859" s="60">
        <f>ПЛАТЕЖИ[[#This Row],[СЎМ]]+(ПЛАТЕЖИ[[#This Row],[ВАЛЮТА]]*ПЛАТЕЖИ[[#This Row],[КУРС]])</f>
        <v>0</v>
      </c>
      <c r="G1859" s="165"/>
      <c r="H1859" s="165"/>
      <c r="I1859" s="165"/>
    </row>
    <row r="1860" spans="1:9" ht="15" customHeight="1" x14ac:dyDescent="0.3">
      <c r="A1860" s="164"/>
      <c r="B1860" s="165"/>
      <c r="C1860" s="166"/>
      <c r="D1860" s="166"/>
      <c r="E1860" s="166"/>
      <c r="F1860" s="60">
        <f>ПЛАТЕЖИ[[#This Row],[СЎМ]]+(ПЛАТЕЖИ[[#This Row],[ВАЛЮТА]]*ПЛАТЕЖИ[[#This Row],[КУРС]])</f>
        <v>0</v>
      </c>
      <c r="G1860" s="165"/>
      <c r="H1860" s="165"/>
      <c r="I1860" s="165"/>
    </row>
    <row r="1861" spans="1:9" ht="15" customHeight="1" x14ac:dyDescent="0.3">
      <c r="A1861" s="164"/>
      <c r="B1861" s="165"/>
      <c r="C1861" s="166"/>
      <c r="D1861" s="166"/>
      <c r="E1861" s="166"/>
      <c r="F1861" s="60">
        <f>ПЛАТЕЖИ[[#This Row],[СЎМ]]+(ПЛАТЕЖИ[[#This Row],[ВАЛЮТА]]*ПЛАТЕЖИ[[#This Row],[КУРС]])</f>
        <v>0</v>
      </c>
      <c r="G1861" s="165"/>
      <c r="H1861" s="165"/>
      <c r="I1861" s="165"/>
    </row>
    <row r="1862" spans="1:9" ht="15" customHeight="1" x14ac:dyDescent="0.3">
      <c r="A1862" s="164"/>
      <c r="B1862" s="165"/>
      <c r="C1862" s="166"/>
      <c r="D1862" s="166"/>
      <c r="E1862" s="166"/>
      <c r="F1862" s="60">
        <f>ПЛАТЕЖИ[[#This Row],[СЎМ]]+(ПЛАТЕЖИ[[#This Row],[ВАЛЮТА]]*ПЛАТЕЖИ[[#This Row],[КУРС]])</f>
        <v>0</v>
      </c>
      <c r="G1862" s="165"/>
      <c r="H1862" s="165"/>
      <c r="I1862" s="165"/>
    </row>
    <row r="1863" spans="1:9" ht="15" customHeight="1" x14ac:dyDescent="0.3">
      <c r="A1863" s="164"/>
      <c r="B1863" s="165"/>
      <c r="C1863" s="166"/>
      <c r="D1863" s="166"/>
      <c r="E1863" s="166"/>
      <c r="F1863" s="60">
        <f>ПЛАТЕЖИ[[#This Row],[СЎМ]]+(ПЛАТЕЖИ[[#This Row],[ВАЛЮТА]]*ПЛАТЕЖИ[[#This Row],[КУРС]])</f>
        <v>0</v>
      </c>
      <c r="G1863" s="165"/>
      <c r="H1863" s="165"/>
      <c r="I1863" s="165"/>
    </row>
    <row r="1864" spans="1:9" ht="15" customHeight="1" x14ac:dyDescent="0.3">
      <c r="A1864" s="164"/>
      <c r="B1864" s="165"/>
      <c r="C1864" s="166"/>
      <c r="D1864" s="166"/>
      <c r="E1864" s="166"/>
      <c r="F1864" s="60">
        <f>ПЛАТЕЖИ[[#This Row],[СЎМ]]+(ПЛАТЕЖИ[[#This Row],[ВАЛЮТА]]*ПЛАТЕЖИ[[#This Row],[КУРС]])</f>
        <v>0</v>
      </c>
      <c r="G1864" s="165"/>
      <c r="H1864" s="165"/>
      <c r="I1864" s="165"/>
    </row>
    <row r="1865" spans="1:9" ht="15" customHeight="1" x14ac:dyDescent="0.3">
      <c r="A1865" s="164"/>
      <c r="B1865" s="165"/>
      <c r="C1865" s="166"/>
      <c r="D1865" s="166"/>
      <c r="E1865" s="166"/>
      <c r="F1865" s="60">
        <f>ПЛАТЕЖИ[[#This Row],[СЎМ]]+(ПЛАТЕЖИ[[#This Row],[ВАЛЮТА]]*ПЛАТЕЖИ[[#This Row],[КУРС]])</f>
        <v>0</v>
      </c>
      <c r="G1865" s="165"/>
      <c r="H1865" s="165"/>
      <c r="I1865" s="165"/>
    </row>
    <row r="1866" spans="1:9" ht="15" customHeight="1" x14ac:dyDescent="0.3">
      <c r="A1866" s="164"/>
      <c r="B1866" s="165"/>
      <c r="C1866" s="166"/>
      <c r="D1866" s="166"/>
      <c r="E1866" s="166"/>
      <c r="F1866" s="60">
        <f>ПЛАТЕЖИ[[#This Row],[СЎМ]]+(ПЛАТЕЖИ[[#This Row],[ВАЛЮТА]]*ПЛАТЕЖИ[[#This Row],[КУРС]])</f>
        <v>0</v>
      </c>
      <c r="G1866" s="165"/>
      <c r="H1866" s="165"/>
      <c r="I1866" s="165"/>
    </row>
    <row r="1867" spans="1:9" ht="15" customHeight="1" x14ac:dyDescent="0.3">
      <c r="A1867" s="164"/>
      <c r="B1867" s="165"/>
      <c r="C1867" s="166"/>
      <c r="D1867" s="166"/>
      <c r="E1867" s="166"/>
      <c r="F1867" s="60">
        <f>ПЛАТЕЖИ[[#This Row],[СЎМ]]+(ПЛАТЕЖИ[[#This Row],[ВАЛЮТА]]*ПЛАТЕЖИ[[#This Row],[КУРС]])</f>
        <v>0</v>
      </c>
      <c r="G1867" s="165"/>
      <c r="H1867" s="165"/>
      <c r="I1867" s="165"/>
    </row>
    <row r="1868" spans="1:9" ht="15" customHeight="1" x14ac:dyDescent="0.3">
      <c r="A1868" s="164"/>
      <c r="B1868" s="165"/>
      <c r="C1868" s="166"/>
      <c r="D1868" s="166"/>
      <c r="E1868" s="166"/>
      <c r="F1868" s="60">
        <f>ПЛАТЕЖИ[[#This Row],[СЎМ]]+(ПЛАТЕЖИ[[#This Row],[ВАЛЮТА]]*ПЛАТЕЖИ[[#This Row],[КУРС]])</f>
        <v>0</v>
      </c>
      <c r="G1868" s="165"/>
      <c r="H1868" s="165"/>
      <c r="I1868" s="165"/>
    </row>
    <row r="1869" spans="1:9" ht="15" customHeight="1" x14ac:dyDescent="0.3">
      <c r="A1869" s="164"/>
      <c r="B1869" s="165"/>
      <c r="C1869" s="166"/>
      <c r="D1869" s="166"/>
      <c r="E1869" s="166"/>
      <c r="F1869" s="60">
        <f>ПЛАТЕЖИ[[#This Row],[СЎМ]]+(ПЛАТЕЖИ[[#This Row],[ВАЛЮТА]]*ПЛАТЕЖИ[[#This Row],[КУРС]])</f>
        <v>0</v>
      </c>
      <c r="G1869" s="165"/>
      <c r="H1869" s="165"/>
      <c r="I1869" s="165"/>
    </row>
    <row r="1870" spans="1:9" ht="15" customHeight="1" x14ac:dyDescent="0.3">
      <c r="A1870" s="164"/>
      <c r="B1870" s="165"/>
      <c r="C1870" s="166"/>
      <c r="D1870" s="166"/>
      <c r="E1870" s="166"/>
      <c r="F1870" s="60">
        <f>ПЛАТЕЖИ[[#This Row],[СЎМ]]+(ПЛАТЕЖИ[[#This Row],[ВАЛЮТА]]*ПЛАТЕЖИ[[#This Row],[КУРС]])</f>
        <v>0</v>
      </c>
      <c r="G1870" s="165"/>
      <c r="H1870" s="165"/>
      <c r="I1870" s="165"/>
    </row>
    <row r="1871" spans="1:9" ht="15" customHeight="1" x14ac:dyDescent="0.3">
      <c r="A1871" s="164"/>
      <c r="B1871" s="165"/>
      <c r="C1871" s="166"/>
      <c r="D1871" s="166"/>
      <c r="E1871" s="166"/>
      <c r="F1871" s="60">
        <f>ПЛАТЕЖИ[[#This Row],[СЎМ]]+(ПЛАТЕЖИ[[#This Row],[ВАЛЮТА]]*ПЛАТЕЖИ[[#This Row],[КУРС]])</f>
        <v>0</v>
      </c>
      <c r="G1871" s="165"/>
      <c r="H1871" s="165"/>
      <c r="I1871" s="165"/>
    </row>
    <row r="1872" spans="1:9" ht="15" customHeight="1" x14ac:dyDescent="0.3">
      <c r="A1872" s="164"/>
      <c r="B1872" s="165"/>
      <c r="C1872" s="166"/>
      <c r="D1872" s="166"/>
      <c r="E1872" s="166"/>
      <c r="F1872" s="60">
        <f>ПЛАТЕЖИ[[#This Row],[СЎМ]]+(ПЛАТЕЖИ[[#This Row],[ВАЛЮТА]]*ПЛАТЕЖИ[[#This Row],[КУРС]])</f>
        <v>0</v>
      </c>
      <c r="G1872" s="165"/>
      <c r="H1872" s="165"/>
      <c r="I1872" s="165"/>
    </row>
    <row r="1873" spans="1:9" ht="15" customHeight="1" x14ac:dyDescent="0.3">
      <c r="A1873" s="164"/>
      <c r="B1873" s="165"/>
      <c r="C1873" s="166"/>
      <c r="D1873" s="166"/>
      <c r="E1873" s="166"/>
      <c r="F1873" s="60">
        <f>ПЛАТЕЖИ[[#This Row],[СЎМ]]+(ПЛАТЕЖИ[[#This Row],[ВАЛЮТА]]*ПЛАТЕЖИ[[#This Row],[КУРС]])</f>
        <v>0</v>
      </c>
      <c r="G1873" s="165"/>
      <c r="H1873" s="165"/>
      <c r="I1873" s="165"/>
    </row>
    <row r="1874" spans="1:9" ht="15" customHeight="1" x14ac:dyDescent="0.3">
      <c r="A1874" s="164"/>
      <c r="B1874" s="165"/>
      <c r="C1874" s="166"/>
      <c r="D1874" s="166"/>
      <c r="E1874" s="166"/>
      <c r="F1874" s="60">
        <f>ПЛАТЕЖИ[[#This Row],[СЎМ]]+(ПЛАТЕЖИ[[#This Row],[ВАЛЮТА]]*ПЛАТЕЖИ[[#This Row],[КУРС]])</f>
        <v>0</v>
      </c>
      <c r="G1874" s="165"/>
      <c r="H1874" s="165"/>
      <c r="I1874" s="165"/>
    </row>
    <row r="1875" spans="1:9" ht="15" customHeight="1" x14ac:dyDescent="0.3">
      <c r="A1875" s="164"/>
      <c r="B1875" s="165"/>
      <c r="C1875" s="166"/>
      <c r="D1875" s="166"/>
      <c r="E1875" s="166"/>
      <c r="F1875" s="60">
        <f>ПЛАТЕЖИ[[#This Row],[СЎМ]]+(ПЛАТЕЖИ[[#This Row],[ВАЛЮТА]]*ПЛАТЕЖИ[[#This Row],[КУРС]])</f>
        <v>0</v>
      </c>
      <c r="G1875" s="165"/>
      <c r="H1875" s="147"/>
      <c r="I1875" s="165"/>
    </row>
    <row r="1876" spans="1:9" ht="15" customHeight="1" x14ac:dyDescent="0.3">
      <c r="A1876" s="164"/>
      <c r="B1876" s="165"/>
      <c r="C1876" s="166"/>
      <c r="D1876" s="166"/>
      <c r="E1876" s="166"/>
      <c r="F1876" s="60">
        <f>ПЛАТЕЖИ[[#This Row],[СЎМ]]+(ПЛАТЕЖИ[[#This Row],[ВАЛЮТА]]*ПЛАТЕЖИ[[#This Row],[КУРС]])</f>
        <v>0</v>
      </c>
      <c r="G1876" s="165"/>
      <c r="H1876" s="147"/>
      <c r="I1876" s="165"/>
    </row>
    <row r="1877" spans="1:9" ht="15" customHeight="1" x14ac:dyDescent="0.3">
      <c r="A1877" s="164"/>
      <c r="B1877" s="165"/>
      <c r="C1877" s="166"/>
      <c r="D1877" s="166"/>
      <c r="E1877" s="166"/>
      <c r="F1877" s="60">
        <f>ПЛАТЕЖИ[[#This Row],[СЎМ]]+(ПЛАТЕЖИ[[#This Row],[ВАЛЮТА]]*ПЛАТЕЖИ[[#This Row],[КУРС]])</f>
        <v>0</v>
      </c>
      <c r="G1877" s="165"/>
      <c r="H1877" s="147"/>
      <c r="I1877" s="165"/>
    </row>
    <row r="1878" spans="1:9" ht="15" customHeight="1" x14ac:dyDescent="0.3">
      <c r="A1878" s="164"/>
      <c r="B1878" s="165"/>
      <c r="C1878" s="166"/>
      <c r="D1878" s="166"/>
      <c r="E1878" s="166"/>
      <c r="F1878" s="60">
        <f>ПЛАТЕЖИ[[#This Row],[СЎМ]]+(ПЛАТЕЖИ[[#This Row],[ВАЛЮТА]]*ПЛАТЕЖИ[[#This Row],[КУРС]])</f>
        <v>0</v>
      </c>
      <c r="G1878" s="165"/>
      <c r="H1878" s="147"/>
      <c r="I1878" s="165"/>
    </row>
    <row r="1879" spans="1:9" ht="15" customHeight="1" x14ac:dyDescent="0.3">
      <c r="A1879" s="164"/>
      <c r="B1879" s="165"/>
      <c r="C1879" s="166"/>
      <c r="D1879" s="166"/>
      <c r="E1879" s="166"/>
      <c r="F1879" s="60">
        <f>ПЛАТЕЖИ[[#This Row],[СЎМ]]+(ПЛАТЕЖИ[[#This Row],[ВАЛЮТА]]*ПЛАТЕЖИ[[#This Row],[КУРС]])</f>
        <v>0</v>
      </c>
      <c r="G1879" s="165"/>
      <c r="H1879" s="147"/>
      <c r="I1879" s="165"/>
    </row>
    <row r="1880" spans="1:9" ht="15" customHeight="1" x14ac:dyDescent="0.3">
      <c r="A1880" s="164"/>
      <c r="B1880" s="165"/>
      <c r="C1880" s="166"/>
      <c r="D1880" s="166"/>
      <c r="E1880" s="166"/>
      <c r="F1880" s="60">
        <f>ПЛАТЕЖИ[[#This Row],[СЎМ]]+(ПЛАТЕЖИ[[#This Row],[ВАЛЮТА]]*ПЛАТЕЖИ[[#This Row],[КУРС]])</f>
        <v>0</v>
      </c>
      <c r="G1880" s="165"/>
      <c r="H1880" s="147"/>
      <c r="I1880" s="165"/>
    </row>
    <row r="1881" spans="1:9" ht="15" customHeight="1" x14ac:dyDescent="0.3">
      <c r="A1881" s="164"/>
      <c r="B1881" s="165"/>
      <c r="C1881" s="166"/>
      <c r="D1881" s="166"/>
      <c r="E1881" s="166"/>
      <c r="F1881" s="60">
        <f>ПЛАТЕЖИ[[#This Row],[СЎМ]]+(ПЛАТЕЖИ[[#This Row],[ВАЛЮТА]]*ПЛАТЕЖИ[[#This Row],[КУРС]])</f>
        <v>0</v>
      </c>
      <c r="G1881" s="165"/>
      <c r="H1881" s="165"/>
      <c r="I1881" s="165"/>
    </row>
    <row r="1882" spans="1:9" ht="15" customHeight="1" x14ac:dyDescent="0.3">
      <c r="A1882" s="164"/>
      <c r="B1882" s="165"/>
      <c r="C1882" s="166"/>
      <c r="D1882" s="166"/>
      <c r="E1882" s="166"/>
      <c r="F1882" s="60">
        <f>ПЛАТЕЖИ[[#This Row],[СЎМ]]+(ПЛАТЕЖИ[[#This Row],[ВАЛЮТА]]*ПЛАТЕЖИ[[#This Row],[КУРС]])</f>
        <v>0</v>
      </c>
      <c r="G1882" s="165"/>
      <c r="H1882" s="165"/>
      <c r="I1882" s="165"/>
    </row>
    <row r="1883" spans="1:9" ht="15" customHeight="1" x14ac:dyDescent="0.3">
      <c r="A1883" s="164"/>
      <c r="B1883" s="165"/>
      <c r="C1883" s="166"/>
      <c r="D1883" s="166"/>
      <c r="E1883" s="166"/>
      <c r="F1883" s="60">
        <f>ПЛАТЕЖИ[[#This Row],[СЎМ]]+(ПЛАТЕЖИ[[#This Row],[ВАЛЮТА]]*ПЛАТЕЖИ[[#This Row],[КУРС]])</f>
        <v>0</v>
      </c>
      <c r="G1883" s="165"/>
      <c r="H1883" s="165"/>
      <c r="I1883" s="165"/>
    </row>
    <row r="1884" spans="1:9" ht="15" customHeight="1" x14ac:dyDescent="0.3">
      <c r="A1884" s="164"/>
      <c r="B1884" s="165"/>
      <c r="C1884" s="166"/>
      <c r="D1884" s="166"/>
      <c r="E1884" s="166"/>
      <c r="F1884" s="60">
        <f>ПЛАТЕЖИ[[#This Row],[СЎМ]]+(ПЛАТЕЖИ[[#This Row],[ВАЛЮТА]]*ПЛАТЕЖИ[[#This Row],[КУРС]])</f>
        <v>0</v>
      </c>
      <c r="G1884" s="165"/>
      <c r="H1884" s="165"/>
      <c r="I1884" s="165"/>
    </row>
    <row r="1885" spans="1:9" ht="15" customHeight="1" x14ac:dyDescent="0.3">
      <c r="A1885" s="164"/>
      <c r="B1885" s="165"/>
      <c r="C1885" s="166"/>
      <c r="D1885" s="166"/>
      <c r="E1885" s="166"/>
      <c r="F1885" s="60">
        <f>ПЛАТЕЖИ[[#This Row],[СЎМ]]+(ПЛАТЕЖИ[[#This Row],[ВАЛЮТА]]*ПЛАТЕЖИ[[#This Row],[КУРС]])</f>
        <v>0</v>
      </c>
      <c r="G1885" s="165"/>
      <c r="H1885" s="165"/>
      <c r="I1885" s="165"/>
    </row>
    <row r="1886" spans="1:9" ht="15" customHeight="1" x14ac:dyDescent="0.3">
      <c r="A1886" s="164"/>
      <c r="B1886" s="165"/>
      <c r="C1886" s="166"/>
      <c r="D1886" s="166"/>
      <c r="E1886" s="166"/>
      <c r="F1886" s="60">
        <f>ПЛАТЕЖИ[[#This Row],[СЎМ]]+(ПЛАТЕЖИ[[#This Row],[ВАЛЮТА]]*ПЛАТЕЖИ[[#This Row],[КУРС]])</f>
        <v>0</v>
      </c>
      <c r="G1886" s="165"/>
      <c r="H1886" s="147"/>
      <c r="I1886" s="165"/>
    </row>
    <row r="1887" spans="1:9" ht="15" customHeight="1" x14ac:dyDescent="0.3">
      <c r="A1887" s="164"/>
      <c r="B1887" s="165"/>
      <c r="C1887" s="166"/>
      <c r="D1887" s="166"/>
      <c r="E1887" s="166"/>
      <c r="F1887" s="60">
        <f>ПЛАТЕЖИ[[#This Row],[СЎМ]]+(ПЛАТЕЖИ[[#This Row],[ВАЛЮТА]]*ПЛАТЕЖИ[[#This Row],[КУРС]])</f>
        <v>0</v>
      </c>
      <c r="G1887" s="165"/>
      <c r="H1887" s="147"/>
      <c r="I1887" s="165"/>
    </row>
    <row r="1888" spans="1:9" ht="15" customHeight="1" x14ac:dyDescent="0.3">
      <c r="A1888" s="164"/>
      <c r="B1888" s="165"/>
      <c r="C1888" s="166"/>
      <c r="D1888" s="166"/>
      <c r="E1888" s="166"/>
      <c r="F1888" s="60">
        <f>ПЛАТЕЖИ[[#This Row],[СЎМ]]+(ПЛАТЕЖИ[[#This Row],[ВАЛЮТА]]*ПЛАТЕЖИ[[#This Row],[КУРС]])</f>
        <v>0</v>
      </c>
      <c r="G1888" s="165"/>
      <c r="H1888" s="147"/>
      <c r="I1888" s="165"/>
    </row>
    <row r="1889" spans="1:9" ht="15" customHeight="1" x14ac:dyDescent="0.3">
      <c r="A1889" s="164"/>
      <c r="B1889" s="165"/>
      <c r="C1889" s="166"/>
      <c r="D1889" s="166"/>
      <c r="E1889" s="166"/>
      <c r="F1889" s="60">
        <f>ПЛАТЕЖИ[[#This Row],[СЎМ]]+(ПЛАТЕЖИ[[#This Row],[ВАЛЮТА]]*ПЛАТЕЖИ[[#This Row],[КУРС]])</f>
        <v>0</v>
      </c>
      <c r="G1889" s="165"/>
      <c r="H1889" s="165"/>
      <c r="I1889" s="165"/>
    </row>
    <row r="1890" spans="1:9" ht="15" customHeight="1" x14ac:dyDescent="0.3">
      <c r="A1890" s="164"/>
      <c r="B1890" s="165"/>
      <c r="C1890" s="166"/>
      <c r="D1890" s="166"/>
      <c r="E1890" s="166"/>
      <c r="F1890" s="60">
        <f>ПЛАТЕЖИ[[#This Row],[СЎМ]]+(ПЛАТЕЖИ[[#This Row],[ВАЛЮТА]]*ПЛАТЕЖИ[[#This Row],[КУРС]])</f>
        <v>0</v>
      </c>
      <c r="G1890" s="165"/>
      <c r="H1890" s="165"/>
      <c r="I1890" s="165"/>
    </row>
    <row r="1891" spans="1:9" ht="15" customHeight="1" x14ac:dyDescent="0.3">
      <c r="A1891" s="164"/>
      <c r="B1891" s="165"/>
      <c r="C1891" s="166"/>
      <c r="D1891" s="166"/>
      <c r="E1891" s="166"/>
      <c r="F1891" s="60">
        <f>ПЛАТЕЖИ[[#This Row],[СЎМ]]+(ПЛАТЕЖИ[[#This Row],[ВАЛЮТА]]*ПЛАТЕЖИ[[#This Row],[КУРС]])</f>
        <v>0</v>
      </c>
      <c r="G1891" s="165"/>
      <c r="H1891" s="165"/>
      <c r="I1891" s="165"/>
    </row>
    <row r="1892" spans="1:9" ht="15" customHeight="1" x14ac:dyDescent="0.3">
      <c r="A1892" s="164"/>
      <c r="B1892" s="165"/>
      <c r="C1892" s="166"/>
      <c r="D1892" s="166"/>
      <c r="E1892" s="166"/>
      <c r="F1892" s="60">
        <f>ПЛАТЕЖИ[[#This Row],[СЎМ]]+(ПЛАТЕЖИ[[#This Row],[ВАЛЮТА]]*ПЛАТЕЖИ[[#This Row],[КУРС]])</f>
        <v>0</v>
      </c>
      <c r="G1892" s="165"/>
      <c r="H1892" s="165"/>
      <c r="I1892" s="165"/>
    </row>
    <row r="1893" spans="1:9" ht="15" customHeight="1" x14ac:dyDescent="0.3">
      <c r="A1893" s="164"/>
      <c r="B1893" s="165"/>
      <c r="C1893" s="166"/>
      <c r="D1893" s="166"/>
      <c r="E1893" s="166"/>
      <c r="F1893" s="60">
        <f>ПЛАТЕЖИ[[#This Row],[СЎМ]]+(ПЛАТЕЖИ[[#This Row],[ВАЛЮТА]]*ПЛАТЕЖИ[[#This Row],[КУРС]])</f>
        <v>0</v>
      </c>
      <c r="G1893" s="165"/>
      <c r="H1893" s="165"/>
      <c r="I1893" s="165"/>
    </row>
    <row r="1894" spans="1:9" ht="15" customHeight="1" x14ac:dyDescent="0.3">
      <c r="A1894" s="164"/>
      <c r="B1894" s="165"/>
      <c r="C1894" s="166"/>
      <c r="D1894" s="166"/>
      <c r="E1894" s="166"/>
      <c r="F1894" s="60">
        <f>ПЛАТЕЖИ[[#This Row],[СЎМ]]+(ПЛАТЕЖИ[[#This Row],[ВАЛЮТА]]*ПЛАТЕЖИ[[#This Row],[КУРС]])</f>
        <v>0</v>
      </c>
      <c r="G1894" s="165"/>
      <c r="H1894" s="165"/>
      <c r="I1894" s="165"/>
    </row>
    <row r="1895" spans="1:9" ht="15" customHeight="1" x14ac:dyDescent="0.3">
      <c r="A1895" s="164"/>
      <c r="B1895" s="165"/>
      <c r="C1895" s="166"/>
      <c r="D1895" s="166"/>
      <c r="E1895" s="166"/>
      <c r="F1895" s="60">
        <f>ПЛАТЕЖИ[[#This Row],[СЎМ]]+(ПЛАТЕЖИ[[#This Row],[ВАЛЮТА]]*ПЛАТЕЖИ[[#This Row],[КУРС]])</f>
        <v>0</v>
      </c>
      <c r="G1895" s="165"/>
      <c r="H1895" s="165"/>
      <c r="I1895" s="165"/>
    </row>
    <row r="1896" spans="1:9" ht="15" customHeight="1" x14ac:dyDescent="0.3">
      <c r="A1896" s="164"/>
      <c r="B1896" s="165"/>
      <c r="C1896" s="166"/>
      <c r="D1896" s="166"/>
      <c r="E1896" s="166"/>
      <c r="F1896" s="60">
        <f>ПЛАТЕЖИ[[#This Row],[СЎМ]]+(ПЛАТЕЖИ[[#This Row],[ВАЛЮТА]]*ПЛАТЕЖИ[[#This Row],[КУРС]])</f>
        <v>0</v>
      </c>
      <c r="G1896" s="165"/>
      <c r="H1896" s="165"/>
      <c r="I1896" s="165"/>
    </row>
    <row r="1897" spans="1:9" ht="15" customHeight="1" x14ac:dyDescent="0.3">
      <c r="A1897" s="164"/>
      <c r="B1897" s="165"/>
      <c r="C1897" s="166"/>
      <c r="D1897" s="166"/>
      <c r="E1897" s="166"/>
      <c r="F1897" s="60">
        <f>ПЛАТЕЖИ[[#This Row],[СЎМ]]+(ПЛАТЕЖИ[[#This Row],[ВАЛЮТА]]*ПЛАТЕЖИ[[#This Row],[КУРС]])</f>
        <v>0</v>
      </c>
      <c r="G1897" s="165"/>
      <c r="H1897" s="165"/>
      <c r="I1897" s="165"/>
    </row>
    <row r="1898" spans="1:9" ht="15" customHeight="1" x14ac:dyDescent="0.3">
      <c r="A1898" s="164"/>
      <c r="B1898" s="165"/>
      <c r="C1898" s="166"/>
      <c r="D1898" s="166"/>
      <c r="E1898" s="166"/>
      <c r="F1898" s="60">
        <f>ПЛАТЕЖИ[[#This Row],[СЎМ]]+(ПЛАТЕЖИ[[#This Row],[ВАЛЮТА]]*ПЛАТЕЖИ[[#This Row],[КУРС]])</f>
        <v>0</v>
      </c>
      <c r="G1898" s="165"/>
      <c r="H1898" s="165"/>
      <c r="I1898" s="165"/>
    </row>
    <row r="1899" spans="1:9" ht="15" customHeight="1" x14ac:dyDescent="0.3">
      <c r="A1899" s="164"/>
      <c r="B1899" s="165"/>
      <c r="C1899" s="166"/>
      <c r="D1899" s="166"/>
      <c r="E1899" s="166"/>
      <c r="F1899" s="60">
        <f>ПЛАТЕЖИ[[#This Row],[СЎМ]]+(ПЛАТЕЖИ[[#This Row],[ВАЛЮТА]]*ПЛАТЕЖИ[[#This Row],[КУРС]])</f>
        <v>0</v>
      </c>
      <c r="G1899" s="165"/>
      <c r="H1899" s="147"/>
      <c r="I1899" s="165"/>
    </row>
    <row r="1900" spans="1:9" ht="15" customHeight="1" x14ac:dyDescent="0.3">
      <c r="A1900" s="164"/>
      <c r="B1900" s="165"/>
      <c r="C1900" s="166"/>
      <c r="D1900" s="166"/>
      <c r="E1900" s="166"/>
      <c r="F1900" s="60">
        <f>ПЛАТЕЖИ[[#This Row],[СЎМ]]+(ПЛАТЕЖИ[[#This Row],[ВАЛЮТА]]*ПЛАТЕЖИ[[#This Row],[КУРС]])</f>
        <v>0</v>
      </c>
      <c r="G1900" s="165"/>
      <c r="H1900" s="147"/>
      <c r="I1900" s="165"/>
    </row>
    <row r="1901" spans="1:9" ht="15" customHeight="1" x14ac:dyDescent="0.3">
      <c r="A1901" s="164"/>
      <c r="B1901" s="165"/>
      <c r="C1901" s="166"/>
      <c r="D1901" s="166"/>
      <c r="E1901" s="166"/>
      <c r="F1901" s="60">
        <f>ПЛАТЕЖИ[[#This Row],[СЎМ]]+(ПЛАТЕЖИ[[#This Row],[ВАЛЮТА]]*ПЛАТЕЖИ[[#This Row],[КУРС]])</f>
        <v>0</v>
      </c>
      <c r="G1901" s="165"/>
      <c r="H1901" s="147"/>
      <c r="I1901" s="165"/>
    </row>
    <row r="1902" spans="1:9" ht="15" customHeight="1" x14ac:dyDescent="0.3">
      <c r="A1902" s="164"/>
      <c r="B1902" s="165"/>
      <c r="C1902" s="166"/>
      <c r="D1902" s="166"/>
      <c r="E1902" s="166"/>
      <c r="F1902" s="60">
        <f>ПЛАТЕЖИ[[#This Row],[СЎМ]]+(ПЛАТЕЖИ[[#This Row],[ВАЛЮТА]]*ПЛАТЕЖИ[[#This Row],[КУРС]])</f>
        <v>0</v>
      </c>
      <c r="G1902" s="165"/>
      <c r="H1902" s="165"/>
      <c r="I1902" s="165"/>
    </row>
    <row r="1903" spans="1:9" ht="15" customHeight="1" x14ac:dyDescent="0.3">
      <c r="A1903" s="164"/>
      <c r="B1903" s="165"/>
      <c r="C1903" s="166"/>
      <c r="D1903" s="166"/>
      <c r="E1903" s="166"/>
      <c r="F1903" s="60">
        <f>ПЛАТЕЖИ[[#This Row],[СЎМ]]+(ПЛАТЕЖИ[[#This Row],[ВАЛЮТА]]*ПЛАТЕЖИ[[#This Row],[КУРС]])</f>
        <v>0</v>
      </c>
      <c r="G1903" s="165"/>
      <c r="H1903" s="165"/>
      <c r="I1903" s="165"/>
    </row>
    <row r="1904" spans="1:9" ht="15" customHeight="1" x14ac:dyDescent="0.3">
      <c r="A1904" s="164"/>
      <c r="B1904" s="165"/>
      <c r="C1904" s="166"/>
      <c r="D1904" s="166"/>
      <c r="E1904" s="166"/>
      <c r="F1904" s="60">
        <f>ПЛАТЕЖИ[[#This Row],[СЎМ]]+(ПЛАТЕЖИ[[#This Row],[ВАЛЮТА]]*ПЛАТЕЖИ[[#This Row],[КУРС]])</f>
        <v>0</v>
      </c>
      <c r="G1904" s="165"/>
      <c r="H1904" s="165"/>
      <c r="I1904" s="165"/>
    </row>
    <row r="1905" spans="1:9" ht="15" customHeight="1" x14ac:dyDescent="0.3">
      <c r="A1905" s="164"/>
      <c r="B1905" s="165"/>
      <c r="C1905" s="166"/>
      <c r="D1905" s="166"/>
      <c r="E1905" s="166"/>
      <c r="F1905" s="60">
        <f>ПЛАТЕЖИ[[#This Row],[СЎМ]]+(ПЛАТЕЖИ[[#This Row],[ВАЛЮТА]]*ПЛАТЕЖИ[[#This Row],[КУРС]])</f>
        <v>0</v>
      </c>
      <c r="G1905" s="165"/>
      <c r="H1905" s="165"/>
      <c r="I1905" s="165"/>
    </row>
    <row r="1906" spans="1:9" ht="15" customHeight="1" x14ac:dyDescent="0.3">
      <c r="A1906" s="164"/>
      <c r="B1906" s="165"/>
      <c r="C1906" s="166"/>
      <c r="D1906" s="166"/>
      <c r="E1906" s="166"/>
      <c r="F1906" s="60">
        <f>ПЛАТЕЖИ[[#This Row],[СЎМ]]+(ПЛАТЕЖИ[[#This Row],[ВАЛЮТА]]*ПЛАТЕЖИ[[#This Row],[КУРС]])</f>
        <v>0</v>
      </c>
      <c r="G1906" s="165"/>
      <c r="H1906" s="165"/>
      <c r="I1906" s="165"/>
    </row>
    <row r="1907" spans="1:9" ht="15" customHeight="1" x14ac:dyDescent="0.3">
      <c r="A1907" s="164"/>
      <c r="B1907" s="165"/>
      <c r="C1907" s="166"/>
      <c r="D1907" s="166"/>
      <c r="E1907" s="166"/>
      <c r="F1907" s="60">
        <f>ПЛАТЕЖИ[[#This Row],[СЎМ]]+(ПЛАТЕЖИ[[#This Row],[ВАЛЮТА]]*ПЛАТЕЖИ[[#This Row],[КУРС]])</f>
        <v>0</v>
      </c>
      <c r="G1907" s="165"/>
      <c r="H1907" s="165"/>
      <c r="I1907" s="165"/>
    </row>
    <row r="1908" spans="1:9" ht="15" customHeight="1" x14ac:dyDescent="0.3">
      <c r="A1908" s="164"/>
      <c r="B1908" s="165"/>
      <c r="C1908" s="166"/>
      <c r="D1908" s="166"/>
      <c r="E1908" s="166"/>
      <c r="F1908" s="60">
        <f>ПЛАТЕЖИ[[#This Row],[СЎМ]]+(ПЛАТЕЖИ[[#This Row],[ВАЛЮТА]]*ПЛАТЕЖИ[[#This Row],[КУРС]])</f>
        <v>0</v>
      </c>
      <c r="G1908" s="165"/>
      <c r="H1908" s="165"/>
      <c r="I1908" s="165"/>
    </row>
    <row r="1909" spans="1:9" ht="15" customHeight="1" x14ac:dyDescent="0.3">
      <c r="A1909" s="164"/>
      <c r="B1909" s="165"/>
      <c r="C1909" s="166"/>
      <c r="D1909" s="166"/>
      <c r="E1909" s="166"/>
      <c r="F1909" s="60">
        <f>ПЛАТЕЖИ[[#This Row],[СЎМ]]+(ПЛАТЕЖИ[[#This Row],[ВАЛЮТА]]*ПЛАТЕЖИ[[#This Row],[КУРС]])</f>
        <v>0</v>
      </c>
      <c r="G1909" s="165"/>
      <c r="H1909" s="165"/>
      <c r="I1909" s="165"/>
    </row>
    <row r="1910" spans="1:9" ht="15" customHeight="1" x14ac:dyDescent="0.3">
      <c r="A1910" s="164"/>
      <c r="B1910" s="165"/>
      <c r="C1910" s="166"/>
      <c r="D1910" s="166"/>
      <c r="E1910" s="166"/>
      <c r="F1910" s="60">
        <f>ПЛАТЕЖИ[[#This Row],[СЎМ]]+(ПЛАТЕЖИ[[#This Row],[ВАЛЮТА]]*ПЛАТЕЖИ[[#This Row],[КУРС]])</f>
        <v>0</v>
      </c>
      <c r="G1910" s="165"/>
      <c r="H1910" s="165"/>
      <c r="I1910" s="165"/>
    </row>
    <row r="1911" spans="1:9" ht="15" customHeight="1" x14ac:dyDescent="0.3">
      <c r="A1911" s="164"/>
      <c r="B1911" s="165"/>
      <c r="C1911" s="166"/>
      <c r="D1911" s="166"/>
      <c r="E1911" s="166"/>
      <c r="F1911" s="60">
        <f>ПЛАТЕЖИ[[#This Row],[СЎМ]]+(ПЛАТЕЖИ[[#This Row],[ВАЛЮТА]]*ПЛАТЕЖИ[[#This Row],[КУРС]])</f>
        <v>0</v>
      </c>
      <c r="G1911" s="165"/>
      <c r="H1911" s="165"/>
      <c r="I1911" s="165"/>
    </row>
    <row r="1912" spans="1:9" ht="15" customHeight="1" x14ac:dyDescent="0.3">
      <c r="A1912" s="164"/>
      <c r="B1912" s="165"/>
      <c r="C1912" s="166"/>
      <c r="D1912" s="166"/>
      <c r="E1912" s="166"/>
      <c r="F1912" s="60">
        <f>ПЛАТЕЖИ[[#This Row],[СЎМ]]+(ПЛАТЕЖИ[[#This Row],[ВАЛЮТА]]*ПЛАТЕЖИ[[#This Row],[КУРС]])</f>
        <v>0</v>
      </c>
      <c r="G1912" s="165"/>
      <c r="H1912" s="165"/>
      <c r="I1912" s="165"/>
    </row>
    <row r="1913" spans="1:9" ht="15" customHeight="1" x14ac:dyDescent="0.3">
      <c r="A1913" s="164"/>
      <c r="B1913" s="165"/>
      <c r="C1913" s="166"/>
      <c r="D1913" s="166"/>
      <c r="E1913" s="166"/>
      <c r="F1913" s="60">
        <f>ПЛАТЕЖИ[[#This Row],[СЎМ]]+(ПЛАТЕЖИ[[#This Row],[ВАЛЮТА]]*ПЛАТЕЖИ[[#This Row],[КУРС]])</f>
        <v>0</v>
      </c>
      <c r="G1913" s="165"/>
      <c r="H1913" s="165"/>
      <c r="I1913" s="165"/>
    </row>
    <row r="1914" spans="1:9" ht="15" customHeight="1" x14ac:dyDescent="0.3">
      <c r="A1914" s="164"/>
      <c r="B1914" s="165"/>
      <c r="C1914" s="166"/>
      <c r="D1914" s="166"/>
      <c r="E1914" s="166"/>
      <c r="F1914" s="60">
        <f>ПЛАТЕЖИ[[#This Row],[СЎМ]]+(ПЛАТЕЖИ[[#This Row],[ВАЛЮТА]]*ПЛАТЕЖИ[[#This Row],[КУРС]])</f>
        <v>0</v>
      </c>
      <c r="G1914" s="165"/>
      <c r="H1914" s="165"/>
      <c r="I1914" s="165"/>
    </row>
    <row r="1915" spans="1:9" ht="15" customHeight="1" x14ac:dyDescent="0.3">
      <c r="A1915" s="164"/>
      <c r="B1915" s="165"/>
      <c r="C1915" s="166"/>
      <c r="D1915" s="166"/>
      <c r="E1915" s="166"/>
      <c r="F1915" s="60">
        <f>ПЛАТЕЖИ[[#This Row],[СЎМ]]+(ПЛАТЕЖИ[[#This Row],[ВАЛЮТА]]*ПЛАТЕЖИ[[#This Row],[КУРС]])</f>
        <v>0</v>
      </c>
      <c r="G1915" s="165"/>
      <c r="H1915" s="165"/>
      <c r="I1915" s="165"/>
    </row>
    <row r="1916" spans="1:9" ht="15" customHeight="1" x14ac:dyDescent="0.3">
      <c r="A1916" s="164"/>
      <c r="B1916" s="165"/>
      <c r="C1916" s="166"/>
      <c r="D1916" s="166"/>
      <c r="E1916" s="166"/>
      <c r="F1916" s="60">
        <f>ПЛАТЕЖИ[[#This Row],[СЎМ]]+(ПЛАТЕЖИ[[#This Row],[ВАЛЮТА]]*ПЛАТЕЖИ[[#This Row],[КУРС]])</f>
        <v>0</v>
      </c>
      <c r="G1916" s="165"/>
      <c r="H1916" s="165"/>
      <c r="I1916" s="165"/>
    </row>
    <row r="1917" spans="1:9" ht="15" customHeight="1" x14ac:dyDescent="0.3">
      <c r="A1917" s="164"/>
      <c r="B1917" s="165"/>
      <c r="C1917" s="166"/>
      <c r="D1917" s="166"/>
      <c r="E1917" s="166"/>
      <c r="F1917" s="60">
        <f>ПЛАТЕЖИ[[#This Row],[СЎМ]]+(ПЛАТЕЖИ[[#This Row],[ВАЛЮТА]]*ПЛАТЕЖИ[[#This Row],[КУРС]])</f>
        <v>0</v>
      </c>
      <c r="G1917" s="165"/>
      <c r="H1917" s="165"/>
      <c r="I1917" s="165"/>
    </row>
    <row r="1918" spans="1:9" ht="15" customHeight="1" x14ac:dyDescent="0.3">
      <c r="A1918" s="164"/>
      <c r="B1918" s="165"/>
      <c r="C1918" s="166"/>
      <c r="D1918" s="166"/>
      <c r="E1918" s="166"/>
      <c r="F1918" s="60">
        <f>ПЛАТЕЖИ[[#This Row],[СЎМ]]+(ПЛАТЕЖИ[[#This Row],[ВАЛЮТА]]*ПЛАТЕЖИ[[#This Row],[КУРС]])</f>
        <v>0</v>
      </c>
      <c r="G1918" s="165"/>
      <c r="H1918" s="147"/>
      <c r="I1918" s="165"/>
    </row>
    <row r="1919" spans="1:9" ht="15" customHeight="1" x14ac:dyDescent="0.3">
      <c r="A1919" s="164"/>
      <c r="B1919" s="165"/>
      <c r="C1919" s="166"/>
      <c r="D1919" s="166"/>
      <c r="E1919" s="166"/>
      <c r="F1919" s="60">
        <f>ПЛАТЕЖИ[[#This Row],[СЎМ]]+(ПЛАТЕЖИ[[#This Row],[ВАЛЮТА]]*ПЛАТЕЖИ[[#This Row],[КУРС]])</f>
        <v>0</v>
      </c>
      <c r="G1919" s="165"/>
      <c r="H1919" s="165"/>
      <c r="I1919" s="165"/>
    </row>
    <row r="1920" spans="1:9" ht="15" customHeight="1" x14ac:dyDescent="0.3">
      <c r="A1920" s="164"/>
      <c r="B1920" s="165"/>
      <c r="C1920" s="166"/>
      <c r="D1920" s="166"/>
      <c r="E1920" s="166"/>
      <c r="F1920" s="60">
        <f>ПЛАТЕЖИ[[#This Row],[СЎМ]]+(ПЛАТЕЖИ[[#This Row],[ВАЛЮТА]]*ПЛАТЕЖИ[[#This Row],[КУРС]])</f>
        <v>0</v>
      </c>
      <c r="G1920" s="165"/>
      <c r="H1920" s="165"/>
      <c r="I1920" s="165"/>
    </row>
    <row r="1921" spans="1:9" ht="15" customHeight="1" x14ac:dyDescent="0.3">
      <c r="A1921" s="164"/>
      <c r="B1921" s="165"/>
      <c r="C1921" s="166"/>
      <c r="D1921" s="166"/>
      <c r="E1921" s="166"/>
      <c r="F1921" s="60">
        <f>ПЛАТЕЖИ[[#This Row],[СЎМ]]+(ПЛАТЕЖИ[[#This Row],[ВАЛЮТА]]*ПЛАТЕЖИ[[#This Row],[КУРС]])</f>
        <v>0</v>
      </c>
      <c r="G1921" s="165"/>
      <c r="H1921" s="165"/>
      <c r="I1921" s="165"/>
    </row>
    <row r="1922" spans="1:9" ht="15" customHeight="1" x14ac:dyDescent="0.3">
      <c r="A1922" s="164"/>
      <c r="B1922" s="165"/>
      <c r="C1922" s="166"/>
      <c r="D1922" s="166"/>
      <c r="E1922" s="166"/>
      <c r="F1922" s="60">
        <f>ПЛАТЕЖИ[[#This Row],[СЎМ]]+(ПЛАТЕЖИ[[#This Row],[ВАЛЮТА]]*ПЛАТЕЖИ[[#This Row],[КУРС]])</f>
        <v>0</v>
      </c>
      <c r="G1922" s="165"/>
      <c r="H1922" s="165"/>
      <c r="I1922" s="165"/>
    </row>
    <row r="1923" spans="1:9" ht="15" customHeight="1" x14ac:dyDescent="0.3">
      <c r="A1923" s="164"/>
      <c r="B1923" s="165"/>
      <c r="C1923" s="166"/>
      <c r="D1923" s="166"/>
      <c r="E1923" s="166"/>
      <c r="F1923" s="60">
        <f>ПЛАТЕЖИ[[#This Row],[СЎМ]]+(ПЛАТЕЖИ[[#This Row],[ВАЛЮТА]]*ПЛАТЕЖИ[[#This Row],[КУРС]])</f>
        <v>0</v>
      </c>
      <c r="G1923" s="165"/>
      <c r="H1923" s="165"/>
      <c r="I1923" s="165"/>
    </row>
    <row r="1924" spans="1:9" ht="15" customHeight="1" x14ac:dyDescent="0.3">
      <c r="A1924" s="164"/>
      <c r="B1924" s="165"/>
      <c r="C1924" s="166"/>
      <c r="D1924" s="166"/>
      <c r="E1924" s="166"/>
      <c r="F1924" s="60">
        <f>ПЛАТЕЖИ[[#This Row],[СЎМ]]+(ПЛАТЕЖИ[[#This Row],[ВАЛЮТА]]*ПЛАТЕЖИ[[#This Row],[КУРС]])</f>
        <v>0</v>
      </c>
      <c r="G1924" s="165"/>
      <c r="H1924" s="165"/>
      <c r="I1924" s="165"/>
    </row>
    <row r="1925" spans="1:9" ht="15" customHeight="1" x14ac:dyDescent="0.3">
      <c r="A1925" s="164"/>
      <c r="B1925" s="165"/>
      <c r="C1925" s="166"/>
      <c r="D1925" s="166"/>
      <c r="E1925" s="166"/>
      <c r="F1925" s="60">
        <f>ПЛАТЕЖИ[[#This Row],[СЎМ]]+(ПЛАТЕЖИ[[#This Row],[ВАЛЮТА]]*ПЛАТЕЖИ[[#This Row],[КУРС]])</f>
        <v>0</v>
      </c>
      <c r="G1925" s="165"/>
      <c r="H1925" s="165"/>
      <c r="I1925" s="165"/>
    </row>
    <row r="1926" spans="1:9" ht="15" customHeight="1" x14ac:dyDescent="0.3">
      <c r="A1926" s="164"/>
      <c r="B1926" s="165"/>
      <c r="C1926" s="166"/>
      <c r="D1926" s="166"/>
      <c r="E1926" s="166"/>
      <c r="F1926" s="60">
        <f>ПЛАТЕЖИ[[#This Row],[СЎМ]]+(ПЛАТЕЖИ[[#This Row],[ВАЛЮТА]]*ПЛАТЕЖИ[[#This Row],[КУРС]])</f>
        <v>0</v>
      </c>
      <c r="G1926" s="165"/>
      <c r="H1926" s="165"/>
      <c r="I1926" s="165"/>
    </row>
    <row r="1927" spans="1:9" ht="15" customHeight="1" x14ac:dyDescent="0.3">
      <c r="A1927" s="164"/>
      <c r="B1927" s="165"/>
      <c r="C1927" s="166"/>
      <c r="D1927" s="166"/>
      <c r="E1927" s="166"/>
      <c r="F1927" s="60">
        <f>ПЛАТЕЖИ[[#This Row],[СЎМ]]+(ПЛАТЕЖИ[[#This Row],[ВАЛЮТА]]*ПЛАТЕЖИ[[#This Row],[КУРС]])</f>
        <v>0</v>
      </c>
      <c r="G1927" s="165"/>
      <c r="H1927" s="165"/>
      <c r="I1927" s="165"/>
    </row>
    <row r="1928" spans="1:9" ht="15" customHeight="1" x14ac:dyDescent="0.3">
      <c r="A1928" s="164"/>
      <c r="B1928" s="165"/>
      <c r="C1928" s="166"/>
      <c r="D1928" s="166"/>
      <c r="E1928" s="166"/>
      <c r="F1928" s="60">
        <f>ПЛАТЕЖИ[[#This Row],[СЎМ]]+(ПЛАТЕЖИ[[#This Row],[ВАЛЮТА]]*ПЛАТЕЖИ[[#This Row],[КУРС]])</f>
        <v>0</v>
      </c>
      <c r="G1928" s="165"/>
      <c r="H1928" s="165"/>
      <c r="I1928" s="165"/>
    </row>
    <row r="1929" spans="1:9" ht="15" customHeight="1" x14ac:dyDescent="0.3">
      <c r="A1929" s="164"/>
      <c r="B1929" s="165"/>
      <c r="C1929" s="166"/>
      <c r="D1929" s="166"/>
      <c r="E1929" s="166"/>
      <c r="F1929" s="60">
        <f>ПЛАТЕЖИ[[#This Row],[СЎМ]]+(ПЛАТЕЖИ[[#This Row],[ВАЛЮТА]]*ПЛАТЕЖИ[[#This Row],[КУРС]])</f>
        <v>0</v>
      </c>
      <c r="G1929" s="165"/>
      <c r="H1929" s="147"/>
      <c r="I1929" s="165"/>
    </row>
    <row r="1930" spans="1:9" ht="15" customHeight="1" x14ac:dyDescent="0.3">
      <c r="A1930" s="164"/>
      <c r="B1930" s="165"/>
      <c r="C1930" s="166"/>
      <c r="D1930" s="166"/>
      <c r="E1930" s="166"/>
      <c r="F1930" s="60">
        <f>ПЛАТЕЖИ[[#This Row],[СЎМ]]+(ПЛАТЕЖИ[[#This Row],[ВАЛЮТА]]*ПЛАТЕЖИ[[#This Row],[КУРС]])</f>
        <v>0</v>
      </c>
      <c r="G1930" s="165"/>
      <c r="H1930" s="147"/>
      <c r="I1930" s="165"/>
    </row>
    <row r="1931" spans="1:9" ht="15" customHeight="1" x14ac:dyDescent="0.3">
      <c r="A1931" s="164"/>
      <c r="B1931" s="165"/>
      <c r="C1931" s="166"/>
      <c r="D1931" s="166"/>
      <c r="E1931" s="166"/>
      <c r="F1931" s="60">
        <f>ПЛАТЕЖИ[[#This Row],[СЎМ]]+(ПЛАТЕЖИ[[#This Row],[ВАЛЮТА]]*ПЛАТЕЖИ[[#This Row],[КУРС]])</f>
        <v>0</v>
      </c>
      <c r="G1931" s="165"/>
      <c r="H1931" s="147"/>
      <c r="I1931" s="165"/>
    </row>
    <row r="1932" spans="1:9" ht="15" customHeight="1" x14ac:dyDescent="0.3">
      <c r="A1932" s="164"/>
      <c r="B1932" s="165"/>
      <c r="C1932" s="166"/>
      <c r="D1932" s="166"/>
      <c r="E1932" s="166"/>
      <c r="F1932" s="60">
        <f>ПЛАТЕЖИ[[#This Row],[СЎМ]]+(ПЛАТЕЖИ[[#This Row],[ВАЛЮТА]]*ПЛАТЕЖИ[[#This Row],[КУРС]])</f>
        <v>0</v>
      </c>
      <c r="G1932" s="165"/>
      <c r="H1932" s="147"/>
      <c r="I1932" s="165"/>
    </row>
    <row r="1933" spans="1:9" ht="15" customHeight="1" x14ac:dyDescent="0.3">
      <c r="A1933" s="164"/>
      <c r="B1933" s="165"/>
      <c r="C1933" s="166"/>
      <c r="D1933" s="166"/>
      <c r="E1933" s="166"/>
      <c r="F1933" s="60">
        <f>ПЛАТЕЖИ[[#This Row],[СЎМ]]+(ПЛАТЕЖИ[[#This Row],[ВАЛЮТА]]*ПЛАТЕЖИ[[#This Row],[КУРС]])</f>
        <v>0</v>
      </c>
      <c r="G1933" s="165"/>
      <c r="H1933" s="165"/>
      <c r="I1933" s="165"/>
    </row>
    <row r="1934" spans="1:9" ht="15" customHeight="1" x14ac:dyDescent="0.3">
      <c r="A1934" s="164"/>
      <c r="B1934" s="165"/>
      <c r="C1934" s="166"/>
      <c r="D1934" s="166"/>
      <c r="E1934" s="166"/>
      <c r="F1934" s="60">
        <f>ПЛАТЕЖИ[[#This Row],[СЎМ]]+(ПЛАТЕЖИ[[#This Row],[ВАЛЮТА]]*ПЛАТЕЖИ[[#This Row],[КУРС]])</f>
        <v>0</v>
      </c>
      <c r="G1934" s="165"/>
      <c r="H1934" s="165"/>
      <c r="I1934" s="165"/>
    </row>
    <row r="1935" spans="1:9" ht="15" customHeight="1" x14ac:dyDescent="0.3">
      <c r="A1935" s="164"/>
      <c r="B1935" s="165"/>
      <c r="C1935" s="166"/>
      <c r="D1935" s="166"/>
      <c r="E1935" s="166"/>
      <c r="F1935" s="60">
        <f>ПЛАТЕЖИ[[#This Row],[СЎМ]]+(ПЛАТЕЖИ[[#This Row],[ВАЛЮТА]]*ПЛАТЕЖИ[[#This Row],[КУРС]])</f>
        <v>0</v>
      </c>
      <c r="G1935" s="165"/>
      <c r="H1935" s="165"/>
      <c r="I1935" s="165"/>
    </row>
    <row r="1936" spans="1:9" ht="15" customHeight="1" x14ac:dyDescent="0.3">
      <c r="A1936" s="164"/>
      <c r="B1936" s="165"/>
      <c r="C1936" s="166"/>
      <c r="D1936" s="166"/>
      <c r="E1936" s="166"/>
      <c r="F1936" s="60">
        <f>ПЛАТЕЖИ[[#This Row],[СЎМ]]+(ПЛАТЕЖИ[[#This Row],[ВАЛЮТА]]*ПЛАТЕЖИ[[#This Row],[КУРС]])</f>
        <v>0</v>
      </c>
      <c r="G1936" s="165"/>
      <c r="H1936" s="147"/>
      <c r="I1936" s="165"/>
    </row>
    <row r="1937" spans="1:9" ht="15" customHeight="1" x14ac:dyDescent="0.3">
      <c r="A1937" s="164"/>
      <c r="B1937" s="165"/>
      <c r="C1937" s="166"/>
      <c r="D1937" s="166"/>
      <c r="E1937" s="166"/>
      <c r="F1937" s="60">
        <f>ПЛАТЕЖИ[[#This Row],[СЎМ]]+(ПЛАТЕЖИ[[#This Row],[ВАЛЮТА]]*ПЛАТЕЖИ[[#This Row],[КУРС]])</f>
        <v>0</v>
      </c>
      <c r="G1937" s="165"/>
      <c r="H1937" s="147"/>
      <c r="I1937" s="165"/>
    </row>
    <row r="1938" spans="1:9" ht="15" customHeight="1" x14ac:dyDescent="0.3">
      <c r="A1938" s="164"/>
      <c r="B1938" s="165"/>
      <c r="C1938" s="166"/>
      <c r="D1938" s="166"/>
      <c r="E1938" s="166"/>
      <c r="F1938" s="60">
        <f>ПЛАТЕЖИ[[#This Row],[СЎМ]]+(ПЛАТЕЖИ[[#This Row],[ВАЛЮТА]]*ПЛАТЕЖИ[[#This Row],[КУРС]])</f>
        <v>0</v>
      </c>
      <c r="G1938" s="165"/>
      <c r="H1938" s="147"/>
      <c r="I1938" s="165"/>
    </row>
    <row r="1939" spans="1:9" ht="15" customHeight="1" x14ac:dyDescent="0.3">
      <c r="A1939" s="164"/>
      <c r="B1939" s="165"/>
      <c r="C1939" s="166"/>
      <c r="D1939" s="166"/>
      <c r="E1939" s="166"/>
      <c r="F1939" s="60">
        <f>ПЛАТЕЖИ[[#This Row],[СЎМ]]+(ПЛАТЕЖИ[[#This Row],[ВАЛЮТА]]*ПЛАТЕЖИ[[#This Row],[КУРС]])</f>
        <v>0</v>
      </c>
      <c r="G1939" s="165"/>
      <c r="H1939" s="147"/>
      <c r="I1939" s="165"/>
    </row>
    <row r="1940" spans="1:9" ht="15" customHeight="1" x14ac:dyDescent="0.3">
      <c r="A1940" s="164"/>
      <c r="B1940" s="165"/>
      <c r="C1940" s="166"/>
      <c r="D1940" s="166"/>
      <c r="E1940" s="166"/>
      <c r="F1940" s="60">
        <f>ПЛАТЕЖИ[[#This Row],[СЎМ]]+(ПЛАТЕЖИ[[#This Row],[ВАЛЮТА]]*ПЛАТЕЖИ[[#This Row],[КУРС]])</f>
        <v>0</v>
      </c>
      <c r="G1940" s="165"/>
      <c r="H1940" s="165"/>
      <c r="I1940" s="165"/>
    </row>
    <row r="1941" spans="1:9" ht="15" customHeight="1" x14ac:dyDescent="0.3">
      <c r="A1941" s="164"/>
      <c r="B1941" s="165"/>
      <c r="C1941" s="166"/>
      <c r="D1941" s="166"/>
      <c r="E1941" s="166"/>
      <c r="F1941" s="60">
        <f>ПЛАТЕЖИ[[#This Row],[СЎМ]]+(ПЛАТЕЖИ[[#This Row],[ВАЛЮТА]]*ПЛАТЕЖИ[[#This Row],[КУРС]])</f>
        <v>0</v>
      </c>
      <c r="G1941" s="165"/>
      <c r="H1941" s="147"/>
      <c r="I1941" s="165"/>
    </row>
    <row r="1942" spans="1:9" ht="15" customHeight="1" x14ac:dyDescent="0.3">
      <c r="A1942" s="164"/>
      <c r="B1942" s="165"/>
      <c r="C1942" s="166"/>
      <c r="D1942" s="166"/>
      <c r="E1942" s="166"/>
      <c r="F1942" s="60">
        <f>ПЛАТЕЖИ[[#This Row],[СЎМ]]+(ПЛАТЕЖИ[[#This Row],[ВАЛЮТА]]*ПЛАТЕЖИ[[#This Row],[КУРС]])</f>
        <v>0</v>
      </c>
      <c r="G1942" s="165"/>
      <c r="H1942" s="147"/>
      <c r="I1942" s="165"/>
    </row>
    <row r="1943" spans="1:9" ht="15" customHeight="1" x14ac:dyDescent="0.3">
      <c r="A1943" s="164"/>
      <c r="B1943" s="165"/>
      <c r="C1943" s="166"/>
      <c r="D1943" s="166"/>
      <c r="E1943" s="166"/>
      <c r="F1943" s="60">
        <f>ПЛАТЕЖИ[[#This Row],[СЎМ]]+(ПЛАТЕЖИ[[#This Row],[ВАЛЮТА]]*ПЛАТЕЖИ[[#This Row],[КУРС]])</f>
        <v>0</v>
      </c>
      <c r="G1943" s="165"/>
      <c r="H1943" s="147"/>
      <c r="I1943" s="165"/>
    </row>
    <row r="1944" spans="1:9" ht="15" customHeight="1" x14ac:dyDescent="0.3">
      <c r="A1944" s="164"/>
      <c r="B1944" s="165"/>
      <c r="C1944" s="166"/>
      <c r="D1944" s="166"/>
      <c r="E1944" s="166"/>
      <c r="F1944" s="60">
        <f>ПЛАТЕЖИ[[#This Row],[СЎМ]]+(ПЛАТЕЖИ[[#This Row],[ВАЛЮТА]]*ПЛАТЕЖИ[[#This Row],[КУРС]])</f>
        <v>0</v>
      </c>
      <c r="G1944" s="165"/>
      <c r="H1944" s="165"/>
      <c r="I1944" s="165"/>
    </row>
    <row r="1945" spans="1:9" ht="15" customHeight="1" x14ac:dyDescent="0.3">
      <c r="A1945" s="164"/>
      <c r="B1945" s="165"/>
      <c r="C1945" s="166"/>
      <c r="D1945" s="166"/>
      <c r="E1945" s="166"/>
      <c r="F1945" s="60">
        <f>ПЛАТЕЖИ[[#This Row],[СЎМ]]+(ПЛАТЕЖИ[[#This Row],[ВАЛЮТА]]*ПЛАТЕЖИ[[#This Row],[КУРС]])</f>
        <v>0</v>
      </c>
      <c r="G1945" s="165"/>
      <c r="H1945" s="165"/>
      <c r="I1945" s="165"/>
    </row>
    <row r="1946" spans="1:9" ht="15" customHeight="1" x14ac:dyDescent="0.3">
      <c r="A1946" s="164"/>
      <c r="B1946" s="165"/>
      <c r="C1946" s="166"/>
      <c r="D1946" s="166"/>
      <c r="E1946" s="166"/>
      <c r="F1946" s="60">
        <f>ПЛАТЕЖИ[[#This Row],[СЎМ]]+(ПЛАТЕЖИ[[#This Row],[ВАЛЮТА]]*ПЛАТЕЖИ[[#This Row],[КУРС]])</f>
        <v>0</v>
      </c>
      <c r="G1946" s="165"/>
      <c r="H1946" s="165"/>
      <c r="I1946" s="165"/>
    </row>
    <row r="1947" spans="1:9" ht="15" customHeight="1" x14ac:dyDescent="0.3">
      <c r="A1947" s="164"/>
      <c r="B1947" s="165"/>
      <c r="C1947" s="166"/>
      <c r="D1947" s="166"/>
      <c r="E1947" s="166"/>
      <c r="F1947" s="60">
        <f>ПЛАТЕЖИ[[#This Row],[СЎМ]]+(ПЛАТЕЖИ[[#This Row],[ВАЛЮТА]]*ПЛАТЕЖИ[[#This Row],[КУРС]])</f>
        <v>0</v>
      </c>
      <c r="G1947" s="165"/>
      <c r="H1947" s="165"/>
      <c r="I1947" s="165"/>
    </row>
    <row r="1948" spans="1:9" ht="15" customHeight="1" x14ac:dyDescent="0.3">
      <c r="A1948" s="164"/>
      <c r="B1948" s="165"/>
      <c r="C1948" s="166"/>
      <c r="D1948" s="166"/>
      <c r="E1948" s="166"/>
      <c r="F1948" s="60">
        <f>ПЛАТЕЖИ[[#This Row],[СЎМ]]+(ПЛАТЕЖИ[[#This Row],[ВАЛЮТА]]*ПЛАТЕЖИ[[#This Row],[КУРС]])</f>
        <v>0</v>
      </c>
      <c r="G1948" s="165"/>
      <c r="H1948" s="165"/>
      <c r="I1948" s="165"/>
    </row>
    <row r="1949" spans="1:9" ht="15" customHeight="1" x14ac:dyDescent="0.3">
      <c r="A1949" s="164"/>
      <c r="B1949" s="165"/>
      <c r="C1949" s="166"/>
      <c r="D1949" s="166"/>
      <c r="E1949" s="166"/>
      <c r="F1949" s="60">
        <f>ПЛАТЕЖИ[[#This Row],[СЎМ]]+(ПЛАТЕЖИ[[#This Row],[ВАЛЮТА]]*ПЛАТЕЖИ[[#This Row],[КУРС]])</f>
        <v>0</v>
      </c>
      <c r="G1949" s="165"/>
      <c r="H1949" s="165"/>
      <c r="I1949" s="165"/>
    </row>
    <row r="1950" spans="1:9" ht="15" customHeight="1" x14ac:dyDescent="0.3">
      <c r="A1950" s="164"/>
      <c r="B1950" s="165"/>
      <c r="C1950" s="166"/>
      <c r="D1950" s="166"/>
      <c r="E1950" s="166"/>
      <c r="F1950" s="60">
        <f>ПЛАТЕЖИ[[#This Row],[СЎМ]]+(ПЛАТЕЖИ[[#This Row],[ВАЛЮТА]]*ПЛАТЕЖИ[[#This Row],[КУРС]])</f>
        <v>0</v>
      </c>
      <c r="G1950" s="165"/>
      <c r="H1950" s="165"/>
      <c r="I1950" s="165"/>
    </row>
    <row r="1951" spans="1:9" ht="15" customHeight="1" x14ac:dyDescent="0.3">
      <c r="A1951" s="164"/>
      <c r="B1951" s="165"/>
      <c r="C1951" s="166"/>
      <c r="D1951" s="166"/>
      <c r="E1951" s="166"/>
      <c r="F1951" s="60">
        <f>ПЛАТЕЖИ[[#This Row],[СЎМ]]+(ПЛАТЕЖИ[[#This Row],[ВАЛЮТА]]*ПЛАТЕЖИ[[#This Row],[КУРС]])</f>
        <v>0</v>
      </c>
      <c r="G1951" s="165"/>
      <c r="H1951" s="165"/>
      <c r="I1951" s="165"/>
    </row>
    <row r="1952" spans="1:9" ht="15" customHeight="1" x14ac:dyDescent="0.3">
      <c r="A1952" s="164"/>
      <c r="B1952" s="165"/>
      <c r="C1952" s="166"/>
      <c r="D1952" s="166"/>
      <c r="E1952" s="166"/>
      <c r="F1952" s="60">
        <f>ПЛАТЕЖИ[[#This Row],[СЎМ]]+(ПЛАТЕЖИ[[#This Row],[ВАЛЮТА]]*ПЛАТЕЖИ[[#This Row],[КУРС]])</f>
        <v>0</v>
      </c>
      <c r="G1952" s="165"/>
      <c r="H1952" s="165"/>
      <c r="I1952" s="165"/>
    </row>
    <row r="1953" spans="1:9" ht="15" customHeight="1" x14ac:dyDescent="0.3">
      <c r="A1953" s="164"/>
      <c r="B1953" s="165"/>
      <c r="C1953" s="166"/>
      <c r="D1953" s="166"/>
      <c r="E1953" s="166"/>
      <c r="F1953" s="60">
        <f>ПЛАТЕЖИ[[#This Row],[СЎМ]]+(ПЛАТЕЖИ[[#This Row],[ВАЛЮТА]]*ПЛАТЕЖИ[[#This Row],[КУРС]])</f>
        <v>0</v>
      </c>
      <c r="G1953" s="165"/>
      <c r="H1953" s="165"/>
      <c r="I1953" s="165"/>
    </row>
    <row r="1954" spans="1:9" ht="15" customHeight="1" x14ac:dyDescent="0.3">
      <c r="A1954" s="164"/>
      <c r="B1954" s="165"/>
      <c r="C1954" s="166"/>
      <c r="D1954" s="166"/>
      <c r="E1954" s="166"/>
      <c r="F1954" s="60">
        <f>ПЛАТЕЖИ[[#This Row],[СЎМ]]+(ПЛАТЕЖИ[[#This Row],[ВАЛЮТА]]*ПЛАТЕЖИ[[#This Row],[КУРС]])</f>
        <v>0</v>
      </c>
      <c r="G1954" s="165"/>
      <c r="H1954" s="165"/>
      <c r="I1954" s="165"/>
    </row>
    <row r="1955" spans="1:9" ht="15" customHeight="1" x14ac:dyDescent="0.3">
      <c r="A1955" s="164"/>
      <c r="B1955" s="165"/>
      <c r="C1955" s="166"/>
      <c r="D1955" s="166"/>
      <c r="E1955" s="166"/>
      <c r="F1955" s="60">
        <f>ПЛАТЕЖИ[[#This Row],[СЎМ]]+(ПЛАТЕЖИ[[#This Row],[ВАЛЮТА]]*ПЛАТЕЖИ[[#This Row],[КУРС]])</f>
        <v>0</v>
      </c>
      <c r="G1955" s="165"/>
      <c r="H1955" s="165"/>
      <c r="I1955" s="165"/>
    </row>
    <row r="1956" spans="1:9" ht="15" customHeight="1" x14ac:dyDescent="0.3">
      <c r="A1956" s="164"/>
      <c r="B1956" s="165"/>
      <c r="C1956" s="166"/>
      <c r="D1956" s="166"/>
      <c r="E1956" s="166"/>
      <c r="F1956" s="60">
        <f>ПЛАТЕЖИ[[#This Row],[СЎМ]]+(ПЛАТЕЖИ[[#This Row],[ВАЛЮТА]]*ПЛАТЕЖИ[[#This Row],[КУРС]])</f>
        <v>0</v>
      </c>
      <c r="G1956" s="165"/>
      <c r="H1956" s="165"/>
      <c r="I1956" s="165"/>
    </row>
    <row r="1957" spans="1:9" ht="15" customHeight="1" x14ac:dyDescent="0.3">
      <c r="A1957" s="164"/>
      <c r="B1957" s="165"/>
      <c r="C1957" s="166"/>
      <c r="D1957" s="166"/>
      <c r="E1957" s="166"/>
      <c r="F1957" s="60">
        <f>ПЛАТЕЖИ[[#This Row],[СЎМ]]+(ПЛАТЕЖИ[[#This Row],[ВАЛЮТА]]*ПЛАТЕЖИ[[#This Row],[КУРС]])</f>
        <v>0</v>
      </c>
      <c r="G1957" s="165"/>
      <c r="H1957" s="165"/>
      <c r="I1957" s="165"/>
    </row>
    <row r="1958" spans="1:9" ht="15" customHeight="1" x14ac:dyDescent="0.3">
      <c r="A1958" s="164"/>
      <c r="B1958" s="165"/>
      <c r="C1958" s="166"/>
      <c r="D1958" s="166"/>
      <c r="E1958" s="166"/>
      <c r="F1958" s="60">
        <f>ПЛАТЕЖИ[[#This Row],[СЎМ]]+(ПЛАТЕЖИ[[#This Row],[ВАЛЮТА]]*ПЛАТЕЖИ[[#This Row],[КУРС]])</f>
        <v>0</v>
      </c>
      <c r="G1958" s="165"/>
      <c r="H1958" s="165"/>
      <c r="I1958" s="165"/>
    </row>
    <row r="1959" spans="1:9" ht="15" customHeight="1" x14ac:dyDescent="0.3">
      <c r="A1959" s="164"/>
      <c r="B1959" s="165"/>
      <c r="C1959" s="166"/>
      <c r="D1959" s="166"/>
      <c r="E1959" s="166"/>
      <c r="F1959" s="60">
        <f>ПЛАТЕЖИ[[#This Row],[СЎМ]]+(ПЛАТЕЖИ[[#This Row],[ВАЛЮТА]]*ПЛАТЕЖИ[[#This Row],[КУРС]])</f>
        <v>0</v>
      </c>
      <c r="G1959" s="165"/>
      <c r="H1959" s="165"/>
      <c r="I1959" s="165"/>
    </row>
    <row r="1960" spans="1:9" ht="15" customHeight="1" x14ac:dyDescent="0.3">
      <c r="A1960" s="164"/>
      <c r="B1960" s="165"/>
      <c r="C1960" s="166"/>
      <c r="D1960" s="166"/>
      <c r="E1960" s="166"/>
      <c r="F1960" s="60">
        <f>ПЛАТЕЖИ[[#This Row],[СЎМ]]+(ПЛАТЕЖИ[[#This Row],[ВАЛЮТА]]*ПЛАТЕЖИ[[#This Row],[КУРС]])</f>
        <v>0</v>
      </c>
      <c r="G1960" s="165"/>
      <c r="H1960" s="165"/>
      <c r="I1960" s="165"/>
    </row>
    <row r="1961" spans="1:9" ht="15" customHeight="1" x14ac:dyDescent="0.3">
      <c r="A1961" s="164"/>
      <c r="B1961" s="165"/>
      <c r="C1961" s="166"/>
      <c r="D1961" s="166"/>
      <c r="E1961" s="166"/>
      <c r="F1961" s="60">
        <f>ПЛАТЕЖИ[[#This Row],[СЎМ]]+(ПЛАТЕЖИ[[#This Row],[ВАЛЮТА]]*ПЛАТЕЖИ[[#This Row],[КУРС]])</f>
        <v>0</v>
      </c>
      <c r="G1961" s="165"/>
      <c r="H1961" s="165"/>
      <c r="I1961" s="165"/>
    </row>
    <row r="1962" spans="1:9" ht="15" customHeight="1" x14ac:dyDescent="0.3">
      <c r="A1962" s="164"/>
      <c r="B1962" s="165"/>
      <c r="C1962" s="166"/>
      <c r="D1962" s="166"/>
      <c r="E1962" s="166"/>
      <c r="F1962" s="60">
        <f>ПЛАТЕЖИ[[#This Row],[СЎМ]]+(ПЛАТЕЖИ[[#This Row],[ВАЛЮТА]]*ПЛАТЕЖИ[[#This Row],[КУРС]])</f>
        <v>0</v>
      </c>
      <c r="G1962" s="165"/>
      <c r="H1962" s="165"/>
      <c r="I1962" s="165"/>
    </row>
    <row r="1963" spans="1:9" ht="15" customHeight="1" x14ac:dyDescent="0.3">
      <c r="A1963" s="164"/>
      <c r="B1963" s="165"/>
      <c r="C1963" s="166"/>
      <c r="D1963" s="166"/>
      <c r="E1963" s="166"/>
      <c r="F1963" s="60">
        <f>ПЛАТЕЖИ[[#This Row],[СЎМ]]+(ПЛАТЕЖИ[[#This Row],[ВАЛЮТА]]*ПЛАТЕЖИ[[#This Row],[КУРС]])</f>
        <v>0</v>
      </c>
      <c r="G1963" s="165"/>
      <c r="H1963" s="165"/>
      <c r="I1963" s="165"/>
    </row>
    <row r="1964" spans="1:9" ht="15" customHeight="1" x14ac:dyDescent="0.3">
      <c r="A1964" s="164"/>
      <c r="B1964" s="165"/>
      <c r="C1964" s="166"/>
      <c r="D1964" s="166"/>
      <c r="E1964" s="166"/>
      <c r="F1964" s="60">
        <f>ПЛАТЕЖИ[[#This Row],[СЎМ]]+(ПЛАТЕЖИ[[#This Row],[ВАЛЮТА]]*ПЛАТЕЖИ[[#This Row],[КУРС]])</f>
        <v>0</v>
      </c>
      <c r="G1964" s="165"/>
      <c r="H1964" s="165"/>
      <c r="I1964" s="165"/>
    </row>
    <row r="1965" spans="1:9" ht="15" customHeight="1" x14ac:dyDescent="0.3">
      <c r="A1965" s="164"/>
      <c r="B1965" s="165"/>
      <c r="C1965" s="166"/>
      <c r="D1965" s="166"/>
      <c r="E1965" s="166"/>
      <c r="F1965" s="60">
        <f>ПЛАТЕЖИ[[#This Row],[СЎМ]]+(ПЛАТЕЖИ[[#This Row],[ВАЛЮТА]]*ПЛАТЕЖИ[[#This Row],[КУРС]])</f>
        <v>0</v>
      </c>
      <c r="G1965" s="165"/>
      <c r="H1965" s="147"/>
      <c r="I1965" s="165"/>
    </row>
    <row r="1966" spans="1:9" ht="15" customHeight="1" x14ac:dyDescent="0.3">
      <c r="A1966" s="164"/>
      <c r="B1966" s="165"/>
      <c r="C1966" s="166"/>
      <c r="D1966" s="166"/>
      <c r="E1966" s="166"/>
      <c r="F1966" s="60">
        <f>ПЛАТЕЖИ[[#This Row],[СЎМ]]+(ПЛАТЕЖИ[[#This Row],[ВАЛЮТА]]*ПЛАТЕЖИ[[#This Row],[КУРС]])</f>
        <v>0</v>
      </c>
      <c r="G1966" s="165"/>
      <c r="H1966" s="147"/>
      <c r="I1966" s="165"/>
    </row>
    <row r="1967" spans="1:9" ht="15" customHeight="1" x14ac:dyDescent="0.3">
      <c r="A1967" s="164"/>
      <c r="B1967" s="165"/>
      <c r="C1967" s="166"/>
      <c r="D1967" s="166"/>
      <c r="E1967" s="166"/>
      <c r="F1967" s="60">
        <f>ПЛАТЕЖИ[[#This Row],[СЎМ]]+(ПЛАТЕЖИ[[#This Row],[ВАЛЮТА]]*ПЛАТЕЖИ[[#This Row],[КУРС]])</f>
        <v>0</v>
      </c>
      <c r="G1967" s="165"/>
      <c r="H1967" s="165"/>
      <c r="I1967" s="165"/>
    </row>
    <row r="1968" spans="1:9" ht="15" customHeight="1" x14ac:dyDescent="0.3">
      <c r="A1968" s="164"/>
      <c r="B1968" s="165"/>
      <c r="C1968" s="166"/>
      <c r="D1968" s="166"/>
      <c r="E1968" s="166"/>
      <c r="F1968" s="60">
        <f>ПЛАТЕЖИ[[#This Row],[СЎМ]]+(ПЛАТЕЖИ[[#This Row],[ВАЛЮТА]]*ПЛАТЕЖИ[[#This Row],[КУРС]])</f>
        <v>0</v>
      </c>
      <c r="G1968" s="165"/>
      <c r="H1968" s="165"/>
      <c r="I1968" s="165"/>
    </row>
    <row r="1969" spans="1:9" ht="15" customHeight="1" x14ac:dyDescent="0.3">
      <c r="A1969" s="164"/>
      <c r="B1969" s="165"/>
      <c r="C1969" s="166"/>
      <c r="D1969" s="166"/>
      <c r="E1969" s="166"/>
      <c r="F1969" s="60">
        <f>ПЛАТЕЖИ[[#This Row],[СЎМ]]+(ПЛАТЕЖИ[[#This Row],[ВАЛЮТА]]*ПЛАТЕЖИ[[#This Row],[КУРС]])</f>
        <v>0</v>
      </c>
      <c r="G1969" s="165"/>
      <c r="H1969" s="165"/>
      <c r="I1969" s="165"/>
    </row>
    <row r="1970" spans="1:9" ht="15" customHeight="1" x14ac:dyDescent="0.3">
      <c r="A1970" s="164"/>
      <c r="B1970" s="165"/>
      <c r="C1970" s="166"/>
      <c r="D1970" s="166"/>
      <c r="E1970" s="166"/>
      <c r="F1970" s="60">
        <f>ПЛАТЕЖИ[[#This Row],[СЎМ]]+(ПЛАТЕЖИ[[#This Row],[ВАЛЮТА]]*ПЛАТЕЖИ[[#This Row],[КУРС]])</f>
        <v>0</v>
      </c>
      <c r="G1970" s="165"/>
      <c r="H1970" s="165"/>
      <c r="I1970" s="165"/>
    </row>
    <row r="1971" spans="1:9" x14ac:dyDescent="0.3">
      <c r="A1971" s="164"/>
      <c r="B1971" s="165"/>
      <c r="C1971" s="166"/>
      <c r="D1971" s="166"/>
      <c r="E1971" s="166"/>
      <c r="F1971" s="60">
        <f>ПЛАТЕЖИ[[#This Row],[СЎМ]]+(ПЛАТЕЖИ[[#This Row],[ВАЛЮТА]]*ПЛАТЕЖИ[[#This Row],[КУРС]])</f>
        <v>0</v>
      </c>
      <c r="G1971" s="165"/>
      <c r="H1971" s="165"/>
      <c r="I1971" s="165"/>
    </row>
    <row r="1972" spans="1:9" ht="15" customHeight="1" x14ac:dyDescent="0.3">
      <c r="A1972" s="164"/>
      <c r="B1972" s="165"/>
      <c r="C1972" s="166"/>
      <c r="D1972" s="166"/>
      <c r="E1972" s="166"/>
      <c r="F1972" s="60">
        <f>ПЛАТЕЖИ[[#This Row],[СЎМ]]+(ПЛАТЕЖИ[[#This Row],[ВАЛЮТА]]*ПЛАТЕЖИ[[#This Row],[КУРС]])</f>
        <v>0</v>
      </c>
      <c r="G1972" s="165"/>
      <c r="H1972" s="165"/>
      <c r="I1972" s="165"/>
    </row>
    <row r="1973" spans="1:9" ht="15" customHeight="1" x14ac:dyDescent="0.3">
      <c r="A1973" s="164"/>
      <c r="B1973" s="165"/>
      <c r="C1973" s="166"/>
      <c r="D1973" s="166"/>
      <c r="E1973" s="166"/>
      <c r="F1973" s="60">
        <f>ПЛАТЕЖИ[[#This Row],[СЎМ]]+(ПЛАТЕЖИ[[#This Row],[ВАЛЮТА]]*ПЛАТЕЖИ[[#This Row],[КУРС]])</f>
        <v>0</v>
      </c>
      <c r="G1973" s="165"/>
      <c r="H1973" s="165"/>
      <c r="I1973" s="165"/>
    </row>
    <row r="1974" spans="1:9" ht="15" customHeight="1" x14ac:dyDescent="0.3">
      <c r="A1974" s="164"/>
      <c r="B1974" s="165"/>
      <c r="C1974" s="166"/>
      <c r="D1974" s="166"/>
      <c r="E1974" s="166"/>
      <c r="F1974" s="60">
        <f>ПЛАТЕЖИ[[#This Row],[СЎМ]]+(ПЛАТЕЖИ[[#This Row],[ВАЛЮТА]]*ПЛАТЕЖИ[[#This Row],[КУРС]])</f>
        <v>0</v>
      </c>
      <c r="G1974" s="165"/>
      <c r="H1974" s="165"/>
      <c r="I1974" s="165"/>
    </row>
    <row r="1975" spans="1:9" ht="15" customHeight="1" x14ac:dyDescent="0.3">
      <c r="A1975" s="164"/>
      <c r="B1975" s="165"/>
      <c r="C1975" s="166"/>
      <c r="D1975" s="166"/>
      <c r="E1975" s="166"/>
      <c r="F1975" s="60">
        <f>ПЛАТЕЖИ[[#This Row],[СЎМ]]+(ПЛАТЕЖИ[[#This Row],[ВАЛЮТА]]*ПЛАТЕЖИ[[#This Row],[КУРС]])</f>
        <v>0</v>
      </c>
      <c r="G1975" s="165"/>
      <c r="H1975" s="165"/>
      <c r="I1975" s="165"/>
    </row>
    <row r="1976" spans="1:9" ht="15" customHeight="1" x14ac:dyDescent="0.3">
      <c r="A1976" s="164"/>
      <c r="B1976" s="165"/>
      <c r="C1976" s="166"/>
      <c r="D1976" s="166"/>
      <c r="E1976" s="166"/>
      <c r="F1976" s="60">
        <f>ПЛАТЕЖИ[[#This Row],[СЎМ]]+(ПЛАТЕЖИ[[#This Row],[ВАЛЮТА]]*ПЛАТЕЖИ[[#This Row],[КУРС]])</f>
        <v>0</v>
      </c>
      <c r="G1976" s="165"/>
      <c r="H1976" s="165"/>
      <c r="I1976" s="165"/>
    </row>
    <row r="1977" spans="1:9" ht="15" customHeight="1" x14ac:dyDescent="0.3">
      <c r="A1977" s="164"/>
      <c r="B1977" s="165"/>
      <c r="C1977" s="166"/>
      <c r="D1977" s="166"/>
      <c r="E1977" s="166"/>
      <c r="F1977" s="60">
        <f>ПЛАТЕЖИ[[#This Row],[СЎМ]]+(ПЛАТЕЖИ[[#This Row],[ВАЛЮТА]]*ПЛАТЕЖИ[[#This Row],[КУРС]])</f>
        <v>0</v>
      </c>
      <c r="G1977" s="165"/>
      <c r="H1977" s="165"/>
      <c r="I1977" s="165"/>
    </row>
    <row r="1978" spans="1:9" ht="15" customHeight="1" x14ac:dyDescent="0.3">
      <c r="A1978" s="164"/>
      <c r="B1978" s="165"/>
      <c r="C1978" s="166"/>
      <c r="D1978" s="166"/>
      <c r="E1978" s="166"/>
      <c r="F1978" s="60">
        <f>ПЛАТЕЖИ[[#This Row],[СЎМ]]+(ПЛАТЕЖИ[[#This Row],[ВАЛЮТА]]*ПЛАТЕЖИ[[#This Row],[КУРС]])</f>
        <v>0</v>
      </c>
      <c r="G1978" s="165"/>
      <c r="H1978" s="165"/>
      <c r="I1978" s="165"/>
    </row>
    <row r="1979" spans="1:9" ht="15" customHeight="1" x14ac:dyDescent="0.3">
      <c r="A1979" s="164"/>
      <c r="B1979" s="165"/>
      <c r="C1979" s="166"/>
      <c r="D1979" s="166"/>
      <c r="E1979" s="166"/>
      <c r="F1979" s="60">
        <f>ПЛАТЕЖИ[[#This Row],[СЎМ]]+(ПЛАТЕЖИ[[#This Row],[ВАЛЮТА]]*ПЛАТЕЖИ[[#This Row],[КУРС]])</f>
        <v>0</v>
      </c>
      <c r="G1979" s="165"/>
      <c r="H1979" s="165"/>
      <c r="I1979" s="165"/>
    </row>
    <row r="1980" spans="1:9" ht="15" customHeight="1" x14ac:dyDescent="0.3">
      <c r="A1980" s="164"/>
      <c r="B1980" s="165"/>
      <c r="C1980" s="166"/>
      <c r="D1980" s="166"/>
      <c r="E1980" s="166"/>
      <c r="F1980" s="60">
        <f>ПЛАТЕЖИ[[#This Row],[СЎМ]]+(ПЛАТЕЖИ[[#This Row],[ВАЛЮТА]]*ПЛАТЕЖИ[[#This Row],[КУРС]])</f>
        <v>0</v>
      </c>
      <c r="G1980" s="165"/>
      <c r="H1980" s="165"/>
      <c r="I1980" s="165"/>
    </row>
    <row r="1981" spans="1:9" ht="15" customHeight="1" x14ac:dyDescent="0.3">
      <c r="A1981" s="164"/>
      <c r="B1981" s="165"/>
      <c r="C1981" s="166"/>
      <c r="D1981" s="166"/>
      <c r="E1981" s="166"/>
      <c r="F1981" s="60">
        <f>ПЛАТЕЖИ[[#This Row],[СЎМ]]+(ПЛАТЕЖИ[[#This Row],[ВАЛЮТА]]*ПЛАТЕЖИ[[#This Row],[КУРС]])</f>
        <v>0</v>
      </c>
      <c r="G1981" s="165"/>
      <c r="H1981" s="165"/>
      <c r="I1981" s="165"/>
    </row>
    <row r="1982" spans="1:9" ht="15" customHeight="1" x14ac:dyDescent="0.3">
      <c r="A1982" s="164"/>
      <c r="B1982" s="165"/>
      <c r="C1982" s="166"/>
      <c r="D1982" s="166"/>
      <c r="E1982" s="166"/>
      <c r="F1982" s="60">
        <f>ПЛАТЕЖИ[[#This Row],[СЎМ]]+(ПЛАТЕЖИ[[#This Row],[ВАЛЮТА]]*ПЛАТЕЖИ[[#This Row],[КУРС]])</f>
        <v>0</v>
      </c>
      <c r="G1982" s="165"/>
      <c r="H1982" s="165"/>
      <c r="I1982" s="165"/>
    </row>
    <row r="1983" spans="1:9" ht="15" customHeight="1" x14ac:dyDescent="0.3">
      <c r="A1983" s="164"/>
      <c r="B1983" s="165"/>
      <c r="C1983" s="166"/>
      <c r="D1983" s="166"/>
      <c r="E1983" s="166"/>
      <c r="F1983" s="60">
        <f>ПЛАТЕЖИ[[#This Row],[СЎМ]]+(ПЛАТЕЖИ[[#This Row],[ВАЛЮТА]]*ПЛАТЕЖИ[[#This Row],[КУРС]])</f>
        <v>0</v>
      </c>
      <c r="G1983" s="165"/>
      <c r="H1983" s="165"/>
      <c r="I1983" s="165"/>
    </row>
    <row r="1984" spans="1:9" ht="15" customHeight="1" x14ac:dyDescent="0.3">
      <c r="A1984" s="164"/>
      <c r="B1984" s="165"/>
      <c r="C1984" s="166"/>
      <c r="D1984" s="166"/>
      <c r="E1984" s="166"/>
      <c r="F1984" s="60">
        <f>ПЛАТЕЖИ[[#This Row],[СЎМ]]+(ПЛАТЕЖИ[[#This Row],[ВАЛЮТА]]*ПЛАТЕЖИ[[#This Row],[КУРС]])</f>
        <v>0</v>
      </c>
      <c r="G1984" s="165"/>
      <c r="H1984" s="165"/>
      <c r="I1984" s="165"/>
    </row>
    <row r="1985" spans="1:9" ht="15" customHeight="1" x14ac:dyDescent="0.3">
      <c r="A1985" s="164"/>
      <c r="B1985" s="165"/>
      <c r="C1985" s="166"/>
      <c r="D1985" s="166"/>
      <c r="E1985" s="166"/>
      <c r="F1985" s="60">
        <f>ПЛАТЕЖИ[[#This Row],[СЎМ]]+(ПЛАТЕЖИ[[#This Row],[ВАЛЮТА]]*ПЛАТЕЖИ[[#This Row],[КУРС]])</f>
        <v>0</v>
      </c>
      <c r="G1985" s="165"/>
      <c r="H1985" s="165"/>
      <c r="I1985" s="165"/>
    </row>
    <row r="1986" spans="1:9" ht="15" customHeight="1" x14ac:dyDescent="0.3">
      <c r="A1986" s="164"/>
      <c r="B1986" s="165"/>
      <c r="C1986" s="166"/>
      <c r="D1986" s="166"/>
      <c r="E1986" s="166"/>
      <c r="F1986" s="60">
        <f>ПЛАТЕЖИ[[#This Row],[СЎМ]]+(ПЛАТЕЖИ[[#This Row],[ВАЛЮТА]]*ПЛАТЕЖИ[[#This Row],[КУРС]])</f>
        <v>0</v>
      </c>
      <c r="G1986" s="165"/>
      <c r="H1986" s="165"/>
      <c r="I1986" s="165"/>
    </row>
    <row r="1987" spans="1:9" ht="15" customHeight="1" x14ac:dyDescent="0.3">
      <c r="A1987" s="164"/>
      <c r="B1987" s="165"/>
      <c r="C1987" s="166"/>
      <c r="D1987" s="166"/>
      <c r="E1987" s="166"/>
      <c r="F1987" s="60">
        <f>ПЛАТЕЖИ[[#This Row],[СЎМ]]+(ПЛАТЕЖИ[[#This Row],[ВАЛЮТА]]*ПЛАТЕЖИ[[#This Row],[КУРС]])</f>
        <v>0</v>
      </c>
      <c r="G1987" s="165"/>
      <c r="H1987" s="165"/>
      <c r="I1987" s="165"/>
    </row>
    <row r="1988" spans="1:9" ht="15" customHeight="1" x14ac:dyDescent="0.3">
      <c r="A1988" s="164"/>
      <c r="B1988" s="165"/>
      <c r="C1988" s="166"/>
      <c r="D1988" s="166"/>
      <c r="E1988" s="166"/>
      <c r="F1988" s="60">
        <f>ПЛАТЕЖИ[[#This Row],[СЎМ]]+(ПЛАТЕЖИ[[#This Row],[ВАЛЮТА]]*ПЛАТЕЖИ[[#This Row],[КУРС]])</f>
        <v>0</v>
      </c>
      <c r="G1988" s="165"/>
      <c r="H1988" s="165"/>
      <c r="I1988" s="165"/>
    </row>
    <row r="1989" spans="1:9" ht="15" customHeight="1" x14ac:dyDescent="0.3">
      <c r="A1989" s="164"/>
      <c r="B1989" s="165"/>
      <c r="C1989" s="166"/>
      <c r="D1989" s="166"/>
      <c r="E1989" s="166"/>
      <c r="F1989" s="60">
        <f>ПЛАТЕЖИ[[#This Row],[СЎМ]]+(ПЛАТЕЖИ[[#This Row],[ВАЛЮТА]]*ПЛАТЕЖИ[[#This Row],[КУРС]])</f>
        <v>0</v>
      </c>
      <c r="G1989" s="165"/>
      <c r="H1989" s="165"/>
      <c r="I1989" s="165"/>
    </row>
    <row r="1990" spans="1:9" ht="15" customHeight="1" x14ac:dyDescent="0.3">
      <c r="A1990" s="164"/>
      <c r="B1990" s="165"/>
      <c r="C1990" s="166"/>
      <c r="D1990" s="166"/>
      <c r="E1990" s="166"/>
      <c r="F1990" s="60">
        <f>ПЛАТЕЖИ[[#This Row],[СЎМ]]+(ПЛАТЕЖИ[[#This Row],[ВАЛЮТА]]*ПЛАТЕЖИ[[#This Row],[КУРС]])</f>
        <v>0</v>
      </c>
      <c r="G1990" s="165"/>
      <c r="H1990" s="165"/>
      <c r="I1990" s="165"/>
    </row>
    <row r="1991" spans="1:9" ht="15" customHeight="1" x14ac:dyDescent="0.3">
      <c r="A1991" s="164"/>
      <c r="B1991" s="165"/>
      <c r="C1991" s="166"/>
      <c r="D1991" s="166"/>
      <c r="E1991" s="166"/>
      <c r="F1991" s="60">
        <f>ПЛАТЕЖИ[[#This Row],[СЎМ]]+(ПЛАТЕЖИ[[#This Row],[ВАЛЮТА]]*ПЛАТЕЖИ[[#This Row],[КУРС]])</f>
        <v>0</v>
      </c>
      <c r="G1991" s="165"/>
      <c r="H1991" s="165"/>
      <c r="I1991" s="165"/>
    </row>
    <row r="1992" spans="1:9" ht="15" customHeight="1" x14ac:dyDescent="0.3">
      <c r="A1992" s="164"/>
      <c r="B1992" s="165"/>
      <c r="C1992" s="166"/>
      <c r="D1992" s="166"/>
      <c r="E1992" s="166"/>
      <c r="F1992" s="60">
        <f>ПЛАТЕЖИ[[#This Row],[СЎМ]]+(ПЛАТЕЖИ[[#This Row],[ВАЛЮТА]]*ПЛАТЕЖИ[[#This Row],[КУРС]])</f>
        <v>0</v>
      </c>
      <c r="G1992" s="165"/>
      <c r="H1992" s="165"/>
      <c r="I1992" s="165"/>
    </row>
    <row r="1993" spans="1:9" ht="15" customHeight="1" x14ac:dyDescent="0.3">
      <c r="A1993" s="164"/>
      <c r="B1993" s="165"/>
      <c r="C1993" s="166"/>
      <c r="D1993" s="166"/>
      <c r="E1993" s="166"/>
      <c r="F1993" s="60">
        <f>ПЛАТЕЖИ[[#This Row],[СЎМ]]+(ПЛАТЕЖИ[[#This Row],[ВАЛЮТА]]*ПЛАТЕЖИ[[#This Row],[КУРС]])</f>
        <v>0</v>
      </c>
      <c r="G1993" s="165"/>
      <c r="H1993" s="165"/>
      <c r="I1993" s="165"/>
    </row>
    <row r="1994" spans="1:9" ht="15" customHeight="1" x14ac:dyDescent="0.3">
      <c r="A1994" s="164"/>
      <c r="B1994" s="165"/>
      <c r="C1994" s="166"/>
      <c r="D1994" s="166"/>
      <c r="E1994" s="166"/>
      <c r="F1994" s="60">
        <f>ПЛАТЕЖИ[[#This Row],[СЎМ]]+(ПЛАТЕЖИ[[#This Row],[ВАЛЮТА]]*ПЛАТЕЖИ[[#This Row],[КУРС]])</f>
        <v>0</v>
      </c>
      <c r="G1994" s="165"/>
      <c r="H1994" s="165"/>
      <c r="I1994" s="165"/>
    </row>
    <row r="1995" spans="1:9" ht="15" customHeight="1" x14ac:dyDescent="0.3">
      <c r="A1995" s="164"/>
      <c r="B1995" s="165"/>
      <c r="C1995" s="166"/>
      <c r="D1995" s="166"/>
      <c r="E1995" s="166"/>
      <c r="F1995" s="60">
        <f>ПЛАТЕЖИ[[#This Row],[СЎМ]]+(ПЛАТЕЖИ[[#This Row],[ВАЛЮТА]]*ПЛАТЕЖИ[[#This Row],[КУРС]])</f>
        <v>0</v>
      </c>
      <c r="G1995" s="165"/>
      <c r="H1995" s="165"/>
      <c r="I1995" s="165"/>
    </row>
    <row r="1996" spans="1:9" ht="15" customHeight="1" x14ac:dyDescent="0.3">
      <c r="A1996" s="164"/>
      <c r="B1996" s="165"/>
      <c r="C1996" s="166"/>
      <c r="D1996" s="166"/>
      <c r="E1996" s="166"/>
      <c r="F1996" s="60">
        <f>ПЛАТЕЖИ[[#This Row],[СЎМ]]+(ПЛАТЕЖИ[[#This Row],[ВАЛЮТА]]*ПЛАТЕЖИ[[#This Row],[КУРС]])</f>
        <v>0</v>
      </c>
      <c r="G1996" s="165"/>
      <c r="H1996" s="165"/>
      <c r="I1996" s="165"/>
    </row>
    <row r="1997" spans="1:9" ht="15" customHeight="1" x14ac:dyDescent="0.3">
      <c r="A1997" s="164"/>
      <c r="B1997" s="165"/>
      <c r="C1997" s="166"/>
      <c r="D1997" s="166"/>
      <c r="E1997" s="166"/>
      <c r="F1997" s="60">
        <f>ПЛАТЕЖИ[[#This Row],[СЎМ]]+(ПЛАТЕЖИ[[#This Row],[ВАЛЮТА]]*ПЛАТЕЖИ[[#This Row],[КУРС]])</f>
        <v>0</v>
      </c>
      <c r="G1997" s="165"/>
      <c r="H1997" s="165"/>
      <c r="I1997" s="165"/>
    </row>
    <row r="1998" spans="1:9" ht="15" customHeight="1" x14ac:dyDescent="0.3">
      <c r="A1998" s="164"/>
      <c r="B1998" s="165"/>
      <c r="C1998" s="166"/>
      <c r="D1998" s="166"/>
      <c r="E1998" s="166"/>
      <c r="F1998" s="60">
        <f>ПЛАТЕЖИ[[#This Row],[СЎМ]]+(ПЛАТЕЖИ[[#This Row],[ВАЛЮТА]]*ПЛАТЕЖИ[[#This Row],[КУРС]])</f>
        <v>0</v>
      </c>
      <c r="G1998" s="165"/>
      <c r="H1998" s="165"/>
      <c r="I1998" s="165"/>
    </row>
    <row r="1999" spans="1:9" ht="15" customHeight="1" x14ac:dyDescent="0.3">
      <c r="A1999" s="164"/>
      <c r="B1999" s="165"/>
      <c r="C1999" s="166"/>
      <c r="D1999" s="166"/>
      <c r="E1999" s="166"/>
      <c r="F1999" s="60">
        <f>ПЛАТЕЖИ[[#This Row],[СЎМ]]+(ПЛАТЕЖИ[[#This Row],[ВАЛЮТА]]*ПЛАТЕЖИ[[#This Row],[КУРС]])</f>
        <v>0</v>
      </c>
      <c r="G1999" s="165"/>
      <c r="H1999" s="165"/>
      <c r="I1999" s="165"/>
    </row>
    <row r="2000" spans="1:9" ht="15" customHeight="1" x14ac:dyDescent="0.3">
      <c r="A2000" s="164"/>
      <c r="B2000" s="165"/>
      <c r="C2000" s="166"/>
      <c r="D2000" s="166"/>
      <c r="E2000" s="166"/>
      <c r="F2000" s="60">
        <f>ПЛАТЕЖИ[[#This Row],[СЎМ]]+(ПЛАТЕЖИ[[#This Row],[ВАЛЮТА]]*ПЛАТЕЖИ[[#This Row],[КУРС]])</f>
        <v>0</v>
      </c>
      <c r="G2000" s="165"/>
      <c r="H2000" s="165"/>
      <c r="I2000" s="165"/>
    </row>
    <row r="2001" spans="1:9" ht="15" customHeight="1" x14ac:dyDescent="0.3">
      <c r="A2001" s="164"/>
      <c r="B2001" s="165"/>
      <c r="C2001" s="166"/>
      <c r="D2001" s="166"/>
      <c r="E2001" s="166"/>
      <c r="F2001" s="60">
        <f>ПЛАТЕЖИ[[#This Row],[СЎМ]]+(ПЛАТЕЖИ[[#This Row],[ВАЛЮТА]]*ПЛАТЕЖИ[[#This Row],[КУРС]])</f>
        <v>0</v>
      </c>
      <c r="G2001" s="165"/>
      <c r="H2001" s="165"/>
      <c r="I2001" s="165"/>
    </row>
    <row r="2002" spans="1:9" ht="15" customHeight="1" x14ac:dyDescent="0.3">
      <c r="A2002" s="164"/>
      <c r="B2002" s="165"/>
      <c r="C2002" s="166"/>
      <c r="D2002" s="166"/>
      <c r="E2002" s="166"/>
      <c r="F2002" s="60">
        <f>ПЛАТЕЖИ[[#This Row],[СЎМ]]+(ПЛАТЕЖИ[[#This Row],[ВАЛЮТА]]*ПЛАТЕЖИ[[#This Row],[КУРС]])</f>
        <v>0</v>
      </c>
      <c r="G2002" s="165"/>
      <c r="H2002" s="165"/>
      <c r="I2002" s="165"/>
    </row>
    <row r="2003" spans="1:9" ht="15" customHeight="1" x14ac:dyDescent="0.3">
      <c r="A2003" s="164"/>
      <c r="B2003" s="165"/>
      <c r="C2003" s="166"/>
      <c r="D2003" s="166"/>
      <c r="E2003" s="166"/>
      <c r="F2003" s="60">
        <f>ПЛАТЕЖИ[[#This Row],[СЎМ]]+(ПЛАТЕЖИ[[#This Row],[ВАЛЮТА]]*ПЛАТЕЖИ[[#This Row],[КУРС]])</f>
        <v>0</v>
      </c>
      <c r="G2003" s="165"/>
      <c r="H2003" s="165"/>
      <c r="I2003" s="165"/>
    </row>
    <row r="2004" spans="1:9" ht="15" customHeight="1" x14ac:dyDescent="0.3">
      <c r="A2004" s="164"/>
      <c r="B2004" s="165"/>
      <c r="C2004" s="166"/>
      <c r="D2004" s="166"/>
      <c r="E2004" s="166"/>
      <c r="F2004" s="60">
        <f>ПЛАТЕЖИ[[#This Row],[СЎМ]]+(ПЛАТЕЖИ[[#This Row],[ВАЛЮТА]]*ПЛАТЕЖИ[[#This Row],[КУРС]])</f>
        <v>0</v>
      </c>
      <c r="G2004" s="165"/>
      <c r="H2004" s="165"/>
      <c r="I2004" s="165"/>
    </row>
    <row r="2005" spans="1:9" ht="15" customHeight="1" x14ac:dyDescent="0.3">
      <c r="A2005" s="164"/>
      <c r="B2005" s="165"/>
      <c r="C2005" s="166"/>
      <c r="D2005" s="166"/>
      <c r="E2005" s="166"/>
      <c r="F2005" s="60">
        <f>ПЛАТЕЖИ[[#This Row],[СЎМ]]+(ПЛАТЕЖИ[[#This Row],[ВАЛЮТА]]*ПЛАТЕЖИ[[#This Row],[КУРС]])</f>
        <v>0</v>
      </c>
      <c r="G2005" s="165"/>
      <c r="H2005" s="165"/>
      <c r="I2005" s="165"/>
    </row>
    <row r="2006" spans="1:9" ht="15" customHeight="1" x14ac:dyDescent="0.3">
      <c r="A2006" s="164"/>
      <c r="B2006" s="165"/>
      <c r="C2006" s="166"/>
      <c r="D2006" s="166"/>
      <c r="E2006" s="166"/>
      <c r="F2006" s="60">
        <f>ПЛАТЕЖИ[[#This Row],[СЎМ]]+(ПЛАТЕЖИ[[#This Row],[ВАЛЮТА]]*ПЛАТЕЖИ[[#This Row],[КУРС]])</f>
        <v>0</v>
      </c>
      <c r="G2006" s="165"/>
      <c r="H2006" s="165"/>
      <c r="I2006" s="165"/>
    </row>
    <row r="2007" spans="1:9" ht="15" customHeight="1" x14ac:dyDescent="0.3">
      <c r="A2007" s="164"/>
      <c r="B2007" s="165"/>
      <c r="C2007" s="166"/>
      <c r="D2007" s="166"/>
      <c r="E2007" s="166"/>
      <c r="F2007" s="60">
        <f>ПЛАТЕЖИ[[#This Row],[СЎМ]]+(ПЛАТЕЖИ[[#This Row],[ВАЛЮТА]]*ПЛАТЕЖИ[[#This Row],[КУРС]])</f>
        <v>0</v>
      </c>
      <c r="G2007" s="165"/>
      <c r="H2007" s="165"/>
      <c r="I2007" s="165"/>
    </row>
    <row r="2008" spans="1:9" ht="15" customHeight="1" x14ac:dyDescent="0.3">
      <c r="A2008" s="164"/>
      <c r="B2008" s="165"/>
      <c r="C2008" s="166"/>
      <c r="D2008" s="166"/>
      <c r="E2008" s="166"/>
      <c r="F2008" s="60">
        <f>ПЛАТЕЖИ[[#This Row],[СЎМ]]+(ПЛАТЕЖИ[[#This Row],[ВАЛЮТА]]*ПЛАТЕЖИ[[#This Row],[КУРС]])</f>
        <v>0</v>
      </c>
      <c r="G2008" s="165"/>
      <c r="H2008" s="165"/>
      <c r="I2008" s="165"/>
    </row>
    <row r="2009" spans="1:9" ht="15" customHeight="1" x14ac:dyDescent="0.3">
      <c r="A2009" s="164"/>
      <c r="B2009" s="165"/>
      <c r="C2009" s="166"/>
      <c r="D2009" s="166"/>
      <c r="E2009" s="166"/>
      <c r="F2009" s="60">
        <f>ПЛАТЕЖИ[[#This Row],[СЎМ]]+(ПЛАТЕЖИ[[#This Row],[ВАЛЮТА]]*ПЛАТЕЖИ[[#This Row],[КУРС]])</f>
        <v>0</v>
      </c>
      <c r="G2009" s="165"/>
      <c r="H2009" s="165"/>
      <c r="I2009" s="165"/>
    </row>
    <row r="2010" spans="1:9" ht="15" customHeight="1" x14ac:dyDescent="0.3">
      <c r="A2010" s="164"/>
      <c r="B2010" s="165"/>
      <c r="C2010" s="166"/>
      <c r="D2010" s="166"/>
      <c r="E2010" s="166"/>
      <c r="F2010" s="60">
        <f>ПЛАТЕЖИ[[#This Row],[СЎМ]]+(ПЛАТЕЖИ[[#This Row],[ВАЛЮТА]]*ПЛАТЕЖИ[[#This Row],[КУРС]])</f>
        <v>0</v>
      </c>
      <c r="G2010" s="165"/>
      <c r="H2010" s="165"/>
      <c r="I2010" s="165"/>
    </row>
    <row r="2011" spans="1:9" ht="15" customHeight="1" x14ac:dyDescent="0.3">
      <c r="A2011" s="164"/>
      <c r="B2011" s="165"/>
      <c r="C2011" s="166"/>
      <c r="D2011" s="166"/>
      <c r="E2011" s="166"/>
      <c r="F2011" s="60">
        <f>ПЛАТЕЖИ[[#This Row],[СЎМ]]+(ПЛАТЕЖИ[[#This Row],[ВАЛЮТА]]*ПЛАТЕЖИ[[#This Row],[КУРС]])</f>
        <v>0</v>
      </c>
      <c r="G2011" s="165"/>
      <c r="H2011" s="165"/>
      <c r="I2011" s="165"/>
    </row>
    <row r="2012" spans="1:9" ht="15" customHeight="1" x14ac:dyDescent="0.3">
      <c r="A2012" s="164"/>
      <c r="B2012" s="165"/>
      <c r="C2012" s="166"/>
      <c r="D2012" s="166"/>
      <c r="E2012" s="166"/>
      <c r="F2012" s="60">
        <f>ПЛАТЕЖИ[[#This Row],[СЎМ]]+(ПЛАТЕЖИ[[#This Row],[ВАЛЮТА]]*ПЛАТЕЖИ[[#This Row],[КУРС]])</f>
        <v>0</v>
      </c>
      <c r="G2012" s="165"/>
      <c r="H2012" s="165"/>
      <c r="I2012" s="165"/>
    </row>
    <row r="2013" spans="1:9" ht="15" customHeight="1" x14ac:dyDescent="0.3">
      <c r="A2013" s="164"/>
      <c r="B2013" s="165"/>
      <c r="C2013" s="166"/>
      <c r="D2013" s="166"/>
      <c r="E2013" s="166"/>
      <c r="F2013" s="60">
        <f>ПЛАТЕЖИ[[#This Row],[СЎМ]]+(ПЛАТЕЖИ[[#This Row],[ВАЛЮТА]]*ПЛАТЕЖИ[[#This Row],[КУРС]])</f>
        <v>0</v>
      </c>
      <c r="G2013" s="165"/>
      <c r="H2013" s="165"/>
      <c r="I2013" s="165"/>
    </row>
    <row r="2014" spans="1:9" ht="15" customHeight="1" x14ac:dyDescent="0.3">
      <c r="A2014" s="164"/>
      <c r="B2014" s="165"/>
      <c r="C2014" s="166"/>
      <c r="D2014" s="166"/>
      <c r="E2014" s="166"/>
      <c r="F2014" s="60">
        <f>ПЛАТЕЖИ[[#This Row],[СЎМ]]+(ПЛАТЕЖИ[[#This Row],[ВАЛЮТА]]*ПЛАТЕЖИ[[#This Row],[КУРС]])</f>
        <v>0</v>
      </c>
      <c r="G2014" s="165"/>
      <c r="H2014" s="165"/>
      <c r="I2014" s="165"/>
    </row>
    <row r="2015" spans="1:9" ht="15" customHeight="1" x14ac:dyDescent="0.3">
      <c r="A2015" s="164"/>
      <c r="B2015" s="165"/>
      <c r="C2015" s="166"/>
      <c r="D2015" s="166"/>
      <c r="E2015" s="166"/>
      <c r="F2015" s="60">
        <f>ПЛАТЕЖИ[[#This Row],[СЎМ]]+(ПЛАТЕЖИ[[#This Row],[ВАЛЮТА]]*ПЛАТЕЖИ[[#This Row],[КУРС]])</f>
        <v>0</v>
      </c>
      <c r="G2015" s="165"/>
      <c r="H2015" s="165"/>
      <c r="I2015" s="165"/>
    </row>
    <row r="2016" spans="1:9" ht="15" customHeight="1" x14ac:dyDescent="0.3">
      <c r="A2016" s="164"/>
      <c r="B2016" s="165"/>
      <c r="C2016" s="166"/>
      <c r="D2016" s="166"/>
      <c r="E2016" s="166"/>
      <c r="F2016" s="60">
        <f>ПЛАТЕЖИ[[#This Row],[СЎМ]]+(ПЛАТЕЖИ[[#This Row],[ВАЛЮТА]]*ПЛАТЕЖИ[[#This Row],[КУРС]])</f>
        <v>0</v>
      </c>
      <c r="G2016" s="165"/>
      <c r="H2016" s="165"/>
      <c r="I2016" s="165"/>
    </row>
    <row r="2017" spans="1:9" ht="15" customHeight="1" x14ac:dyDescent="0.3">
      <c r="A2017" s="164"/>
      <c r="B2017" s="165"/>
      <c r="C2017" s="166"/>
      <c r="D2017" s="166"/>
      <c r="E2017" s="166"/>
      <c r="F2017" s="60">
        <f>ПЛАТЕЖИ[[#This Row],[СЎМ]]+(ПЛАТЕЖИ[[#This Row],[ВАЛЮТА]]*ПЛАТЕЖИ[[#This Row],[КУРС]])</f>
        <v>0</v>
      </c>
      <c r="G2017" s="165"/>
      <c r="H2017" s="165"/>
      <c r="I2017" s="165"/>
    </row>
    <row r="2018" spans="1:9" ht="15" customHeight="1" x14ac:dyDescent="0.3">
      <c r="A2018" s="164"/>
      <c r="B2018" s="165"/>
      <c r="C2018" s="166"/>
      <c r="D2018" s="166"/>
      <c r="E2018" s="166"/>
      <c r="F2018" s="60">
        <f>ПЛАТЕЖИ[[#This Row],[СЎМ]]+(ПЛАТЕЖИ[[#This Row],[ВАЛЮТА]]*ПЛАТЕЖИ[[#This Row],[КУРС]])</f>
        <v>0</v>
      </c>
      <c r="G2018" s="165"/>
      <c r="H2018" s="165"/>
      <c r="I2018" s="165"/>
    </row>
    <row r="2019" spans="1:9" ht="15" customHeight="1" x14ac:dyDescent="0.3">
      <c r="A2019" s="164"/>
      <c r="B2019" s="165"/>
      <c r="C2019" s="166"/>
      <c r="D2019" s="166"/>
      <c r="E2019" s="166"/>
      <c r="F2019" s="60">
        <f>ПЛАТЕЖИ[[#This Row],[СЎМ]]+(ПЛАТЕЖИ[[#This Row],[ВАЛЮТА]]*ПЛАТЕЖИ[[#This Row],[КУРС]])</f>
        <v>0</v>
      </c>
      <c r="G2019" s="165"/>
      <c r="H2019" s="165"/>
      <c r="I2019" s="165"/>
    </row>
    <row r="2020" spans="1:9" ht="15" customHeight="1" x14ac:dyDescent="0.3">
      <c r="A2020" s="164"/>
      <c r="B2020" s="165"/>
      <c r="C2020" s="166"/>
      <c r="D2020" s="166"/>
      <c r="E2020" s="166"/>
      <c r="F2020" s="60">
        <f>ПЛАТЕЖИ[[#This Row],[СЎМ]]+(ПЛАТЕЖИ[[#This Row],[ВАЛЮТА]]*ПЛАТЕЖИ[[#This Row],[КУРС]])</f>
        <v>0</v>
      </c>
      <c r="G2020" s="165"/>
      <c r="H2020" s="165"/>
      <c r="I2020" s="165"/>
    </row>
    <row r="2021" spans="1:9" ht="15" customHeight="1" x14ac:dyDescent="0.3">
      <c r="A2021" s="164"/>
      <c r="B2021" s="165"/>
      <c r="C2021" s="166"/>
      <c r="D2021" s="166"/>
      <c r="E2021" s="166"/>
      <c r="F2021" s="60">
        <f>ПЛАТЕЖИ[[#This Row],[СЎМ]]+(ПЛАТЕЖИ[[#This Row],[ВАЛЮТА]]*ПЛАТЕЖИ[[#This Row],[КУРС]])</f>
        <v>0</v>
      </c>
      <c r="G2021" s="165"/>
      <c r="H2021" s="165"/>
      <c r="I2021" s="165"/>
    </row>
    <row r="2022" spans="1:9" ht="15" customHeight="1" x14ac:dyDescent="0.3">
      <c r="A2022" s="164"/>
      <c r="B2022" s="165"/>
      <c r="C2022" s="166"/>
      <c r="D2022" s="166"/>
      <c r="E2022" s="166"/>
      <c r="F2022" s="60">
        <f>ПЛАТЕЖИ[[#This Row],[СЎМ]]+(ПЛАТЕЖИ[[#This Row],[ВАЛЮТА]]*ПЛАТЕЖИ[[#This Row],[КУРС]])</f>
        <v>0</v>
      </c>
      <c r="G2022" s="165"/>
      <c r="H2022" s="165"/>
      <c r="I2022" s="165"/>
    </row>
    <row r="2023" spans="1:9" ht="15" customHeight="1" x14ac:dyDescent="0.3">
      <c r="A2023" s="164"/>
      <c r="B2023" s="165"/>
      <c r="C2023" s="166"/>
      <c r="D2023" s="166"/>
      <c r="E2023" s="166"/>
      <c r="F2023" s="60">
        <f>ПЛАТЕЖИ[[#This Row],[СЎМ]]+(ПЛАТЕЖИ[[#This Row],[ВАЛЮТА]]*ПЛАТЕЖИ[[#This Row],[КУРС]])</f>
        <v>0</v>
      </c>
      <c r="G2023" s="165"/>
      <c r="H2023" s="165"/>
      <c r="I2023" s="165"/>
    </row>
    <row r="2024" spans="1:9" ht="15" customHeight="1" x14ac:dyDescent="0.3">
      <c r="A2024" s="164"/>
      <c r="B2024" s="165"/>
      <c r="C2024" s="166"/>
      <c r="D2024" s="166"/>
      <c r="E2024" s="166"/>
      <c r="F2024" s="60">
        <f>ПЛАТЕЖИ[[#This Row],[СЎМ]]+(ПЛАТЕЖИ[[#This Row],[ВАЛЮТА]]*ПЛАТЕЖИ[[#This Row],[КУРС]])</f>
        <v>0</v>
      </c>
      <c r="G2024" s="165"/>
      <c r="H2024" s="165"/>
      <c r="I2024" s="165"/>
    </row>
    <row r="2025" spans="1:9" ht="15" customHeight="1" x14ac:dyDescent="0.3">
      <c r="A2025" s="164"/>
      <c r="B2025" s="165"/>
      <c r="C2025" s="166"/>
      <c r="D2025" s="166"/>
      <c r="E2025" s="166"/>
      <c r="F2025" s="60">
        <f>ПЛАТЕЖИ[[#This Row],[СЎМ]]+(ПЛАТЕЖИ[[#This Row],[ВАЛЮТА]]*ПЛАТЕЖИ[[#This Row],[КУРС]])</f>
        <v>0</v>
      </c>
      <c r="G2025" s="165"/>
      <c r="H2025" s="165"/>
      <c r="I2025" s="165"/>
    </row>
    <row r="2026" spans="1:9" ht="15" customHeight="1" x14ac:dyDescent="0.3">
      <c r="A2026" s="164"/>
      <c r="B2026" s="165"/>
      <c r="C2026" s="166"/>
      <c r="D2026" s="166"/>
      <c r="E2026" s="166"/>
      <c r="F2026" s="60">
        <f>ПЛАТЕЖИ[[#This Row],[СЎМ]]+(ПЛАТЕЖИ[[#This Row],[ВАЛЮТА]]*ПЛАТЕЖИ[[#This Row],[КУРС]])</f>
        <v>0</v>
      </c>
      <c r="G2026" s="165"/>
      <c r="H2026" s="165"/>
      <c r="I2026" s="165"/>
    </row>
    <row r="2027" spans="1:9" ht="15" customHeight="1" x14ac:dyDescent="0.3">
      <c r="A2027" s="164"/>
      <c r="B2027" s="165"/>
      <c r="C2027" s="166"/>
      <c r="D2027" s="166"/>
      <c r="E2027" s="166"/>
      <c r="F2027" s="60">
        <f>ПЛАТЕЖИ[[#This Row],[СЎМ]]+(ПЛАТЕЖИ[[#This Row],[ВАЛЮТА]]*ПЛАТЕЖИ[[#This Row],[КУРС]])</f>
        <v>0</v>
      </c>
      <c r="G2027" s="165"/>
      <c r="H2027" s="165"/>
      <c r="I2027" s="165"/>
    </row>
    <row r="2028" spans="1:9" ht="15" customHeight="1" x14ac:dyDescent="0.3">
      <c r="A2028" s="164"/>
      <c r="B2028" s="165"/>
      <c r="C2028" s="166"/>
      <c r="D2028" s="166"/>
      <c r="E2028" s="166"/>
      <c r="F2028" s="60">
        <f>ПЛАТЕЖИ[[#This Row],[СЎМ]]+(ПЛАТЕЖИ[[#This Row],[ВАЛЮТА]]*ПЛАТЕЖИ[[#This Row],[КУРС]])</f>
        <v>0</v>
      </c>
      <c r="G2028" s="165"/>
      <c r="H2028" s="165"/>
      <c r="I2028" s="165"/>
    </row>
    <row r="2029" spans="1:9" ht="15" customHeight="1" x14ac:dyDescent="0.3">
      <c r="A2029" s="164"/>
      <c r="B2029" s="165"/>
      <c r="C2029" s="166"/>
      <c r="D2029" s="166"/>
      <c r="E2029" s="166"/>
      <c r="F2029" s="60">
        <f>ПЛАТЕЖИ[[#This Row],[СЎМ]]+(ПЛАТЕЖИ[[#This Row],[ВАЛЮТА]]*ПЛАТЕЖИ[[#This Row],[КУРС]])</f>
        <v>0</v>
      </c>
      <c r="G2029" s="165"/>
      <c r="H2029" s="165"/>
      <c r="I2029" s="165"/>
    </row>
    <row r="2030" spans="1:9" ht="15" customHeight="1" x14ac:dyDescent="0.3">
      <c r="A2030" s="164"/>
      <c r="B2030" s="165"/>
      <c r="C2030" s="166"/>
      <c r="D2030" s="166"/>
      <c r="E2030" s="166"/>
      <c r="F2030" s="60">
        <f>ПЛАТЕЖИ[[#This Row],[СЎМ]]+(ПЛАТЕЖИ[[#This Row],[ВАЛЮТА]]*ПЛАТЕЖИ[[#This Row],[КУРС]])</f>
        <v>0</v>
      </c>
      <c r="G2030" s="165"/>
      <c r="H2030" s="165"/>
      <c r="I2030" s="165"/>
    </row>
    <row r="2031" spans="1:9" ht="15" customHeight="1" x14ac:dyDescent="0.3">
      <c r="A2031" s="164"/>
      <c r="B2031" s="165"/>
      <c r="C2031" s="166"/>
      <c r="D2031" s="166"/>
      <c r="E2031" s="166"/>
      <c r="F2031" s="60">
        <f>ПЛАТЕЖИ[[#This Row],[СЎМ]]+(ПЛАТЕЖИ[[#This Row],[ВАЛЮТА]]*ПЛАТЕЖИ[[#This Row],[КУРС]])</f>
        <v>0</v>
      </c>
      <c r="G2031" s="165"/>
      <c r="H2031" s="165"/>
      <c r="I2031" s="165"/>
    </row>
    <row r="2032" spans="1:9" ht="15" customHeight="1" x14ac:dyDescent="0.3">
      <c r="A2032" s="164"/>
      <c r="B2032" s="165"/>
      <c r="C2032" s="166"/>
      <c r="D2032" s="166"/>
      <c r="E2032" s="166"/>
      <c r="F2032" s="60">
        <f>ПЛАТЕЖИ[[#This Row],[СЎМ]]+(ПЛАТЕЖИ[[#This Row],[ВАЛЮТА]]*ПЛАТЕЖИ[[#This Row],[КУРС]])</f>
        <v>0</v>
      </c>
      <c r="G2032" s="165"/>
      <c r="H2032" s="165"/>
      <c r="I2032" s="165"/>
    </row>
    <row r="2033" spans="1:9" ht="15" customHeight="1" x14ac:dyDescent="0.3">
      <c r="A2033" s="164"/>
      <c r="B2033" s="165"/>
      <c r="C2033" s="166"/>
      <c r="D2033" s="166"/>
      <c r="E2033" s="166"/>
      <c r="F2033" s="60">
        <f>ПЛАТЕЖИ[[#This Row],[СЎМ]]+(ПЛАТЕЖИ[[#This Row],[ВАЛЮТА]]*ПЛАТЕЖИ[[#This Row],[КУРС]])</f>
        <v>0</v>
      </c>
      <c r="G2033" s="165"/>
      <c r="H2033" s="165"/>
      <c r="I2033" s="165"/>
    </row>
    <row r="2034" spans="1:9" ht="15" customHeight="1" x14ac:dyDescent="0.3">
      <c r="A2034" s="164"/>
      <c r="B2034" s="165"/>
      <c r="C2034" s="166"/>
      <c r="D2034" s="166"/>
      <c r="E2034" s="166"/>
      <c r="F2034" s="60">
        <f>ПЛАТЕЖИ[[#This Row],[СЎМ]]+(ПЛАТЕЖИ[[#This Row],[ВАЛЮТА]]*ПЛАТЕЖИ[[#This Row],[КУРС]])</f>
        <v>0</v>
      </c>
      <c r="G2034" s="165"/>
      <c r="H2034" s="165"/>
      <c r="I2034" s="165"/>
    </row>
    <row r="2035" spans="1:9" ht="15" customHeight="1" x14ac:dyDescent="0.3">
      <c r="A2035" s="164"/>
      <c r="B2035" s="165"/>
      <c r="C2035" s="166"/>
      <c r="D2035" s="166"/>
      <c r="E2035" s="166"/>
      <c r="F2035" s="60">
        <f>ПЛАТЕЖИ[[#This Row],[СЎМ]]+(ПЛАТЕЖИ[[#This Row],[ВАЛЮТА]]*ПЛАТЕЖИ[[#This Row],[КУРС]])</f>
        <v>0</v>
      </c>
      <c r="G2035" s="165"/>
      <c r="H2035" s="165"/>
      <c r="I2035" s="165"/>
    </row>
    <row r="2036" spans="1:9" ht="15" customHeight="1" x14ac:dyDescent="0.3">
      <c r="A2036" s="164"/>
      <c r="B2036" s="165"/>
      <c r="C2036" s="166"/>
      <c r="D2036" s="166"/>
      <c r="E2036" s="166"/>
      <c r="F2036" s="60">
        <f>ПЛАТЕЖИ[[#This Row],[СЎМ]]+(ПЛАТЕЖИ[[#This Row],[ВАЛЮТА]]*ПЛАТЕЖИ[[#This Row],[КУРС]])</f>
        <v>0</v>
      </c>
      <c r="G2036" s="165"/>
      <c r="H2036" s="165"/>
      <c r="I2036" s="165"/>
    </row>
    <row r="2037" spans="1:9" ht="15" customHeight="1" x14ac:dyDescent="0.3">
      <c r="A2037" s="164"/>
      <c r="B2037" s="165"/>
      <c r="C2037" s="166"/>
      <c r="D2037" s="166"/>
      <c r="E2037" s="166"/>
      <c r="F2037" s="60">
        <f>ПЛАТЕЖИ[[#This Row],[СЎМ]]+(ПЛАТЕЖИ[[#This Row],[ВАЛЮТА]]*ПЛАТЕЖИ[[#This Row],[КУРС]])</f>
        <v>0</v>
      </c>
      <c r="G2037" s="165"/>
      <c r="H2037" s="165"/>
      <c r="I2037" s="165"/>
    </row>
    <row r="2038" spans="1:9" ht="15" customHeight="1" x14ac:dyDescent="0.3">
      <c r="A2038" s="164"/>
      <c r="B2038" s="165"/>
      <c r="C2038" s="166"/>
      <c r="D2038" s="166"/>
      <c r="E2038" s="166"/>
      <c r="F2038" s="60">
        <f>ПЛАТЕЖИ[[#This Row],[СЎМ]]+(ПЛАТЕЖИ[[#This Row],[ВАЛЮТА]]*ПЛАТЕЖИ[[#This Row],[КУРС]])</f>
        <v>0</v>
      </c>
      <c r="G2038" s="165"/>
      <c r="H2038" s="165"/>
      <c r="I2038" s="165"/>
    </row>
    <row r="2039" spans="1:9" ht="15" customHeight="1" x14ac:dyDescent="0.3">
      <c r="A2039" s="164"/>
      <c r="B2039" s="165"/>
      <c r="C2039" s="166"/>
      <c r="D2039" s="166"/>
      <c r="E2039" s="166"/>
      <c r="F2039" s="60">
        <f>ПЛАТЕЖИ[[#This Row],[СЎМ]]+(ПЛАТЕЖИ[[#This Row],[ВАЛЮТА]]*ПЛАТЕЖИ[[#This Row],[КУРС]])</f>
        <v>0</v>
      </c>
      <c r="G2039" s="165"/>
      <c r="H2039" s="165"/>
      <c r="I2039" s="165"/>
    </row>
    <row r="2040" spans="1:9" ht="15" customHeight="1" x14ac:dyDescent="0.3">
      <c r="A2040" s="164"/>
      <c r="B2040" s="165"/>
      <c r="C2040" s="166"/>
      <c r="D2040" s="166"/>
      <c r="E2040" s="166"/>
      <c r="F2040" s="60">
        <f>ПЛАТЕЖИ[[#This Row],[СЎМ]]+(ПЛАТЕЖИ[[#This Row],[ВАЛЮТА]]*ПЛАТЕЖИ[[#This Row],[КУРС]])</f>
        <v>0</v>
      </c>
      <c r="G2040" s="165"/>
      <c r="H2040" s="165"/>
      <c r="I2040" s="165"/>
    </row>
    <row r="2041" spans="1:9" ht="15" customHeight="1" x14ac:dyDescent="0.3">
      <c r="A2041" s="164"/>
      <c r="B2041" s="165"/>
      <c r="C2041" s="166"/>
      <c r="D2041" s="166"/>
      <c r="E2041" s="166"/>
      <c r="F2041" s="60">
        <f>ПЛАТЕЖИ[[#This Row],[СЎМ]]+(ПЛАТЕЖИ[[#This Row],[ВАЛЮТА]]*ПЛАТЕЖИ[[#This Row],[КУРС]])</f>
        <v>0</v>
      </c>
      <c r="G2041" s="165"/>
      <c r="H2041" s="165"/>
      <c r="I2041" s="165"/>
    </row>
    <row r="2042" spans="1:9" ht="15" customHeight="1" x14ac:dyDescent="0.3">
      <c r="A2042" s="164"/>
      <c r="B2042" s="165"/>
      <c r="C2042" s="166"/>
      <c r="D2042" s="166"/>
      <c r="E2042" s="166"/>
      <c r="F2042" s="60">
        <f>ПЛАТЕЖИ[[#This Row],[СЎМ]]+(ПЛАТЕЖИ[[#This Row],[ВАЛЮТА]]*ПЛАТЕЖИ[[#This Row],[КУРС]])</f>
        <v>0</v>
      </c>
      <c r="G2042" s="165"/>
      <c r="H2042" s="165"/>
      <c r="I2042" s="165"/>
    </row>
    <row r="2043" spans="1:9" ht="15" customHeight="1" x14ac:dyDescent="0.3">
      <c r="A2043" s="164"/>
      <c r="B2043" s="165"/>
      <c r="C2043" s="166"/>
      <c r="D2043" s="166"/>
      <c r="E2043" s="166"/>
      <c r="F2043" s="60">
        <f>ПЛАТЕЖИ[[#This Row],[СЎМ]]+(ПЛАТЕЖИ[[#This Row],[ВАЛЮТА]]*ПЛАТЕЖИ[[#This Row],[КУРС]])</f>
        <v>0</v>
      </c>
      <c r="G2043" s="165"/>
      <c r="H2043" s="165"/>
      <c r="I2043" s="165"/>
    </row>
    <row r="2044" spans="1:9" ht="15" customHeight="1" x14ac:dyDescent="0.3">
      <c r="A2044" s="164"/>
      <c r="B2044" s="165"/>
      <c r="C2044" s="166"/>
      <c r="D2044" s="166"/>
      <c r="E2044" s="166"/>
      <c r="F2044" s="60">
        <f>ПЛАТЕЖИ[[#This Row],[СЎМ]]+(ПЛАТЕЖИ[[#This Row],[ВАЛЮТА]]*ПЛАТЕЖИ[[#This Row],[КУРС]])</f>
        <v>0</v>
      </c>
      <c r="G2044" s="165"/>
      <c r="H2044" s="165"/>
      <c r="I2044" s="165"/>
    </row>
    <row r="2045" spans="1:9" ht="15" customHeight="1" x14ac:dyDescent="0.3">
      <c r="A2045" s="164"/>
      <c r="B2045" s="165"/>
      <c r="C2045" s="166"/>
      <c r="D2045" s="166"/>
      <c r="E2045" s="166"/>
      <c r="F2045" s="60">
        <f>ПЛАТЕЖИ[[#This Row],[СЎМ]]+(ПЛАТЕЖИ[[#This Row],[ВАЛЮТА]]*ПЛАТЕЖИ[[#This Row],[КУРС]])</f>
        <v>0</v>
      </c>
      <c r="G2045" s="165"/>
      <c r="H2045" s="165"/>
      <c r="I2045" s="165"/>
    </row>
    <row r="2046" spans="1:9" ht="15" customHeight="1" x14ac:dyDescent="0.3">
      <c r="A2046" s="164"/>
      <c r="B2046" s="165"/>
      <c r="C2046" s="166"/>
      <c r="D2046" s="166"/>
      <c r="E2046" s="166"/>
      <c r="F2046" s="60">
        <f>ПЛАТЕЖИ[[#This Row],[СЎМ]]+(ПЛАТЕЖИ[[#This Row],[ВАЛЮТА]]*ПЛАТЕЖИ[[#This Row],[КУРС]])</f>
        <v>0</v>
      </c>
      <c r="G2046" s="165"/>
      <c r="H2046" s="165"/>
      <c r="I2046" s="165"/>
    </row>
    <row r="2047" spans="1:9" ht="15" customHeight="1" x14ac:dyDescent="0.3">
      <c r="A2047" s="164"/>
      <c r="B2047" s="165"/>
      <c r="C2047" s="166"/>
      <c r="D2047" s="166"/>
      <c r="E2047" s="166"/>
      <c r="F2047" s="60">
        <f>ПЛАТЕЖИ[[#This Row],[СЎМ]]+(ПЛАТЕЖИ[[#This Row],[ВАЛЮТА]]*ПЛАТЕЖИ[[#This Row],[КУРС]])</f>
        <v>0</v>
      </c>
      <c r="G2047" s="165"/>
      <c r="H2047" s="165"/>
      <c r="I2047" s="165"/>
    </row>
    <row r="2048" spans="1:9" ht="15" customHeight="1" x14ac:dyDescent="0.3">
      <c r="A2048" s="164"/>
      <c r="B2048" s="165"/>
      <c r="C2048" s="166"/>
      <c r="D2048" s="166"/>
      <c r="E2048" s="166"/>
      <c r="F2048" s="60">
        <f>ПЛАТЕЖИ[[#This Row],[СЎМ]]+(ПЛАТЕЖИ[[#This Row],[ВАЛЮТА]]*ПЛАТЕЖИ[[#This Row],[КУРС]])</f>
        <v>0</v>
      </c>
      <c r="G2048" s="165"/>
      <c r="H2048" s="165"/>
      <c r="I2048" s="165"/>
    </row>
    <row r="2049" spans="1:9" ht="15" customHeight="1" x14ac:dyDescent="0.3">
      <c r="A2049" s="164"/>
      <c r="B2049" s="165"/>
      <c r="C2049" s="166"/>
      <c r="D2049" s="166"/>
      <c r="E2049" s="166"/>
      <c r="F2049" s="60">
        <f>ПЛАТЕЖИ[[#This Row],[СЎМ]]+(ПЛАТЕЖИ[[#This Row],[ВАЛЮТА]]*ПЛАТЕЖИ[[#This Row],[КУРС]])</f>
        <v>0</v>
      </c>
      <c r="G2049" s="165"/>
      <c r="H2049" s="165"/>
      <c r="I2049" s="165"/>
    </row>
    <row r="2050" spans="1:9" ht="15" customHeight="1" x14ac:dyDescent="0.3">
      <c r="A2050" s="164"/>
      <c r="B2050" s="165"/>
      <c r="C2050" s="166"/>
      <c r="D2050" s="166"/>
      <c r="E2050" s="166"/>
      <c r="F2050" s="60">
        <f>ПЛАТЕЖИ[[#This Row],[СЎМ]]+(ПЛАТЕЖИ[[#This Row],[ВАЛЮТА]]*ПЛАТЕЖИ[[#This Row],[КУРС]])</f>
        <v>0</v>
      </c>
      <c r="G2050" s="165"/>
      <c r="H2050" s="165"/>
      <c r="I2050" s="165"/>
    </row>
    <row r="2051" spans="1:9" ht="15" customHeight="1" x14ac:dyDescent="0.3">
      <c r="A2051" s="164"/>
      <c r="B2051" s="165"/>
      <c r="C2051" s="166"/>
      <c r="D2051" s="166"/>
      <c r="E2051" s="166"/>
      <c r="F2051" s="60">
        <f>ПЛАТЕЖИ[[#This Row],[СЎМ]]+(ПЛАТЕЖИ[[#This Row],[ВАЛЮТА]]*ПЛАТЕЖИ[[#This Row],[КУРС]])</f>
        <v>0</v>
      </c>
      <c r="G2051" s="165"/>
      <c r="H2051" s="165"/>
      <c r="I2051" s="165"/>
    </row>
    <row r="2052" spans="1:9" ht="15" customHeight="1" x14ac:dyDescent="0.3">
      <c r="A2052" s="164"/>
      <c r="B2052" s="165"/>
      <c r="C2052" s="166"/>
      <c r="D2052" s="166"/>
      <c r="E2052" s="166"/>
      <c r="F2052" s="60">
        <f>ПЛАТЕЖИ[[#This Row],[СЎМ]]+(ПЛАТЕЖИ[[#This Row],[ВАЛЮТА]]*ПЛАТЕЖИ[[#This Row],[КУРС]])</f>
        <v>0</v>
      </c>
      <c r="G2052" s="165"/>
      <c r="H2052" s="165"/>
      <c r="I2052" s="165"/>
    </row>
    <row r="2053" spans="1:9" ht="15" customHeight="1" x14ac:dyDescent="0.3">
      <c r="A2053" s="164"/>
      <c r="B2053" s="165"/>
      <c r="C2053" s="166"/>
      <c r="D2053" s="166"/>
      <c r="E2053" s="166"/>
      <c r="F2053" s="60">
        <f>ПЛАТЕЖИ[[#This Row],[СЎМ]]+(ПЛАТЕЖИ[[#This Row],[ВАЛЮТА]]*ПЛАТЕЖИ[[#This Row],[КУРС]])</f>
        <v>0</v>
      </c>
      <c r="G2053" s="165"/>
      <c r="H2053" s="147"/>
      <c r="I2053" s="165"/>
    </row>
    <row r="2054" spans="1:9" ht="15" customHeight="1" x14ac:dyDescent="0.3">
      <c r="A2054" s="164"/>
      <c r="B2054" s="165"/>
      <c r="C2054" s="166"/>
      <c r="D2054" s="166"/>
      <c r="E2054" s="166"/>
      <c r="F2054" s="60">
        <f>ПЛАТЕЖИ[[#This Row],[СЎМ]]+(ПЛАТЕЖИ[[#This Row],[ВАЛЮТА]]*ПЛАТЕЖИ[[#This Row],[КУРС]])</f>
        <v>0</v>
      </c>
      <c r="G2054" s="165"/>
      <c r="H2054" s="165"/>
      <c r="I2054" s="165"/>
    </row>
    <row r="2055" spans="1:9" ht="15" customHeight="1" x14ac:dyDescent="0.3">
      <c r="A2055" s="164"/>
      <c r="B2055" s="165"/>
      <c r="C2055" s="166"/>
      <c r="D2055" s="166"/>
      <c r="E2055" s="166"/>
      <c r="F2055" s="60">
        <f>ПЛАТЕЖИ[[#This Row],[СЎМ]]+(ПЛАТЕЖИ[[#This Row],[ВАЛЮТА]]*ПЛАТЕЖИ[[#This Row],[КУРС]])</f>
        <v>0</v>
      </c>
      <c r="G2055" s="165"/>
      <c r="H2055" s="147"/>
      <c r="I2055" s="165"/>
    </row>
    <row r="2056" spans="1:9" ht="15" customHeight="1" x14ac:dyDescent="0.3">
      <c r="A2056" s="164"/>
      <c r="B2056" s="165"/>
      <c r="C2056" s="166"/>
      <c r="D2056" s="166"/>
      <c r="E2056" s="166"/>
      <c r="F2056" s="60">
        <f>ПЛАТЕЖИ[[#This Row],[СЎМ]]+(ПЛАТЕЖИ[[#This Row],[ВАЛЮТА]]*ПЛАТЕЖИ[[#This Row],[КУРС]])</f>
        <v>0</v>
      </c>
      <c r="G2056" s="165"/>
      <c r="H2056" s="147"/>
      <c r="I2056" s="165"/>
    </row>
    <row r="2057" spans="1:9" ht="15" customHeight="1" x14ac:dyDescent="0.3">
      <c r="A2057" s="164"/>
      <c r="B2057" s="165"/>
      <c r="C2057" s="166"/>
      <c r="D2057" s="166"/>
      <c r="E2057" s="166"/>
      <c r="F2057" s="60">
        <f>ПЛАТЕЖИ[[#This Row],[СЎМ]]+(ПЛАТЕЖИ[[#This Row],[ВАЛЮТА]]*ПЛАТЕЖИ[[#This Row],[КУРС]])</f>
        <v>0</v>
      </c>
      <c r="G2057" s="165"/>
      <c r="H2057" s="165"/>
      <c r="I2057" s="165"/>
    </row>
    <row r="2058" spans="1:9" ht="15" customHeight="1" x14ac:dyDescent="0.3">
      <c r="A2058" s="164"/>
      <c r="B2058" s="165"/>
      <c r="C2058" s="166"/>
      <c r="D2058" s="166"/>
      <c r="E2058" s="166"/>
      <c r="F2058" s="60">
        <f>ПЛАТЕЖИ[[#This Row],[СЎМ]]+(ПЛАТЕЖИ[[#This Row],[ВАЛЮТА]]*ПЛАТЕЖИ[[#This Row],[КУРС]])</f>
        <v>0</v>
      </c>
      <c r="G2058" s="165"/>
      <c r="H2058" s="165"/>
      <c r="I2058" s="165"/>
    </row>
    <row r="2059" spans="1:9" ht="15" customHeight="1" x14ac:dyDescent="0.3">
      <c r="A2059" s="164"/>
      <c r="B2059" s="165"/>
      <c r="C2059" s="166"/>
      <c r="D2059" s="166"/>
      <c r="E2059" s="166"/>
      <c r="F2059" s="60">
        <f>ПЛАТЕЖИ[[#This Row],[СЎМ]]+(ПЛАТЕЖИ[[#This Row],[ВАЛЮТА]]*ПЛАТЕЖИ[[#This Row],[КУРС]])</f>
        <v>0</v>
      </c>
      <c r="G2059" s="165"/>
      <c r="H2059" s="165"/>
      <c r="I2059" s="165"/>
    </row>
    <row r="2060" spans="1:9" ht="15" customHeight="1" x14ac:dyDescent="0.3">
      <c r="A2060" s="164"/>
      <c r="B2060" s="165"/>
      <c r="C2060" s="166"/>
      <c r="D2060" s="166"/>
      <c r="E2060" s="166"/>
      <c r="F2060" s="60">
        <f>ПЛАТЕЖИ[[#This Row],[СЎМ]]+(ПЛАТЕЖИ[[#This Row],[ВАЛЮТА]]*ПЛАТЕЖИ[[#This Row],[КУРС]])</f>
        <v>0</v>
      </c>
      <c r="G2060" s="165"/>
      <c r="H2060" s="165"/>
      <c r="I2060" s="165"/>
    </row>
    <row r="2061" spans="1:9" ht="15" customHeight="1" x14ac:dyDescent="0.3">
      <c r="A2061" s="164"/>
      <c r="B2061" s="165"/>
      <c r="C2061" s="166"/>
      <c r="D2061" s="166"/>
      <c r="E2061" s="166"/>
      <c r="F2061" s="60">
        <f>ПЛАТЕЖИ[[#This Row],[СЎМ]]+(ПЛАТЕЖИ[[#This Row],[ВАЛЮТА]]*ПЛАТЕЖИ[[#This Row],[КУРС]])</f>
        <v>0</v>
      </c>
      <c r="G2061" s="165"/>
      <c r="H2061" s="165"/>
      <c r="I2061" s="165"/>
    </row>
    <row r="2062" spans="1:9" ht="15" customHeight="1" x14ac:dyDescent="0.3">
      <c r="A2062" s="164"/>
      <c r="B2062" s="165"/>
      <c r="C2062" s="166"/>
      <c r="D2062" s="166"/>
      <c r="E2062" s="166"/>
      <c r="F2062" s="60">
        <f>ПЛАТЕЖИ[[#This Row],[СЎМ]]+(ПЛАТЕЖИ[[#This Row],[ВАЛЮТА]]*ПЛАТЕЖИ[[#This Row],[КУРС]])</f>
        <v>0</v>
      </c>
      <c r="G2062" s="165"/>
      <c r="H2062" s="165"/>
      <c r="I2062" s="165"/>
    </row>
    <row r="2063" spans="1:9" ht="15" customHeight="1" x14ac:dyDescent="0.3">
      <c r="A2063" s="164"/>
      <c r="B2063" s="165"/>
      <c r="C2063" s="166"/>
      <c r="D2063" s="166"/>
      <c r="E2063" s="166"/>
      <c r="F2063" s="60">
        <f>ПЛАТЕЖИ[[#This Row],[СЎМ]]+(ПЛАТЕЖИ[[#This Row],[ВАЛЮТА]]*ПЛАТЕЖИ[[#This Row],[КУРС]])</f>
        <v>0</v>
      </c>
      <c r="G2063" s="165"/>
      <c r="H2063" s="165"/>
      <c r="I2063" s="165"/>
    </row>
    <row r="2064" spans="1:9" ht="15" customHeight="1" x14ac:dyDescent="0.3">
      <c r="A2064" s="164"/>
      <c r="B2064" s="165"/>
      <c r="C2064" s="166"/>
      <c r="D2064" s="166"/>
      <c r="E2064" s="166"/>
      <c r="F2064" s="60">
        <f>ПЛАТЕЖИ[[#This Row],[СЎМ]]+(ПЛАТЕЖИ[[#This Row],[ВАЛЮТА]]*ПЛАТЕЖИ[[#This Row],[КУРС]])</f>
        <v>0</v>
      </c>
      <c r="G2064" s="165"/>
      <c r="H2064" s="165"/>
      <c r="I2064" s="165"/>
    </row>
    <row r="2065" spans="1:9" ht="15" customHeight="1" x14ac:dyDescent="0.3">
      <c r="A2065" s="164"/>
      <c r="B2065" s="165"/>
      <c r="C2065" s="166"/>
      <c r="D2065" s="166"/>
      <c r="E2065" s="166"/>
      <c r="F2065" s="60">
        <f>ПЛАТЕЖИ[[#This Row],[СЎМ]]+(ПЛАТЕЖИ[[#This Row],[ВАЛЮТА]]*ПЛАТЕЖИ[[#This Row],[КУРС]])</f>
        <v>0</v>
      </c>
      <c r="G2065" s="165"/>
      <c r="H2065" s="165"/>
      <c r="I2065" s="165"/>
    </row>
    <row r="2066" spans="1:9" ht="15" customHeight="1" x14ac:dyDescent="0.3">
      <c r="A2066" s="164"/>
      <c r="B2066" s="165"/>
      <c r="C2066" s="166"/>
      <c r="D2066" s="166"/>
      <c r="E2066" s="166"/>
      <c r="F2066" s="60">
        <f>ПЛАТЕЖИ[[#This Row],[СЎМ]]+(ПЛАТЕЖИ[[#This Row],[ВАЛЮТА]]*ПЛАТЕЖИ[[#This Row],[КУРС]])</f>
        <v>0</v>
      </c>
      <c r="G2066" s="165"/>
      <c r="H2066" s="165"/>
      <c r="I2066" s="165"/>
    </row>
    <row r="2067" spans="1:9" ht="15" customHeight="1" x14ac:dyDescent="0.3">
      <c r="A2067" s="164"/>
      <c r="B2067" s="165"/>
      <c r="C2067" s="166"/>
      <c r="D2067" s="166"/>
      <c r="E2067" s="166"/>
      <c r="F2067" s="60">
        <f>ПЛАТЕЖИ[[#This Row],[СЎМ]]+(ПЛАТЕЖИ[[#This Row],[ВАЛЮТА]]*ПЛАТЕЖИ[[#This Row],[КУРС]])</f>
        <v>0</v>
      </c>
      <c r="G2067" s="165"/>
      <c r="H2067" s="165"/>
      <c r="I2067" s="165"/>
    </row>
    <row r="2068" spans="1:9" ht="15" customHeight="1" x14ac:dyDescent="0.3">
      <c r="A2068" s="164"/>
      <c r="B2068" s="165"/>
      <c r="C2068" s="166"/>
      <c r="D2068" s="166"/>
      <c r="E2068" s="166"/>
      <c r="F2068" s="60">
        <f>ПЛАТЕЖИ[[#This Row],[СЎМ]]+(ПЛАТЕЖИ[[#This Row],[ВАЛЮТА]]*ПЛАТЕЖИ[[#This Row],[КУРС]])</f>
        <v>0</v>
      </c>
      <c r="G2068" s="165"/>
      <c r="H2068" s="165"/>
      <c r="I2068" s="165"/>
    </row>
    <row r="2069" spans="1:9" ht="15" customHeight="1" x14ac:dyDescent="0.3">
      <c r="A2069" s="164"/>
      <c r="B2069" s="165"/>
      <c r="C2069" s="166"/>
      <c r="D2069" s="166"/>
      <c r="E2069" s="166"/>
      <c r="F2069" s="60">
        <f>ПЛАТЕЖИ[[#This Row],[СЎМ]]+(ПЛАТЕЖИ[[#This Row],[ВАЛЮТА]]*ПЛАТЕЖИ[[#This Row],[КУРС]])</f>
        <v>0</v>
      </c>
      <c r="G2069" s="165"/>
      <c r="H2069" s="147"/>
      <c r="I2069" s="165"/>
    </row>
    <row r="2070" spans="1:9" ht="15" customHeight="1" x14ac:dyDescent="0.3">
      <c r="A2070" s="164"/>
      <c r="B2070" s="165"/>
      <c r="C2070" s="166"/>
      <c r="D2070" s="166"/>
      <c r="E2070" s="166"/>
      <c r="F2070" s="60">
        <f>ПЛАТЕЖИ[[#This Row],[СЎМ]]+(ПЛАТЕЖИ[[#This Row],[ВАЛЮТА]]*ПЛАТЕЖИ[[#This Row],[КУРС]])</f>
        <v>0</v>
      </c>
      <c r="G2070" s="165"/>
      <c r="H2070" s="147"/>
      <c r="I2070" s="165"/>
    </row>
    <row r="2071" spans="1:9" ht="15" customHeight="1" x14ac:dyDescent="0.3">
      <c r="A2071" s="164"/>
      <c r="B2071" s="165"/>
      <c r="C2071" s="166"/>
      <c r="D2071" s="166"/>
      <c r="E2071" s="166"/>
      <c r="F2071" s="60">
        <f>ПЛАТЕЖИ[[#This Row],[СЎМ]]+(ПЛАТЕЖИ[[#This Row],[ВАЛЮТА]]*ПЛАТЕЖИ[[#This Row],[КУРС]])</f>
        <v>0</v>
      </c>
      <c r="G2071" s="165"/>
      <c r="H2071" s="147"/>
      <c r="I2071" s="165"/>
    </row>
    <row r="2072" spans="1:9" ht="15" customHeight="1" x14ac:dyDescent="0.3">
      <c r="A2072" s="164"/>
      <c r="B2072" s="165"/>
      <c r="C2072" s="166"/>
      <c r="D2072" s="166"/>
      <c r="E2072" s="166"/>
      <c r="F2072" s="60">
        <f>ПЛАТЕЖИ[[#This Row],[СЎМ]]+(ПЛАТЕЖИ[[#This Row],[ВАЛЮТА]]*ПЛАТЕЖИ[[#This Row],[КУРС]])</f>
        <v>0</v>
      </c>
      <c r="G2072" s="165"/>
      <c r="H2072" s="165"/>
      <c r="I2072" s="165"/>
    </row>
    <row r="2073" spans="1:9" ht="15" customHeight="1" x14ac:dyDescent="0.3">
      <c r="A2073" s="164"/>
      <c r="B2073" s="165"/>
      <c r="C2073" s="166"/>
      <c r="D2073" s="166"/>
      <c r="E2073" s="166"/>
      <c r="F2073" s="60">
        <f>ПЛАТЕЖИ[[#This Row],[СЎМ]]+(ПЛАТЕЖИ[[#This Row],[ВАЛЮТА]]*ПЛАТЕЖИ[[#This Row],[КУРС]])</f>
        <v>0</v>
      </c>
      <c r="G2073" s="165"/>
      <c r="H2073" s="147"/>
      <c r="I2073" s="165"/>
    </row>
    <row r="2074" spans="1:9" ht="15" customHeight="1" x14ac:dyDescent="0.3">
      <c r="A2074" s="164"/>
      <c r="B2074" s="165"/>
      <c r="C2074" s="166"/>
      <c r="D2074" s="166"/>
      <c r="E2074" s="166"/>
      <c r="F2074" s="60">
        <f>ПЛАТЕЖИ[[#This Row],[СЎМ]]+(ПЛАТЕЖИ[[#This Row],[ВАЛЮТА]]*ПЛАТЕЖИ[[#This Row],[КУРС]])</f>
        <v>0</v>
      </c>
      <c r="G2074" s="165"/>
      <c r="H2074" s="147"/>
      <c r="I2074" s="165"/>
    </row>
    <row r="2075" spans="1:9" ht="15" customHeight="1" x14ac:dyDescent="0.3">
      <c r="A2075" s="164"/>
      <c r="B2075" s="165"/>
      <c r="C2075" s="166"/>
      <c r="D2075" s="166"/>
      <c r="E2075" s="166"/>
      <c r="F2075" s="60">
        <f>ПЛАТЕЖИ[[#This Row],[СЎМ]]+(ПЛАТЕЖИ[[#This Row],[ВАЛЮТА]]*ПЛАТЕЖИ[[#This Row],[КУРС]])</f>
        <v>0</v>
      </c>
      <c r="G2075" s="165"/>
      <c r="H2075" s="165"/>
      <c r="I2075" s="165"/>
    </row>
    <row r="2076" spans="1:9" ht="15" customHeight="1" x14ac:dyDescent="0.3">
      <c r="A2076" s="164"/>
      <c r="B2076" s="165"/>
      <c r="C2076" s="166"/>
      <c r="D2076" s="166"/>
      <c r="E2076" s="166"/>
      <c r="F2076" s="60">
        <f>ПЛАТЕЖИ[[#This Row],[СЎМ]]+(ПЛАТЕЖИ[[#This Row],[ВАЛЮТА]]*ПЛАТЕЖИ[[#This Row],[КУРС]])</f>
        <v>0</v>
      </c>
      <c r="G2076" s="165"/>
      <c r="H2076" s="165"/>
      <c r="I2076" s="165"/>
    </row>
    <row r="2077" spans="1:9" ht="15" customHeight="1" x14ac:dyDescent="0.3">
      <c r="A2077" s="164"/>
      <c r="B2077" s="165"/>
      <c r="C2077" s="166"/>
      <c r="D2077" s="166"/>
      <c r="E2077" s="166"/>
      <c r="F2077" s="60">
        <f>ПЛАТЕЖИ[[#This Row],[СЎМ]]+(ПЛАТЕЖИ[[#This Row],[ВАЛЮТА]]*ПЛАТЕЖИ[[#This Row],[КУРС]])</f>
        <v>0</v>
      </c>
      <c r="G2077" s="165"/>
      <c r="H2077" s="165"/>
      <c r="I2077" s="165"/>
    </row>
    <row r="2078" spans="1:9" ht="15" customHeight="1" x14ac:dyDescent="0.3">
      <c r="A2078" s="164"/>
      <c r="B2078" s="165"/>
      <c r="C2078" s="166"/>
      <c r="D2078" s="166"/>
      <c r="E2078" s="166"/>
      <c r="F2078" s="60">
        <f>ПЛАТЕЖИ[[#This Row],[СЎМ]]+(ПЛАТЕЖИ[[#This Row],[ВАЛЮТА]]*ПЛАТЕЖИ[[#This Row],[КУРС]])</f>
        <v>0</v>
      </c>
      <c r="G2078" s="165"/>
      <c r="H2078" s="165"/>
      <c r="I2078" s="165"/>
    </row>
    <row r="2079" spans="1:9" ht="15" customHeight="1" x14ac:dyDescent="0.3">
      <c r="A2079" s="164"/>
      <c r="B2079" s="165"/>
      <c r="C2079" s="166"/>
      <c r="D2079" s="166"/>
      <c r="E2079" s="166"/>
      <c r="F2079" s="60">
        <f>ПЛАТЕЖИ[[#This Row],[СЎМ]]+(ПЛАТЕЖИ[[#This Row],[ВАЛЮТА]]*ПЛАТЕЖИ[[#This Row],[КУРС]])</f>
        <v>0</v>
      </c>
      <c r="G2079" s="165"/>
      <c r="H2079" s="165"/>
      <c r="I2079" s="165"/>
    </row>
    <row r="2080" spans="1:9" ht="15" customHeight="1" x14ac:dyDescent="0.3">
      <c r="A2080" s="164"/>
      <c r="B2080" s="165"/>
      <c r="C2080" s="166"/>
      <c r="D2080" s="166"/>
      <c r="E2080" s="166"/>
      <c r="F2080" s="60">
        <f>ПЛАТЕЖИ[[#This Row],[СЎМ]]+(ПЛАТЕЖИ[[#This Row],[ВАЛЮТА]]*ПЛАТЕЖИ[[#This Row],[КУРС]])</f>
        <v>0</v>
      </c>
      <c r="G2080" s="165"/>
      <c r="H2080" s="165"/>
      <c r="I2080" s="165"/>
    </row>
    <row r="2081" spans="1:9" ht="15" customHeight="1" x14ac:dyDescent="0.3">
      <c r="A2081" s="164"/>
      <c r="B2081" s="165"/>
      <c r="C2081" s="166"/>
      <c r="D2081" s="166"/>
      <c r="E2081" s="166"/>
      <c r="F2081" s="60">
        <f>ПЛАТЕЖИ[[#This Row],[СЎМ]]+(ПЛАТЕЖИ[[#This Row],[ВАЛЮТА]]*ПЛАТЕЖИ[[#This Row],[КУРС]])</f>
        <v>0</v>
      </c>
      <c r="G2081" s="165"/>
      <c r="H2081" s="147"/>
      <c r="I2081" s="165"/>
    </row>
    <row r="2082" spans="1:9" ht="15" customHeight="1" x14ac:dyDescent="0.3">
      <c r="A2082" s="164"/>
      <c r="B2082" s="165"/>
      <c r="C2082" s="166"/>
      <c r="D2082" s="166"/>
      <c r="E2082" s="166"/>
      <c r="F2082" s="60">
        <f>ПЛАТЕЖИ[[#This Row],[СЎМ]]+(ПЛАТЕЖИ[[#This Row],[ВАЛЮТА]]*ПЛАТЕЖИ[[#This Row],[КУРС]])</f>
        <v>0</v>
      </c>
      <c r="G2082" s="165"/>
      <c r="H2082" s="147"/>
      <c r="I2082" s="165"/>
    </row>
    <row r="2083" spans="1:9" ht="15" customHeight="1" x14ac:dyDescent="0.3">
      <c r="A2083" s="164"/>
      <c r="B2083" s="165"/>
      <c r="C2083" s="166"/>
      <c r="D2083" s="166"/>
      <c r="E2083" s="166"/>
      <c r="F2083" s="60">
        <f>ПЛАТЕЖИ[[#This Row],[СЎМ]]+(ПЛАТЕЖИ[[#This Row],[ВАЛЮТА]]*ПЛАТЕЖИ[[#This Row],[КУРС]])</f>
        <v>0</v>
      </c>
      <c r="G2083" s="165"/>
      <c r="H2083" s="165"/>
      <c r="I2083" s="165"/>
    </row>
    <row r="2084" spans="1:9" ht="15" customHeight="1" x14ac:dyDescent="0.3">
      <c r="A2084" s="164"/>
      <c r="B2084" s="165"/>
      <c r="C2084" s="166"/>
      <c r="D2084" s="166"/>
      <c r="E2084" s="166"/>
      <c r="F2084" s="60">
        <f>ПЛАТЕЖИ[[#This Row],[СЎМ]]+(ПЛАТЕЖИ[[#This Row],[ВАЛЮТА]]*ПЛАТЕЖИ[[#This Row],[КУРС]])</f>
        <v>0</v>
      </c>
      <c r="G2084" s="165"/>
      <c r="H2084" s="165"/>
      <c r="I2084" s="165"/>
    </row>
    <row r="2085" spans="1:9" ht="15" customHeight="1" x14ac:dyDescent="0.3">
      <c r="A2085" s="164"/>
      <c r="B2085" s="165"/>
      <c r="C2085" s="166"/>
      <c r="D2085" s="166"/>
      <c r="E2085" s="166"/>
      <c r="F2085" s="60">
        <f>ПЛАТЕЖИ[[#This Row],[СЎМ]]+(ПЛАТЕЖИ[[#This Row],[ВАЛЮТА]]*ПЛАТЕЖИ[[#This Row],[КУРС]])</f>
        <v>0</v>
      </c>
      <c r="G2085" s="165"/>
      <c r="H2085" s="165"/>
      <c r="I2085" s="165"/>
    </row>
    <row r="2086" spans="1:9" ht="15" customHeight="1" x14ac:dyDescent="0.3">
      <c r="A2086" s="164"/>
      <c r="B2086" s="165"/>
      <c r="C2086" s="166"/>
      <c r="D2086" s="166"/>
      <c r="E2086" s="166"/>
      <c r="F2086" s="60">
        <f>ПЛАТЕЖИ[[#This Row],[СЎМ]]+(ПЛАТЕЖИ[[#This Row],[ВАЛЮТА]]*ПЛАТЕЖИ[[#This Row],[КУРС]])</f>
        <v>0</v>
      </c>
      <c r="G2086" s="165"/>
      <c r="H2086" s="147"/>
      <c r="I2086" s="165"/>
    </row>
    <row r="2087" spans="1:9" ht="15" customHeight="1" x14ac:dyDescent="0.3">
      <c r="A2087" s="164"/>
      <c r="B2087" s="165"/>
      <c r="C2087" s="166"/>
      <c r="D2087" s="166"/>
      <c r="E2087" s="166"/>
      <c r="F2087" s="60">
        <f>ПЛАТЕЖИ[[#This Row],[СЎМ]]+(ПЛАТЕЖИ[[#This Row],[ВАЛЮТА]]*ПЛАТЕЖИ[[#This Row],[КУРС]])</f>
        <v>0</v>
      </c>
      <c r="G2087" s="165"/>
      <c r="H2087" s="147"/>
      <c r="I2087" s="165"/>
    </row>
    <row r="2088" spans="1:9" ht="15" customHeight="1" x14ac:dyDescent="0.3">
      <c r="A2088" s="164"/>
      <c r="B2088" s="165"/>
      <c r="C2088" s="166"/>
      <c r="D2088" s="166"/>
      <c r="E2088" s="166"/>
      <c r="F2088" s="60">
        <f>ПЛАТЕЖИ[[#This Row],[СЎМ]]+(ПЛАТЕЖИ[[#This Row],[ВАЛЮТА]]*ПЛАТЕЖИ[[#This Row],[КУРС]])</f>
        <v>0</v>
      </c>
      <c r="G2088" s="165"/>
      <c r="H2088" s="165"/>
      <c r="I2088" s="165"/>
    </row>
    <row r="2089" spans="1:9" ht="15" customHeight="1" x14ac:dyDescent="0.3">
      <c r="A2089" s="164"/>
      <c r="B2089" s="165"/>
      <c r="C2089" s="166"/>
      <c r="D2089" s="166"/>
      <c r="E2089" s="166"/>
      <c r="F2089" s="60">
        <f>ПЛАТЕЖИ[[#This Row],[СЎМ]]+(ПЛАТЕЖИ[[#This Row],[ВАЛЮТА]]*ПЛАТЕЖИ[[#This Row],[КУРС]])</f>
        <v>0</v>
      </c>
      <c r="G2089" s="165"/>
      <c r="H2089" s="165"/>
      <c r="I2089" s="165"/>
    </row>
    <row r="2090" spans="1:9" ht="15" customHeight="1" x14ac:dyDescent="0.3">
      <c r="A2090" s="164"/>
      <c r="B2090" s="165"/>
      <c r="C2090" s="166"/>
      <c r="D2090" s="166"/>
      <c r="E2090" s="166"/>
      <c r="F2090" s="60">
        <f>ПЛАТЕЖИ[[#This Row],[СЎМ]]+(ПЛАТЕЖИ[[#This Row],[ВАЛЮТА]]*ПЛАТЕЖИ[[#This Row],[КУРС]])</f>
        <v>0</v>
      </c>
      <c r="G2090" s="165"/>
      <c r="H2090" s="165"/>
      <c r="I2090" s="165"/>
    </row>
    <row r="2091" spans="1:9" ht="15" customHeight="1" x14ac:dyDescent="0.3">
      <c r="A2091" s="164"/>
      <c r="B2091" s="165"/>
      <c r="C2091" s="166"/>
      <c r="D2091" s="166"/>
      <c r="E2091" s="166"/>
      <c r="F2091" s="60">
        <f>ПЛАТЕЖИ[[#This Row],[СЎМ]]+(ПЛАТЕЖИ[[#This Row],[ВАЛЮТА]]*ПЛАТЕЖИ[[#This Row],[КУРС]])</f>
        <v>0</v>
      </c>
      <c r="G2091" s="165"/>
      <c r="H2091" s="147"/>
      <c r="I2091" s="165"/>
    </row>
    <row r="2092" spans="1:9" ht="15" customHeight="1" x14ac:dyDescent="0.3">
      <c r="A2092" s="164"/>
      <c r="B2092" s="165"/>
      <c r="C2092" s="166"/>
      <c r="D2092" s="166"/>
      <c r="E2092" s="166"/>
      <c r="F2092" s="60">
        <f>ПЛАТЕЖИ[[#This Row],[СЎМ]]+(ПЛАТЕЖИ[[#This Row],[ВАЛЮТА]]*ПЛАТЕЖИ[[#This Row],[КУРС]])</f>
        <v>0</v>
      </c>
      <c r="G2092" s="165"/>
      <c r="H2092" s="147"/>
      <c r="I2092" s="165"/>
    </row>
    <row r="2093" spans="1:9" ht="15" customHeight="1" x14ac:dyDescent="0.3">
      <c r="A2093" s="164"/>
      <c r="B2093" s="165"/>
      <c r="C2093" s="166"/>
      <c r="D2093" s="166"/>
      <c r="E2093" s="166"/>
      <c r="F2093" s="60">
        <f>ПЛАТЕЖИ[[#This Row],[СЎМ]]+(ПЛАТЕЖИ[[#This Row],[ВАЛЮТА]]*ПЛАТЕЖИ[[#This Row],[КУРС]])</f>
        <v>0</v>
      </c>
      <c r="G2093" s="165"/>
      <c r="H2093" s="165"/>
      <c r="I2093" s="165"/>
    </row>
    <row r="2094" spans="1:9" ht="15" customHeight="1" x14ac:dyDescent="0.3">
      <c r="A2094" s="164"/>
      <c r="B2094" s="165"/>
      <c r="C2094" s="166"/>
      <c r="D2094" s="166"/>
      <c r="E2094" s="166"/>
      <c r="F2094" s="60">
        <f>ПЛАТЕЖИ[[#This Row],[СЎМ]]+(ПЛАТЕЖИ[[#This Row],[ВАЛЮТА]]*ПЛАТЕЖИ[[#This Row],[КУРС]])</f>
        <v>0</v>
      </c>
      <c r="G2094" s="165"/>
      <c r="H2094" s="165"/>
      <c r="I2094" s="165"/>
    </row>
    <row r="2095" spans="1:9" ht="15" customHeight="1" x14ac:dyDescent="0.3">
      <c r="A2095" s="164"/>
      <c r="B2095" s="165"/>
      <c r="C2095" s="166"/>
      <c r="D2095" s="166"/>
      <c r="E2095" s="166"/>
      <c r="F2095" s="60">
        <f>ПЛАТЕЖИ[[#This Row],[СЎМ]]+(ПЛАТЕЖИ[[#This Row],[ВАЛЮТА]]*ПЛАТЕЖИ[[#This Row],[КУРС]])</f>
        <v>0</v>
      </c>
      <c r="G2095" s="165"/>
      <c r="H2095" s="165"/>
      <c r="I2095" s="165"/>
    </row>
    <row r="2096" spans="1:9" ht="15" customHeight="1" x14ac:dyDescent="0.3">
      <c r="A2096" s="164"/>
      <c r="B2096" s="165"/>
      <c r="C2096" s="166"/>
      <c r="D2096" s="166"/>
      <c r="E2096" s="166"/>
      <c r="F2096" s="60">
        <f>ПЛАТЕЖИ[[#This Row],[СЎМ]]+(ПЛАТЕЖИ[[#This Row],[ВАЛЮТА]]*ПЛАТЕЖИ[[#This Row],[КУРС]])</f>
        <v>0</v>
      </c>
      <c r="G2096" s="165"/>
      <c r="H2096" s="165"/>
      <c r="I2096" s="165"/>
    </row>
    <row r="2097" spans="1:9" ht="15" customHeight="1" x14ac:dyDescent="0.3">
      <c r="A2097" s="164"/>
      <c r="B2097" s="165"/>
      <c r="C2097" s="166"/>
      <c r="D2097" s="166"/>
      <c r="E2097" s="166"/>
      <c r="F2097" s="60">
        <f>ПЛАТЕЖИ[[#This Row],[СЎМ]]+(ПЛАТЕЖИ[[#This Row],[ВАЛЮТА]]*ПЛАТЕЖИ[[#This Row],[КУРС]])</f>
        <v>0</v>
      </c>
      <c r="G2097" s="165"/>
      <c r="H2097" s="165"/>
      <c r="I2097" s="165"/>
    </row>
    <row r="2098" spans="1:9" ht="15" customHeight="1" x14ac:dyDescent="0.3">
      <c r="A2098" s="164"/>
      <c r="B2098" s="165"/>
      <c r="C2098" s="166"/>
      <c r="D2098" s="166"/>
      <c r="E2098" s="166"/>
      <c r="F2098" s="60">
        <f>ПЛАТЕЖИ[[#This Row],[СЎМ]]+(ПЛАТЕЖИ[[#This Row],[ВАЛЮТА]]*ПЛАТЕЖИ[[#This Row],[КУРС]])</f>
        <v>0</v>
      </c>
      <c r="G2098" s="165"/>
      <c r="H2098" s="165"/>
      <c r="I2098" s="165"/>
    </row>
    <row r="2099" spans="1:9" ht="15" customHeight="1" x14ac:dyDescent="0.3">
      <c r="A2099" s="164"/>
      <c r="B2099" s="165"/>
      <c r="C2099" s="166"/>
      <c r="D2099" s="166"/>
      <c r="E2099" s="166"/>
      <c r="F2099" s="60">
        <f>ПЛАТЕЖИ[[#This Row],[СЎМ]]+(ПЛАТЕЖИ[[#This Row],[ВАЛЮТА]]*ПЛАТЕЖИ[[#This Row],[КУРС]])</f>
        <v>0</v>
      </c>
      <c r="G2099" s="165"/>
      <c r="H2099" s="165"/>
      <c r="I2099" s="165"/>
    </row>
    <row r="2100" spans="1:9" ht="15" customHeight="1" x14ac:dyDescent="0.3">
      <c r="A2100" s="164"/>
      <c r="B2100" s="165"/>
      <c r="C2100" s="166"/>
      <c r="D2100" s="166"/>
      <c r="E2100" s="166"/>
      <c r="F2100" s="60">
        <f>ПЛАТЕЖИ[[#This Row],[СЎМ]]+(ПЛАТЕЖИ[[#This Row],[ВАЛЮТА]]*ПЛАТЕЖИ[[#This Row],[КУРС]])</f>
        <v>0</v>
      </c>
      <c r="G2100" s="165"/>
      <c r="H2100" s="165"/>
      <c r="I2100" s="165"/>
    </row>
    <row r="2101" spans="1:9" ht="15" customHeight="1" x14ac:dyDescent="0.3">
      <c r="A2101" s="164"/>
      <c r="B2101" s="165"/>
      <c r="C2101" s="166"/>
      <c r="D2101" s="166"/>
      <c r="E2101" s="166"/>
      <c r="F2101" s="60">
        <f>ПЛАТЕЖИ[[#This Row],[СЎМ]]+(ПЛАТЕЖИ[[#This Row],[ВАЛЮТА]]*ПЛАТЕЖИ[[#This Row],[КУРС]])</f>
        <v>0</v>
      </c>
      <c r="G2101" s="165"/>
      <c r="H2101" s="165"/>
      <c r="I2101" s="165"/>
    </row>
    <row r="2102" spans="1:9" ht="15" customHeight="1" x14ac:dyDescent="0.3">
      <c r="A2102" s="164"/>
      <c r="B2102" s="165"/>
      <c r="C2102" s="166"/>
      <c r="D2102" s="166"/>
      <c r="E2102" s="166"/>
      <c r="F2102" s="60">
        <f>ПЛАТЕЖИ[[#This Row],[СЎМ]]+(ПЛАТЕЖИ[[#This Row],[ВАЛЮТА]]*ПЛАТЕЖИ[[#This Row],[КУРС]])</f>
        <v>0</v>
      </c>
      <c r="G2102" s="165"/>
      <c r="H2102" s="165"/>
      <c r="I2102" s="165"/>
    </row>
    <row r="2103" spans="1:9" ht="15" customHeight="1" x14ac:dyDescent="0.3">
      <c r="A2103" s="164"/>
      <c r="B2103" s="165"/>
      <c r="C2103" s="166"/>
      <c r="D2103" s="166"/>
      <c r="E2103" s="166"/>
      <c r="F2103" s="60">
        <f>ПЛАТЕЖИ[[#This Row],[СЎМ]]+(ПЛАТЕЖИ[[#This Row],[ВАЛЮТА]]*ПЛАТЕЖИ[[#This Row],[КУРС]])</f>
        <v>0</v>
      </c>
      <c r="G2103" s="165"/>
      <c r="H2103" s="165"/>
      <c r="I2103" s="165"/>
    </row>
    <row r="2104" spans="1:9" ht="15" customHeight="1" x14ac:dyDescent="0.3">
      <c r="A2104" s="164"/>
      <c r="B2104" s="165"/>
      <c r="C2104" s="166"/>
      <c r="D2104" s="166"/>
      <c r="E2104" s="166"/>
      <c r="F2104" s="60">
        <f>ПЛАТЕЖИ[[#This Row],[СЎМ]]+(ПЛАТЕЖИ[[#This Row],[ВАЛЮТА]]*ПЛАТЕЖИ[[#This Row],[КУРС]])</f>
        <v>0</v>
      </c>
      <c r="G2104" s="165"/>
      <c r="H2104" s="165"/>
      <c r="I2104" s="165"/>
    </row>
    <row r="2105" spans="1:9" ht="15" customHeight="1" x14ac:dyDescent="0.3">
      <c r="A2105" s="164"/>
      <c r="B2105" s="165"/>
      <c r="C2105" s="166"/>
      <c r="D2105" s="166"/>
      <c r="E2105" s="166"/>
      <c r="F2105" s="60">
        <f>ПЛАТЕЖИ[[#This Row],[СЎМ]]+(ПЛАТЕЖИ[[#This Row],[ВАЛЮТА]]*ПЛАТЕЖИ[[#This Row],[КУРС]])</f>
        <v>0</v>
      </c>
      <c r="G2105" s="165"/>
      <c r="H2105" s="165"/>
      <c r="I2105" s="165"/>
    </row>
    <row r="2106" spans="1:9" ht="15" customHeight="1" x14ac:dyDescent="0.3">
      <c r="A2106" s="164"/>
      <c r="B2106" s="165"/>
      <c r="C2106" s="166"/>
      <c r="D2106" s="166"/>
      <c r="E2106" s="166"/>
      <c r="F2106" s="60">
        <f>ПЛАТЕЖИ[[#This Row],[СЎМ]]+(ПЛАТЕЖИ[[#This Row],[ВАЛЮТА]]*ПЛАТЕЖИ[[#This Row],[КУРС]])</f>
        <v>0</v>
      </c>
      <c r="G2106" s="165"/>
      <c r="H2106" s="165"/>
      <c r="I2106" s="165"/>
    </row>
    <row r="2107" spans="1:9" ht="15" customHeight="1" x14ac:dyDescent="0.3">
      <c r="A2107" s="164"/>
      <c r="B2107" s="165"/>
      <c r="C2107" s="166"/>
      <c r="D2107" s="166"/>
      <c r="E2107" s="166"/>
      <c r="F2107" s="60">
        <f>ПЛАТЕЖИ[[#This Row],[СЎМ]]+(ПЛАТЕЖИ[[#This Row],[ВАЛЮТА]]*ПЛАТЕЖИ[[#This Row],[КУРС]])</f>
        <v>0</v>
      </c>
      <c r="G2107" s="165"/>
      <c r="H2107" s="165"/>
      <c r="I2107" s="165"/>
    </row>
    <row r="2108" spans="1:9" ht="15" customHeight="1" x14ac:dyDescent="0.3">
      <c r="A2108" s="164"/>
      <c r="B2108" s="165"/>
      <c r="C2108" s="166"/>
      <c r="D2108" s="166"/>
      <c r="E2108" s="166"/>
      <c r="F2108" s="60">
        <f>ПЛАТЕЖИ[[#This Row],[СЎМ]]+(ПЛАТЕЖИ[[#This Row],[ВАЛЮТА]]*ПЛАТЕЖИ[[#This Row],[КУРС]])</f>
        <v>0</v>
      </c>
      <c r="G2108" s="165"/>
      <c r="H2108" s="165"/>
      <c r="I2108" s="165"/>
    </row>
    <row r="2109" spans="1:9" ht="15" customHeight="1" x14ac:dyDescent="0.3">
      <c r="A2109" s="164"/>
      <c r="B2109" s="165"/>
      <c r="C2109" s="166"/>
      <c r="D2109" s="166"/>
      <c r="E2109" s="166"/>
      <c r="F2109" s="60">
        <f>ПЛАТЕЖИ[[#This Row],[СЎМ]]+(ПЛАТЕЖИ[[#This Row],[ВАЛЮТА]]*ПЛАТЕЖИ[[#This Row],[КУРС]])</f>
        <v>0</v>
      </c>
      <c r="G2109" s="165"/>
      <c r="H2109" s="165"/>
      <c r="I2109" s="165"/>
    </row>
    <row r="2110" spans="1:9" ht="15" customHeight="1" x14ac:dyDescent="0.3">
      <c r="A2110" s="164"/>
      <c r="B2110" s="165"/>
      <c r="C2110" s="166"/>
      <c r="D2110" s="166"/>
      <c r="E2110" s="166"/>
      <c r="F2110" s="60">
        <f>ПЛАТЕЖИ[[#This Row],[СЎМ]]+(ПЛАТЕЖИ[[#This Row],[ВАЛЮТА]]*ПЛАТЕЖИ[[#This Row],[КУРС]])</f>
        <v>0</v>
      </c>
      <c r="G2110" s="165"/>
      <c r="H2110" s="165"/>
      <c r="I2110" s="165"/>
    </row>
    <row r="2111" spans="1:9" ht="15" customHeight="1" x14ac:dyDescent="0.3">
      <c r="A2111" s="164"/>
      <c r="B2111" s="165"/>
      <c r="C2111" s="166"/>
      <c r="D2111" s="166"/>
      <c r="E2111" s="166"/>
      <c r="F2111" s="60">
        <f>ПЛАТЕЖИ[[#This Row],[СЎМ]]+(ПЛАТЕЖИ[[#This Row],[ВАЛЮТА]]*ПЛАТЕЖИ[[#This Row],[КУРС]])</f>
        <v>0</v>
      </c>
      <c r="G2111" s="165"/>
      <c r="H2111" s="165"/>
      <c r="I2111" s="165"/>
    </row>
    <row r="2112" spans="1:9" ht="15" customHeight="1" x14ac:dyDescent="0.3">
      <c r="A2112" s="164"/>
      <c r="B2112" s="165"/>
      <c r="C2112" s="166"/>
      <c r="D2112" s="166"/>
      <c r="E2112" s="166"/>
      <c r="F2112" s="60">
        <f>ПЛАТЕЖИ[[#This Row],[СЎМ]]+(ПЛАТЕЖИ[[#This Row],[ВАЛЮТА]]*ПЛАТЕЖИ[[#This Row],[КУРС]])</f>
        <v>0</v>
      </c>
      <c r="G2112" s="165"/>
      <c r="H2112" s="165"/>
      <c r="I2112" s="165"/>
    </row>
    <row r="2113" spans="1:9" ht="15" customHeight="1" x14ac:dyDescent="0.3">
      <c r="A2113" s="164"/>
      <c r="B2113" s="165"/>
      <c r="C2113" s="166"/>
      <c r="D2113" s="166"/>
      <c r="E2113" s="166"/>
      <c r="F2113" s="60">
        <f>ПЛАТЕЖИ[[#This Row],[СЎМ]]+(ПЛАТЕЖИ[[#This Row],[ВАЛЮТА]]*ПЛАТЕЖИ[[#This Row],[КУРС]])</f>
        <v>0</v>
      </c>
      <c r="G2113" s="165"/>
      <c r="H2113" s="165"/>
      <c r="I2113" s="165"/>
    </row>
    <row r="2114" spans="1:9" ht="15" customHeight="1" x14ac:dyDescent="0.3">
      <c r="A2114" s="164"/>
      <c r="B2114" s="165"/>
      <c r="C2114" s="166"/>
      <c r="D2114" s="166"/>
      <c r="E2114" s="166"/>
      <c r="F2114" s="60">
        <f>ПЛАТЕЖИ[[#This Row],[СЎМ]]+(ПЛАТЕЖИ[[#This Row],[ВАЛЮТА]]*ПЛАТЕЖИ[[#This Row],[КУРС]])</f>
        <v>0</v>
      </c>
      <c r="G2114" s="165"/>
      <c r="H2114" s="165"/>
      <c r="I2114" s="165"/>
    </row>
    <row r="2115" spans="1:9" ht="15" customHeight="1" x14ac:dyDescent="0.3">
      <c r="A2115" s="164"/>
      <c r="B2115" s="165"/>
      <c r="C2115" s="166"/>
      <c r="D2115" s="166"/>
      <c r="E2115" s="166"/>
      <c r="F2115" s="60">
        <f>ПЛАТЕЖИ[[#This Row],[СЎМ]]+(ПЛАТЕЖИ[[#This Row],[ВАЛЮТА]]*ПЛАТЕЖИ[[#This Row],[КУРС]])</f>
        <v>0</v>
      </c>
      <c r="G2115" s="165"/>
      <c r="H2115" s="165"/>
      <c r="I2115" s="165"/>
    </row>
    <row r="2116" spans="1:9" ht="15" customHeight="1" x14ac:dyDescent="0.3">
      <c r="A2116" s="164"/>
      <c r="B2116" s="165"/>
      <c r="C2116" s="166"/>
      <c r="D2116" s="166"/>
      <c r="E2116" s="166"/>
      <c r="F2116" s="60">
        <f>ПЛАТЕЖИ[[#This Row],[СЎМ]]+(ПЛАТЕЖИ[[#This Row],[ВАЛЮТА]]*ПЛАТЕЖИ[[#This Row],[КУРС]])</f>
        <v>0</v>
      </c>
      <c r="G2116" s="165"/>
      <c r="H2116" s="165"/>
      <c r="I2116" s="165"/>
    </row>
    <row r="2117" spans="1:9" ht="15" customHeight="1" x14ac:dyDescent="0.3">
      <c r="A2117" s="164"/>
      <c r="B2117" s="165"/>
      <c r="C2117" s="166"/>
      <c r="D2117" s="166"/>
      <c r="E2117" s="166"/>
      <c r="F2117" s="60">
        <f>ПЛАТЕЖИ[[#This Row],[СЎМ]]+(ПЛАТЕЖИ[[#This Row],[ВАЛЮТА]]*ПЛАТЕЖИ[[#This Row],[КУРС]])</f>
        <v>0</v>
      </c>
      <c r="G2117" s="165"/>
      <c r="H2117" s="165"/>
      <c r="I2117" s="165"/>
    </row>
    <row r="2118" spans="1:9" ht="15" customHeight="1" x14ac:dyDescent="0.3">
      <c r="A2118" s="164"/>
      <c r="B2118" s="165"/>
      <c r="C2118" s="166"/>
      <c r="D2118" s="166"/>
      <c r="E2118" s="166"/>
      <c r="F2118" s="60">
        <f>ПЛАТЕЖИ[[#This Row],[СЎМ]]+(ПЛАТЕЖИ[[#This Row],[ВАЛЮТА]]*ПЛАТЕЖИ[[#This Row],[КУРС]])</f>
        <v>0</v>
      </c>
      <c r="G2118" s="165"/>
      <c r="H2118" s="165"/>
      <c r="I2118" s="165"/>
    </row>
    <row r="2119" spans="1:9" ht="15" customHeight="1" x14ac:dyDescent="0.3">
      <c r="A2119" s="164"/>
      <c r="B2119" s="165"/>
      <c r="C2119" s="166"/>
      <c r="D2119" s="166"/>
      <c r="E2119" s="166"/>
      <c r="F2119" s="60">
        <f>ПЛАТЕЖИ[[#This Row],[СЎМ]]+(ПЛАТЕЖИ[[#This Row],[ВАЛЮТА]]*ПЛАТЕЖИ[[#This Row],[КУРС]])</f>
        <v>0</v>
      </c>
      <c r="G2119" s="165"/>
      <c r="H2119" s="165"/>
      <c r="I2119" s="165"/>
    </row>
    <row r="2120" spans="1:9" ht="15" customHeight="1" x14ac:dyDescent="0.3">
      <c r="A2120" s="164"/>
      <c r="B2120" s="165"/>
      <c r="C2120" s="166"/>
      <c r="D2120" s="166"/>
      <c r="E2120" s="166"/>
      <c r="F2120" s="60">
        <f>ПЛАТЕЖИ[[#This Row],[СЎМ]]+(ПЛАТЕЖИ[[#This Row],[ВАЛЮТА]]*ПЛАТЕЖИ[[#This Row],[КУРС]])</f>
        <v>0</v>
      </c>
      <c r="G2120" s="165"/>
      <c r="H2120" s="165"/>
      <c r="I2120" s="165"/>
    </row>
    <row r="2121" spans="1:9" ht="15" customHeight="1" x14ac:dyDescent="0.3">
      <c r="A2121" s="164"/>
      <c r="B2121" s="165"/>
      <c r="C2121" s="166"/>
      <c r="D2121" s="166"/>
      <c r="E2121" s="166"/>
      <c r="F2121" s="60">
        <f>ПЛАТЕЖИ[[#This Row],[СЎМ]]+(ПЛАТЕЖИ[[#This Row],[ВАЛЮТА]]*ПЛАТЕЖИ[[#This Row],[КУРС]])</f>
        <v>0</v>
      </c>
      <c r="G2121" s="165"/>
      <c r="H2121" s="165"/>
      <c r="I2121" s="165"/>
    </row>
    <row r="2122" spans="1:9" ht="15" customHeight="1" x14ac:dyDescent="0.3">
      <c r="A2122" s="164"/>
      <c r="B2122" s="165"/>
      <c r="C2122" s="166"/>
      <c r="D2122" s="166"/>
      <c r="E2122" s="166"/>
      <c r="F2122" s="60">
        <f>ПЛАТЕЖИ[[#This Row],[СЎМ]]+(ПЛАТЕЖИ[[#This Row],[ВАЛЮТА]]*ПЛАТЕЖИ[[#This Row],[КУРС]])</f>
        <v>0</v>
      </c>
      <c r="G2122" s="165"/>
      <c r="H2122" s="165"/>
      <c r="I2122" s="165"/>
    </row>
    <row r="2123" spans="1:9" ht="15" customHeight="1" x14ac:dyDescent="0.3">
      <c r="A2123" s="164"/>
      <c r="B2123" s="165"/>
      <c r="C2123" s="166"/>
      <c r="D2123" s="166"/>
      <c r="E2123" s="166"/>
      <c r="F2123" s="60">
        <f>ПЛАТЕЖИ[[#This Row],[СЎМ]]+(ПЛАТЕЖИ[[#This Row],[ВАЛЮТА]]*ПЛАТЕЖИ[[#This Row],[КУРС]])</f>
        <v>0</v>
      </c>
      <c r="G2123" s="165"/>
      <c r="H2123" s="165"/>
      <c r="I2123" s="165"/>
    </row>
    <row r="2124" spans="1:9" ht="15" customHeight="1" x14ac:dyDescent="0.3">
      <c r="A2124" s="164"/>
      <c r="B2124" s="165"/>
      <c r="C2124" s="166"/>
      <c r="D2124" s="166"/>
      <c r="E2124" s="166"/>
      <c r="F2124" s="60">
        <f>ПЛАТЕЖИ[[#This Row],[СЎМ]]+(ПЛАТЕЖИ[[#This Row],[ВАЛЮТА]]*ПЛАТЕЖИ[[#This Row],[КУРС]])</f>
        <v>0</v>
      </c>
      <c r="G2124" s="165"/>
      <c r="H2124" s="165"/>
      <c r="I2124" s="165"/>
    </row>
    <row r="2125" spans="1:9" ht="15" customHeight="1" x14ac:dyDescent="0.3">
      <c r="A2125" s="164"/>
      <c r="B2125" s="165"/>
      <c r="C2125" s="166"/>
      <c r="D2125" s="166"/>
      <c r="E2125" s="166"/>
      <c r="F2125" s="60">
        <f>ПЛАТЕЖИ[[#This Row],[СЎМ]]+(ПЛАТЕЖИ[[#This Row],[ВАЛЮТА]]*ПЛАТЕЖИ[[#This Row],[КУРС]])</f>
        <v>0</v>
      </c>
      <c r="G2125" s="165"/>
      <c r="H2125" s="165"/>
      <c r="I2125" s="165"/>
    </row>
    <row r="2126" spans="1:9" ht="15" customHeight="1" x14ac:dyDescent="0.3">
      <c r="A2126" s="164"/>
      <c r="B2126" s="165"/>
      <c r="C2126" s="166"/>
      <c r="D2126" s="166"/>
      <c r="E2126" s="166"/>
      <c r="F2126" s="60">
        <f>ПЛАТЕЖИ[[#This Row],[СЎМ]]+(ПЛАТЕЖИ[[#This Row],[ВАЛЮТА]]*ПЛАТЕЖИ[[#This Row],[КУРС]])</f>
        <v>0</v>
      </c>
      <c r="G2126" s="165"/>
      <c r="H2126" s="165"/>
      <c r="I2126" s="165"/>
    </row>
    <row r="2127" spans="1:9" ht="15" customHeight="1" x14ac:dyDescent="0.3">
      <c r="A2127" s="164"/>
      <c r="B2127" s="165"/>
      <c r="C2127" s="166"/>
      <c r="D2127" s="166"/>
      <c r="E2127" s="166"/>
      <c r="F2127" s="60">
        <f>ПЛАТЕЖИ[[#This Row],[СЎМ]]+(ПЛАТЕЖИ[[#This Row],[ВАЛЮТА]]*ПЛАТЕЖИ[[#This Row],[КУРС]])</f>
        <v>0</v>
      </c>
      <c r="G2127" s="165"/>
      <c r="H2127" s="165"/>
      <c r="I2127" s="165"/>
    </row>
    <row r="2128" spans="1:9" ht="15" customHeight="1" x14ac:dyDescent="0.3">
      <c r="A2128" s="164"/>
      <c r="B2128" s="165"/>
      <c r="C2128" s="166"/>
      <c r="D2128" s="166"/>
      <c r="E2128" s="166"/>
      <c r="F2128" s="60">
        <f>ПЛАТЕЖИ[[#This Row],[СЎМ]]+(ПЛАТЕЖИ[[#This Row],[ВАЛЮТА]]*ПЛАТЕЖИ[[#This Row],[КУРС]])</f>
        <v>0</v>
      </c>
      <c r="G2128" s="165"/>
      <c r="H2128" s="165"/>
      <c r="I2128" s="165"/>
    </row>
    <row r="2129" spans="1:9" ht="15" customHeight="1" x14ac:dyDescent="0.3">
      <c r="A2129" s="164"/>
      <c r="B2129" s="165"/>
      <c r="C2129" s="166"/>
      <c r="D2129" s="166"/>
      <c r="E2129" s="166"/>
      <c r="F2129" s="60">
        <f>ПЛАТЕЖИ[[#This Row],[СЎМ]]+(ПЛАТЕЖИ[[#This Row],[ВАЛЮТА]]*ПЛАТЕЖИ[[#This Row],[КУРС]])</f>
        <v>0</v>
      </c>
      <c r="G2129" s="165"/>
      <c r="H2129" s="165"/>
      <c r="I2129" s="165"/>
    </row>
    <row r="2130" spans="1:9" ht="15" customHeight="1" x14ac:dyDescent="0.3">
      <c r="A2130" s="164"/>
      <c r="B2130" s="165"/>
      <c r="C2130" s="166"/>
      <c r="D2130" s="166"/>
      <c r="E2130" s="166"/>
      <c r="F2130" s="60">
        <f>ПЛАТЕЖИ[[#This Row],[СЎМ]]+(ПЛАТЕЖИ[[#This Row],[ВАЛЮТА]]*ПЛАТЕЖИ[[#This Row],[КУРС]])</f>
        <v>0</v>
      </c>
      <c r="G2130" s="165"/>
      <c r="H2130" s="165"/>
      <c r="I2130" s="165"/>
    </row>
    <row r="2131" spans="1:9" ht="15" customHeight="1" x14ac:dyDescent="0.3">
      <c r="A2131" s="164"/>
      <c r="B2131" s="165"/>
      <c r="C2131" s="166"/>
      <c r="D2131" s="166"/>
      <c r="E2131" s="166"/>
      <c r="F2131" s="60">
        <f>ПЛАТЕЖИ[[#This Row],[СЎМ]]+(ПЛАТЕЖИ[[#This Row],[ВАЛЮТА]]*ПЛАТЕЖИ[[#This Row],[КУРС]])</f>
        <v>0</v>
      </c>
      <c r="G2131" s="165"/>
      <c r="H2131" s="165"/>
      <c r="I2131" s="165"/>
    </row>
    <row r="2132" spans="1:9" ht="15" customHeight="1" x14ac:dyDescent="0.3">
      <c r="A2132" s="164"/>
      <c r="B2132" s="165"/>
      <c r="C2132" s="166"/>
      <c r="D2132" s="166"/>
      <c r="E2132" s="166"/>
      <c r="F2132" s="60">
        <f>ПЛАТЕЖИ[[#This Row],[СЎМ]]+(ПЛАТЕЖИ[[#This Row],[ВАЛЮТА]]*ПЛАТЕЖИ[[#This Row],[КУРС]])</f>
        <v>0</v>
      </c>
      <c r="G2132" s="165"/>
      <c r="H2132" s="165"/>
      <c r="I2132" s="165"/>
    </row>
    <row r="2133" spans="1:9" ht="15" customHeight="1" x14ac:dyDescent="0.3">
      <c r="A2133" s="164"/>
      <c r="B2133" s="165"/>
      <c r="C2133" s="166"/>
      <c r="D2133" s="166"/>
      <c r="E2133" s="166"/>
      <c r="F2133" s="60">
        <f>ПЛАТЕЖИ[[#This Row],[СЎМ]]+(ПЛАТЕЖИ[[#This Row],[ВАЛЮТА]]*ПЛАТЕЖИ[[#This Row],[КУРС]])</f>
        <v>0</v>
      </c>
      <c r="G2133" s="165"/>
      <c r="H2133" s="165"/>
      <c r="I2133" s="165"/>
    </row>
    <row r="2134" spans="1:9" ht="15" customHeight="1" x14ac:dyDescent="0.3">
      <c r="A2134" s="164"/>
      <c r="B2134" s="165"/>
      <c r="C2134" s="166"/>
      <c r="D2134" s="166"/>
      <c r="E2134" s="166"/>
      <c r="F2134" s="60">
        <f>ПЛАТЕЖИ[[#This Row],[СЎМ]]+(ПЛАТЕЖИ[[#This Row],[ВАЛЮТА]]*ПЛАТЕЖИ[[#This Row],[КУРС]])</f>
        <v>0</v>
      </c>
      <c r="G2134" s="165"/>
      <c r="H2134" s="165"/>
      <c r="I2134" s="165"/>
    </row>
    <row r="2135" spans="1:9" ht="15" customHeight="1" x14ac:dyDescent="0.3">
      <c r="A2135" s="164"/>
      <c r="B2135" s="165"/>
      <c r="C2135" s="166"/>
      <c r="D2135" s="166"/>
      <c r="E2135" s="166"/>
      <c r="F2135" s="60">
        <f>ПЛАТЕЖИ[[#This Row],[СЎМ]]+(ПЛАТЕЖИ[[#This Row],[ВАЛЮТА]]*ПЛАТЕЖИ[[#This Row],[КУРС]])</f>
        <v>0</v>
      </c>
      <c r="G2135" s="165"/>
      <c r="H2135" s="165"/>
      <c r="I2135" s="165"/>
    </row>
    <row r="2136" spans="1:9" ht="15" customHeight="1" x14ac:dyDescent="0.3">
      <c r="A2136" s="164"/>
      <c r="B2136" s="165"/>
      <c r="C2136" s="166"/>
      <c r="D2136" s="166"/>
      <c r="E2136" s="166"/>
      <c r="F2136" s="60">
        <f>ПЛАТЕЖИ[[#This Row],[СЎМ]]+(ПЛАТЕЖИ[[#This Row],[ВАЛЮТА]]*ПЛАТЕЖИ[[#This Row],[КУРС]])</f>
        <v>0</v>
      </c>
      <c r="G2136" s="165"/>
      <c r="H2136" s="165"/>
      <c r="I2136" s="165"/>
    </row>
    <row r="2137" spans="1:9" ht="15" customHeight="1" x14ac:dyDescent="0.3">
      <c r="A2137" s="164"/>
      <c r="B2137" s="165"/>
      <c r="C2137" s="166"/>
      <c r="D2137" s="166"/>
      <c r="E2137" s="166"/>
      <c r="F2137" s="60">
        <f>ПЛАТЕЖИ[[#This Row],[СЎМ]]+(ПЛАТЕЖИ[[#This Row],[ВАЛЮТА]]*ПЛАТЕЖИ[[#This Row],[КУРС]])</f>
        <v>0</v>
      </c>
      <c r="G2137" s="165"/>
      <c r="H2137" s="165"/>
      <c r="I2137" s="165"/>
    </row>
    <row r="2138" spans="1:9" ht="15" customHeight="1" x14ac:dyDescent="0.3">
      <c r="A2138" s="164"/>
      <c r="B2138" s="165"/>
      <c r="C2138" s="166"/>
      <c r="D2138" s="166"/>
      <c r="E2138" s="166"/>
      <c r="F2138" s="60">
        <f>ПЛАТЕЖИ[[#This Row],[СЎМ]]+(ПЛАТЕЖИ[[#This Row],[ВАЛЮТА]]*ПЛАТЕЖИ[[#This Row],[КУРС]])</f>
        <v>0</v>
      </c>
      <c r="G2138" s="165"/>
      <c r="H2138" s="165"/>
      <c r="I2138" s="165"/>
    </row>
    <row r="2139" spans="1:9" ht="15" customHeight="1" x14ac:dyDescent="0.3">
      <c r="A2139" s="164"/>
      <c r="B2139" s="165"/>
      <c r="C2139" s="166"/>
      <c r="D2139" s="166"/>
      <c r="E2139" s="166"/>
      <c r="F2139" s="60">
        <f>ПЛАТЕЖИ[[#This Row],[СЎМ]]+(ПЛАТЕЖИ[[#This Row],[ВАЛЮТА]]*ПЛАТЕЖИ[[#This Row],[КУРС]])</f>
        <v>0</v>
      </c>
      <c r="G2139" s="165"/>
      <c r="H2139" s="165"/>
      <c r="I2139" s="165"/>
    </row>
    <row r="2140" spans="1:9" ht="15" customHeight="1" x14ac:dyDescent="0.3">
      <c r="A2140" s="164"/>
      <c r="B2140" s="165"/>
      <c r="C2140" s="166"/>
      <c r="D2140" s="166"/>
      <c r="E2140" s="166"/>
      <c r="F2140" s="60">
        <f>ПЛАТЕЖИ[[#This Row],[СЎМ]]+(ПЛАТЕЖИ[[#This Row],[ВАЛЮТА]]*ПЛАТЕЖИ[[#This Row],[КУРС]])</f>
        <v>0</v>
      </c>
      <c r="G2140" s="165"/>
      <c r="H2140" s="165"/>
      <c r="I2140" s="165"/>
    </row>
    <row r="2141" spans="1:9" ht="15" customHeight="1" x14ac:dyDescent="0.3">
      <c r="A2141" s="164"/>
      <c r="B2141" s="165"/>
      <c r="C2141" s="166"/>
      <c r="D2141" s="166"/>
      <c r="E2141" s="166"/>
      <c r="F2141" s="60">
        <f>ПЛАТЕЖИ[[#This Row],[СЎМ]]+(ПЛАТЕЖИ[[#This Row],[ВАЛЮТА]]*ПЛАТЕЖИ[[#This Row],[КУРС]])</f>
        <v>0</v>
      </c>
      <c r="G2141" s="165"/>
      <c r="H2141" s="165"/>
      <c r="I2141" s="165"/>
    </row>
    <row r="2142" spans="1:9" ht="15" customHeight="1" x14ac:dyDescent="0.3">
      <c r="A2142" s="164"/>
      <c r="B2142" s="165"/>
      <c r="C2142" s="166"/>
      <c r="D2142" s="166"/>
      <c r="E2142" s="166"/>
      <c r="F2142" s="60">
        <f>ПЛАТЕЖИ[[#This Row],[СЎМ]]+(ПЛАТЕЖИ[[#This Row],[ВАЛЮТА]]*ПЛАТЕЖИ[[#This Row],[КУРС]])</f>
        <v>0</v>
      </c>
      <c r="G2142" s="165"/>
      <c r="H2142" s="165"/>
      <c r="I2142" s="165"/>
    </row>
    <row r="2143" spans="1:9" ht="15" customHeight="1" x14ac:dyDescent="0.3">
      <c r="A2143" s="164"/>
      <c r="B2143" s="165"/>
      <c r="C2143" s="166"/>
      <c r="D2143" s="166"/>
      <c r="E2143" s="166"/>
      <c r="F2143" s="60">
        <f>ПЛАТЕЖИ[[#This Row],[СЎМ]]+(ПЛАТЕЖИ[[#This Row],[ВАЛЮТА]]*ПЛАТЕЖИ[[#This Row],[КУРС]])</f>
        <v>0</v>
      </c>
      <c r="G2143" s="165"/>
      <c r="H2143" s="165"/>
      <c r="I2143" s="165"/>
    </row>
    <row r="2144" spans="1:9" ht="15" customHeight="1" x14ac:dyDescent="0.3">
      <c r="A2144" s="164"/>
      <c r="B2144" s="165"/>
      <c r="C2144" s="166"/>
      <c r="D2144" s="166"/>
      <c r="E2144" s="166"/>
      <c r="F2144" s="60">
        <f>ПЛАТЕЖИ[[#This Row],[СЎМ]]+(ПЛАТЕЖИ[[#This Row],[ВАЛЮТА]]*ПЛАТЕЖИ[[#This Row],[КУРС]])</f>
        <v>0</v>
      </c>
      <c r="G2144" s="165"/>
      <c r="H2144" s="165"/>
      <c r="I2144" s="165"/>
    </row>
    <row r="2145" spans="1:9" ht="15" customHeight="1" x14ac:dyDescent="0.3">
      <c r="A2145" s="164"/>
      <c r="B2145" s="165"/>
      <c r="C2145" s="166"/>
      <c r="D2145" s="166"/>
      <c r="E2145" s="166"/>
      <c r="F2145" s="60">
        <f>ПЛАТЕЖИ[[#This Row],[СЎМ]]+(ПЛАТЕЖИ[[#This Row],[ВАЛЮТА]]*ПЛАТЕЖИ[[#This Row],[КУРС]])</f>
        <v>0</v>
      </c>
      <c r="G2145" s="165"/>
      <c r="H2145" s="165"/>
      <c r="I2145" s="165"/>
    </row>
    <row r="2146" spans="1:9" ht="15" customHeight="1" x14ac:dyDescent="0.3">
      <c r="A2146" s="164"/>
      <c r="B2146" s="165"/>
      <c r="C2146" s="166"/>
      <c r="D2146" s="166"/>
      <c r="E2146" s="166"/>
      <c r="F2146" s="60">
        <f>ПЛАТЕЖИ[[#This Row],[СЎМ]]+(ПЛАТЕЖИ[[#This Row],[ВАЛЮТА]]*ПЛАТЕЖИ[[#This Row],[КУРС]])</f>
        <v>0</v>
      </c>
      <c r="G2146" s="165"/>
      <c r="H2146" s="165"/>
      <c r="I2146" s="165"/>
    </row>
    <row r="2147" spans="1:9" ht="15" customHeight="1" x14ac:dyDescent="0.3">
      <c r="A2147" s="164"/>
      <c r="B2147" s="165"/>
      <c r="C2147" s="166"/>
      <c r="D2147" s="166"/>
      <c r="E2147" s="166"/>
      <c r="F2147" s="60">
        <f>ПЛАТЕЖИ[[#This Row],[СЎМ]]+(ПЛАТЕЖИ[[#This Row],[ВАЛЮТА]]*ПЛАТЕЖИ[[#This Row],[КУРС]])</f>
        <v>0</v>
      </c>
      <c r="G2147" s="165"/>
      <c r="H2147" s="165"/>
      <c r="I2147" s="165"/>
    </row>
    <row r="2148" spans="1:9" ht="15" customHeight="1" x14ac:dyDescent="0.3">
      <c r="A2148" s="164"/>
      <c r="B2148" s="165"/>
      <c r="C2148" s="166"/>
      <c r="D2148" s="166"/>
      <c r="E2148" s="166"/>
      <c r="F2148" s="60">
        <f>ПЛАТЕЖИ[[#This Row],[СЎМ]]+(ПЛАТЕЖИ[[#This Row],[ВАЛЮТА]]*ПЛАТЕЖИ[[#This Row],[КУРС]])</f>
        <v>0</v>
      </c>
      <c r="G2148" s="165"/>
      <c r="H2148" s="165"/>
      <c r="I2148" s="165"/>
    </row>
    <row r="2149" spans="1:9" ht="15" customHeight="1" x14ac:dyDescent="0.3">
      <c r="A2149" s="164"/>
      <c r="B2149" s="165"/>
      <c r="C2149" s="166"/>
      <c r="D2149" s="166"/>
      <c r="E2149" s="166"/>
      <c r="F2149" s="60">
        <f>ПЛАТЕЖИ[[#This Row],[СЎМ]]+(ПЛАТЕЖИ[[#This Row],[ВАЛЮТА]]*ПЛАТЕЖИ[[#This Row],[КУРС]])</f>
        <v>0</v>
      </c>
      <c r="G2149" s="165"/>
      <c r="H2149" s="165"/>
      <c r="I2149" s="165"/>
    </row>
    <row r="2150" spans="1:9" ht="15" customHeight="1" x14ac:dyDescent="0.3">
      <c r="A2150" s="164"/>
      <c r="B2150" s="165"/>
      <c r="C2150" s="166"/>
      <c r="D2150" s="166"/>
      <c r="E2150" s="166"/>
      <c r="F2150" s="60">
        <f>ПЛАТЕЖИ[[#This Row],[СЎМ]]+(ПЛАТЕЖИ[[#This Row],[ВАЛЮТА]]*ПЛАТЕЖИ[[#This Row],[КУРС]])</f>
        <v>0</v>
      </c>
      <c r="G2150" s="165"/>
      <c r="H2150" s="165"/>
      <c r="I2150" s="165"/>
    </row>
    <row r="2151" spans="1:9" ht="15" customHeight="1" x14ac:dyDescent="0.3">
      <c r="A2151" s="164"/>
      <c r="B2151" s="165"/>
      <c r="C2151" s="166"/>
      <c r="D2151" s="166"/>
      <c r="E2151" s="166"/>
      <c r="F2151" s="60">
        <f>ПЛАТЕЖИ[[#This Row],[СЎМ]]+(ПЛАТЕЖИ[[#This Row],[ВАЛЮТА]]*ПЛАТЕЖИ[[#This Row],[КУРС]])</f>
        <v>0</v>
      </c>
      <c r="G2151" s="165"/>
      <c r="H2151" s="165"/>
      <c r="I2151" s="165"/>
    </row>
    <row r="2152" spans="1:9" ht="15" customHeight="1" x14ac:dyDescent="0.3">
      <c r="A2152" s="164"/>
      <c r="B2152" s="165"/>
      <c r="C2152" s="166"/>
      <c r="D2152" s="166"/>
      <c r="E2152" s="166"/>
      <c r="F2152" s="60">
        <f>ПЛАТЕЖИ[[#This Row],[СЎМ]]+(ПЛАТЕЖИ[[#This Row],[ВАЛЮТА]]*ПЛАТЕЖИ[[#This Row],[КУРС]])</f>
        <v>0</v>
      </c>
      <c r="G2152" s="165"/>
      <c r="H2152" s="165"/>
      <c r="I2152" s="165"/>
    </row>
    <row r="2153" spans="1:9" ht="15" customHeight="1" x14ac:dyDescent="0.3">
      <c r="A2153" s="164"/>
      <c r="B2153" s="165"/>
      <c r="C2153" s="166"/>
      <c r="D2153" s="166"/>
      <c r="E2153" s="166"/>
      <c r="F2153" s="60">
        <f>ПЛАТЕЖИ[[#This Row],[СЎМ]]+(ПЛАТЕЖИ[[#This Row],[ВАЛЮТА]]*ПЛАТЕЖИ[[#This Row],[КУРС]])</f>
        <v>0</v>
      </c>
      <c r="G2153" s="165"/>
      <c r="H2153" s="165"/>
      <c r="I2153" s="165"/>
    </row>
    <row r="2154" spans="1:9" ht="15" customHeight="1" x14ac:dyDescent="0.3">
      <c r="A2154" s="164"/>
      <c r="B2154" s="165"/>
      <c r="C2154" s="166"/>
      <c r="D2154" s="166"/>
      <c r="E2154" s="166"/>
      <c r="F2154" s="60">
        <f>ПЛАТЕЖИ[[#This Row],[СЎМ]]+(ПЛАТЕЖИ[[#This Row],[ВАЛЮТА]]*ПЛАТЕЖИ[[#This Row],[КУРС]])</f>
        <v>0</v>
      </c>
      <c r="G2154" s="165"/>
      <c r="H2154" s="165"/>
      <c r="I2154" s="165"/>
    </row>
    <row r="2155" spans="1:9" ht="15" customHeight="1" x14ac:dyDescent="0.3">
      <c r="A2155" s="164"/>
      <c r="B2155" s="165"/>
      <c r="C2155" s="166"/>
      <c r="D2155" s="166"/>
      <c r="E2155" s="166"/>
      <c r="F2155" s="60">
        <f>ПЛАТЕЖИ[[#This Row],[СЎМ]]+(ПЛАТЕЖИ[[#This Row],[ВАЛЮТА]]*ПЛАТЕЖИ[[#This Row],[КУРС]])</f>
        <v>0</v>
      </c>
      <c r="G2155" s="165"/>
      <c r="H2155" s="165"/>
      <c r="I2155" s="165"/>
    </row>
    <row r="2156" spans="1:9" ht="15" customHeight="1" x14ac:dyDescent="0.3">
      <c r="A2156" s="164"/>
      <c r="B2156" s="165"/>
      <c r="C2156" s="166"/>
      <c r="D2156" s="166"/>
      <c r="E2156" s="166"/>
      <c r="F2156" s="60">
        <f>ПЛАТЕЖИ[[#This Row],[СЎМ]]+(ПЛАТЕЖИ[[#This Row],[ВАЛЮТА]]*ПЛАТЕЖИ[[#This Row],[КУРС]])</f>
        <v>0</v>
      </c>
      <c r="G2156" s="165"/>
      <c r="H2156" s="165"/>
      <c r="I2156" s="165"/>
    </row>
    <row r="2157" spans="1:9" ht="15" customHeight="1" x14ac:dyDescent="0.3">
      <c r="A2157" s="164"/>
      <c r="B2157" s="220"/>
      <c r="C2157" s="166"/>
      <c r="D2157" s="166"/>
      <c r="E2157" s="166"/>
      <c r="F2157" s="60">
        <f>ПЛАТЕЖИ[[#This Row],[СЎМ]]+(ПЛАТЕЖИ[[#This Row],[ВАЛЮТА]]*ПЛАТЕЖИ[[#This Row],[КУРС]])</f>
        <v>0</v>
      </c>
      <c r="G2157" s="165"/>
      <c r="H2157" s="165"/>
      <c r="I2157" s="165"/>
    </row>
    <row r="2158" spans="1:9" ht="15" customHeight="1" x14ac:dyDescent="0.3">
      <c r="A2158" s="164"/>
      <c r="B2158" s="242"/>
      <c r="C2158" s="166"/>
      <c r="D2158" s="166"/>
      <c r="E2158" s="166"/>
      <c r="F2158" s="60">
        <f>ПЛАТЕЖИ[[#This Row],[СЎМ]]+(ПЛАТЕЖИ[[#This Row],[ВАЛЮТА]]*ПЛАТЕЖИ[[#This Row],[КУРС]])</f>
        <v>0</v>
      </c>
      <c r="G2158" s="165"/>
      <c r="H2158" s="165"/>
      <c r="I2158" s="165"/>
    </row>
    <row r="2159" spans="1:9" ht="15" customHeight="1" x14ac:dyDescent="0.3">
      <c r="A2159" s="164"/>
      <c r="B2159" s="220"/>
      <c r="C2159" s="166"/>
      <c r="D2159" s="166"/>
      <c r="E2159" s="166"/>
      <c r="F2159" s="60">
        <f>ПЛАТЕЖИ[[#This Row],[СЎМ]]+(ПЛАТЕЖИ[[#This Row],[ВАЛЮТА]]*ПЛАТЕЖИ[[#This Row],[КУРС]])</f>
        <v>0</v>
      </c>
      <c r="G2159" s="165"/>
      <c r="H2159" s="165"/>
      <c r="I2159" s="165"/>
    </row>
    <row r="2160" spans="1:9" ht="15" customHeight="1" x14ac:dyDescent="0.3">
      <c r="A2160" s="164"/>
      <c r="B2160" s="165"/>
      <c r="C2160" s="166"/>
      <c r="D2160" s="166"/>
      <c r="E2160" s="166"/>
      <c r="F2160" s="60">
        <f>ПЛАТЕЖИ[[#This Row],[СЎМ]]+(ПЛАТЕЖИ[[#This Row],[ВАЛЮТА]]*ПЛАТЕЖИ[[#This Row],[КУРС]])</f>
        <v>0</v>
      </c>
      <c r="G2160" s="165"/>
      <c r="H2160" s="165"/>
      <c r="I2160" s="165"/>
    </row>
    <row r="2161" spans="1:9" ht="15" customHeight="1" x14ac:dyDescent="0.3">
      <c r="A2161" s="164"/>
      <c r="B2161" s="165"/>
      <c r="C2161" s="166"/>
      <c r="D2161" s="166"/>
      <c r="E2161" s="166"/>
      <c r="F2161" s="60">
        <f>ПЛАТЕЖИ[[#This Row],[СЎМ]]+(ПЛАТЕЖИ[[#This Row],[ВАЛЮТА]]*ПЛАТЕЖИ[[#This Row],[КУРС]])</f>
        <v>0</v>
      </c>
      <c r="G2161" s="165"/>
      <c r="H2161" s="165"/>
      <c r="I2161" s="165"/>
    </row>
    <row r="2162" spans="1:9" ht="15" customHeight="1" x14ac:dyDescent="0.3">
      <c r="A2162" s="164"/>
      <c r="B2162" s="165"/>
      <c r="C2162" s="166"/>
      <c r="D2162" s="166"/>
      <c r="E2162" s="166"/>
      <c r="F2162" s="60">
        <f>ПЛАТЕЖИ[[#This Row],[СЎМ]]+(ПЛАТЕЖИ[[#This Row],[ВАЛЮТА]]*ПЛАТЕЖИ[[#This Row],[КУРС]])</f>
        <v>0</v>
      </c>
      <c r="G2162" s="165"/>
      <c r="H2162" s="165"/>
      <c r="I2162" s="165"/>
    </row>
    <row r="2163" spans="1:9" ht="15" customHeight="1" x14ac:dyDescent="0.3">
      <c r="A2163" s="164"/>
      <c r="B2163" s="165"/>
      <c r="C2163" s="166"/>
      <c r="D2163" s="166"/>
      <c r="E2163" s="166"/>
      <c r="F2163" s="60">
        <f>ПЛАТЕЖИ[[#This Row],[СЎМ]]+(ПЛАТЕЖИ[[#This Row],[ВАЛЮТА]]*ПЛАТЕЖИ[[#This Row],[КУРС]])</f>
        <v>0</v>
      </c>
      <c r="G2163" s="165"/>
      <c r="H2163" s="165"/>
      <c r="I2163" s="165"/>
    </row>
    <row r="2164" spans="1:9" ht="15" customHeight="1" x14ac:dyDescent="0.3">
      <c r="A2164" s="164"/>
      <c r="B2164" s="165"/>
      <c r="C2164" s="166"/>
      <c r="D2164" s="166"/>
      <c r="E2164" s="166"/>
      <c r="F2164" s="60">
        <f>ПЛАТЕЖИ[[#This Row],[СЎМ]]+(ПЛАТЕЖИ[[#This Row],[ВАЛЮТА]]*ПЛАТЕЖИ[[#This Row],[КУРС]])</f>
        <v>0</v>
      </c>
      <c r="G2164" s="165"/>
      <c r="H2164" s="165"/>
      <c r="I2164" s="165"/>
    </row>
    <row r="2165" spans="1:9" ht="15" customHeight="1" x14ac:dyDescent="0.3">
      <c r="A2165" s="164"/>
      <c r="B2165" s="165"/>
      <c r="C2165" s="166"/>
      <c r="D2165" s="166"/>
      <c r="E2165" s="166"/>
      <c r="F2165" s="60">
        <f>ПЛАТЕЖИ[[#This Row],[СЎМ]]+(ПЛАТЕЖИ[[#This Row],[ВАЛЮТА]]*ПЛАТЕЖИ[[#This Row],[КУРС]])</f>
        <v>0</v>
      </c>
      <c r="G2165" s="165"/>
      <c r="H2165" s="165"/>
      <c r="I2165" s="165"/>
    </row>
    <row r="2166" spans="1:9" ht="15" customHeight="1" x14ac:dyDescent="0.3">
      <c r="A2166" s="164"/>
      <c r="B2166" s="165"/>
      <c r="C2166" s="166"/>
      <c r="D2166" s="166"/>
      <c r="E2166" s="166"/>
      <c r="F2166" s="60">
        <f>ПЛАТЕЖИ[[#This Row],[СЎМ]]+(ПЛАТЕЖИ[[#This Row],[ВАЛЮТА]]*ПЛАТЕЖИ[[#This Row],[КУРС]])</f>
        <v>0</v>
      </c>
      <c r="G2166" s="165"/>
      <c r="H2166" s="165"/>
      <c r="I2166" s="165"/>
    </row>
    <row r="2167" spans="1:9" ht="15" customHeight="1" x14ac:dyDescent="0.3">
      <c r="A2167" s="164"/>
      <c r="B2167" s="165"/>
      <c r="C2167" s="166"/>
      <c r="D2167" s="166"/>
      <c r="E2167" s="166"/>
      <c r="F2167" s="60">
        <f>ПЛАТЕЖИ[[#This Row],[СЎМ]]+(ПЛАТЕЖИ[[#This Row],[ВАЛЮТА]]*ПЛАТЕЖИ[[#This Row],[КУРС]])</f>
        <v>0</v>
      </c>
      <c r="G2167" s="165"/>
      <c r="H2167" s="165"/>
      <c r="I2167" s="165"/>
    </row>
    <row r="2168" spans="1:9" ht="15" customHeight="1" x14ac:dyDescent="0.3">
      <c r="A2168" s="164"/>
      <c r="B2168" s="165"/>
      <c r="C2168" s="166"/>
      <c r="D2168" s="166"/>
      <c r="E2168" s="166"/>
      <c r="F2168" s="60">
        <f>ПЛАТЕЖИ[[#This Row],[СЎМ]]+(ПЛАТЕЖИ[[#This Row],[ВАЛЮТА]]*ПЛАТЕЖИ[[#This Row],[КУРС]])</f>
        <v>0</v>
      </c>
      <c r="G2168" s="165"/>
      <c r="H2168" s="165"/>
      <c r="I2168" s="165"/>
    </row>
    <row r="2169" spans="1:9" ht="15" customHeight="1" x14ac:dyDescent="0.3">
      <c r="A2169" s="164"/>
      <c r="B2169" s="165"/>
      <c r="C2169" s="166"/>
      <c r="D2169" s="166"/>
      <c r="E2169" s="166"/>
      <c r="F2169" s="60">
        <f>ПЛАТЕЖИ[[#This Row],[СЎМ]]+(ПЛАТЕЖИ[[#This Row],[ВАЛЮТА]]*ПЛАТЕЖИ[[#This Row],[КУРС]])</f>
        <v>0</v>
      </c>
      <c r="G2169" s="165"/>
      <c r="H2169" s="165"/>
      <c r="I2169" s="165"/>
    </row>
    <row r="2170" spans="1:9" ht="15" customHeight="1" x14ac:dyDescent="0.3">
      <c r="A2170" s="164"/>
      <c r="B2170" s="165"/>
      <c r="C2170" s="166"/>
      <c r="D2170" s="166"/>
      <c r="E2170" s="166"/>
      <c r="F2170" s="60">
        <f>ПЛАТЕЖИ[[#This Row],[СЎМ]]+(ПЛАТЕЖИ[[#This Row],[ВАЛЮТА]]*ПЛАТЕЖИ[[#This Row],[КУРС]])</f>
        <v>0</v>
      </c>
      <c r="G2170" s="165"/>
      <c r="H2170" s="165"/>
      <c r="I2170" s="165"/>
    </row>
    <row r="2171" spans="1:9" ht="15" customHeight="1" x14ac:dyDescent="0.3">
      <c r="A2171" s="164"/>
      <c r="B2171" s="165"/>
      <c r="C2171" s="166"/>
      <c r="D2171" s="166"/>
      <c r="E2171" s="166"/>
      <c r="F2171" s="60">
        <f>ПЛАТЕЖИ[[#This Row],[СЎМ]]+(ПЛАТЕЖИ[[#This Row],[ВАЛЮТА]]*ПЛАТЕЖИ[[#This Row],[КУРС]])</f>
        <v>0</v>
      </c>
      <c r="G2171" s="165"/>
      <c r="H2171" s="165"/>
      <c r="I2171" s="165"/>
    </row>
    <row r="2172" spans="1:9" ht="15" customHeight="1" x14ac:dyDescent="0.3">
      <c r="A2172" s="164"/>
      <c r="B2172" s="165"/>
      <c r="C2172" s="166"/>
      <c r="D2172" s="166"/>
      <c r="E2172" s="166"/>
      <c r="F2172" s="60">
        <f>ПЛАТЕЖИ[[#This Row],[СЎМ]]+(ПЛАТЕЖИ[[#This Row],[ВАЛЮТА]]*ПЛАТЕЖИ[[#This Row],[КУРС]])</f>
        <v>0</v>
      </c>
      <c r="G2172" s="165"/>
      <c r="H2172" s="165"/>
      <c r="I2172" s="165"/>
    </row>
    <row r="2173" spans="1:9" ht="15" customHeight="1" x14ac:dyDescent="0.3">
      <c r="A2173" s="164"/>
      <c r="B2173" s="165"/>
      <c r="C2173" s="166"/>
      <c r="D2173" s="166"/>
      <c r="E2173" s="166"/>
      <c r="F2173" s="60">
        <f>ПЛАТЕЖИ[[#This Row],[СЎМ]]+(ПЛАТЕЖИ[[#This Row],[ВАЛЮТА]]*ПЛАТЕЖИ[[#This Row],[КУРС]])</f>
        <v>0</v>
      </c>
      <c r="G2173" s="165"/>
      <c r="H2173" s="165"/>
      <c r="I2173" s="165"/>
    </row>
    <row r="2174" spans="1:9" ht="15" customHeight="1" x14ac:dyDescent="0.3">
      <c r="A2174" s="164"/>
      <c r="B2174" s="165"/>
      <c r="C2174" s="166"/>
      <c r="D2174" s="166"/>
      <c r="E2174" s="166"/>
      <c r="F2174" s="60">
        <f>ПЛАТЕЖИ[[#This Row],[СЎМ]]+(ПЛАТЕЖИ[[#This Row],[ВАЛЮТА]]*ПЛАТЕЖИ[[#This Row],[КУРС]])</f>
        <v>0</v>
      </c>
      <c r="G2174" s="165"/>
      <c r="H2174" s="165"/>
      <c r="I2174" s="165"/>
    </row>
    <row r="2175" spans="1:9" ht="15" customHeight="1" x14ac:dyDescent="0.3">
      <c r="A2175" s="164"/>
      <c r="B2175" s="165"/>
      <c r="C2175" s="166"/>
      <c r="D2175" s="166"/>
      <c r="E2175" s="166"/>
      <c r="F2175" s="60">
        <f>ПЛАТЕЖИ[[#This Row],[СЎМ]]+(ПЛАТЕЖИ[[#This Row],[ВАЛЮТА]]*ПЛАТЕЖИ[[#This Row],[КУРС]])</f>
        <v>0</v>
      </c>
      <c r="G2175" s="165"/>
      <c r="H2175" s="165"/>
      <c r="I2175" s="165"/>
    </row>
    <row r="2176" spans="1:9" ht="15" customHeight="1" x14ac:dyDescent="0.3">
      <c r="A2176" s="164"/>
      <c r="B2176" s="165"/>
      <c r="C2176" s="166"/>
      <c r="D2176" s="166"/>
      <c r="E2176" s="166"/>
      <c r="F2176" s="60">
        <f>ПЛАТЕЖИ[[#This Row],[СЎМ]]+(ПЛАТЕЖИ[[#This Row],[ВАЛЮТА]]*ПЛАТЕЖИ[[#This Row],[КУРС]])</f>
        <v>0</v>
      </c>
      <c r="G2176" s="165"/>
      <c r="H2176" s="165"/>
      <c r="I2176" s="165"/>
    </row>
    <row r="2177" spans="1:9" ht="15" customHeight="1" x14ac:dyDescent="0.3">
      <c r="A2177" s="164"/>
      <c r="B2177" s="165"/>
      <c r="C2177" s="166"/>
      <c r="D2177" s="166"/>
      <c r="E2177" s="166"/>
      <c r="F2177" s="60">
        <f>ПЛАТЕЖИ[[#This Row],[СЎМ]]+(ПЛАТЕЖИ[[#This Row],[ВАЛЮТА]]*ПЛАТЕЖИ[[#This Row],[КУРС]])</f>
        <v>0</v>
      </c>
      <c r="G2177" s="165"/>
      <c r="H2177" s="165"/>
      <c r="I2177" s="165"/>
    </row>
    <row r="2178" spans="1:9" ht="15" customHeight="1" x14ac:dyDescent="0.3">
      <c r="A2178" s="164"/>
      <c r="B2178" s="165"/>
      <c r="C2178" s="166"/>
      <c r="D2178" s="166"/>
      <c r="E2178" s="166"/>
      <c r="F2178" s="60">
        <f>ПЛАТЕЖИ[[#This Row],[СЎМ]]+(ПЛАТЕЖИ[[#This Row],[ВАЛЮТА]]*ПЛАТЕЖИ[[#This Row],[КУРС]])</f>
        <v>0</v>
      </c>
      <c r="G2178" s="165"/>
      <c r="H2178" s="165"/>
      <c r="I2178" s="165"/>
    </row>
    <row r="2179" spans="1:9" ht="15" customHeight="1" x14ac:dyDescent="0.3">
      <c r="A2179" s="164"/>
      <c r="B2179" s="165"/>
      <c r="C2179" s="166"/>
      <c r="D2179" s="166"/>
      <c r="E2179" s="166"/>
      <c r="F2179" s="60">
        <f>ПЛАТЕЖИ[[#This Row],[СЎМ]]+(ПЛАТЕЖИ[[#This Row],[ВАЛЮТА]]*ПЛАТЕЖИ[[#This Row],[КУРС]])</f>
        <v>0</v>
      </c>
      <c r="G2179" s="165"/>
      <c r="H2179" s="165"/>
      <c r="I2179" s="165"/>
    </row>
    <row r="2180" spans="1:9" ht="15" customHeight="1" x14ac:dyDescent="0.3">
      <c r="A2180" s="164"/>
      <c r="B2180" s="165"/>
      <c r="C2180" s="166"/>
      <c r="D2180" s="166"/>
      <c r="E2180" s="166"/>
      <c r="F2180" s="60">
        <f>ПЛАТЕЖИ[[#This Row],[СЎМ]]+(ПЛАТЕЖИ[[#This Row],[ВАЛЮТА]]*ПЛАТЕЖИ[[#This Row],[КУРС]])</f>
        <v>0</v>
      </c>
      <c r="G2180" s="165"/>
      <c r="H2180" s="165"/>
      <c r="I2180" s="165"/>
    </row>
    <row r="2181" spans="1:9" ht="15" customHeight="1" x14ac:dyDescent="0.3">
      <c r="A2181" s="164"/>
      <c r="B2181" s="165"/>
      <c r="C2181" s="166"/>
      <c r="D2181" s="166"/>
      <c r="E2181" s="166"/>
      <c r="F2181" s="60">
        <f>ПЛАТЕЖИ[[#This Row],[СЎМ]]+(ПЛАТЕЖИ[[#This Row],[ВАЛЮТА]]*ПЛАТЕЖИ[[#This Row],[КУРС]])</f>
        <v>0</v>
      </c>
      <c r="G2181" s="165"/>
      <c r="H2181" s="165"/>
      <c r="I2181" s="165"/>
    </row>
    <row r="2182" spans="1:9" ht="15" customHeight="1" x14ac:dyDescent="0.3">
      <c r="A2182" s="164"/>
      <c r="B2182" s="165"/>
      <c r="C2182" s="166"/>
      <c r="D2182" s="166"/>
      <c r="E2182" s="166"/>
      <c r="F2182" s="60">
        <f>ПЛАТЕЖИ[[#This Row],[СЎМ]]+(ПЛАТЕЖИ[[#This Row],[ВАЛЮТА]]*ПЛАТЕЖИ[[#This Row],[КУРС]])</f>
        <v>0</v>
      </c>
      <c r="G2182" s="165"/>
      <c r="H2182" s="165"/>
      <c r="I2182" s="165"/>
    </row>
    <row r="2183" spans="1:9" ht="15" customHeight="1" x14ac:dyDescent="0.3">
      <c r="A2183" s="164"/>
      <c r="B2183" s="165"/>
      <c r="C2183" s="166"/>
      <c r="D2183" s="166"/>
      <c r="E2183" s="166"/>
      <c r="F2183" s="60">
        <f>ПЛАТЕЖИ[[#This Row],[СЎМ]]+(ПЛАТЕЖИ[[#This Row],[ВАЛЮТА]]*ПЛАТЕЖИ[[#This Row],[КУРС]])</f>
        <v>0</v>
      </c>
      <c r="G2183" s="165"/>
      <c r="H2183" s="165"/>
      <c r="I2183" s="165"/>
    </row>
    <row r="2184" spans="1:9" ht="15" customHeight="1" x14ac:dyDescent="0.3">
      <c r="A2184" s="164"/>
      <c r="B2184" s="165"/>
      <c r="C2184" s="166"/>
      <c r="D2184" s="166"/>
      <c r="E2184" s="166"/>
      <c r="F2184" s="60">
        <f>ПЛАТЕЖИ[[#This Row],[СЎМ]]+(ПЛАТЕЖИ[[#This Row],[ВАЛЮТА]]*ПЛАТЕЖИ[[#This Row],[КУРС]])</f>
        <v>0</v>
      </c>
      <c r="G2184" s="165"/>
      <c r="H2184" s="165"/>
      <c r="I2184" s="165"/>
    </row>
    <row r="2185" spans="1:9" ht="15" customHeight="1" x14ac:dyDescent="0.3">
      <c r="A2185" s="164"/>
      <c r="B2185" s="165"/>
      <c r="C2185" s="166"/>
      <c r="D2185" s="166"/>
      <c r="E2185" s="166"/>
      <c r="F2185" s="60">
        <f>ПЛАТЕЖИ[[#This Row],[СЎМ]]+(ПЛАТЕЖИ[[#This Row],[ВАЛЮТА]]*ПЛАТЕЖИ[[#This Row],[КУРС]])</f>
        <v>0</v>
      </c>
      <c r="G2185" s="165"/>
      <c r="H2185" s="165"/>
      <c r="I2185" s="165"/>
    </row>
    <row r="2186" spans="1:9" ht="15" customHeight="1" x14ac:dyDescent="0.3">
      <c r="A2186" s="164"/>
      <c r="B2186" s="165"/>
      <c r="C2186" s="166"/>
      <c r="D2186" s="166"/>
      <c r="E2186" s="166"/>
      <c r="F2186" s="60">
        <f>ПЛАТЕЖИ[[#This Row],[СЎМ]]+(ПЛАТЕЖИ[[#This Row],[ВАЛЮТА]]*ПЛАТЕЖИ[[#This Row],[КУРС]])</f>
        <v>0</v>
      </c>
      <c r="G2186" s="165"/>
      <c r="H2186" s="165"/>
      <c r="I2186" s="165"/>
    </row>
    <row r="2187" spans="1:9" ht="15" customHeight="1" x14ac:dyDescent="0.3">
      <c r="A2187" s="164"/>
      <c r="B2187" s="165"/>
      <c r="C2187" s="166"/>
      <c r="D2187" s="166"/>
      <c r="E2187" s="166"/>
      <c r="F2187" s="60">
        <f>ПЛАТЕЖИ[[#This Row],[СЎМ]]+(ПЛАТЕЖИ[[#This Row],[ВАЛЮТА]]*ПЛАТЕЖИ[[#This Row],[КУРС]])</f>
        <v>0</v>
      </c>
      <c r="G2187" s="165"/>
      <c r="H2187" s="165"/>
      <c r="I2187" s="165"/>
    </row>
    <row r="2188" spans="1:9" ht="15" customHeight="1" x14ac:dyDescent="0.3">
      <c r="A2188" s="164"/>
      <c r="B2188" s="165"/>
      <c r="C2188" s="166"/>
      <c r="D2188" s="166"/>
      <c r="E2188" s="166"/>
      <c r="F2188" s="60">
        <f>ПЛАТЕЖИ[[#This Row],[СЎМ]]+(ПЛАТЕЖИ[[#This Row],[ВАЛЮТА]]*ПЛАТЕЖИ[[#This Row],[КУРС]])</f>
        <v>0</v>
      </c>
      <c r="G2188" s="165"/>
      <c r="H2188" s="165"/>
      <c r="I2188" s="165"/>
    </row>
    <row r="2189" spans="1:9" ht="15" customHeight="1" x14ac:dyDescent="0.3">
      <c r="A2189" s="164"/>
      <c r="B2189" s="165"/>
      <c r="C2189" s="166"/>
      <c r="D2189" s="166"/>
      <c r="E2189" s="166"/>
      <c r="F2189" s="60">
        <f>ПЛАТЕЖИ[[#This Row],[СЎМ]]+(ПЛАТЕЖИ[[#This Row],[ВАЛЮТА]]*ПЛАТЕЖИ[[#This Row],[КУРС]])</f>
        <v>0</v>
      </c>
      <c r="G2189" s="165"/>
      <c r="H2189" s="165"/>
      <c r="I2189" s="165"/>
    </row>
    <row r="2190" spans="1:9" ht="15" customHeight="1" x14ac:dyDescent="0.3">
      <c r="A2190" s="164"/>
      <c r="B2190" s="165"/>
      <c r="C2190" s="166"/>
      <c r="D2190" s="166"/>
      <c r="E2190" s="166"/>
      <c r="F2190" s="60">
        <f>ПЛАТЕЖИ[[#This Row],[СЎМ]]+(ПЛАТЕЖИ[[#This Row],[ВАЛЮТА]]*ПЛАТЕЖИ[[#This Row],[КУРС]])</f>
        <v>0</v>
      </c>
      <c r="G2190" s="165"/>
      <c r="H2190" s="165"/>
      <c r="I2190" s="165"/>
    </row>
    <row r="2191" spans="1:9" ht="15" customHeight="1" x14ac:dyDescent="0.3">
      <c r="A2191" s="164"/>
      <c r="B2191" s="165"/>
      <c r="C2191" s="166"/>
      <c r="D2191" s="166"/>
      <c r="E2191" s="166"/>
      <c r="F2191" s="60">
        <f>ПЛАТЕЖИ[[#This Row],[СЎМ]]+(ПЛАТЕЖИ[[#This Row],[ВАЛЮТА]]*ПЛАТЕЖИ[[#This Row],[КУРС]])</f>
        <v>0</v>
      </c>
      <c r="G2191" s="165"/>
      <c r="H2191" s="165"/>
      <c r="I2191" s="165"/>
    </row>
    <row r="2192" spans="1:9" ht="15" customHeight="1" x14ac:dyDescent="0.3">
      <c r="A2192" s="164"/>
      <c r="B2192" s="165"/>
      <c r="C2192" s="166"/>
      <c r="D2192" s="166"/>
      <c r="E2192" s="166"/>
      <c r="F2192" s="60">
        <f>ПЛАТЕЖИ[[#This Row],[СЎМ]]+(ПЛАТЕЖИ[[#This Row],[ВАЛЮТА]]*ПЛАТЕЖИ[[#This Row],[КУРС]])</f>
        <v>0</v>
      </c>
      <c r="G2192" s="165"/>
      <c r="H2192" s="165"/>
      <c r="I2192" s="165"/>
    </row>
    <row r="2193" spans="1:9" ht="15" customHeight="1" x14ac:dyDescent="0.3">
      <c r="A2193" s="164"/>
      <c r="B2193" s="165"/>
      <c r="C2193" s="166"/>
      <c r="D2193" s="166"/>
      <c r="E2193" s="166"/>
      <c r="F2193" s="60">
        <f>ПЛАТЕЖИ[[#This Row],[СЎМ]]+(ПЛАТЕЖИ[[#This Row],[ВАЛЮТА]]*ПЛАТЕЖИ[[#This Row],[КУРС]])</f>
        <v>0</v>
      </c>
      <c r="G2193" s="165"/>
      <c r="H2193" s="165"/>
      <c r="I2193" s="165"/>
    </row>
    <row r="2194" spans="1:9" ht="15" customHeight="1" x14ac:dyDescent="0.3">
      <c r="A2194" s="164"/>
      <c r="B2194" s="165"/>
      <c r="C2194" s="166"/>
      <c r="D2194" s="166"/>
      <c r="E2194" s="166"/>
      <c r="F2194" s="60">
        <f>ПЛАТЕЖИ[[#This Row],[СЎМ]]+(ПЛАТЕЖИ[[#This Row],[ВАЛЮТА]]*ПЛАТЕЖИ[[#This Row],[КУРС]])</f>
        <v>0</v>
      </c>
      <c r="G2194" s="165"/>
      <c r="H2194" s="165"/>
      <c r="I2194" s="165"/>
    </row>
    <row r="2195" spans="1:9" ht="15" customHeight="1" x14ac:dyDescent="0.3">
      <c r="A2195" s="164"/>
      <c r="B2195" s="165"/>
      <c r="C2195" s="166"/>
      <c r="D2195" s="166"/>
      <c r="E2195" s="166"/>
      <c r="F2195" s="60">
        <f>ПЛАТЕЖИ[[#This Row],[СЎМ]]+(ПЛАТЕЖИ[[#This Row],[ВАЛЮТА]]*ПЛАТЕЖИ[[#This Row],[КУРС]])</f>
        <v>0</v>
      </c>
      <c r="G2195" s="165"/>
      <c r="H2195" s="165"/>
      <c r="I2195" s="165"/>
    </row>
    <row r="2196" spans="1:9" ht="15" customHeight="1" x14ac:dyDescent="0.3">
      <c r="A2196" s="164"/>
      <c r="B2196" s="165"/>
      <c r="C2196" s="166"/>
      <c r="D2196" s="166"/>
      <c r="E2196" s="166"/>
      <c r="F2196" s="60">
        <f>ПЛАТЕЖИ[[#This Row],[СЎМ]]+(ПЛАТЕЖИ[[#This Row],[ВАЛЮТА]]*ПЛАТЕЖИ[[#This Row],[КУРС]])</f>
        <v>0</v>
      </c>
      <c r="G2196" s="165"/>
      <c r="H2196" s="165"/>
      <c r="I2196" s="165"/>
    </row>
    <row r="2197" spans="1:9" ht="15" customHeight="1" x14ac:dyDescent="0.3">
      <c r="A2197" s="164"/>
      <c r="B2197" s="165"/>
      <c r="C2197" s="166"/>
      <c r="D2197" s="166"/>
      <c r="E2197" s="166"/>
      <c r="F2197" s="60">
        <f>ПЛАТЕЖИ[[#This Row],[СЎМ]]+(ПЛАТЕЖИ[[#This Row],[ВАЛЮТА]]*ПЛАТЕЖИ[[#This Row],[КУРС]])</f>
        <v>0</v>
      </c>
      <c r="G2197" s="165"/>
      <c r="H2197" s="165"/>
      <c r="I2197" s="165"/>
    </row>
    <row r="2198" spans="1:9" ht="15" customHeight="1" x14ac:dyDescent="0.3">
      <c r="A2198" s="164"/>
      <c r="B2198" s="165"/>
      <c r="C2198" s="166"/>
      <c r="D2198" s="166"/>
      <c r="E2198" s="166"/>
      <c r="F2198" s="60">
        <f>ПЛАТЕЖИ[[#This Row],[СЎМ]]+(ПЛАТЕЖИ[[#This Row],[ВАЛЮТА]]*ПЛАТЕЖИ[[#This Row],[КУРС]])</f>
        <v>0</v>
      </c>
      <c r="G2198" s="165"/>
      <c r="H2198" s="165"/>
      <c r="I2198" s="165"/>
    </row>
    <row r="2199" spans="1:9" ht="15" customHeight="1" x14ac:dyDescent="0.3">
      <c r="A2199" s="164"/>
      <c r="B2199" s="165"/>
      <c r="C2199" s="166"/>
      <c r="D2199" s="166"/>
      <c r="E2199" s="166"/>
      <c r="F2199" s="60">
        <f>ПЛАТЕЖИ[[#This Row],[СЎМ]]+(ПЛАТЕЖИ[[#This Row],[ВАЛЮТА]]*ПЛАТЕЖИ[[#This Row],[КУРС]])</f>
        <v>0</v>
      </c>
      <c r="G2199" s="165"/>
      <c r="H2199" s="165"/>
      <c r="I2199" s="165"/>
    </row>
    <row r="2200" spans="1:9" ht="15" customHeight="1" x14ac:dyDescent="0.3">
      <c r="A2200" s="164"/>
      <c r="B2200" s="165"/>
      <c r="C2200" s="166"/>
      <c r="D2200" s="166"/>
      <c r="E2200" s="166"/>
      <c r="F2200" s="60">
        <f>ПЛАТЕЖИ[[#This Row],[СЎМ]]+(ПЛАТЕЖИ[[#This Row],[ВАЛЮТА]]*ПЛАТЕЖИ[[#This Row],[КУРС]])</f>
        <v>0</v>
      </c>
      <c r="G2200" s="165"/>
      <c r="H2200" s="165"/>
      <c r="I2200" s="165"/>
    </row>
    <row r="2201" spans="1:9" ht="15" customHeight="1" x14ac:dyDescent="0.3">
      <c r="A2201" s="164"/>
      <c r="B2201" s="165"/>
      <c r="C2201" s="166"/>
      <c r="D2201" s="166"/>
      <c r="E2201" s="166"/>
      <c r="F2201" s="60">
        <f>ПЛАТЕЖИ[[#This Row],[СЎМ]]+(ПЛАТЕЖИ[[#This Row],[ВАЛЮТА]]*ПЛАТЕЖИ[[#This Row],[КУРС]])</f>
        <v>0</v>
      </c>
      <c r="G2201" s="165"/>
      <c r="H2201" s="165"/>
      <c r="I2201" s="165"/>
    </row>
    <row r="2202" spans="1:9" ht="15" customHeight="1" x14ac:dyDescent="0.3">
      <c r="A2202" s="164"/>
      <c r="B2202" s="165"/>
      <c r="C2202" s="166"/>
      <c r="D2202" s="166"/>
      <c r="E2202" s="166"/>
      <c r="F2202" s="60">
        <f>ПЛАТЕЖИ[[#This Row],[СЎМ]]+(ПЛАТЕЖИ[[#This Row],[ВАЛЮТА]]*ПЛАТЕЖИ[[#This Row],[КУРС]])</f>
        <v>0</v>
      </c>
      <c r="G2202" s="165"/>
      <c r="H2202" s="165"/>
      <c r="I2202" s="165" t="s">
        <v>771</v>
      </c>
    </row>
    <row r="2203" spans="1:9" ht="15" customHeight="1" x14ac:dyDescent="0.3">
      <c r="A2203" s="164"/>
      <c r="B2203" s="165"/>
      <c r="C2203" s="166"/>
      <c r="D2203" s="166"/>
      <c r="E2203" s="166"/>
      <c r="F2203" s="60">
        <f>ПЛАТЕЖИ[[#This Row],[СЎМ]]+(ПЛАТЕЖИ[[#This Row],[ВАЛЮТА]]*ПЛАТЕЖИ[[#This Row],[КУРС]])</f>
        <v>0</v>
      </c>
      <c r="G2203" s="165"/>
      <c r="H2203" s="165"/>
      <c r="I2203" s="165"/>
    </row>
    <row r="2204" spans="1:9" ht="15" customHeight="1" x14ac:dyDescent="0.3">
      <c r="A2204" s="164"/>
      <c r="B2204" s="165"/>
      <c r="C2204" s="166"/>
      <c r="D2204" s="166"/>
      <c r="E2204" s="166"/>
      <c r="F2204" s="60">
        <f>ПЛАТЕЖИ[[#This Row],[СЎМ]]+(ПЛАТЕЖИ[[#This Row],[ВАЛЮТА]]*ПЛАТЕЖИ[[#This Row],[КУРС]])</f>
        <v>0</v>
      </c>
      <c r="G2204" s="165"/>
      <c r="H2204" s="165"/>
      <c r="I2204" s="165"/>
    </row>
    <row r="2205" spans="1:9" ht="15" customHeight="1" x14ac:dyDescent="0.3">
      <c r="A2205" s="164"/>
      <c r="B2205" s="165"/>
      <c r="C2205" s="166"/>
      <c r="D2205" s="166"/>
      <c r="E2205" s="166"/>
      <c r="F2205" s="60">
        <f>ПЛАТЕЖИ[[#This Row],[СЎМ]]+(ПЛАТЕЖИ[[#This Row],[ВАЛЮТА]]*ПЛАТЕЖИ[[#This Row],[КУРС]])</f>
        <v>0</v>
      </c>
      <c r="G2205" s="165"/>
      <c r="H2205" s="165"/>
      <c r="I2205" s="165"/>
    </row>
    <row r="2206" spans="1:9" ht="15" customHeight="1" x14ac:dyDescent="0.3">
      <c r="A2206" s="164"/>
      <c r="B2206" s="165"/>
      <c r="C2206" s="166"/>
      <c r="D2206" s="166"/>
      <c r="E2206" s="166"/>
      <c r="F2206" s="60">
        <f>ПЛАТЕЖИ[[#This Row],[СЎМ]]+(ПЛАТЕЖИ[[#This Row],[ВАЛЮТА]]*ПЛАТЕЖИ[[#This Row],[КУРС]])</f>
        <v>0</v>
      </c>
      <c r="G2206" s="165"/>
      <c r="H2206" s="165"/>
      <c r="I2206" s="165"/>
    </row>
    <row r="2207" spans="1:9" ht="15" customHeight="1" x14ac:dyDescent="0.3">
      <c r="A2207" s="164"/>
      <c r="B2207" s="165"/>
      <c r="C2207" s="166"/>
      <c r="D2207" s="166"/>
      <c r="E2207" s="166"/>
      <c r="F2207" s="60">
        <f>ПЛАТЕЖИ[[#This Row],[СЎМ]]+(ПЛАТЕЖИ[[#This Row],[ВАЛЮТА]]*ПЛАТЕЖИ[[#This Row],[КУРС]])</f>
        <v>0</v>
      </c>
      <c r="G2207" s="165"/>
      <c r="H2207" s="165"/>
      <c r="I2207" s="165"/>
    </row>
    <row r="2208" spans="1:9" ht="15" customHeight="1" x14ac:dyDescent="0.3">
      <c r="A2208" s="164"/>
      <c r="B2208" s="165"/>
      <c r="C2208" s="166"/>
      <c r="D2208" s="166"/>
      <c r="E2208" s="166"/>
      <c r="F2208" s="60">
        <f>ПЛАТЕЖИ[[#This Row],[СЎМ]]+(ПЛАТЕЖИ[[#This Row],[ВАЛЮТА]]*ПЛАТЕЖИ[[#This Row],[КУРС]])</f>
        <v>0</v>
      </c>
      <c r="G2208" s="165"/>
      <c r="H2208" s="165"/>
      <c r="I2208" s="165"/>
    </row>
    <row r="2209" spans="1:9" ht="15" customHeight="1" x14ac:dyDescent="0.3">
      <c r="A2209" s="164"/>
      <c r="B2209" s="165"/>
      <c r="C2209" s="166"/>
      <c r="D2209" s="166"/>
      <c r="E2209" s="166"/>
      <c r="F2209" s="60">
        <f>ПЛАТЕЖИ[[#This Row],[СЎМ]]+(ПЛАТЕЖИ[[#This Row],[ВАЛЮТА]]*ПЛАТЕЖИ[[#This Row],[КУРС]])</f>
        <v>0</v>
      </c>
      <c r="G2209" s="165"/>
      <c r="H2209" s="165"/>
      <c r="I2209" s="165"/>
    </row>
    <row r="2210" spans="1:9" ht="15" customHeight="1" x14ac:dyDescent="0.3">
      <c r="A2210" s="164"/>
      <c r="B2210" s="165"/>
      <c r="C2210" s="166"/>
      <c r="D2210" s="166"/>
      <c r="E2210" s="166"/>
      <c r="F2210" s="60">
        <f>ПЛАТЕЖИ[[#This Row],[СЎМ]]+(ПЛАТЕЖИ[[#This Row],[ВАЛЮТА]]*ПЛАТЕЖИ[[#This Row],[КУРС]])</f>
        <v>0</v>
      </c>
      <c r="G2210" s="165"/>
      <c r="H2210" s="165"/>
      <c r="I2210" s="165"/>
    </row>
    <row r="2211" spans="1:9" ht="15" customHeight="1" x14ac:dyDescent="0.3">
      <c r="A2211" s="164"/>
      <c r="B2211" s="165"/>
      <c r="C2211" s="166"/>
      <c r="D2211" s="166"/>
      <c r="E2211" s="166"/>
      <c r="F2211" s="60">
        <f>ПЛАТЕЖИ[[#This Row],[СЎМ]]+(ПЛАТЕЖИ[[#This Row],[ВАЛЮТА]]*ПЛАТЕЖИ[[#This Row],[КУРС]])</f>
        <v>0</v>
      </c>
      <c r="G2211" s="165"/>
      <c r="H2211" s="165"/>
      <c r="I2211" s="165"/>
    </row>
    <row r="2212" spans="1:9" ht="15" customHeight="1" x14ac:dyDescent="0.3">
      <c r="A2212" s="164"/>
      <c r="B2212" s="165"/>
      <c r="C2212" s="166"/>
      <c r="D2212" s="166"/>
      <c r="E2212" s="166"/>
      <c r="F2212" s="60">
        <f>ПЛАТЕЖИ[[#This Row],[СЎМ]]+(ПЛАТЕЖИ[[#This Row],[ВАЛЮТА]]*ПЛАТЕЖИ[[#This Row],[КУРС]])</f>
        <v>0</v>
      </c>
      <c r="G2212" s="165"/>
      <c r="H2212" s="165"/>
      <c r="I2212" s="165"/>
    </row>
    <row r="2213" spans="1:9" ht="15" customHeight="1" x14ac:dyDescent="0.3">
      <c r="A2213" s="164"/>
      <c r="B2213" s="165"/>
      <c r="C2213" s="166"/>
      <c r="D2213" s="166"/>
      <c r="E2213" s="166"/>
      <c r="F2213" s="60">
        <f>ПЛАТЕЖИ[[#This Row],[СЎМ]]+(ПЛАТЕЖИ[[#This Row],[ВАЛЮТА]]*ПЛАТЕЖИ[[#This Row],[КУРС]])</f>
        <v>0</v>
      </c>
      <c r="G2213" s="165"/>
      <c r="H2213" s="165"/>
      <c r="I2213" s="165"/>
    </row>
    <row r="2214" spans="1:9" ht="15" customHeight="1" x14ac:dyDescent="0.3">
      <c r="A2214" s="164"/>
      <c r="B2214" s="165"/>
      <c r="C2214" s="166"/>
      <c r="D2214" s="166"/>
      <c r="E2214" s="166"/>
      <c r="F2214" s="60">
        <f>ПЛАТЕЖИ[[#This Row],[СЎМ]]+(ПЛАТЕЖИ[[#This Row],[ВАЛЮТА]]*ПЛАТЕЖИ[[#This Row],[КУРС]])</f>
        <v>0</v>
      </c>
      <c r="G2214" s="165"/>
      <c r="H2214" s="165"/>
      <c r="I2214" s="165"/>
    </row>
    <row r="2215" spans="1:9" ht="15" customHeight="1" x14ac:dyDescent="0.3">
      <c r="A2215" s="164"/>
      <c r="B2215" s="165"/>
      <c r="C2215" s="166"/>
      <c r="D2215" s="166"/>
      <c r="E2215" s="166"/>
      <c r="F2215" s="60">
        <f>ПЛАТЕЖИ[[#This Row],[СЎМ]]+(ПЛАТЕЖИ[[#This Row],[ВАЛЮТА]]*ПЛАТЕЖИ[[#This Row],[КУРС]])</f>
        <v>0</v>
      </c>
      <c r="G2215" s="165"/>
      <c r="H2215" s="165"/>
      <c r="I2215" s="165"/>
    </row>
    <row r="2216" spans="1:9" ht="15" customHeight="1" x14ac:dyDescent="0.3">
      <c r="A2216" s="164"/>
      <c r="B2216" s="165"/>
      <c r="C2216" s="166"/>
      <c r="D2216" s="166"/>
      <c r="E2216" s="166"/>
      <c r="F2216" s="60">
        <f>ПЛАТЕЖИ[[#This Row],[СЎМ]]+(ПЛАТЕЖИ[[#This Row],[ВАЛЮТА]]*ПЛАТЕЖИ[[#This Row],[КУРС]])</f>
        <v>0</v>
      </c>
      <c r="G2216" s="165"/>
      <c r="H2216" s="165"/>
      <c r="I2216" s="165"/>
    </row>
    <row r="2217" spans="1:9" ht="15" customHeight="1" x14ac:dyDescent="0.3">
      <c r="A2217" s="164"/>
      <c r="B2217" s="165"/>
      <c r="C2217" s="166"/>
      <c r="D2217" s="166"/>
      <c r="E2217" s="166"/>
      <c r="F2217" s="60">
        <f>ПЛАТЕЖИ[[#This Row],[СЎМ]]+(ПЛАТЕЖИ[[#This Row],[ВАЛЮТА]]*ПЛАТЕЖИ[[#This Row],[КУРС]])</f>
        <v>0</v>
      </c>
      <c r="G2217" s="165"/>
      <c r="H2217" s="165"/>
      <c r="I2217" s="165"/>
    </row>
    <row r="2218" spans="1:9" ht="15" customHeight="1" x14ac:dyDescent="0.3">
      <c r="A2218" s="164"/>
      <c r="B2218" s="165"/>
      <c r="C2218" s="166"/>
      <c r="D2218" s="166"/>
      <c r="E2218" s="166"/>
      <c r="F2218" s="60">
        <f>ПЛАТЕЖИ[[#This Row],[СЎМ]]+(ПЛАТЕЖИ[[#This Row],[ВАЛЮТА]]*ПЛАТЕЖИ[[#This Row],[КУРС]])</f>
        <v>0</v>
      </c>
      <c r="G2218" s="165"/>
      <c r="H2218" s="165"/>
      <c r="I2218" s="165"/>
    </row>
    <row r="2219" spans="1:9" ht="15" customHeight="1" x14ac:dyDescent="0.3">
      <c r="A2219" s="164"/>
      <c r="B2219" s="165"/>
      <c r="C2219" s="166"/>
      <c r="D2219" s="166"/>
      <c r="E2219" s="166"/>
      <c r="F2219" s="60">
        <f>ПЛАТЕЖИ[[#This Row],[СЎМ]]+(ПЛАТЕЖИ[[#This Row],[ВАЛЮТА]]*ПЛАТЕЖИ[[#This Row],[КУРС]])</f>
        <v>0</v>
      </c>
      <c r="G2219" s="165"/>
      <c r="H2219" s="165"/>
      <c r="I2219" s="165"/>
    </row>
    <row r="2220" spans="1:9" ht="15" customHeight="1" x14ac:dyDescent="0.3">
      <c r="A2220" s="164"/>
      <c r="B2220" s="165"/>
      <c r="C2220" s="166"/>
      <c r="D2220" s="166"/>
      <c r="E2220" s="166"/>
      <c r="F2220" s="60">
        <f>ПЛАТЕЖИ[[#This Row],[СЎМ]]+(ПЛАТЕЖИ[[#This Row],[ВАЛЮТА]]*ПЛАТЕЖИ[[#This Row],[КУРС]])</f>
        <v>0</v>
      </c>
      <c r="G2220" s="165"/>
      <c r="H2220" s="165"/>
      <c r="I2220" s="165"/>
    </row>
    <row r="2221" spans="1:9" ht="15" customHeight="1" x14ac:dyDescent="0.3">
      <c r="A2221" s="164"/>
      <c r="B2221" s="165"/>
      <c r="C2221" s="166"/>
      <c r="D2221" s="166"/>
      <c r="E2221" s="166"/>
      <c r="F2221" s="60">
        <f>ПЛАТЕЖИ[[#This Row],[СЎМ]]+(ПЛАТЕЖИ[[#This Row],[ВАЛЮТА]]*ПЛАТЕЖИ[[#This Row],[КУРС]])</f>
        <v>0</v>
      </c>
      <c r="G2221" s="165"/>
      <c r="H2221" s="165"/>
      <c r="I2221" s="165"/>
    </row>
    <row r="2222" spans="1:9" ht="15" customHeight="1" x14ac:dyDescent="0.3">
      <c r="A2222" s="164"/>
      <c r="B2222" s="165"/>
      <c r="C2222" s="166"/>
      <c r="D2222" s="166"/>
      <c r="E2222" s="166"/>
      <c r="F2222" s="60">
        <f>ПЛАТЕЖИ[[#This Row],[СЎМ]]+(ПЛАТЕЖИ[[#This Row],[ВАЛЮТА]]*ПЛАТЕЖИ[[#This Row],[КУРС]])</f>
        <v>0</v>
      </c>
      <c r="G2222" s="165"/>
      <c r="H2222" s="165"/>
      <c r="I2222" s="165"/>
    </row>
    <row r="2223" spans="1:9" ht="15" customHeight="1" x14ac:dyDescent="0.3">
      <c r="A2223" s="164"/>
      <c r="B2223" s="165"/>
      <c r="C2223" s="166"/>
      <c r="D2223" s="166"/>
      <c r="E2223" s="166"/>
      <c r="F2223" s="60">
        <f>ПЛАТЕЖИ[[#This Row],[СЎМ]]+(ПЛАТЕЖИ[[#This Row],[ВАЛЮТА]]*ПЛАТЕЖИ[[#This Row],[КУРС]])</f>
        <v>0</v>
      </c>
      <c r="G2223" s="165"/>
      <c r="H2223" s="165"/>
      <c r="I2223" s="165"/>
    </row>
    <row r="2224" spans="1:9" ht="15" customHeight="1" x14ac:dyDescent="0.3">
      <c r="A2224" s="164"/>
      <c r="B2224" s="165"/>
      <c r="C2224" s="166"/>
      <c r="D2224" s="166"/>
      <c r="E2224" s="166"/>
      <c r="F2224" s="60">
        <f>ПЛАТЕЖИ[[#This Row],[СЎМ]]+(ПЛАТЕЖИ[[#This Row],[ВАЛЮТА]]*ПЛАТЕЖИ[[#This Row],[КУРС]])</f>
        <v>0</v>
      </c>
      <c r="G2224" s="165"/>
      <c r="H2224" s="165"/>
      <c r="I2224" s="165"/>
    </row>
    <row r="2225" spans="1:9" ht="15" customHeight="1" x14ac:dyDescent="0.3">
      <c r="A2225" s="164"/>
      <c r="B2225" s="165"/>
      <c r="C2225" s="166"/>
      <c r="D2225" s="166"/>
      <c r="E2225" s="166"/>
      <c r="F2225" s="60">
        <f>ПЛАТЕЖИ[[#This Row],[СЎМ]]+(ПЛАТЕЖИ[[#This Row],[ВАЛЮТА]]*ПЛАТЕЖИ[[#This Row],[КУРС]])</f>
        <v>0</v>
      </c>
      <c r="G2225" s="165"/>
      <c r="H2225" s="165"/>
      <c r="I2225" s="165"/>
    </row>
    <row r="2226" spans="1:9" ht="15" customHeight="1" x14ac:dyDescent="0.3">
      <c r="A2226" s="164"/>
      <c r="B2226" s="165"/>
      <c r="C2226" s="166"/>
      <c r="D2226" s="166"/>
      <c r="E2226" s="166"/>
      <c r="F2226" s="60">
        <f>ПЛАТЕЖИ[[#This Row],[СЎМ]]+(ПЛАТЕЖИ[[#This Row],[ВАЛЮТА]]*ПЛАТЕЖИ[[#This Row],[КУРС]])</f>
        <v>0</v>
      </c>
      <c r="G2226" s="165"/>
      <c r="H2226" s="165"/>
      <c r="I2226" s="165"/>
    </row>
    <row r="2227" spans="1:9" ht="15" customHeight="1" x14ac:dyDescent="0.3">
      <c r="A2227" s="164"/>
      <c r="B2227" s="165"/>
      <c r="C2227" s="166"/>
      <c r="D2227" s="166"/>
      <c r="E2227" s="166"/>
      <c r="F2227" s="60">
        <f>ПЛАТЕЖИ[[#This Row],[СЎМ]]+(ПЛАТЕЖИ[[#This Row],[ВАЛЮТА]]*ПЛАТЕЖИ[[#This Row],[КУРС]])</f>
        <v>0</v>
      </c>
      <c r="G2227" s="165"/>
      <c r="H2227" s="165"/>
      <c r="I2227" s="165"/>
    </row>
    <row r="2228" spans="1:9" ht="15" customHeight="1" x14ac:dyDescent="0.3">
      <c r="A2228" s="164"/>
      <c r="B2228" s="165"/>
      <c r="C2228" s="166"/>
      <c r="D2228" s="166"/>
      <c r="E2228" s="166"/>
      <c r="F2228" s="60">
        <f>ПЛАТЕЖИ[[#This Row],[СЎМ]]+(ПЛАТЕЖИ[[#This Row],[ВАЛЮТА]]*ПЛАТЕЖИ[[#This Row],[КУРС]])</f>
        <v>0</v>
      </c>
      <c r="G2228" s="165"/>
      <c r="H2228" s="165"/>
      <c r="I2228" s="165"/>
    </row>
    <row r="2229" spans="1:9" ht="15" customHeight="1" x14ac:dyDescent="0.3">
      <c r="A2229" s="164"/>
      <c r="B2229" s="165"/>
      <c r="C2229" s="166"/>
      <c r="D2229" s="166"/>
      <c r="E2229" s="166"/>
      <c r="F2229" s="60">
        <f>ПЛАТЕЖИ[[#This Row],[СЎМ]]+(ПЛАТЕЖИ[[#This Row],[ВАЛЮТА]]*ПЛАТЕЖИ[[#This Row],[КУРС]])</f>
        <v>0</v>
      </c>
      <c r="G2229" s="165"/>
      <c r="H2229" s="165"/>
      <c r="I2229" s="165"/>
    </row>
    <row r="2230" spans="1:9" ht="15" customHeight="1" x14ac:dyDescent="0.3">
      <c r="A2230" s="164"/>
      <c r="B2230" s="165"/>
      <c r="C2230" s="166"/>
      <c r="D2230" s="166"/>
      <c r="E2230" s="166"/>
      <c r="F2230" s="60">
        <f>ПЛАТЕЖИ[[#This Row],[СЎМ]]+(ПЛАТЕЖИ[[#This Row],[ВАЛЮТА]]*ПЛАТЕЖИ[[#This Row],[КУРС]])</f>
        <v>0</v>
      </c>
      <c r="G2230" s="165"/>
      <c r="H2230" s="165"/>
      <c r="I2230" s="165"/>
    </row>
    <row r="2231" spans="1:9" ht="15" customHeight="1" x14ac:dyDescent="0.3">
      <c r="A2231" s="164"/>
      <c r="B2231" s="165"/>
      <c r="C2231" s="166"/>
      <c r="D2231" s="166"/>
      <c r="E2231" s="166"/>
      <c r="F2231" s="60">
        <f>ПЛАТЕЖИ[[#This Row],[СЎМ]]+(ПЛАТЕЖИ[[#This Row],[ВАЛЮТА]]*ПЛАТЕЖИ[[#This Row],[КУРС]])</f>
        <v>0</v>
      </c>
      <c r="G2231" s="165"/>
      <c r="H2231" s="165"/>
      <c r="I2231" s="165"/>
    </row>
    <row r="2232" spans="1:9" ht="15" customHeight="1" x14ac:dyDescent="0.3">
      <c r="A2232" s="164"/>
      <c r="B2232" s="165"/>
      <c r="C2232" s="166"/>
      <c r="D2232" s="166"/>
      <c r="E2232" s="166"/>
      <c r="F2232" s="60">
        <f>ПЛАТЕЖИ[[#This Row],[СЎМ]]+(ПЛАТЕЖИ[[#This Row],[ВАЛЮТА]]*ПЛАТЕЖИ[[#This Row],[КУРС]])</f>
        <v>0</v>
      </c>
      <c r="G2232" s="165"/>
      <c r="H2232" s="165"/>
      <c r="I2232" s="165"/>
    </row>
    <row r="2233" spans="1:9" ht="15" customHeight="1" x14ac:dyDescent="0.3">
      <c r="A2233" s="164"/>
      <c r="B2233" s="165"/>
      <c r="C2233" s="166"/>
      <c r="D2233" s="166"/>
      <c r="E2233" s="166"/>
      <c r="F2233" s="60">
        <f>ПЛАТЕЖИ[[#This Row],[СЎМ]]+(ПЛАТЕЖИ[[#This Row],[ВАЛЮТА]]*ПЛАТЕЖИ[[#This Row],[КУРС]])</f>
        <v>0</v>
      </c>
      <c r="G2233" s="165"/>
      <c r="H2233" s="165"/>
      <c r="I2233" s="165"/>
    </row>
    <row r="2234" spans="1:9" ht="15" customHeight="1" x14ac:dyDescent="0.3">
      <c r="A2234" s="164"/>
      <c r="B2234" s="165"/>
      <c r="C2234" s="166"/>
      <c r="D2234" s="166"/>
      <c r="E2234" s="166"/>
      <c r="F2234" s="60">
        <f>ПЛАТЕЖИ[[#This Row],[СЎМ]]+(ПЛАТЕЖИ[[#This Row],[ВАЛЮТА]]*ПЛАТЕЖИ[[#This Row],[КУРС]])</f>
        <v>0</v>
      </c>
      <c r="G2234" s="165"/>
      <c r="H2234" s="165"/>
      <c r="I2234" s="165"/>
    </row>
    <row r="2235" spans="1:9" ht="15" customHeight="1" x14ac:dyDescent="0.3">
      <c r="A2235" s="164"/>
      <c r="B2235" s="165"/>
      <c r="C2235" s="166"/>
      <c r="D2235" s="166"/>
      <c r="E2235" s="166"/>
      <c r="F2235" s="60">
        <f>ПЛАТЕЖИ[[#This Row],[СЎМ]]+(ПЛАТЕЖИ[[#This Row],[ВАЛЮТА]]*ПЛАТЕЖИ[[#This Row],[КУРС]])</f>
        <v>0</v>
      </c>
      <c r="G2235" s="165"/>
      <c r="H2235" s="165"/>
      <c r="I2235" s="165"/>
    </row>
    <row r="2236" spans="1:9" ht="15" customHeight="1" x14ac:dyDescent="0.3">
      <c r="A2236" s="164"/>
      <c r="B2236" s="165"/>
      <c r="C2236" s="166"/>
      <c r="D2236" s="166"/>
      <c r="E2236" s="166"/>
      <c r="F2236" s="60">
        <f>ПЛАТЕЖИ[[#This Row],[СЎМ]]+(ПЛАТЕЖИ[[#This Row],[ВАЛЮТА]]*ПЛАТЕЖИ[[#This Row],[КУРС]])</f>
        <v>0</v>
      </c>
      <c r="G2236" s="165"/>
      <c r="H2236" s="165"/>
      <c r="I2236" s="165"/>
    </row>
    <row r="2237" spans="1:9" ht="15" customHeight="1" x14ac:dyDescent="0.3">
      <c r="A2237" s="164"/>
      <c r="B2237" s="165"/>
      <c r="C2237" s="166"/>
      <c r="D2237" s="166"/>
      <c r="E2237" s="166"/>
      <c r="F2237" s="60">
        <f>ПЛАТЕЖИ[[#This Row],[СЎМ]]+(ПЛАТЕЖИ[[#This Row],[ВАЛЮТА]]*ПЛАТЕЖИ[[#This Row],[КУРС]])</f>
        <v>0</v>
      </c>
      <c r="G2237" s="165"/>
      <c r="H2237" s="165"/>
      <c r="I2237" s="165"/>
    </row>
    <row r="2238" spans="1:9" ht="15" customHeight="1" x14ac:dyDescent="0.3">
      <c r="A2238" s="164"/>
      <c r="B2238" s="165"/>
      <c r="C2238" s="166"/>
      <c r="D2238" s="166"/>
      <c r="E2238" s="166"/>
      <c r="F2238" s="60">
        <f>ПЛАТЕЖИ[[#This Row],[СЎМ]]+(ПЛАТЕЖИ[[#This Row],[ВАЛЮТА]]*ПЛАТЕЖИ[[#This Row],[КУРС]])</f>
        <v>0</v>
      </c>
      <c r="G2238" s="165"/>
      <c r="H2238" s="165"/>
      <c r="I2238" s="165"/>
    </row>
    <row r="2239" spans="1:9" ht="15" customHeight="1" x14ac:dyDescent="0.3">
      <c r="A2239" s="164"/>
      <c r="B2239" s="165"/>
      <c r="C2239" s="166"/>
      <c r="D2239" s="166"/>
      <c r="E2239" s="166"/>
      <c r="F2239" s="60">
        <f>ПЛАТЕЖИ[[#This Row],[СЎМ]]+(ПЛАТЕЖИ[[#This Row],[ВАЛЮТА]]*ПЛАТЕЖИ[[#This Row],[КУРС]])</f>
        <v>0</v>
      </c>
      <c r="G2239" s="165"/>
      <c r="H2239" s="165"/>
      <c r="I2239" s="165"/>
    </row>
    <row r="2240" spans="1:9" ht="15" customHeight="1" x14ac:dyDescent="0.3">
      <c r="A2240" s="164"/>
      <c r="B2240" s="165"/>
      <c r="C2240" s="166"/>
      <c r="D2240" s="166"/>
      <c r="E2240" s="166"/>
      <c r="F2240" s="60">
        <f>ПЛАТЕЖИ[[#This Row],[СЎМ]]+(ПЛАТЕЖИ[[#This Row],[ВАЛЮТА]]*ПЛАТЕЖИ[[#This Row],[КУРС]])</f>
        <v>0</v>
      </c>
      <c r="G2240" s="165"/>
      <c r="H2240" s="165"/>
      <c r="I2240" s="165"/>
    </row>
    <row r="2241" spans="1:9" ht="15" customHeight="1" x14ac:dyDescent="0.3">
      <c r="A2241" s="164"/>
      <c r="B2241" s="165"/>
      <c r="C2241" s="166"/>
      <c r="D2241" s="166"/>
      <c r="E2241" s="166"/>
      <c r="F2241" s="60">
        <f>ПЛАТЕЖИ[[#This Row],[СЎМ]]+(ПЛАТЕЖИ[[#This Row],[ВАЛЮТА]]*ПЛАТЕЖИ[[#This Row],[КУРС]])</f>
        <v>0</v>
      </c>
      <c r="G2241" s="165"/>
      <c r="H2241" s="165"/>
      <c r="I2241" s="165"/>
    </row>
    <row r="2242" spans="1:9" ht="15" customHeight="1" x14ac:dyDescent="0.3">
      <c r="A2242" s="164"/>
      <c r="B2242" s="165"/>
      <c r="C2242" s="166"/>
      <c r="D2242" s="166"/>
      <c r="E2242" s="166"/>
      <c r="F2242" s="60">
        <f>ПЛАТЕЖИ[[#This Row],[СЎМ]]+(ПЛАТЕЖИ[[#This Row],[ВАЛЮТА]]*ПЛАТЕЖИ[[#This Row],[КУРС]])</f>
        <v>0</v>
      </c>
      <c r="G2242" s="165"/>
      <c r="H2242" s="165"/>
      <c r="I2242" s="165"/>
    </row>
    <row r="2243" spans="1:9" ht="15" customHeight="1" x14ac:dyDescent="0.3">
      <c r="A2243" s="164"/>
      <c r="B2243" s="165"/>
      <c r="C2243" s="166"/>
      <c r="D2243" s="166"/>
      <c r="E2243" s="166"/>
      <c r="F2243" s="60">
        <f>ПЛАТЕЖИ[[#This Row],[СЎМ]]+(ПЛАТЕЖИ[[#This Row],[ВАЛЮТА]]*ПЛАТЕЖИ[[#This Row],[КУРС]])</f>
        <v>0</v>
      </c>
      <c r="G2243" s="165"/>
      <c r="H2243" s="165"/>
      <c r="I2243" s="165"/>
    </row>
    <row r="2244" spans="1:9" ht="15" customHeight="1" x14ac:dyDescent="0.3">
      <c r="A2244" s="164"/>
      <c r="B2244" s="165"/>
      <c r="C2244" s="166"/>
      <c r="D2244" s="166"/>
      <c r="E2244" s="166"/>
      <c r="F2244" s="60">
        <f>ПЛАТЕЖИ[[#This Row],[СЎМ]]+(ПЛАТЕЖИ[[#This Row],[ВАЛЮТА]]*ПЛАТЕЖИ[[#This Row],[КУРС]])</f>
        <v>0</v>
      </c>
      <c r="G2244" s="165"/>
      <c r="H2244" s="165"/>
      <c r="I2244" s="165"/>
    </row>
    <row r="2245" spans="1:9" ht="15" customHeight="1" x14ac:dyDescent="0.3">
      <c r="A2245" s="164"/>
      <c r="B2245" s="165"/>
      <c r="C2245" s="166"/>
      <c r="D2245" s="166"/>
      <c r="E2245" s="166"/>
      <c r="F2245" s="60">
        <f>ПЛАТЕЖИ[[#This Row],[СЎМ]]+(ПЛАТЕЖИ[[#This Row],[ВАЛЮТА]]*ПЛАТЕЖИ[[#This Row],[КУРС]])</f>
        <v>0</v>
      </c>
      <c r="G2245" s="165"/>
      <c r="H2245" s="165"/>
      <c r="I2245" s="165"/>
    </row>
    <row r="2246" spans="1:9" ht="15" customHeight="1" x14ac:dyDescent="0.3">
      <c r="A2246" s="164"/>
      <c r="B2246" s="165"/>
      <c r="C2246" s="166"/>
      <c r="D2246" s="166"/>
      <c r="E2246" s="166"/>
      <c r="F2246" s="60">
        <f>ПЛАТЕЖИ[[#This Row],[СЎМ]]+(ПЛАТЕЖИ[[#This Row],[ВАЛЮТА]]*ПЛАТЕЖИ[[#This Row],[КУРС]])</f>
        <v>0</v>
      </c>
      <c r="G2246" s="165"/>
      <c r="H2246" s="165"/>
      <c r="I2246" s="165"/>
    </row>
    <row r="2247" spans="1:9" ht="15" customHeight="1" x14ac:dyDescent="0.3">
      <c r="A2247" s="164"/>
      <c r="B2247" s="165"/>
      <c r="C2247" s="166"/>
      <c r="D2247" s="166"/>
      <c r="E2247" s="166"/>
      <c r="F2247" s="60">
        <f>ПЛАТЕЖИ[[#This Row],[СЎМ]]+(ПЛАТЕЖИ[[#This Row],[ВАЛЮТА]]*ПЛАТЕЖИ[[#This Row],[КУРС]])</f>
        <v>0</v>
      </c>
      <c r="G2247" s="165"/>
      <c r="H2247" s="165"/>
      <c r="I2247" s="165"/>
    </row>
    <row r="2248" spans="1:9" ht="15" customHeight="1" x14ac:dyDescent="0.3">
      <c r="A2248" s="164"/>
      <c r="B2248" s="165"/>
      <c r="C2248" s="166"/>
      <c r="D2248" s="166"/>
      <c r="E2248" s="166"/>
      <c r="F2248" s="60">
        <f>ПЛАТЕЖИ[[#This Row],[СЎМ]]+(ПЛАТЕЖИ[[#This Row],[ВАЛЮТА]]*ПЛАТЕЖИ[[#This Row],[КУРС]])</f>
        <v>0</v>
      </c>
      <c r="G2248" s="165"/>
      <c r="H2248" s="165"/>
      <c r="I2248" s="165"/>
    </row>
    <row r="2249" spans="1:9" ht="15" customHeight="1" x14ac:dyDescent="0.3">
      <c r="A2249" s="164"/>
      <c r="B2249" s="165"/>
      <c r="C2249" s="166"/>
      <c r="D2249" s="166"/>
      <c r="E2249" s="166"/>
      <c r="F2249" s="60">
        <f>ПЛАТЕЖИ[[#This Row],[СЎМ]]+(ПЛАТЕЖИ[[#This Row],[ВАЛЮТА]]*ПЛАТЕЖИ[[#This Row],[КУРС]])</f>
        <v>0</v>
      </c>
      <c r="G2249" s="165"/>
      <c r="H2249" s="165"/>
      <c r="I2249" s="165"/>
    </row>
    <row r="2250" spans="1:9" ht="15" customHeight="1" x14ac:dyDescent="0.3">
      <c r="A2250" s="164"/>
      <c r="B2250" s="165"/>
      <c r="C2250" s="166"/>
      <c r="D2250" s="166"/>
      <c r="E2250" s="166"/>
      <c r="F2250" s="60">
        <f>ПЛАТЕЖИ[[#This Row],[СЎМ]]+(ПЛАТЕЖИ[[#This Row],[ВАЛЮТА]]*ПЛАТЕЖИ[[#This Row],[КУРС]])</f>
        <v>0</v>
      </c>
      <c r="G2250" s="165"/>
      <c r="H2250" s="165"/>
      <c r="I2250" s="165"/>
    </row>
    <row r="2251" spans="1:9" ht="15" customHeight="1" x14ac:dyDescent="0.3">
      <c r="A2251" s="164"/>
      <c r="B2251" s="165"/>
      <c r="C2251" s="166"/>
      <c r="D2251" s="166"/>
      <c r="E2251" s="166"/>
      <c r="F2251" s="60">
        <f>ПЛАТЕЖИ[[#This Row],[СЎМ]]+(ПЛАТЕЖИ[[#This Row],[ВАЛЮТА]]*ПЛАТЕЖИ[[#This Row],[КУРС]])</f>
        <v>0</v>
      </c>
      <c r="G2251" s="165"/>
      <c r="H2251" s="165"/>
      <c r="I2251" s="165"/>
    </row>
    <row r="2252" spans="1:9" ht="15" customHeight="1" x14ac:dyDescent="0.3">
      <c r="A2252" s="164"/>
      <c r="B2252" s="165"/>
      <c r="C2252" s="166"/>
      <c r="D2252" s="166"/>
      <c r="E2252" s="166"/>
      <c r="F2252" s="60">
        <f>ПЛАТЕЖИ[[#This Row],[СЎМ]]+(ПЛАТЕЖИ[[#This Row],[ВАЛЮТА]]*ПЛАТЕЖИ[[#This Row],[КУРС]])</f>
        <v>0</v>
      </c>
      <c r="G2252" s="165"/>
      <c r="H2252" s="165"/>
      <c r="I2252" s="165"/>
    </row>
    <row r="2253" spans="1:9" ht="15" customHeight="1" x14ac:dyDescent="0.3">
      <c r="A2253" s="164"/>
      <c r="B2253" s="165"/>
      <c r="C2253" s="166"/>
      <c r="D2253" s="166"/>
      <c r="E2253" s="166"/>
      <c r="F2253" s="60">
        <f>ПЛАТЕЖИ[[#This Row],[СЎМ]]+(ПЛАТЕЖИ[[#This Row],[ВАЛЮТА]]*ПЛАТЕЖИ[[#This Row],[КУРС]])</f>
        <v>0</v>
      </c>
      <c r="G2253" s="165"/>
      <c r="H2253" s="165"/>
      <c r="I2253" s="165"/>
    </row>
    <row r="2254" spans="1:9" ht="15" customHeight="1" x14ac:dyDescent="0.3">
      <c r="A2254" s="164"/>
      <c r="B2254" s="165"/>
      <c r="C2254" s="166"/>
      <c r="D2254" s="166"/>
      <c r="E2254" s="166"/>
      <c r="F2254" s="60">
        <f>ПЛАТЕЖИ[[#This Row],[СЎМ]]+(ПЛАТЕЖИ[[#This Row],[ВАЛЮТА]]*ПЛАТЕЖИ[[#This Row],[КУРС]])</f>
        <v>0</v>
      </c>
      <c r="G2254" s="165"/>
      <c r="H2254" s="165"/>
      <c r="I2254" s="165"/>
    </row>
    <row r="2255" spans="1:9" ht="15" customHeight="1" x14ac:dyDescent="0.3">
      <c r="A2255" s="164"/>
      <c r="B2255" s="165"/>
      <c r="C2255" s="166"/>
      <c r="D2255" s="166"/>
      <c r="E2255" s="166"/>
      <c r="F2255" s="60">
        <f>ПЛАТЕЖИ[[#This Row],[СЎМ]]+(ПЛАТЕЖИ[[#This Row],[ВАЛЮТА]]*ПЛАТЕЖИ[[#This Row],[КУРС]])</f>
        <v>0</v>
      </c>
      <c r="G2255" s="165"/>
      <c r="H2255" s="165"/>
      <c r="I2255" s="165"/>
    </row>
    <row r="2256" spans="1:9" ht="15" customHeight="1" x14ac:dyDescent="0.3">
      <c r="A2256" s="164"/>
      <c r="B2256" s="165"/>
      <c r="C2256" s="166"/>
      <c r="D2256" s="166"/>
      <c r="E2256" s="166"/>
      <c r="F2256" s="60">
        <f>ПЛАТЕЖИ[[#This Row],[СЎМ]]+(ПЛАТЕЖИ[[#This Row],[ВАЛЮТА]]*ПЛАТЕЖИ[[#This Row],[КУРС]])</f>
        <v>0</v>
      </c>
      <c r="G2256" s="165"/>
      <c r="H2256" s="165"/>
      <c r="I2256" s="165"/>
    </row>
    <row r="2257" spans="1:9" ht="15" customHeight="1" x14ac:dyDescent="0.3">
      <c r="A2257" s="164"/>
      <c r="B2257" s="165"/>
      <c r="C2257" s="166"/>
      <c r="D2257" s="166"/>
      <c r="E2257" s="166"/>
      <c r="F2257" s="60">
        <f>ПЛАТЕЖИ[[#This Row],[СЎМ]]+(ПЛАТЕЖИ[[#This Row],[ВАЛЮТА]]*ПЛАТЕЖИ[[#This Row],[КУРС]])</f>
        <v>0</v>
      </c>
      <c r="G2257" s="165"/>
      <c r="H2257" s="165"/>
      <c r="I2257" s="165"/>
    </row>
    <row r="2258" spans="1:9" ht="15" customHeight="1" x14ac:dyDescent="0.3">
      <c r="A2258" s="164"/>
      <c r="B2258" s="165"/>
      <c r="C2258" s="166"/>
      <c r="D2258" s="166"/>
      <c r="E2258" s="166"/>
      <c r="F2258" s="60">
        <f>ПЛАТЕЖИ[[#This Row],[СЎМ]]+(ПЛАТЕЖИ[[#This Row],[ВАЛЮТА]]*ПЛАТЕЖИ[[#This Row],[КУРС]])</f>
        <v>0</v>
      </c>
      <c r="G2258" s="165"/>
      <c r="H2258" s="165"/>
      <c r="I2258" s="165"/>
    </row>
    <row r="2259" spans="1:9" ht="15" customHeight="1" x14ac:dyDescent="0.3">
      <c r="A2259" s="164"/>
      <c r="B2259" s="165"/>
      <c r="C2259" s="166"/>
      <c r="D2259" s="166"/>
      <c r="E2259" s="166"/>
      <c r="F2259" s="60">
        <f>ПЛАТЕЖИ[[#This Row],[СЎМ]]+(ПЛАТЕЖИ[[#This Row],[ВАЛЮТА]]*ПЛАТЕЖИ[[#This Row],[КУРС]])</f>
        <v>0</v>
      </c>
      <c r="G2259" s="165"/>
      <c r="H2259" s="165"/>
      <c r="I2259" s="165"/>
    </row>
    <row r="2260" spans="1:9" ht="15" customHeight="1" x14ac:dyDescent="0.3">
      <c r="A2260" s="164"/>
      <c r="B2260" s="165"/>
      <c r="C2260" s="166"/>
      <c r="D2260" s="166"/>
      <c r="E2260" s="166"/>
      <c r="F2260" s="60">
        <f>ПЛАТЕЖИ[[#This Row],[СЎМ]]+(ПЛАТЕЖИ[[#This Row],[ВАЛЮТА]]*ПЛАТЕЖИ[[#This Row],[КУРС]])</f>
        <v>0</v>
      </c>
      <c r="G2260" s="165"/>
      <c r="H2260" s="165"/>
      <c r="I2260" s="165"/>
    </row>
    <row r="2261" spans="1:9" ht="15" customHeight="1" x14ac:dyDescent="0.3">
      <c r="A2261" s="164"/>
      <c r="B2261" s="165"/>
      <c r="C2261" s="166"/>
      <c r="D2261" s="166"/>
      <c r="E2261" s="166"/>
      <c r="F2261" s="60">
        <f>ПЛАТЕЖИ[[#This Row],[СЎМ]]+(ПЛАТЕЖИ[[#This Row],[ВАЛЮТА]]*ПЛАТЕЖИ[[#This Row],[КУРС]])</f>
        <v>0</v>
      </c>
      <c r="G2261" s="165"/>
      <c r="H2261" s="165"/>
      <c r="I2261" s="165"/>
    </row>
    <row r="2262" spans="1:9" ht="15" customHeight="1" x14ac:dyDescent="0.3">
      <c r="A2262" s="164"/>
      <c r="B2262" s="165"/>
      <c r="C2262" s="166"/>
      <c r="D2262" s="166"/>
      <c r="E2262" s="166"/>
      <c r="F2262" s="60">
        <f>ПЛАТЕЖИ[[#This Row],[СЎМ]]+(ПЛАТЕЖИ[[#This Row],[ВАЛЮТА]]*ПЛАТЕЖИ[[#This Row],[КУРС]])</f>
        <v>0</v>
      </c>
      <c r="G2262" s="165"/>
      <c r="H2262" s="165"/>
      <c r="I2262" s="165"/>
    </row>
    <row r="2263" spans="1:9" ht="15" customHeight="1" x14ac:dyDescent="0.3">
      <c r="A2263" s="164"/>
      <c r="B2263" s="165"/>
      <c r="C2263" s="166"/>
      <c r="D2263" s="166"/>
      <c r="E2263" s="166"/>
      <c r="F2263" s="60">
        <f>ПЛАТЕЖИ[[#This Row],[СЎМ]]+(ПЛАТЕЖИ[[#This Row],[ВАЛЮТА]]*ПЛАТЕЖИ[[#This Row],[КУРС]])</f>
        <v>0</v>
      </c>
      <c r="G2263" s="165"/>
      <c r="H2263" s="165"/>
      <c r="I2263" s="165"/>
    </row>
    <row r="2264" spans="1:9" ht="15" customHeight="1" x14ac:dyDescent="0.3">
      <c r="A2264" s="164"/>
      <c r="B2264" s="165"/>
      <c r="C2264" s="166"/>
      <c r="D2264" s="166"/>
      <c r="E2264" s="166"/>
      <c r="F2264" s="60">
        <f>ПЛАТЕЖИ[[#This Row],[СЎМ]]+(ПЛАТЕЖИ[[#This Row],[ВАЛЮТА]]*ПЛАТЕЖИ[[#This Row],[КУРС]])</f>
        <v>0</v>
      </c>
      <c r="G2264" s="165"/>
      <c r="H2264" s="165"/>
      <c r="I2264" s="165"/>
    </row>
    <row r="2265" spans="1:9" ht="15" customHeight="1" x14ac:dyDescent="0.3">
      <c r="A2265" s="164"/>
      <c r="B2265" s="165"/>
      <c r="C2265" s="166"/>
      <c r="D2265" s="166"/>
      <c r="E2265" s="166"/>
      <c r="F2265" s="60">
        <f>ПЛАТЕЖИ[[#This Row],[СЎМ]]+(ПЛАТЕЖИ[[#This Row],[ВАЛЮТА]]*ПЛАТЕЖИ[[#This Row],[КУРС]])</f>
        <v>0</v>
      </c>
      <c r="G2265" s="165"/>
      <c r="H2265" s="165"/>
      <c r="I2265" s="165"/>
    </row>
    <row r="2266" spans="1:9" ht="15" customHeight="1" x14ac:dyDescent="0.3">
      <c r="A2266" s="164"/>
      <c r="B2266" s="165"/>
      <c r="C2266" s="166"/>
      <c r="D2266" s="166"/>
      <c r="E2266" s="166"/>
      <c r="F2266" s="60">
        <f>ПЛАТЕЖИ[[#This Row],[СЎМ]]+(ПЛАТЕЖИ[[#This Row],[ВАЛЮТА]]*ПЛАТЕЖИ[[#This Row],[КУРС]])</f>
        <v>0</v>
      </c>
      <c r="G2266" s="165"/>
      <c r="H2266" s="165"/>
      <c r="I2266" s="165"/>
    </row>
    <row r="2267" spans="1:9" ht="15" customHeight="1" x14ac:dyDescent="0.3">
      <c r="A2267" s="164"/>
      <c r="B2267" s="165"/>
      <c r="C2267" s="166"/>
      <c r="D2267" s="166"/>
      <c r="E2267" s="166"/>
      <c r="F2267" s="60">
        <f>ПЛАТЕЖИ[[#This Row],[СЎМ]]+(ПЛАТЕЖИ[[#This Row],[ВАЛЮТА]]*ПЛАТЕЖИ[[#This Row],[КУРС]])</f>
        <v>0</v>
      </c>
      <c r="G2267" s="165"/>
      <c r="H2267" s="165"/>
      <c r="I2267" s="165"/>
    </row>
    <row r="2268" spans="1:9" ht="15" customHeight="1" x14ac:dyDescent="0.3">
      <c r="A2268" s="164"/>
      <c r="B2268" s="165"/>
      <c r="C2268" s="166"/>
      <c r="D2268" s="166"/>
      <c r="E2268" s="166"/>
      <c r="F2268" s="60">
        <f>ПЛАТЕЖИ[[#This Row],[СЎМ]]+(ПЛАТЕЖИ[[#This Row],[ВАЛЮТА]]*ПЛАТЕЖИ[[#This Row],[КУРС]])</f>
        <v>0</v>
      </c>
      <c r="G2268" s="165"/>
      <c r="H2268" s="165"/>
      <c r="I2268" s="165"/>
    </row>
    <row r="2269" spans="1:9" ht="15" customHeight="1" x14ac:dyDescent="0.3">
      <c r="A2269" s="164"/>
      <c r="B2269" s="165"/>
      <c r="C2269" s="166"/>
      <c r="D2269" s="166"/>
      <c r="E2269" s="166"/>
      <c r="F2269" s="60">
        <f>ПЛАТЕЖИ[[#This Row],[СЎМ]]+(ПЛАТЕЖИ[[#This Row],[ВАЛЮТА]]*ПЛАТЕЖИ[[#This Row],[КУРС]])</f>
        <v>0</v>
      </c>
      <c r="G2269" s="165"/>
      <c r="H2269" s="165"/>
      <c r="I2269" s="165"/>
    </row>
    <row r="2270" spans="1:9" ht="15" customHeight="1" x14ac:dyDescent="0.3">
      <c r="A2270" s="164"/>
      <c r="B2270" s="165"/>
      <c r="C2270" s="166"/>
      <c r="D2270" s="166"/>
      <c r="E2270" s="166"/>
      <c r="F2270" s="60">
        <f>ПЛАТЕЖИ[[#This Row],[СЎМ]]+(ПЛАТЕЖИ[[#This Row],[ВАЛЮТА]]*ПЛАТЕЖИ[[#This Row],[КУРС]])</f>
        <v>0</v>
      </c>
      <c r="G2270" s="165"/>
      <c r="H2270" s="165"/>
      <c r="I2270" s="165"/>
    </row>
    <row r="2271" spans="1:9" ht="15" customHeight="1" x14ac:dyDescent="0.3">
      <c r="A2271" s="164"/>
      <c r="B2271" s="165"/>
      <c r="C2271" s="166"/>
      <c r="D2271" s="166"/>
      <c r="E2271" s="166"/>
      <c r="F2271" s="60">
        <f>ПЛАТЕЖИ[[#This Row],[СЎМ]]+(ПЛАТЕЖИ[[#This Row],[ВАЛЮТА]]*ПЛАТЕЖИ[[#This Row],[КУРС]])</f>
        <v>0</v>
      </c>
      <c r="G2271" s="165"/>
      <c r="H2271" s="165"/>
      <c r="I2271" s="165"/>
    </row>
    <row r="2272" spans="1:9" ht="15" customHeight="1" x14ac:dyDescent="0.3">
      <c r="A2272" s="164"/>
      <c r="B2272" s="165"/>
      <c r="C2272" s="166"/>
      <c r="D2272" s="166"/>
      <c r="E2272" s="166"/>
      <c r="F2272" s="60">
        <f>ПЛАТЕЖИ[[#This Row],[СЎМ]]+(ПЛАТЕЖИ[[#This Row],[ВАЛЮТА]]*ПЛАТЕЖИ[[#This Row],[КУРС]])</f>
        <v>0</v>
      </c>
      <c r="G2272" s="165"/>
      <c r="H2272" s="165"/>
      <c r="I2272" s="165"/>
    </row>
    <row r="2273" spans="1:9" ht="15" customHeight="1" x14ac:dyDescent="0.3">
      <c r="A2273" s="164"/>
      <c r="B2273" s="165"/>
      <c r="C2273" s="166"/>
      <c r="D2273" s="166"/>
      <c r="E2273" s="166"/>
      <c r="F2273" s="60">
        <f>ПЛАТЕЖИ[[#This Row],[СЎМ]]+(ПЛАТЕЖИ[[#This Row],[ВАЛЮТА]]*ПЛАТЕЖИ[[#This Row],[КУРС]])</f>
        <v>0</v>
      </c>
      <c r="G2273" s="165"/>
      <c r="H2273" s="165"/>
      <c r="I2273" s="165"/>
    </row>
    <row r="2274" spans="1:9" ht="15" customHeight="1" x14ac:dyDescent="0.3">
      <c r="A2274" s="164"/>
      <c r="B2274" s="165"/>
      <c r="C2274" s="166"/>
      <c r="D2274" s="166"/>
      <c r="E2274" s="166"/>
      <c r="F2274" s="60">
        <f>ПЛАТЕЖИ[[#This Row],[СЎМ]]+(ПЛАТЕЖИ[[#This Row],[ВАЛЮТА]]*ПЛАТЕЖИ[[#This Row],[КУРС]])</f>
        <v>0</v>
      </c>
      <c r="G2274" s="165"/>
      <c r="H2274" s="165"/>
      <c r="I2274" s="165"/>
    </row>
    <row r="2275" spans="1:9" ht="15" customHeight="1" x14ac:dyDescent="0.3">
      <c r="A2275" s="164"/>
      <c r="B2275" s="165"/>
      <c r="C2275" s="166"/>
      <c r="D2275" s="166"/>
      <c r="E2275" s="166"/>
      <c r="F2275" s="60">
        <f>ПЛАТЕЖИ[[#This Row],[СЎМ]]+(ПЛАТЕЖИ[[#This Row],[ВАЛЮТА]]*ПЛАТЕЖИ[[#This Row],[КУРС]])</f>
        <v>0</v>
      </c>
      <c r="G2275" s="165"/>
      <c r="H2275" s="165"/>
      <c r="I2275" s="165"/>
    </row>
    <row r="2276" spans="1:9" ht="15" customHeight="1" x14ac:dyDescent="0.3">
      <c r="A2276" s="164"/>
      <c r="B2276" s="165"/>
      <c r="C2276" s="166"/>
      <c r="D2276" s="166"/>
      <c r="E2276" s="166"/>
      <c r="F2276" s="60">
        <f>ПЛАТЕЖИ[[#This Row],[СЎМ]]+(ПЛАТЕЖИ[[#This Row],[ВАЛЮТА]]*ПЛАТЕЖИ[[#This Row],[КУРС]])</f>
        <v>0</v>
      </c>
      <c r="G2276" s="165"/>
      <c r="H2276" s="165"/>
      <c r="I2276" s="165"/>
    </row>
    <row r="2277" spans="1:9" ht="15" customHeight="1" x14ac:dyDescent="0.3">
      <c r="A2277" s="164"/>
      <c r="B2277" s="165"/>
      <c r="C2277" s="166"/>
      <c r="D2277" s="166"/>
      <c r="E2277" s="166"/>
      <c r="F2277" s="60">
        <f>ПЛАТЕЖИ[[#This Row],[СЎМ]]+(ПЛАТЕЖИ[[#This Row],[ВАЛЮТА]]*ПЛАТЕЖИ[[#This Row],[КУРС]])</f>
        <v>0</v>
      </c>
      <c r="G2277" s="165"/>
      <c r="H2277" s="165"/>
      <c r="I2277" s="165"/>
    </row>
    <row r="2278" spans="1:9" ht="15" customHeight="1" x14ac:dyDescent="0.3">
      <c r="A2278" s="164"/>
      <c r="B2278" s="165"/>
      <c r="C2278" s="166"/>
      <c r="D2278" s="166"/>
      <c r="E2278" s="166"/>
      <c r="F2278" s="60">
        <f>ПЛАТЕЖИ[[#This Row],[СЎМ]]+(ПЛАТЕЖИ[[#This Row],[ВАЛЮТА]]*ПЛАТЕЖИ[[#This Row],[КУРС]])</f>
        <v>0</v>
      </c>
      <c r="G2278" s="165"/>
      <c r="H2278" s="165"/>
      <c r="I2278" s="165"/>
    </row>
    <row r="2279" spans="1:9" ht="15" customHeight="1" x14ac:dyDescent="0.3">
      <c r="A2279" s="164"/>
      <c r="B2279" s="165"/>
      <c r="C2279" s="166"/>
      <c r="D2279" s="166"/>
      <c r="E2279" s="166"/>
      <c r="F2279" s="60">
        <f>ПЛАТЕЖИ[[#This Row],[СЎМ]]+(ПЛАТЕЖИ[[#This Row],[ВАЛЮТА]]*ПЛАТЕЖИ[[#This Row],[КУРС]])</f>
        <v>0</v>
      </c>
      <c r="G2279" s="165"/>
      <c r="H2279" s="165"/>
      <c r="I2279" s="165"/>
    </row>
    <row r="2280" spans="1:9" ht="15" customHeight="1" x14ac:dyDescent="0.3">
      <c r="A2280" s="164"/>
      <c r="B2280" s="165"/>
      <c r="C2280" s="166"/>
      <c r="D2280" s="166"/>
      <c r="E2280" s="166"/>
      <c r="F2280" s="60">
        <f>ПЛАТЕЖИ[[#This Row],[СЎМ]]+(ПЛАТЕЖИ[[#This Row],[ВАЛЮТА]]*ПЛАТЕЖИ[[#This Row],[КУРС]])</f>
        <v>0</v>
      </c>
      <c r="G2280" s="165"/>
      <c r="H2280" s="165"/>
      <c r="I2280" s="165"/>
    </row>
    <row r="2281" spans="1:9" ht="15" customHeight="1" x14ac:dyDescent="0.3">
      <c r="A2281" s="164"/>
      <c r="B2281" s="165"/>
      <c r="C2281" s="166"/>
      <c r="D2281" s="166"/>
      <c r="E2281" s="166"/>
      <c r="F2281" s="60">
        <f>ПЛАТЕЖИ[[#This Row],[СЎМ]]+(ПЛАТЕЖИ[[#This Row],[ВАЛЮТА]]*ПЛАТЕЖИ[[#This Row],[КУРС]])</f>
        <v>0</v>
      </c>
      <c r="G2281" s="165"/>
      <c r="I2281" s="165"/>
    </row>
    <row r="2282" spans="1:9" ht="15" customHeight="1" x14ac:dyDescent="0.3">
      <c r="A2282" s="164"/>
      <c r="B2282" s="165"/>
      <c r="C2282" s="166"/>
      <c r="D2282" s="166"/>
      <c r="E2282" s="166"/>
      <c r="F2282" s="60">
        <f>ПЛАТЕЖИ[[#This Row],[СЎМ]]+(ПЛАТЕЖИ[[#This Row],[ВАЛЮТА]]*ПЛАТЕЖИ[[#This Row],[КУРС]])</f>
        <v>0</v>
      </c>
      <c r="G2282" s="165"/>
      <c r="H2282" s="165"/>
      <c r="I2282" s="165"/>
    </row>
    <row r="2283" spans="1:9" ht="15" customHeight="1" x14ac:dyDescent="0.3">
      <c r="A2283" s="164"/>
      <c r="B2283" s="165"/>
      <c r="C2283" s="166"/>
      <c r="D2283" s="166"/>
      <c r="E2283" s="166"/>
      <c r="F2283" s="60">
        <f>ПЛАТЕЖИ[[#This Row],[СЎМ]]+(ПЛАТЕЖИ[[#This Row],[ВАЛЮТА]]*ПЛАТЕЖИ[[#This Row],[КУРС]])</f>
        <v>0</v>
      </c>
      <c r="G2283" s="165"/>
      <c r="H2283" s="165"/>
      <c r="I2283" s="165"/>
    </row>
    <row r="2284" spans="1:9" ht="15" customHeight="1" x14ac:dyDescent="0.3">
      <c r="A2284" s="164"/>
      <c r="B2284" s="165"/>
      <c r="C2284" s="166"/>
      <c r="D2284" s="166"/>
      <c r="E2284" s="166"/>
      <c r="F2284" s="60">
        <f>ПЛАТЕЖИ[[#This Row],[СЎМ]]+(ПЛАТЕЖИ[[#This Row],[ВАЛЮТА]]*ПЛАТЕЖИ[[#This Row],[КУРС]])</f>
        <v>0</v>
      </c>
      <c r="G2284" s="165"/>
      <c r="I2284" s="165"/>
    </row>
    <row r="2285" spans="1:9" ht="15" customHeight="1" x14ac:dyDescent="0.3">
      <c r="A2285" s="164"/>
      <c r="B2285" s="165"/>
      <c r="C2285" s="166"/>
      <c r="D2285" s="166"/>
      <c r="E2285" s="166"/>
      <c r="F2285" s="60">
        <f>ПЛАТЕЖИ[[#This Row],[СЎМ]]+(ПЛАТЕЖИ[[#This Row],[ВАЛЮТА]]*ПЛАТЕЖИ[[#This Row],[КУРС]])</f>
        <v>0</v>
      </c>
      <c r="G2285" s="165"/>
      <c r="I2285" s="165"/>
    </row>
    <row r="2286" spans="1:9" ht="15" customHeight="1" x14ac:dyDescent="0.3">
      <c r="A2286" s="164"/>
      <c r="B2286" s="165"/>
      <c r="C2286" s="166"/>
      <c r="D2286" s="166"/>
      <c r="E2286" s="166"/>
      <c r="F2286" s="60">
        <f>ПЛАТЕЖИ[[#This Row],[СЎМ]]+(ПЛАТЕЖИ[[#This Row],[ВАЛЮТА]]*ПЛАТЕЖИ[[#This Row],[КУРС]])</f>
        <v>0</v>
      </c>
      <c r="G2286" s="165"/>
      <c r="I2286" s="165"/>
    </row>
    <row r="2287" spans="1:9" ht="15" customHeight="1" x14ac:dyDescent="0.3">
      <c r="A2287" s="164"/>
      <c r="B2287" s="165"/>
      <c r="C2287" s="166"/>
      <c r="D2287" s="166"/>
      <c r="E2287" s="166"/>
      <c r="F2287" s="60">
        <f>ПЛАТЕЖИ[[#This Row],[СЎМ]]+(ПЛАТЕЖИ[[#This Row],[ВАЛЮТА]]*ПЛАТЕЖИ[[#This Row],[КУРС]])</f>
        <v>0</v>
      </c>
      <c r="G2287" s="165"/>
      <c r="H2287" s="165"/>
      <c r="I2287" s="165"/>
    </row>
    <row r="2288" spans="1:9" ht="15" customHeight="1" x14ac:dyDescent="0.3">
      <c r="A2288" s="164"/>
      <c r="B2288" s="165"/>
      <c r="C2288" s="166"/>
      <c r="D2288" s="166"/>
      <c r="E2288" s="166"/>
      <c r="F2288" s="60">
        <f>ПЛАТЕЖИ[[#This Row],[СЎМ]]+(ПЛАТЕЖИ[[#This Row],[ВАЛЮТА]]*ПЛАТЕЖИ[[#This Row],[КУРС]])</f>
        <v>0</v>
      </c>
      <c r="G2288" s="165"/>
      <c r="H2288" s="165"/>
      <c r="I2288" s="165"/>
    </row>
    <row r="2289" spans="1:9" ht="15" customHeight="1" x14ac:dyDescent="0.3">
      <c r="A2289" s="164"/>
      <c r="B2289" s="165"/>
      <c r="C2289" s="166"/>
      <c r="D2289" s="166"/>
      <c r="E2289" s="166"/>
      <c r="F2289" s="60">
        <f>ПЛАТЕЖИ[[#This Row],[СЎМ]]+(ПЛАТЕЖИ[[#This Row],[ВАЛЮТА]]*ПЛАТЕЖИ[[#This Row],[КУРС]])</f>
        <v>0</v>
      </c>
      <c r="G2289" s="165"/>
      <c r="H2289" s="165"/>
      <c r="I2289" s="165"/>
    </row>
    <row r="2290" spans="1:9" ht="15" customHeight="1" x14ac:dyDescent="0.3">
      <c r="A2290" s="164"/>
      <c r="B2290" s="165"/>
      <c r="C2290" s="166"/>
      <c r="D2290" s="166"/>
      <c r="E2290" s="166"/>
      <c r="F2290" s="60">
        <f>ПЛАТЕЖИ[[#This Row],[СЎМ]]+(ПЛАТЕЖИ[[#This Row],[ВАЛЮТА]]*ПЛАТЕЖИ[[#This Row],[КУРС]])</f>
        <v>0</v>
      </c>
      <c r="G2290" s="165"/>
      <c r="H2290" s="165"/>
      <c r="I2290" s="165"/>
    </row>
    <row r="2291" spans="1:9" ht="15" customHeight="1" x14ac:dyDescent="0.3">
      <c r="A2291" s="164"/>
      <c r="B2291" s="165"/>
      <c r="C2291" s="166"/>
      <c r="D2291" s="166"/>
      <c r="E2291" s="166"/>
      <c r="F2291" s="60">
        <f>ПЛАТЕЖИ[[#This Row],[СЎМ]]+(ПЛАТЕЖИ[[#This Row],[ВАЛЮТА]]*ПЛАТЕЖИ[[#This Row],[КУРС]])</f>
        <v>0</v>
      </c>
      <c r="G2291" s="165"/>
      <c r="H2291" s="165"/>
      <c r="I2291" s="165"/>
    </row>
    <row r="2292" spans="1:9" ht="15" customHeight="1" x14ac:dyDescent="0.3">
      <c r="A2292" s="164"/>
      <c r="B2292" s="165"/>
      <c r="C2292" s="166"/>
      <c r="D2292" s="166"/>
      <c r="E2292" s="166"/>
      <c r="F2292" s="60">
        <f>ПЛАТЕЖИ[[#This Row],[СЎМ]]+(ПЛАТЕЖИ[[#This Row],[ВАЛЮТА]]*ПЛАТЕЖИ[[#This Row],[КУРС]])</f>
        <v>0</v>
      </c>
      <c r="G2292" s="165"/>
      <c r="H2292" s="165"/>
      <c r="I2292" s="165"/>
    </row>
    <row r="2293" spans="1:9" ht="15" customHeight="1" x14ac:dyDescent="0.3">
      <c r="A2293" s="164"/>
      <c r="B2293" s="165"/>
      <c r="C2293" s="166"/>
      <c r="D2293" s="166"/>
      <c r="E2293" s="166"/>
      <c r="F2293" s="60">
        <f>ПЛАТЕЖИ[[#This Row],[СЎМ]]+(ПЛАТЕЖИ[[#This Row],[ВАЛЮТА]]*ПЛАТЕЖИ[[#This Row],[КУРС]])</f>
        <v>0</v>
      </c>
      <c r="G2293" s="165"/>
      <c r="I2293" s="165"/>
    </row>
    <row r="2294" spans="1:9" ht="15" customHeight="1" x14ac:dyDescent="0.3">
      <c r="A2294" s="164"/>
      <c r="B2294" s="165"/>
      <c r="C2294" s="166"/>
      <c r="D2294" s="166"/>
      <c r="E2294" s="166"/>
      <c r="F2294" s="60">
        <f>ПЛАТЕЖИ[[#This Row],[СЎМ]]+(ПЛАТЕЖИ[[#This Row],[ВАЛЮТА]]*ПЛАТЕЖИ[[#This Row],[КУРС]])</f>
        <v>0</v>
      </c>
      <c r="G2294" s="165"/>
      <c r="H2294" s="165"/>
      <c r="I2294" s="165"/>
    </row>
    <row r="2295" spans="1:9" ht="15" customHeight="1" x14ac:dyDescent="0.3">
      <c r="A2295" s="164"/>
      <c r="B2295" s="165"/>
      <c r="C2295" s="166"/>
      <c r="D2295" s="166"/>
      <c r="E2295" s="166"/>
      <c r="F2295" s="60">
        <f>ПЛАТЕЖИ[[#This Row],[СЎМ]]+(ПЛАТЕЖИ[[#This Row],[ВАЛЮТА]]*ПЛАТЕЖИ[[#This Row],[КУРС]])</f>
        <v>0</v>
      </c>
      <c r="G2295" s="165"/>
      <c r="H2295" s="165"/>
      <c r="I2295" s="165"/>
    </row>
    <row r="2296" spans="1:9" ht="15" customHeight="1" x14ac:dyDescent="0.3">
      <c r="A2296" s="164"/>
      <c r="B2296" s="165"/>
      <c r="C2296" s="166"/>
      <c r="D2296" s="166"/>
      <c r="E2296" s="166"/>
      <c r="F2296" s="60">
        <f>ПЛАТЕЖИ[[#This Row],[СЎМ]]+(ПЛАТЕЖИ[[#This Row],[ВАЛЮТА]]*ПЛАТЕЖИ[[#This Row],[КУРС]])</f>
        <v>0</v>
      </c>
      <c r="G2296" s="165"/>
      <c r="H2296" s="165"/>
      <c r="I2296" s="165"/>
    </row>
    <row r="2297" spans="1:9" ht="15" customHeight="1" x14ac:dyDescent="0.3">
      <c r="A2297" s="164"/>
      <c r="B2297" s="165"/>
      <c r="C2297" s="166"/>
      <c r="D2297" s="166"/>
      <c r="E2297" s="166"/>
      <c r="F2297" s="60">
        <f>ПЛАТЕЖИ[[#This Row],[СЎМ]]+(ПЛАТЕЖИ[[#This Row],[ВАЛЮТА]]*ПЛАТЕЖИ[[#This Row],[КУРС]])</f>
        <v>0</v>
      </c>
      <c r="G2297" s="165"/>
      <c r="H2297" s="165"/>
      <c r="I2297" s="165"/>
    </row>
    <row r="2298" spans="1:9" ht="15" customHeight="1" x14ac:dyDescent="0.3">
      <c r="A2298" s="164"/>
      <c r="B2298" s="165"/>
      <c r="C2298" s="166"/>
      <c r="D2298" s="166"/>
      <c r="E2298" s="166"/>
      <c r="F2298" s="60">
        <f>ПЛАТЕЖИ[[#This Row],[СЎМ]]+(ПЛАТЕЖИ[[#This Row],[ВАЛЮТА]]*ПЛАТЕЖИ[[#This Row],[КУРС]])</f>
        <v>0</v>
      </c>
      <c r="G2298" s="165"/>
      <c r="H2298" s="165"/>
      <c r="I2298" s="165"/>
    </row>
    <row r="2299" spans="1:9" ht="15" customHeight="1" x14ac:dyDescent="0.3">
      <c r="A2299" s="164"/>
      <c r="B2299" s="165"/>
      <c r="C2299" s="166"/>
      <c r="D2299" s="166"/>
      <c r="E2299" s="166"/>
      <c r="F2299" s="60">
        <f>ПЛАТЕЖИ[[#This Row],[СЎМ]]+(ПЛАТЕЖИ[[#This Row],[ВАЛЮТА]]*ПЛАТЕЖИ[[#This Row],[КУРС]])</f>
        <v>0</v>
      </c>
      <c r="G2299" s="165"/>
      <c r="H2299" s="165"/>
      <c r="I2299" s="165"/>
    </row>
    <row r="2300" spans="1:9" ht="15" customHeight="1" x14ac:dyDescent="0.3">
      <c r="A2300" s="164"/>
      <c r="B2300" s="165"/>
      <c r="C2300" s="166"/>
      <c r="D2300" s="166"/>
      <c r="E2300" s="166"/>
      <c r="F2300" s="60">
        <f>ПЛАТЕЖИ[[#This Row],[СЎМ]]+(ПЛАТЕЖИ[[#This Row],[ВАЛЮТА]]*ПЛАТЕЖИ[[#This Row],[КУРС]])</f>
        <v>0</v>
      </c>
      <c r="G2300" s="165"/>
      <c r="H2300" s="165"/>
      <c r="I2300" s="165"/>
    </row>
    <row r="2301" spans="1:9" ht="15" customHeight="1" x14ac:dyDescent="0.3">
      <c r="A2301" s="164"/>
      <c r="B2301" s="165"/>
      <c r="C2301" s="166"/>
      <c r="D2301" s="166"/>
      <c r="E2301" s="166"/>
      <c r="F2301" s="60">
        <f>ПЛАТЕЖИ[[#This Row],[СЎМ]]+(ПЛАТЕЖИ[[#This Row],[ВАЛЮТА]]*ПЛАТЕЖИ[[#This Row],[КУРС]])</f>
        <v>0</v>
      </c>
      <c r="G2301" s="165"/>
      <c r="H2301" s="165"/>
      <c r="I2301" s="165"/>
    </row>
    <row r="2302" spans="1:9" ht="15" customHeight="1" x14ac:dyDescent="0.3">
      <c r="A2302" s="164"/>
      <c r="B2302" s="165"/>
      <c r="C2302" s="166"/>
      <c r="D2302" s="166"/>
      <c r="E2302" s="166"/>
      <c r="F2302" s="60">
        <f>ПЛАТЕЖИ[[#This Row],[СЎМ]]+(ПЛАТЕЖИ[[#This Row],[ВАЛЮТА]]*ПЛАТЕЖИ[[#This Row],[КУРС]])</f>
        <v>0</v>
      </c>
      <c r="G2302" s="165"/>
      <c r="H2302" s="165"/>
      <c r="I2302" s="165"/>
    </row>
    <row r="2303" spans="1:9" ht="15" customHeight="1" x14ac:dyDescent="0.3">
      <c r="A2303" s="164"/>
      <c r="B2303" s="165"/>
      <c r="C2303" s="166"/>
      <c r="D2303" s="166"/>
      <c r="E2303" s="166"/>
      <c r="F2303" s="60">
        <f>ПЛАТЕЖИ[[#This Row],[СЎМ]]+(ПЛАТЕЖИ[[#This Row],[ВАЛЮТА]]*ПЛАТЕЖИ[[#This Row],[КУРС]])</f>
        <v>0</v>
      </c>
      <c r="G2303" s="165"/>
      <c r="H2303" s="165"/>
      <c r="I2303" s="165"/>
    </row>
    <row r="2304" spans="1:9" ht="15" customHeight="1" x14ac:dyDescent="0.3">
      <c r="A2304" s="164"/>
      <c r="B2304" s="165"/>
      <c r="C2304" s="166"/>
      <c r="D2304" s="166"/>
      <c r="E2304" s="166"/>
      <c r="F2304" s="60">
        <f>ПЛАТЕЖИ[[#This Row],[СЎМ]]+(ПЛАТЕЖИ[[#This Row],[ВАЛЮТА]]*ПЛАТЕЖИ[[#This Row],[КУРС]])</f>
        <v>0</v>
      </c>
      <c r="G2304" s="165"/>
      <c r="H2304" s="165"/>
      <c r="I2304" s="165"/>
    </row>
    <row r="2305" spans="1:9" ht="15" customHeight="1" x14ac:dyDescent="0.3">
      <c r="A2305" s="164"/>
      <c r="B2305" s="165"/>
      <c r="C2305" s="166"/>
      <c r="D2305" s="166"/>
      <c r="E2305" s="166"/>
      <c r="F2305" s="60">
        <f>ПЛАТЕЖИ[[#This Row],[СЎМ]]+(ПЛАТЕЖИ[[#This Row],[ВАЛЮТА]]*ПЛАТЕЖИ[[#This Row],[КУРС]])</f>
        <v>0</v>
      </c>
      <c r="G2305" s="165"/>
      <c r="H2305" s="165"/>
      <c r="I2305" s="165"/>
    </row>
    <row r="2306" spans="1:9" ht="15" customHeight="1" x14ac:dyDescent="0.3">
      <c r="A2306" s="164"/>
      <c r="B2306" s="165"/>
      <c r="C2306" s="166"/>
      <c r="D2306" s="166"/>
      <c r="E2306" s="166"/>
      <c r="F2306" s="60">
        <f>ПЛАТЕЖИ[[#This Row],[СЎМ]]+(ПЛАТЕЖИ[[#This Row],[ВАЛЮТА]]*ПЛАТЕЖИ[[#This Row],[КУРС]])</f>
        <v>0</v>
      </c>
      <c r="G2306" s="165"/>
      <c r="H2306" s="165"/>
      <c r="I2306" s="165"/>
    </row>
    <row r="2307" spans="1:9" ht="15" customHeight="1" x14ac:dyDescent="0.3">
      <c r="A2307" s="164"/>
      <c r="B2307" s="165"/>
      <c r="C2307" s="166"/>
      <c r="D2307" s="166"/>
      <c r="E2307" s="166"/>
      <c r="F2307" s="60">
        <f>ПЛАТЕЖИ[[#This Row],[СЎМ]]+(ПЛАТЕЖИ[[#This Row],[ВАЛЮТА]]*ПЛАТЕЖИ[[#This Row],[КУРС]])</f>
        <v>0</v>
      </c>
      <c r="G2307" s="165"/>
      <c r="H2307" s="165"/>
      <c r="I2307" s="165"/>
    </row>
    <row r="2308" spans="1:9" ht="15" customHeight="1" x14ac:dyDescent="0.3">
      <c r="A2308" s="164"/>
      <c r="B2308" s="165"/>
      <c r="C2308" s="166"/>
      <c r="D2308" s="166"/>
      <c r="E2308" s="166"/>
      <c r="F2308" s="60">
        <f>ПЛАТЕЖИ[[#This Row],[СЎМ]]+(ПЛАТЕЖИ[[#This Row],[ВАЛЮТА]]*ПЛАТЕЖИ[[#This Row],[КУРС]])</f>
        <v>0</v>
      </c>
      <c r="G2308" s="165"/>
      <c r="H2308" s="165"/>
      <c r="I2308" s="165"/>
    </row>
    <row r="2309" spans="1:9" ht="15" customHeight="1" x14ac:dyDescent="0.3">
      <c r="A2309" s="164"/>
      <c r="B2309" s="165"/>
      <c r="C2309" s="166"/>
      <c r="D2309" s="166"/>
      <c r="E2309" s="166"/>
      <c r="F2309" s="60">
        <f>ПЛАТЕЖИ[[#This Row],[СЎМ]]+(ПЛАТЕЖИ[[#This Row],[ВАЛЮТА]]*ПЛАТЕЖИ[[#This Row],[КУРС]])</f>
        <v>0</v>
      </c>
      <c r="G2309" s="165"/>
      <c r="H2309" s="165"/>
      <c r="I2309" s="165"/>
    </row>
    <row r="2310" spans="1:9" ht="15" customHeight="1" x14ac:dyDescent="0.3">
      <c r="A2310" s="164"/>
      <c r="B2310" s="165"/>
      <c r="C2310" s="166"/>
      <c r="D2310" s="166"/>
      <c r="E2310" s="166"/>
      <c r="F2310" s="60">
        <f>ПЛАТЕЖИ[[#This Row],[СЎМ]]+(ПЛАТЕЖИ[[#This Row],[ВАЛЮТА]]*ПЛАТЕЖИ[[#This Row],[КУРС]])</f>
        <v>0</v>
      </c>
      <c r="G2310" s="165"/>
      <c r="H2310" s="165"/>
      <c r="I2310" s="165"/>
    </row>
    <row r="2311" spans="1:9" ht="15" customHeight="1" x14ac:dyDescent="0.3">
      <c r="A2311" s="164"/>
      <c r="B2311" s="165"/>
      <c r="C2311" s="166"/>
      <c r="D2311" s="166"/>
      <c r="E2311" s="166"/>
      <c r="F2311" s="60">
        <f>ПЛАТЕЖИ[[#This Row],[СЎМ]]+(ПЛАТЕЖИ[[#This Row],[ВАЛЮТА]]*ПЛАТЕЖИ[[#This Row],[КУРС]])</f>
        <v>0</v>
      </c>
      <c r="G2311" s="165"/>
      <c r="H2311" s="165"/>
      <c r="I2311" s="165"/>
    </row>
    <row r="2312" spans="1:9" ht="15" customHeight="1" x14ac:dyDescent="0.3">
      <c r="A2312" s="164"/>
      <c r="B2312" s="165"/>
      <c r="C2312" s="166"/>
      <c r="D2312" s="166"/>
      <c r="E2312" s="166"/>
      <c r="F2312" s="60">
        <f>ПЛАТЕЖИ[[#This Row],[СЎМ]]+(ПЛАТЕЖИ[[#This Row],[ВАЛЮТА]]*ПЛАТЕЖИ[[#This Row],[КУРС]])</f>
        <v>0</v>
      </c>
      <c r="G2312" s="165"/>
      <c r="H2312" s="165"/>
      <c r="I2312" s="165"/>
    </row>
    <row r="2313" spans="1:9" ht="15" customHeight="1" x14ac:dyDescent="0.3">
      <c r="A2313" s="164"/>
      <c r="B2313" s="165"/>
      <c r="C2313" s="166"/>
      <c r="D2313" s="166"/>
      <c r="E2313" s="166"/>
      <c r="F2313" s="60">
        <f>ПЛАТЕЖИ[[#This Row],[СЎМ]]+(ПЛАТЕЖИ[[#This Row],[ВАЛЮТА]]*ПЛАТЕЖИ[[#This Row],[КУРС]])</f>
        <v>0</v>
      </c>
      <c r="G2313" s="165"/>
      <c r="H2313" s="165"/>
      <c r="I2313" s="165"/>
    </row>
    <row r="2314" spans="1:9" ht="15" customHeight="1" x14ac:dyDescent="0.3">
      <c r="A2314" s="164"/>
      <c r="B2314" s="165"/>
      <c r="C2314" s="166"/>
      <c r="D2314" s="166"/>
      <c r="E2314" s="166"/>
      <c r="F2314" s="60">
        <f>ПЛАТЕЖИ[[#This Row],[СЎМ]]+(ПЛАТЕЖИ[[#This Row],[ВАЛЮТА]]*ПЛАТЕЖИ[[#This Row],[КУРС]])</f>
        <v>0</v>
      </c>
      <c r="G2314" s="165"/>
      <c r="H2314" s="165"/>
      <c r="I2314" s="165"/>
    </row>
    <row r="2315" spans="1:9" ht="15" customHeight="1" x14ac:dyDescent="0.3">
      <c r="A2315" s="164"/>
      <c r="B2315" s="165"/>
      <c r="C2315" s="166"/>
      <c r="D2315" s="166"/>
      <c r="E2315" s="166"/>
      <c r="F2315" s="60">
        <f>ПЛАТЕЖИ[[#This Row],[СЎМ]]+(ПЛАТЕЖИ[[#This Row],[ВАЛЮТА]]*ПЛАТЕЖИ[[#This Row],[КУРС]])</f>
        <v>0</v>
      </c>
      <c r="G2315" s="165"/>
      <c r="H2315" s="165"/>
      <c r="I2315" s="165"/>
    </row>
    <row r="2316" spans="1:9" ht="15" customHeight="1" x14ac:dyDescent="0.3">
      <c r="A2316" s="164"/>
      <c r="B2316" s="165"/>
      <c r="C2316" s="166"/>
      <c r="D2316" s="166"/>
      <c r="E2316" s="166"/>
      <c r="F2316" s="60">
        <f>ПЛАТЕЖИ[[#This Row],[СЎМ]]+(ПЛАТЕЖИ[[#This Row],[ВАЛЮТА]]*ПЛАТЕЖИ[[#This Row],[КУРС]])</f>
        <v>0</v>
      </c>
      <c r="G2316" s="165"/>
      <c r="H2316" s="165"/>
      <c r="I2316" s="165"/>
    </row>
    <row r="2317" spans="1:9" ht="15" customHeight="1" x14ac:dyDescent="0.3">
      <c r="A2317" s="164"/>
      <c r="B2317" s="165"/>
      <c r="C2317" s="166"/>
      <c r="D2317" s="166"/>
      <c r="E2317" s="166"/>
      <c r="F2317" s="60">
        <f>ПЛАТЕЖИ[[#This Row],[СЎМ]]+(ПЛАТЕЖИ[[#This Row],[ВАЛЮТА]]*ПЛАТЕЖИ[[#This Row],[КУРС]])</f>
        <v>0</v>
      </c>
      <c r="G2317" s="165"/>
      <c r="H2317" s="165"/>
      <c r="I2317" s="165"/>
    </row>
    <row r="2318" spans="1:9" ht="15" customHeight="1" x14ac:dyDescent="0.3">
      <c r="A2318" s="164"/>
      <c r="B2318" s="165"/>
      <c r="C2318" s="166"/>
      <c r="D2318" s="166"/>
      <c r="E2318" s="166"/>
      <c r="F2318" s="60">
        <f>ПЛАТЕЖИ[[#This Row],[СЎМ]]+(ПЛАТЕЖИ[[#This Row],[ВАЛЮТА]]*ПЛАТЕЖИ[[#This Row],[КУРС]])</f>
        <v>0</v>
      </c>
      <c r="G2318" s="165"/>
      <c r="H2318" s="165"/>
      <c r="I2318" s="165"/>
    </row>
    <row r="2319" spans="1:9" ht="15" customHeight="1" x14ac:dyDescent="0.3">
      <c r="A2319" s="164"/>
      <c r="B2319" s="165"/>
      <c r="C2319" s="166"/>
      <c r="D2319" s="166"/>
      <c r="E2319" s="166"/>
      <c r="F2319" s="60">
        <f>ПЛАТЕЖИ[[#This Row],[СЎМ]]+(ПЛАТЕЖИ[[#This Row],[ВАЛЮТА]]*ПЛАТЕЖИ[[#This Row],[КУРС]])</f>
        <v>0</v>
      </c>
      <c r="G2319" s="165"/>
      <c r="H2319" s="165"/>
      <c r="I2319" s="165"/>
    </row>
    <row r="2320" spans="1:9" ht="15" customHeight="1" x14ac:dyDescent="0.3">
      <c r="A2320" s="164"/>
      <c r="B2320" s="165"/>
      <c r="C2320" s="166"/>
      <c r="D2320" s="166"/>
      <c r="E2320" s="166"/>
      <c r="F2320" s="60">
        <f>ПЛАТЕЖИ[[#This Row],[СЎМ]]+(ПЛАТЕЖИ[[#This Row],[ВАЛЮТА]]*ПЛАТЕЖИ[[#This Row],[КУРС]])</f>
        <v>0</v>
      </c>
      <c r="G2320" s="165"/>
      <c r="H2320" s="165"/>
      <c r="I2320" s="165"/>
    </row>
    <row r="2321" spans="1:9" ht="15" customHeight="1" x14ac:dyDescent="0.3">
      <c r="A2321" s="164"/>
      <c r="B2321" s="165"/>
      <c r="C2321" s="166"/>
      <c r="D2321" s="166"/>
      <c r="E2321" s="166"/>
      <c r="F2321" s="60">
        <f>ПЛАТЕЖИ[[#This Row],[СЎМ]]+(ПЛАТЕЖИ[[#This Row],[ВАЛЮТА]]*ПЛАТЕЖИ[[#This Row],[КУРС]])</f>
        <v>0</v>
      </c>
      <c r="G2321" s="165"/>
      <c r="H2321" s="165"/>
      <c r="I2321" s="165"/>
    </row>
    <row r="2322" spans="1:9" ht="15" customHeight="1" x14ac:dyDescent="0.3">
      <c r="A2322" s="164"/>
      <c r="B2322" s="165"/>
      <c r="C2322" s="166"/>
      <c r="D2322" s="166"/>
      <c r="E2322" s="166"/>
      <c r="F2322" s="60">
        <f>ПЛАТЕЖИ[[#This Row],[СЎМ]]+(ПЛАТЕЖИ[[#This Row],[ВАЛЮТА]]*ПЛАТЕЖИ[[#This Row],[КУРС]])</f>
        <v>0</v>
      </c>
      <c r="G2322" s="165"/>
      <c r="H2322" s="165"/>
      <c r="I2322" s="165"/>
    </row>
    <row r="2323" spans="1:9" ht="15" customHeight="1" x14ac:dyDescent="0.3">
      <c r="A2323" s="164"/>
      <c r="B2323" s="165"/>
      <c r="C2323" s="166"/>
      <c r="D2323" s="166"/>
      <c r="E2323" s="166"/>
      <c r="F2323" s="60">
        <f>ПЛАТЕЖИ[[#This Row],[СЎМ]]+(ПЛАТЕЖИ[[#This Row],[ВАЛЮТА]]*ПЛАТЕЖИ[[#This Row],[КУРС]])</f>
        <v>0</v>
      </c>
      <c r="G2323" s="165"/>
      <c r="H2323" s="165"/>
      <c r="I2323" s="165"/>
    </row>
    <row r="2324" spans="1:9" ht="15" customHeight="1" x14ac:dyDescent="0.3">
      <c r="A2324" s="164"/>
      <c r="B2324" s="165"/>
      <c r="C2324" s="166"/>
      <c r="D2324" s="166"/>
      <c r="E2324" s="166"/>
      <c r="F2324" s="60">
        <f>ПЛАТЕЖИ[[#This Row],[СЎМ]]+(ПЛАТЕЖИ[[#This Row],[ВАЛЮТА]]*ПЛАТЕЖИ[[#This Row],[КУРС]])</f>
        <v>0</v>
      </c>
      <c r="G2324" s="165"/>
      <c r="H2324" s="165"/>
      <c r="I2324" s="165"/>
    </row>
    <row r="2325" spans="1:9" ht="15" customHeight="1" x14ac:dyDescent="0.3">
      <c r="A2325" s="164"/>
      <c r="B2325" s="165"/>
      <c r="C2325" s="166"/>
      <c r="D2325" s="166"/>
      <c r="E2325" s="166"/>
      <c r="F2325" s="60">
        <f>ПЛАТЕЖИ[[#This Row],[СЎМ]]+(ПЛАТЕЖИ[[#This Row],[ВАЛЮТА]]*ПЛАТЕЖИ[[#This Row],[КУРС]])</f>
        <v>0</v>
      </c>
      <c r="G2325" s="165"/>
      <c r="H2325" s="165"/>
      <c r="I2325" s="165"/>
    </row>
    <row r="2326" spans="1:9" ht="15" customHeight="1" x14ac:dyDescent="0.3">
      <c r="A2326" s="164"/>
      <c r="B2326" s="165"/>
      <c r="C2326" s="166"/>
      <c r="D2326" s="166"/>
      <c r="E2326" s="166"/>
      <c r="F2326" s="60">
        <f>ПЛАТЕЖИ[[#This Row],[СЎМ]]+(ПЛАТЕЖИ[[#This Row],[ВАЛЮТА]]*ПЛАТЕЖИ[[#This Row],[КУРС]])</f>
        <v>0</v>
      </c>
      <c r="G2326" s="165"/>
      <c r="H2326" s="165"/>
      <c r="I2326" s="165"/>
    </row>
    <row r="2327" spans="1:9" ht="15" customHeight="1" x14ac:dyDescent="0.3">
      <c r="A2327" s="164"/>
      <c r="B2327" s="165"/>
      <c r="C2327" s="166"/>
      <c r="D2327" s="166"/>
      <c r="E2327" s="166"/>
      <c r="F2327" s="60">
        <f>ПЛАТЕЖИ[[#This Row],[СЎМ]]+(ПЛАТЕЖИ[[#This Row],[ВАЛЮТА]]*ПЛАТЕЖИ[[#This Row],[КУРС]])</f>
        <v>0</v>
      </c>
      <c r="G2327" s="165"/>
      <c r="H2327" s="165"/>
      <c r="I2327" s="165"/>
    </row>
    <row r="2328" spans="1:9" ht="15" customHeight="1" x14ac:dyDescent="0.3">
      <c r="A2328" s="164"/>
      <c r="B2328" s="165"/>
      <c r="C2328" s="166"/>
      <c r="D2328" s="166"/>
      <c r="E2328" s="166"/>
      <c r="F2328" s="60">
        <f>ПЛАТЕЖИ[[#This Row],[СЎМ]]+(ПЛАТЕЖИ[[#This Row],[ВАЛЮТА]]*ПЛАТЕЖИ[[#This Row],[КУРС]])</f>
        <v>0</v>
      </c>
      <c r="G2328" s="165"/>
      <c r="H2328" s="165"/>
      <c r="I2328" s="165"/>
    </row>
    <row r="2329" spans="1:9" ht="15" customHeight="1" x14ac:dyDescent="0.3">
      <c r="A2329" s="164"/>
      <c r="B2329" s="165"/>
      <c r="C2329" s="166"/>
      <c r="D2329" s="166"/>
      <c r="E2329" s="166"/>
      <c r="F2329" s="60">
        <f>ПЛАТЕЖИ[[#This Row],[СЎМ]]+(ПЛАТЕЖИ[[#This Row],[ВАЛЮТА]]*ПЛАТЕЖИ[[#This Row],[КУРС]])</f>
        <v>0</v>
      </c>
      <c r="G2329" s="165"/>
      <c r="H2329" s="165"/>
      <c r="I2329" s="165"/>
    </row>
    <row r="2330" spans="1:9" ht="15" customHeight="1" x14ac:dyDescent="0.3">
      <c r="A2330" s="164"/>
      <c r="B2330" s="165"/>
      <c r="C2330" s="166"/>
      <c r="D2330" s="166"/>
      <c r="E2330" s="166"/>
      <c r="F2330" s="60">
        <f>ПЛАТЕЖИ[[#This Row],[СЎМ]]+(ПЛАТЕЖИ[[#This Row],[ВАЛЮТА]]*ПЛАТЕЖИ[[#This Row],[КУРС]])</f>
        <v>0</v>
      </c>
      <c r="G2330" s="165"/>
      <c r="H2330" s="165"/>
      <c r="I2330" s="165"/>
    </row>
    <row r="2331" spans="1:9" ht="15" customHeight="1" x14ac:dyDescent="0.3">
      <c r="A2331" s="164"/>
      <c r="B2331" s="165"/>
      <c r="C2331" s="166"/>
      <c r="D2331" s="166"/>
      <c r="E2331" s="166"/>
      <c r="F2331" s="60">
        <f>ПЛАТЕЖИ[[#This Row],[СЎМ]]+(ПЛАТЕЖИ[[#This Row],[ВАЛЮТА]]*ПЛАТЕЖИ[[#This Row],[КУРС]])</f>
        <v>0</v>
      </c>
      <c r="G2331" s="165"/>
      <c r="H2331" s="165"/>
      <c r="I2331" s="165"/>
    </row>
    <row r="2332" spans="1:9" ht="15" customHeight="1" x14ac:dyDescent="0.3">
      <c r="A2332" s="164"/>
      <c r="B2332" s="165"/>
      <c r="C2332" s="166"/>
      <c r="D2332" s="166"/>
      <c r="E2332" s="166"/>
      <c r="F2332" s="60">
        <f>ПЛАТЕЖИ[[#This Row],[СЎМ]]+(ПЛАТЕЖИ[[#This Row],[ВАЛЮТА]]*ПЛАТЕЖИ[[#This Row],[КУРС]])</f>
        <v>0</v>
      </c>
      <c r="G2332" s="165"/>
      <c r="H2332" s="165"/>
      <c r="I2332" s="165"/>
    </row>
    <row r="2333" spans="1:9" ht="15" customHeight="1" x14ac:dyDescent="0.3">
      <c r="A2333" s="164"/>
      <c r="B2333" s="165"/>
      <c r="C2333" s="166"/>
      <c r="D2333" s="166"/>
      <c r="E2333" s="166"/>
      <c r="F2333" s="60">
        <f>ПЛАТЕЖИ[[#This Row],[СЎМ]]+(ПЛАТЕЖИ[[#This Row],[ВАЛЮТА]]*ПЛАТЕЖИ[[#This Row],[КУРС]])</f>
        <v>0</v>
      </c>
      <c r="G2333" s="165"/>
      <c r="H2333" s="165"/>
      <c r="I2333" s="165"/>
    </row>
    <row r="2334" spans="1:9" ht="15" customHeight="1" x14ac:dyDescent="0.3">
      <c r="A2334" s="164"/>
      <c r="B2334" s="165"/>
      <c r="C2334" s="166"/>
      <c r="D2334" s="166"/>
      <c r="E2334" s="166"/>
      <c r="F2334" s="60">
        <f>ПЛАТЕЖИ[[#This Row],[СЎМ]]+(ПЛАТЕЖИ[[#This Row],[ВАЛЮТА]]*ПЛАТЕЖИ[[#This Row],[КУРС]])</f>
        <v>0</v>
      </c>
      <c r="G2334" s="165"/>
      <c r="H2334" s="165"/>
      <c r="I2334" s="165"/>
    </row>
    <row r="2335" spans="1:9" ht="15" customHeight="1" x14ac:dyDescent="0.3">
      <c r="A2335" s="164"/>
      <c r="B2335" s="165"/>
      <c r="C2335" s="166"/>
      <c r="D2335" s="166"/>
      <c r="E2335" s="166"/>
      <c r="F2335" s="60">
        <f>ПЛАТЕЖИ[[#This Row],[СЎМ]]+(ПЛАТЕЖИ[[#This Row],[ВАЛЮТА]]*ПЛАТЕЖИ[[#This Row],[КУРС]])</f>
        <v>0</v>
      </c>
      <c r="G2335" s="165"/>
      <c r="H2335" s="165"/>
      <c r="I2335" s="165"/>
    </row>
    <row r="2336" spans="1:9" ht="15" customHeight="1" x14ac:dyDescent="0.3">
      <c r="A2336" s="164"/>
      <c r="B2336" s="165"/>
      <c r="C2336" s="166"/>
      <c r="D2336" s="166"/>
      <c r="E2336" s="166"/>
      <c r="F2336" s="60">
        <f>ПЛАТЕЖИ[[#This Row],[СЎМ]]+(ПЛАТЕЖИ[[#This Row],[ВАЛЮТА]]*ПЛАТЕЖИ[[#This Row],[КУРС]])</f>
        <v>0</v>
      </c>
      <c r="G2336" s="165"/>
      <c r="H2336" s="165"/>
      <c r="I2336" s="165"/>
    </row>
    <row r="2337" spans="1:9" ht="15" customHeight="1" x14ac:dyDescent="0.3">
      <c r="A2337" s="164"/>
      <c r="B2337" s="165"/>
      <c r="C2337" s="166"/>
      <c r="D2337" s="166"/>
      <c r="E2337" s="166"/>
      <c r="F2337" s="60">
        <f>ПЛАТЕЖИ[[#This Row],[СЎМ]]+(ПЛАТЕЖИ[[#This Row],[ВАЛЮТА]]*ПЛАТЕЖИ[[#This Row],[КУРС]])</f>
        <v>0</v>
      </c>
      <c r="G2337" s="165"/>
      <c r="H2337" s="165"/>
      <c r="I2337" s="165"/>
    </row>
    <row r="2338" spans="1:9" ht="15" customHeight="1" x14ac:dyDescent="0.3">
      <c r="A2338" s="164"/>
      <c r="B2338" s="165"/>
      <c r="C2338" s="166"/>
      <c r="D2338" s="166"/>
      <c r="E2338" s="166"/>
      <c r="F2338" s="60">
        <f>ПЛАТЕЖИ[[#This Row],[СЎМ]]+(ПЛАТЕЖИ[[#This Row],[ВАЛЮТА]]*ПЛАТЕЖИ[[#This Row],[КУРС]])</f>
        <v>0</v>
      </c>
      <c r="G2338" s="165"/>
      <c r="H2338" s="165"/>
      <c r="I2338" s="165"/>
    </row>
    <row r="2339" spans="1:9" ht="15" customHeight="1" x14ac:dyDescent="0.3">
      <c r="A2339" s="164"/>
      <c r="B2339" s="165"/>
      <c r="C2339" s="166"/>
      <c r="D2339" s="166"/>
      <c r="E2339" s="166"/>
      <c r="F2339" s="60">
        <f>ПЛАТЕЖИ[[#This Row],[СЎМ]]+(ПЛАТЕЖИ[[#This Row],[ВАЛЮТА]]*ПЛАТЕЖИ[[#This Row],[КУРС]])</f>
        <v>0</v>
      </c>
      <c r="G2339" s="165"/>
      <c r="H2339" s="165"/>
      <c r="I2339" s="165"/>
    </row>
    <row r="2340" spans="1:9" ht="15" customHeight="1" x14ac:dyDescent="0.3">
      <c r="A2340" s="164"/>
      <c r="B2340" s="165"/>
      <c r="C2340" s="166"/>
      <c r="D2340" s="166"/>
      <c r="E2340" s="166"/>
      <c r="F2340" s="60">
        <f>ПЛАТЕЖИ[[#This Row],[СЎМ]]+(ПЛАТЕЖИ[[#This Row],[ВАЛЮТА]]*ПЛАТЕЖИ[[#This Row],[КУРС]])</f>
        <v>0</v>
      </c>
      <c r="G2340" s="165"/>
      <c r="H2340" s="165"/>
      <c r="I2340" s="165"/>
    </row>
    <row r="2341" spans="1:9" ht="15" customHeight="1" x14ac:dyDescent="0.3">
      <c r="A2341" s="164"/>
      <c r="B2341" s="165"/>
      <c r="C2341" s="166"/>
      <c r="D2341" s="166"/>
      <c r="E2341" s="166"/>
      <c r="F2341" s="60">
        <f>ПЛАТЕЖИ[[#This Row],[СЎМ]]+(ПЛАТЕЖИ[[#This Row],[ВАЛЮТА]]*ПЛАТЕЖИ[[#This Row],[КУРС]])</f>
        <v>0</v>
      </c>
      <c r="G2341" s="165"/>
      <c r="H2341" s="165"/>
      <c r="I2341" s="165"/>
    </row>
    <row r="2342" spans="1:9" ht="15" customHeight="1" x14ac:dyDescent="0.3">
      <c r="A2342" s="164"/>
      <c r="B2342" s="165"/>
      <c r="C2342" s="166"/>
      <c r="D2342" s="166"/>
      <c r="E2342" s="166"/>
      <c r="F2342" s="60">
        <f>ПЛАТЕЖИ[[#This Row],[СЎМ]]+(ПЛАТЕЖИ[[#This Row],[ВАЛЮТА]]*ПЛАТЕЖИ[[#This Row],[КУРС]])</f>
        <v>0</v>
      </c>
      <c r="G2342" s="165"/>
      <c r="H2342" s="165"/>
      <c r="I2342" s="165"/>
    </row>
    <row r="2343" spans="1:9" ht="15" customHeight="1" x14ac:dyDescent="0.3">
      <c r="A2343" s="164"/>
      <c r="B2343" s="165"/>
      <c r="C2343" s="166"/>
      <c r="D2343" s="166"/>
      <c r="E2343" s="166"/>
      <c r="F2343" s="60">
        <f>ПЛАТЕЖИ[[#This Row],[СЎМ]]+(ПЛАТЕЖИ[[#This Row],[ВАЛЮТА]]*ПЛАТЕЖИ[[#This Row],[КУРС]])</f>
        <v>0</v>
      </c>
      <c r="G2343" s="165"/>
      <c r="H2343" s="165"/>
      <c r="I2343" s="165"/>
    </row>
    <row r="2344" spans="1:9" ht="15" customHeight="1" x14ac:dyDescent="0.3">
      <c r="A2344" s="164"/>
      <c r="B2344" s="165"/>
      <c r="C2344" s="166"/>
      <c r="D2344" s="166"/>
      <c r="E2344" s="166"/>
      <c r="F2344" s="60">
        <f>ПЛАТЕЖИ[[#This Row],[СЎМ]]+(ПЛАТЕЖИ[[#This Row],[ВАЛЮТА]]*ПЛАТЕЖИ[[#This Row],[КУРС]])</f>
        <v>0</v>
      </c>
      <c r="G2344" s="165"/>
      <c r="H2344" s="165"/>
      <c r="I2344" s="165"/>
    </row>
    <row r="2345" spans="1:9" ht="15" customHeight="1" x14ac:dyDescent="0.3">
      <c r="A2345" s="164"/>
      <c r="B2345" s="165"/>
      <c r="C2345" s="166"/>
      <c r="D2345" s="166"/>
      <c r="E2345" s="166"/>
      <c r="F2345" s="60">
        <f>ПЛАТЕЖИ[[#This Row],[СЎМ]]+(ПЛАТЕЖИ[[#This Row],[ВАЛЮТА]]*ПЛАТЕЖИ[[#This Row],[КУРС]])</f>
        <v>0</v>
      </c>
      <c r="G2345" s="165"/>
      <c r="H2345" s="165"/>
      <c r="I2345" s="165"/>
    </row>
    <row r="2346" spans="1:9" ht="15" customHeight="1" x14ac:dyDescent="0.3">
      <c r="A2346" s="164"/>
      <c r="B2346" s="165"/>
      <c r="C2346" s="166"/>
      <c r="D2346" s="166"/>
      <c r="E2346" s="166"/>
      <c r="F2346" s="60">
        <f>ПЛАТЕЖИ[[#This Row],[СЎМ]]+(ПЛАТЕЖИ[[#This Row],[ВАЛЮТА]]*ПЛАТЕЖИ[[#This Row],[КУРС]])</f>
        <v>0</v>
      </c>
      <c r="G2346" s="165"/>
      <c r="H2346" s="165"/>
      <c r="I2346" s="165"/>
    </row>
    <row r="2347" spans="1:9" ht="15" customHeight="1" x14ac:dyDescent="0.3">
      <c r="A2347" s="164"/>
      <c r="B2347" s="165"/>
      <c r="C2347" s="166"/>
      <c r="D2347" s="166"/>
      <c r="E2347" s="166"/>
      <c r="F2347" s="60">
        <f>ПЛАТЕЖИ[[#This Row],[СЎМ]]+(ПЛАТЕЖИ[[#This Row],[ВАЛЮТА]]*ПЛАТЕЖИ[[#This Row],[КУРС]])</f>
        <v>0</v>
      </c>
      <c r="G2347" s="165"/>
      <c r="H2347" s="165"/>
      <c r="I2347" s="165"/>
    </row>
    <row r="2348" spans="1:9" ht="15" customHeight="1" x14ac:dyDescent="0.3">
      <c r="A2348" s="164"/>
      <c r="B2348" s="165"/>
      <c r="C2348" s="166"/>
      <c r="D2348" s="166"/>
      <c r="E2348" s="166"/>
      <c r="F2348" s="60">
        <f>ПЛАТЕЖИ[[#This Row],[СЎМ]]+(ПЛАТЕЖИ[[#This Row],[ВАЛЮТА]]*ПЛАТЕЖИ[[#This Row],[КУРС]])</f>
        <v>0</v>
      </c>
      <c r="G2348" s="165"/>
      <c r="H2348" s="165"/>
      <c r="I2348" s="165"/>
    </row>
    <row r="2349" spans="1:9" ht="15" customHeight="1" x14ac:dyDescent="0.3">
      <c r="A2349" s="164"/>
      <c r="B2349" s="165"/>
      <c r="C2349" s="166"/>
      <c r="D2349" s="166"/>
      <c r="E2349" s="166"/>
      <c r="F2349" s="60">
        <f>ПЛАТЕЖИ[[#This Row],[СЎМ]]+(ПЛАТЕЖИ[[#This Row],[ВАЛЮТА]]*ПЛАТЕЖИ[[#This Row],[КУРС]])</f>
        <v>0</v>
      </c>
      <c r="G2349" s="165"/>
      <c r="H2349" s="165"/>
      <c r="I2349" s="165"/>
    </row>
    <row r="2350" spans="1:9" ht="15" customHeight="1" x14ac:dyDescent="0.3">
      <c r="A2350" s="164"/>
      <c r="B2350" s="165"/>
      <c r="C2350" s="166"/>
      <c r="D2350" s="166"/>
      <c r="E2350" s="166"/>
      <c r="F2350" s="60">
        <f>ПЛАТЕЖИ[[#This Row],[СЎМ]]+(ПЛАТЕЖИ[[#This Row],[ВАЛЮТА]]*ПЛАТЕЖИ[[#This Row],[КУРС]])</f>
        <v>0</v>
      </c>
      <c r="G2350" s="165"/>
      <c r="H2350" s="165"/>
      <c r="I2350" s="165"/>
    </row>
    <row r="2351" spans="1:9" ht="15" customHeight="1" x14ac:dyDescent="0.3">
      <c r="A2351" s="164"/>
      <c r="B2351" s="165"/>
      <c r="C2351" s="166"/>
      <c r="D2351" s="166"/>
      <c r="E2351" s="166"/>
      <c r="F2351" s="60">
        <f>ПЛАТЕЖИ[[#This Row],[СЎМ]]+(ПЛАТЕЖИ[[#This Row],[ВАЛЮТА]]*ПЛАТЕЖИ[[#This Row],[КУРС]])</f>
        <v>0</v>
      </c>
      <c r="G2351" s="165"/>
      <c r="H2351" s="165"/>
      <c r="I2351" s="165"/>
    </row>
    <row r="2352" spans="1:9" ht="15" customHeight="1" x14ac:dyDescent="0.3">
      <c r="A2352" s="164"/>
      <c r="B2352" s="165"/>
      <c r="C2352" s="166"/>
      <c r="D2352" s="166"/>
      <c r="E2352" s="166"/>
      <c r="F2352" s="60">
        <f>ПЛАТЕЖИ[[#This Row],[СЎМ]]+(ПЛАТЕЖИ[[#This Row],[ВАЛЮТА]]*ПЛАТЕЖИ[[#This Row],[КУРС]])</f>
        <v>0</v>
      </c>
      <c r="G2352" s="165"/>
      <c r="H2352" s="165"/>
      <c r="I2352" s="165"/>
    </row>
    <row r="2353" spans="1:9" ht="15" customHeight="1" x14ac:dyDescent="0.3">
      <c r="A2353" s="164"/>
      <c r="B2353" s="165"/>
      <c r="C2353" s="166"/>
      <c r="D2353" s="166"/>
      <c r="E2353" s="166"/>
      <c r="F2353" s="60">
        <f>ПЛАТЕЖИ[[#This Row],[СЎМ]]+(ПЛАТЕЖИ[[#This Row],[ВАЛЮТА]]*ПЛАТЕЖИ[[#This Row],[КУРС]])</f>
        <v>0</v>
      </c>
      <c r="G2353" s="165"/>
      <c r="H2353" s="165"/>
      <c r="I2353" s="165"/>
    </row>
    <row r="2354" spans="1:9" ht="15" customHeight="1" x14ac:dyDescent="0.3">
      <c r="A2354" s="164"/>
      <c r="B2354" s="165"/>
      <c r="C2354" s="166"/>
      <c r="D2354" s="166"/>
      <c r="E2354" s="166"/>
      <c r="F2354" s="60">
        <f>ПЛАТЕЖИ[[#This Row],[СЎМ]]+(ПЛАТЕЖИ[[#This Row],[ВАЛЮТА]]*ПЛАТЕЖИ[[#This Row],[КУРС]])</f>
        <v>0</v>
      </c>
      <c r="G2354" s="165"/>
      <c r="H2354" s="165"/>
      <c r="I2354" s="165"/>
    </row>
    <row r="2355" spans="1:9" ht="15" customHeight="1" x14ac:dyDescent="0.3">
      <c r="A2355" s="164"/>
      <c r="B2355" s="165"/>
      <c r="C2355" s="166"/>
      <c r="D2355" s="166"/>
      <c r="E2355" s="166"/>
      <c r="F2355" s="60">
        <f>ПЛАТЕЖИ[[#This Row],[СЎМ]]+(ПЛАТЕЖИ[[#This Row],[ВАЛЮТА]]*ПЛАТЕЖИ[[#This Row],[КУРС]])</f>
        <v>0</v>
      </c>
      <c r="G2355" s="165"/>
      <c r="H2355" s="165"/>
      <c r="I2355" s="165"/>
    </row>
    <row r="2356" spans="1:9" ht="15" customHeight="1" x14ac:dyDescent="0.3">
      <c r="A2356" s="164"/>
      <c r="B2356" s="165"/>
      <c r="C2356" s="166"/>
      <c r="D2356" s="166"/>
      <c r="E2356" s="166"/>
      <c r="F2356" s="60">
        <f>ПЛАТЕЖИ[[#This Row],[СЎМ]]+(ПЛАТЕЖИ[[#This Row],[ВАЛЮТА]]*ПЛАТЕЖИ[[#This Row],[КУРС]])</f>
        <v>0</v>
      </c>
      <c r="G2356" s="165"/>
      <c r="H2356" s="165"/>
      <c r="I2356" s="165"/>
    </row>
    <row r="2357" spans="1:9" ht="15" customHeight="1" x14ac:dyDescent="0.3">
      <c r="A2357" s="164"/>
      <c r="B2357" s="165"/>
      <c r="C2357" s="166"/>
      <c r="D2357" s="166"/>
      <c r="E2357" s="166"/>
      <c r="F2357" s="60">
        <f>ПЛАТЕЖИ[[#This Row],[СЎМ]]+(ПЛАТЕЖИ[[#This Row],[ВАЛЮТА]]*ПЛАТЕЖИ[[#This Row],[КУРС]])</f>
        <v>0</v>
      </c>
      <c r="G2357" s="165"/>
      <c r="H2357" s="165"/>
      <c r="I2357" s="165"/>
    </row>
    <row r="2358" spans="1:9" ht="15" customHeight="1" x14ac:dyDescent="0.3">
      <c r="A2358" s="164"/>
      <c r="B2358" s="165"/>
      <c r="C2358" s="166"/>
      <c r="D2358" s="166"/>
      <c r="E2358" s="166"/>
      <c r="F2358" s="60">
        <f>ПЛАТЕЖИ[[#This Row],[СЎМ]]+(ПЛАТЕЖИ[[#This Row],[ВАЛЮТА]]*ПЛАТЕЖИ[[#This Row],[КУРС]])</f>
        <v>0</v>
      </c>
      <c r="G2358" s="165"/>
      <c r="H2358" s="165"/>
      <c r="I2358" s="165"/>
    </row>
    <row r="2359" spans="1:9" ht="15" customHeight="1" x14ac:dyDescent="0.3">
      <c r="A2359" s="164"/>
      <c r="B2359" s="165"/>
      <c r="C2359" s="166"/>
      <c r="D2359" s="166"/>
      <c r="E2359" s="166"/>
      <c r="F2359" s="60">
        <f>ПЛАТЕЖИ[[#This Row],[СЎМ]]+(ПЛАТЕЖИ[[#This Row],[ВАЛЮТА]]*ПЛАТЕЖИ[[#This Row],[КУРС]])</f>
        <v>0</v>
      </c>
      <c r="G2359" s="165"/>
      <c r="H2359" s="165"/>
      <c r="I2359" s="165"/>
    </row>
    <row r="2360" spans="1:9" ht="15" customHeight="1" x14ac:dyDescent="0.3">
      <c r="A2360" s="164"/>
      <c r="B2360" s="165"/>
      <c r="C2360" s="166"/>
      <c r="D2360" s="166"/>
      <c r="E2360" s="166"/>
      <c r="F2360" s="60">
        <f>ПЛАТЕЖИ[[#This Row],[СЎМ]]+(ПЛАТЕЖИ[[#This Row],[ВАЛЮТА]]*ПЛАТЕЖИ[[#This Row],[КУРС]])</f>
        <v>0</v>
      </c>
      <c r="G2360" s="165"/>
      <c r="H2360" s="165"/>
      <c r="I2360" s="165"/>
    </row>
    <row r="2361" spans="1:9" ht="15" customHeight="1" x14ac:dyDescent="0.3">
      <c r="A2361" s="164"/>
      <c r="B2361" s="165"/>
      <c r="C2361" s="166"/>
      <c r="D2361" s="166"/>
      <c r="E2361" s="166"/>
      <c r="F2361" s="60">
        <f>ПЛАТЕЖИ[[#This Row],[СЎМ]]+(ПЛАТЕЖИ[[#This Row],[ВАЛЮТА]]*ПЛАТЕЖИ[[#This Row],[КУРС]])</f>
        <v>0</v>
      </c>
      <c r="G2361" s="165"/>
      <c r="H2361" s="165"/>
      <c r="I2361" s="165"/>
    </row>
    <row r="2362" spans="1:9" ht="15" customHeight="1" x14ac:dyDescent="0.3">
      <c r="A2362" s="164"/>
      <c r="B2362" s="165"/>
      <c r="C2362" s="166"/>
      <c r="D2362" s="166"/>
      <c r="E2362" s="166"/>
      <c r="F2362" s="60">
        <f>ПЛАТЕЖИ[[#This Row],[СЎМ]]+(ПЛАТЕЖИ[[#This Row],[ВАЛЮТА]]*ПЛАТЕЖИ[[#This Row],[КУРС]])</f>
        <v>0</v>
      </c>
      <c r="G2362" s="165"/>
      <c r="H2362" s="165"/>
      <c r="I2362" s="165"/>
    </row>
    <row r="2363" spans="1:9" ht="15" customHeight="1" x14ac:dyDescent="0.3">
      <c r="A2363" s="164"/>
      <c r="B2363" s="165"/>
      <c r="C2363" s="166"/>
      <c r="D2363" s="166"/>
      <c r="E2363" s="166"/>
      <c r="F2363" s="60">
        <f>ПЛАТЕЖИ[[#This Row],[СЎМ]]+(ПЛАТЕЖИ[[#This Row],[ВАЛЮТА]]*ПЛАТЕЖИ[[#This Row],[КУРС]])</f>
        <v>0</v>
      </c>
      <c r="G2363" s="165"/>
      <c r="H2363" s="165"/>
      <c r="I2363" s="165"/>
    </row>
    <row r="2364" spans="1:9" ht="15" customHeight="1" x14ac:dyDescent="0.3">
      <c r="A2364" s="164"/>
      <c r="B2364" s="165"/>
      <c r="C2364" s="166"/>
      <c r="D2364" s="166"/>
      <c r="E2364" s="166"/>
      <c r="F2364" s="60">
        <f>ПЛАТЕЖИ[[#This Row],[СЎМ]]+(ПЛАТЕЖИ[[#This Row],[ВАЛЮТА]]*ПЛАТЕЖИ[[#This Row],[КУРС]])</f>
        <v>0</v>
      </c>
      <c r="G2364" s="165"/>
      <c r="H2364" s="165"/>
      <c r="I2364" s="165"/>
    </row>
    <row r="2365" spans="1:9" ht="15" customHeight="1" x14ac:dyDescent="0.3">
      <c r="A2365" s="164"/>
      <c r="B2365" s="165"/>
      <c r="C2365" s="166"/>
      <c r="D2365" s="166"/>
      <c r="E2365" s="166"/>
      <c r="F2365" s="60">
        <f>ПЛАТЕЖИ[[#This Row],[СЎМ]]+(ПЛАТЕЖИ[[#This Row],[ВАЛЮТА]]*ПЛАТЕЖИ[[#This Row],[КУРС]])</f>
        <v>0</v>
      </c>
      <c r="G2365" s="165"/>
      <c r="H2365" s="165"/>
      <c r="I2365" s="165"/>
    </row>
    <row r="2366" spans="1:9" ht="15" customHeight="1" x14ac:dyDescent="0.3">
      <c r="A2366" s="164"/>
      <c r="B2366" s="165"/>
      <c r="C2366" s="166"/>
      <c r="D2366" s="166"/>
      <c r="E2366" s="166"/>
      <c r="F2366" s="60">
        <f>ПЛАТЕЖИ[[#This Row],[СЎМ]]+(ПЛАТЕЖИ[[#This Row],[ВАЛЮТА]]*ПЛАТЕЖИ[[#This Row],[КУРС]])</f>
        <v>0</v>
      </c>
      <c r="G2366" s="165"/>
      <c r="H2366" s="165"/>
      <c r="I2366" s="165"/>
    </row>
    <row r="2367" spans="1:9" ht="15" customHeight="1" x14ac:dyDescent="0.3">
      <c r="A2367" s="164"/>
      <c r="B2367" s="165"/>
      <c r="C2367" s="166"/>
      <c r="D2367" s="166"/>
      <c r="E2367" s="166"/>
      <c r="F2367" s="60">
        <f>ПЛАТЕЖИ[[#This Row],[СЎМ]]+(ПЛАТЕЖИ[[#This Row],[ВАЛЮТА]]*ПЛАТЕЖИ[[#This Row],[КУРС]])</f>
        <v>0</v>
      </c>
      <c r="G2367" s="165"/>
      <c r="H2367" s="165"/>
      <c r="I2367" s="165"/>
    </row>
    <row r="2368" spans="1:9" ht="15" customHeight="1" x14ac:dyDescent="0.3">
      <c r="A2368" s="164"/>
      <c r="B2368" s="165"/>
      <c r="C2368" s="166"/>
      <c r="D2368" s="166"/>
      <c r="E2368" s="166"/>
      <c r="F2368" s="60">
        <f>ПЛАТЕЖИ[[#This Row],[СЎМ]]+(ПЛАТЕЖИ[[#This Row],[ВАЛЮТА]]*ПЛАТЕЖИ[[#This Row],[КУРС]])</f>
        <v>0</v>
      </c>
      <c r="G2368" s="165"/>
      <c r="H2368" s="165"/>
      <c r="I2368" s="165"/>
    </row>
    <row r="2369" spans="1:9" ht="15" customHeight="1" x14ac:dyDescent="0.3">
      <c r="A2369" s="164"/>
      <c r="B2369" s="165"/>
      <c r="C2369" s="166"/>
      <c r="D2369" s="166"/>
      <c r="E2369" s="166"/>
      <c r="F2369" s="60">
        <f>ПЛАТЕЖИ[[#This Row],[СЎМ]]+(ПЛАТЕЖИ[[#This Row],[ВАЛЮТА]]*ПЛАТЕЖИ[[#This Row],[КУРС]])</f>
        <v>0</v>
      </c>
      <c r="G2369" s="165"/>
      <c r="H2369" s="165"/>
      <c r="I2369" s="165"/>
    </row>
    <row r="2370" spans="1:9" ht="15" customHeight="1" x14ac:dyDescent="0.3">
      <c r="A2370" s="164"/>
      <c r="B2370" s="165"/>
      <c r="C2370" s="166"/>
      <c r="D2370" s="166"/>
      <c r="E2370" s="166"/>
      <c r="F2370" s="60">
        <f>ПЛАТЕЖИ[[#This Row],[СЎМ]]+(ПЛАТЕЖИ[[#This Row],[ВАЛЮТА]]*ПЛАТЕЖИ[[#This Row],[КУРС]])</f>
        <v>0</v>
      </c>
      <c r="G2370" s="165"/>
      <c r="H2370" s="165"/>
      <c r="I2370" s="165"/>
    </row>
    <row r="2371" spans="1:9" ht="15" customHeight="1" x14ac:dyDescent="0.3">
      <c r="A2371" s="164"/>
      <c r="B2371" s="165"/>
      <c r="C2371" s="166"/>
      <c r="D2371" s="166"/>
      <c r="E2371" s="166"/>
      <c r="F2371" s="60">
        <f>ПЛАТЕЖИ[[#This Row],[СЎМ]]+(ПЛАТЕЖИ[[#This Row],[ВАЛЮТА]]*ПЛАТЕЖИ[[#This Row],[КУРС]])</f>
        <v>0</v>
      </c>
      <c r="G2371" s="165"/>
      <c r="H2371" s="165"/>
      <c r="I2371" s="165"/>
    </row>
    <row r="2372" spans="1:9" ht="15" customHeight="1" x14ac:dyDescent="0.3">
      <c r="A2372" s="164"/>
      <c r="B2372" s="165"/>
      <c r="C2372" s="166"/>
      <c r="D2372" s="166"/>
      <c r="E2372" s="166"/>
      <c r="F2372" s="60">
        <f>ПЛАТЕЖИ[[#This Row],[СЎМ]]+(ПЛАТЕЖИ[[#This Row],[ВАЛЮТА]]*ПЛАТЕЖИ[[#This Row],[КУРС]])</f>
        <v>0</v>
      </c>
      <c r="G2372" s="165"/>
      <c r="H2372" s="165"/>
      <c r="I2372" s="165"/>
    </row>
    <row r="2373" spans="1:9" ht="15" customHeight="1" x14ac:dyDescent="0.3">
      <c r="A2373" s="164"/>
      <c r="B2373" s="165"/>
      <c r="C2373" s="166"/>
      <c r="D2373" s="166"/>
      <c r="E2373" s="166"/>
      <c r="F2373" s="60">
        <f>ПЛАТЕЖИ[[#This Row],[СЎМ]]+(ПЛАТЕЖИ[[#This Row],[ВАЛЮТА]]*ПЛАТЕЖИ[[#This Row],[КУРС]])</f>
        <v>0</v>
      </c>
      <c r="G2373" s="165"/>
      <c r="H2373" s="165"/>
      <c r="I2373" s="165"/>
    </row>
    <row r="2374" spans="1:9" ht="15" customHeight="1" x14ac:dyDescent="0.3">
      <c r="A2374" s="164"/>
      <c r="B2374" s="165"/>
      <c r="C2374" s="166"/>
      <c r="D2374" s="166"/>
      <c r="E2374" s="166"/>
      <c r="F2374" s="60">
        <f>ПЛАТЕЖИ[[#This Row],[СЎМ]]+(ПЛАТЕЖИ[[#This Row],[ВАЛЮТА]]*ПЛАТЕЖИ[[#This Row],[КУРС]])</f>
        <v>0</v>
      </c>
      <c r="G2374" s="165"/>
      <c r="H2374" s="165"/>
      <c r="I2374" s="165"/>
    </row>
    <row r="2375" spans="1:9" ht="15" customHeight="1" x14ac:dyDescent="0.3">
      <c r="A2375" s="164"/>
      <c r="B2375" s="165"/>
      <c r="C2375" s="166"/>
      <c r="D2375" s="166"/>
      <c r="E2375" s="166"/>
      <c r="F2375" s="60">
        <f>ПЛАТЕЖИ[[#This Row],[СЎМ]]+(ПЛАТЕЖИ[[#This Row],[ВАЛЮТА]]*ПЛАТЕЖИ[[#This Row],[КУРС]])</f>
        <v>0</v>
      </c>
      <c r="G2375" s="165"/>
      <c r="H2375" s="165"/>
      <c r="I2375" s="165"/>
    </row>
    <row r="2376" spans="1:9" ht="15" customHeight="1" x14ac:dyDescent="0.3">
      <c r="A2376" s="164"/>
      <c r="B2376" s="165"/>
      <c r="C2376" s="166"/>
      <c r="D2376" s="166"/>
      <c r="E2376" s="166"/>
      <c r="F2376" s="60">
        <f>ПЛАТЕЖИ[[#This Row],[СЎМ]]+(ПЛАТЕЖИ[[#This Row],[ВАЛЮТА]]*ПЛАТЕЖИ[[#This Row],[КУРС]])</f>
        <v>0</v>
      </c>
      <c r="G2376" s="165"/>
      <c r="H2376" s="165"/>
      <c r="I2376" s="165"/>
    </row>
    <row r="2377" spans="1:9" ht="15" customHeight="1" x14ac:dyDescent="0.3">
      <c r="A2377" s="164"/>
      <c r="B2377" s="165"/>
      <c r="C2377" s="166"/>
      <c r="D2377" s="166"/>
      <c r="E2377" s="166"/>
      <c r="F2377" s="60">
        <f>ПЛАТЕЖИ[[#This Row],[СЎМ]]+(ПЛАТЕЖИ[[#This Row],[ВАЛЮТА]]*ПЛАТЕЖИ[[#This Row],[КУРС]])</f>
        <v>0</v>
      </c>
      <c r="G2377" s="165"/>
      <c r="H2377" s="165"/>
      <c r="I2377" s="165"/>
    </row>
    <row r="2378" spans="1:9" ht="15" customHeight="1" x14ac:dyDescent="0.3">
      <c r="A2378" s="164"/>
      <c r="B2378" s="165"/>
      <c r="C2378" s="166"/>
      <c r="D2378" s="166"/>
      <c r="E2378" s="166"/>
      <c r="F2378" s="60">
        <f>ПЛАТЕЖИ[[#This Row],[СЎМ]]+(ПЛАТЕЖИ[[#This Row],[ВАЛЮТА]]*ПЛАТЕЖИ[[#This Row],[КУРС]])</f>
        <v>0</v>
      </c>
      <c r="G2378" s="165"/>
      <c r="H2378" s="165"/>
      <c r="I2378" s="165"/>
    </row>
    <row r="2379" spans="1:9" ht="15" customHeight="1" x14ac:dyDescent="0.3">
      <c r="A2379" s="164"/>
      <c r="B2379" s="165"/>
      <c r="C2379" s="166"/>
      <c r="D2379" s="166"/>
      <c r="E2379" s="166"/>
      <c r="F2379" s="60">
        <f>ПЛАТЕЖИ[[#This Row],[СЎМ]]+(ПЛАТЕЖИ[[#This Row],[ВАЛЮТА]]*ПЛАТЕЖИ[[#This Row],[КУРС]])</f>
        <v>0</v>
      </c>
      <c r="G2379" s="165"/>
      <c r="H2379" s="165"/>
      <c r="I2379" s="165"/>
    </row>
    <row r="2380" spans="1:9" ht="15" customHeight="1" x14ac:dyDescent="0.3">
      <c r="A2380" s="164"/>
      <c r="B2380" s="165"/>
      <c r="C2380" s="166"/>
      <c r="D2380" s="166"/>
      <c r="E2380" s="166"/>
      <c r="F2380" s="60">
        <f>ПЛАТЕЖИ[[#This Row],[СЎМ]]+(ПЛАТЕЖИ[[#This Row],[ВАЛЮТА]]*ПЛАТЕЖИ[[#This Row],[КУРС]])</f>
        <v>0</v>
      </c>
      <c r="G2380" s="165"/>
      <c r="H2380" s="165"/>
      <c r="I2380" s="165"/>
    </row>
    <row r="2381" spans="1:9" ht="15" customHeight="1" x14ac:dyDescent="0.3">
      <c r="A2381" s="164"/>
      <c r="B2381" s="165"/>
      <c r="C2381" s="166"/>
      <c r="D2381" s="166"/>
      <c r="E2381" s="166"/>
      <c r="F2381" s="60">
        <f>ПЛАТЕЖИ[[#This Row],[СЎМ]]+(ПЛАТЕЖИ[[#This Row],[ВАЛЮТА]]*ПЛАТЕЖИ[[#This Row],[КУРС]])</f>
        <v>0</v>
      </c>
      <c r="G2381" s="165"/>
      <c r="H2381" s="165"/>
      <c r="I2381" s="165"/>
    </row>
    <row r="2382" spans="1:9" ht="15" customHeight="1" x14ac:dyDescent="0.3">
      <c r="A2382" s="164"/>
      <c r="B2382" s="165"/>
      <c r="C2382" s="166"/>
      <c r="D2382" s="166"/>
      <c r="E2382" s="166"/>
      <c r="F2382" s="60">
        <f>ПЛАТЕЖИ[[#This Row],[СЎМ]]+(ПЛАТЕЖИ[[#This Row],[ВАЛЮТА]]*ПЛАТЕЖИ[[#This Row],[КУРС]])</f>
        <v>0</v>
      </c>
      <c r="G2382" s="165"/>
      <c r="H2382" s="165"/>
      <c r="I2382" s="165"/>
    </row>
    <row r="2383" spans="1:9" x14ac:dyDescent="0.3">
      <c r="A2383" s="164"/>
      <c r="B2383" s="165"/>
      <c r="C2383" s="166"/>
      <c r="D2383" s="166"/>
      <c r="E2383" s="166"/>
      <c r="F2383" s="60">
        <f>ПЛАТЕЖИ[[#This Row],[СЎМ]]+(ПЛАТЕЖИ[[#This Row],[ВАЛЮТА]]*ПЛАТЕЖИ[[#This Row],[КУРС]])</f>
        <v>0</v>
      </c>
      <c r="G2383" s="165"/>
      <c r="H2383" s="165"/>
      <c r="I2383" s="165"/>
    </row>
    <row r="2384" spans="1:9" ht="15" customHeight="1" x14ac:dyDescent="0.3">
      <c r="A2384" s="164"/>
      <c r="B2384" s="165"/>
      <c r="C2384" s="166"/>
      <c r="D2384" s="166"/>
      <c r="E2384" s="166"/>
      <c r="F2384" s="60">
        <f>ПЛАТЕЖИ[[#This Row],[СЎМ]]+(ПЛАТЕЖИ[[#This Row],[ВАЛЮТА]]*ПЛАТЕЖИ[[#This Row],[КУРС]])</f>
        <v>0</v>
      </c>
      <c r="G2384" s="165"/>
      <c r="H2384" s="165"/>
      <c r="I2384" s="165"/>
    </row>
    <row r="2385" spans="1:9" ht="15" customHeight="1" x14ac:dyDescent="0.3">
      <c r="A2385" s="164"/>
      <c r="B2385" s="165"/>
      <c r="C2385" s="166"/>
      <c r="D2385" s="166"/>
      <c r="E2385" s="166"/>
      <c r="F2385" s="60">
        <f>ПЛАТЕЖИ[[#This Row],[СЎМ]]+(ПЛАТЕЖИ[[#This Row],[ВАЛЮТА]]*ПЛАТЕЖИ[[#This Row],[КУРС]])</f>
        <v>0</v>
      </c>
      <c r="G2385" s="165"/>
      <c r="H2385" s="165"/>
      <c r="I2385" s="165"/>
    </row>
    <row r="2386" spans="1:9" ht="15" customHeight="1" x14ac:dyDescent="0.3">
      <c r="A2386" s="164"/>
      <c r="B2386" s="165"/>
      <c r="C2386" s="166"/>
      <c r="D2386" s="166"/>
      <c r="E2386" s="166"/>
      <c r="F2386" s="60">
        <f>ПЛАТЕЖИ[[#This Row],[СЎМ]]+(ПЛАТЕЖИ[[#This Row],[ВАЛЮТА]]*ПЛАТЕЖИ[[#This Row],[КУРС]])</f>
        <v>0</v>
      </c>
      <c r="G2386" s="165"/>
      <c r="H2386" s="165"/>
      <c r="I2386" s="165"/>
    </row>
    <row r="2387" spans="1:9" ht="15" customHeight="1" x14ac:dyDescent="0.3">
      <c r="A2387" s="164"/>
      <c r="B2387" s="165"/>
      <c r="C2387" s="166"/>
      <c r="D2387" s="166"/>
      <c r="E2387" s="166"/>
      <c r="F2387" s="60">
        <f>ПЛАТЕЖИ[[#This Row],[СЎМ]]+(ПЛАТЕЖИ[[#This Row],[ВАЛЮТА]]*ПЛАТЕЖИ[[#This Row],[КУРС]])</f>
        <v>0</v>
      </c>
      <c r="G2387" s="165"/>
      <c r="H2387" s="165"/>
      <c r="I2387" s="165"/>
    </row>
    <row r="2388" spans="1:9" ht="15" customHeight="1" x14ac:dyDescent="0.3">
      <c r="A2388" s="164"/>
      <c r="B2388" s="165"/>
      <c r="C2388" s="166"/>
      <c r="D2388" s="166"/>
      <c r="E2388" s="166"/>
      <c r="F2388" s="60">
        <f>ПЛАТЕЖИ[[#This Row],[СЎМ]]+(ПЛАТЕЖИ[[#This Row],[ВАЛЮТА]]*ПЛАТЕЖИ[[#This Row],[КУРС]])</f>
        <v>0</v>
      </c>
      <c r="G2388" s="165"/>
      <c r="H2388" s="165"/>
      <c r="I2388" s="165"/>
    </row>
    <row r="2389" spans="1:9" ht="15" customHeight="1" x14ac:dyDescent="0.3">
      <c r="A2389" s="164"/>
      <c r="B2389" s="165"/>
      <c r="C2389" s="166"/>
      <c r="D2389" s="166"/>
      <c r="E2389" s="166"/>
      <c r="F2389" s="60">
        <f>ПЛАТЕЖИ[[#This Row],[СЎМ]]+(ПЛАТЕЖИ[[#This Row],[ВАЛЮТА]]*ПЛАТЕЖИ[[#This Row],[КУРС]])</f>
        <v>0</v>
      </c>
      <c r="G2389" s="165"/>
      <c r="H2389" s="165"/>
      <c r="I2389" s="165"/>
    </row>
    <row r="2390" spans="1:9" ht="15" customHeight="1" x14ac:dyDescent="0.3">
      <c r="A2390" s="164"/>
      <c r="B2390" s="165"/>
      <c r="C2390" s="166"/>
      <c r="D2390" s="166"/>
      <c r="E2390" s="166"/>
      <c r="F2390" s="60">
        <f>ПЛАТЕЖИ[[#This Row],[СЎМ]]+(ПЛАТЕЖИ[[#This Row],[ВАЛЮТА]]*ПЛАТЕЖИ[[#This Row],[КУРС]])</f>
        <v>0</v>
      </c>
      <c r="G2390" s="165"/>
      <c r="H2390" s="165"/>
      <c r="I2390" s="165"/>
    </row>
    <row r="2391" spans="1:9" ht="15" customHeight="1" x14ac:dyDescent="0.3">
      <c r="A2391" s="164"/>
      <c r="B2391" s="165"/>
      <c r="C2391" s="166"/>
      <c r="D2391" s="166"/>
      <c r="E2391" s="166"/>
      <c r="F2391" s="60">
        <f>ПЛАТЕЖИ[[#This Row],[СЎМ]]+(ПЛАТЕЖИ[[#This Row],[ВАЛЮТА]]*ПЛАТЕЖИ[[#This Row],[КУРС]])</f>
        <v>0</v>
      </c>
      <c r="G2391" s="165"/>
      <c r="H2391" s="165"/>
      <c r="I2391" s="165"/>
    </row>
    <row r="2392" spans="1:9" ht="15" customHeight="1" x14ac:dyDescent="0.3">
      <c r="A2392" s="164"/>
      <c r="B2392" s="165"/>
      <c r="C2392" s="166"/>
      <c r="D2392" s="166"/>
      <c r="E2392" s="166"/>
      <c r="F2392" s="60">
        <f>ПЛАТЕЖИ[[#This Row],[СЎМ]]+(ПЛАТЕЖИ[[#This Row],[ВАЛЮТА]]*ПЛАТЕЖИ[[#This Row],[КУРС]])</f>
        <v>0</v>
      </c>
      <c r="G2392" s="165"/>
      <c r="H2392" s="165"/>
      <c r="I2392" s="165"/>
    </row>
    <row r="2393" spans="1:9" ht="15" customHeight="1" x14ac:dyDescent="0.3">
      <c r="A2393" s="164"/>
      <c r="B2393" s="165"/>
      <c r="C2393" s="166"/>
      <c r="D2393" s="166"/>
      <c r="E2393" s="166"/>
      <c r="F2393" s="60">
        <f>ПЛАТЕЖИ[[#This Row],[СЎМ]]+(ПЛАТЕЖИ[[#This Row],[ВАЛЮТА]]*ПЛАТЕЖИ[[#This Row],[КУРС]])</f>
        <v>0</v>
      </c>
      <c r="G2393" s="165"/>
      <c r="H2393" s="165"/>
      <c r="I2393" s="165"/>
    </row>
    <row r="2394" spans="1:9" ht="15" customHeight="1" x14ac:dyDescent="0.3">
      <c r="A2394" s="164"/>
      <c r="B2394" s="165"/>
      <c r="C2394" s="166"/>
      <c r="D2394" s="166"/>
      <c r="E2394" s="166"/>
      <c r="F2394" s="60">
        <f>ПЛАТЕЖИ[[#This Row],[СЎМ]]+(ПЛАТЕЖИ[[#This Row],[ВАЛЮТА]]*ПЛАТЕЖИ[[#This Row],[КУРС]])</f>
        <v>0</v>
      </c>
      <c r="G2394" s="165"/>
      <c r="H2394" s="165"/>
      <c r="I2394" s="165"/>
    </row>
    <row r="2395" spans="1:9" ht="15" customHeight="1" x14ac:dyDescent="0.3">
      <c r="A2395" s="164"/>
      <c r="B2395" s="165"/>
      <c r="C2395" s="166"/>
      <c r="D2395" s="166"/>
      <c r="E2395" s="166"/>
      <c r="F2395" s="60">
        <f>ПЛАТЕЖИ[[#This Row],[СЎМ]]+(ПЛАТЕЖИ[[#This Row],[ВАЛЮТА]]*ПЛАТЕЖИ[[#This Row],[КУРС]])</f>
        <v>0</v>
      </c>
      <c r="G2395" s="165"/>
      <c r="H2395" s="165"/>
      <c r="I2395" s="165"/>
    </row>
    <row r="2396" spans="1:9" ht="15" customHeight="1" x14ac:dyDescent="0.3">
      <c r="A2396" s="164"/>
      <c r="B2396" s="165"/>
      <c r="C2396" s="166"/>
      <c r="D2396" s="166"/>
      <c r="E2396" s="166"/>
      <c r="F2396" s="60">
        <f>ПЛАТЕЖИ[[#This Row],[СЎМ]]+(ПЛАТЕЖИ[[#This Row],[ВАЛЮТА]]*ПЛАТЕЖИ[[#This Row],[КУРС]])</f>
        <v>0</v>
      </c>
      <c r="G2396" s="165"/>
      <c r="H2396" s="165"/>
      <c r="I2396" s="165"/>
    </row>
    <row r="2397" spans="1:9" ht="15" customHeight="1" x14ac:dyDescent="0.3">
      <c r="A2397" s="164"/>
      <c r="B2397" s="165"/>
      <c r="C2397" s="166"/>
      <c r="D2397" s="166"/>
      <c r="E2397" s="166"/>
      <c r="F2397" s="60">
        <f>ПЛАТЕЖИ[[#This Row],[СЎМ]]+(ПЛАТЕЖИ[[#This Row],[ВАЛЮТА]]*ПЛАТЕЖИ[[#This Row],[КУРС]])</f>
        <v>0</v>
      </c>
      <c r="G2397" s="165"/>
      <c r="H2397" s="165"/>
      <c r="I2397" s="165"/>
    </row>
    <row r="2398" spans="1:9" ht="15" customHeight="1" x14ac:dyDescent="0.3">
      <c r="A2398" s="164"/>
      <c r="B2398" s="165"/>
      <c r="C2398" s="166"/>
      <c r="D2398" s="166"/>
      <c r="E2398" s="166"/>
      <c r="F2398" s="60">
        <f>ПЛАТЕЖИ[[#This Row],[СЎМ]]+(ПЛАТЕЖИ[[#This Row],[ВАЛЮТА]]*ПЛАТЕЖИ[[#This Row],[КУРС]])</f>
        <v>0</v>
      </c>
      <c r="G2398" s="165"/>
      <c r="H2398" s="165"/>
      <c r="I2398" s="165"/>
    </row>
    <row r="2399" spans="1:9" ht="15" customHeight="1" x14ac:dyDescent="0.3">
      <c r="A2399" s="164"/>
      <c r="B2399" s="165"/>
      <c r="C2399" s="166"/>
      <c r="D2399" s="166"/>
      <c r="E2399" s="166"/>
      <c r="F2399" s="60">
        <f>ПЛАТЕЖИ[[#This Row],[СЎМ]]+(ПЛАТЕЖИ[[#This Row],[ВАЛЮТА]]*ПЛАТЕЖИ[[#This Row],[КУРС]])</f>
        <v>0</v>
      </c>
      <c r="G2399" s="165"/>
      <c r="H2399" s="165"/>
      <c r="I2399" s="165"/>
    </row>
    <row r="2400" spans="1:9" ht="15" customHeight="1" x14ac:dyDescent="0.3">
      <c r="A2400" s="164"/>
      <c r="B2400" s="165"/>
      <c r="C2400" s="166"/>
      <c r="D2400" s="166"/>
      <c r="E2400" s="166"/>
      <c r="F2400" s="60">
        <f>ПЛАТЕЖИ[[#This Row],[СЎМ]]+(ПЛАТЕЖИ[[#This Row],[ВАЛЮТА]]*ПЛАТЕЖИ[[#This Row],[КУРС]])</f>
        <v>0</v>
      </c>
      <c r="G2400" s="165"/>
      <c r="H2400" s="165"/>
      <c r="I2400" s="165"/>
    </row>
    <row r="2401" spans="1:9" ht="15" customHeight="1" x14ac:dyDescent="0.3">
      <c r="A2401" s="164"/>
      <c r="B2401" s="165"/>
      <c r="C2401" s="166"/>
      <c r="D2401" s="166"/>
      <c r="E2401" s="166"/>
      <c r="F2401" s="60">
        <f>ПЛАТЕЖИ[[#This Row],[СЎМ]]+(ПЛАТЕЖИ[[#This Row],[ВАЛЮТА]]*ПЛАТЕЖИ[[#This Row],[КУРС]])</f>
        <v>0</v>
      </c>
      <c r="G2401" s="165"/>
      <c r="H2401" s="165"/>
      <c r="I2401" s="165"/>
    </row>
    <row r="2402" spans="1:9" ht="15" customHeight="1" x14ac:dyDescent="0.3">
      <c r="A2402" s="164"/>
      <c r="B2402" s="165"/>
      <c r="C2402" s="166"/>
      <c r="D2402" s="166"/>
      <c r="E2402" s="166"/>
      <c r="F2402" s="60">
        <f>ПЛАТЕЖИ[[#This Row],[СЎМ]]+(ПЛАТЕЖИ[[#This Row],[ВАЛЮТА]]*ПЛАТЕЖИ[[#This Row],[КУРС]])</f>
        <v>0</v>
      </c>
      <c r="G2402" s="165"/>
      <c r="H2402" s="165"/>
      <c r="I2402" s="165"/>
    </row>
    <row r="2403" spans="1:9" ht="15" customHeight="1" x14ac:dyDescent="0.3">
      <c r="A2403" s="164"/>
      <c r="B2403" s="165"/>
      <c r="C2403" s="166"/>
      <c r="D2403" s="166"/>
      <c r="E2403" s="166"/>
      <c r="F2403" s="60">
        <f>ПЛАТЕЖИ[[#This Row],[СЎМ]]+(ПЛАТЕЖИ[[#This Row],[ВАЛЮТА]]*ПЛАТЕЖИ[[#This Row],[КУРС]])</f>
        <v>0</v>
      </c>
      <c r="G2403" s="165"/>
      <c r="H2403" s="165"/>
      <c r="I2403" s="165"/>
    </row>
    <row r="2404" spans="1:9" ht="15" customHeight="1" x14ac:dyDescent="0.3">
      <c r="A2404" s="164"/>
      <c r="B2404" s="165"/>
      <c r="C2404" s="166"/>
      <c r="D2404" s="166"/>
      <c r="E2404" s="166"/>
      <c r="F2404" s="60">
        <f>ПЛАТЕЖИ[[#This Row],[СЎМ]]+(ПЛАТЕЖИ[[#This Row],[ВАЛЮТА]]*ПЛАТЕЖИ[[#This Row],[КУРС]])</f>
        <v>0</v>
      </c>
      <c r="G2404" s="165"/>
      <c r="H2404" s="165"/>
      <c r="I2404" s="165"/>
    </row>
    <row r="2405" spans="1:9" ht="15" customHeight="1" x14ac:dyDescent="0.3">
      <c r="A2405" s="164"/>
      <c r="B2405" s="165"/>
      <c r="C2405" s="166"/>
      <c r="D2405" s="166"/>
      <c r="E2405" s="166"/>
      <c r="F2405" s="60">
        <f>ПЛАТЕЖИ[[#This Row],[СЎМ]]+(ПЛАТЕЖИ[[#This Row],[ВАЛЮТА]]*ПЛАТЕЖИ[[#This Row],[КУРС]])</f>
        <v>0</v>
      </c>
      <c r="G2405" s="165"/>
      <c r="H2405" s="165"/>
      <c r="I2405" s="165"/>
    </row>
    <row r="2406" spans="1:9" ht="15" customHeight="1" x14ac:dyDescent="0.3">
      <c r="A2406" s="164"/>
      <c r="B2406" s="165"/>
      <c r="C2406" s="166"/>
      <c r="D2406" s="166"/>
      <c r="E2406" s="166"/>
      <c r="F2406" s="60">
        <f>ПЛАТЕЖИ[[#This Row],[СЎМ]]+(ПЛАТЕЖИ[[#This Row],[ВАЛЮТА]]*ПЛАТЕЖИ[[#This Row],[КУРС]])</f>
        <v>0</v>
      </c>
      <c r="G2406" s="165"/>
      <c r="H2406" s="165"/>
      <c r="I2406" s="165"/>
    </row>
    <row r="2407" spans="1:9" ht="15" customHeight="1" x14ac:dyDescent="0.3">
      <c r="A2407" s="164"/>
      <c r="B2407" s="220"/>
      <c r="C2407" s="166"/>
      <c r="D2407" s="166"/>
      <c r="E2407" s="166"/>
      <c r="F2407" s="60">
        <f>ПЛАТЕЖИ[[#This Row],[СЎМ]]+(ПЛАТЕЖИ[[#This Row],[ВАЛЮТА]]*ПЛАТЕЖИ[[#This Row],[КУРС]])</f>
        <v>0</v>
      </c>
      <c r="G2407" s="165"/>
      <c r="H2407" s="165"/>
      <c r="I2407" s="165"/>
    </row>
    <row r="2408" spans="1:9" ht="15" customHeight="1" x14ac:dyDescent="0.3">
      <c r="A2408" s="164"/>
      <c r="B2408" s="165"/>
      <c r="C2408" s="166"/>
      <c r="D2408" s="166"/>
      <c r="E2408" s="166"/>
      <c r="F2408" s="60">
        <f>ПЛАТЕЖИ[[#This Row],[СЎМ]]+(ПЛАТЕЖИ[[#This Row],[ВАЛЮТА]]*ПЛАТЕЖИ[[#This Row],[КУРС]])</f>
        <v>0</v>
      </c>
      <c r="G2408" s="165"/>
      <c r="H2408" s="165"/>
      <c r="I2408" s="165"/>
    </row>
    <row r="2409" spans="1:9" ht="15" customHeight="1" x14ac:dyDescent="0.3">
      <c r="A2409" s="164"/>
      <c r="B2409" s="165"/>
      <c r="C2409" s="166"/>
      <c r="D2409" s="166"/>
      <c r="E2409" s="166"/>
      <c r="F2409" s="60">
        <f>ПЛАТЕЖИ[[#This Row],[СЎМ]]+(ПЛАТЕЖИ[[#This Row],[ВАЛЮТА]]*ПЛАТЕЖИ[[#This Row],[КУРС]])</f>
        <v>0</v>
      </c>
      <c r="G2409" s="165"/>
      <c r="H2409" s="165"/>
      <c r="I2409" s="165"/>
    </row>
    <row r="2410" spans="1:9" ht="15" customHeight="1" x14ac:dyDescent="0.3">
      <c r="A2410" s="164"/>
      <c r="B2410" s="165"/>
      <c r="C2410" s="166"/>
      <c r="D2410" s="166"/>
      <c r="E2410" s="166"/>
      <c r="F2410" s="60">
        <f>ПЛАТЕЖИ[[#This Row],[СЎМ]]+(ПЛАТЕЖИ[[#This Row],[ВАЛЮТА]]*ПЛАТЕЖИ[[#This Row],[КУРС]])</f>
        <v>0</v>
      </c>
      <c r="G2410" s="165"/>
      <c r="H2410" s="165"/>
      <c r="I2410" s="165"/>
    </row>
    <row r="2411" spans="1:9" ht="15" customHeight="1" x14ac:dyDescent="0.3">
      <c r="A2411" s="164"/>
      <c r="B2411" s="165"/>
      <c r="C2411" s="166"/>
      <c r="D2411" s="166"/>
      <c r="E2411" s="166"/>
      <c r="F2411" s="60">
        <f>ПЛАТЕЖИ[[#This Row],[СЎМ]]+(ПЛАТЕЖИ[[#This Row],[ВАЛЮТА]]*ПЛАТЕЖИ[[#This Row],[КУРС]])</f>
        <v>0</v>
      </c>
      <c r="G2411" s="165"/>
      <c r="H2411" s="165"/>
      <c r="I2411" s="165"/>
    </row>
    <row r="2412" spans="1:9" ht="15" customHeight="1" x14ac:dyDescent="0.3">
      <c r="A2412" s="164"/>
      <c r="B2412" s="165"/>
      <c r="C2412" s="166"/>
      <c r="D2412" s="166"/>
      <c r="E2412" s="166"/>
      <c r="F2412" s="60">
        <f>ПЛАТЕЖИ[[#This Row],[СЎМ]]+(ПЛАТЕЖИ[[#This Row],[ВАЛЮТА]]*ПЛАТЕЖИ[[#This Row],[КУРС]])</f>
        <v>0</v>
      </c>
      <c r="G2412" s="165"/>
      <c r="H2412" s="165"/>
      <c r="I2412" s="165"/>
    </row>
    <row r="2413" spans="1:9" ht="15" customHeight="1" x14ac:dyDescent="0.3">
      <c r="A2413" s="164"/>
      <c r="B2413" s="165"/>
      <c r="C2413" s="166"/>
      <c r="D2413" s="166"/>
      <c r="E2413" s="166"/>
      <c r="F2413" s="60">
        <f>ПЛАТЕЖИ[[#This Row],[СЎМ]]+(ПЛАТЕЖИ[[#This Row],[ВАЛЮТА]]*ПЛАТЕЖИ[[#This Row],[КУРС]])</f>
        <v>0</v>
      </c>
      <c r="G2413" s="165"/>
      <c r="H2413" s="165"/>
      <c r="I2413" s="165"/>
    </row>
    <row r="2414" spans="1:9" ht="15" customHeight="1" x14ac:dyDescent="0.3">
      <c r="A2414" s="164"/>
      <c r="B2414" s="165"/>
      <c r="C2414" s="166"/>
      <c r="D2414" s="166"/>
      <c r="E2414" s="166"/>
      <c r="F2414" s="60">
        <f>ПЛАТЕЖИ[[#This Row],[СЎМ]]+(ПЛАТЕЖИ[[#This Row],[ВАЛЮТА]]*ПЛАТЕЖИ[[#This Row],[КУРС]])</f>
        <v>0</v>
      </c>
      <c r="G2414" s="165"/>
      <c r="H2414" s="165"/>
      <c r="I2414" s="165"/>
    </row>
    <row r="2415" spans="1:9" ht="15" customHeight="1" x14ac:dyDescent="0.3">
      <c r="A2415" s="164"/>
      <c r="B2415" s="165"/>
      <c r="C2415" s="166"/>
      <c r="D2415" s="166"/>
      <c r="E2415" s="166"/>
      <c r="F2415" s="60">
        <f>ПЛАТЕЖИ[[#This Row],[СЎМ]]+(ПЛАТЕЖИ[[#This Row],[ВАЛЮТА]]*ПЛАТЕЖИ[[#This Row],[КУРС]])</f>
        <v>0</v>
      </c>
      <c r="G2415" s="165"/>
      <c r="H2415" s="165"/>
      <c r="I2415" s="165"/>
    </row>
    <row r="2416" spans="1:9" ht="15" customHeight="1" x14ac:dyDescent="0.3">
      <c r="A2416" s="164"/>
      <c r="B2416" s="165"/>
      <c r="C2416" s="166"/>
      <c r="D2416" s="166"/>
      <c r="E2416" s="166"/>
      <c r="F2416" s="60">
        <f>ПЛАТЕЖИ[[#This Row],[СЎМ]]+(ПЛАТЕЖИ[[#This Row],[ВАЛЮТА]]*ПЛАТЕЖИ[[#This Row],[КУРС]])</f>
        <v>0</v>
      </c>
      <c r="G2416" s="165"/>
      <c r="H2416" s="165"/>
      <c r="I2416" s="165"/>
    </row>
    <row r="2417" spans="1:9" ht="15" customHeight="1" x14ac:dyDescent="0.3">
      <c r="A2417" s="164"/>
      <c r="B2417" s="165"/>
      <c r="C2417" s="166"/>
      <c r="D2417" s="166"/>
      <c r="E2417" s="166"/>
      <c r="F2417" s="60">
        <f>ПЛАТЕЖИ[[#This Row],[СЎМ]]+(ПЛАТЕЖИ[[#This Row],[ВАЛЮТА]]*ПЛАТЕЖИ[[#This Row],[КУРС]])</f>
        <v>0</v>
      </c>
      <c r="G2417" s="165"/>
      <c r="H2417" s="165"/>
      <c r="I2417" s="165"/>
    </row>
    <row r="2418" spans="1:9" ht="15" customHeight="1" x14ac:dyDescent="0.3">
      <c r="A2418" s="164"/>
      <c r="B2418" s="165"/>
      <c r="C2418" s="166"/>
      <c r="D2418" s="166"/>
      <c r="E2418" s="166"/>
      <c r="F2418" s="60">
        <f>ПЛАТЕЖИ[[#This Row],[СЎМ]]+(ПЛАТЕЖИ[[#This Row],[ВАЛЮТА]]*ПЛАТЕЖИ[[#This Row],[КУРС]])</f>
        <v>0</v>
      </c>
      <c r="G2418" s="165"/>
      <c r="H2418" s="165"/>
      <c r="I2418" s="165"/>
    </row>
    <row r="2419" spans="1:9" ht="15" customHeight="1" x14ac:dyDescent="0.3">
      <c r="A2419" s="164"/>
      <c r="B2419" s="165"/>
      <c r="C2419" s="166"/>
      <c r="D2419" s="166"/>
      <c r="E2419" s="166"/>
      <c r="F2419" s="60">
        <f>ПЛАТЕЖИ[[#This Row],[СЎМ]]+(ПЛАТЕЖИ[[#This Row],[ВАЛЮТА]]*ПЛАТЕЖИ[[#This Row],[КУРС]])</f>
        <v>0</v>
      </c>
      <c r="G2419" s="165"/>
      <c r="H2419" s="165"/>
      <c r="I2419" s="165"/>
    </row>
    <row r="2420" spans="1:9" ht="15" customHeight="1" x14ac:dyDescent="0.3">
      <c r="A2420" s="164"/>
      <c r="B2420" s="165"/>
      <c r="C2420" s="166"/>
      <c r="D2420" s="166"/>
      <c r="E2420" s="166"/>
      <c r="F2420" s="60">
        <f>ПЛАТЕЖИ[[#This Row],[СЎМ]]+(ПЛАТЕЖИ[[#This Row],[ВАЛЮТА]]*ПЛАТЕЖИ[[#This Row],[КУРС]])</f>
        <v>0</v>
      </c>
      <c r="G2420" s="165"/>
      <c r="H2420" s="165"/>
      <c r="I2420" s="165"/>
    </row>
    <row r="2421" spans="1:9" ht="15" customHeight="1" x14ac:dyDescent="0.3">
      <c r="A2421" s="164"/>
      <c r="B2421" s="165"/>
      <c r="C2421" s="166"/>
      <c r="D2421" s="166"/>
      <c r="E2421" s="166"/>
      <c r="F2421" s="60">
        <f>ПЛАТЕЖИ[[#This Row],[СЎМ]]+(ПЛАТЕЖИ[[#This Row],[ВАЛЮТА]]*ПЛАТЕЖИ[[#This Row],[КУРС]])</f>
        <v>0</v>
      </c>
      <c r="G2421" s="165"/>
      <c r="H2421" s="165"/>
      <c r="I2421" s="165"/>
    </row>
    <row r="2422" spans="1:9" ht="15" customHeight="1" x14ac:dyDescent="0.3">
      <c r="A2422" s="164"/>
      <c r="B2422" s="165"/>
      <c r="C2422" s="166"/>
      <c r="D2422" s="166"/>
      <c r="E2422" s="166"/>
      <c r="F2422" s="60">
        <f>ПЛАТЕЖИ[[#This Row],[СЎМ]]+(ПЛАТЕЖИ[[#This Row],[ВАЛЮТА]]*ПЛАТЕЖИ[[#This Row],[КУРС]])</f>
        <v>0</v>
      </c>
      <c r="G2422" s="165"/>
      <c r="H2422" s="165"/>
      <c r="I2422" s="165"/>
    </row>
    <row r="2423" spans="1:9" ht="15" customHeight="1" x14ac:dyDescent="0.3">
      <c r="A2423" s="164"/>
      <c r="B2423" s="165"/>
      <c r="C2423" s="166"/>
      <c r="D2423" s="166"/>
      <c r="E2423" s="166"/>
      <c r="F2423" s="60">
        <f>ПЛАТЕЖИ[[#This Row],[СЎМ]]+(ПЛАТЕЖИ[[#This Row],[ВАЛЮТА]]*ПЛАТЕЖИ[[#This Row],[КУРС]])</f>
        <v>0</v>
      </c>
      <c r="G2423" s="165"/>
      <c r="H2423" s="165"/>
      <c r="I2423" s="165"/>
    </row>
    <row r="2424" spans="1:9" ht="15" customHeight="1" x14ac:dyDescent="0.3">
      <c r="A2424" s="164"/>
      <c r="B2424" s="165"/>
      <c r="C2424" s="166"/>
      <c r="D2424" s="166"/>
      <c r="E2424" s="166"/>
      <c r="F2424" s="60">
        <f>ПЛАТЕЖИ[[#This Row],[СЎМ]]+(ПЛАТЕЖИ[[#This Row],[ВАЛЮТА]]*ПЛАТЕЖИ[[#This Row],[КУРС]])</f>
        <v>0</v>
      </c>
      <c r="G2424" s="165"/>
      <c r="H2424" s="165"/>
      <c r="I2424" s="165"/>
    </row>
    <row r="2425" spans="1:9" ht="15" customHeight="1" x14ac:dyDescent="0.3">
      <c r="A2425" s="164"/>
      <c r="B2425" s="165"/>
      <c r="C2425" s="166"/>
      <c r="D2425" s="166"/>
      <c r="E2425" s="166"/>
      <c r="F2425" s="60">
        <f>ПЛАТЕЖИ[[#This Row],[СЎМ]]+(ПЛАТЕЖИ[[#This Row],[ВАЛЮТА]]*ПЛАТЕЖИ[[#This Row],[КУРС]])</f>
        <v>0</v>
      </c>
      <c r="G2425" s="165"/>
      <c r="H2425" s="165"/>
      <c r="I2425" s="165"/>
    </row>
    <row r="2426" spans="1:9" ht="15" customHeight="1" x14ac:dyDescent="0.3">
      <c r="A2426" s="164"/>
      <c r="B2426" s="165"/>
      <c r="C2426" s="166"/>
      <c r="D2426" s="166"/>
      <c r="E2426" s="166"/>
      <c r="F2426" s="60">
        <f>ПЛАТЕЖИ[[#This Row],[СЎМ]]+(ПЛАТЕЖИ[[#This Row],[ВАЛЮТА]]*ПЛАТЕЖИ[[#This Row],[КУРС]])</f>
        <v>0</v>
      </c>
      <c r="G2426" s="165"/>
      <c r="H2426" s="165"/>
      <c r="I2426" s="165"/>
    </row>
    <row r="2427" spans="1:9" ht="15" customHeight="1" x14ac:dyDescent="0.3">
      <c r="A2427" s="164"/>
      <c r="B2427" s="165"/>
      <c r="C2427" s="166"/>
      <c r="D2427" s="166"/>
      <c r="E2427" s="166"/>
      <c r="F2427" s="60">
        <f>ПЛАТЕЖИ[[#This Row],[СЎМ]]+(ПЛАТЕЖИ[[#This Row],[ВАЛЮТА]]*ПЛАТЕЖИ[[#This Row],[КУРС]])</f>
        <v>0</v>
      </c>
      <c r="G2427" s="165"/>
      <c r="H2427" s="165"/>
      <c r="I2427" s="165"/>
    </row>
    <row r="2428" spans="1:9" ht="15" customHeight="1" x14ac:dyDescent="0.3">
      <c r="A2428" s="164"/>
      <c r="B2428" s="165"/>
      <c r="C2428" s="166"/>
      <c r="D2428" s="166"/>
      <c r="E2428" s="166"/>
      <c r="F2428" s="60">
        <f>ПЛАТЕЖИ[[#This Row],[СЎМ]]+(ПЛАТЕЖИ[[#This Row],[ВАЛЮТА]]*ПЛАТЕЖИ[[#This Row],[КУРС]])</f>
        <v>0</v>
      </c>
      <c r="G2428" s="165"/>
      <c r="H2428" s="165"/>
      <c r="I2428" s="165"/>
    </row>
    <row r="2429" spans="1:9" ht="15" customHeight="1" x14ac:dyDescent="0.3">
      <c r="A2429" s="164"/>
      <c r="B2429" s="165"/>
      <c r="C2429" s="166"/>
      <c r="D2429" s="166"/>
      <c r="E2429" s="166"/>
      <c r="F2429" s="60">
        <f>ПЛАТЕЖИ[[#This Row],[СЎМ]]+(ПЛАТЕЖИ[[#This Row],[ВАЛЮТА]]*ПЛАТЕЖИ[[#This Row],[КУРС]])</f>
        <v>0</v>
      </c>
      <c r="G2429" s="165"/>
      <c r="H2429" s="165"/>
      <c r="I2429" s="165"/>
    </row>
    <row r="2430" spans="1:9" ht="15" customHeight="1" x14ac:dyDescent="0.3">
      <c r="A2430" s="164"/>
      <c r="B2430" s="165"/>
      <c r="C2430" s="166"/>
      <c r="D2430" s="166"/>
      <c r="E2430" s="166"/>
      <c r="F2430" s="60">
        <f>ПЛАТЕЖИ[[#This Row],[СЎМ]]+(ПЛАТЕЖИ[[#This Row],[ВАЛЮТА]]*ПЛАТЕЖИ[[#This Row],[КУРС]])</f>
        <v>0</v>
      </c>
      <c r="G2430" s="165"/>
      <c r="H2430" s="165"/>
      <c r="I2430" s="165"/>
    </row>
    <row r="2431" spans="1:9" ht="15" customHeight="1" x14ac:dyDescent="0.3">
      <c r="A2431" s="164"/>
      <c r="B2431" s="165"/>
      <c r="C2431" s="166"/>
      <c r="D2431" s="166"/>
      <c r="E2431" s="166"/>
      <c r="F2431" s="60">
        <f>ПЛАТЕЖИ[[#This Row],[СЎМ]]+(ПЛАТЕЖИ[[#This Row],[ВАЛЮТА]]*ПЛАТЕЖИ[[#This Row],[КУРС]])</f>
        <v>0</v>
      </c>
      <c r="G2431" s="165"/>
      <c r="H2431" s="165"/>
      <c r="I2431" s="165"/>
    </row>
    <row r="2432" spans="1:9" ht="15" customHeight="1" x14ac:dyDescent="0.3">
      <c r="A2432" s="164"/>
      <c r="B2432" s="165"/>
      <c r="C2432" s="166"/>
      <c r="D2432" s="166"/>
      <c r="E2432" s="166"/>
      <c r="F2432" s="60">
        <f>ПЛАТЕЖИ[[#This Row],[СЎМ]]+(ПЛАТЕЖИ[[#This Row],[ВАЛЮТА]]*ПЛАТЕЖИ[[#This Row],[КУРС]])</f>
        <v>0</v>
      </c>
      <c r="G2432" s="165"/>
      <c r="H2432" s="165"/>
      <c r="I2432" s="165"/>
    </row>
    <row r="2433" spans="1:9" ht="15" customHeight="1" x14ac:dyDescent="0.3">
      <c r="A2433" s="164"/>
      <c r="B2433" s="165"/>
      <c r="C2433" s="166"/>
      <c r="D2433" s="166"/>
      <c r="E2433" s="166"/>
      <c r="F2433" s="60">
        <f>ПЛАТЕЖИ[[#This Row],[СЎМ]]+(ПЛАТЕЖИ[[#This Row],[ВАЛЮТА]]*ПЛАТЕЖИ[[#This Row],[КУРС]])</f>
        <v>0</v>
      </c>
      <c r="G2433" s="165"/>
      <c r="H2433" s="165"/>
      <c r="I2433" s="165"/>
    </row>
    <row r="2434" spans="1:9" ht="15" customHeight="1" x14ac:dyDescent="0.3">
      <c r="A2434" s="164"/>
      <c r="B2434" s="165"/>
      <c r="C2434" s="166"/>
      <c r="D2434" s="166"/>
      <c r="E2434" s="166"/>
      <c r="F2434" s="60">
        <f>ПЛАТЕЖИ[[#This Row],[СЎМ]]+(ПЛАТЕЖИ[[#This Row],[ВАЛЮТА]]*ПЛАТЕЖИ[[#This Row],[КУРС]])</f>
        <v>0</v>
      </c>
      <c r="G2434" s="165"/>
      <c r="H2434" s="165"/>
      <c r="I2434" s="165"/>
    </row>
    <row r="2435" spans="1:9" ht="15" customHeight="1" x14ac:dyDescent="0.3">
      <c r="A2435" s="164"/>
      <c r="B2435" s="165"/>
      <c r="C2435" s="166"/>
      <c r="D2435" s="166"/>
      <c r="E2435" s="166"/>
      <c r="F2435" s="60">
        <f>ПЛАТЕЖИ[[#This Row],[СЎМ]]+(ПЛАТЕЖИ[[#This Row],[ВАЛЮТА]]*ПЛАТЕЖИ[[#This Row],[КУРС]])</f>
        <v>0</v>
      </c>
      <c r="G2435" s="165"/>
      <c r="H2435" s="165"/>
      <c r="I2435" s="165"/>
    </row>
    <row r="2436" spans="1:9" ht="15" customHeight="1" x14ac:dyDescent="0.3">
      <c r="A2436" s="164"/>
      <c r="B2436" s="165"/>
      <c r="C2436" s="166"/>
      <c r="D2436" s="166"/>
      <c r="E2436" s="166"/>
      <c r="F2436" s="60">
        <f>ПЛАТЕЖИ[[#This Row],[СЎМ]]+(ПЛАТЕЖИ[[#This Row],[ВАЛЮТА]]*ПЛАТЕЖИ[[#This Row],[КУРС]])</f>
        <v>0</v>
      </c>
      <c r="G2436" s="165"/>
      <c r="H2436" s="165"/>
      <c r="I2436" s="165"/>
    </row>
    <row r="2437" spans="1:9" ht="15" customHeight="1" x14ac:dyDescent="0.3">
      <c r="A2437" s="164"/>
      <c r="B2437" s="165"/>
      <c r="C2437" s="166"/>
      <c r="D2437" s="166"/>
      <c r="E2437" s="166"/>
      <c r="F2437" s="60">
        <f>ПЛАТЕЖИ[[#This Row],[СЎМ]]+(ПЛАТЕЖИ[[#This Row],[ВАЛЮТА]]*ПЛАТЕЖИ[[#This Row],[КУРС]])</f>
        <v>0</v>
      </c>
      <c r="G2437" s="165"/>
      <c r="H2437" s="165"/>
      <c r="I2437" s="165"/>
    </row>
    <row r="2438" spans="1:9" ht="15" customHeight="1" x14ac:dyDescent="0.3">
      <c r="A2438" s="164"/>
      <c r="B2438" s="165"/>
      <c r="C2438" s="166"/>
      <c r="D2438" s="166"/>
      <c r="E2438" s="166"/>
      <c r="F2438" s="60">
        <f>ПЛАТЕЖИ[[#This Row],[СЎМ]]+(ПЛАТЕЖИ[[#This Row],[ВАЛЮТА]]*ПЛАТЕЖИ[[#This Row],[КУРС]])</f>
        <v>0</v>
      </c>
      <c r="G2438" s="165"/>
      <c r="H2438" s="165"/>
      <c r="I2438" s="165"/>
    </row>
    <row r="2439" spans="1:9" ht="15" customHeight="1" x14ac:dyDescent="0.3">
      <c r="A2439" s="164"/>
      <c r="B2439" s="165"/>
      <c r="C2439" s="166"/>
      <c r="D2439" s="166"/>
      <c r="E2439" s="166"/>
      <c r="F2439" s="60">
        <f>ПЛАТЕЖИ[[#This Row],[СЎМ]]+(ПЛАТЕЖИ[[#This Row],[ВАЛЮТА]]*ПЛАТЕЖИ[[#This Row],[КУРС]])</f>
        <v>0</v>
      </c>
      <c r="G2439" s="165"/>
      <c r="H2439" s="165"/>
      <c r="I2439" s="165"/>
    </row>
    <row r="2440" spans="1:9" ht="15" customHeight="1" x14ac:dyDescent="0.3">
      <c r="A2440" s="164"/>
      <c r="B2440" s="165"/>
      <c r="C2440" s="166"/>
      <c r="D2440" s="166"/>
      <c r="E2440" s="166"/>
      <c r="F2440" s="60">
        <f>ПЛАТЕЖИ[[#This Row],[СЎМ]]+(ПЛАТЕЖИ[[#This Row],[ВАЛЮТА]]*ПЛАТЕЖИ[[#This Row],[КУРС]])</f>
        <v>0</v>
      </c>
      <c r="G2440" s="165"/>
      <c r="H2440" s="165"/>
      <c r="I2440" s="165"/>
    </row>
    <row r="2441" spans="1:9" ht="15" customHeight="1" x14ac:dyDescent="0.3">
      <c r="A2441" s="164"/>
      <c r="B2441" s="165"/>
      <c r="C2441" s="166"/>
      <c r="D2441" s="166"/>
      <c r="E2441" s="166"/>
      <c r="F2441" s="60">
        <f>ПЛАТЕЖИ[[#This Row],[СЎМ]]+(ПЛАТЕЖИ[[#This Row],[ВАЛЮТА]]*ПЛАТЕЖИ[[#This Row],[КУРС]])</f>
        <v>0</v>
      </c>
      <c r="G2441" s="165"/>
      <c r="H2441" s="165"/>
      <c r="I2441" s="165"/>
    </row>
    <row r="2442" spans="1:9" ht="15" customHeight="1" x14ac:dyDescent="0.3">
      <c r="A2442" s="164"/>
      <c r="B2442" s="165"/>
      <c r="C2442" s="166"/>
      <c r="D2442" s="166"/>
      <c r="E2442" s="166"/>
      <c r="F2442" s="60">
        <f>ПЛАТЕЖИ[[#This Row],[СЎМ]]+(ПЛАТЕЖИ[[#This Row],[ВАЛЮТА]]*ПЛАТЕЖИ[[#This Row],[КУРС]])</f>
        <v>0</v>
      </c>
      <c r="G2442" s="165"/>
      <c r="H2442" s="165"/>
      <c r="I2442" s="165"/>
    </row>
    <row r="2443" spans="1:9" ht="15" customHeight="1" x14ac:dyDescent="0.3">
      <c r="A2443" s="164"/>
      <c r="B2443" s="165"/>
      <c r="C2443" s="166"/>
      <c r="D2443" s="166"/>
      <c r="E2443" s="166"/>
      <c r="F2443" s="60">
        <f>ПЛАТЕЖИ[[#This Row],[СЎМ]]+(ПЛАТЕЖИ[[#This Row],[ВАЛЮТА]]*ПЛАТЕЖИ[[#This Row],[КУРС]])</f>
        <v>0</v>
      </c>
      <c r="G2443" s="165"/>
      <c r="H2443" s="165"/>
      <c r="I2443" s="165"/>
    </row>
    <row r="2444" spans="1:9" ht="15" customHeight="1" x14ac:dyDescent="0.3">
      <c r="A2444" s="164"/>
      <c r="B2444" s="165"/>
      <c r="C2444" s="166"/>
      <c r="D2444" s="166"/>
      <c r="E2444" s="166"/>
      <c r="F2444" s="60">
        <f>ПЛАТЕЖИ[[#This Row],[СЎМ]]+(ПЛАТЕЖИ[[#This Row],[ВАЛЮТА]]*ПЛАТЕЖИ[[#This Row],[КУРС]])</f>
        <v>0</v>
      </c>
      <c r="G2444" s="165"/>
      <c r="H2444" s="165"/>
      <c r="I2444" s="165"/>
    </row>
    <row r="2445" spans="1:9" ht="15" customHeight="1" x14ac:dyDescent="0.3">
      <c r="A2445" s="164"/>
      <c r="B2445" s="165"/>
      <c r="C2445" s="166"/>
      <c r="D2445" s="166"/>
      <c r="E2445" s="166"/>
      <c r="F2445" s="60">
        <f>ПЛАТЕЖИ[[#This Row],[СЎМ]]+(ПЛАТЕЖИ[[#This Row],[ВАЛЮТА]]*ПЛАТЕЖИ[[#This Row],[КУРС]])</f>
        <v>0</v>
      </c>
      <c r="G2445" s="165"/>
      <c r="H2445" s="165"/>
      <c r="I2445" s="165"/>
    </row>
    <row r="2446" spans="1:9" ht="15" customHeight="1" x14ac:dyDescent="0.3">
      <c r="A2446" s="164"/>
      <c r="B2446" s="165"/>
      <c r="C2446" s="166"/>
      <c r="D2446" s="166"/>
      <c r="E2446" s="166"/>
      <c r="F2446" s="60">
        <f>ПЛАТЕЖИ[[#This Row],[СЎМ]]+(ПЛАТЕЖИ[[#This Row],[ВАЛЮТА]]*ПЛАТЕЖИ[[#This Row],[КУРС]])</f>
        <v>0</v>
      </c>
      <c r="G2446" s="165"/>
      <c r="H2446" s="165"/>
      <c r="I2446" s="165"/>
    </row>
    <row r="2447" spans="1:9" ht="15" customHeight="1" x14ac:dyDescent="0.3">
      <c r="A2447" s="164"/>
      <c r="B2447" s="165"/>
      <c r="C2447" s="166"/>
      <c r="D2447" s="166"/>
      <c r="E2447" s="166"/>
      <c r="F2447" s="60">
        <f>ПЛАТЕЖИ[[#This Row],[СЎМ]]+(ПЛАТЕЖИ[[#This Row],[ВАЛЮТА]]*ПЛАТЕЖИ[[#This Row],[КУРС]])</f>
        <v>0</v>
      </c>
      <c r="G2447" s="165"/>
      <c r="H2447" s="165"/>
      <c r="I2447" s="165"/>
    </row>
    <row r="2448" spans="1:9" ht="15" customHeight="1" x14ac:dyDescent="0.3">
      <c r="A2448" s="164"/>
      <c r="B2448" s="165"/>
      <c r="C2448" s="166"/>
      <c r="D2448" s="166"/>
      <c r="E2448" s="166"/>
      <c r="F2448" s="60">
        <f>ПЛАТЕЖИ[[#This Row],[СЎМ]]+(ПЛАТЕЖИ[[#This Row],[ВАЛЮТА]]*ПЛАТЕЖИ[[#This Row],[КУРС]])</f>
        <v>0</v>
      </c>
      <c r="G2448" s="165"/>
      <c r="H2448" s="165"/>
      <c r="I2448" s="165"/>
    </row>
    <row r="2449" spans="1:9" ht="15" customHeight="1" x14ac:dyDescent="0.3">
      <c r="A2449" s="164"/>
      <c r="B2449" s="165"/>
      <c r="C2449" s="166"/>
      <c r="D2449" s="166"/>
      <c r="E2449" s="166"/>
      <c r="F2449" s="60">
        <f>ПЛАТЕЖИ[[#This Row],[СЎМ]]+(ПЛАТЕЖИ[[#This Row],[ВАЛЮТА]]*ПЛАТЕЖИ[[#This Row],[КУРС]])</f>
        <v>0</v>
      </c>
      <c r="G2449" s="165"/>
      <c r="H2449" s="165"/>
      <c r="I2449" s="165"/>
    </row>
    <row r="2450" spans="1:9" ht="15" customHeight="1" x14ac:dyDescent="0.3">
      <c r="A2450" s="164"/>
      <c r="B2450" s="165"/>
      <c r="C2450" s="166"/>
      <c r="D2450" s="166"/>
      <c r="E2450" s="166"/>
      <c r="F2450" s="60">
        <f>ПЛАТЕЖИ[[#This Row],[СЎМ]]+(ПЛАТЕЖИ[[#This Row],[ВАЛЮТА]]*ПЛАТЕЖИ[[#This Row],[КУРС]])</f>
        <v>0</v>
      </c>
      <c r="G2450" s="165"/>
      <c r="H2450" s="165"/>
      <c r="I2450" s="165"/>
    </row>
    <row r="2451" spans="1:9" ht="15" customHeight="1" x14ac:dyDescent="0.3">
      <c r="A2451" s="164"/>
      <c r="B2451" s="165"/>
      <c r="C2451" s="166"/>
      <c r="D2451" s="166"/>
      <c r="E2451" s="166"/>
      <c r="F2451" s="60">
        <f>ПЛАТЕЖИ[[#This Row],[СЎМ]]+(ПЛАТЕЖИ[[#This Row],[ВАЛЮТА]]*ПЛАТЕЖИ[[#This Row],[КУРС]])</f>
        <v>0</v>
      </c>
      <c r="G2451" s="165"/>
      <c r="H2451" s="165"/>
      <c r="I2451" s="165"/>
    </row>
    <row r="2452" spans="1:9" ht="15" customHeight="1" x14ac:dyDescent="0.3">
      <c r="A2452" s="164"/>
      <c r="B2452" s="165"/>
      <c r="C2452" s="166"/>
      <c r="D2452" s="166"/>
      <c r="E2452" s="166"/>
      <c r="F2452" s="60">
        <f>ПЛАТЕЖИ[[#This Row],[СЎМ]]+(ПЛАТЕЖИ[[#This Row],[ВАЛЮТА]]*ПЛАТЕЖИ[[#This Row],[КУРС]])</f>
        <v>0</v>
      </c>
      <c r="G2452" s="165"/>
      <c r="H2452" s="165"/>
      <c r="I2452" s="165"/>
    </row>
    <row r="2453" spans="1:9" ht="15" customHeight="1" x14ac:dyDescent="0.3">
      <c r="A2453" s="164"/>
      <c r="B2453" s="165"/>
      <c r="C2453" s="166"/>
      <c r="D2453" s="166"/>
      <c r="E2453" s="166"/>
      <c r="F2453" s="60">
        <f>ПЛАТЕЖИ[[#This Row],[СЎМ]]+(ПЛАТЕЖИ[[#This Row],[ВАЛЮТА]]*ПЛАТЕЖИ[[#This Row],[КУРС]])</f>
        <v>0</v>
      </c>
      <c r="G2453" s="165"/>
      <c r="H2453" s="165"/>
      <c r="I2453" s="165"/>
    </row>
    <row r="2454" spans="1:9" ht="15" customHeight="1" x14ac:dyDescent="0.3">
      <c r="A2454" s="164"/>
      <c r="B2454" s="165"/>
      <c r="C2454" s="166"/>
      <c r="D2454" s="166"/>
      <c r="E2454" s="166"/>
      <c r="F2454" s="60">
        <f>ПЛАТЕЖИ[[#This Row],[СЎМ]]+(ПЛАТЕЖИ[[#This Row],[ВАЛЮТА]]*ПЛАТЕЖИ[[#This Row],[КУРС]])</f>
        <v>0</v>
      </c>
      <c r="G2454" s="165"/>
      <c r="H2454" s="165"/>
      <c r="I2454" s="165"/>
    </row>
    <row r="2455" spans="1:9" ht="15" customHeight="1" x14ac:dyDescent="0.3">
      <c r="A2455" s="164"/>
      <c r="B2455" s="165"/>
      <c r="C2455" s="166"/>
      <c r="D2455" s="166"/>
      <c r="E2455" s="166"/>
      <c r="F2455" s="60">
        <f>ПЛАТЕЖИ[[#This Row],[СЎМ]]+(ПЛАТЕЖИ[[#This Row],[ВАЛЮТА]]*ПЛАТЕЖИ[[#This Row],[КУРС]])</f>
        <v>0</v>
      </c>
      <c r="G2455" s="165"/>
      <c r="H2455" s="165"/>
      <c r="I2455" s="165"/>
    </row>
    <row r="2456" spans="1:9" ht="15" customHeight="1" x14ac:dyDescent="0.3">
      <c r="A2456" s="164"/>
      <c r="B2456" s="165"/>
      <c r="C2456" s="166"/>
      <c r="D2456" s="166"/>
      <c r="E2456" s="166"/>
      <c r="F2456" s="60">
        <f>ПЛАТЕЖИ[[#This Row],[СЎМ]]+(ПЛАТЕЖИ[[#This Row],[ВАЛЮТА]]*ПЛАТЕЖИ[[#This Row],[КУРС]])</f>
        <v>0</v>
      </c>
      <c r="G2456" s="165"/>
      <c r="H2456" s="165"/>
      <c r="I2456" s="165"/>
    </row>
    <row r="2457" spans="1:9" ht="15" customHeight="1" x14ac:dyDescent="0.3">
      <c r="A2457" s="164"/>
      <c r="B2457" s="165"/>
      <c r="C2457" s="166"/>
      <c r="D2457" s="166"/>
      <c r="E2457" s="166"/>
      <c r="F2457" s="60">
        <f>ПЛАТЕЖИ[[#This Row],[СЎМ]]+(ПЛАТЕЖИ[[#This Row],[ВАЛЮТА]]*ПЛАТЕЖИ[[#This Row],[КУРС]])</f>
        <v>0</v>
      </c>
      <c r="G2457" s="165"/>
      <c r="H2457" s="165"/>
      <c r="I2457" s="165"/>
    </row>
    <row r="2458" spans="1:9" ht="15" customHeight="1" x14ac:dyDescent="0.3">
      <c r="A2458" s="164"/>
      <c r="B2458" s="165"/>
      <c r="C2458" s="166"/>
      <c r="D2458" s="166"/>
      <c r="E2458" s="166"/>
      <c r="F2458" s="60">
        <f>ПЛАТЕЖИ[[#This Row],[СЎМ]]+(ПЛАТЕЖИ[[#This Row],[ВАЛЮТА]]*ПЛАТЕЖИ[[#This Row],[КУРС]])</f>
        <v>0</v>
      </c>
      <c r="G2458" s="165"/>
      <c r="H2458" s="165"/>
      <c r="I2458" s="165"/>
    </row>
    <row r="2459" spans="1:9" ht="15" customHeight="1" x14ac:dyDescent="0.3">
      <c r="A2459" s="164"/>
      <c r="B2459" s="165"/>
      <c r="C2459" s="166"/>
      <c r="D2459" s="166"/>
      <c r="E2459" s="166"/>
      <c r="F2459" s="60">
        <f>ПЛАТЕЖИ[[#This Row],[СЎМ]]+(ПЛАТЕЖИ[[#This Row],[ВАЛЮТА]]*ПЛАТЕЖИ[[#This Row],[КУРС]])</f>
        <v>0</v>
      </c>
      <c r="G2459" s="165"/>
      <c r="H2459" s="165"/>
      <c r="I2459" s="165"/>
    </row>
    <row r="2460" spans="1:9" ht="15" customHeight="1" x14ac:dyDescent="0.3">
      <c r="A2460" s="164"/>
      <c r="B2460" s="165"/>
      <c r="C2460" s="166"/>
      <c r="D2460" s="166"/>
      <c r="E2460" s="166"/>
      <c r="F2460" s="60">
        <f>ПЛАТЕЖИ[[#This Row],[СЎМ]]+(ПЛАТЕЖИ[[#This Row],[ВАЛЮТА]]*ПЛАТЕЖИ[[#This Row],[КУРС]])</f>
        <v>0</v>
      </c>
      <c r="G2460" s="165"/>
      <c r="H2460" s="165"/>
      <c r="I2460" s="165"/>
    </row>
    <row r="2461" spans="1:9" ht="15" customHeight="1" x14ac:dyDescent="0.3">
      <c r="A2461" s="164"/>
      <c r="B2461" s="165"/>
      <c r="C2461" s="166"/>
      <c r="D2461" s="166"/>
      <c r="E2461" s="166"/>
      <c r="F2461" s="60">
        <f>ПЛАТЕЖИ[[#This Row],[СЎМ]]+(ПЛАТЕЖИ[[#This Row],[ВАЛЮТА]]*ПЛАТЕЖИ[[#This Row],[КУРС]])</f>
        <v>0</v>
      </c>
      <c r="G2461" s="165"/>
      <c r="H2461" s="165"/>
      <c r="I2461" s="165"/>
    </row>
    <row r="2462" spans="1:9" ht="15" customHeight="1" x14ac:dyDescent="0.3">
      <c r="A2462" s="164"/>
      <c r="B2462" s="165"/>
      <c r="C2462" s="166"/>
      <c r="D2462" s="166"/>
      <c r="E2462" s="166"/>
      <c r="F2462" s="60">
        <f>ПЛАТЕЖИ[[#This Row],[СЎМ]]+(ПЛАТЕЖИ[[#This Row],[ВАЛЮТА]]*ПЛАТЕЖИ[[#This Row],[КУРС]])</f>
        <v>0</v>
      </c>
      <c r="G2462" s="165"/>
      <c r="H2462" s="165"/>
      <c r="I2462" s="165"/>
    </row>
    <row r="2463" spans="1:9" ht="15" customHeight="1" x14ac:dyDescent="0.3">
      <c r="A2463" s="164"/>
      <c r="B2463" s="165"/>
      <c r="C2463" s="166"/>
      <c r="D2463" s="166"/>
      <c r="E2463" s="166"/>
      <c r="F2463" s="60">
        <f>ПЛАТЕЖИ[[#This Row],[СЎМ]]+(ПЛАТЕЖИ[[#This Row],[ВАЛЮТА]]*ПЛАТЕЖИ[[#This Row],[КУРС]])</f>
        <v>0</v>
      </c>
      <c r="G2463" s="165"/>
      <c r="H2463" s="165"/>
      <c r="I2463" s="165"/>
    </row>
    <row r="2464" spans="1:9" ht="15" customHeight="1" x14ac:dyDescent="0.3">
      <c r="A2464" s="164"/>
      <c r="B2464" s="165"/>
      <c r="C2464" s="166"/>
      <c r="D2464" s="166"/>
      <c r="E2464" s="166"/>
      <c r="F2464" s="60">
        <f>ПЛАТЕЖИ[[#This Row],[СЎМ]]+(ПЛАТЕЖИ[[#This Row],[ВАЛЮТА]]*ПЛАТЕЖИ[[#This Row],[КУРС]])</f>
        <v>0</v>
      </c>
      <c r="G2464" s="165"/>
      <c r="H2464" s="165"/>
      <c r="I2464" s="165"/>
    </row>
    <row r="2465" spans="1:9" ht="15" customHeight="1" x14ac:dyDescent="0.3">
      <c r="A2465" s="164"/>
      <c r="B2465" s="165"/>
      <c r="C2465" s="166"/>
      <c r="D2465" s="166"/>
      <c r="E2465" s="166"/>
      <c r="F2465" s="60">
        <f>ПЛАТЕЖИ[[#This Row],[СЎМ]]+(ПЛАТЕЖИ[[#This Row],[ВАЛЮТА]]*ПЛАТЕЖИ[[#This Row],[КУРС]])</f>
        <v>0</v>
      </c>
      <c r="G2465" s="165"/>
      <c r="H2465" s="165"/>
      <c r="I2465" s="165"/>
    </row>
    <row r="2466" spans="1:9" ht="15" customHeight="1" x14ac:dyDescent="0.3">
      <c r="A2466" s="164"/>
      <c r="B2466" s="165"/>
      <c r="C2466" s="166"/>
      <c r="D2466" s="166"/>
      <c r="E2466" s="166"/>
      <c r="F2466" s="60">
        <f>ПЛАТЕЖИ[[#This Row],[СЎМ]]+(ПЛАТЕЖИ[[#This Row],[ВАЛЮТА]]*ПЛАТЕЖИ[[#This Row],[КУРС]])</f>
        <v>0</v>
      </c>
      <c r="G2466" s="165"/>
      <c r="H2466" s="165"/>
      <c r="I2466" s="165"/>
    </row>
    <row r="2467" spans="1:9" ht="15" customHeight="1" x14ac:dyDescent="0.3">
      <c r="A2467" s="164"/>
      <c r="B2467" s="165"/>
      <c r="C2467" s="166"/>
      <c r="D2467" s="166"/>
      <c r="E2467" s="166"/>
      <c r="F2467" s="60">
        <f>ПЛАТЕЖИ[[#This Row],[СЎМ]]+(ПЛАТЕЖИ[[#This Row],[ВАЛЮТА]]*ПЛАТЕЖИ[[#This Row],[КУРС]])</f>
        <v>0</v>
      </c>
      <c r="G2467" s="165"/>
      <c r="H2467" s="165"/>
      <c r="I2467" s="165"/>
    </row>
    <row r="2468" spans="1:9" ht="15" customHeight="1" x14ac:dyDescent="0.3">
      <c r="A2468" s="164"/>
      <c r="B2468" s="165"/>
      <c r="C2468" s="166"/>
      <c r="D2468" s="166"/>
      <c r="E2468" s="166"/>
      <c r="F2468" s="60">
        <f>ПЛАТЕЖИ[[#This Row],[СЎМ]]+(ПЛАТЕЖИ[[#This Row],[ВАЛЮТА]]*ПЛАТЕЖИ[[#This Row],[КУРС]])</f>
        <v>0</v>
      </c>
      <c r="G2468" s="165"/>
      <c r="H2468" s="165"/>
      <c r="I2468" s="165"/>
    </row>
    <row r="2469" spans="1:9" ht="15" customHeight="1" x14ac:dyDescent="0.3">
      <c r="A2469" s="164"/>
      <c r="B2469" s="165"/>
      <c r="C2469" s="166"/>
      <c r="D2469" s="166"/>
      <c r="E2469" s="166"/>
      <c r="F2469" s="60">
        <f>ПЛАТЕЖИ[[#This Row],[СЎМ]]+(ПЛАТЕЖИ[[#This Row],[ВАЛЮТА]]*ПЛАТЕЖИ[[#This Row],[КУРС]])</f>
        <v>0</v>
      </c>
      <c r="G2469" s="165"/>
      <c r="H2469" s="165"/>
      <c r="I2469" s="165"/>
    </row>
    <row r="2470" spans="1:9" ht="15" customHeight="1" x14ac:dyDescent="0.3">
      <c r="A2470" s="164"/>
      <c r="B2470" s="165"/>
      <c r="C2470" s="166"/>
      <c r="D2470" s="166"/>
      <c r="E2470" s="166"/>
      <c r="F2470" s="60">
        <f>ПЛАТЕЖИ[[#This Row],[СЎМ]]+(ПЛАТЕЖИ[[#This Row],[ВАЛЮТА]]*ПЛАТЕЖИ[[#This Row],[КУРС]])</f>
        <v>0</v>
      </c>
      <c r="G2470" s="165"/>
      <c r="H2470" s="165"/>
      <c r="I2470" s="165"/>
    </row>
    <row r="2471" spans="1:9" ht="15" customHeight="1" x14ac:dyDescent="0.3">
      <c r="A2471" s="164"/>
      <c r="B2471" s="165"/>
      <c r="C2471" s="166"/>
      <c r="D2471" s="166"/>
      <c r="E2471" s="166"/>
      <c r="F2471" s="60">
        <f>ПЛАТЕЖИ[[#This Row],[СЎМ]]+(ПЛАТЕЖИ[[#This Row],[ВАЛЮТА]]*ПЛАТЕЖИ[[#This Row],[КУРС]])</f>
        <v>0</v>
      </c>
      <c r="G2471" s="165"/>
      <c r="H2471" s="165"/>
      <c r="I2471" s="165"/>
    </row>
    <row r="2472" spans="1:9" ht="15" customHeight="1" x14ac:dyDescent="0.3">
      <c r="A2472" s="164"/>
      <c r="B2472" s="165"/>
      <c r="C2472" s="166"/>
      <c r="D2472" s="166"/>
      <c r="E2472" s="166"/>
      <c r="F2472" s="60">
        <f>ПЛАТЕЖИ[[#This Row],[СЎМ]]+(ПЛАТЕЖИ[[#This Row],[ВАЛЮТА]]*ПЛАТЕЖИ[[#This Row],[КУРС]])</f>
        <v>0</v>
      </c>
      <c r="G2472" s="165"/>
      <c r="H2472" s="165"/>
      <c r="I2472" s="165"/>
    </row>
    <row r="2473" spans="1:9" ht="15" customHeight="1" x14ac:dyDescent="0.3">
      <c r="A2473" s="164"/>
      <c r="B2473" s="165"/>
      <c r="C2473" s="166"/>
      <c r="D2473" s="166"/>
      <c r="E2473" s="166"/>
      <c r="F2473" s="60">
        <f>ПЛАТЕЖИ[[#This Row],[СЎМ]]+(ПЛАТЕЖИ[[#This Row],[ВАЛЮТА]]*ПЛАТЕЖИ[[#This Row],[КУРС]])</f>
        <v>0</v>
      </c>
      <c r="G2473" s="165"/>
      <c r="H2473" s="165"/>
      <c r="I2473" s="165"/>
    </row>
    <row r="2474" spans="1:9" ht="15" customHeight="1" x14ac:dyDescent="0.3">
      <c r="A2474" s="164"/>
      <c r="B2474" s="165"/>
      <c r="C2474" s="166"/>
      <c r="D2474" s="166"/>
      <c r="E2474" s="166"/>
      <c r="F2474" s="60">
        <f>ПЛАТЕЖИ[[#This Row],[СЎМ]]+(ПЛАТЕЖИ[[#This Row],[ВАЛЮТА]]*ПЛАТЕЖИ[[#This Row],[КУРС]])</f>
        <v>0</v>
      </c>
      <c r="G2474" s="165"/>
      <c r="H2474" s="165"/>
      <c r="I2474" s="165"/>
    </row>
    <row r="2475" spans="1:9" ht="15" customHeight="1" x14ac:dyDescent="0.3">
      <c r="A2475" s="164"/>
      <c r="B2475" s="165"/>
      <c r="C2475" s="166"/>
      <c r="D2475" s="166"/>
      <c r="E2475" s="166"/>
      <c r="F2475" s="60">
        <f>ПЛАТЕЖИ[[#This Row],[СЎМ]]+(ПЛАТЕЖИ[[#This Row],[ВАЛЮТА]]*ПЛАТЕЖИ[[#This Row],[КУРС]])</f>
        <v>0</v>
      </c>
      <c r="G2475" s="165"/>
      <c r="H2475" s="165"/>
      <c r="I2475" s="165"/>
    </row>
    <row r="2476" spans="1:9" ht="15" customHeight="1" x14ac:dyDescent="0.3">
      <c r="A2476" s="164"/>
      <c r="B2476" s="165"/>
      <c r="C2476" s="166"/>
      <c r="D2476" s="166"/>
      <c r="E2476" s="166"/>
      <c r="F2476" s="60">
        <f>ПЛАТЕЖИ[[#This Row],[СЎМ]]+(ПЛАТЕЖИ[[#This Row],[ВАЛЮТА]]*ПЛАТЕЖИ[[#This Row],[КУРС]])</f>
        <v>0</v>
      </c>
      <c r="G2476" s="165"/>
      <c r="H2476" s="165"/>
      <c r="I2476" s="165"/>
    </row>
    <row r="2477" spans="1:9" ht="15" customHeight="1" x14ac:dyDescent="0.3">
      <c r="A2477" s="164"/>
      <c r="B2477" s="165"/>
      <c r="C2477" s="166"/>
      <c r="D2477" s="166"/>
      <c r="E2477" s="166"/>
      <c r="F2477" s="60">
        <f>ПЛАТЕЖИ[[#This Row],[СЎМ]]+(ПЛАТЕЖИ[[#This Row],[ВАЛЮТА]]*ПЛАТЕЖИ[[#This Row],[КУРС]])</f>
        <v>0</v>
      </c>
      <c r="G2477" s="165"/>
      <c r="H2477" s="165"/>
      <c r="I2477" s="165"/>
    </row>
    <row r="2478" spans="1:9" ht="15" customHeight="1" x14ac:dyDescent="0.3">
      <c r="A2478" s="164"/>
      <c r="B2478" s="165"/>
      <c r="C2478" s="166"/>
      <c r="D2478" s="166"/>
      <c r="E2478" s="166"/>
      <c r="F2478" s="60">
        <f>ПЛАТЕЖИ[[#This Row],[СЎМ]]+(ПЛАТЕЖИ[[#This Row],[ВАЛЮТА]]*ПЛАТЕЖИ[[#This Row],[КУРС]])</f>
        <v>0</v>
      </c>
      <c r="G2478" s="165"/>
      <c r="H2478" s="165"/>
      <c r="I2478" s="165"/>
    </row>
    <row r="2479" spans="1:9" ht="15" customHeight="1" x14ac:dyDescent="0.3">
      <c r="A2479" s="164"/>
      <c r="B2479" s="165"/>
      <c r="C2479" s="166"/>
      <c r="D2479" s="166"/>
      <c r="E2479" s="166"/>
      <c r="F2479" s="60">
        <f>ПЛАТЕЖИ[[#This Row],[СЎМ]]+(ПЛАТЕЖИ[[#This Row],[ВАЛЮТА]]*ПЛАТЕЖИ[[#This Row],[КУРС]])</f>
        <v>0</v>
      </c>
      <c r="G2479" s="165"/>
      <c r="H2479" s="165"/>
      <c r="I2479" s="165"/>
    </row>
    <row r="2480" spans="1:9" ht="15" customHeight="1" x14ac:dyDescent="0.3">
      <c r="A2480" s="164"/>
      <c r="B2480" s="165"/>
      <c r="C2480" s="166"/>
      <c r="D2480" s="166"/>
      <c r="E2480" s="166"/>
      <c r="F2480" s="60">
        <f>ПЛАТЕЖИ[[#This Row],[СЎМ]]+(ПЛАТЕЖИ[[#This Row],[ВАЛЮТА]]*ПЛАТЕЖИ[[#This Row],[КУРС]])</f>
        <v>0</v>
      </c>
      <c r="G2480" s="165"/>
      <c r="H2480" s="165"/>
      <c r="I2480" s="165"/>
    </row>
    <row r="2481" spans="1:9" ht="15" customHeight="1" x14ac:dyDescent="0.3">
      <c r="A2481" s="164"/>
      <c r="B2481" s="165"/>
      <c r="C2481" s="166"/>
      <c r="D2481" s="166"/>
      <c r="E2481" s="166"/>
      <c r="F2481" s="60">
        <f>ПЛАТЕЖИ[[#This Row],[СЎМ]]+(ПЛАТЕЖИ[[#This Row],[ВАЛЮТА]]*ПЛАТЕЖИ[[#This Row],[КУРС]])</f>
        <v>0</v>
      </c>
      <c r="G2481" s="165"/>
      <c r="H2481" s="165"/>
      <c r="I2481" s="165"/>
    </row>
    <row r="2482" spans="1:9" ht="15" customHeight="1" x14ac:dyDescent="0.3">
      <c r="A2482" s="164"/>
      <c r="B2482" s="165"/>
      <c r="C2482" s="166"/>
      <c r="D2482" s="166"/>
      <c r="E2482" s="166"/>
      <c r="F2482" s="60">
        <f>ПЛАТЕЖИ[[#This Row],[СЎМ]]+(ПЛАТЕЖИ[[#This Row],[ВАЛЮТА]]*ПЛАТЕЖИ[[#This Row],[КУРС]])</f>
        <v>0</v>
      </c>
      <c r="G2482" s="165"/>
      <c r="H2482" s="165"/>
      <c r="I2482" s="165"/>
    </row>
    <row r="2483" spans="1:9" ht="15" customHeight="1" x14ac:dyDescent="0.3">
      <c r="A2483" s="164"/>
      <c r="B2483" s="165"/>
      <c r="C2483" s="166"/>
      <c r="D2483" s="166"/>
      <c r="E2483" s="166"/>
      <c r="F2483" s="60">
        <f>ПЛАТЕЖИ[[#This Row],[СЎМ]]+(ПЛАТЕЖИ[[#This Row],[ВАЛЮТА]]*ПЛАТЕЖИ[[#This Row],[КУРС]])</f>
        <v>0</v>
      </c>
      <c r="G2483" s="165"/>
      <c r="H2483" s="165"/>
      <c r="I2483" s="165"/>
    </row>
    <row r="2484" spans="1:9" ht="15" customHeight="1" x14ac:dyDescent="0.3">
      <c r="A2484" s="164"/>
      <c r="B2484" s="165"/>
      <c r="C2484" s="166"/>
      <c r="D2484" s="166"/>
      <c r="E2484" s="166"/>
      <c r="F2484" s="60">
        <f>ПЛАТЕЖИ[[#This Row],[СЎМ]]+(ПЛАТЕЖИ[[#This Row],[ВАЛЮТА]]*ПЛАТЕЖИ[[#This Row],[КУРС]])</f>
        <v>0</v>
      </c>
      <c r="G2484" s="165"/>
      <c r="H2484" s="165"/>
      <c r="I2484" s="165"/>
    </row>
    <row r="2485" spans="1:9" ht="15" customHeight="1" x14ac:dyDescent="0.3">
      <c r="A2485" s="164"/>
      <c r="B2485" s="165"/>
      <c r="C2485" s="166"/>
      <c r="D2485" s="166"/>
      <c r="E2485" s="166"/>
      <c r="F2485" s="60">
        <f>ПЛАТЕЖИ[[#This Row],[СЎМ]]+(ПЛАТЕЖИ[[#This Row],[ВАЛЮТА]]*ПЛАТЕЖИ[[#This Row],[КУРС]])</f>
        <v>0</v>
      </c>
      <c r="G2485" s="165"/>
      <c r="H2485" s="165"/>
      <c r="I2485" s="165"/>
    </row>
    <row r="2486" spans="1:9" ht="15" customHeight="1" x14ac:dyDescent="0.3">
      <c r="A2486" s="164"/>
      <c r="B2486" s="165"/>
      <c r="C2486" s="166"/>
      <c r="D2486" s="166"/>
      <c r="E2486" s="166"/>
      <c r="F2486" s="60">
        <f>ПЛАТЕЖИ[[#This Row],[СЎМ]]+(ПЛАТЕЖИ[[#This Row],[ВАЛЮТА]]*ПЛАТЕЖИ[[#This Row],[КУРС]])</f>
        <v>0</v>
      </c>
      <c r="G2486" s="165"/>
      <c r="H2486" s="165"/>
      <c r="I2486" s="165"/>
    </row>
    <row r="2487" spans="1:9" ht="15" customHeight="1" x14ac:dyDescent="0.3">
      <c r="A2487" s="164"/>
      <c r="B2487" s="165"/>
      <c r="C2487" s="166"/>
      <c r="D2487" s="166"/>
      <c r="E2487" s="166"/>
      <c r="F2487" s="60">
        <f>ПЛАТЕЖИ[[#This Row],[СЎМ]]+(ПЛАТЕЖИ[[#This Row],[ВАЛЮТА]]*ПЛАТЕЖИ[[#This Row],[КУРС]])</f>
        <v>0</v>
      </c>
      <c r="G2487" s="165"/>
      <c r="H2487" s="165"/>
      <c r="I2487" s="165"/>
    </row>
    <row r="2488" spans="1:9" ht="15" customHeight="1" x14ac:dyDescent="0.3">
      <c r="A2488" s="164"/>
      <c r="B2488" s="165"/>
      <c r="C2488" s="166"/>
      <c r="D2488" s="166"/>
      <c r="E2488" s="166"/>
      <c r="F2488" s="60">
        <f>ПЛАТЕЖИ[[#This Row],[СЎМ]]+(ПЛАТЕЖИ[[#This Row],[ВАЛЮТА]]*ПЛАТЕЖИ[[#This Row],[КУРС]])</f>
        <v>0</v>
      </c>
      <c r="G2488" s="165"/>
      <c r="H2488" s="165"/>
      <c r="I2488" s="165"/>
    </row>
    <row r="2489" spans="1:9" ht="15" customHeight="1" x14ac:dyDescent="0.3">
      <c r="A2489" s="164"/>
      <c r="B2489" s="165"/>
      <c r="C2489" s="166"/>
      <c r="D2489" s="166"/>
      <c r="E2489" s="166"/>
      <c r="F2489" s="60">
        <f>ПЛАТЕЖИ[[#This Row],[СЎМ]]+(ПЛАТЕЖИ[[#This Row],[ВАЛЮТА]]*ПЛАТЕЖИ[[#This Row],[КУРС]])</f>
        <v>0</v>
      </c>
      <c r="G2489" s="165"/>
      <c r="H2489" s="165"/>
      <c r="I2489" s="165"/>
    </row>
    <row r="2490" spans="1:9" ht="15" customHeight="1" x14ac:dyDescent="0.3">
      <c r="A2490" s="164"/>
      <c r="B2490" s="165"/>
      <c r="C2490" s="166"/>
      <c r="D2490" s="166"/>
      <c r="E2490" s="166"/>
      <c r="F2490" s="60">
        <f>ПЛАТЕЖИ[[#This Row],[СЎМ]]+(ПЛАТЕЖИ[[#This Row],[ВАЛЮТА]]*ПЛАТЕЖИ[[#This Row],[КУРС]])</f>
        <v>0</v>
      </c>
      <c r="G2490" s="165"/>
      <c r="H2490" s="165"/>
      <c r="I2490" s="165"/>
    </row>
    <row r="2491" spans="1:9" ht="15" customHeight="1" x14ac:dyDescent="0.3">
      <c r="A2491" s="164"/>
      <c r="B2491" s="165"/>
      <c r="C2491" s="166"/>
      <c r="D2491" s="166"/>
      <c r="E2491" s="166"/>
      <c r="F2491" s="60">
        <f>ПЛАТЕЖИ[[#This Row],[СЎМ]]+(ПЛАТЕЖИ[[#This Row],[ВАЛЮТА]]*ПЛАТЕЖИ[[#This Row],[КУРС]])</f>
        <v>0</v>
      </c>
      <c r="G2491" s="165"/>
      <c r="H2491" s="165"/>
      <c r="I2491" s="165"/>
    </row>
    <row r="2492" spans="1:9" ht="15" customHeight="1" x14ac:dyDescent="0.3">
      <c r="A2492" s="164"/>
      <c r="B2492" s="165"/>
      <c r="C2492" s="166"/>
      <c r="D2492" s="166"/>
      <c r="E2492" s="166"/>
      <c r="F2492" s="60">
        <f>ПЛАТЕЖИ[[#This Row],[СЎМ]]+(ПЛАТЕЖИ[[#This Row],[ВАЛЮТА]]*ПЛАТЕЖИ[[#This Row],[КУРС]])</f>
        <v>0</v>
      </c>
      <c r="G2492" s="165"/>
      <c r="H2492" s="165"/>
      <c r="I2492" s="165"/>
    </row>
    <row r="2493" spans="1:9" ht="15" customHeight="1" x14ac:dyDescent="0.3">
      <c r="A2493" s="164"/>
      <c r="B2493" s="165"/>
      <c r="C2493" s="166"/>
      <c r="D2493" s="166"/>
      <c r="E2493" s="166"/>
      <c r="F2493" s="60">
        <f>ПЛАТЕЖИ[[#This Row],[СЎМ]]+(ПЛАТЕЖИ[[#This Row],[ВАЛЮТА]]*ПЛАТЕЖИ[[#This Row],[КУРС]])</f>
        <v>0</v>
      </c>
      <c r="G2493" s="165"/>
      <c r="H2493" s="165"/>
      <c r="I2493" s="165"/>
    </row>
    <row r="2494" spans="1:9" ht="15" customHeight="1" x14ac:dyDescent="0.3">
      <c r="A2494" s="164"/>
      <c r="B2494" s="165"/>
      <c r="C2494" s="166"/>
      <c r="D2494" s="166"/>
      <c r="E2494" s="166"/>
      <c r="F2494" s="60">
        <f>ПЛАТЕЖИ[[#This Row],[СЎМ]]+(ПЛАТЕЖИ[[#This Row],[ВАЛЮТА]]*ПЛАТЕЖИ[[#This Row],[КУРС]])</f>
        <v>0</v>
      </c>
      <c r="G2494" s="165"/>
      <c r="H2494" s="165"/>
      <c r="I2494" s="165"/>
    </row>
    <row r="2495" spans="1:9" ht="15" customHeight="1" x14ac:dyDescent="0.3">
      <c r="A2495" s="164"/>
      <c r="B2495" s="165"/>
      <c r="C2495" s="166"/>
      <c r="D2495" s="166"/>
      <c r="E2495" s="166"/>
      <c r="F2495" s="60">
        <f>ПЛАТЕЖИ[[#This Row],[СЎМ]]+(ПЛАТЕЖИ[[#This Row],[ВАЛЮТА]]*ПЛАТЕЖИ[[#This Row],[КУРС]])</f>
        <v>0</v>
      </c>
      <c r="G2495" s="165"/>
      <c r="H2495" s="165"/>
      <c r="I2495" s="165"/>
    </row>
    <row r="2496" spans="1:9" ht="15" customHeight="1" x14ac:dyDescent="0.3">
      <c r="A2496" s="164"/>
      <c r="B2496" s="165"/>
      <c r="C2496" s="166"/>
      <c r="D2496" s="166"/>
      <c r="E2496" s="166"/>
      <c r="F2496" s="60">
        <f>ПЛАТЕЖИ[[#This Row],[СЎМ]]+(ПЛАТЕЖИ[[#This Row],[ВАЛЮТА]]*ПЛАТЕЖИ[[#This Row],[КУРС]])</f>
        <v>0</v>
      </c>
      <c r="G2496" s="165"/>
      <c r="H2496" s="165"/>
      <c r="I2496" s="165"/>
    </row>
    <row r="2497" spans="1:9" ht="15" customHeight="1" x14ac:dyDescent="0.3">
      <c r="A2497" s="164"/>
      <c r="B2497" s="165"/>
      <c r="C2497" s="166"/>
      <c r="D2497" s="166"/>
      <c r="E2497" s="166"/>
      <c r="F2497" s="60">
        <f>ПЛАТЕЖИ[[#This Row],[СЎМ]]+(ПЛАТЕЖИ[[#This Row],[ВАЛЮТА]]*ПЛАТЕЖИ[[#This Row],[КУРС]])</f>
        <v>0</v>
      </c>
      <c r="G2497" s="165"/>
      <c r="H2497" s="165"/>
      <c r="I2497" s="165"/>
    </row>
    <row r="2498" spans="1:9" ht="15" customHeight="1" x14ac:dyDescent="0.3">
      <c r="A2498" s="164"/>
      <c r="B2498" s="165"/>
      <c r="C2498" s="166"/>
      <c r="D2498" s="166"/>
      <c r="E2498" s="166"/>
      <c r="F2498" s="60">
        <f>ПЛАТЕЖИ[[#This Row],[СЎМ]]+(ПЛАТЕЖИ[[#This Row],[ВАЛЮТА]]*ПЛАТЕЖИ[[#This Row],[КУРС]])</f>
        <v>0</v>
      </c>
      <c r="G2498" s="165"/>
      <c r="H2498" s="165"/>
      <c r="I2498" s="165"/>
    </row>
    <row r="2499" spans="1:9" ht="15" customHeight="1" x14ac:dyDescent="0.3">
      <c r="A2499" s="164"/>
      <c r="B2499" s="165"/>
      <c r="C2499" s="166"/>
      <c r="D2499" s="166"/>
      <c r="E2499" s="166"/>
      <c r="F2499" s="60">
        <f>ПЛАТЕЖИ[[#This Row],[СЎМ]]+(ПЛАТЕЖИ[[#This Row],[ВАЛЮТА]]*ПЛАТЕЖИ[[#This Row],[КУРС]])</f>
        <v>0</v>
      </c>
      <c r="G2499" s="165"/>
      <c r="H2499" s="165"/>
      <c r="I2499" s="165"/>
    </row>
    <row r="2500" spans="1:9" ht="15" customHeight="1" x14ac:dyDescent="0.3">
      <c r="A2500" s="164"/>
      <c r="B2500" s="165"/>
      <c r="C2500" s="166"/>
      <c r="D2500" s="166"/>
      <c r="E2500" s="166"/>
      <c r="F2500" s="60">
        <f>ПЛАТЕЖИ[[#This Row],[СЎМ]]+(ПЛАТЕЖИ[[#This Row],[ВАЛЮТА]]*ПЛАТЕЖИ[[#This Row],[КУРС]])</f>
        <v>0</v>
      </c>
      <c r="G2500" s="165"/>
      <c r="H2500" s="165"/>
      <c r="I2500" s="165"/>
    </row>
    <row r="2501" spans="1:9" ht="15" customHeight="1" x14ac:dyDescent="0.3">
      <c r="A2501" s="164"/>
      <c r="B2501" s="165"/>
      <c r="C2501" s="166"/>
      <c r="D2501" s="166"/>
      <c r="E2501" s="166"/>
      <c r="F2501" s="60">
        <f>ПЛАТЕЖИ[[#This Row],[СЎМ]]+(ПЛАТЕЖИ[[#This Row],[ВАЛЮТА]]*ПЛАТЕЖИ[[#This Row],[КУРС]])</f>
        <v>0</v>
      </c>
      <c r="G2501" s="165"/>
      <c r="H2501" s="165"/>
      <c r="I2501" s="165"/>
    </row>
    <row r="2502" spans="1:9" ht="15" customHeight="1" x14ac:dyDescent="0.3">
      <c r="A2502" s="164"/>
      <c r="B2502" s="165"/>
      <c r="C2502" s="166"/>
      <c r="D2502" s="166"/>
      <c r="E2502" s="166"/>
      <c r="F2502" s="60">
        <f>ПЛАТЕЖИ[[#This Row],[СЎМ]]+(ПЛАТЕЖИ[[#This Row],[ВАЛЮТА]]*ПЛАТЕЖИ[[#This Row],[КУРС]])</f>
        <v>0</v>
      </c>
      <c r="G2502" s="165"/>
      <c r="H2502" s="165"/>
      <c r="I2502" s="165"/>
    </row>
    <row r="2503" spans="1:9" ht="15" customHeight="1" x14ac:dyDescent="0.3">
      <c r="A2503" s="164"/>
      <c r="B2503" s="165"/>
      <c r="C2503" s="166"/>
      <c r="D2503" s="166"/>
      <c r="E2503" s="166"/>
      <c r="F2503" s="60">
        <f>ПЛАТЕЖИ[[#This Row],[СЎМ]]+(ПЛАТЕЖИ[[#This Row],[ВАЛЮТА]]*ПЛАТЕЖИ[[#This Row],[КУРС]])</f>
        <v>0</v>
      </c>
      <c r="G2503" s="165"/>
      <c r="H2503" s="165"/>
      <c r="I2503" s="165"/>
    </row>
    <row r="2504" spans="1:9" ht="15" customHeight="1" x14ac:dyDescent="0.3">
      <c r="A2504" s="164"/>
      <c r="B2504" s="165"/>
      <c r="C2504" s="166"/>
      <c r="D2504" s="166"/>
      <c r="E2504" s="166"/>
      <c r="F2504" s="60">
        <f>ПЛАТЕЖИ[[#This Row],[СЎМ]]+(ПЛАТЕЖИ[[#This Row],[ВАЛЮТА]]*ПЛАТЕЖИ[[#This Row],[КУРС]])</f>
        <v>0</v>
      </c>
      <c r="G2504" s="165"/>
      <c r="H2504" s="165"/>
      <c r="I2504" s="165"/>
    </row>
    <row r="2505" spans="1:9" ht="15" customHeight="1" x14ac:dyDescent="0.3">
      <c r="A2505" s="164"/>
      <c r="B2505" s="165"/>
      <c r="C2505" s="166"/>
      <c r="D2505" s="166"/>
      <c r="E2505" s="166"/>
      <c r="F2505" s="60">
        <f>ПЛАТЕЖИ[[#This Row],[СЎМ]]+(ПЛАТЕЖИ[[#This Row],[ВАЛЮТА]]*ПЛАТЕЖИ[[#This Row],[КУРС]])</f>
        <v>0</v>
      </c>
      <c r="G2505" s="165"/>
      <c r="H2505" s="165"/>
      <c r="I2505" s="165"/>
    </row>
    <row r="2506" spans="1:9" ht="15" customHeight="1" x14ac:dyDescent="0.3">
      <c r="A2506" s="164"/>
      <c r="B2506" s="165"/>
      <c r="C2506" s="166"/>
      <c r="D2506" s="166"/>
      <c r="E2506" s="166"/>
      <c r="F2506" s="60">
        <f>ПЛАТЕЖИ[[#This Row],[СЎМ]]+(ПЛАТЕЖИ[[#This Row],[ВАЛЮТА]]*ПЛАТЕЖИ[[#This Row],[КУРС]])</f>
        <v>0</v>
      </c>
      <c r="G2506" s="165"/>
      <c r="H2506" s="165"/>
      <c r="I2506" s="165"/>
    </row>
    <row r="2507" spans="1:9" ht="15" customHeight="1" x14ac:dyDescent="0.3">
      <c r="A2507" s="164"/>
      <c r="B2507" s="165"/>
      <c r="C2507" s="166"/>
      <c r="D2507" s="166"/>
      <c r="E2507" s="166"/>
      <c r="F2507" s="60">
        <f>ПЛАТЕЖИ[[#This Row],[СЎМ]]+(ПЛАТЕЖИ[[#This Row],[ВАЛЮТА]]*ПЛАТЕЖИ[[#This Row],[КУРС]])</f>
        <v>0</v>
      </c>
      <c r="G2507" s="165"/>
      <c r="H2507" s="165"/>
      <c r="I2507" s="165"/>
    </row>
    <row r="2508" spans="1:9" ht="15" customHeight="1" x14ac:dyDescent="0.3">
      <c r="A2508" s="164"/>
      <c r="B2508" s="165"/>
      <c r="C2508" s="166"/>
      <c r="D2508" s="166"/>
      <c r="E2508" s="166"/>
      <c r="F2508" s="60">
        <f>ПЛАТЕЖИ[[#This Row],[СЎМ]]+(ПЛАТЕЖИ[[#This Row],[ВАЛЮТА]]*ПЛАТЕЖИ[[#This Row],[КУРС]])</f>
        <v>0</v>
      </c>
      <c r="G2508" s="165"/>
      <c r="H2508" s="165"/>
      <c r="I2508" s="165"/>
    </row>
    <row r="2509" spans="1:9" ht="15" customHeight="1" x14ac:dyDescent="0.3">
      <c r="A2509" s="164"/>
      <c r="B2509" s="165"/>
      <c r="C2509" s="166"/>
      <c r="D2509" s="166"/>
      <c r="E2509" s="166"/>
      <c r="F2509" s="60">
        <f>ПЛАТЕЖИ[[#This Row],[СЎМ]]+(ПЛАТЕЖИ[[#This Row],[ВАЛЮТА]]*ПЛАТЕЖИ[[#This Row],[КУРС]])</f>
        <v>0</v>
      </c>
      <c r="G2509" s="165"/>
      <c r="H2509" s="165"/>
      <c r="I2509" s="165"/>
    </row>
    <row r="2510" spans="1:9" ht="15" customHeight="1" x14ac:dyDescent="0.3">
      <c r="A2510" s="164"/>
      <c r="B2510" s="165"/>
      <c r="C2510" s="166"/>
      <c r="D2510" s="166"/>
      <c r="E2510" s="166"/>
      <c r="F2510" s="60">
        <f>ПЛАТЕЖИ[[#This Row],[СЎМ]]+(ПЛАТЕЖИ[[#This Row],[ВАЛЮТА]]*ПЛАТЕЖИ[[#This Row],[КУРС]])</f>
        <v>0</v>
      </c>
      <c r="G2510" s="165"/>
      <c r="H2510" s="165"/>
      <c r="I2510" s="165"/>
    </row>
    <row r="2511" spans="1:9" ht="15" customHeight="1" x14ac:dyDescent="0.3">
      <c r="A2511" s="164"/>
      <c r="B2511" s="165"/>
      <c r="C2511" s="166"/>
      <c r="D2511" s="166"/>
      <c r="E2511" s="166"/>
      <c r="F2511" s="60">
        <f>ПЛАТЕЖИ[[#This Row],[СЎМ]]+(ПЛАТЕЖИ[[#This Row],[ВАЛЮТА]]*ПЛАТЕЖИ[[#This Row],[КУРС]])</f>
        <v>0</v>
      </c>
      <c r="G2511" s="165"/>
      <c r="H2511" s="165"/>
      <c r="I2511" s="165"/>
    </row>
    <row r="2512" spans="1:9" ht="15" customHeight="1" x14ac:dyDescent="0.3">
      <c r="A2512" s="164"/>
      <c r="B2512" s="165"/>
      <c r="C2512" s="166"/>
      <c r="D2512" s="166"/>
      <c r="E2512" s="166"/>
      <c r="F2512" s="60">
        <f>ПЛАТЕЖИ[[#This Row],[СЎМ]]+(ПЛАТЕЖИ[[#This Row],[ВАЛЮТА]]*ПЛАТЕЖИ[[#This Row],[КУРС]])</f>
        <v>0</v>
      </c>
      <c r="G2512" s="165"/>
      <c r="H2512" s="165"/>
      <c r="I2512" s="165"/>
    </row>
    <row r="2513" spans="1:9" ht="15" customHeight="1" x14ac:dyDescent="0.3">
      <c r="A2513" s="164"/>
      <c r="B2513" s="165"/>
      <c r="C2513" s="166"/>
      <c r="D2513" s="166"/>
      <c r="E2513" s="166"/>
      <c r="F2513" s="60">
        <f>ПЛАТЕЖИ[[#This Row],[СЎМ]]+(ПЛАТЕЖИ[[#This Row],[ВАЛЮТА]]*ПЛАТЕЖИ[[#This Row],[КУРС]])</f>
        <v>0</v>
      </c>
      <c r="G2513" s="165"/>
      <c r="H2513" s="165"/>
      <c r="I2513" s="165"/>
    </row>
    <row r="2514" spans="1:9" ht="15" customHeight="1" x14ac:dyDescent="0.3">
      <c r="A2514" s="164"/>
      <c r="B2514" s="165"/>
      <c r="C2514" s="166"/>
      <c r="D2514" s="166"/>
      <c r="E2514" s="166"/>
      <c r="F2514" s="60">
        <f>ПЛАТЕЖИ[[#This Row],[СЎМ]]+(ПЛАТЕЖИ[[#This Row],[ВАЛЮТА]]*ПЛАТЕЖИ[[#This Row],[КУРС]])</f>
        <v>0</v>
      </c>
      <c r="G2514" s="165"/>
      <c r="H2514" s="165"/>
      <c r="I2514" s="165"/>
    </row>
    <row r="2515" spans="1:9" ht="15" customHeight="1" x14ac:dyDescent="0.3">
      <c r="A2515" s="164"/>
      <c r="B2515" s="165"/>
      <c r="C2515" s="166"/>
      <c r="D2515" s="166"/>
      <c r="E2515" s="166"/>
      <c r="F2515" s="60">
        <f>ПЛАТЕЖИ[[#This Row],[СЎМ]]+(ПЛАТЕЖИ[[#This Row],[ВАЛЮТА]]*ПЛАТЕЖИ[[#This Row],[КУРС]])</f>
        <v>0</v>
      </c>
      <c r="G2515" s="165"/>
      <c r="H2515" s="165"/>
      <c r="I2515" s="165"/>
    </row>
    <row r="2516" spans="1:9" ht="15" customHeight="1" x14ac:dyDescent="0.3">
      <c r="A2516" s="164"/>
      <c r="B2516" s="165"/>
      <c r="C2516" s="166"/>
      <c r="D2516" s="166"/>
      <c r="E2516" s="166"/>
      <c r="F2516" s="60">
        <f>ПЛАТЕЖИ[[#This Row],[СЎМ]]+(ПЛАТЕЖИ[[#This Row],[ВАЛЮТА]]*ПЛАТЕЖИ[[#This Row],[КУРС]])</f>
        <v>0</v>
      </c>
      <c r="G2516" s="165"/>
      <c r="H2516" s="165"/>
      <c r="I2516" s="165"/>
    </row>
    <row r="2517" spans="1:9" ht="15" customHeight="1" x14ac:dyDescent="0.3">
      <c r="A2517" s="164"/>
      <c r="B2517" s="165"/>
      <c r="C2517" s="166"/>
      <c r="D2517" s="166"/>
      <c r="E2517" s="166"/>
      <c r="F2517" s="60">
        <f>ПЛАТЕЖИ[[#This Row],[СЎМ]]+(ПЛАТЕЖИ[[#This Row],[ВАЛЮТА]]*ПЛАТЕЖИ[[#This Row],[КУРС]])</f>
        <v>0</v>
      </c>
      <c r="G2517" s="165"/>
      <c r="H2517" s="165"/>
      <c r="I2517" s="165"/>
    </row>
    <row r="2518" spans="1:9" ht="15" customHeight="1" x14ac:dyDescent="0.3">
      <c r="A2518" s="164"/>
      <c r="B2518" s="165"/>
      <c r="C2518" s="166"/>
      <c r="D2518" s="166"/>
      <c r="E2518" s="166"/>
      <c r="F2518" s="60">
        <f>ПЛАТЕЖИ[[#This Row],[СЎМ]]+(ПЛАТЕЖИ[[#This Row],[ВАЛЮТА]]*ПЛАТЕЖИ[[#This Row],[КУРС]])</f>
        <v>0</v>
      </c>
      <c r="G2518" s="165"/>
      <c r="H2518" s="165"/>
      <c r="I2518" s="165"/>
    </row>
    <row r="2519" spans="1:9" ht="15" customHeight="1" x14ac:dyDescent="0.3">
      <c r="A2519" s="164"/>
      <c r="B2519" s="165"/>
      <c r="C2519" s="166"/>
      <c r="D2519" s="166"/>
      <c r="E2519" s="166"/>
      <c r="F2519" s="60">
        <f>ПЛАТЕЖИ[[#This Row],[СЎМ]]+(ПЛАТЕЖИ[[#This Row],[ВАЛЮТА]]*ПЛАТЕЖИ[[#This Row],[КУРС]])</f>
        <v>0</v>
      </c>
      <c r="G2519" s="165"/>
      <c r="H2519" s="165"/>
      <c r="I2519" s="165"/>
    </row>
    <row r="2520" spans="1:9" ht="15" customHeight="1" x14ac:dyDescent="0.3">
      <c r="A2520" s="164"/>
      <c r="B2520" s="165"/>
      <c r="C2520" s="166"/>
      <c r="D2520" s="166"/>
      <c r="E2520" s="166"/>
      <c r="F2520" s="60">
        <f>ПЛАТЕЖИ[[#This Row],[СЎМ]]+(ПЛАТЕЖИ[[#This Row],[ВАЛЮТА]]*ПЛАТЕЖИ[[#This Row],[КУРС]])</f>
        <v>0</v>
      </c>
      <c r="G2520" s="165"/>
      <c r="H2520" s="165"/>
      <c r="I2520" s="165"/>
    </row>
    <row r="2521" spans="1:9" ht="15" customHeight="1" x14ac:dyDescent="0.3">
      <c r="A2521" s="164"/>
      <c r="B2521" s="165"/>
      <c r="C2521" s="166"/>
      <c r="D2521" s="166"/>
      <c r="E2521" s="166"/>
      <c r="F2521" s="60">
        <f>ПЛАТЕЖИ[[#This Row],[СЎМ]]+(ПЛАТЕЖИ[[#This Row],[ВАЛЮТА]]*ПЛАТЕЖИ[[#This Row],[КУРС]])</f>
        <v>0</v>
      </c>
      <c r="G2521" s="165"/>
      <c r="H2521" s="165"/>
      <c r="I2521" s="165"/>
    </row>
    <row r="2522" spans="1:9" ht="15" customHeight="1" x14ac:dyDescent="0.3">
      <c r="A2522" s="164"/>
      <c r="B2522" s="165"/>
      <c r="C2522" s="166"/>
      <c r="D2522" s="166"/>
      <c r="E2522" s="166"/>
      <c r="F2522" s="60">
        <f>ПЛАТЕЖИ[[#This Row],[СЎМ]]+(ПЛАТЕЖИ[[#This Row],[ВАЛЮТА]]*ПЛАТЕЖИ[[#This Row],[КУРС]])</f>
        <v>0</v>
      </c>
      <c r="G2522" s="165"/>
      <c r="H2522" s="165"/>
      <c r="I2522" s="165"/>
    </row>
    <row r="2523" spans="1:9" ht="15" customHeight="1" x14ac:dyDescent="0.3">
      <c r="A2523" s="164"/>
      <c r="B2523" s="165"/>
      <c r="C2523" s="166"/>
      <c r="D2523" s="166"/>
      <c r="E2523" s="166"/>
      <c r="F2523" s="60">
        <f>ПЛАТЕЖИ[[#This Row],[СЎМ]]+(ПЛАТЕЖИ[[#This Row],[ВАЛЮТА]]*ПЛАТЕЖИ[[#This Row],[КУРС]])</f>
        <v>0</v>
      </c>
      <c r="G2523" s="165"/>
      <c r="H2523" s="165"/>
      <c r="I2523" s="165"/>
    </row>
    <row r="2524" spans="1:9" ht="15" customHeight="1" x14ac:dyDescent="0.3">
      <c r="A2524" s="164"/>
      <c r="B2524" s="165"/>
      <c r="C2524" s="166"/>
      <c r="D2524" s="166"/>
      <c r="E2524" s="166"/>
      <c r="F2524" s="60">
        <f>ПЛАТЕЖИ[[#This Row],[СЎМ]]+(ПЛАТЕЖИ[[#This Row],[ВАЛЮТА]]*ПЛАТЕЖИ[[#This Row],[КУРС]])</f>
        <v>0</v>
      </c>
      <c r="G2524" s="165"/>
      <c r="H2524" s="165"/>
      <c r="I2524" s="165"/>
    </row>
    <row r="2525" spans="1:9" ht="15" customHeight="1" x14ac:dyDescent="0.3">
      <c r="A2525" s="164"/>
      <c r="B2525" s="165"/>
      <c r="C2525" s="166"/>
      <c r="D2525" s="166"/>
      <c r="E2525" s="166"/>
      <c r="F2525" s="60">
        <f>ПЛАТЕЖИ[[#This Row],[СЎМ]]+(ПЛАТЕЖИ[[#This Row],[ВАЛЮТА]]*ПЛАТЕЖИ[[#This Row],[КУРС]])</f>
        <v>0</v>
      </c>
      <c r="G2525" s="165"/>
      <c r="H2525" s="165"/>
      <c r="I2525" s="165"/>
    </row>
    <row r="2526" spans="1:9" ht="15" customHeight="1" x14ac:dyDescent="0.3">
      <c r="A2526" s="164"/>
      <c r="B2526" s="165"/>
      <c r="C2526" s="166"/>
      <c r="D2526" s="166"/>
      <c r="E2526" s="166"/>
      <c r="F2526" s="60">
        <f>ПЛАТЕЖИ[[#This Row],[СЎМ]]+(ПЛАТЕЖИ[[#This Row],[ВАЛЮТА]]*ПЛАТЕЖИ[[#This Row],[КУРС]])</f>
        <v>0</v>
      </c>
      <c r="G2526" s="165"/>
      <c r="H2526" s="165"/>
      <c r="I2526" s="165"/>
    </row>
    <row r="2527" spans="1:9" ht="15" customHeight="1" x14ac:dyDescent="0.3">
      <c r="A2527" s="164"/>
      <c r="B2527" s="165"/>
      <c r="C2527" s="166"/>
      <c r="D2527" s="166"/>
      <c r="E2527" s="166"/>
      <c r="F2527" s="60">
        <f>ПЛАТЕЖИ[[#This Row],[СЎМ]]+(ПЛАТЕЖИ[[#This Row],[ВАЛЮТА]]*ПЛАТЕЖИ[[#This Row],[КУРС]])</f>
        <v>0</v>
      </c>
      <c r="G2527" s="165"/>
      <c r="H2527" s="165"/>
      <c r="I2527" s="165"/>
    </row>
    <row r="2528" spans="1:9" ht="15" customHeight="1" x14ac:dyDescent="0.3">
      <c r="A2528" s="164"/>
      <c r="B2528" s="165"/>
      <c r="C2528" s="166"/>
      <c r="D2528" s="166"/>
      <c r="E2528" s="166"/>
      <c r="F2528" s="60">
        <f>ПЛАТЕЖИ[[#This Row],[СЎМ]]+(ПЛАТЕЖИ[[#This Row],[ВАЛЮТА]]*ПЛАТЕЖИ[[#This Row],[КУРС]])</f>
        <v>0</v>
      </c>
      <c r="G2528" s="165"/>
      <c r="H2528" s="165"/>
      <c r="I2528" s="165"/>
    </row>
    <row r="2529" spans="1:9" ht="15" customHeight="1" x14ac:dyDescent="0.3">
      <c r="A2529" s="164"/>
      <c r="B2529" s="165"/>
      <c r="C2529" s="166"/>
      <c r="D2529" s="166"/>
      <c r="E2529" s="166"/>
      <c r="F2529" s="60">
        <f>ПЛАТЕЖИ[[#This Row],[СЎМ]]+(ПЛАТЕЖИ[[#This Row],[ВАЛЮТА]]*ПЛАТЕЖИ[[#This Row],[КУРС]])</f>
        <v>0</v>
      </c>
      <c r="G2529" s="165"/>
      <c r="H2529" s="165"/>
      <c r="I2529" s="165"/>
    </row>
    <row r="2530" spans="1:9" ht="15" customHeight="1" x14ac:dyDescent="0.3">
      <c r="A2530" s="164"/>
      <c r="B2530" s="165"/>
      <c r="C2530" s="166"/>
      <c r="D2530" s="166"/>
      <c r="E2530" s="166"/>
      <c r="F2530" s="60">
        <f>ПЛАТЕЖИ[[#This Row],[СЎМ]]+(ПЛАТЕЖИ[[#This Row],[ВАЛЮТА]]*ПЛАТЕЖИ[[#This Row],[КУРС]])</f>
        <v>0</v>
      </c>
      <c r="G2530" s="165"/>
      <c r="H2530" s="165"/>
      <c r="I2530" s="165"/>
    </row>
    <row r="2531" spans="1:9" ht="15" customHeight="1" x14ac:dyDescent="0.3">
      <c r="A2531" s="164"/>
      <c r="B2531" s="165"/>
      <c r="C2531" s="166"/>
      <c r="D2531" s="166"/>
      <c r="E2531" s="166"/>
      <c r="F2531" s="60">
        <f>ПЛАТЕЖИ[[#This Row],[СЎМ]]+(ПЛАТЕЖИ[[#This Row],[ВАЛЮТА]]*ПЛАТЕЖИ[[#This Row],[КУРС]])</f>
        <v>0</v>
      </c>
      <c r="G2531" s="165"/>
      <c r="H2531" s="165"/>
      <c r="I2531" s="165"/>
    </row>
    <row r="2532" spans="1:9" ht="15" customHeight="1" x14ac:dyDescent="0.3">
      <c r="A2532" s="164"/>
      <c r="B2532" s="165"/>
      <c r="C2532" s="166"/>
      <c r="D2532" s="166"/>
      <c r="E2532" s="166"/>
      <c r="F2532" s="60">
        <f>ПЛАТЕЖИ[[#This Row],[СЎМ]]+(ПЛАТЕЖИ[[#This Row],[ВАЛЮТА]]*ПЛАТЕЖИ[[#This Row],[КУРС]])</f>
        <v>0</v>
      </c>
      <c r="G2532" s="165"/>
      <c r="H2532" s="165"/>
      <c r="I2532" s="165"/>
    </row>
    <row r="2533" spans="1:9" ht="15" customHeight="1" x14ac:dyDescent="0.3">
      <c r="A2533" s="164"/>
      <c r="B2533" s="165"/>
      <c r="C2533" s="166"/>
      <c r="D2533" s="166"/>
      <c r="E2533" s="166"/>
      <c r="F2533" s="60">
        <f>ПЛАТЕЖИ[[#This Row],[СЎМ]]+(ПЛАТЕЖИ[[#This Row],[ВАЛЮТА]]*ПЛАТЕЖИ[[#This Row],[КУРС]])</f>
        <v>0</v>
      </c>
      <c r="G2533" s="165"/>
      <c r="H2533" s="165"/>
      <c r="I2533" s="165"/>
    </row>
    <row r="2534" spans="1:9" ht="15" customHeight="1" x14ac:dyDescent="0.3">
      <c r="A2534" s="164"/>
      <c r="B2534" s="165"/>
      <c r="C2534" s="166"/>
      <c r="D2534" s="166"/>
      <c r="E2534" s="166"/>
      <c r="F2534" s="60">
        <f>ПЛАТЕЖИ[[#This Row],[СЎМ]]+(ПЛАТЕЖИ[[#This Row],[ВАЛЮТА]]*ПЛАТЕЖИ[[#This Row],[КУРС]])</f>
        <v>0</v>
      </c>
      <c r="G2534" s="165"/>
      <c r="H2534" s="165"/>
      <c r="I2534" s="165"/>
    </row>
    <row r="2535" spans="1:9" ht="15" customHeight="1" x14ac:dyDescent="0.3">
      <c r="A2535" s="164"/>
      <c r="B2535" s="165"/>
      <c r="C2535" s="166"/>
      <c r="D2535" s="166"/>
      <c r="E2535" s="166"/>
      <c r="F2535" s="60">
        <f>ПЛАТЕЖИ[[#This Row],[СЎМ]]+(ПЛАТЕЖИ[[#This Row],[ВАЛЮТА]]*ПЛАТЕЖИ[[#This Row],[КУРС]])</f>
        <v>0</v>
      </c>
      <c r="G2535" s="165"/>
      <c r="H2535" s="165"/>
      <c r="I2535" s="165"/>
    </row>
    <row r="2536" spans="1:9" ht="15" customHeight="1" x14ac:dyDescent="0.3">
      <c r="A2536" s="164"/>
      <c r="B2536" s="165"/>
      <c r="C2536" s="166"/>
      <c r="D2536" s="166"/>
      <c r="E2536" s="166"/>
      <c r="F2536" s="60">
        <f>ПЛАТЕЖИ[[#This Row],[СЎМ]]+(ПЛАТЕЖИ[[#This Row],[ВАЛЮТА]]*ПЛАТЕЖИ[[#This Row],[КУРС]])</f>
        <v>0</v>
      </c>
      <c r="G2536" s="165"/>
      <c r="H2536" s="165"/>
      <c r="I2536" s="165"/>
    </row>
    <row r="2537" spans="1:9" ht="15" customHeight="1" x14ac:dyDescent="0.3">
      <c r="A2537" s="164"/>
      <c r="B2537" s="165"/>
      <c r="C2537" s="166"/>
      <c r="D2537" s="166"/>
      <c r="E2537" s="166"/>
      <c r="F2537" s="60">
        <f>ПЛАТЕЖИ[[#This Row],[СЎМ]]+(ПЛАТЕЖИ[[#This Row],[ВАЛЮТА]]*ПЛАТЕЖИ[[#This Row],[КУРС]])</f>
        <v>0</v>
      </c>
      <c r="G2537" s="165"/>
      <c r="H2537" s="165"/>
      <c r="I2537" s="165"/>
    </row>
    <row r="2538" spans="1:9" ht="15" customHeight="1" x14ac:dyDescent="0.3">
      <c r="A2538" s="164"/>
      <c r="B2538" s="165"/>
      <c r="C2538" s="166"/>
      <c r="D2538" s="166"/>
      <c r="E2538" s="166"/>
      <c r="F2538" s="60">
        <f>ПЛАТЕЖИ[[#This Row],[СЎМ]]+(ПЛАТЕЖИ[[#This Row],[ВАЛЮТА]]*ПЛАТЕЖИ[[#This Row],[КУРС]])</f>
        <v>0</v>
      </c>
      <c r="G2538" s="165"/>
      <c r="H2538" s="165"/>
      <c r="I2538" s="165"/>
    </row>
    <row r="2539" spans="1:9" ht="15" customHeight="1" x14ac:dyDescent="0.3">
      <c r="A2539" s="164"/>
      <c r="B2539" s="165"/>
      <c r="C2539" s="166"/>
      <c r="D2539" s="166"/>
      <c r="E2539" s="166"/>
      <c r="F2539" s="60">
        <f>ПЛАТЕЖИ[[#This Row],[СЎМ]]+(ПЛАТЕЖИ[[#This Row],[ВАЛЮТА]]*ПЛАТЕЖИ[[#This Row],[КУРС]])</f>
        <v>0</v>
      </c>
      <c r="G2539" s="165"/>
      <c r="H2539" s="165"/>
      <c r="I2539" s="165"/>
    </row>
    <row r="2540" spans="1:9" ht="15" customHeight="1" x14ac:dyDescent="0.3">
      <c r="A2540" s="164"/>
      <c r="B2540" s="165"/>
      <c r="C2540" s="166"/>
      <c r="D2540" s="166"/>
      <c r="E2540" s="166"/>
      <c r="F2540" s="60">
        <f>ПЛАТЕЖИ[[#This Row],[СЎМ]]+(ПЛАТЕЖИ[[#This Row],[ВАЛЮТА]]*ПЛАТЕЖИ[[#This Row],[КУРС]])</f>
        <v>0</v>
      </c>
      <c r="G2540" s="165"/>
      <c r="H2540" s="165"/>
      <c r="I2540" s="165"/>
    </row>
    <row r="2541" spans="1:9" ht="15" customHeight="1" x14ac:dyDescent="0.3">
      <c r="A2541" s="164"/>
      <c r="B2541" s="165"/>
      <c r="C2541" s="166"/>
      <c r="D2541" s="166"/>
      <c r="E2541" s="166"/>
      <c r="F2541" s="60">
        <f>ПЛАТЕЖИ[[#This Row],[СЎМ]]+(ПЛАТЕЖИ[[#This Row],[ВАЛЮТА]]*ПЛАТЕЖИ[[#This Row],[КУРС]])</f>
        <v>0</v>
      </c>
      <c r="G2541" s="165"/>
      <c r="H2541" s="165"/>
      <c r="I2541" s="165"/>
    </row>
    <row r="2542" spans="1:9" ht="15" customHeight="1" x14ac:dyDescent="0.3">
      <c r="A2542" s="164"/>
      <c r="B2542" s="165"/>
      <c r="C2542" s="166"/>
      <c r="D2542" s="166"/>
      <c r="E2542" s="166"/>
      <c r="F2542" s="60">
        <f>ПЛАТЕЖИ[[#This Row],[СЎМ]]+(ПЛАТЕЖИ[[#This Row],[ВАЛЮТА]]*ПЛАТЕЖИ[[#This Row],[КУРС]])</f>
        <v>0</v>
      </c>
      <c r="G2542" s="165"/>
      <c r="H2542" s="165"/>
      <c r="I2542" s="165"/>
    </row>
    <row r="2543" spans="1:9" ht="15" customHeight="1" x14ac:dyDescent="0.3">
      <c r="A2543" s="164"/>
      <c r="B2543" s="165"/>
      <c r="C2543" s="166"/>
      <c r="D2543" s="166"/>
      <c r="E2543" s="166"/>
      <c r="F2543" s="60">
        <f>ПЛАТЕЖИ[[#This Row],[СЎМ]]+(ПЛАТЕЖИ[[#This Row],[ВАЛЮТА]]*ПЛАТЕЖИ[[#This Row],[КУРС]])</f>
        <v>0</v>
      </c>
      <c r="G2543" s="165"/>
      <c r="H2543" s="165"/>
      <c r="I2543" s="165"/>
    </row>
    <row r="2544" spans="1:9" ht="15" customHeight="1" x14ac:dyDescent="0.3">
      <c r="A2544" s="164"/>
      <c r="B2544" s="165"/>
      <c r="C2544" s="166"/>
      <c r="D2544" s="166"/>
      <c r="E2544" s="166"/>
      <c r="F2544" s="60">
        <f>ПЛАТЕЖИ[[#This Row],[СЎМ]]+(ПЛАТЕЖИ[[#This Row],[ВАЛЮТА]]*ПЛАТЕЖИ[[#This Row],[КУРС]])</f>
        <v>0</v>
      </c>
      <c r="G2544" s="165"/>
      <c r="H2544" s="165"/>
      <c r="I2544" s="165"/>
    </row>
    <row r="2545" spans="1:9" ht="15" customHeight="1" x14ac:dyDescent="0.3">
      <c r="A2545" s="164"/>
      <c r="B2545" s="165"/>
      <c r="C2545" s="166"/>
      <c r="D2545" s="166"/>
      <c r="E2545" s="166"/>
      <c r="F2545" s="60">
        <f>ПЛАТЕЖИ[[#This Row],[СЎМ]]+(ПЛАТЕЖИ[[#This Row],[ВАЛЮТА]]*ПЛАТЕЖИ[[#This Row],[КУРС]])</f>
        <v>0</v>
      </c>
      <c r="G2545" s="165"/>
      <c r="H2545" s="165"/>
      <c r="I2545" s="165"/>
    </row>
    <row r="2546" spans="1:9" ht="15" customHeight="1" x14ac:dyDescent="0.3">
      <c r="A2546" s="164"/>
      <c r="B2546" s="165"/>
      <c r="C2546" s="166"/>
      <c r="D2546" s="166"/>
      <c r="E2546" s="166"/>
      <c r="F2546" s="60">
        <f>ПЛАТЕЖИ[[#This Row],[СЎМ]]+(ПЛАТЕЖИ[[#This Row],[ВАЛЮТА]]*ПЛАТЕЖИ[[#This Row],[КУРС]])</f>
        <v>0</v>
      </c>
      <c r="G2546" s="165"/>
      <c r="H2546" s="165"/>
      <c r="I2546" s="165"/>
    </row>
    <row r="2547" spans="1:9" ht="15" customHeight="1" x14ac:dyDescent="0.3">
      <c r="A2547" s="164"/>
      <c r="B2547" s="165"/>
      <c r="C2547" s="166"/>
      <c r="D2547" s="166"/>
      <c r="E2547" s="166"/>
      <c r="F2547" s="60">
        <f>ПЛАТЕЖИ[[#This Row],[СЎМ]]+(ПЛАТЕЖИ[[#This Row],[ВАЛЮТА]]*ПЛАТЕЖИ[[#This Row],[КУРС]])</f>
        <v>0</v>
      </c>
      <c r="G2547" s="165"/>
      <c r="H2547" s="165"/>
      <c r="I2547" s="165"/>
    </row>
    <row r="2548" spans="1:9" ht="15" customHeight="1" x14ac:dyDescent="0.3">
      <c r="A2548" s="164"/>
      <c r="B2548" s="165"/>
      <c r="C2548" s="166"/>
      <c r="D2548" s="166"/>
      <c r="E2548" s="166"/>
      <c r="F2548" s="60">
        <f>ПЛАТЕЖИ[[#This Row],[СЎМ]]+(ПЛАТЕЖИ[[#This Row],[ВАЛЮТА]]*ПЛАТЕЖИ[[#This Row],[КУРС]])</f>
        <v>0</v>
      </c>
      <c r="G2548" s="165"/>
      <c r="H2548" s="165"/>
      <c r="I2548" s="165"/>
    </row>
    <row r="2549" spans="1:9" ht="15" customHeight="1" x14ac:dyDescent="0.3">
      <c r="A2549" s="164"/>
      <c r="B2549" s="165"/>
      <c r="C2549" s="166"/>
      <c r="D2549" s="166"/>
      <c r="E2549" s="166"/>
      <c r="F2549" s="60">
        <f>ПЛАТЕЖИ[[#This Row],[СЎМ]]+(ПЛАТЕЖИ[[#This Row],[ВАЛЮТА]]*ПЛАТЕЖИ[[#This Row],[КУРС]])</f>
        <v>0</v>
      </c>
      <c r="G2549" s="165"/>
      <c r="H2549" s="165"/>
      <c r="I2549" s="165"/>
    </row>
    <row r="2550" spans="1:9" ht="15" customHeight="1" x14ac:dyDescent="0.3">
      <c r="A2550" s="164"/>
      <c r="B2550" s="165"/>
      <c r="C2550" s="166"/>
      <c r="D2550" s="166"/>
      <c r="E2550" s="166"/>
      <c r="F2550" s="60">
        <f>ПЛАТЕЖИ[[#This Row],[СЎМ]]+(ПЛАТЕЖИ[[#This Row],[ВАЛЮТА]]*ПЛАТЕЖИ[[#This Row],[КУРС]])</f>
        <v>0</v>
      </c>
      <c r="G2550" s="165"/>
      <c r="H2550" s="165"/>
      <c r="I2550" s="165"/>
    </row>
    <row r="2551" spans="1:9" ht="15" customHeight="1" x14ac:dyDescent="0.3">
      <c r="A2551" s="164"/>
      <c r="B2551" s="165"/>
      <c r="C2551" s="166"/>
      <c r="D2551" s="166"/>
      <c r="E2551" s="166"/>
      <c r="F2551" s="60">
        <f>ПЛАТЕЖИ[[#This Row],[СЎМ]]+(ПЛАТЕЖИ[[#This Row],[ВАЛЮТА]]*ПЛАТЕЖИ[[#This Row],[КУРС]])</f>
        <v>0</v>
      </c>
      <c r="G2551" s="165"/>
      <c r="H2551" s="165"/>
      <c r="I2551" s="165"/>
    </row>
    <row r="2552" spans="1:9" ht="15" customHeight="1" x14ac:dyDescent="0.3">
      <c r="A2552" s="164"/>
      <c r="B2552" s="165"/>
      <c r="C2552" s="166"/>
      <c r="D2552" s="166"/>
      <c r="E2552" s="166"/>
      <c r="F2552" s="60">
        <f>ПЛАТЕЖИ[[#This Row],[СЎМ]]+(ПЛАТЕЖИ[[#This Row],[ВАЛЮТА]]*ПЛАТЕЖИ[[#This Row],[КУРС]])</f>
        <v>0</v>
      </c>
      <c r="G2552" s="165"/>
      <c r="H2552" s="165"/>
      <c r="I2552" s="165"/>
    </row>
    <row r="2553" spans="1:9" ht="15" customHeight="1" x14ac:dyDescent="0.3">
      <c r="A2553" s="164"/>
      <c r="B2553" s="165"/>
      <c r="C2553" s="166"/>
      <c r="D2553" s="166"/>
      <c r="E2553" s="166"/>
      <c r="F2553" s="60">
        <f>ПЛАТЕЖИ[[#This Row],[СЎМ]]+(ПЛАТЕЖИ[[#This Row],[ВАЛЮТА]]*ПЛАТЕЖИ[[#This Row],[КУРС]])</f>
        <v>0</v>
      </c>
      <c r="G2553" s="165"/>
      <c r="H2553" s="165"/>
      <c r="I2553" s="165"/>
    </row>
    <row r="2554" spans="1:9" ht="15" customHeight="1" x14ac:dyDescent="0.3">
      <c r="A2554" s="164"/>
      <c r="B2554" s="165"/>
      <c r="C2554" s="166"/>
      <c r="D2554" s="166"/>
      <c r="E2554" s="166"/>
      <c r="F2554" s="60">
        <f>ПЛАТЕЖИ[[#This Row],[СЎМ]]+(ПЛАТЕЖИ[[#This Row],[ВАЛЮТА]]*ПЛАТЕЖИ[[#This Row],[КУРС]])</f>
        <v>0</v>
      </c>
      <c r="G2554" s="165"/>
      <c r="H2554" s="165"/>
      <c r="I2554" s="165"/>
    </row>
    <row r="2555" spans="1:9" ht="15" customHeight="1" x14ac:dyDescent="0.3">
      <c r="A2555" s="164"/>
      <c r="B2555" s="165"/>
      <c r="C2555" s="166"/>
      <c r="D2555" s="166"/>
      <c r="E2555" s="166"/>
      <c r="F2555" s="60">
        <f>ПЛАТЕЖИ[[#This Row],[СЎМ]]+(ПЛАТЕЖИ[[#This Row],[ВАЛЮТА]]*ПЛАТЕЖИ[[#This Row],[КУРС]])</f>
        <v>0</v>
      </c>
      <c r="G2555" s="165"/>
      <c r="H2555" s="165"/>
      <c r="I2555" s="165"/>
    </row>
    <row r="2556" spans="1:9" x14ac:dyDescent="0.3">
      <c r="A2556" s="164"/>
      <c r="B2556" s="165"/>
      <c r="C2556" s="166"/>
      <c r="D2556" s="166"/>
      <c r="E2556" s="166"/>
      <c r="F2556" s="60">
        <f>ПЛАТЕЖИ[[#This Row],[СЎМ]]+(ПЛАТЕЖИ[[#This Row],[ВАЛЮТА]]*ПЛАТЕЖИ[[#This Row],[КУРС]])</f>
        <v>0</v>
      </c>
      <c r="G2556" s="165"/>
      <c r="H2556" s="165"/>
      <c r="I2556" s="165"/>
    </row>
    <row r="2557" spans="1:9" x14ac:dyDescent="0.3">
      <c r="A2557" s="164"/>
      <c r="B2557" s="165"/>
      <c r="C2557" s="166"/>
      <c r="D2557" s="166"/>
      <c r="E2557" s="166"/>
      <c r="F2557" s="60">
        <f>ПЛАТЕЖИ[[#This Row],[СЎМ]]+(ПЛАТЕЖИ[[#This Row],[ВАЛЮТА]]*ПЛАТЕЖИ[[#This Row],[КУРС]])</f>
        <v>0</v>
      </c>
      <c r="G2557" s="165"/>
      <c r="H2557" s="165"/>
      <c r="I2557" s="165"/>
    </row>
    <row r="2558" spans="1:9" x14ac:dyDescent="0.3">
      <c r="A2558" s="164"/>
      <c r="B2558" s="165"/>
      <c r="C2558" s="166"/>
      <c r="D2558" s="166"/>
      <c r="E2558" s="166"/>
      <c r="F2558" s="60">
        <f>ПЛАТЕЖИ[[#This Row],[СЎМ]]+(ПЛАТЕЖИ[[#This Row],[ВАЛЮТА]]*ПЛАТЕЖИ[[#This Row],[КУРС]])</f>
        <v>0</v>
      </c>
      <c r="G2558" s="165"/>
      <c r="H2558" s="165"/>
      <c r="I2558" s="165"/>
    </row>
    <row r="2559" spans="1:9" x14ac:dyDescent="0.3">
      <c r="A2559" s="164"/>
      <c r="B2559" s="165"/>
      <c r="C2559" s="166"/>
      <c r="D2559" s="166"/>
      <c r="E2559" s="166"/>
      <c r="F2559" s="60">
        <f>ПЛАТЕЖИ[[#This Row],[СЎМ]]+(ПЛАТЕЖИ[[#This Row],[ВАЛЮТА]]*ПЛАТЕЖИ[[#This Row],[КУРС]])</f>
        <v>0</v>
      </c>
      <c r="G2559" s="165"/>
      <c r="H2559" s="165"/>
      <c r="I2559" s="165"/>
    </row>
    <row r="2560" spans="1:9" x14ac:dyDescent="0.3">
      <c r="A2560" s="164"/>
      <c r="B2560" s="165"/>
      <c r="C2560" s="166"/>
      <c r="D2560" s="166"/>
      <c r="E2560" s="166"/>
      <c r="F2560" s="60">
        <f>ПЛАТЕЖИ[[#This Row],[СЎМ]]+(ПЛАТЕЖИ[[#This Row],[ВАЛЮТА]]*ПЛАТЕЖИ[[#This Row],[КУРС]])</f>
        <v>0</v>
      </c>
      <c r="G2560" s="165"/>
      <c r="H2560" s="165"/>
      <c r="I2560" s="165"/>
    </row>
    <row r="2561" spans="1:9" x14ac:dyDescent="0.3">
      <c r="A2561" s="164"/>
      <c r="B2561" s="165"/>
      <c r="C2561" s="166"/>
      <c r="D2561" s="166"/>
      <c r="E2561" s="166"/>
      <c r="F2561" s="60">
        <f>ПЛАТЕЖИ[[#This Row],[СЎМ]]+(ПЛАТЕЖИ[[#This Row],[ВАЛЮТА]]*ПЛАТЕЖИ[[#This Row],[КУРС]])</f>
        <v>0</v>
      </c>
      <c r="G2561" s="165"/>
      <c r="H2561" s="165"/>
      <c r="I2561" s="165"/>
    </row>
    <row r="2562" spans="1:9" x14ac:dyDescent="0.3">
      <c r="A2562" s="164"/>
      <c r="B2562" s="165"/>
      <c r="C2562" s="166"/>
      <c r="D2562" s="166"/>
      <c r="E2562" s="166"/>
      <c r="F2562" s="60">
        <f>ПЛАТЕЖИ[[#This Row],[СЎМ]]+(ПЛАТЕЖИ[[#This Row],[ВАЛЮТА]]*ПЛАТЕЖИ[[#This Row],[КУРС]])</f>
        <v>0</v>
      </c>
      <c r="G2562" s="165"/>
      <c r="H2562" s="165"/>
      <c r="I2562" s="165"/>
    </row>
    <row r="2563" spans="1:9" x14ac:dyDescent="0.3">
      <c r="A2563" s="164"/>
      <c r="B2563" s="165"/>
      <c r="C2563" s="166"/>
      <c r="D2563" s="166"/>
      <c r="E2563" s="166"/>
      <c r="F2563" s="60">
        <f>ПЛАТЕЖИ[[#This Row],[СЎМ]]+(ПЛАТЕЖИ[[#This Row],[ВАЛЮТА]]*ПЛАТЕЖИ[[#This Row],[КУРС]])</f>
        <v>0</v>
      </c>
      <c r="G2563" s="165"/>
      <c r="H2563" s="165"/>
      <c r="I2563" s="165"/>
    </row>
    <row r="2564" spans="1:9" x14ac:dyDescent="0.3">
      <c r="A2564" s="164"/>
      <c r="B2564" s="165"/>
      <c r="C2564" s="166"/>
      <c r="D2564" s="166"/>
      <c r="E2564" s="166"/>
      <c r="F2564" s="60">
        <f>ПЛАТЕЖИ[[#This Row],[СЎМ]]+(ПЛАТЕЖИ[[#This Row],[ВАЛЮТА]]*ПЛАТЕЖИ[[#This Row],[КУРС]])</f>
        <v>0</v>
      </c>
      <c r="G2564" s="165"/>
      <c r="H2564" s="165"/>
      <c r="I2564" s="165"/>
    </row>
    <row r="2565" spans="1:9" x14ac:dyDescent="0.3">
      <c r="A2565" s="164"/>
      <c r="B2565" s="165"/>
      <c r="C2565" s="166"/>
      <c r="D2565" s="166"/>
      <c r="E2565" s="166"/>
      <c r="F2565" s="60">
        <f>ПЛАТЕЖИ[[#This Row],[СЎМ]]+(ПЛАТЕЖИ[[#This Row],[ВАЛЮТА]]*ПЛАТЕЖИ[[#This Row],[КУРС]])</f>
        <v>0</v>
      </c>
      <c r="G2565" s="165"/>
      <c r="H2565" s="165"/>
      <c r="I2565" s="165"/>
    </row>
    <row r="2566" spans="1:9" x14ac:dyDescent="0.3">
      <c r="A2566" s="164"/>
      <c r="B2566" s="165"/>
      <c r="C2566" s="166"/>
      <c r="D2566" s="166"/>
      <c r="E2566" s="166"/>
      <c r="F2566" s="60">
        <f>ПЛАТЕЖИ[[#This Row],[СЎМ]]+(ПЛАТЕЖИ[[#This Row],[ВАЛЮТА]]*ПЛАТЕЖИ[[#This Row],[КУРС]])</f>
        <v>0</v>
      </c>
      <c r="G2566" s="165"/>
      <c r="H2566" s="165"/>
      <c r="I2566" s="165"/>
    </row>
    <row r="2567" spans="1:9" x14ac:dyDescent="0.3">
      <c r="A2567" s="164"/>
      <c r="B2567" s="165"/>
      <c r="C2567" s="166"/>
      <c r="D2567" s="166"/>
      <c r="E2567" s="166"/>
      <c r="F2567" s="60">
        <f>ПЛАТЕЖИ[[#This Row],[СЎМ]]+(ПЛАТЕЖИ[[#This Row],[ВАЛЮТА]]*ПЛАТЕЖИ[[#This Row],[КУРС]])</f>
        <v>0</v>
      </c>
      <c r="G2567" s="165"/>
      <c r="H2567" s="165"/>
      <c r="I2567" s="165"/>
    </row>
    <row r="2568" spans="1:9" x14ac:dyDescent="0.3">
      <c r="A2568" s="164"/>
      <c r="B2568" s="165"/>
      <c r="C2568" s="166"/>
      <c r="D2568" s="166"/>
      <c r="E2568" s="166"/>
      <c r="F2568" s="60">
        <f>ПЛАТЕЖИ[[#This Row],[СЎМ]]+(ПЛАТЕЖИ[[#This Row],[ВАЛЮТА]]*ПЛАТЕЖИ[[#This Row],[КУРС]])</f>
        <v>0</v>
      </c>
      <c r="G2568" s="165"/>
      <c r="H2568" s="165"/>
      <c r="I2568" s="165"/>
    </row>
    <row r="2569" spans="1:9" x14ac:dyDescent="0.3">
      <c r="A2569" s="164"/>
      <c r="B2569" s="165"/>
      <c r="C2569" s="166"/>
      <c r="D2569" s="166"/>
      <c r="E2569" s="166"/>
      <c r="F2569" s="60">
        <f>ПЛАТЕЖИ[[#This Row],[СЎМ]]+(ПЛАТЕЖИ[[#This Row],[ВАЛЮТА]]*ПЛАТЕЖИ[[#This Row],[КУРС]])</f>
        <v>0</v>
      </c>
      <c r="G2569" s="165"/>
      <c r="H2569" s="165"/>
      <c r="I2569" s="165"/>
    </row>
    <row r="2570" spans="1:9" x14ac:dyDescent="0.3">
      <c r="A2570" s="164"/>
      <c r="B2570" s="165"/>
      <c r="C2570" s="166"/>
      <c r="D2570" s="166"/>
      <c r="E2570" s="166"/>
      <c r="F2570" s="60">
        <f>ПЛАТЕЖИ[[#This Row],[СЎМ]]+(ПЛАТЕЖИ[[#This Row],[ВАЛЮТА]]*ПЛАТЕЖИ[[#This Row],[КУРС]])</f>
        <v>0</v>
      </c>
      <c r="G2570" s="165"/>
      <c r="H2570" s="165"/>
      <c r="I2570" s="165"/>
    </row>
    <row r="2571" spans="1:9" x14ac:dyDescent="0.3">
      <c r="A2571" s="164"/>
      <c r="B2571" s="165"/>
      <c r="C2571" s="166"/>
      <c r="D2571" s="166"/>
      <c r="E2571" s="166"/>
      <c r="F2571" s="60">
        <f>ПЛАТЕЖИ[[#This Row],[СЎМ]]+(ПЛАТЕЖИ[[#This Row],[ВАЛЮТА]]*ПЛАТЕЖИ[[#This Row],[КУРС]])</f>
        <v>0</v>
      </c>
      <c r="G2571" s="165"/>
      <c r="H2571" s="165"/>
      <c r="I2571" s="165"/>
    </row>
    <row r="2572" spans="1:9" x14ac:dyDescent="0.3">
      <c r="A2572" s="164"/>
      <c r="B2572" s="165"/>
      <c r="C2572" s="166"/>
      <c r="D2572" s="166"/>
      <c r="E2572" s="166"/>
      <c r="F2572" s="60">
        <f>ПЛАТЕЖИ[[#This Row],[СЎМ]]+(ПЛАТЕЖИ[[#This Row],[ВАЛЮТА]]*ПЛАТЕЖИ[[#This Row],[КУРС]])</f>
        <v>0</v>
      </c>
      <c r="G2572" s="165"/>
      <c r="H2572" s="165"/>
      <c r="I2572" s="165"/>
    </row>
    <row r="2573" spans="1:9" x14ac:dyDescent="0.3">
      <c r="A2573" s="164"/>
      <c r="B2573" s="165"/>
      <c r="C2573" s="166"/>
      <c r="D2573" s="166"/>
      <c r="E2573" s="166"/>
      <c r="F2573" s="60">
        <f>ПЛАТЕЖИ[[#This Row],[СЎМ]]+(ПЛАТЕЖИ[[#This Row],[ВАЛЮТА]]*ПЛАТЕЖИ[[#This Row],[КУРС]])</f>
        <v>0</v>
      </c>
      <c r="G2573" s="165"/>
      <c r="H2573" s="165"/>
      <c r="I2573" s="165"/>
    </row>
    <row r="2574" spans="1:9" x14ac:dyDescent="0.3">
      <c r="A2574" s="164"/>
      <c r="B2574" s="165"/>
      <c r="C2574" s="166"/>
      <c r="D2574" s="166"/>
      <c r="E2574" s="166"/>
      <c r="F2574" s="60">
        <f>ПЛАТЕЖИ[[#This Row],[СЎМ]]+(ПЛАТЕЖИ[[#This Row],[ВАЛЮТА]]*ПЛАТЕЖИ[[#This Row],[КУРС]])</f>
        <v>0</v>
      </c>
      <c r="G2574" s="165"/>
      <c r="H2574" s="165"/>
      <c r="I2574" s="165"/>
    </row>
    <row r="2575" spans="1:9" x14ac:dyDescent="0.3">
      <c r="A2575" s="164"/>
      <c r="B2575" s="165"/>
      <c r="C2575" s="166"/>
      <c r="D2575" s="166"/>
      <c r="E2575" s="166"/>
      <c r="F2575" s="60">
        <f>ПЛАТЕЖИ[[#This Row],[СЎМ]]+(ПЛАТЕЖИ[[#This Row],[ВАЛЮТА]]*ПЛАТЕЖИ[[#This Row],[КУРС]])</f>
        <v>0</v>
      </c>
      <c r="G2575" s="165"/>
      <c r="H2575" s="165"/>
      <c r="I2575" s="165"/>
    </row>
    <row r="2576" spans="1:9" x14ac:dyDescent="0.3">
      <c r="A2576" s="164"/>
      <c r="B2576" s="165"/>
      <c r="C2576" s="166"/>
      <c r="D2576" s="166"/>
      <c r="E2576" s="166"/>
      <c r="F2576" s="60">
        <f>ПЛАТЕЖИ[[#This Row],[СЎМ]]+(ПЛАТЕЖИ[[#This Row],[ВАЛЮТА]]*ПЛАТЕЖИ[[#This Row],[КУРС]])</f>
        <v>0</v>
      </c>
      <c r="G2576" s="165"/>
      <c r="H2576" s="165"/>
      <c r="I2576" s="165"/>
    </row>
    <row r="2577" spans="1:9" x14ac:dyDescent="0.3">
      <c r="A2577" s="164"/>
      <c r="B2577" s="165"/>
      <c r="C2577" s="166"/>
      <c r="D2577" s="166"/>
      <c r="E2577" s="166"/>
      <c r="F2577" s="60">
        <f>ПЛАТЕЖИ[[#This Row],[СЎМ]]+(ПЛАТЕЖИ[[#This Row],[ВАЛЮТА]]*ПЛАТЕЖИ[[#This Row],[КУРС]])</f>
        <v>0</v>
      </c>
      <c r="G2577" s="165"/>
      <c r="H2577" s="165"/>
      <c r="I2577" s="165"/>
    </row>
    <row r="2578" spans="1:9" x14ac:dyDescent="0.3">
      <c r="A2578" s="164"/>
      <c r="B2578" s="165"/>
      <c r="C2578" s="166"/>
      <c r="D2578" s="166"/>
      <c r="E2578" s="166"/>
      <c r="F2578" s="60">
        <f>ПЛАТЕЖИ[[#This Row],[СЎМ]]+(ПЛАТЕЖИ[[#This Row],[ВАЛЮТА]]*ПЛАТЕЖИ[[#This Row],[КУРС]])</f>
        <v>0</v>
      </c>
      <c r="G2578" s="165"/>
      <c r="H2578" s="165"/>
      <c r="I2578" s="165"/>
    </row>
    <row r="2579" spans="1:9" x14ac:dyDescent="0.3">
      <c r="A2579" s="164"/>
      <c r="B2579" s="165"/>
      <c r="C2579" s="166"/>
      <c r="D2579" s="166"/>
      <c r="E2579" s="166"/>
      <c r="F2579" s="60">
        <f>ПЛАТЕЖИ[[#This Row],[СЎМ]]+(ПЛАТЕЖИ[[#This Row],[ВАЛЮТА]]*ПЛАТЕЖИ[[#This Row],[КУРС]])</f>
        <v>0</v>
      </c>
      <c r="G2579" s="165"/>
      <c r="H2579" s="165"/>
      <c r="I2579" s="165"/>
    </row>
    <row r="2580" spans="1:9" x14ac:dyDescent="0.3">
      <c r="A2580" s="164"/>
      <c r="B2580" s="165"/>
      <c r="C2580" s="166"/>
      <c r="D2580" s="166"/>
      <c r="E2580" s="166"/>
      <c r="F2580" s="60">
        <f>ПЛАТЕЖИ[[#This Row],[СЎМ]]+(ПЛАТЕЖИ[[#This Row],[ВАЛЮТА]]*ПЛАТЕЖИ[[#This Row],[КУРС]])</f>
        <v>0</v>
      </c>
      <c r="G2580" s="165"/>
      <c r="H2580" s="165"/>
      <c r="I2580" s="165"/>
    </row>
    <row r="2581" spans="1:9" x14ac:dyDescent="0.3">
      <c r="A2581" s="164"/>
      <c r="B2581" s="165"/>
      <c r="C2581" s="166"/>
      <c r="D2581" s="166"/>
      <c r="E2581" s="166"/>
      <c r="F2581" s="60">
        <f>ПЛАТЕЖИ[[#This Row],[СЎМ]]+(ПЛАТЕЖИ[[#This Row],[ВАЛЮТА]]*ПЛАТЕЖИ[[#This Row],[КУРС]])</f>
        <v>0</v>
      </c>
      <c r="G2581" s="165"/>
      <c r="H2581" s="165"/>
      <c r="I2581" s="165"/>
    </row>
    <row r="2582" spans="1:9" x14ac:dyDescent="0.3">
      <c r="A2582" s="164"/>
      <c r="B2582" s="165"/>
      <c r="C2582" s="166"/>
      <c r="D2582" s="166"/>
      <c r="E2582" s="166"/>
      <c r="F2582" s="60">
        <f>ПЛАТЕЖИ[[#This Row],[СЎМ]]+(ПЛАТЕЖИ[[#This Row],[ВАЛЮТА]]*ПЛАТЕЖИ[[#This Row],[КУРС]])</f>
        <v>0</v>
      </c>
      <c r="G2582" s="165"/>
      <c r="H2582" s="165"/>
      <c r="I2582" s="165"/>
    </row>
    <row r="2583" spans="1:9" x14ac:dyDescent="0.3">
      <c r="A2583" s="164"/>
      <c r="B2583" s="165"/>
      <c r="C2583" s="166"/>
      <c r="D2583" s="166"/>
      <c r="E2583" s="166"/>
      <c r="F2583" s="60">
        <f>ПЛАТЕЖИ[[#This Row],[СЎМ]]+(ПЛАТЕЖИ[[#This Row],[ВАЛЮТА]]*ПЛАТЕЖИ[[#This Row],[КУРС]])</f>
        <v>0</v>
      </c>
      <c r="G2583" s="165"/>
      <c r="H2583" s="165"/>
      <c r="I2583" s="165"/>
    </row>
    <row r="2584" spans="1:9" x14ac:dyDescent="0.3">
      <c r="A2584" s="164"/>
      <c r="B2584" s="165"/>
      <c r="C2584" s="166"/>
      <c r="D2584" s="166"/>
      <c r="E2584" s="166"/>
      <c r="F2584" s="60">
        <f>ПЛАТЕЖИ[[#This Row],[СЎМ]]+(ПЛАТЕЖИ[[#This Row],[ВАЛЮТА]]*ПЛАТЕЖИ[[#This Row],[КУРС]])</f>
        <v>0</v>
      </c>
      <c r="G2584" s="165"/>
      <c r="H2584" s="165"/>
      <c r="I2584" s="165"/>
    </row>
    <row r="2585" spans="1:9" x14ac:dyDescent="0.3">
      <c r="A2585" s="164"/>
      <c r="B2585" s="165"/>
      <c r="C2585" s="166"/>
      <c r="D2585" s="166"/>
      <c r="E2585" s="166"/>
      <c r="F2585" s="60">
        <f>ПЛАТЕЖИ[[#This Row],[СЎМ]]+(ПЛАТЕЖИ[[#This Row],[ВАЛЮТА]]*ПЛАТЕЖИ[[#This Row],[КУРС]])</f>
        <v>0</v>
      </c>
      <c r="G2585" s="165"/>
      <c r="H2585" s="165"/>
      <c r="I2585" s="165"/>
    </row>
    <row r="2586" spans="1:9" x14ac:dyDescent="0.3">
      <c r="A2586" s="164"/>
      <c r="B2586" s="165"/>
      <c r="C2586" s="166"/>
      <c r="D2586" s="166"/>
      <c r="E2586" s="166"/>
      <c r="F2586" s="60">
        <f>ПЛАТЕЖИ[[#This Row],[СЎМ]]+(ПЛАТЕЖИ[[#This Row],[ВАЛЮТА]]*ПЛАТЕЖИ[[#This Row],[КУРС]])</f>
        <v>0</v>
      </c>
      <c r="G2586" s="165"/>
      <c r="H2586" s="165"/>
      <c r="I2586" s="165"/>
    </row>
    <row r="2587" spans="1:9" x14ac:dyDescent="0.3">
      <c r="A2587" s="164"/>
      <c r="B2587" s="165"/>
      <c r="C2587" s="166"/>
      <c r="D2587" s="166"/>
      <c r="E2587" s="166"/>
      <c r="F2587" s="60">
        <f>ПЛАТЕЖИ[[#This Row],[СЎМ]]+(ПЛАТЕЖИ[[#This Row],[ВАЛЮТА]]*ПЛАТЕЖИ[[#This Row],[КУРС]])</f>
        <v>0</v>
      </c>
      <c r="G2587" s="165"/>
      <c r="H2587" s="165"/>
      <c r="I2587" s="165"/>
    </row>
    <row r="2588" spans="1:9" x14ac:dyDescent="0.3">
      <c r="A2588" s="164"/>
      <c r="B2588" s="165"/>
      <c r="C2588" s="166"/>
      <c r="D2588" s="166"/>
      <c r="E2588" s="166"/>
      <c r="F2588" s="60">
        <f>ПЛАТЕЖИ[[#This Row],[СЎМ]]+(ПЛАТЕЖИ[[#This Row],[ВАЛЮТА]]*ПЛАТЕЖИ[[#This Row],[КУРС]])</f>
        <v>0</v>
      </c>
      <c r="G2588" s="165"/>
      <c r="H2588" s="165"/>
      <c r="I2588" s="165"/>
    </row>
    <row r="2589" spans="1:9" x14ac:dyDescent="0.3">
      <c r="A2589" s="164"/>
      <c r="B2589" s="165"/>
      <c r="C2589" s="166"/>
      <c r="D2589" s="166"/>
      <c r="E2589" s="166"/>
      <c r="F2589" s="60">
        <f>ПЛАТЕЖИ[[#This Row],[СЎМ]]+(ПЛАТЕЖИ[[#This Row],[ВАЛЮТА]]*ПЛАТЕЖИ[[#This Row],[КУРС]])</f>
        <v>0</v>
      </c>
      <c r="G2589" s="165"/>
      <c r="H2589" s="165"/>
      <c r="I2589" s="165"/>
    </row>
    <row r="2590" spans="1:9" x14ac:dyDescent="0.3">
      <c r="A2590" s="164"/>
      <c r="B2590" s="165"/>
      <c r="C2590" s="166"/>
      <c r="D2590" s="166"/>
      <c r="E2590" s="166"/>
      <c r="F2590" s="60">
        <f>ПЛАТЕЖИ[[#This Row],[СЎМ]]+(ПЛАТЕЖИ[[#This Row],[ВАЛЮТА]]*ПЛАТЕЖИ[[#This Row],[КУРС]])</f>
        <v>0</v>
      </c>
      <c r="G2590" s="165"/>
      <c r="H2590" s="165"/>
      <c r="I2590" s="165"/>
    </row>
    <row r="2591" spans="1:9" x14ac:dyDescent="0.3">
      <c r="A2591" s="164"/>
      <c r="B2591" s="165"/>
      <c r="C2591" s="166"/>
      <c r="D2591" s="166"/>
      <c r="E2591" s="166"/>
      <c r="F2591" s="60">
        <f>ПЛАТЕЖИ[[#This Row],[СЎМ]]+(ПЛАТЕЖИ[[#This Row],[ВАЛЮТА]]*ПЛАТЕЖИ[[#This Row],[КУРС]])</f>
        <v>0</v>
      </c>
      <c r="G2591" s="165"/>
      <c r="H2591" s="165"/>
      <c r="I2591" s="165"/>
    </row>
    <row r="2592" spans="1:9" x14ac:dyDescent="0.3">
      <c r="A2592" s="164"/>
      <c r="B2592" s="165"/>
      <c r="C2592" s="166"/>
      <c r="D2592" s="166"/>
      <c r="E2592" s="166"/>
      <c r="F2592" s="60">
        <f>ПЛАТЕЖИ[[#This Row],[СЎМ]]+(ПЛАТЕЖИ[[#This Row],[ВАЛЮТА]]*ПЛАТЕЖИ[[#This Row],[КУРС]])</f>
        <v>0</v>
      </c>
      <c r="G2592" s="165"/>
      <c r="H2592" s="165"/>
      <c r="I2592" s="165"/>
    </row>
    <row r="2593" spans="1:9" x14ac:dyDescent="0.3">
      <c r="A2593" s="164"/>
      <c r="B2593" s="165"/>
      <c r="C2593" s="166"/>
      <c r="D2593" s="166"/>
      <c r="E2593" s="166"/>
      <c r="F2593" s="60">
        <f>ПЛАТЕЖИ[[#This Row],[СЎМ]]+(ПЛАТЕЖИ[[#This Row],[ВАЛЮТА]]*ПЛАТЕЖИ[[#This Row],[КУРС]])</f>
        <v>0</v>
      </c>
      <c r="G2593" s="165"/>
      <c r="H2593" s="165"/>
      <c r="I2593" s="165"/>
    </row>
    <row r="2594" spans="1:9" x14ac:dyDescent="0.3">
      <c r="A2594" s="164"/>
      <c r="B2594" s="165"/>
      <c r="C2594" s="166"/>
      <c r="D2594" s="166"/>
      <c r="E2594" s="166"/>
      <c r="F2594" s="60">
        <f>ПЛАТЕЖИ[[#This Row],[СЎМ]]+(ПЛАТЕЖИ[[#This Row],[ВАЛЮТА]]*ПЛАТЕЖИ[[#This Row],[КУРС]])</f>
        <v>0</v>
      </c>
      <c r="G2594" s="165"/>
      <c r="H2594" s="165"/>
      <c r="I2594" s="165"/>
    </row>
    <row r="2595" spans="1:9" x14ac:dyDescent="0.3">
      <c r="A2595" s="164"/>
      <c r="B2595" s="165"/>
      <c r="C2595" s="166"/>
      <c r="D2595" s="166"/>
      <c r="E2595" s="166"/>
      <c r="F2595" s="60">
        <f>ПЛАТЕЖИ[[#This Row],[СЎМ]]+(ПЛАТЕЖИ[[#This Row],[ВАЛЮТА]]*ПЛАТЕЖИ[[#This Row],[КУРС]])</f>
        <v>0</v>
      </c>
      <c r="G2595" s="165"/>
      <c r="H2595" s="165"/>
      <c r="I2595" s="165"/>
    </row>
    <row r="2596" spans="1:9" x14ac:dyDescent="0.3">
      <c r="A2596" s="164"/>
      <c r="B2596" s="165"/>
      <c r="C2596" s="166"/>
      <c r="D2596" s="166"/>
      <c r="E2596" s="166"/>
      <c r="F2596" s="60">
        <f>ПЛАТЕЖИ[[#This Row],[СЎМ]]+(ПЛАТЕЖИ[[#This Row],[ВАЛЮТА]]*ПЛАТЕЖИ[[#This Row],[КУРС]])</f>
        <v>0</v>
      </c>
      <c r="G2596" s="165"/>
      <c r="H2596" s="165"/>
      <c r="I2596" s="165"/>
    </row>
    <row r="2597" spans="1:9" x14ac:dyDescent="0.3">
      <c r="A2597" s="164"/>
      <c r="B2597" s="165"/>
      <c r="C2597" s="166"/>
      <c r="D2597" s="166"/>
      <c r="E2597" s="166"/>
      <c r="F2597" s="60">
        <f>ПЛАТЕЖИ[[#This Row],[СЎМ]]+(ПЛАТЕЖИ[[#This Row],[ВАЛЮТА]]*ПЛАТЕЖИ[[#This Row],[КУРС]])</f>
        <v>0</v>
      </c>
      <c r="G2597" s="165"/>
      <c r="H2597" s="165"/>
      <c r="I2597" s="165"/>
    </row>
    <row r="2598" spans="1:9" x14ac:dyDescent="0.3">
      <c r="A2598" s="164"/>
      <c r="B2598" s="165"/>
      <c r="C2598" s="166"/>
      <c r="D2598" s="166"/>
      <c r="E2598" s="166"/>
      <c r="F2598" s="60">
        <f>ПЛАТЕЖИ[[#This Row],[СЎМ]]+(ПЛАТЕЖИ[[#This Row],[ВАЛЮТА]]*ПЛАТЕЖИ[[#This Row],[КУРС]])</f>
        <v>0</v>
      </c>
      <c r="G2598" s="165"/>
      <c r="H2598" s="165"/>
      <c r="I2598" s="165"/>
    </row>
    <row r="2599" spans="1:9" x14ac:dyDescent="0.3">
      <c r="A2599" s="164"/>
      <c r="B2599" s="165"/>
      <c r="C2599" s="166"/>
      <c r="D2599" s="166"/>
      <c r="E2599" s="166"/>
      <c r="F2599" s="60">
        <f>ПЛАТЕЖИ[[#This Row],[СЎМ]]+(ПЛАТЕЖИ[[#This Row],[ВАЛЮТА]]*ПЛАТЕЖИ[[#This Row],[КУРС]])</f>
        <v>0</v>
      </c>
      <c r="G2599" s="165"/>
      <c r="H2599" s="165"/>
      <c r="I2599" s="165"/>
    </row>
    <row r="2600" spans="1:9" x14ac:dyDescent="0.3">
      <c r="A2600" s="164"/>
      <c r="B2600" s="165"/>
      <c r="C2600" s="166"/>
      <c r="D2600" s="166"/>
      <c r="E2600" s="166"/>
      <c r="F2600" s="60">
        <f>ПЛАТЕЖИ[[#This Row],[СЎМ]]+(ПЛАТЕЖИ[[#This Row],[ВАЛЮТА]]*ПЛАТЕЖИ[[#This Row],[КУРС]])</f>
        <v>0</v>
      </c>
      <c r="G2600" s="165"/>
      <c r="H2600" s="165"/>
      <c r="I2600" s="165"/>
    </row>
    <row r="2601" spans="1:9" x14ac:dyDescent="0.3">
      <c r="A2601" s="164"/>
      <c r="B2601" s="165"/>
      <c r="C2601" s="166"/>
      <c r="D2601" s="166"/>
      <c r="E2601" s="166"/>
      <c r="F2601" s="60">
        <f>ПЛАТЕЖИ[[#This Row],[СЎМ]]+(ПЛАТЕЖИ[[#This Row],[ВАЛЮТА]]*ПЛАТЕЖИ[[#This Row],[КУРС]])</f>
        <v>0</v>
      </c>
      <c r="G2601" s="165"/>
      <c r="H2601" s="165"/>
      <c r="I2601" s="165"/>
    </row>
    <row r="2602" spans="1:9" x14ac:dyDescent="0.3">
      <c r="A2602" s="164"/>
      <c r="B2602" s="165"/>
      <c r="C2602" s="166"/>
      <c r="D2602" s="166"/>
      <c r="E2602" s="166"/>
      <c r="F2602" s="60">
        <f>ПЛАТЕЖИ[[#This Row],[СЎМ]]+(ПЛАТЕЖИ[[#This Row],[ВАЛЮТА]]*ПЛАТЕЖИ[[#This Row],[КУРС]])</f>
        <v>0</v>
      </c>
      <c r="G2602" s="165"/>
      <c r="H2602" s="165"/>
      <c r="I2602" s="165"/>
    </row>
    <row r="2603" spans="1:9" x14ac:dyDescent="0.3">
      <c r="A2603" s="164"/>
      <c r="B2603" s="165"/>
      <c r="C2603" s="166"/>
      <c r="D2603" s="166"/>
      <c r="E2603" s="166"/>
      <c r="F2603" s="60">
        <f>ПЛАТЕЖИ[[#This Row],[СЎМ]]+(ПЛАТЕЖИ[[#This Row],[ВАЛЮТА]]*ПЛАТЕЖИ[[#This Row],[КУРС]])</f>
        <v>0</v>
      </c>
      <c r="G2603" s="165"/>
      <c r="H2603" s="165"/>
      <c r="I2603" s="165"/>
    </row>
    <row r="2604" spans="1:9" x14ac:dyDescent="0.3">
      <c r="A2604" s="164"/>
      <c r="B2604" s="165"/>
      <c r="C2604" s="166"/>
      <c r="D2604" s="166"/>
      <c r="E2604" s="166"/>
      <c r="F2604" s="60">
        <f>ПЛАТЕЖИ[[#This Row],[СЎМ]]+(ПЛАТЕЖИ[[#This Row],[ВАЛЮТА]]*ПЛАТЕЖИ[[#This Row],[КУРС]])</f>
        <v>0</v>
      </c>
      <c r="G2604" s="165"/>
      <c r="H2604" s="165"/>
      <c r="I2604" s="165"/>
    </row>
    <row r="2605" spans="1:9" x14ac:dyDescent="0.3">
      <c r="A2605" s="164"/>
      <c r="B2605" s="165"/>
      <c r="C2605" s="166"/>
      <c r="D2605" s="166"/>
      <c r="E2605" s="166"/>
      <c r="F2605" s="60">
        <f>ПЛАТЕЖИ[[#This Row],[СЎМ]]+(ПЛАТЕЖИ[[#This Row],[ВАЛЮТА]]*ПЛАТЕЖИ[[#This Row],[КУРС]])</f>
        <v>0</v>
      </c>
      <c r="G2605" s="165"/>
      <c r="H2605" s="165"/>
      <c r="I2605" s="165"/>
    </row>
    <row r="2606" spans="1:9" x14ac:dyDescent="0.3">
      <c r="A2606" s="164"/>
      <c r="B2606" s="165"/>
      <c r="C2606" s="166"/>
      <c r="D2606" s="166"/>
      <c r="E2606" s="166"/>
      <c r="F2606" s="60">
        <f>ПЛАТЕЖИ[[#This Row],[СЎМ]]+(ПЛАТЕЖИ[[#This Row],[ВАЛЮТА]]*ПЛАТЕЖИ[[#This Row],[КУРС]])</f>
        <v>0</v>
      </c>
      <c r="G2606" s="165"/>
      <c r="H2606" s="165"/>
      <c r="I2606" s="165"/>
    </row>
    <row r="2607" spans="1:9" x14ac:dyDescent="0.3">
      <c r="A2607" s="164"/>
      <c r="B2607" s="165"/>
      <c r="C2607" s="166"/>
      <c r="D2607" s="166"/>
      <c r="E2607" s="166"/>
      <c r="F2607" s="60">
        <f>ПЛАТЕЖИ[[#This Row],[СЎМ]]+(ПЛАТЕЖИ[[#This Row],[ВАЛЮТА]]*ПЛАТЕЖИ[[#This Row],[КУРС]])</f>
        <v>0</v>
      </c>
      <c r="G2607" s="165"/>
      <c r="H2607" s="165"/>
      <c r="I2607" s="165"/>
    </row>
    <row r="2608" spans="1:9" x14ac:dyDescent="0.3">
      <c r="A2608" s="164"/>
      <c r="B2608" s="165"/>
      <c r="C2608" s="166"/>
      <c r="D2608" s="166"/>
      <c r="E2608" s="166"/>
      <c r="F2608" s="60">
        <f>ПЛАТЕЖИ[[#This Row],[СЎМ]]+(ПЛАТЕЖИ[[#This Row],[ВАЛЮТА]]*ПЛАТЕЖИ[[#This Row],[КУРС]])</f>
        <v>0</v>
      </c>
      <c r="G2608" s="165"/>
      <c r="H2608" s="165"/>
      <c r="I2608" s="165"/>
    </row>
    <row r="2609" spans="1:9" x14ac:dyDescent="0.3">
      <c r="A2609" s="164"/>
      <c r="B2609" s="165"/>
      <c r="C2609" s="166"/>
      <c r="D2609" s="166"/>
      <c r="E2609" s="166"/>
      <c r="F2609" s="60">
        <f>ПЛАТЕЖИ[[#This Row],[СЎМ]]+(ПЛАТЕЖИ[[#This Row],[ВАЛЮТА]]*ПЛАТЕЖИ[[#This Row],[КУРС]])</f>
        <v>0</v>
      </c>
      <c r="G2609" s="165"/>
      <c r="H2609" s="165"/>
      <c r="I2609" s="165"/>
    </row>
    <row r="2610" spans="1:9" x14ac:dyDescent="0.3">
      <c r="A2610" s="164"/>
      <c r="B2610" s="165"/>
      <c r="C2610" s="166"/>
      <c r="D2610" s="166"/>
      <c r="E2610" s="166"/>
      <c r="F2610" s="60">
        <f>ПЛАТЕЖИ[[#This Row],[СЎМ]]+(ПЛАТЕЖИ[[#This Row],[ВАЛЮТА]]*ПЛАТЕЖИ[[#This Row],[КУРС]])</f>
        <v>0</v>
      </c>
      <c r="G2610" s="165"/>
      <c r="H2610" s="165"/>
      <c r="I2610" s="165"/>
    </row>
    <row r="2611" spans="1:9" x14ac:dyDescent="0.3">
      <c r="A2611" s="164"/>
      <c r="B2611" s="165"/>
      <c r="C2611" s="166"/>
      <c r="D2611" s="166"/>
      <c r="E2611" s="166"/>
      <c r="F2611" s="60">
        <f>ПЛАТЕЖИ[[#This Row],[СЎМ]]+(ПЛАТЕЖИ[[#This Row],[ВАЛЮТА]]*ПЛАТЕЖИ[[#This Row],[КУРС]])</f>
        <v>0</v>
      </c>
      <c r="G2611" s="165"/>
      <c r="H2611" s="165"/>
      <c r="I2611" s="165"/>
    </row>
    <row r="2612" spans="1:9" x14ac:dyDescent="0.3">
      <c r="A2612" s="164"/>
      <c r="B2612" s="165"/>
      <c r="C2612" s="166"/>
      <c r="D2612" s="166"/>
      <c r="E2612" s="166"/>
      <c r="F2612" s="60">
        <f>ПЛАТЕЖИ[[#This Row],[СЎМ]]+(ПЛАТЕЖИ[[#This Row],[ВАЛЮТА]]*ПЛАТЕЖИ[[#This Row],[КУРС]])</f>
        <v>0</v>
      </c>
      <c r="G2612" s="165"/>
      <c r="H2612" s="165"/>
      <c r="I2612" s="165"/>
    </row>
    <row r="2613" spans="1:9" x14ac:dyDescent="0.3">
      <c r="A2613" s="164"/>
      <c r="B2613" s="165"/>
      <c r="C2613" s="166"/>
      <c r="D2613" s="166"/>
      <c r="E2613" s="166"/>
      <c r="F2613" s="60">
        <f>ПЛАТЕЖИ[[#This Row],[СЎМ]]+(ПЛАТЕЖИ[[#This Row],[ВАЛЮТА]]*ПЛАТЕЖИ[[#This Row],[КУРС]])</f>
        <v>0</v>
      </c>
      <c r="G2613" s="165"/>
      <c r="H2613" s="165"/>
      <c r="I2613" s="165"/>
    </row>
    <row r="2614" spans="1:9" x14ac:dyDescent="0.3">
      <c r="A2614" s="164"/>
      <c r="B2614" s="165"/>
      <c r="C2614" s="166"/>
      <c r="D2614" s="166"/>
      <c r="E2614" s="166"/>
      <c r="F2614" s="60">
        <f>ПЛАТЕЖИ[[#This Row],[СЎМ]]+(ПЛАТЕЖИ[[#This Row],[ВАЛЮТА]]*ПЛАТЕЖИ[[#This Row],[КУРС]])</f>
        <v>0</v>
      </c>
      <c r="G2614" s="165"/>
      <c r="H2614" s="165"/>
      <c r="I2614" s="165"/>
    </row>
    <row r="2615" spans="1:9" x14ac:dyDescent="0.3">
      <c r="A2615" s="164"/>
      <c r="B2615" s="165"/>
      <c r="C2615" s="166"/>
      <c r="D2615" s="166"/>
      <c r="E2615" s="166"/>
      <c r="F2615" s="60">
        <f>ПЛАТЕЖИ[[#This Row],[СЎМ]]+(ПЛАТЕЖИ[[#This Row],[ВАЛЮТА]]*ПЛАТЕЖИ[[#This Row],[КУРС]])</f>
        <v>0</v>
      </c>
      <c r="G2615" s="165"/>
      <c r="H2615" s="165"/>
      <c r="I2615" s="165"/>
    </row>
    <row r="2616" spans="1:9" x14ac:dyDescent="0.3">
      <c r="A2616" s="164"/>
      <c r="B2616" s="165"/>
      <c r="C2616" s="166"/>
      <c r="D2616" s="166"/>
      <c r="E2616" s="166"/>
      <c r="F2616" s="60">
        <f>ПЛАТЕЖИ[[#This Row],[СЎМ]]+(ПЛАТЕЖИ[[#This Row],[ВАЛЮТА]]*ПЛАТЕЖИ[[#This Row],[КУРС]])</f>
        <v>0</v>
      </c>
      <c r="G2616" s="165"/>
      <c r="H2616" s="165"/>
      <c r="I2616" s="165"/>
    </row>
    <row r="2617" spans="1:9" x14ac:dyDescent="0.3">
      <c r="A2617" s="164"/>
      <c r="B2617" s="165"/>
      <c r="C2617" s="166"/>
      <c r="D2617" s="166"/>
      <c r="E2617" s="166"/>
      <c r="F2617" s="60">
        <f>ПЛАТЕЖИ[[#This Row],[СЎМ]]+(ПЛАТЕЖИ[[#This Row],[ВАЛЮТА]]*ПЛАТЕЖИ[[#This Row],[КУРС]])</f>
        <v>0</v>
      </c>
      <c r="G2617" s="165"/>
      <c r="H2617" s="165"/>
      <c r="I2617" s="165"/>
    </row>
    <row r="2618" spans="1:9" x14ac:dyDescent="0.3">
      <c r="A2618" s="164"/>
      <c r="B2618" s="165"/>
      <c r="C2618" s="166"/>
      <c r="D2618" s="166"/>
      <c r="E2618" s="166"/>
      <c r="F2618" s="60">
        <f>ПЛАТЕЖИ[[#This Row],[СЎМ]]+(ПЛАТЕЖИ[[#This Row],[ВАЛЮТА]]*ПЛАТЕЖИ[[#This Row],[КУРС]])</f>
        <v>0</v>
      </c>
      <c r="G2618" s="165"/>
      <c r="H2618" s="165"/>
      <c r="I2618" s="165"/>
    </row>
    <row r="2619" spans="1:9" x14ac:dyDescent="0.3">
      <c r="A2619" s="164"/>
      <c r="B2619" s="165"/>
      <c r="C2619" s="166"/>
      <c r="D2619" s="166"/>
      <c r="E2619" s="166"/>
      <c r="F2619" s="60">
        <f>ПЛАТЕЖИ[[#This Row],[СЎМ]]+(ПЛАТЕЖИ[[#This Row],[ВАЛЮТА]]*ПЛАТЕЖИ[[#This Row],[КУРС]])</f>
        <v>0</v>
      </c>
      <c r="G2619" s="165"/>
      <c r="H2619" s="165"/>
      <c r="I2619" s="165"/>
    </row>
    <row r="2620" spans="1:9" x14ac:dyDescent="0.3">
      <c r="A2620" s="164"/>
      <c r="B2620" s="165"/>
      <c r="C2620" s="166"/>
      <c r="D2620" s="166"/>
      <c r="E2620" s="166"/>
      <c r="F2620" s="60">
        <f>ПЛАТЕЖИ[[#This Row],[СЎМ]]+(ПЛАТЕЖИ[[#This Row],[ВАЛЮТА]]*ПЛАТЕЖИ[[#This Row],[КУРС]])</f>
        <v>0</v>
      </c>
      <c r="G2620" s="165"/>
      <c r="H2620" s="165"/>
      <c r="I2620" s="165"/>
    </row>
    <row r="2621" spans="1:9" x14ac:dyDescent="0.3">
      <c r="A2621" s="164"/>
      <c r="B2621" s="165"/>
      <c r="C2621" s="166"/>
      <c r="D2621" s="166"/>
      <c r="E2621" s="166"/>
      <c r="F2621" s="60">
        <f>ПЛАТЕЖИ[[#This Row],[СЎМ]]+(ПЛАТЕЖИ[[#This Row],[ВАЛЮТА]]*ПЛАТЕЖИ[[#This Row],[КУРС]])</f>
        <v>0</v>
      </c>
      <c r="G2621" s="165"/>
      <c r="H2621" s="165"/>
      <c r="I2621" s="165"/>
    </row>
    <row r="2622" spans="1:9" x14ac:dyDescent="0.3">
      <c r="A2622" s="164"/>
      <c r="B2622" s="165"/>
      <c r="C2622" s="166"/>
      <c r="D2622" s="166"/>
      <c r="E2622" s="166"/>
      <c r="F2622" s="60">
        <f>ПЛАТЕЖИ[[#This Row],[СЎМ]]+(ПЛАТЕЖИ[[#This Row],[ВАЛЮТА]]*ПЛАТЕЖИ[[#This Row],[КУРС]])</f>
        <v>0</v>
      </c>
      <c r="G2622" s="165"/>
      <c r="H2622" s="165"/>
      <c r="I2622" s="165"/>
    </row>
    <row r="2623" spans="1:9" x14ac:dyDescent="0.3">
      <c r="A2623" s="164"/>
      <c r="B2623" s="165"/>
      <c r="C2623" s="166"/>
      <c r="D2623" s="166"/>
      <c r="E2623" s="166"/>
      <c r="F2623" s="60">
        <f>ПЛАТЕЖИ[[#This Row],[СЎМ]]+(ПЛАТЕЖИ[[#This Row],[ВАЛЮТА]]*ПЛАТЕЖИ[[#This Row],[КУРС]])</f>
        <v>0</v>
      </c>
      <c r="G2623" s="165"/>
      <c r="H2623" s="165"/>
      <c r="I2623" s="165"/>
    </row>
    <row r="2624" spans="1:9" x14ac:dyDescent="0.3">
      <c r="A2624" s="164"/>
      <c r="B2624" s="165"/>
      <c r="C2624" s="166"/>
      <c r="D2624" s="166"/>
      <c r="E2624" s="166"/>
      <c r="F2624" s="60">
        <f>ПЛАТЕЖИ[[#This Row],[СЎМ]]+(ПЛАТЕЖИ[[#This Row],[ВАЛЮТА]]*ПЛАТЕЖИ[[#This Row],[КУРС]])</f>
        <v>0</v>
      </c>
      <c r="G2624" s="165"/>
      <c r="H2624" s="165"/>
      <c r="I2624" s="165"/>
    </row>
    <row r="2625" spans="1:9" x14ac:dyDescent="0.3">
      <c r="A2625" s="164"/>
      <c r="B2625" s="165"/>
      <c r="C2625" s="166"/>
      <c r="D2625" s="166"/>
      <c r="E2625" s="166"/>
      <c r="F2625" s="60">
        <f>ПЛАТЕЖИ[[#This Row],[СЎМ]]+(ПЛАТЕЖИ[[#This Row],[ВАЛЮТА]]*ПЛАТЕЖИ[[#This Row],[КУРС]])</f>
        <v>0</v>
      </c>
      <c r="G2625" s="165"/>
      <c r="H2625" s="165"/>
      <c r="I2625" s="165"/>
    </row>
    <row r="2626" spans="1:9" x14ac:dyDescent="0.3">
      <c r="A2626" s="164"/>
      <c r="B2626" s="165"/>
      <c r="C2626" s="166"/>
      <c r="D2626" s="166"/>
      <c r="E2626" s="166"/>
      <c r="F2626" s="60">
        <f>ПЛАТЕЖИ[[#This Row],[СЎМ]]+(ПЛАТЕЖИ[[#This Row],[ВАЛЮТА]]*ПЛАТЕЖИ[[#This Row],[КУРС]])</f>
        <v>0</v>
      </c>
      <c r="G2626" s="165"/>
      <c r="H2626" s="165"/>
      <c r="I2626" s="165"/>
    </row>
    <row r="2627" spans="1:9" x14ac:dyDescent="0.3">
      <c r="A2627" s="164"/>
      <c r="B2627" s="165"/>
      <c r="C2627" s="166"/>
      <c r="D2627" s="166"/>
      <c r="E2627" s="166"/>
      <c r="F2627" s="60">
        <f>ПЛАТЕЖИ[[#This Row],[СЎМ]]+(ПЛАТЕЖИ[[#This Row],[ВАЛЮТА]]*ПЛАТЕЖИ[[#This Row],[КУРС]])</f>
        <v>0</v>
      </c>
      <c r="G2627" s="165"/>
      <c r="H2627" s="165"/>
      <c r="I2627" s="165"/>
    </row>
    <row r="2628" spans="1:9" x14ac:dyDescent="0.3">
      <c r="A2628" s="164"/>
      <c r="B2628" s="165"/>
      <c r="C2628" s="166"/>
      <c r="D2628" s="166"/>
      <c r="E2628" s="166"/>
      <c r="F2628" s="60">
        <f>ПЛАТЕЖИ[[#This Row],[СЎМ]]+(ПЛАТЕЖИ[[#This Row],[ВАЛЮТА]]*ПЛАТЕЖИ[[#This Row],[КУРС]])</f>
        <v>0</v>
      </c>
      <c r="G2628" s="165"/>
      <c r="H2628" s="165"/>
      <c r="I2628" s="165"/>
    </row>
    <row r="2629" spans="1:9" x14ac:dyDescent="0.3">
      <c r="A2629" s="164"/>
      <c r="B2629" s="165"/>
      <c r="C2629" s="166"/>
      <c r="D2629" s="166"/>
      <c r="E2629" s="166"/>
      <c r="F2629" s="60">
        <f>ПЛАТЕЖИ[[#This Row],[СЎМ]]+(ПЛАТЕЖИ[[#This Row],[ВАЛЮТА]]*ПЛАТЕЖИ[[#This Row],[КУРС]])</f>
        <v>0</v>
      </c>
      <c r="G2629" s="165"/>
      <c r="H2629" s="165"/>
      <c r="I2629" s="165"/>
    </row>
    <row r="2630" spans="1:9" x14ac:dyDescent="0.3">
      <c r="A2630" s="164"/>
      <c r="B2630" s="165"/>
      <c r="C2630" s="166"/>
      <c r="D2630" s="166"/>
      <c r="E2630" s="166"/>
      <c r="F2630" s="60">
        <f>ПЛАТЕЖИ[[#This Row],[СЎМ]]+(ПЛАТЕЖИ[[#This Row],[ВАЛЮТА]]*ПЛАТЕЖИ[[#This Row],[КУРС]])</f>
        <v>0</v>
      </c>
      <c r="G2630" s="165"/>
      <c r="H2630" s="165"/>
      <c r="I2630" s="165"/>
    </row>
    <row r="2631" spans="1:9" x14ac:dyDescent="0.3">
      <c r="A2631" s="164"/>
      <c r="B2631" s="165"/>
      <c r="C2631" s="166"/>
      <c r="D2631" s="166"/>
      <c r="E2631" s="166"/>
      <c r="F2631" s="60">
        <f>ПЛАТЕЖИ[[#This Row],[СЎМ]]+(ПЛАТЕЖИ[[#This Row],[ВАЛЮТА]]*ПЛАТЕЖИ[[#This Row],[КУРС]])</f>
        <v>0</v>
      </c>
      <c r="G2631" s="165"/>
      <c r="H2631" s="165"/>
      <c r="I2631" s="165"/>
    </row>
    <row r="2632" spans="1:9" x14ac:dyDescent="0.3">
      <c r="A2632" s="164"/>
      <c r="B2632" s="165"/>
      <c r="C2632" s="166"/>
      <c r="D2632" s="166"/>
      <c r="E2632" s="166"/>
      <c r="F2632" s="60">
        <f>ПЛАТЕЖИ[[#This Row],[СЎМ]]+(ПЛАТЕЖИ[[#This Row],[ВАЛЮТА]]*ПЛАТЕЖИ[[#This Row],[КУРС]])</f>
        <v>0</v>
      </c>
      <c r="G2632" s="165"/>
      <c r="H2632" s="165"/>
      <c r="I2632" s="165"/>
    </row>
    <row r="2633" spans="1:9" x14ac:dyDescent="0.3">
      <c r="A2633" s="164"/>
      <c r="B2633" s="165"/>
      <c r="C2633" s="166"/>
      <c r="D2633" s="166"/>
      <c r="E2633" s="166"/>
      <c r="F2633" s="60">
        <f>ПЛАТЕЖИ[[#This Row],[СЎМ]]+(ПЛАТЕЖИ[[#This Row],[ВАЛЮТА]]*ПЛАТЕЖИ[[#This Row],[КУРС]])</f>
        <v>0</v>
      </c>
      <c r="G2633" s="165"/>
      <c r="H2633" s="165"/>
      <c r="I2633" s="165"/>
    </row>
    <row r="2634" spans="1:9" x14ac:dyDescent="0.3">
      <c r="A2634" s="164"/>
      <c r="B2634" s="165"/>
      <c r="C2634" s="166"/>
      <c r="D2634" s="166"/>
      <c r="E2634" s="166"/>
      <c r="F2634" s="60">
        <f>ПЛАТЕЖИ[[#This Row],[СЎМ]]+(ПЛАТЕЖИ[[#This Row],[ВАЛЮТА]]*ПЛАТЕЖИ[[#This Row],[КУРС]])</f>
        <v>0</v>
      </c>
      <c r="G2634" s="165"/>
      <c r="H2634" s="165"/>
      <c r="I2634" s="165"/>
    </row>
    <row r="2635" spans="1:9" x14ac:dyDescent="0.3">
      <c r="A2635" s="164"/>
      <c r="B2635" s="165"/>
      <c r="C2635" s="166"/>
      <c r="D2635" s="166"/>
      <c r="E2635" s="166"/>
      <c r="F2635" s="60">
        <f>ПЛАТЕЖИ[[#This Row],[СЎМ]]+(ПЛАТЕЖИ[[#This Row],[ВАЛЮТА]]*ПЛАТЕЖИ[[#This Row],[КУРС]])</f>
        <v>0</v>
      </c>
      <c r="G2635" s="165"/>
      <c r="H2635" s="165"/>
      <c r="I2635" s="165"/>
    </row>
    <row r="2636" spans="1:9" x14ac:dyDescent="0.3">
      <c r="A2636" s="164"/>
      <c r="B2636" s="165"/>
      <c r="C2636" s="166"/>
      <c r="D2636" s="166"/>
      <c r="E2636" s="166"/>
      <c r="F2636" s="60">
        <f>ПЛАТЕЖИ[[#This Row],[СЎМ]]+(ПЛАТЕЖИ[[#This Row],[ВАЛЮТА]]*ПЛАТЕЖИ[[#This Row],[КУРС]])</f>
        <v>0</v>
      </c>
      <c r="G2636" s="165"/>
      <c r="H2636" s="165"/>
      <c r="I2636" s="165"/>
    </row>
    <row r="2637" spans="1:9" x14ac:dyDescent="0.3">
      <c r="A2637" s="164"/>
      <c r="B2637" s="165"/>
      <c r="C2637" s="166"/>
      <c r="D2637" s="166"/>
      <c r="E2637" s="166"/>
      <c r="F2637" s="60">
        <f>ПЛАТЕЖИ[[#This Row],[СЎМ]]+(ПЛАТЕЖИ[[#This Row],[ВАЛЮТА]]*ПЛАТЕЖИ[[#This Row],[КУРС]])</f>
        <v>0</v>
      </c>
      <c r="G2637" s="165"/>
      <c r="H2637" s="165"/>
      <c r="I2637" s="165"/>
    </row>
    <row r="2638" spans="1:9" x14ac:dyDescent="0.3">
      <c r="A2638" s="164"/>
      <c r="B2638" s="165"/>
      <c r="C2638" s="166"/>
      <c r="D2638" s="166"/>
      <c r="E2638" s="166"/>
      <c r="F2638" s="60">
        <f>ПЛАТЕЖИ[[#This Row],[СЎМ]]+(ПЛАТЕЖИ[[#This Row],[ВАЛЮТА]]*ПЛАТЕЖИ[[#This Row],[КУРС]])</f>
        <v>0</v>
      </c>
      <c r="G2638" s="165"/>
      <c r="H2638" s="165"/>
      <c r="I2638" s="165"/>
    </row>
    <row r="2639" spans="1:9" x14ac:dyDescent="0.3">
      <c r="A2639" s="164"/>
      <c r="B2639" s="165"/>
      <c r="C2639" s="166"/>
      <c r="D2639" s="166"/>
      <c r="E2639" s="166"/>
      <c r="F2639" s="60">
        <f>ПЛАТЕЖИ[[#This Row],[СЎМ]]+(ПЛАТЕЖИ[[#This Row],[ВАЛЮТА]]*ПЛАТЕЖИ[[#This Row],[КУРС]])</f>
        <v>0</v>
      </c>
      <c r="G2639" s="165"/>
      <c r="H2639" s="165"/>
      <c r="I2639" s="165"/>
    </row>
    <row r="2640" spans="1:9" x14ac:dyDescent="0.3">
      <c r="A2640" s="164"/>
      <c r="B2640" s="165"/>
      <c r="C2640" s="166"/>
      <c r="D2640" s="166"/>
      <c r="E2640" s="166"/>
      <c r="F2640" s="60">
        <f>ПЛАТЕЖИ[[#This Row],[СЎМ]]+(ПЛАТЕЖИ[[#This Row],[ВАЛЮТА]]*ПЛАТЕЖИ[[#This Row],[КУРС]])</f>
        <v>0</v>
      </c>
      <c r="G2640" s="165"/>
      <c r="H2640" s="165"/>
      <c r="I2640" s="165"/>
    </row>
    <row r="2641" spans="1:9" x14ac:dyDescent="0.3">
      <c r="A2641" s="164"/>
      <c r="B2641" s="165"/>
      <c r="C2641" s="166"/>
      <c r="D2641" s="166"/>
      <c r="E2641" s="166"/>
      <c r="F2641" s="60">
        <f>ПЛАТЕЖИ[[#This Row],[СЎМ]]+(ПЛАТЕЖИ[[#This Row],[ВАЛЮТА]]*ПЛАТЕЖИ[[#This Row],[КУРС]])</f>
        <v>0</v>
      </c>
      <c r="G2641" s="165"/>
      <c r="H2641" s="165"/>
      <c r="I2641" s="165"/>
    </row>
    <row r="2642" spans="1:9" x14ac:dyDescent="0.3">
      <c r="A2642" s="164"/>
      <c r="B2642" s="165"/>
      <c r="C2642" s="166"/>
      <c r="D2642" s="166"/>
      <c r="E2642" s="166"/>
      <c r="F2642" s="60">
        <f>ПЛАТЕЖИ[[#This Row],[СЎМ]]+(ПЛАТЕЖИ[[#This Row],[ВАЛЮТА]]*ПЛАТЕЖИ[[#This Row],[КУРС]])</f>
        <v>0</v>
      </c>
      <c r="G2642" s="165"/>
      <c r="H2642" s="165"/>
      <c r="I2642" s="165"/>
    </row>
    <row r="2643" spans="1:9" x14ac:dyDescent="0.3">
      <c r="A2643" s="164"/>
      <c r="B2643" s="165"/>
      <c r="C2643" s="166"/>
      <c r="D2643" s="166"/>
      <c r="E2643" s="166"/>
      <c r="F2643" s="60">
        <f>ПЛАТЕЖИ[[#This Row],[СЎМ]]+(ПЛАТЕЖИ[[#This Row],[ВАЛЮТА]]*ПЛАТЕЖИ[[#This Row],[КУРС]])</f>
        <v>0</v>
      </c>
      <c r="G2643" s="165"/>
      <c r="H2643" s="165"/>
      <c r="I2643" s="165"/>
    </row>
    <row r="2644" spans="1:9" x14ac:dyDescent="0.3">
      <c r="A2644" s="164"/>
      <c r="B2644" s="165"/>
      <c r="C2644" s="166"/>
      <c r="D2644" s="166"/>
      <c r="E2644" s="166"/>
      <c r="F2644" s="60">
        <f>ПЛАТЕЖИ[[#This Row],[СЎМ]]+(ПЛАТЕЖИ[[#This Row],[ВАЛЮТА]]*ПЛАТЕЖИ[[#This Row],[КУРС]])</f>
        <v>0</v>
      </c>
      <c r="G2644" s="165"/>
      <c r="H2644" s="165"/>
      <c r="I2644" s="165"/>
    </row>
    <row r="2645" spans="1:9" x14ac:dyDescent="0.3">
      <c r="A2645" s="164"/>
      <c r="B2645" s="165"/>
      <c r="C2645" s="166"/>
      <c r="D2645" s="166"/>
      <c r="E2645" s="166"/>
      <c r="F2645" s="60">
        <f>ПЛАТЕЖИ[[#This Row],[СЎМ]]+(ПЛАТЕЖИ[[#This Row],[ВАЛЮТА]]*ПЛАТЕЖИ[[#This Row],[КУРС]])</f>
        <v>0</v>
      </c>
      <c r="G2645" s="165"/>
      <c r="H2645" s="165"/>
      <c r="I2645" s="165"/>
    </row>
    <row r="2646" spans="1:9" x14ac:dyDescent="0.3">
      <c r="A2646" s="164"/>
      <c r="B2646" s="165"/>
      <c r="C2646" s="166"/>
      <c r="D2646" s="166"/>
      <c r="E2646" s="166"/>
      <c r="F2646" s="60">
        <f>ПЛАТЕЖИ[[#This Row],[СЎМ]]+(ПЛАТЕЖИ[[#This Row],[ВАЛЮТА]]*ПЛАТЕЖИ[[#This Row],[КУРС]])</f>
        <v>0</v>
      </c>
      <c r="G2646" s="165"/>
      <c r="H2646" s="165"/>
      <c r="I2646" s="165"/>
    </row>
    <row r="2647" spans="1:9" x14ac:dyDescent="0.3">
      <c r="A2647" s="164"/>
      <c r="B2647" s="165"/>
      <c r="C2647" s="166"/>
      <c r="D2647" s="166"/>
      <c r="E2647" s="166"/>
      <c r="F2647" s="60">
        <f>ПЛАТЕЖИ[[#This Row],[СЎМ]]+(ПЛАТЕЖИ[[#This Row],[ВАЛЮТА]]*ПЛАТЕЖИ[[#This Row],[КУРС]])</f>
        <v>0</v>
      </c>
      <c r="G2647" s="165"/>
      <c r="H2647" s="165"/>
      <c r="I2647" s="165"/>
    </row>
    <row r="2648" spans="1:9" x14ac:dyDescent="0.3">
      <c r="A2648" s="164"/>
      <c r="B2648" s="165"/>
      <c r="C2648" s="166"/>
      <c r="D2648" s="166"/>
      <c r="E2648" s="166"/>
      <c r="F2648" s="60">
        <f>ПЛАТЕЖИ[[#This Row],[СЎМ]]+(ПЛАТЕЖИ[[#This Row],[ВАЛЮТА]]*ПЛАТЕЖИ[[#This Row],[КУРС]])</f>
        <v>0</v>
      </c>
      <c r="G2648" s="165"/>
      <c r="H2648" s="165"/>
      <c r="I2648" s="165"/>
    </row>
    <row r="2649" spans="1:9" x14ac:dyDescent="0.3">
      <c r="A2649" s="164"/>
      <c r="B2649" s="165"/>
      <c r="C2649" s="166"/>
      <c r="D2649" s="166"/>
      <c r="E2649" s="166"/>
      <c r="F2649" s="60">
        <f>ПЛАТЕЖИ[[#This Row],[СЎМ]]+(ПЛАТЕЖИ[[#This Row],[ВАЛЮТА]]*ПЛАТЕЖИ[[#This Row],[КУРС]])</f>
        <v>0</v>
      </c>
      <c r="G2649" s="165"/>
      <c r="H2649" s="165"/>
      <c r="I2649" s="165"/>
    </row>
    <row r="2650" spans="1:9" x14ac:dyDescent="0.3">
      <c r="A2650" s="164"/>
      <c r="B2650" s="165"/>
      <c r="C2650" s="166"/>
      <c r="D2650" s="166"/>
      <c r="E2650" s="166"/>
      <c r="F2650" s="60">
        <f>ПЛАТЕЖИ[[#This Row],[СЎМ]]+(ПЛАТЕЖИ[[#This Row],[ВАЛЮТА]]*ПЛАТЕЖИ[[#This Row],[КУРС]])</f>
        <v>0</v>
      </c>
      <c r="G2650" s="165"/>
      <c r="H2650" s="165"/>
      <c r="I2650" s="165"/>
    </row>
    <row r="2651" spans="1:9" x14ac:dyDescent="0.3">
      <c r="A2651" s="164"/>
      <c r="B2651" s="165"/>
      <c r="C2651" s="166"/>
      <c r="D2651" s="166"/>
      <c r="E2651" s="166"/>
      <c r="F2651" s="60">
        <f>ПЛАТЕЖИ[[#This Row],[СЎМ]]+(ПЛАТЕЖИ[[#This Row],[ВАЛЮТА]]*ПЛАТЕЖИ[[#This Row],[КУРС]])</f>
        <v>0</v>
      </c>
      <c r="G2651" s="165"/>
      <c r="H2651" s="165"/>
      <c r="I2651" s="165"/>
    </row>
    <row r="2652" spans="1:9" x14ac:dyDescent="0.3">
      <c r="A2652" s="164"/>
      <c r="B2652" s="165"/>
      <c r="C2652" s="166"/>
      <c r="D2652" s="166"/>
      <c r="E2652" s="166"/>
      <c r="F2652" s="60">
        <f>ПЛАТЕЖИ[[#This Row],[СЎМ]]+(ПЛАТЕЖИ[[#This Row],[ВАЛЮТА]]*ПЛАТЕЖИ[[#This Row],[КУРС]])</f>
        <v>0</v>
      </c>
      <c r="G2652" s="165"/>
      <c r="H2652" s="165"/>
      <c r="I2652" s="165"/>
    </row>
    <row r="2653" spans="1:9" x14ac:dyDescent="0.3">
      <c r="A2653" s="164"/>
      <c r="B2653" s="165"/>
      <c r="C2653" s="166"/>
      <c r="D2653" s="166"/>
      <c r="E2653" s="166"/>
      <c r="F2653" s="60">
        <f>ПЛАТЕЖИ[[#This Row],[СЎМ]]+(ПЛАТЕЖИ[[#This Row],[ВАЛЮТА]]*ПЛАТЕЖИ[[#This Row],[КУРС]])</f>
        <v>0</v>
      </c>
      <c r="G2653" s="165"/>
      <c r="H2653" s="165"/>
      <c r="I2653" s="165"/>
    </row>
    <row r="2654" spans="1:9" x14ac:dyDescent="0.3">
      <c r="A2654" s="164"/>
      <c r="B2654" s="165"/>
      <c r="C2654" s="166"/>
      <c r="D2654" s="166"/>
      <c r="E2654" s="166"/>
      <c r="F2654" s="60">
        <f>ПЛАТЕЖИ[[#This Row],[СЎМ]]+(ПЛАТЕЖИ[[#This Row],[ВАЛЮТА]]*ПЛАТЕЖИ[[#This Row],[КУРС]])</f>
        <v>0</v>
      </c>
      <c r="G2654" s="165"/>
      <c r="H2654" s="165"/>
      <c r="I2654" s="165"/>
    </row>
    <row r="2655" spans="1:9" x14ac:dyDescent="0.3">
      <c r="A2655" s="164"/>
      <c r="B2655" s="165"/>
      <c r="C2655" s="166"/>
      <c r="D2655" s="166"/>
      <c r="E2655" s="166"/>
      <c r="F2655" s="60">
        <f>ПЛАТЕЖИ[[#This Row],[СЎМ]]+(ПЛАТЕЖИ[[#This Row],[ВАЛЮТА]]*ПЛАТЕЖИ[[#This Row],[КУРС]])</f>
        <v>0</v>
      </c>
      <c r="G2655" s="165"/>
      <c r="H2655" s="165"/>
      <c r="I2655" s="165"/>
    </row>
    <row r="2656" spans="1:9" x14ac:dyDescent="0.3">
      <c r="A2656" s="164"/>
      <c r="B2656" s="165"/>
      <c r="C2656" s="166"/>
      <c r="D2656" s="166"/>
      <c r="E2656" s="166"/>
      <c r="F2656" s="60">
        <f>ПЛАТЕЖИ[[#This Row],[СЎМ]]+(ПЛАТЕЖИ[[#This Row],[ВАЛЮТА]]*ПЛАТЕЖИ[[#This Row],[КУРС]])</f>
        <v>0</v>
      </c>
      <c r="G2656" s="165"/>
      <c r="H2656" s="165"/>
      <c r="I2656" s="165"/>
    </row>
    <row r="2657" spans="1:9" x14ac:dyDescent="0.3">
      <c r="A2657" s="164"/>
      <c r="B2657" s="165"/>
      <c r="C2657" s="166"/>
      <c r="D2657" s="166"/>
      <c r="E2657" s="166"/>
      <c r="F2657" s="60">
        <f>ПЛАТЕЖИ[[#This Row],[СЎМ]]+(ПЛАТЕЖИ[[#This Row],[ВАЛЮТА]]*ПЛАТЕЖИ[[#This Row],[КУРС]])</f>
        <v>0</v>
      </c>
      <c r="G2657" s="165"/>
      <c r="H2657" s="165"/>
      <c r="I2657" s="165"/>
    </row>
    <row r="2658" spans="1:9" x14ac:dyDescent="0.3">
      <c r="A2658" s="164"/>
      <c r="B2658" s="165"/>
      <c r="C2658" s="166"/>
      <c r="D2658" s="166"/>
      <c r="E2658" s="166"/>
      <c r="F2658" s="60">
        <f>ПЛАТЕЖИ[[#This Row],[СЎМ]]+(ПЛАТЕЖИ[[#This Row],[ВАЛЮТА]]*ПЛАТЕЖИ[[#This Row],[КУРС]])</f>
        <v>0</v>
      </c>
      <c r="G2658" s="165"/>
      <c r="H2658" s="165"/>
      <c r="I2658" s="165"/>
    </row>
    <row r="2659" spans="1:9" x14ac:dyDescent="0.3">
      <c r="A2659" s="164"/>
      <c r="B2659" s="165"/>
      <c r="C2659" s="166"/>
      <c r="D2659" s="166"/>
      <c r="E2659" s="166"/>
      <c r="F2659" s="60">
        <f>ПЛАТЕЖИ[[#This Row],[СЎМ]]+(ПЛАТЕЖИ[[#This Row],[ВАЛЮТА]]*ПЛАТЕЖИ[[#This Row],[КУРС]])</f>
        <v>0</v>
      </c>
      <c r="G2659" s="165"/>
      <c r="H2659" s="165"/>
      <c r="I2659" s="165"/>
    </row>
    <row r="2660" spans="1:9" x14ac:dyDescent="0.3">
      <c r="A2660" s="164"/>
      <c r="B2660" s="165"/>
      <c r="C2660" s="166"/>
      <c r="D2660" s="166"/>
      <c r="E2660" s="166"/>
      <c r="F2660" s="60">
        <f>ПЛАТЕЖИ[[#This Row],[СЎМ]]+(ПЛАТЕЖИ[[#This Row],[ВАЛЮТА]]*ПЛАТЕЖИ[[#This Row],[КУРС]])</f>
        <v>0</v>
      </c>
      <c r="G2660" s="165"/>
      <c r="H2660" s="165"/>
      <c r="I2660" s="165"/>
    </row>
    <row r="2661" spans="1:9" x14ac:dyDescent="0.3">
      <c r="A2661" s="164"/>
      <c r="B2661" s="165"/>
      <c r="C2661" s="166"/>
      <c r="D2661" s="166"/>
      <c r="E2661" s="166"/>
      <c r="F2661" s="60">
        <f>ПЛАТЕЖИ[[#This Row],[СЎМ]]+(ПЛАТЕЖИ[[#This Row],[ВАЛЮТА]]*ПЛАТЕЖИ[[#This Row],[КУРС]])</f>
        <v>0</v>
      </c>
      <c r="G2661" s="165"/>
      <c r="H2661" s="165"/>
      <c r="I2661" s="165"/>
    </row>
    <row r="2662" spans="1:9" x14ac:dyDescent="0.3">
      <c r="A2662" s="164"/>
      <c r="B2662" s="165"/>
      <c r="C2662" s="166"/>
      <c r="D2662" s="166"/>
      <c r="E2662" s="166"/>
      <c r="F2662" s="60">
        <f>ПЛАТЕЖИ[[#This Row],[СЎМ]]+(ПЛАТЕЖИ[[#This Row],[ВАЛЮТА]]*ПЛАТЕЖИ[[#This Row],[КУРС]])</f>
        <v>0</v>
      </c>
      <c r="G2662" s="165"/>
      <c r="H2662" s="165"/>
      <c r="I2662" s="165"/>
    </row>
    <row r="2663" spans="1:9" x14ac:dyDescent="0.3">
      <c r="A2663" s="164"/>
      <c r="B2663" s="165"/>
      <c r="C2663" s="166"/>
      <c r="D2663" s="166"/>
      <c r="E2663" s="166"/>
      <c r="F2663" s="60">
        <f>ПЛАТЕЖИ[[#This Row],[СЎМ]]+(ПЛАТЕЖИ[[#This Row],[ВАЛЮТА]]*ПЛАТЕЖИ[[#This Row],[КУРС]])</f>
        <v>0</v>
      </c>
      <c r="G2663" s="165"/>
      <c r="H2663" s="165"/>
      <c r="I2663" s="165"/>
    </row>
    <row r="2664" spans="1:9" x14ac:dyDescent="0.3">
      <c r="A2664" s="164"/>
      <c r="B2664" s="165"/>
      <c r="C2664" s="166"/>
      <c r="D2664" s="166"/>
      <c r="E2664" s="166"/>
      <c r="F2664" s="60">
        <f>ПЛАТЕЖИ[[#This Row],[СЎМ]]+(ПЛАТЕЖИ[[#This Row],[ВАЛЮТА]]*ПЛАТЕЖИ[[#This Row],[КУРС]])</f>
        <v>0</v>
      </c>
      <c r="G2664" s="165"/>
      <c r="H2664" s="165"/>
      <c r="I2664" s="165"/>
    </row>
    <row r="2665" spans="1:9" x14ac:dyDescent="0.3">
      <c r="A2665" s="164"/>
      <c r="B2665" s="165"/>
      <c r="C2665" s="166"/>
      <c r="D2665" s="166"/>
      <c r="E2665" s="166"/>
      <c r="F2665" s="60">
        <f>ПЛАТЕЖИ[[#This Row],[СЎМ]]+(ПЛАТЕЖИ[[#This Row],[ВАЛЮТА]]*ПЛАТЕЖИ[[#This Row],[КУРС]])</f>
        <v>0</v>
      </c>
      <c r="G2665" s="165"/>
      <c r="H2665" s="165"/>
      <c r="I2665" s="165"/>
    </row>
    <row r="2666" spans="1:9" x14ac:dyDescent="0.3">
      <c r="A2666" s="164"/>
      <c r="B2666" s="165"/>
      <c r="C2666" s="166"/>
      <c r="D2666" s="166"/>
      <c r="E2666" s="166"/>
      <c r="F2666" s="60">
        <f>ПЛАТЕЖИ[[#This Row],[СЎМ]]+(ПЛАТЕЖИ[[#This Row],[ВАЛЮТА]]*ПЛАТЕЖИ[[#This Row],[КУРС]])</f>
        <v>0</v>
      </c>
      <c r="G2666" s="165"/>
      <c r="H2666" s="165"/>
      <c r="I2666" s="165"/>
    </row>
    <row r="2667" spans="1:9" x14ac:dyDescent="0.3">
      <c r="A2667" s="164"/>
      <c r="B2667" s="165"/>
      <c r="C2667" s="166"/>
      <c r="D2667" s="166"/>
      <c r="E2667" s="166"/>
      <c r="F2667" s="60">
        <f>ПЛАТЕЖИ[[#This Row],[СЎМ]]+(ПЛАТЕЖИ[[#This Row],[ВАЛЮТА]]*ПЛАТЕЖИ[[#This Row],[КУРС]])</f>
        <v>0</v>
      </c>
      <c r="G2667" s="165"/>
      <c r="H2667" s="165"/>
      <c r="I2667" s="165"/>
    </row>
    <row r="2668" spans="1:9" x14ac:dyDescent="0.3">
      <c r="A2668" s="164"/>
      <c r="B2668" s="165"/>
      <c r="C2668" s="166"/>
      <c r="D2668" s="166"/>
      <c r="E2668" s="166"/>
      <c r="F2668" s="60">
        <f>ПЛАТЕЖИ[[#This Row],[СЎМ]]+(ПЛАТЕЖИ[[#This Row],[ВАЛЮТА]]*ПЛАТЕЖИ[[#This Row],[КУРС]])</f>
        <v>0</v>
      </c>
      <c r="G2668" s="165"/>
      <c r="H2668" s="165"/>
      <c r="I2668" s="165"/>
    </row>
    <row r="2669" spans="1:9" x14ac:dyDescent="0.3">
      <c r="A2669" s="164"/>
      <c r="B2669" s="165"/>
      <c r="C2669" s="166"/>
      <c r="D2669" s="166"/>
      <c r="E2669" s="166"/>
      <c r="F2669" s="60">
        <f>ПЛАТЕЖИ[[#This Row],[СЎМ]]+(ПЛАТЕЖИ[[#This Row],[ВАЛЮТА]]*ПЛАТЕЖИ[[#This Row],[КУРС]])</f>
        <v>0</v>
      </c>
      <c r="G2669" s="165"/>
      <c r="H2669" s="165"/>
      <c r="I2669" s="165"/>
    </row>
    <row r="2670" spans="1:9" x14ac:dyDescent="0.3">
      <c r="A2670" s="164"/>
      <c r="B2670" s="165"/>
      <c r="C2670" s="166"/>
      <c r="D2670" s="166"/>
      <c r="E2670" s="166"/>
      <c r="F2670" s="60">
        <f>ПЛАТЕЖИ[[#This Row],[СЎМ]]+(ПЛАТЕЖИ[[#This Row],[ВАЛЮТА]]*ПЛАТЕЖИ[[#This Row],[КУРС]])</f>
        <v>0</v>
      </c>
      <c r="G2670" s="165"/>
      <c r="H2670" s="165"/>
      <c r="I2670" s="165"/>
    </row>
    <row r="2671" spans="1:9" x14ac:dyDescent="0.3">
      <c r="A2671" s="164"/>
      <c r="B2671" s="165"/>
      <c r="C2671" s="166"/>
      <c r="D2671" s="166"/>
      <c r="E2671" s="166"/>
      <c r="F2671" s="60">
        <f>ПЛАТЕЖИ[[#This Row],[СЎМ]]+(ПЛАТЕЖИ[[#This Row],[ВАЛЮТА]]*ПЛАТЕЖИ[[#This Row],[КУРС]])</f>
        <v>0</v>
      </c>
      <c r="G2671" s="165"/>
      <c r="H2671" s="165"/>
      <c r="I2671" s="165"/>
    </row>
    <row r="2672" spans="1:9" x14ac:dyDescent="0.3">
      <c r="A2672" s="164"/>
      <c r="B2672" s="165"/>
      <c r="C2672" s="166"/>
      <c r="D2672" s="166"/>
      <c r="E2672" s="166"/>
      <c r="F2672" s="60">
        <f>ПЛАТЕЖИ[[#This Row],[СЎМ]]+(ПЛАТЕЖИ[[#This Row],[ВАЛЮТА]]*ПЛАТЕЖИ[[#This Row],[КУРС]])</f>
        <v>0</v>
      </c>
      <c r="G2672" s="165"/>
      <c r="H2672" s="165"/>
      <c r="I2672" s="165"/>
    </row>
    <row r="2673" spans="1:9" x14ac:dyDescent="0.3">
      <c r="A2673" s="164"/>
      <c r="B2673" s="165"/>
      <c r="C2673" s="166"/>
      <c r="D2673" s="166"/>
      <c r="E2673" s="166"/>
      <c r="F2673" s="60">
        <f>ПЛАТЕЖИ[[#This Row],[СЎМ]]+(ПЛАТЕЖИ[[#This Row],[ВАЛЮТА]]*ПЛАТЕЖИ[[#This Row],[КУРС]])</f>
        <v>0</v>
      </c>
      <c r="G2673" s="165"/>
      <c r="H2673" s="165"/>
      <c r="I2673" s="165"/>
    </row>
    <row r="2674" spans="1:9" x14ac:dyDescent="0.3">
      <c r="A2674" s="164"/>
      <c r="B2674" s="165"/>
      <c r="C2674" s="166"/>
      <c r="D2674" s="166"/>
      <c r="E2674" s="166"/>
      <c r="F2674" s="60">
        <f>ПЛАТЕЖИ[[#This Row],[СЎМ]]+(ПЛАТЕЖИ[[#This Row],[ВАЛЮТА]]*ПЛАТЕЖИ[[#This Row],[КУРС]])</f>
        <v>0</v>
      </c>
      <c r="G2674" s="165"/>
      <c r="H2674" s="165"/>
      <c r="I2674" s="165"/>
    </row>
    <row r="2675" spans="1:9" x14ac:dyDescent="0.3">
      <c r="A2675" s="164"/>
      <c r="B2675" s="165"/>
      <c r="C2675" s="166"/>
      <c r="D2675" s="166"/>
      <c r="E2675" s="166"/>
      <c r="F2675" s="60">
        <f>ПЛАТЕЖИ[[#This Row],[СЎМ]]+(ПЛАТЕЖИ[[#This Row],[ВАЛЮТА]]*ПЛАТЕЖИ[[#This Row],[КУРС]])</f>
        <v>0</v>
      </c>
      <c r="G2675" s="165"/>
      <c r="H2675" s="165"/>
      <c r="I2675" s="165"/>
    </row>
    <row r="2676" spans="1:9" x14ac:dyDescent="0.3">
      <c r="A2676" s="164"/>
      <c r="B2676" s="165"/>
      <c r="C2676" s="166"/>
      <c r="D2676" s="166"/>
      <c r="E2676" s="166"/>
      <c r="F2676" s="60">
        <f>ПЛАТЕЖИ[[#This Row],[СЎМ]]+(ПЛАТЕЖИ[[#This Row],[ВАЛЮТА]]*ПЛАТЕЖИ[[#This Row],[КУРС]])</f>
        <v>0</v>
      </c>
      <c r="G2676" s="165"/>
      <c r="H2676" s="165"/>
      <c r="I2676" s="165"/>
    </row>
    <row r="2677" spans="1:9" x14ac:dyDescent="0.3">
      <c r="A2677" s="164"/>
      <c r="B2677" s="165"/>
      <c r="C2677" s="166"/>
      <c r="D2677" s="166"/>
      <c r="E2677" s="166"/>
      <c r="F2677" s="60">
        <f>ПЛАТЕЖИ[[#This Row],[СЎМ]]+(ПЛАТЕЖИ[[#This Row],[ВАЛЮТА]]*ПЛАТЕЖИ[[#This Row],[КУРС]])</f>
        <v>0</v>
      </c>
      <c r="G2677" s="165"/>
      <c r="H2677" s="165"/>
      <c r="I2677" s="165"/>
    </row>
    <row r="2678" spans="1:9" x14ac:dyDescent="0.3">
      <c r="A2678" s="164"/>
      <c r="B2678" s="165"/>
      <c r="C2678" s="166"/>
      <c r="D2678" s="166"/>
      <c r="E2678" s="166"/>
      <c r="F2678" s="60">
        <f>ПЛАТЕЖИ[[#This Row],[СЎМ]]+(ПЛАТЕЖИ[[#This Row],[ВАЛЮТА]]*ПЛАТЕЖИ[[#This Row],[КУРС]])</f>
        <v>0</v>
      </c>
      <c r="G2678" s="165"/>
      <c r="H2678" s="165"/>
      <c r="I2678" s="165"/>
    </row>
    <row r="2679" spans="1:9" x14ac:dyDescent="0.3">
      <c r="A2679" s="164"/>
      <c r="B2679" s="165"/>
      <c r="C2679" s="166"/>
      <c r="D2679" s="166"/>
      <c r="E2679" s="166"/>
      <c r="F2679" s="60">
        <f>ПЛАТЕЖИ[[#This Row],[СЎМ]]+(ПЛАТЕЖИ[[#This Row],[ВАЛЮТА]]*ПЛАТЕЖИ[[#This Row],[КУРС]])</f>
        <v>0</v>
      </c>
      <c r="G2679" s="165"/>
      <c r="H2679" s="165"/>
      <c r="I2679" s="165"/>
    </row>
    <row r="2680" spans="1:9" x14ac:dyDescent="0.3">
      <c r="A2680" s="164"/>
      <c r="B2680" s="165"/>
      <c r="C2680" s="166"/>
      <c r="D2680" s="166"/>
      <c r="E2680" s="166"/>
      <c r="F2680" s="60">
        <f>ПЛАТЕЖИ[[#This Row],[СЎМ]]+(ПЛАТЕЖИ[[#This Row],[ВАЛЮТА]]*ПЛАТЕЖИ[[#This Row],[КУРС]])</f>
        <v>0</v>
      </c>
      <c r="G2680" s="165"/>
      <c r="H2680" s="165"/>
      <c r="I2680" s="165"/>
    </row>
    <row r="2681" spans="1:9" x14ac:dyDescent="0.3">
      <c r="A2681" s="164"/>
      <c r="B2681" s="165"/>
      <c r="C2681" s="166"/>
      <c r="D2681" s="166"/>
      <c r="E2681" s="166"/>
      <c r="F2681" s="60">
        <f>ПЛАТЕЖИ[[#This Row],[СЎМ]]+(ПЛАТЕЖИ[[#This Row],[ВАЛЮТА]]*ПЛАТЕЖИ[[#This Row],[КУРС]])</f>
        <v>0</v>
      </c>
      <c r="G2681" s="165"/>
      <c r="H2681" s="165"/>
      <c r="I2681" s="165"/>
    </row>
    <row r="2682" spans="1:9" x14ac:dyDescent="0.3">
      <c r="A2682" s="164"/>
      <c r="B2682" s="165"/>
      <c r="C2682" s="166"/>
      <c r="D2682" s="166"/>
      <c r="E2682" s="166"/>
      <c r="F2682" s="60">
        <f>ПЛАТЕЖИ[[#This Row],[СЎМ]]+(ПЛАТЕЖИ[[#This Row],[ВАЛЮТА]]*ПЛАТЕЖИ[[#This Row],[КУРС]])</f>
        <v>0</v>
      </c>
      <c r="G2682" s="165"/>
      <c r="H2682" s="165"/>
      <c r="I2682" s="165"/>
    </row>
    <row r="2683" spans="1:9" x14ac:dyDescent="0.3">
      <c r="A2683" s="164"/>
      <c r="B2683" s="165"/>
      <c r="C2683" s="166"/>
      <c r="D2683" s="166"/>
      <c r="E2683" s="166"/>
      <c r="F2683" s="60">
        <f>ПЛАТЕЖИ[[#This Row],[СЎМ]]+(ПЛАТЕЖИ[[#This Row],[ВАЛЮТА]]*ПЛАТЕЖИ[[#This Row],[КУРС]])</f>
        <v>0</v>
      </c>
      <c r="G2683" s="165"/>
      <c r="H2683" s="165"/>
      <c r="I2683" s="165"/>
    </row>
    <row r="2684" spans="1:9" x14ac:dyDescent="0.3">
      <c r="A2684" s="164"/>
      <c r="B2684" s="165"/>
      <c r="C2684" s="166"/>
      <c r="D2684" s="166"/>
      <c r="E2684" s="166"/>
      <c r="F2684" s="60">
        <f>ПЛАТЕЖИ[[#This Row],[СЎМ]]+(ПЛАТЕЖИ[[#This Row],[ВАЛЮТА]]*ПЛАТЕЖИ[[#This Row],[КУРС]])</f>
        <v>0</v>
      </c>
      <c r="G2684" s="165"/>
      <c r="H2684" s="165"/>
      <c r="I2684" s="165"/>
    </row>
    <row r="2685" spans="1:9" x14ac:dyDescent="0.3">
      <c r="A2685" s="164"/>
      <c r="B2685" s="165"/>
      <c r="C2685" s="166"/>
      <c r="D2685" s="166"/>
      <c r="E2685" s="166"/>
      <c r="F2685" s="60">
        <f>ПЛАТЕЖИ[[#This Row],[СЎМ]]+(ПЛАТЕЖИ[[#This Row],[ВАЛЮТА]]*ПЛАТЕЖИ[[#This Row],[КУРС]])</f>
        <v>0</v>
      </c>
      <c r="G2685" s="165"/>
      <c r="H2685" s="165"/>
      <c r="I2685" s="165"/>
    </row>
    <row r="2686" spans="1:9" x14ac:dyDescent="0.3">
      <c r="A2686" s="164"/>
      <c r="B2686" s="165"/>
      <c r="C2686" s="166"/>
      <c r="D2686" s="166"/>
      <c r="E2686" s="166"/>
      <c r="F2686" s="60">
        <f>ПЛАТЕЖИ[[#This Row],[СЎМ]]+(ПЛАТЕЖИ[[#This Row],[ВАЛЮТА]]*ПЛАТЕЖИ[[#This Row],[КУРС]])</f>
        <v>0</v>
      </c>
      <c r="G2686" s="165"/>
      <c r="H2686" s="165"/>
      <c r="I2686" s="165"/>
    </row>
    <row r="2687" spans="1:9" x14ac:dyDescent="0.3">
      <c r="A2687" s="164"/>
      <c r="B2687" s="165"/>
      <c r="C2687" s="166"/>
      <c r="D2687" s="166"/>
      <c r="E2687" s="166"/>
      <c r="F2687" s="60">
        <f>ПЛАТЕЖИ[[#This Row],[СЎМ]]+(ПЛАТЕЖИ[[#This Row],[ВАЛЮТА]]*ПЛАТЕЖИ[[#This Row],[КУРС]])</f>
        <v>0</v>
      </c>
      <c r="G2687" s="165"/>
      <c r="H2687" s="165"/>
      <c r="I2687" s="165"/>
    </row>
    <row r="2688" spans="1:9" x14ac:dyDescent="0.3">
      <c r="A2688" s="164"/>
      <c r="B2688" s="165"/>
      <c r="C2688" s="166"/>
      <c r="D2688" s="166"/>
      <c r="E2688" s="166"/>
      <c r="F2688" s="60">
        <f>ПЛАТЕЖИ[[#This Row],[СЎМ]]+(ПЛАТЕЖИ[[#This Row],[ВАЛЮТА]]*ПЛАТЕЖИ[[#This Row],[КУРС]])</f>
        <v>0</v>
      </c>
      <c r="G2688" s="165"/>
      <c r="H2688" s="165"/>
      <c r="I2688" s="165"/>
    </row>
    <row r="2689" spans="1:9" x14ac:dyDescent="0.3">
      <c r="A2689" s="164"/>
      <c r="B2689" s="165"/>
      <c r="C2689" s="166"/>
      <c r="D2689" s="166"/>
      <c r="E2689" s="166"/>
      <c r="F2689" s="60">
        <f>ПЛАТЕЖИ[[#This Row],[СЎМ]]+(ПЛАТЕЖИ[[#This Row],[ВАЛЮТА]]*ПЛАТЕЖИ[[#This Row],[КУРС]])</f>
        <v>0</v>
      </c>
      <c r="G2689" s="165"/>
      <c r="H2689" s="165"/>
      <c r="I2689" s="165"/>
    </row>
    <row r="2690" spans="1:9" x14ac:dyDescent="0.3">
      <c r="A2690" s="164"/>
      <c r="B2690" s="165"/>
      <c r="C2690" s="166"/>
      <c r="D2690" s="166"/>
      <c r="E2690" s="166"/>
      <c r="F2690" s="60">
        <f>ПЛАТЕЖИ[[#This Row],[СЎМ]]+(ПЛАТЕЖИ[[#This Row],[ВАЛЮТА]]*ПЛАТЕЖИ[[#This Row],[КУРС]])</f>
        <v>0</v>
      </c>
      <c r="G2690" s="165"/>
      <c r="H2690" s="165"/>
      <c r="I2690" s="165"/>
    </row>
    <row r="2691" spans="1:9" x14ac:dyDescent="0.3">
      <c r="A2691" s="164"/>
      <c r="B2691" s="165"/>
      <c r="C2691" s="166"/>
      <c r="D2691" s="166"/>
      <c r="E2691" s="166"/>
      <c r="F2691" s="60">
        <f>ПЛАТЕЖИ[[#This Row],[СЎМ]]+(ПЛАТЕЖИ[[#This Row],[ВАЛЮТА]]*ПЛАТЕЖИ[[#This Row],[КУРС]])</f>
        <v>0</v>
      </c>
      <c r="G2691" s="165"/>
      <c r="H2691" s="165"/>
      <c r="I2691" s="165"/>
    </row>
    <row r="2692" spans="1:9" x14ac:dyDescent="0.3">
      <c r="A2692" s="164"/>
      <c r="B2692" s="165"/>
      <c r="C2692" s="166"/>
      <c r="D2692" s="166"/>
      <c r="E2692" s="166"/>
      <c r="F2692" s="60">
        <f>ПЛАТЕЖИ[[#This Row],[СЎМ]]+(ПЛАТЕЖИ[[#This Row],[ВАЛЮТА]]*ПЛАТЕЖИ[[#This Row],[КУРС]])</f>
        <v>0</v>
      </c>
      <c r="G2692" s="165"/>
      <c r="H2692" s="165"/>
      <c r="I2692" s="165"/>
    </row>
    <row r="2693" spans="1:9" x14ac:dyDescent="0.3">
      <c r="A2693" s="164"/>
      <c r="B2693" s="165"/>
      <c r="C2693" s="166"/>
      <c r="D2693" s="166"/>
      <c r="E2693" s="166"/>
      <c r="F2693" s="60">
        <f>ПЛАТЕЖИ[[#This Row],[СЎМ]]+(ПЛАТЕЖИ[[#This Row],[ВАЛЮТА]]*ПЛАТЕЖИ[[#This Row],[КУРС]])</f>
        <v>0</v>
      </c>
      <c r="G2693" s="165"/>
      <c r="H2693" s="165"/>
      <c r="I2693" s="165"/>
    </row>
    <row r="2694" spans="1:9" x14ac:dyDescent="0.3">
      <c r="A2694" s="164"/>
      <c r="B2694" s="165"/>
      <c r="C2694" s="166"/>
      <c r="D2694" s="166"/>
      <c r="E2694" s="166"/>
      <c r="F2694" s="60">
        <f>ПЛАТЕЖИ[[#This Row],[СЎМ]]+(ПЛАТЕЖИ[[#This Row],[ВАЛЮТА]]*ПЛАТЕЖИ[[#This Row],[КУРС]])</f>
        <v>0</v>
      </c>
      <c r="G2694" s="165"/>
      <c r="H2694" s="165"/>
      <c r="I2694" s="165"/>
    </row>
    <row r="2695" spans="1:9" x14ac:dyDescent="0.3">
      <c r="A2695" s="164"/>
      <c r="B2695" s="165"/>
      <c r="C2695" s="166"/>
      <c r="D2695" s="166"/>
      <c r="E2695" s="166"/>
      <c r="F2695" s="60">
        <f>ПЛАТЕЖИ[[#This Row],[СЎМ]]+(ПЛАТЕЖИ[[#This Row],[ВАЛЮТА]]*ПЛАТЕЖИ[[#This Row],[КУРС]])</f>
        <v>0</v>
      </c>
      <c r="G2695" s="165"/>
      <c r="H2695" s="165"/>
      <c r="I2695" s="165"/>
    </row>
    <row r="2696" spans="1:9" x14ac:dyDescent="0.3">
      <c r="A2696" s="164"/>
      <c r="B2696" s="165"/>
      <c r="C2696" s="166"/>
      <c r="D2696" s="166"/>
      <c r="E2696" s="166"/>
      <c r="F2696" s="60">
        <f>ПЛАТЕЖИ[[#This Row],[СЎМ]]+(ПЛАТЕЖИ[[#This Row],[ВАЛЮТА]]*ПЛАТЕЖИ[[#This Row],[КУРС]])</f>
        <v>0</v>
      </c>
      <c r="G2696" s="165"/>
      <c r="H2696" s="165"/>
      <c r="I2696" s="165"/>
    </row>
    <row r="2697" spans="1:9" x14ac:dyDescent="0.3">
      <c r="A2697" s="164"/>
      <c r="B2697" s="165"/>
      <c r="C2697" s="166"/>
      <c r="D2697" s="166"/>
      <c r="E2697" s="166"/>
      <c r="F2697" s="60">
        <f>ПЛАТЕЖИ[[#This Row],[СЎМ]]+(ПЛАТЕЖИ[[#This Row],[ВАЛЮТА]]*ПЛАТЕЖИ[[#This Row],[КУРС]])</f>
        <v>0</v>
      </c>
      <c r="G2697" s="165"/>
      <c r="H2697" s="165"/>
      <c r="I2697" s="165"/>
    </row>
    <row r="2698" spans="1:9" x14ac:dyDescent="0.3">
      <c r="A2698" s="164"/>
      <c r="B2698" s="165"/>
      <c r="C2698" s="166"/>
      <c r="D2698" s="166"/>
      <c r="E2698" s="166"/>
      <c r="F2698" s="60">
        <f>ПЛАТЕЖИ[[#This Row],[СЎМ]]+(ПЛАТЕЖИ[[#This Row],[ВАЛЮТА]]*ПЛАТЕЖИ[[#This Row],[КУРС]])</f>
        <v>0</v>
      </c>
      <c r="G2698" s="165"/>
      <c r="H2698" s="165"/>
      <c r="I2698" s="165"/>
    </row>
    <row r="2699" spans="1:9" x14ac:dyDescent="0.3">
      <c r="A2699" s="164"/>
      <c r="B2699" s="165"/>
      <c r="C2699" s="166"/>
      <c r="D2699" s="166"/>
      <c r="E2699" s="166"/>
      <c r="F2699" s="60">
        <f>ПЛАТЕЖИ[[#This Row],[СЎМ]]+(ПЛАТЕЖИ[[#This Row],[ВАЛЮТА]]*ПЛАТЕЖИ[[#This Row],[КУРС]])</f>
        <v>0</v>
      </c>
      <c r="G2699" s="165"/>
      <c r="H2699" s="165"/>
      <c r="I2699" s="165"/>
    </row>
    <row r="2700" spans="1:9" x14ac:dyDescent="0.3">
      <c r="A2700" s="164"/>
      <c r="B2700" s="165"/>
      <c r="C2700" s="166"/>
      <c r="D2700" s="166"/>
      <c r="E2700" s="166"/>
      <c r="F2700" s="60">
        <f>ПЛАТЕЖИ[[#This Row],[СЎМ]]+(ПЛАТЕЖИ[[#This Row],[ВАЛЮТА]]*ПЛАТЕЖИ[[#This Row],[КУРС]])</f>
        <v>0</v>
      </c>
      <c r="G2700" s="165"/>
      <c r="H2700" s="165"/>
      <c r="I2700" s="165"/>
    </row>
    <row r="2701" spans="1:9" x14ac:dyDescent="0.3">
      <c r="A2701" s="164"/>
      <c r="B2701" s="165"/>
      <c r="C2701" s="166"/>
      <c r="D2701" s="166"/>
      <c r="E2701" s="166"/>
      <c r="F2701" s="60">
        <f>ПЛАТЕЖИ[[#This Row],[СЎМ]]+(ПЛАТЕЖИ[[#This Row],[ВАЛЮТА]]*ПЛАТЕЖИ[[#This Row],[КУРС]])</f>
        <v>0</v>
      </c>
      <c r="G2701" s="165"/>
      <c r="H2701" s="165"/>
      <c r="I2701" s="165"/>
    </row>
    <row r="2702" spans="1:9" x14ac:dyDescent="0.3">
      <c r="A2702" s="164"/>
      <c r="B2702" s="165"/>
      <c r="C2702" s="166"/>
      <c r="D2702" s="166"/>
      <c r="E2702" s="166"/>
      <c r="F2702" s="60">
        <f>ПЛАТЕЖИ[[#This Row],[СЎМ]]+(ПЛАТЕЖИ[[#This Row],[ВАЛЮТА]]*ПЛАТЕЖИ[[#This Row],[КУРС]])</f>
        <v>0</v>
      </c>
      <c r="G2702" s="165"/>
      <c r="H2702" s="165"/>
      <c r="I2702" s="165"/>
    </row>
    <row r="2703" spans="1:9" x14ac:dyDescent="0.3">
      <c r="A2703" s="164"/>
      <c r="B2703" s="165"/>
      <c r="C2703" s="166"/>
      <c r="D2703" s="166"/>
      <c r="E2703" s="166"/>
      <c r="F2703" s="60">
        <f>ПЛАТЕЖИ[[#This Row],[СЎМ]]+(ПЛАТЕЖИ[[#This Row],[ВАЛЮТА]]*ПЛАТЕЖИ[[#This Row],[КУРС]])</f>
        <v>0</v>
      </c>
      <c r="G2703" s="165"/>
      <c r="H2703" s="165"/>
      <c r="I2703" s="165"/>
    </row>
    <row r="2704" spans="1:9" x14ac:dyDescent="0.3">
      <c r="A2704" s="164"/>
      <c r="B2704" s="165"/>
      <c r="C2704" s="166"/>
      <c r="D2704" s="166"/>
      <c r="E2704" s="166"/>
      <c r="F2704" s="60">
        <f>ПЛАТЕЖИ[[#This Row],[СЎМ]]+(ПЛАТЕЖИ[[#This Row],[ВАЛЮТА]]*ПЛАТЕЖИ[[#This Row],[КУРС]])</f>
        <v>0</v>
      </c>
      <c r="G2704" s="165"/>
      <c r="H2704" s="165"/>
      <c r="I2704" s="165"/>
    </row>
    <row r="2705" spans="1:9" x14ac:dyDescent="0.3">
      <c r="A2705" s="164"/>
      <c r="B2705" s="165"/>
      <c r="C2705" s="166"/>
      <c r="D2705" s="166"/>
      <c r="E2705" s="166"/>
      <c r="F2705" s="60">
        <f>ПЛАТЕЖИ[[#This Row],[СЎМ]]+(ПЛАТЕЖИ[[#This Row],[ВАЛЮТА]]*ПЛАТЕЖИ[[#This Row],[КУРС]])</f>
        <v>0</v>
      </c>
      <c r="G2705" s="165"/>
      <c r="H2705" s="165"/>
      <c r="I2705" s="165"/>
    </row>
    <row r="2706" spans="1:9" x14ac:dyDescent="0.3">
      <c r="A2706" s="164"/>
      <c r="B2706" s="165"/>
      <c r="C2706" s="166"/>
      <c r="D2706" s="166"/>
      <c r="E2706" s="166"/>
      <c r="F2706" s="60">
        <f>ПЛАТЕЖИ[[#This Row],[СЎМ]]+(ПЛАТЕЖИ[[#This Row],[ВАЛЮТА]]*ПЛАТЕЖИ[[#This Row],[КУРС]])</f>
        <v>0</v>
      </c>
      <c r="G2706" s="165"/>
      <c r="H2706" s="165"/>
      <c r="I2706" s="165"/>
    </row>
    <row r="2707" spans="1:9" x14ac:dyDescent="0.3">
      <c r="A2707" s="164"/>
      <c r="B2707" s="165"/>
      <c r="C2707" s="166"/>
      <c r="D2707" s="166"/>
      <c r="E2707" s="166"/>
      <c r="F2707" s="60">
        <f>ПЛАТЕЖИ[[#This Row],[СЎМ]]+(ПЛАТЕЖИ[[#This Row],[ВАЛЮТА]]*ПЛАТЕЖИ[[#This Row],[КУРС]])</f>
        <v>0</v>
      </c>
      <c r="G2707" s="165"/>
      <c r="H2707" s="165"/>
      <c r="I2707" s="165"/>
    </row>
    <row r="2708" spans="1:9" x14ac:dyDescent="0.3">
      <c r="A2708" s="164"/>
      <c r="B2708" s="165"/>
      <c r="C2708" s="166"/>
      <c r="D2708" s="166"/>
      <c r="E2708" s="166"/>
      <c r="F2708" s="60">
        <f>ПЛАТЕЖИ[[#This Row],[СЎМ]]+(ПЛАТЕЖИ[[#This Row],[ВАЛЮТА]]*ПЛАТЕЖИ[[#This Row],[КУРС]])</f>
        <v>0</v>
      </c>
      <c r="G2708" s="165"/>
      <c r="H2708" s="165"/>
      <c r="I2708" s="165"/>
    </row>
    <row r="2709" spans="1:9" x14ac:dyDescent="0.3">
      <c r="A2709" s="164"/>
      <c r="B2709" s="165"/>
      <c r="C2709" s="166"/>
      <c r="D2709" s="166"/>
      <c r="E2709" s="166"/>
      <c r="F2709" s="60">
        <f>ПЛАТЕЖИ[[#This Row],[СЎМ]]+(ПЛАТЕЖИ[[#This Row],[ВАЛЮТА]]*ПЛАТЕЖИ[[#This Row],[КУРС]])</f>
        <v>0</v>
      </c>
      <c r="G2709" s="165"/>
      <c r="H2709" s="165"/>
      <c r="I2709" s="165"/>
    </row>
    <row r="2710" spans="1:9" x14ac:dyDescent="0.3">
      <c r="A2710" s="164"/>
      <c r="B2710" s="165"/>
      <c r="C2710" s="166"/>
      <c r="D2710" s="166"/>
      <c r="E2710" s="166"/>
      <c r="F2710" s="60">
        <f>ПЛАТЕЖИ[[#This Row],[СЎМ]]+(ПЛАТЕЖИ[[#This Row],[ВАЛЮТА]]*ПЛАТЕЖИ[[#This Row],[КУРС]])</f>
        <v>0</v>
      </c>
      <c r="G2710" s="165"/>
      <c r="H2710" s="165"/>
      <c r="I2710" s="165"/>
    </row>
    <row r="2711" spans="1:9" x14ac:dyDescent="0.3">
      <c r="A2711" s="164"/>
      <c r="B2711" s="165"/>
      <c r="C2711" s="166"/>
      <c r="D2711" s="166"/>
      <c r="E2711" s="166"/>
      <c r="F2711" s="60">
        <f>ПЛАТЕЖИ[[#This Row],[СЎМ]]+(ПЛАТЕЖИ[[#This Row],[ВАЛЮТА]]*ПЛАТЕЖИ[[#This Row],[КУРС]])</f>
        <v>0</v>
      </c>
      <c r="G2711" s="165"/>
      <c r="H2711" s="165"/>
      <c r="I2711" s="165"/>
    </row>
    <row r="2712" spans="1:9" x14ac:dyDescent="0.3">
      <c r="A2712" s="164"/>
      <c r="B2712" s="165"/>
      <c r="C2712" s="166"/>
      <c r="D2712" s="166"/>
      <c r="E2712" s="166"/>
      <c r="F2712" s="60">
        <f>ПЛАТЕЖИ[[#This Row],[СЎМ]]+(ПЛАТЕЖИ[[#This Row],[ВАЛЮТА]]*ПЛАТЕЖИ[[#This Row],[КУРС]])</f>
        <v>0</v>
      </c>
      <c r="G2712" s="165"/>
      <c r="H2712" s="165"/>
      <c r="I2712" s="165"/>
    </row>
    <row r="2713" spans="1:9" x14ac:dyDescent="0.3">
      <c r="A2713" s="164"/>
      <c r="B2713" s="165"/>
      <c r="C2713" s="166"/>
      <c r="D2713" s="166"/>
      <c r="E2713" s="166"/>
      <c r="F2713" s="60">
        <f>ПЛАТЕЖИ[[#This Row],[СЎМ]]+(ПЛАТЕЖИ[[#This Row],[ВАЛЮТА]]*ПЛАТЕЖИ[[#This Row],[КУРС]])</f>
        <v>0</v>
      </c>
      <c r="G2713" s="165"/>
      <c r="H2713" s="165"/>
      <c r="I2713" s="165"/>
    </row>
    <row r="2714" spans="1:9" x14ac:dyDescent="0.3">
      <c r="A2714" s="164"/>
      <c r="B2714" s="165"/>
      <c r="C2714" s="166"/>
      <c r="D2714" s="166"/>
      <c r="E2714" s="166"/>
      <c r="F2714" s="60">
        <f>ПЛАТЕЖИ[[#This Row],[СЎМ]]+(ПЛАТЕЖИ[[#This Row],[ВАЛЮТА]]*ПЛАТЕЖИ[[#This Row],[КУРС]])</f>
        <v>0</v>
      </c>
      <c r="G2714" s="165"/>
      <c r="H2714" s="165"/>
      <c r="I2714" s="165"/>
    </row>
    <row r="2715" spans="1:9" x14ac:dyDescent="0.3">
      <c r="A2715" s="164"/>
      <c r="B2715" s="165"/>
      <c r="C2715" s="166"/>
      <c r="D2715" s="166"/>
      <c r="E2715" s="166"/>
      <c r="F2715" s="60">
        <f>ПЛАТЕЖИ[[#This Row],[СЎМ]]+(ПЛАТЕЖИ[[#This Row],[ВАЛЮТА]]*ПЛАТЕЖИ[[#This Row],[КУРС]])</f>
        <v>0</v>
      </c>
      <c r="G2715" s="165"/>
      <c r="H2715" s="165"/>
      <c r="I2715" s="165"/>
    </row>
    <row r="2716" spans="1:9" x14ac:dyDescent="0.3">
      <c r="A2716" s="164"/>
      <c r="B2716" s="165"/>
      <c r="C2716" s="166"/>
      <c r="D2716" s="166"/>
      <c r="E2716" s="166"/>
      <c r="F2716" s="60">
        <f>ПЛАТЕЖИ[[#This Row],[СЎМ]]+(ПЛАТЕЖИ[[#This Row],[ВАЛЮТА]]*ПЛАТЕЖИ[[#This Row],[КУРС]])</f>
        <v>0</v>
      </c>
      <c r="G2716" s="165"/>
      <c r="H2716" s="165"/>
      <c r="I2716" s="165"/>
    </row>
    <row r="2717" spans="1:9" x14ac:dyDescent="0.3">
      <c r="A2717" s="164"/>
      <c r="B2717" s="165"/>
      <c r="C2717" s="166"/>
      <c r="D2717" s="166"/>
      <c r="E2717" s="166"/>
      <c r="F2717" s="60">
        <f>ПЛАТЕЖИ[[#This Row],[СЎМ]]+(ПЛАТЕЖИ[[#This Row],[ВАЛЮТА]]*ПЛАТЕЖИ[[#This Row],[КУРС]])</f>
        <v>0</v>
      </c>
      <c r="G2717" s="165"/>
      <c r="H2717" s="165"/>
      <c r="I2717" s="165"/>
    </row>
    <row r="2718" spans="1:9" x14ac:dyDescent="0.3">
      <c r="A2718" s="164"/>
      <c r="B2718" s="165"/>
      <c r="C2718" s="166"/>
      <c r="D2718" s="166"/>
      <c r="E2718" s="166"/>
      <c r="F2718" s="60">
        <f>ПЛАТЕЖИ[[#This Row],[СЎМ]]+(ПЛАТЕЖИ[[#This Row],[ВАЛЮТА]]*ПЛАТЕЖИ[[#This Row],[КУРС]])</f>
        <v>0</v>
      </c>
      <c r="G2718" s="165"/>
      <c r="H2718" s="165"/>
      <c r="I2718" s="165"/>
    </row>
    <row r="2719" spans="1:9" x14ac:dyDescent="0.3">
      <c r="A2719" s="164"/>
      <c r="B2719" s="165"/>
      <c r="C2719" s="166"/>
      <c r="D2719" s="166"/>
      <c r="E2719" s="166"/>
      <c r="F2719" s="60">
        <f>ПЛАТЕЖИ[[#This Row],[СЎМ]]+(ПЛАТЕЖИ[[#This Row],[ВАЛЮТА]]*ПЛАТЕЖИ[[#This Row],[КУРС]])</f>
        <v>0</v>
      </c>
      <c r="G2719" s="165"/>
      <c r="H2719" s="165"/>
      <c r="I2719" s="165"/>
    </row>
    <row r="2720" spans="1:9" x14ac:dyDescent="0.3">
      <c r="A2720" s="164"/>
      <c r="B2720" s="165"/>
      <c r="C2720" s="166"/>
      <c r="D2720" s="166"/>
      <c r="E2720" s="166"/>
      <c r="F2720" s="60">
        <f>ПЛАТЕЖИ[[#This Row],[СЎМ]]+(ПЛАТЕЖИ[[#This Row],[ВАЛЮТА]]*ПЛАТЕЖИ[[#This Row],[КУРС]])</f>
        <v>0</v>
      </c>
      <c r="G2720" s="165"/>
      <c r="H2720" s="165"/>
      <c r="I2720" s="165"/>
    </row>
    <row r="2721" spans="1:9" x14ac:dyDescent="0.3">
      <c r="A2721" s="164"/>
      <c r="B2721" s="165"/>
      <c r="C2721" s="166"/>
      <c r="D2721" s="166"/>
      <c r="E2721" s="166"/>
      <c r="F2721" s="60">
        <f>ПЛАТЕЖИ[[#This Row],[СЎМ]]+(ПЛАТЕЖИ[[#This Row],[ВАЛЮТА]]*ПЛАТЕЖИ[[#This Row],[КУРС]])</f>
        <v>0</v>
      </c>
      <c r="G2721" s="165"/>
      <c r="H2721" s="165"/>
      <c r="I2721" s="165"/>
    </row>
    <row r="2722" spans="1:9" x14ac:dyDescent="0.3">
      <c r="A2722" s="164"/>
      <c r="B2722" s="165"/>
      <c r="C2722" s="166"/>
      <c r="D2722" s="166"/>
      <c r="E2722" s="166"/>
      <c r="F2722" s="60">
        <f>ПЛАТЕЖИ[[#This Row],[СЎМ]]+(ПЛАТЕЖИ[[#This Row],[ВАЛЮТА]]*ПЛАТЕЖИ[[#This Row],[КУРС]])</f>
        <v>0</v>
      </c>
      <c r="G2722" s="165"/>
      <c r="H2722" s="165"/>
      <c r="I2722" s="165"/>
    </row>
    <row r="2723" spans="1:9" x14ac:dyDescent="0.3">
      <c r="A2723" s="164"/>
      <c r="B2723" s="165"/>
      <c r="C2723" s="166"/>
      <c r="D2723" s="166"/>
      <c r="E2723" s="166"/>
      <c r="F2723" s="60">
        <f>ПЛАТЕЖИ[[#This Row],[СЎМ]]+(ПЛАТЕЖИ[[#This Row],[ВАЛЮТА]]*ПЛАТЕЖИ[[#This Row],[КУРС]])</f>
        <v>0</v>
      </c>
      <c r="G2723" s="165"/>
      <c r="H2723" s="165"/>
      <c r="I2723" s="165"/>
    </row>
    <row r="2724" spans="1:9" x14ac:dyDescent="0.3">
      <c r="A2724" s="164"/>
      <c r="B2724" s="165"/>
      <c r="C2724" s="166"/>
      <c r="D2724" s="166"/>
      <c r="E2724" s="166"/>
      <c r="F2724" s="60">
        <f>ПЛАТЕЖИ[[#This Row],[СЎМ]]+(ПЛАТЕЖИ[[#This Row],[ВАЛЮТА]]*ПЛАТЕЖИ[[#This Row],[КУРС]])</f>
        <v>0</v>
      </c>
      <c r="G2724" s="165"/>
      <c r="H2724" s="165"/>
      <c r="I2724" s="165"/>
    </row>
    <row r="2725" spans="1:9" x14ac:dyDescent="0.3">
      <c r="A2725" s="164"/>
      <c r="B2725" s="165"/>
      <c r="C2725" s="166"/>
      <c r="D2725" s="166"/>
      <c r="E2725" s="166"/>
      <c r="F2725" s="60">
        <f>ПЛАТЕЖИ[[#This Row],[СЎМ]]+(ПЛАТЕЖИ[[#This Row],[ВАЛЮТА]]*ПЛАТЕЖИ[[#This Row],[КУРС]])</f>
        <v>0</v>
      </c>
      <c r="G2725" s="165"/>
      <c r="H2725" s="165"/>
      <c r="I2725" s="165"/>
    </row>
    <row r="2726" spans="1:9" x14ac:dyDescent="0.3">
      <c r="A2726" s="164"/>
      <c r="B2726" s="165"/>
      <c r="C2726" s="166"/>
      <c r="D2726" s="166"/>
      <c r="E2726" s="166"/>
      <c r="F2726" s="60">
        <f>ПЛАТЕЖИ[[#This Row],[СЎМ]]+(ПЛАТЕЖИ[[#This Row],[ВАЛЮТА]]*ПЛАТЕЖИ[[#This Row],[КУРС]])</f>
        <v>0</v>
      </c>
      <c r="G2726" s="165"/>
      <c r="H2726" s="165"/>
      <c r="I2726" s="165"/>
    </row>
    <row r="2727" spans="1:9" x14ac:dyDescent="0.3">
      <c r="A2727" s="164"/>
      <c r="B2727" s="165"/>
      <c r="C2727" s="166"/>
      <c r="D2727" s="166"/>
      <c r="E2727" s="166"/>
      <c r="F2727" s="60">
        <f>ПЛАТЕЖИ[[#This Row],[СЎМ]]+(ПЛАТЕЖИ[[#This Row],[ВАЛЮТА]]*ПЛАТЕЖИ[[#This Row],[КУРС]])</f>
        <v>0</v>
      </c>
      <c r="G2727" s="165"/>
      <c r="H2727" s="165"/>
      <c r="I2727" s="165"/>
    </row>
    <row r="2728" spans="1:9" x14ac:dyDescent="0.3">
      <c r="A2728" s="164"/>
      <c r="B2728" s="165"/>
      <c r="C2728" s="166"/>
      <c r="D2728" s="166"/>
      <c r="E2728" s="166"/>
      <c r="F2728" s="60">
        <f>ПЛАТЕЖИ[[#This Row],[СЎМ]]+(ПЛАТЕЖИ[[#This Row],[ВАЛЮТА]]*ПЛАТЕЖИ[[#This Row],[КУРС]])</f>
        <v>0</v>
      </c>
      <c r="G2728" s="165"/>
      <c r="H2728" s="165"/>
      <c r="I2728" s="165"/>
    </row>
    <row r="2729" spans="1:9" x14ac:dyDescent="0.3">
      <c r="A2729" s="164"/>
      <c r="B2729" s="165"/>
      <c r="C2729" s="166"/>
      <c r="D2729" s="166"/>
      <c r="E2729" s="166"/>
      <c r="F2729" s="60">
        <f>ПЛАТЕЖИ[[#This Row],[СЎМ]]+(ПЛАТЕЖИ[[#This Row],[ВАЛЮТА]]*ПЛАТЕЖИ[[#This Row],[КУРС]])</f>
        <v>0</v>
      </c>
      <c r="G2729" s="165"/>
      <c r="H2729" s="165"/>
      <c r="I2729" s="165"/>
    </row>
    <row r="2730" spans="1:9" x14ac:dyDescent="0.3">
      <c r="A2730" s="164"/>
      <c r="B2730" s="165"/>
      <c r="C2730" s="166"/>
      <c r="D2730" s="166"/>
      <c r="E2730" s="166"/>
      <c r="F2730" s="60">
        <f>ПЛАТЕЖИ[[#This Row],[СЎМ]]+(ПЛАТЕЖИ[[#This Row],[ВАЛЮТА]]*ПЛАТЕЖИ[[#This Row],[КУРС]])</f>
        <v>0</v>
      </c>
      <c r="G2730" s="165"/>
      <c r="H2730" s="165"/>
      <c r="I2730" s="165"/>
    </row>
    <row r="2731" spans="1:9" x14ac:dyDescent="0.3">
      <c r="A2731" s="164"/>
      <c r="B2731" s="165"/>
      <c r="C2731" s="166"/>
      <c r="D2731" s="166"/>
      <c r="E2731" s="166"/>
      <c r="F2731" s="60">
        <f>ПЛАТЕЖИ[[#This Row],[СЎМ]]+(ПЛАТЕЖИ[[#This Row],[ВАЛЮТА]]*ПЛАТЕЖИ[[#This Row],[КУРС]])</f>
        <v>0</v>
      </c>
      <c r="G2731" s="165"/>
      <c r="H2731" s="165"/>
      <c r="I2731" s="165"/>
    </row>
    <row r="2732" spans="1:9" x14ac:dyDescent="0.3">
      <c r="A2732" s="164"/>
      <c r="B2732" s="165"/>
      <c r="C2732" s="166"/>
      <c r="D2732" s="166"/>
      <c r="E2732" s="166"/>
      <c r="F2732" s="60">
        <f>ПЛАТЕЖИ[[#This Row],[СЎМ]]+(ПЛАТЕЖИ[[#This Row],[ВАЛЮТА]]*ПЛАТЕЖИ[[#This Row],[КУРС]])</f>
        <v>0</v>
      </c>
      <c r="G2732" s="165"/>
      <c r="H2732" s="165"/>
      <c r="I2732" s="165"/>
    </row>
    <row r="2733" spans="1:9" x14ac:dyDescent="0.3">
      <c r="A2733" s="164"/>
      <c r="B2733" s="165"/>
      <c r="C2733" s="166"/>
      <c r="D2733" s="166"/>
      <c r="E2733" s="166"/>
      <c r="F2733" s="60">
        <f>ПЛАТЕЖИ[[#This Row],[СЎМ]]+(ПЛАТЕЖИ[[#This Row],[ВАЛЮТА]]*ПЛАТЕЖИ[[#This Row],[КУРС]])</f>
        <v>0</v>
      </c>
      <c r="G2733" s="165"/>
      <c r="H2733" s="165"/>
      <c r="I2733" s="165"/>
    </row>
    <row r="2734" spans="1:9" x14ac:dyDescent="0.3">
      <c r="A2734" s="164"/>
      <c r="B2734" s="165"/>
      <c r="C2734" s="166"/>
      <c r="D2734" s="166"/>
      <c r="E2734" s="166"/>
      <c r="F2734" s="60">
        <f>ПЛАТЕЖИ[[#This Row],[СЎМ]]+(ПЛАТЕЖИ[[#This Row],[ВАЛЮТА]]*ПЛАТЕЖИ[[#This Row],[КУРС]])</f>
        <v>0</v>
      </c>
      <c r="G2734" s="165"/>
      <c r="H2734" s="165"/>
      <c r="I2734" s="165"/>
    </row>
    <row r="2735" spans="1:9" x14ac:dyDescent="0.3">
      <c r="A2735" s="164"/>
      <c r="B2735" s="165"/>
      <c r="C2735" s="166"/>
      <c r="D2735" s="166"/>
      <c r="E2735" s="166"/>
      <c r="F2735" s="60">
        <f>ПЛАТЕЖИ[[#This Row],[СЎМ]]+(ПЛАТЕЖИ[[#This Row],[ВАЛЮТА]]*ПЛАТЕЖИ[[#This Row],[КУРС]])</f>
        <v>0</v>
      </c>
      <c r="G2735" s="165"/>
      <c r="H2735" s="165"/>
      <c r="I2735" s="165"/>
    </row>
    <row r="2736" spans="1:9" x14ac:dyDescent="0.3">
      <c r="A2736" s="164"/>
      <c r="B2736" s="165"/>
      <c r="C2736" s="166"/>
      <c r="D2736" s="166"/>
      <c r="E2736" s="166"/>
      <c r="F2736" s="60">
        <f>ПЛАТЕЖИ[[#This Row],[СЎМ]]+(ПЛАТЕЖИ[[#This Row],[ВАЛЮТА]]*ПЛАТЕЖИ[[#This Row],[КУРС]])</f>
        <v>0</v>
      </c>
      <c r="G2736" s="165"/>
      <c r="H2736" s="165"/>
      <c r="I2736" s="165"/>
    </row>
    <row r="2737" spans="1:9" x14ac:dyDescent="0.3">
      <c r="A2737" s="164"/>
      <c r="B2737" s="165"/>
      <c r="C2737" s="166"/>
      <c r="D2737" s="166"/>
      <c r="E2737" s="166"/>
      <c r="F2737" s="60">
        <f>ПЛАТЕЖИ[[#This Row],[СЎМ]]+(ПЛАТЕЖИ[[#This Row],[ВАЛЮТА]]*ПЛАТЕЖИ[[#This Row],[КУРС]])</f>
        <v>0</v>
      </c>
      <c r="G2737" s="165"/>
      <c r="H2737" s="165"/>
      <c r="I2737" s="165"/>
    </row>
    <row r="2738" spans="1:9" x14ac:dyDescent="0.3">
      <c r="A2738" s="164"/>
      <c r="B2738" s="165"/>
      <c r="C2738" s="166"/>
      <c r="D2738" s="166"/>
      <c r="E2738" s="166"/>
      <c r="F2738" s="60">
        <f>ПЛАТЕЖИ[[#This Row],[СЎМ]]+(ПЛАТЕЖИ[[#This Row],[ВАЛЮТА]]*ПЛАТЕЖИ[[#This Row],[КУРС]])</f>
        <v>0</v>
      </c>
      <c r="G2738" s="165"/>
      <c r="H2738" s="165"/>
      <c r="I2738" s="165"/>
    </row>
    <row r="2739" spans="1:9" x14ac:dyDescent="0.3">
      <c r="A2739" s="164"/>
      <c r="B2739" s="165"/>
      <c r="C2739" s="166"/>
      <c r="D2739" s="166"/>
      <c r="E2739" s="166"/>
      <c r="F2739" s="60">
        <f>ПЛАТЕЖИ[[#This Row],[СЎМ]]+(ПЛАТЕЖИ[[#This Row],[ВАЛЮТА]]*ПЛАТЕЖИ[[#This Row],[КУРС]])</f>
        <v>0</v>
      </c>
      <c r="G2739" s="165"/>
      <c r="H2739" s="165"/>
      <c r="I2739" s="165"/>
    </row>
    <row r="2740" spans="1:9" x14ac:dyDescent="0.3">
      <c r="A2740" s="164"/>
      <c r="B2740" s="165"/>
      <c r="C2740" s="166"/>
      <c r="D2740" s="166"/>
      <c r="E2740" s="166"/>
      <c r="F2740" s="60">
        <f>ПЛАТЕЖИ[[#This Row],[СЎМ]]+(ПЛАТЕЖИ[[#This Row],[ВАЛЮТА]]*ПЛАТЕЖИ[[#This Row],[КУРС]])</f>
        <v>0</v>
      </c>
      <c r="G2740" s="165"/>
      <c r="H2740" s="165"/>
      <c r="I2740" s="165"/>
    </row>
    <row r="2741" spans="1:9" x14ac:dyDescent="0.3">
      <c r="A2741" s="164"/>
      <c r="B2741" s="165"/>
      <c r="C2741" s="166"/>
      <c r="D2741" s="166"/>
      <c r="E2741" s="166"/>
      <c r="F2741" s="60">
        <f>ПЛАТЕЖИ[[#This Row],[СЎМ]]+(ПЛАТЕЖИ[[#This Row],[ВАЛЮТА]]*ПЛАТЕЖИ[[#This Row],[КУРС]])</f>
        <v>0</v>
      </c>
      <c r="G2741" s="165"/>
      <c r="H2741" s="165"/>
      <c r="I2741" s="165"/>
    </row>
    <row r="2742" spans="1:9" x14ac:dyDescent="0.3">
      <c r="A2742" s="164"/>
      <c r="B2742" s="165"/>
      <c r="C2742" s="166"/>
      <c r="D2742" s="166"/>
      <c r="E2742" s="166"/>
      <c r="F2742" s="60">
        <f>ПЛАТЕЖИ[[#This Row],[СЎМ]]+(ПЛАТЕЖИ[[#This Row],[ВАЛЮТА]]*ПЛАТЕЖИ[[#This Row],[КУРС]])</f>
        <v>0</v>
      </c>
      <c r="G2742" s="165"/>
      <c r="H2742" s="165"/>
      <c r="I2742" s="165"/>
    </row>
    <row r="2743" spans="1:9" x14ac:dyDescent="0.3">
      <c r="A2743" s="164"/>
      <c r="B2743" s="165"/>
      <c r="C2743" s="166"/>
      <c r="D2743" s="166"/>
      <c r="E2743" s="166"/>
      <c r="F2743" s="60">
        <f>ПЛАТЕЖИ[[#This Row],[СЎМ]]+(ПЛАТЕЖИ[[#This Row],[ВАЛЮТА]]*ПЛАТЕЖИ[[#This Row],[КУРС]])</f>
        <v>0</v>
      </c>
      <c r="G2743" s="165"/>
      <c r="H2743" s="165"/>
      <c r="I2743" s="165"/>
    </row>
    <row r="2744" spans="1:9" x14ac:dyDescent="0.3">
      <c r="A2744" s="164"/>
      <c r="B2744" s="165"/>
      <c r="C2744" s="166"/>
      <c r="D2744" s="166"/>
      <c r="E2744" s="166"/>
      <c r="F2744" s="60">
        <f>ПЛАТЕЖИ[[#This Row],[СЎМ]]+(ПЛАТЕЖИ[[#This Row],[ВАЛЮТА]]*ПЛАТЕЖИ[[#This Row],[КУРС]])</f>
        <v>0</v>
      </c>
      <c r="G2744" s="165"/>
      <c r="H2744" s="165"/>
      <c r="I2744" s="165"/>
    </row>
    <row r="2745" spans="1:9" x14ac:dyDescent="0.3">
      <c r="A2745" s="164"/>
      <c r="B2745" s="165"/>
      <c r="C2745" s="166"/>
      <c r="D2745" s="166"/>
      <c r="E2745" s="166"/>
      <c r="F2745" s="60">
        <f>ПЛАТЕЖИ[[#This Row],[СЎМ]]+(ПЛАТЕЖИ[[#This Row],[ВАЛЮТА]]*ПЛАТЕЖИ[[#This Row],[КУРС]])</f>
        <v>0</v>
      </c>
      <c r="G2745" s="165"/>
      <c r="H2745" s="165"/>
      <c r="I2745" s="165"/>
    </row>
    <row r="2746" spans="1:9" x14ac:dyDescent="0.3">
      <c r="A2746" s="164"/>
      <c r="B2746" s="165"/>
      <c r="C2746" s="166"/>
      <c r="D2746" s="166"/>
      <c r="E2746" s="166"/>
      <c r="F2746" s="60">
        <f>ПЛАТЕЖИ[[#This Row],[СЎМ]]+(ПЛАТЕЖИ[[#This Row],[ВАЛЮТА]]*ПЛАТЕЖИ[[#This Row],[КУРС]])</f>
        <v>0</v>
      </c>
      <c r="G2746" s="165"/>
      <c r="H2746" s="165"/>
      <c r="I2746" s="165"/>
    </row>
    <row r="2747" spans="1:9" x14ac:dyDescent="0.3">
      <c r="A2747" s="164"/>
      <c r="B2747" s="165"/>
      <c r="C2747" s="166"/>
      <c r="D2747" s="166"/>
      <c r="E2747" s="166"/>
      <c r="F2747" s="60">
        <f>ПЛАТЕЖИ[[#This Row],[СЎМ]]+(ПЛАТЕЖИ[[#This Row],[ВАЛЮТА]]*ПЛАТЕЖИ[[#This Row],[КУРС]])</f>
        <v>0</v>
      </c>
      <c r="G2747" s="165"/>
      <c r="H2747" s="165"/>
      <c r="I2747" s="165"/>
    </row>
    <row r="2748" spans="1:9" x14ac:dyDescent="0.3">
      <c r="A2748" s="164"/>
      <c r="B2748" s="165"/>
      <c r="C2748" s="166"/>
      <c r="D2748" s="166"/>
      <c r="E2748" s="166"/>
      <c r="F2748" s="60">
        <f>ПЛАТЕЖИ[[#This Row],[СЎМ]]+(ПЛАТЕЖИ[[#This Row],[ВАЛЮТА]]*ПЛАТЕЖИ[[#This Row],[КУРС]])</f>
        <v>0</v>
      </c>
      <c r="G2748" s="165"/>
      <c r="H2748" s="165"/>
      <c r="I2748" s="165"/>
    </row>
    <row r="2749" spans="1:9" x14ac:dyDescent="0.3">
      <c r="A2749" s="164"/>
      <c r="B2749" s="165"/>
      <c r="C2749" s="166"/>
      <c r="D2749" s="166"/>
      <c r="E2749" s="166"/>
      <c r="F2749" s="60">
        <f>ПЛАТЕЖИ[[#This Row],[СЎМ]]+(ПЛАТЕЖИ[[#This Row],[ВАЛЮТА]]*ПЛАТЕЖИ[[#This Row],[КУРС]])</f>
        <v>0</v>
      </c>
      <c r="G2749" s="165"/>
      <c r="H2749" s="165"/>
      <c r="I2749" s="165"/>
    </row>
    <row r="2750" spans="1:9" x14ac:dyDescent="0.3">
      <c r="A2750" s="164"/>
      <c r="B2750" s="165"/>
      <c r="C2750" s="166"/>
      <c r="D2750" s="166"/>
      <c r="E2750" s="166"/>
      <c r="F2750" s="60">
        <f>ПЛАТЕЖИ[[#This Row],[СЎМ]]+(ПЛАТЕЖИ[[#This Row],[ВАЛЮТА]]*ПЛАТЕЖИ[[#This Row],[КУРС]])</f>
        <v>0</v>
      </c>
      <c r="G2750" s="165"/>
      <c r="H2750" s="165"/>
      <c r="I2750" s="165"/>
    </row>
    <row r="2751" spans="1:9" x14ac:dyDescent="0.3">
      <c r="A2751" s="164"/>
      <c r="B2751" s="165"/>
      <c r="C2751" s="166"/>
      <c r="D2751" s="166"/>
      <c r="E2751" s="166"/>
      <c r="F2751" s="60">
        <f>ПЛАТЕЖИ[[#This Row],[СЎМ]]+(ПЛАТЕЖИ[[#This Row],[ВАЛЮТА]]*ПЛАТЕЖИ[[#This Row],[КУРС]])</f>
        <v>0</v>
      </c>
      <c r="G2751" s="165"/>
      <c r="H2751" s="165"/>
      <c r="I2751" s="165"/>
    </row>
    <row r="2752" spans="1:9" x14ac:dyDescent="0.3">
      <c r="A2752" s="164"/>
      <c r="B2752" s="165"/>
      <c r="C2752" s="166"/>
      <c r="D2752" s="166"/>
      <c r="E2752" s="166"/>
      <c r="F2752" s="60">
        <f>ПЛАТЕЖИ[[#This Row],[СЎМ]]+(ПЛАТЕЖИ[[#This Row],[ВАЛЮТА]]*ПЛАТЕЖИ[[#This Row],[КУРС]])</f>
        <v>0</v>
      </c>
      <c r="G2752" s="165"/>
      <c r="H2752" s="165"/>
      <c r="I2752" s="165"/>
    </row>
    <row r="2753" spans="1:9" x14ac:dyDescent="0.3">
      <c r="A2753" s="164"/>
      <c r="B2753" s="165"/>
      <c r="C2753" s="166"/>
      <c r="D2753" s="166"/>
      <c r="E2753" s="166"/>
      <c r="F2753" s="60">
        <f>ПЛАТЕЖИ[[#This Row],[СЎМ]]+(ПЛАТЕЖИ[[#This Row],[ВАЛЮТА]]*ПЛАТЕЖИ[[#This Row],[КУРС]])</f>
        <v>0</v>
      </c>
      <c r="G2753" s="165"/>
      <c r="H2753" s="165"/>
      <c r="I2753" s="165"/>
    </row>
    <row r="2754" spans="1:9" x14ac:dyDescent="0.3">
      <c r="A2754" s="164"/>
      <c r="B2754" s="165"/>
      <c r="C2754" s="166"/>
      <c r="D2754" s="166"/>
      <c r="E2754" s="166"/>
      <c r="F2754" s="60">
        <f>ПЛАТЕЖИ[[#This Row],[СЎМ]]+(ПЛАТЕЖИ[[#This Row],[ВАЛЮТА]]*ПЛАТЕЖИ[[#This Row],[КУРС]])</f>
        <v>0</v>
      </c>
      <c r="G2754" s="165"/>
      <c r="H2754" s="165"/>
      <c r="I2754" s="165"/>
    </row>
    <row r="2755" spans="1:9" x14ac:dyDescent="0.3">
      <c r="A2755" s="164"/>
      <c r="B2755" s="165"/>
      <c r="C2755" s="166"/>
      <c r="D2755" s="166"/>
      <c r="E2755" s="166"/>
      <c r="F2755" s="60">
        <f>ПЛАТЕЖИ[[#This Row],[СЎМ]]+(ПЛАТЕЖИ[[#This Row],[ВАЛЮТА]]*ПЛАТЕЖИ[[#This Row],[КУРС]])</f>
        <v>0</v>
      </c>
      <c r="G2755" s="165"/>
      <c r="H2755" s="165"/>
      <c r="I2755" s="165"/>
    </row>
    <row r="2756" spans="1:9" x14ac:dyDescent="0.3">
      <c r="A2756" s="164"/>
      <c r="B2756" s="165"/>
      <c r="C2756" s="166"/>
      <c r="D2756" s="166"/>
      <c r="E2756" s="166"/>
      <c r="F2756" s="60">
        <f>ПЛАТЕЖИ[[#This Row],[СЎМ]]+(ПЛАТЕЖИ[[#This Row],[ВАЛЮТА]]*ПЛАТЕЖИ[[#This Row],[КУРС]])</f>
        <v>0</v>
      </c>
      <c r="G2756" s="165"/>
      <c r="H2756" s="165"/>
      <c r="I2756" s="165"/>
    </row>
    <row r="2757" spans="1:9" x14ac:dyDescent="0.3">
      <c r="A2757" s="164"/>
      <c r="B2757" s="165"/>
      <c r="C2757" s="166"/>
      <c r="D2757" s="166"/>
      <c r="E2757" s="166"/>
      <c r="F2757" s="60">
        <f>ПЛАТЕЖИ[[#This Row],[СЎМ]]+(ПЛАТЕЖИ[[#This Row],[ВАЛЮТА]]*ПЛАТЕЖИ[[#This Row],[КУРС]])</f>
        <v>0</v>
      </c>
      <c r="G2757" s="165"/>
      <c r="H2757" s="165"/>
      <c r="I2757" s="165"/>
    </row>
    <row r="2758" spans="1:9" x14ac:dyDescent="0.3">
      <c r="A2758" s="164"/>
      <c r="B2758" s="165"/>
      <c r="C2758" s="166"/>
      <c r="D2758" s="166"/>
      <c r="E2758" s="166"/>
      <c r="F2758" s="60">
        <f>ПЛАТЕЖИ[[#This Row],[СЎМ]]+(ПЛАТЕЖИ[[#This Row],[ВАЛЮТА]]*ПЛАТЕЖИ[[#This Row],[КУРС]])</f>
        <v>0</v>
      </c>
      <c r="G2758" s="165"/>
      <c r="H2758" s="165"/>
      <c r="I2758" s="165"/>
    </row>
    <row r="2759" spans="1:9" x14ac:dyDescent="0.3">
      <c r="A2759" s="164"/>
      <c r="B2759" s="165"/>
      <c r="C2759" s="166"/>
      <c r="D2759" s="166"/>
      <c r="E2759" s="166"/>
      <c r="F2759" s="60">
        <f>ПЛАТЕЖИ[[#This Row],[СЎМ]]+(ПЛАТЕЖИ[[#This Row],[ВАЛЮТА]]*ПЛАТЕЖИ[[#This Row],[КУРС]])</f>
        <v>0</v>
      </c>
      <c r="G2759" s="165"/>
      <c r="H2759" s="165"/>
      <c r="I2759" s="165"/>
    </row>
    <row r="2760" spans="1:9" x14ac:dyDescent="0.3">
      <c r="A2760" s="164"/>
      <c r="B2760" s="165"/>
      <c r="C2760" s="166"/>
      <c r="D2760" s="166"/>
      <c r="E2760" s="166"/>
      <c r="F2760" s="60">
        <f>ПЛАТЕЖИ[[#This Row],[СЎМ]]+(ПЛАТЕЖИ[[#This Row],[ВАЛЮТА]]*ПЛАТЕЖИ[[#This Row],[КУРС]])</f>
        <v>0</v>
      </c>
      <c r="G2760" s="165"/>
      <c r="H2760" s="165"/>
      <c r="I2760" s="165"/>
    </row>
    <row r="2761" spans="1:9" x14ac:dyDescent="0.3">
      <c r="A2761" s="164"/>
      <c r="B2761" s="165"/>
      <c r="C2761" s="166"/>
      <c r="D2761" s="166"/>
      <c r="E2761" s="166"/>
      <c r="F2761" s="60">
        <f>ПЛАТЕЖИ[[#This Row],[СЎМ]]+(ПЛАТЕЖИ[[#This Row],[ВАЛЮТА]]*ПЛАТЕЖИ[[#This Row],[КУРС]])</f>
        <v>0</v>
      </c>
      <c r="G2761" s="165"/>
      <c r="H2761" s="165"/>
      <c r="I2761" s="165"/>
    </row>
    <row r="2762" spans="1:9" x14ac:dyDescent="0.3">
      <c r="A2762" s="164"/>
      <c r="B2762" s="165"/>
      <c r="C2762" s="166"/>
      <c r="D2762" s="166"/>
      <c r="E2762" s="166"/>
      <c r="F2762" s="60">
        <f>ПЛАТЕЖИ[[#This Row],[СЎМ]]+(ПЛАТЕЖИ[[#This Row],[ВАЛЮТА]]*ПЛАТЕЖИ[[#This Row],[КУРС]])</f>
        <v>0</v>
      </c>
      <c r="G2762" s="165"/>
      <c r="H2762" s="165"/>
      <c r="I2762" s="165"/>
    </row>
    <row r="2763" spans="1:9" x14ac:dyDescent="0.3">
      <c r="A2763" s="164"/>
      <c r="B2763" s="165"/>
      <c r="C2763" s="166"/>
      <c r="D2763" s="166"/>
      <c r="E2763" s="166"/>
      <c r="F2763" s="60">
        <f>ПЛАТЕЖИ[[#This Row],[СЎМ]]+(ПЛАТЕЖИ[[#This Row],[ВАЛЮТА]]*ПЛАТЕЖИ[[#This Row],[КУРС]])</f>
        <v>0</v>
      </c>
      <c r="G2763" s="165"/>
      <c r="H2763" s="165"/>
      <c r="I2763" s="165"/>
    </row>
    <row r="2764" spans="1:9" x14ac:dyDescent="0.3">
      <c r="A2764" s="164"/>
      <c r="B2764" s="165"/>
      <c r="C2764" s="166"/>
      <c r="D2764" s="166"/>
      <c r="E2764" s="166"/>
      <c r="F2764" s="60">
        <f>ПЛАТЕЖИ[[#This Row],[СЎМ]]+(ПЛАТЕЖИ[[#This Row],[ВАЛЮТА]]*ПЛАТЕЖИ[[#This Row],[КУРС]])</f>
        <v>0</v>
      </c>
      <c r="G2764" s="165"/>
      <c r="H2764" s="165"/>
      <c r="I2764" s="165"/>
    </row>
    <row r="2765" spans="1:9" x14ac:dyDescent="0.3">
      <c r="A2765" s="164"/>
      <c r="B2765" s="165"/>
      <c r="C2765" s="166"/>
      <c r="D2765" s="166"/>
      <c r="E2765" s="166"/>
      <c r="F2765" s="60">
        <f>ПЛАТЕЖИ[[#This Row],[СЎМ]]+(ПЛАТЕЖИ[[#This Row],[ВАЛЮТА]]*ПЛАТЕЖИ[[#This Row],[КУРС]])</f>
        <v>0</v>
      </c>
      <c r="G2765" s="165"/>
      <c r="H2765" s="165"/>
      <c r="I2765" s="165"/>
    </row>
    <row r="2766" spans="1:9" x14ac:dyDescent="0.3">
      <c r="A2766" s="164"/>
      <c r="B2766" s="165"/>
      <c r="C2766" s="166"/>
      <c r="D2766" s="166"/>
      <c r="E2766" s="166"/>
      <c r="F2766" s="60">
        <f>ПЛАТЕЖИ[[#This Row],[СЎМ]]+(ПЛАТЕЖИ[[#This Row],[ВАЛЮТА]]*ПЛАТЕЖИ[[#This Row],[КУРС]])</f>
        <v>0</v>
      </c>
      <c r="G2766" s="165"/>
      <c r="H2766" s="165"/>
      <c r="I2766" s="165"/>
    </row>
    <row r="2767" spans="1:9" x14ac:dyDescent="0.3">
      <c r="A2767" s="164"/>
      <c r="B2767" s="165"/>
      <c r="C2767" s="166"/>
      <c r="D2767" s="166"/>
      <c r="E2767" s="166"/>
      <c r="F2767" s="60">
        <f>ПЛАТЕЖИ[[#This Row],[СЎМ]]+(ПЛАТЕЖИ[[#This Row],[ВАЛЮТА]]*ПЛАТЕЖИ[[#This Row],[КУРС]])</f>
        <v>0</v>
      </c>
      <c r="G2767" s="165"/>
      <c r="H2767" s="165"/>
      <c r="I2767" s="165"/>
    </row>
    <row r="2768" spans="1:9" x14ac:dyDescent="0.3">
      <c r="A2768" s="164"/>
      <c r="B2768" s="165"/>
      <c r="C2768" s="166"/>
      <c r="D2768" s="166"/>
      <c r="E2768" s="166"/>
      <c r="F2768" s="60">
        <f>ПЛАТЕЖИ[[#This Row],[СЎМ]]+(ПЛАТЕЖИ[[#This Row],[ВАЛЮТА]]*ПЛАТЕЖИ[[#This Row],[КУРС]])</f>
        <v>0</v>
      </c>
      <c r="G2768" s="165"/>
      <c r="H2768" s="165"/>
      <c r="I2768" s="165"/>
    </row>
    <row r="2769" spans="1:9" x14ac:dyDescent="0.3">
      <c r="A2769" s="164"/>
      <c r="B2769" s="165"/>
      <c r="C2769" s="166"/>
      <c r="D2769" s="166"/>
      <c r="E2769" s="166"/>
      <c r="F2769" s="60">
        <f>ПЛАТЕЖИ[[#This Row],[СЎМ]]+(ПЛАТЕЖИ[[#This Row],[ВАЛЮТА]]*ПЛАТЕЖИ[[#This Row],[КУРС]])</f>
        <v>0</v>
      </c>
      <c r="G2769" s="165"/>
      <c r="H2769" s="165"/>
      <c r="I2769" s="165"/>
    </row>
    <row r="2770" spans="1:9" x14ac:dyDescent="0.3">
      <c r="A2770" s="164"/>
      <c r="B2770" s="165"/>
      <c r="C2770" s="166"/>
      <c r="D2770" s="166"/>
      <c r="E2770" s="166"/>
      <c r="F2770" s="60">
        <f>ПЛАТЕЖИ[[#This Row],[СЎМ]]+(ПЛАТЕЖИ[[#This Row],[ВАЛЮТА]]*ПЛАТЕЖИ[[#This Row],[КУРС]])</f>
        <v>0</v>
      </c>
      <c r="G2770" s="165"/>
      <c r="H2770" s="165"/>
      <c r="I2770" s="165"/>
    </row>
    <row r="2771" spans="1:9" x14ac:dyDescent="0.3">
      <c r="A2771" s="164"/>
      <c r="B2771" s="165"/>
      <c r="C2771" s="166"/>
      <c r="D2771" s="166"/>
      <c r="E2771" s="166"/>
      <c r="F2771" s="60">
        <f>ПЛАТЕЖИ[[#This Row],[СЎМ]]+(ПЛАТЕЖИ[[#This Row],[ВАЛЮТА]]*ПЛАТЕЖИ[[#This Row],[КУРС]])</f>
        <v>0</v>
      </c>
      <c r="G2771" s="165"/>
      <c r="H2771" s="165"/>
      <c r="I2771" s="165"/>
    </row>
    <row r="2772" spans="1:9" x14ac:dyDescent="0.3">
      <c r="A2772" s="164"/>
      <c r="B2772" s="165"/>
      <c r="C2772" s="166"/>
      <c r="D2772" s="166"/>
      <c r="E2772" s="166"/>
      <c r="F2772" s="60">
        <f>ПЛАТЕЖИ[[#This Row],[СЎМ]]+(ПЛАТЕЖИ[[#This Row],[ВАЛЮТА]]*ПЛАТЕЖИ[[#This Row],[КУРС]])</f>
        <v>0</v>
      </c>
      <c r="G2772" s="165"/>
      <c r="H2772" s="165"/>
      <c r="I2772" s="165"/>
    </row>
    <row r="2773" spans="1:9" x14ac:dyDescent="0.3">
      <c r="A2773" s="164"/>
      <c r="B2773" s="165"/>
      <c r="C2773" s="166"/>
      <c r="D2773" s="166"/>
      <c r="E2773" s="166"/>
      <c r="F2773" s="60">
        <f>ПЛАТЕЖИ[[#This Row],[СЎМ]]+(ПЛАТЕЖИ[[#This Row],[ВАЛЮТА]]*ПЛАТЕЖИ[[#This Row],[КУРС]])</f>
        <v>0</v>
      </c>
      <c r="G2773" s="165"/>
      <c r="H2773" s="165"/>
      <c r="I2773" s="165"/>
    </row>
    <row r="2774" spans="1:9" x14ac:dyDescent="0.3">
      <c r="A2774" s="164"/>
      <c r="B2774" s="165"/>
      <c r="C2774" s="166"/>
      <c r="D2774" s="166"/>
      <c r="E2774" s="166"/>
      <c r="F2774" s="60">
        <f>ПЛАТЕЖИ[[#This Row],[СЎМ]]+(ПЛАТЕЖИ[[#This Row],[ВАЛЮТА]]*ПЛАТЕЖИ[[#This Row],[КУРС]])</f>
        <v>0</v>
      </c>
      <c r="G2774" s="165"/>
      <c r="H2774" s="165"/>
      <c r="I2774" s="165"/>
    </row>
    <row r="2775" spans="1:9" x14ac:dyDescent="0.3">
      <c r="A2775" s="164"/>
      <c r="B2775" s="165"/>
      <c r="C2775" s="166"/>
      <c r="D2775" s="166"/>
      <c r="E2775" s="166"/>
      <c r="F2775" s="60">
        <f>ПЛАТЕЖИ[[#This Row],[СЎМ]]+(ПЛАТЕЖИ[[#This Row],[ВАЛЮТА]]*ПЛАТЕЖИ[[#This Row],[КУРС]])</f>
        <v>0</v>
      </c>
      <c r="G2775" s="165"/>
      <c r="H2775" s="165"/>
      <c r="I2775" s="165"/>
    </row>
    <row r="2776" spans="1:9" x14ac:dyDescent="0.3">
      <c r="A2776" s="164"/>
      <c r="B2776" s="165"/>
      <c r="C2776" s="166"/>
      <c r="D2776" s="166"/>
      <c r="E2776" s="166"/>
      <c r="F2776" s="60">
        <f>ПЛАТЕЖИ[[#This Row],[СЎМ]]+(ПЛАТЕЖИ[[#This Row],[ВАЛЮТА]]*ПЛАТЕЖИ[[#This Row],[КУРС]])</f>
        <v>0</v>
      </c>
      <c r="G2776" s="165"/>
      <c r="H2776" s="165"/>
      <c r="I2776" s="165"/>
    </row>
    <row r="2777" spans="1:9" x14ac:dyDescent="0.3">
      <c r="A2777" s="164"/>
      <c r="B2777" s="165"/>
      <c r="C2777" s="166"/>
      <c r="D2777" s="166"/>
      <c r="E2777" s="166"/>
      <c r="F2777" s="60">
        <f>ПЛАТЕЖИ[[#This Row],[СЎМ]]+(ПЛАТЕЖИ[[#This Row],[ВАЛЮТА]]*ПЛАТЕЖИ[[#This Row],[КУРС]])</f>
        <v>0</v>
      </c>
      <c r="G2777" s="165"/>
      <c r="H2777" s="165"/>
      <c r="I2777" s="165"/>
    </row>
    <row r="2778" spans="1:9" x14ac:dyDescent="0.3">
      <c r="A2778" s="164"/>
      <c r="B2778" s="165"/>
      <c r="C2778" s="166"/>
      <c r="D2778" s="166"/>
      <c r="E2778" s="166"/>
      <c r="F2778" s="60">
        <f>ПЛАТЕЖИ[[#This Row],[СЎМ]]+(ПЛАТЕЖИ[[#This Row],[ВАЛЮТА]]*ПЛАТЕЖИ[[#This Row],[КУРС]])</f>
        <v>0</v>
      </c>
      <c r="G2778" s="165"/>
      <c r="H2778" s="165"/>
      <c r="I2778" s="165"/>
    </row>
    <row r="2779" spans="1:9" x14ac:dyDescent="0.3">
      <c r="A2779" s="164"/>
      <c r="B2779" s="165"/>
      <c r="C2779" s="166"/>
      <c r="D2779" s="166"/>
      <c r="E2779" s="166"/>
      <c r="F2779" s="60">
        <f>ПЛАТЕЖИ[[#This Row],[СЎМ]]+(ПЛАТЕЖИ[[#This Row],[ВАЛЮТА]]*ПЛАТЕЖИ[[#This Row],[КУРС]])</f>
        <v>0</v>
      </c>
      <c r="G2779" s="165"/>
      <c r="H2779" s="165"/>
      <c r="I2779" s="165"/>
    </row>
    <row r="2780" spans="1:9" x14ac:dyDescent="0.3">
      <c r="A2780" s="164"/>
      <c r="B2780" s="165"/>
      <c r="C2780" s="166"/>
      <c r="D2780" s="166"/>
      <c r="E2780" s="166"/>
      <c r="F2780" s="60">
        <f>ПЛАТЕЖИ[[#This Row],[СЎМ]]+(ПЛАТЕЖИ[[#This Row],[ВАЛЮТА]]*ПЛАТЕЖИ[[#This Row],[КУРС]])</f>
        <v>0</v>
      </c>
      <c r="G2780" s="165"/>
      <c r="H2780" s="165"/>
      <c r="I2780" s="165"/>
    </row>
    <row r="2781" spans="1:9" x14ac:dyDescent="0.3">
      <c r="A2781" s="164"/>
      <c r="B2781" s="165"/>
      <c r="C2781" s="166"/>
      <c r="D2781" s="166"/>
      <c r="E2781" s="166"/>
      <c r="F2781" s="60">
        <f>ПЛАТЕЖИ[[#This Row],[СЎМ]]+(ПЛАТЕЖИ[[#This Row],[ВАЛЮТА]]*ПЛАТЕЖИ[[#This Row],[КУРС]])</f>
        <v>0</v>
      </c>
      <c r="G2781" s="165"/>
      <c r="H2781" s="165"/>
      <c r="I2781" s="165"/>
    </row>
    <row r="2782" spans="1:9" x14ac:dyDescent="0.3">
      <c r="A2782" s="164"/>
      <c r="B2782" s="165"/>
      <c r="C2782" s="166"/>
      <c r="D2782" s="166"/>
      <c r="E2782" s="166"/>
      <c r="F2782" s="60">
        <f>ПЛАТЕЖИ[[#This Row],[СЎМ]]+(ПЛАТЕЖИ[[#This Row],[ВАЛЮТА]]*ПЛАТЕЖИ[[#This Row],[КУРС]])</f>
        <v>0</v>
      </c>
      <c r="G2782" s="165"/>
      <c r="H2782" s="165"/>
      <c r="I2782" s="165"/>
    </row>
    <row r="2783" spans="1:9" x14ac:dyDescent="0.3">
      <c r="A2783" s="164"/>
      <c r="B2783" s="165"/>
      <c r="C2783" s="166"/>
      <c r="D2783" s="166"/>
      <c r="E2783" s="166"/>
      <c r="F2783" s="60">
        <f>ПЛАТЕЖИ[[#This Row],[СЎМ]]+(ПЛАТЕЖИ[[#This Row],[ВАЛЮТА]]*ПЛАТЕЖИ[[#This Row],[КУРС]])</f>
        <v>0</v>
      </c>
      <c r="G2783" s="165"/>
      <c r="H2783" s="165"/>
      <c r="I2783" s="165"/>
    </row>
    <row r="2784" spans="1:9" x14ac:dyDescent="0.3">
      <c r="A2784" s="164"/>
      <c r="B2784" s="165"/>
      <c r="C2784" s="166"/>
      <c r="D2784" s="166"/>
      <c r="E2784" s="166"/>
      <c r="F2784" s="60">
        <f>ПЛАТЕЖИ[[#This Row],[СЎМ]]+(ПЛАТЕЖИ[[#This Row],[ВАЛЮТА]]*ПЛАТЕЖИ[[#This Row],[КУРС]])</f>
        <v>0</v>
      </c>
      <c r="G2784" s="165"/>
      <c r="H2784" s="165"/>
      <c r="I2784" s="165"/>
    </row>
    <row r="2785" spans="1:9" x14ac:dyDescent="0.3">
      <c r="A2785" s="164"/>
      <c r="B2785" s="165"/>
      <c r="C2785" s="166"/>
      <c r="D2785" s="166"/>
      <c r="E2785" s="166"/>
      <c r="F2785" s="60">
        <f>ПЛАТЕЖИ[[#This Row],[СЎМ]]+(ПЛАТЕЖИ[[#This Row],[ВАЛЮТА]]*ПЛАТЕЖИ[[#This Row],[КУРС]])</f>
        <v>0</v>
      </c>
      <c r="G2785" s="165"/>
      <c r="H2785" s="165"/>
      <c r="I2785" s="165"/>
    </row>
    <row r="2786" spans="1:9" x14ac:dyDescent="0.3">
      <c r="A2786" s="164"/>
      <c r="B2786" s="165"/>
      <c r="C2786" s="166"/>
      <c r="D2786" s="166"/>
      <c r="E2786" s="166"/>
      <c r="F2786" s="60">
        <f>ПЛАТЕЖИ[[#This Row],[СЎМ]]+(ПЛАТЕЖИ[[#This Row],[ВАЛЮТА]]*ПЛАТЕЖИ[[#This Row],[КУРС]])</f>
        <v>0</v>
      </c>
      <c r="G2786" s="165"/>
      <c r="H2786" s="165"/>
      <c r="I2786" s="165"/>
    </row>
    <row r="2787" spans="1:9" x14ac:dyDescent="0.3">
      <c r="A2787" s="164"/>
      <c r="B2787" s="165"/>
      <c r="C2787" s="166"/>
      <c r="D2787" s="166"/>
      <c r="E2787" s="166"/>
      <c r="F2787" s="60">
        <f>ПЛАТЕЖИ[[#This Row],[СЎМ]]+(ПЛАТЕЖИ[[#This Row],[ВАЛЮТА]]*ПЛАТЕЖИ[[#This Row],[КУРС]])</f>
        <v>0</v>
      </c>
      <c r="G2787" s="165"/>
      <c r="H2787" s="165"/>
      <c r="I2787" s="165"/>
    </row>
    <row r="2788" spans="1:9" x14ac:dyDescent="0.3">
      <c r="A2788" s="164"/>
      <c r="B2788" s="165"/>
      <c r="C2788" s="166"/>
      <c r="D2788" s="166"/>
      <c r="E2788" s="166"/>
      <c r="F2788" s="60">
        <f>ПЛАТЕЖИ[[#This Row],[СЎМ]]+(ПЛАТЕЖИ[[#This Row],[ВАЛЮТА]]*ПЛАТЕЖИ[[#This Row],[КУРС]])</f>
        <v>0</v>
      </c>
      <c r="G2788" s="165"/>
      <c r="H2788" s="165"/>
      <c r="I2788" s="165"/>
    </row>
    <row r="2789" spans="1:9" x14ac:dyDescent="0.3">
      <c r="A2789" s="164"/>
      <c r="B2789" s="165"/>
      <c r="C2789" s="166"/>
      <c r="D2789" s="166"/>
      <c r="E2789" s="166"/>
      <c r="F2789" s="60">
        <f>ПЛАТЕЖИ[[#This Row],[СЎМ]]+(ПЛАТЕЖИ[[#This Row],[ВАЛЮТА]]*ПЛАТЕЖИ[[#This Row],[КУРС]])</f>
        <v>0</v>
      </c>
      <c r="G2789" s="165"/>
      <c r="H2789" s="165"/>
      <c r="I2789" s="165"/>
    </row>
    <row r="2790" spans="1:9" x14ac:dyDescent="0.3">
      <c r="A2790" s="164"/>
      <c r="B2790" s="165"/>
      <c r="C2790" s="166"/>
      <c r="D2790" s="166"/>
      <c r="E2790" s="166"/>
      <c r="F2790" s="60">
        <f>ПЛАТЕЖИ[[#This Row],[СЎМ]]+(ПЛАТЕЖИ[[#This Row],[ВАЛЮТА]]*ПЛАТЕЖИ[[#This Row],[КУРС]])</f>
        <v>0</v>
      </c>
      <c r="G2790" s="165"/>
      <c r="H2790" s="165"/>
      <c r="I2790" s="165"/>
    </row>
    <row r="2791" spans="1:9" x14ac:dyDescent="0.3">
      <c r="A2791" s="164"/>
      <c r="B2791" s="165"/>
      <c r="C2791" s="166"/>
      <c r="D2791" s="166"/>
      <c r="E2791" s="166"/>
      <c r="F2791" s="60">
        <f>ПЛАТЕЖИ[[#This Row],[СЎМ]]+(ПЛАТЕЖИ[[#This Row],[ВАЛЮТА]]*ПЛАТЕЖИ[[#This Row],[КУРС]])</f>
        <v>0</v>
      </c>
      <c r="G2791" s="165"/>
      <c r="H2791" s="165"/>
      <c r="I2791" s="165"/>
    </row>
    <row r="2792" spans="1:9" x14ac:dyDescent="0.3">
      <c r="A2792" s="164"/>
      <c r="B2792" s="165"/>
      <c r="C2792" s="166"/>
      <c r="D2792" s="166"/>
      <c r="E2792" s="166"/>
      <c r="F2792" s="60">
        <f>ПЛАТЕЖИ[[#This Row],[СЎМ]]+(ПЛАТЕЖИ[[#This Row],[ВАЛЮТА]]*ПЛАТЕЖИ[[#This Row],[КУРС]])</f>
        <v>0</v>
      </c>
      <c r="G2792" s="165"/>
      <c r="H2792" s="165"/>
      <c r="I2792" s="165"/>
    </row>
    <row r="2793" spans="1:9" x14ac:dyDescent="0.3">
      <c r="A2793" s="164"/>
      <c r="B2793" s="165"/>
      <c r="C2793" s="166"/>
      <c r="D2793" s="166"/>
      <c r="E2793" s="166"/>
      <c r="F2793" s="60">
        <f>ПЛАТЕЖИ[[#This Row],[СЎМ]]+(ПЛАТЕЖИ[[#This Row],[ВАЛЮТА]]*ПЛАТЕЖИ[[#This Row],[КУРС]])</f>
        <v>0</v>
      </c>
      <c r="G2793" s="165"/>
      <c r="H2793" s="165"/>
      <c r="I2793" s="165"/>
    </row>
    <row r="2794" spans="1:9" x14ac:dyDescent="0.3">
      <c r="A2794" s="164"/>
      <c r="B2794" s="165"/>
      <c r="C2794" s="166"/>
      <c r="D2794" s="166"/>
      <c r="E2794" s="166"/>
      <c r="F2794" s="60">
        <f>ПЛАТЕЖИ[[#This Row],[СЎМ]]+(ПЛАТЕЖИ[[#This Row],[ВАЛЮТА]]*ПЛАТЕЖИ[[#This Row],[КУРС]])</f>
        <v>0</v>
      </c>
      <c r="G2794" s="165"/>
      <c r="H2794" s="165"/>
      <c r="I2794" s="165"/>
    </row>
    <row r="2795" spans="1:9" x14ac:dyDescent="0.3">
      <c r="A2795" s="164"/>
      <c r="B2795" s="165"/>
      <c r="C2795" s="166"/>
      <c r="D2795" s="166"/>
      <c r="E2795" s="166"/>
      <c r="F2795" s="60">
        <f>ПЛАТЕЖИ[[#This Row],[СЎМ]]+(ПЛАТЕЖИ[[#This Row],[ВАЛЮТА]]*ПЛАТЕЖИ[[#This Row],[КУРС]])</f>
        <v>0</v>
      </c>
      <c r="G2795" s="165"/>
      <c r="H2795" s="165"/>
      <c r="I2795" s="165"/>
    </row>
    <row r="2796" spans="1:9" x14ac:dyDescent="0.3">
      <c r="A2796" s="164"/>
      <c r="B2796" s="165"/>
      <c r="C2796" s="166"/>
      <c r="D2796" s="166"/>
      <c r="E2796" s="166"/>
      <c r="F2796" s="60">
        <f>ПЛАТЕЖИ[[#This Row],[СЎМ]]+(ПЛАТЕЖИ[[#This Row],[ВАЛЮТА]]*ПЛАТЕЖИ[[#This Row],[КУРС]])</f>
        <v>0</v>
      </c>
      <c r="G2796" s="165"/>
      <c r="H2796" s="165"/>
      <c r="I2796" s="165"/>
    </row>
    <row r="2797" spans="1:9" x14ac:dyDescent="0.3">
      <c r="A2797" s="164"/>
      <c r="B2797" s="165"/>
      <c r="C2797" s="166"/>
      <c r="D2797" s="166"/>
      <c r="E2797" s="166"/>
      <c r="F2797" s="60">
        <f>ПЛАТЕЖИ[[#This Row],[СЎМ]]+(ПЛАТЕЖИ[[#This Row],[ВАЛЮТА]]*ПЛАТЕЖИ[[#This Row],[КУРС]])</f>
        <v>0</v>
      </c>
      <c r="G2797" s="165"/>
      <c r="H2797" s="165"/>
      <c r="I2797" s="165"/>
    </row>
    <row r="2798" spans="1:9" x14ac:dyDescent="0.3">
      <c r="A2798" s="164"/>
      <c r="B2798" s="165"/>
      <c r="C2798" s="166"/>
      <c r="D2798" s="166"/>
      <c r="E2798" s="166"/>
      <c r="F2798" s="60">
        <f>ПЛАТЕЖИ[[#This Row],[СЎМ]]+(ПЛАТЕЖИ[[#This Row],[ВАЛЮТА]]*ПЛАТЕЖИ[[#This Row],[КУРС]])</f>
        <v>0</v>
      </c>
      <c r="G2798" s="165"/>
      <c r="H2798" s="165"/>
      <c r="I2798" s="165"/>
    </row>
    <row r="2799" spans="1:9" x14ac:dyDescent="0.3">
      <c r="A2799" s="164"/>
      <c r="B2799" s="165"/>
      <c r="C2799" s="166"/>
      <c r="D2799" s="166"/>
      <c r="E2799" s="166"/>
      <c r="F2799" s="60">
        <f>ПЛАТЕЖИ[[#This Row],[СЎМ]]+(ПЛАТЕЖИ[[#This Row],[ВАЛЮТА]]*ПЛАТЕЖИ[[#This Row],[КУРС]])</f>
        <v>0</v>
      </c>
      <c r="G2799" s="165"/>
      <c r="H2799" s="165"/>
      <c r="I2799" s="165"/>
    </row>
    <row r="2800" spans="1:9" x14ac:dyDescent="0.3">
      <c r="A2800" s="164"/>
      <c r="B2800" s="165"/>
      <c r="C2800" s="166"/>
      <c r="D2800" s="166"/>
      <c r="E2800" s="166"/>
      <c r="F2800" s="60">
        <f>ПЛАТЕЖИ[[#This Row],[СЎМ]]+(ПЛАТЕЖИ[[#This Row],[ВАЛЮТА]]*ПЛАТЕЖИ[[#This Row],[КУРС]])</f>
        <v>0</v>
      </c>
      <c r="G2800" s="165"/>
      <c r="H2800" s="165"/>
      <c r="I2800" s="165"/>
    </row>
    <row r="2801" spans="1:9" x14ac:dyDescent="0.3">
      <c r="A2801" s="164"/>
      <c r="B2801" s="165"/>
      <c r="C2801" s="166"/>
      <c r="D2801" s="166"/>
      <c r="E2801" s="166"/>
      <c r="F2801" s="60">
        <f>ПЛАТЕЖИ[[#This Row],[СЎМ]]+(ПЛАТЕЖИ[[#This Row],[ВАЛЮТА]]*ПЛАТЕЖИ[[#This Row],[КУРС]])</f>
        <v>0</v>
      </c>
      <c r="G2801" s="165"/>
      <c r="H2801" s="165"/>
      <c r="I2801" s="165"/>
    </row>
    <row r="2802" spans="1:9" x14ac:dyDescent="0.3">
      <c r="A2802" s="164"/>
      <c r="B2802" s="165"/>
      <c r="C2802" s="166"/>
      <c r="D2802" s="166"/>
      <c r="E2802" s="166"/>
      <c r="F2802" s="60">
        <f>ПЛАТЕЖИ[[#This Row],[СЎМ]]+(ПЛАТЕЖИ[[#This Row],[ВАЛЮТА]]*ПЛАТЕЖИ[[#This Row],[КУРС]])</f>
        <v>0</v>
      </c>
      <c r="G2802" s="165"/>
      <c r="H2802" s="165"/>
      <c r="I2802" s="165"/>
    </row>
    <row r="2803" spans="1:9" x14ac:dyDescent="0.3">
      <c r="A2803" s="164"/>
      <c r="B2803" s="165"/>
      <c r="C2803" s="166"/>
      <c r="D2803" s="166"/>
      <c r="E2803" s="166"/>
      <c r="F2803" s="60">
        <f>ПЛАТЕЖИ[[#This Row],[СЎМ]]+(ПЛАТЕЖИ[[#This Row],[ВАЛЮТА]]*ПЛАТЕЖИ[[#This Row],[КУРС]])</f>
        <v>0</v>
      </c>
      <c r="G2803" s="165"/>
      <c r="H2803" s="165"/>
      <c r="I2803" s="165"/>
    </row>
    <row r="2804" spans="1:9" x14ac:dyDescent="0.3">
      <c r="A2804" s="164"/>
      <c r="B2804" s="165"/>
      <c r="C2804" s="166"/>
      <c r="D2804" s="166"/>
      <c r="E2804" s="166"/>
      <c r="F2804" s="60">
        <f>ПЛАТЕЖИ[[#This Row],[СЎМ]]+(ПЛАТЕЖИ[[#This Row],[ВАЛЮТА]]*ПЛАТЕЖИ[[#This Row],[КУРС]])</f>
        <v>0</v>
      </c>
      <c r="G2804" s="165"/>
      <c r="H2804" s="165"/>
      <c r="I2804" s="165"/>
    </row>
    <row r="2805" spans="1:9" x14ac:dyDescent="0.3">
      <c r="A2805" s="164"/>
      <c r="B2805" s="165"/>
      <c r="C2805" s="166"/>
      <c r="D2805" s="166"/>
      <c r="E2805" s="166"/>
      <c r="F2805" s="60">
        <f>ПЛАТЕЖИ[[#This Row],[СЎМ]]+(ПЛАТЕЖИ[[#This Row],[ВАЛЮТА]]*ПЛАТЕЖИ[[#This Row],[КУРС]])</f>
        <v>0</v>
      </c>
      <c r="G2805" s="165"/>
      <c r="H2805" s="165"/>
      <c r="I2805" s="165"/>
    </row>
    <row r="2806" spans="1:9" x14ac:dyDescent="0.3">
      <c r="A2806" s="164"/>
      <c r="B2806" s="165"/>
      <c r="C2806" s="166"/>
      <c r="D2806" s="166"/>
      <c r="E2806" s="166"/>
      <c r="F2806" s="60">
        <f>ПЛАТЕЖИ[[#This Row],[СЎМ]]+(ПЛАТЕЖИ[[#This Row],[ВАЛЮТА]]*ПЛАТЕЖИ[[#This Row],[КУРС]])</f>
        <v>0</v>
      </c>
      <c r="G2806" s="165"/>
      <c r="H2806" s="165"/>
      <c r="I2806" s="165"/>
    </row>
    <row r="2807" spans="1:9" x14ac:dyDescent="0.3">
      <c r="A2807" s="164"/>
      <c r="B2807" s="165"/>
      <c r="C2807" s="166"/>
      <c r="D2807" s="166"/>
      <c r="E2807" s="166"/>
      <c r="F2807" s="60">
        <f>ПЛАТЕЖИ[[#This Row],[СЎМ]]+(ПЛАТЕЖИ[[#This Row],[ВАЛЮТА]]*ПЛАТЕЖИ[[#This Row],[КУРС]])</f>
        <v>0</v>
      </c>
      <c r="G2807" s="165"/>
      <c r="H2807" s="165"/>
      <c r="I2807" s="165"/>
    </row>
    <row r="2808" spans="1:9" x14ac:dyDescent="0.3">
      <c r="A2808" s="164"/>
      <c r="B2808" s="165"/>
      <c r="C2808" s="166"/>
      <c r="D2808" s="166"/>
      <c r="E2808" s="166"/>
      <c r="F2808" s="60">
        <f>ПЛАТЕЖИ[[#This Row],[СЎМ]]+(ПЛАТЕЖИ[[#This Row],[ВАЛЮТА]]*ПЛАТЕЖИ[[#This Row],[КУРС]])</f>
        <v>0</v>
      </c>
      <c r="G2808" s="165"/>
      <c r="H2808" s="165"/>
      <c r="I2808" s="165"/>
    </row>
    <row r="2809" spans="1:9" x14ac:dyDescent="0.3">
      <c r="A2809" s="164"/>
      <c r="B2809" s="165"/>
      <c r="C2809" s="166"/>
      <c r="D2809" s="166"/>
      <c r="E2809" s="166"/>
      <c r="F2809" s="60">
        <f>ПЛАТЕЖИ[[#This Row],[СЎМ]]+(ПЛАТЕЖИ[[#This Row],[ВАЛЮТА]]*ПЛАТЕЖИ[[#This Row],[КУРС]])</f>
        <v>0</v>
      </c>
      <c r="G2809" s="165"/>
      <c r="H2809" s="165"/>
      <c r="I2809" s="165"/>
    </row>
    <row r="2810" spans="1:9" x14ac:dyDescent="0.3">
      <c r="A2810" s="164"/>
      <c r="B2810" s="165"/>
      <c r="C2810" s="166"/>
      <c r="D2810" s="166"/>
      <c r="E2810" s="166"/>
      <c r="F2810" s="60">
        <f>ПЛАТЕЖИ[[#This Row],[СЎМ]]+(ПЛАТЕЖИ[[#This Row],[ВАЛЮТА]]*ПЛАТЕЖИ[[#This Row],[КУРС]])</f>
        <v>0</v>
      </c>
      <c r="G2810" s="165"/>
      <c r="H2810" s="165"/>
      <c r="I2810" s="165"/>
    </row>
    <row r="2811" spans="1:9" x14ac:dyDescent="0.3">
      <c r="A2811" s="164"/>
      <c r="B2811" s="165"/>
      <c r="C2811" s="166"/>
      <c r="D2811" s="166"/>
      <c r="E2811" s="166"/>
      <c r="F2811" s="60">
        <f>ПЛАТЕЖИ[[#This Row],[СЎМ]]+(ПЛАТЕЖИ[[#This Row],[ВАЛЮТА]]*ПЛАТЕЖИ[[#This Row],[КУРС]])</f>
        <v>0</v>
      </c>
      <c r="G2811" s="165"/>
      <c r="H2811" s="165"/>
      <c r="I2811" s="165"/>
    </row>
    <row r="2812" spans="1:9" x14ac:dyDescent="0.3">
      <c r="A2812" s="164"/>
      <c r="B2812" s="165"/>
      <c r="C2812" s="166"/>
      <c r="D2812" s="166"/>
      <c r="E2812" s="166"/>
      <c r="F2812" s="60">
        <f>ПЛАТЕЖИ[[#This Row],[СЎМ]]+(ПЛАТЕЖИ[[#This Row],[ВАЛЮТА]]*ПЛАТЕЖИ[[#This Row],[КУРС]])</f>
        <v>0</v>
      </c>
      <c r="G2812" s="165"/>
      <c r="H2812" s="165"/>
      <c r="I2812" s="165"/>
    </row>
    <row r="2813" spans="1:9" x14ac:dyDescent="0.3">
      <c r="A2813" s="164"/>
      <c r="B2813" s="165"/>
      <c r="C2813" s="166"/>
      <c r="D2813" s="166"/>
      <c r="E2813" s="166"/>
      <c r="F2813" s="60">
        <f>ПЛАТЕЖИ[[#This Row],[СЎМ]]+(ПЛАТЕЖИ[[#This Row],[ВАЛЮТА]]*ПЛАТЕЖИ[[#This Row],[КУРС]])</f>
        <v>0</v>
      </c>
      <c r="G2813" s="165"/>
      <c r="H2813" s="165"/>
      <c r="I2813" s="165"/>
    </row>
    <row r="2814" spans="1:9" x14ac:dyDescent="0.3">
      <c r="A2814" s="164"/>
      <c r="B2814" s="165"/>
      <c r="C2814" s="166"/>
      <c r="D2814" s="166"/>
      <c r="E2814" s="166"/>
      <c r="F2814" s="60">
        <f>ПЛАТЕЖИ[[#This Row],[СЎМ]]+(ПЛАТЕЖИ[[#This Row],[ВАЛЮТА]]*ПЛАТЕЖИ[[#This Row],[КУРС]])</f>
        <v>0</v>
      </c>
      <c r="G2814" s="165"/>
      <c r="H2814" s="165"/>
      <c r="I2814" s="165"/>
    </row>
    <row r="2815" spans="1:9" x14ac:dyDescent="0.3">
      <c r="A2815" s="164"/>
      <c r="B2815" s="165"/>
      <c r="C2815" s="166"/>
      <c r="D2815" s="166"/>
      <c r="E2815" s="166"/>
      <c r="F2815" s="60">
        <f>ПЛАТЕЖИ[[#This Row],[СЎМ]]+(ПЛАТЕЖИ[[#This Row],[ВАЛЮТА]]*ПЛАТЕЖИ[[#This Row],[КУРС]])</f>
        <v>0</v>
      </c>
      <c r="G2815" s="165"/>
      <c r="H2815" s="165"/>
      <c r="I2815" s="165"/>
    </row>
    <row r="2816" spans="1:9" x14ac:dyDescent="0.3">
      <c r="A2816" s="164"/>
      <c r="B2816" s="165"/>
      <c r="C2816" s="166"/>
      <c r="D2816" s="166"/>
      <c r="E2816" s="166"/>
      <c r="F2816" s="60">
        <f>ПЛАТЕЖИ[[#This Row],[СЎМ]]+(ПЛАТЕЖИ[[#This Row],[ВАЛЮТА]]*ПЛАТЕЖИ[[#This Row],[КУРС]])</f>
        <v>0</v>
      </c>
      <c r="G2816" s="165"/>
      <c r="H2816" s="165"/>
      <c r="I2816" s="165"/>
    </row>
    <row r="2817" spans="1:9" x14ac:dyDescent="0.3">
      <c r="A2817" s="164"/>
      <c r="B2817" s="165"/>
      <c r="C2817" s="166"/>
      <c r="D2817" s="166"/>
      <c r="E2817" s="166"/>
      <c r="F2817" s="60">
        <f>ПЛАТЕЖИ[[#This Row],[СЎМ]]+(ПЛАТЕЖИ[[#This Row],[ВАЛЮТА]]*ПЛАТЕЖИ[[#This Row],[КУРС]])</f>
        <v>0</v>
      </c>
      <c r="G2817" s="165"/>
      <c r="H2817" s="165"/>
      <c r="I2817" s="165"/>
    </row>
    <row r="2818" spans="1:9" x14ac:dyDescent="0.3">
      <c r="A2818" s="164"/>
      <c r="B2818" s="165"/>
      <c r="C2818" s="166"/>
      <c r="D2818" s="166"/>
      <c r="E2818" s="166"/>
      <c r="F2818" s="60">
        <f>ПЛАТЕЖИ[[#This Row],[СЎМ]]+(ПЛАТЕЖИ[[#This Row],[ВАЛЮТА]]*ПЛАТЕЖИ[[#This Row],[КУРС]])</f>
        <v>0</v>
      </c>
      <c r="G2818" s="165"/>
      <c r="H2818" s="165"/>
      <c r="I2818" s="165"/>
    </row>
    <row r="2819" spans="1:9" x14ac:dyDescent="0.3">
      <c r="A2819" s="164"/>
      <c r="B2819" s="165"/>
      <c r="C2819" s="166"/>
      <c r="D2819" s="166"/>
      <c r="E2819" s="166"/>
      <c r="F2819" s="60">
        <f>ПЛАТЕЖИ[[#This Row],[СЎМ]]+(ПЛАТЕЖИ[[#This Row],[ВАЛЮТА]]*ПЛАТЕЖИ[[#This Row],[КУРС]])</f>
        <v>0</v>
      </c>
      <c r="G2819" s="165"/>
      <c r="H2819" s="165"/>
      <c r="I2819" s="165"/>
    </row>
    <row r="2820" spans="1:9" x14ac:dyDescent="0.3">
      <c r="A2820" s="164"/>
      <c r="B2820" s="165"/>
      <c r="C2820" s="166"/>
      <c r="D2820" s="166"/>
      <c r="E2820" s="166"/>
      <c r="F2820" s="60">
        <f>ПЛАТЕЖИ[[#This Row],[СЎМ]]+(ПЛАТЕЖИ[[#This Row],[ВАЛЮТА]]*ПЛАТЕЖИ[[#This Row],[КУРС]])</f>
        <v>0</v>
      </c>
      <c r="G2820" s="165"/>
      <c r="H2820" s="165"/>
      <c r="I2820" s="165"/>
    </row>
    <row r="2821" spans="1:9" x14ac:dyDescent="0.3">
      <c r="A2821" s="164"/>
      <c r="B2821" s="165"/>
      <c r="C2821" s="166"/>
      <c r="D2821" s="252"/>
      <c r="E2821" s="166"/>
      <c r="F2821" s="60">
        <f>ПЛАТЕЖИ[[#This Row],[СЎМ]]+(ПЛАТЕЖИ[[#This Row],[ВАЛЮТА]]*ПЛАТЕЖИ[[#This Row],[КУРС]])</f>
        <v>0</v>
      </c>
      <c r="G2821" s="165"/>
      <c r="H2821" s="165"/>
      <c r="I2821" s="165"/>
    </row>
    <row r="2822" spans="1:9" x14ac:dyDescent="0.3">
      <c r="A2822" s="164"/>
      <c r="B2822" s="165"/>
      <c r="C2822" s="166"/>
      <c r="D2822" s="252"/>
      <c r="E2822" s="166"/>
      <c r="F2822" s="60">
        <f>ПЛАТЕЖИ[[#This Row],[СЎМ]]+(ПЛАТЕЖИ[[#This Row],[ВАЛЮТА]]*ПЛАТЕЖИ[[#This Row],[КУРС]])</f>
        <v>0</v>
      </c>
      <c r="G2822" s="165"/>
      <c r="H2822" s="165"/>
      <c r="I2822" s="165"/>
    </row>
    <row r="2823" spans="1:9" x14ac:dyDescent="0.3">
      <c r="A2823" s="164"/>
      <c r="B2823" s="165"/>
      <c r="C2823" s="166"/>
      <c r="D2823" s="252"/>
      <c r="E2823" s="166"/>
      <c r="F2823" s="60">
        <f>ПЛАТЕЖИ[[#This Row],[СЎМ]]+(ПЛАТЕЖИ[[#This Row],[ВАЛЮТА]]*ПЛАТЕЖИ[[#This Row],[КУРС]])</f>
        <v>0</v>
      </c>
      <c r="G2823" s="165"/>
      <c r="H2823" s="165"/>
      <c r="I2823" s="165"/>
    </row>
    <row r="2824" spans="1:9" x14ac:dyDescent="0.3">
      <c r="A2824" s="164"/>
      <c r="B2824" s="165"/>
      <c r="C2824" s="166"/>
      <c r="D2824" s="252"/>
      <c r="E2824" s="166"/>
      <c r="F2824" s="60">
        <f>ПЛАТЕЖИ[[#This Row],[СЎМ]]+(ПЛАТЕЖИ[[#This Row],[ВАЛЮТА]]*ПЛАТЕЖИ[[#This Row],[КУРС]])</f>
        <v>0</v>
      </c>
      <c r="G2824" s="165"/>
      <c r="H2824" s="165"/>
      <c r="I2824" s="165"/>
    </row>
    <row r="2825" spans="1:9" x14ac:dyDescent="0.3">
      <c r="A2825" s="164"/>
      <c r="B2825" s="165"/>
      <c r="C2825" s="166"/>
      <c r="D2825" s="252"/>
      <c r="E2825" s="166"/>
      <c r="F2825" s="60">
        <f>ПЛАТЕЖИ[[#This Row],[СЎМ]]+(ПЛАТЕЖИ[[#This Row],[ВАЛЮТА]]*ПЛАТЕЖИ[[#This Row],[КУРС]])</f>
        <v>0</v>
      </c>
      <c r="G2825" s="165"/>
      <c r="H2825" s="165"/>
      <c r="I2825" s="165"/>
    </row>
    <row r="2826" spans="1:9" x14ac:dyDescent="0.3">
      <c r="A2826" s="164"/>
      <c r="B2826" s="165"/>
      <c r="C2826" s="166"/>
      <c r="D2826" s="252"/>
      <c r="E2826" s="166"/>
      <c r="F2826" s="60">
        <f>ПЛАТЕЖИ[[#This Row],[СЎМ]]+(ПЛАТЕЖИ[[#This Row],[ВАЛЮТА]]*ПЛАТЕЖИ[[#This Row],[КУРС]])</f>
        <v>0</v>
      </c>
      <c r="G2826" s="165"/>
      <c r="H2826" s="165"/>
      <c r="I2826" s="165"/>
    </row>
    <row r="2827" spans="1:9" x14ac:dyDescent="0.3">
      <c r="A2827" s="164"/>
      <c r="B2827" s="165"/>
      <c r="C2827" s="166"/>
      <c r="D2827" s="252"/>
      <c r="E2827" s="166"/>
      <c r="F2827" s="60">
        <f>ПЛАТЕЖИ[[#This Row],[СЎМ]]+(ПЛАТЕЖИ[[#This Row],[ВАЛЮТА]]*ПЛАТЕЖИ[[#This Row],[КУРС]])</f>
        <v>0</v>
      </c>
      <c r="G2827" s="165"/>
      <c r="H2827" s="165"/>
      <c r="I2827" s="165"/>
    </row>
    <row r="2828" spans="1:9" x14ac:dyDescent="0.3">
      <c r="A2828" s="164"/>
      <c r="B2828" s="165"/>
      <c r="C2828" s="166"/>
      <c r="D2828" s="252"/>
      <c r="E2828" s="166"/>
      <c r="F2828" s="60">
        <f>ПЛАТЕЖИ[[#This Row],[СЎМ]]+(ПЛАТЕЖИ[[#This Row],[ВАЛЮТА]]*ПЛАТЕЖИ[[#This Row],[КУРС]])</f>
        <v>0</v>
      </c>
      <c r="G2828" s="165"/>
      <c r="H2828" s="165"/>
      <c r="I2828" s="165"/>
    </row>
    <row r="2829" spans="1:9" x14ac:dyDescent="0.3">
      <c r="A2829" s="164"/>
      <c r="B2829" s="165"/>
      <c r="C2829" s="166"/>
      <c r="D2829" s="252"/>
      <c r="E2829" s="166"/>
      <c r="F2829" s="60">
        <f>ПЛАТЕЖИ[[#This Row],[СЎМ]]+(ПЛАТЕЖИ[[#This Row],[ВАЛЮТА]]*ПЛАТЕЖИ[[#This Row],[КУРС]])</f>
        <v>0</v>
      </c>
      <c r="G2829" s="165"/>
      <c r="H2829" s="165"/>
      <c r="I2829" s="165"/>
    </row>
    <row r="2830" spans="1:9" x14ac:dyDescent="0.3">
      <c r="A2830" s="164"/>
      <c r="B2830" s="165"/>
      <c r="C2830" s="166"/>
      <c r="D2830" s="252"/>
      <c r="E2830" s="166"/>
      <c r="F2830" s="60">
        <f>ПЛАТЕЖИ[[#This Row],[СЎМ]]+(ПЛАТЕЖИ[[#This Row],[ВАЛЮТА]]*ПЛАТЕЖИ[[#This Row],[КУРС]])</f>
        <v>0</v>
      </c>
      <c r="G2830" s="165"/>
      <c r="H2830" s="165"/>
      <c r="I2830" s="165"/>
    </row>
    <row r="2831" spans="1:9" x14ac:dyDescent="0.3">
      <c r="A2831" s="164"/>
      <c r="B2831" s="165"/>
      <c r="C2831" s="166"/>
      <c r="D2831" s="252"/>
      <c r="E2831" s="166"/>
      <c r="F2831" s="60">
        <f>ПЛАТЕЖИ[[#This Row],[СЎМ]]+(ПЛАТЕЖИ[[#This Row],[ВАЛЮТА]]*ПЛАТЕЖИ[[#This Row],[КУРС]])</f>
        <v>0</v>
      </c>
      <c r="G2831" s="165"/>
      <c r="H2831" s="165"/>
      <c r="I2831" s="165"/>
    </row>
    <row r="2832" spans="1:9" x14ac:dyDescent="0.3">
      <c r="A2832" s="164"/>
      <c r="B2832" s="165"/>
      <c r="C2832" s="166"/>
      <c r="D2832" s="252"/>
      <c r="E2832" s="166"/>
      <c r="F2832" s="60">
        <f>ПЛАТЕЖИ[[#This Row],[СЎМ]]+(ПЛАТЕЖИ[[#This Row],[ВАЛЮТА]]*ПЛАТЕЖИ[[#This Row],[КУРС]])</f>
        <v>0</v>
      </c>
      <c r="G2832" s="165"/>
      <c r="H2832" s="165"/>
      <c r="I2832" s="165"/>
    </row>
    <row r="2833" spans="1:9" x14ac:dyDescent="0.3">
      <c r="A2833" s="164"/>
      <c r="B2833" s="165"/>
      <c r="C2833" s="166"/>
      <c r="D2833" s="166"/>
      <c r="E2833" s="166"/>
      <c r="F2833" s="60">
        <f>ПЛАТЕЖИ[[#This Row],[СЎМ]]+(ПЛАТЕЖИ[[#This Row],[ВАЛЮТА]]*ПЛАТЕЖИ[[#This Row],[КУРС]])</f>
        <v>0</v>
      </c>
      <c r="G2833" s="165"/>
      <c r="H2833" s="165"/>
      <c r="I2833" s="165"/>
    </row>
    <row r="2834" spans="1:9" x14ac:dyDescent="0.3">
      <c r="A2834" s="164"/>
      <c r="B2834" s="165"/>
      <c r="C2834" s="166"/>
      <c r="D2834" s="166"/>
      <c r="E2834" s="166"/>
      <c r="F2834" s="60">
        <f>ПЛАТЕЖИ[[#This Row],[СЎМ]]+(ПЛАТЕЖИ[[#This Row],[ВАЛЮТА]]*ПЛАТЕЖИ[[#This Row],[КУРС]])</f>
        <v>0</v>
      </c>
      <c r="G2834" s="165"/>
      <c r="H2834" s="165"/>
      <c r="I2834" s="165"/>
    </row>
    <row r="2835" spans="1:9" x14ac:dyDescent="0.3">
      <c r="A2835" s="164"/>
      <c r="B2835" s="165"/>
      <c r="C2835" s="166"/>
      <c r="D2835" s="166"/>
      <c r="E2835" s="166"/>
      <c r="F2835" s="60">
        <f>ПЛАТЕЖИ[[#This Row],[СЎМ]]+(ПЛАТЕЖИ[[#This Row],[ВАЛЮТА]]*ПЛАТЕЖИ[[#This Row],[КУРС]])</f>
        <v>0</v>
      </c>
      <c r="G2835" s="165"/>
      <c r="H2835" s="165"/>
      <c r="I2835" s="165"/>
    </row>
    <row r="2836" spans="1:9" x14ac:dyDescent="0.3">
      <c r="A2836" s="164"/>
      <c r="B2836" s="165"/>
      <c r="C2836" s="166"/>
      <c r="D2836" s="166"/>
      <c r="E2836" s="166"/>
      <c r="F2836" s="60">
        <f>ПЛАТЕЖИ[[#This Row],[СЎМ]]+(ПЛАТЕЖИ[[#This Row],[ВАЛЮТА]]*ПЛАТЕЖИ[[#This Row],[КУРС]])</f>
        <v>0</v>
      </c>
      <c r="G2836" s="165"/>
      <c r="H2836" s="165"/>
      <c r="I2836" s="165"/>
    </row>
    <row r="2837" spans="1:9" x14ac:dyDescent="0.3">
      <c r="A2837" s="164"/>
      <c r="B2837" s="165"/>
      <c r="C2837" s="166"/>
      <c r="D2837" s="166"/>
      <c r="E2837" s="166"/>
      <c r="F2837" s="60">
        <f>ПЛАТЕЖИ[[#This Row],[СЎМ]]+(ПЛАТЕЖИ[[#This Row],[ВАЛЮТА]]*ПЛАТЕЖИ[[#This Row],[КУРС]])</f>
        <v>0</v>
      </c>
      <c r="G2837" s="165"/>
      <c r="H2837" s="165"/>
      <c r="I2837" s="165"/>
    </row>
    <row r="2838" spans="1:9" x14ac:dyDescent="0.3">
      <c r="A2838" s="164"/>
      <c r="B2838" s="165"/>
      <c r="C2838" s="166"/>
      <c r="D2838" s="166"/>
      <c r="E2838" s="166"/>
      <c r="F2838" s="60">
        <f>ПЛАТЕЖИ[[#This Row],[СЎМ]]+(ПЛАТЕЖИ[[#This Row],[ВАЛЮТА]]*ПЛАТЕЖИ[[#This Row],[КУРС]])</f>
        <v>0</v>
      </c>
      <c r="G2838" s="165"/>
      <c r="H2838" s="165"/>
      <c r="I2838" s="165"/>
    </row>
    <row r="2839" spans="1:9" x14ac:dyDescent="0.3">
      <c r="A2839" s="164"/>
      <c r="B2839" s="165"/>
      <c r="C2839" s="166"/>
      <c r="D2839" s="166"/>
      <c r="E2839" s="166"/>
      <c r="F2839" s="60">
        <f>ПЛАТЕЖИ[[#This Row],[СЎМ]]+(ПЛАТЕЖИ[[#This Row],[ВАЛЮТА]]*ПЛАТЕЖИ[[#This Row],[КУРС]])</f>
        <v>0</v>
      </c>
      <c r="G2839" s="165"/>
      <c r="H2839" s="165"/>
      <c r="I2839" s="165"/>
    </row>
    <row r="2840" spans="1:9" x14ac:dyDescent="0.3">
      <c r="A2840" s="164"/>
      <c r="B2840" s="165"/>
      <c r="C2840" s="166"/>
      <c r="D2840" s="166"/>
      <c r="E2840" s="166"/>
      <c r="F2840" s="60">
        <f>ПЛАТЕЖИ[[#This Row],[СЎМ]]+(ПЛАТЕЖИ[[#This Row],[ВАЛЮТА]]*ПЛАТЕЖИ[[#This Row],[КУРС]])</f>
        <v>0</v>
      </c>
      <c r="G2840" s="165"/>
      <c r="H2840" s="165"/>
      <c r="I2840" s="165"/>
    </row>
    <row r="2841" spans="1:9" x14ac:dyDescent="0.3">
      <c r="A2841" s="164"/>
      <c r="B2841" s="165"/>
      <c r="C2841" s="166"/>
      <c r="D2841" s="166"/>
      <c r="E2841" s="166"/>
      <c r="F2841" s="60">
        <f>ПЛАТЕЖИ[[#This Row],[СЎМ]]+(ПЛАТЕЖИ[[#This Row],[ВАЛЮТА]]*ПЛАТЕЖИ[[#This Row],[КУРС]])</f>
        <v>0</v>
      </c>
      <c r="G2841" s="165"/>
      <c r="H2841" s="165"/>
      <c r="I2841" s="165"/>
    </row>
    <row r="2842" spans="1:9" x14ac:dyDescent="0.3">
      <c r="A2842" s="164"/>
      <c r="B2842" s="165"/>
      <c r="C2842" s="166"/>
      <c r="D2842" s="166"/>
      <c r="E2842" s="166"/>
      <c r="F2842" s="60">
        <f>ПЛАТЕЖИ[[#This Row],[СЎМ]]+(ПЛАТЕЖИ[[#This Row],[ВАЛЮТА]]*ПЛАТЕЖИ[[#This Row],[КУРС]])</f>
        <v>0</v>
      </c>
      <c r="G2842" s="165"/>
      <c r="H2842" s="165"/>
      <c r="I2842" s="165"/>
    </row>
    <row r="2843" spans="1:9" x14ac:dyDescent="0.3">
      <c r="A2843" s="164"/>
      <c r="B2843" s="165"/>
      <c r="C2843" s="166"/>
      <c r="D2843" s="166"/>
      <c r="E2843" s="166"/>
      <c r="F2843" s="60">
        <f>ПЛАТЕЖИ[[#This Row],[СЎМ]]+(ПЛАТЕЖИ[[#This Row],[ВАЛЮТА]]*ПЛАТЕЖИ[[#This Row],[КУРС]])</f>
        <v>0</v>
      </c>
      <c r="G2843" s="165"/>
      <c r="H2843" s="165"/>
      <c r="I2843" s="165"/>
    </row>
    <row r="2844" spans="1:9" x14ac:dyDescent="0.3">
      <c r="A2844" s="164"/>
      <c r="B2844" s="165"/>
      <c r="C2844" s="166"/>
      <c r="D2844" s="166"/>
      <c r="E2844" s="166"/>
      <c r="F2844" s="60">
        <f>ПЛАТЕЖИ[[#This Row],[СЎМ]]+(ПЛАТЕЖИ[[#This Row],[ВАЛЮТА]]*ПЛАТЕЖИ[[#This Row],[КУРС]])</f>
        <v>0</v>
      </c>
      <c r="G2844" s="165"/>
      <c r="H2844" s="165"/>
      <c r="I2844" s="165"/>
    </row>
    <row r="2845" spans="1:9" x14ac:dyDescent="0.3">
      <c r="A2845" s="164"/>
      <c r="B2845" s="165"/>
      <c r="C2845" s="166"/>
      <c r="D2845" s="166"/>
      <c r="E2845" s="166"/>
      <c r="F2845" s="60">
        <f>ПЛАТЕЖИ[[#This Row],[СЎМ]]+(ПЛАТЕЖИ[[#This Row],[ВАЛЮТА]]*ПЛАТЕЖИ[[#This Row],[КУРС]])</f>
        <v>0</v>
      </c>
      <c r="G2845" s="165"/>
      <c r="H2845" s="165"/>
      <c r="I2845" s="165"/>
    </row>
    <row r="2846" spans="1:9" x14ac:dyDescent="0.3">
      <c r="A2846" s="164"/>
      <c r="B2846" s="165"/>
      <c r="C2846" s="166"/>
      <c r="D2846" s="166"/>
      <c r="E2846" s="166"/>
      <c r="F2846" s="60">
        <f>ПЛАТЕЖИ[[#This Row],[СЎМ]]+(ПЛАТЕЖИ[[#This Row],[ВАЛЮТА]]*ПЛАТЕЖИ[[#This Row],[КУРС]])</f>
        <v>0</v>
      </c>
      <c r="G2846" s="165"/>
      <c r="H2846" s="165"/>
      <c r="I2846" s="165"/>
    </row>
    <row r="2847" spans="1:9" x14ac:dyDescent="0.3">
      <c r="A2847" s="164"/>
      <c r="B2847" s="165"/>
      <c r="C2847" s="166"/>
      <c r="D2847" s="166"/>
      <c r="E2847" s="166"/>
      <c r="F2847" s="60">
        <f>ПЛАТЕЖИ[[#This Row],[СЎМ]]+(ПЛАТЕЖИ[[#This Row],[ВАЛЮТА]]*ПЛАТЕЖИ[[#This Row],[КУРС]])</f>
        <v>0</v>
      </c>
      <c r="G2847" s="165"/>
      <c r="H2847" s="165"/>
      <c r="I2847" s="165"/>
    </row>
    <row r="2848" spans="1:9" x14ac:dyDescent="0.3">
      <c r="A2848" s="164"/>
      <c r="B2848" s="165"/>
      <c r="C2848" s="166"/>
      <c r="D2848" s="166"/>
      <c r="E2848" s="166"/>
      <c r="F2848" s="60">
        <f>ПЛАТЕЖИ[[#This Row],[СЎМ]]+(ПЛАТЕЖИ[[#This Row],[ВАЛЮТА]]*ПЛАТЕЖИ[[#This Row],[КУРС]])</f>
        <v>0</v>
      </c>
      <c r="G2848" s="165"/>
      <c r="H2848" s="165"/>
      <c r="I2848" s="165"/>
    </row>
    <row r="2849" spans="1:9" x14ac:dyDescent="0.3">
      <c r="A2849" s="164"/>
      <c r="B2849" s="165"/>
      <c r="C2849" s="166"/>
      <c r="D2849" s="166"/>
      <c r="E2849" s="166"/>
      <c r="F2849" s="60">
        <f>ПЛАТЕЖИ[[#This Row],[СЎМ]]+(ПЛАТЕЖИ[[#This Row],[ВАЛЮТА]]*ПЛАТЕЖИ[[#This Row],[КУРС]])</f>
        <v>0</v>
      </c>
      <c r="G2849" s="165"/>
      <c r="H2849" s="165"/>
      <c r="I2849" s="165"/>
    </row>
    <row r="2850" spans="1:9" x14ac:dyDescent="0.3">
      <c r="A2850" s="164"/>
      <c r="B2850" s="165"/>
      <c r="C2850" s="166"/>
      <c r="D2850" s="166"/>
      <c r="E2850" s="166"/>
      <c r="F2850" s="60">
        <f>ПЛАТЕЖИ[[#This Row],[СЎМ]]+(ПЛАТЕЖИ[[#This Row],[ВАЛЮТА]]*ПЛАТЕЖИ[[#This Row],[КУРС]])</f>
        <v>0</v>
      </c>
      <c r="G2850" s="165"/>
      <c r="H2850" s="165"/>
      <c r="I2850" s="165"/>
    </row>
    <row r="2851" spans="1:9" x14ac:dyDescent="0.3">
      <c r="A2851" s="164"/>
      <c r="B2851" s="165"/>
      <c r="C2851" s="166"/>
      <c r="D2851" s="166"/>
      <c r="E2851" s="166"/>
      <c r="F2851" s="60">
        <f>ПЛАТЕЖИ[[#This Row],[СЎМ]]+(ПЛАТЕЖИ[[#This Row],[ВАЛЮТА]]*ПЛАТЕЖИ[[#This Row],[КУРС]])</f>
        <v>0</v>
      </c>
      <c r="G2851" s="165"/>
      <c r="H2851" s="165"/>
      <c r="I2851" s="165"/>
    </row>
    <row r="2852" spans="1:9" x14ac:dyDescent="0.3">
      <c r="A2852" s="164"/>
      <c r="B2852" s="165"/>
      <c r="C2852" s="166"/>
      <c r="D2852" s="166"/>
      <c r="E2852" s="166"/>
      <c r="F2852" s="60">
        <f>ПЛАТЕЖИ[[#This Row],[СЎМ]]+(ПЛАТЕЖИ[[#This Row],[ВАЛЮТА]]*ПЛАТЕЖИ[[#This Row],[КУРС]])</f>
        <v>0</v>
      </c>
      <c r="G2852" s="165"/>
      <c r="H2852" s="165"/>
      <c r="I2852" s="165"/>
    </row>
    <row r="2853" spans="1:9" x14ac:dyDescent="0.3">
      <c r="A2853" s="164"/>
      <c r="B2853" s="165"/>
      <c r="C2853" s="166"/>
      <c r="D2853" s="166"/>
      <c r="E2853" s="166"/>
      <c r="F2853" s="60">
        <f>ПЛАТЕЖИ[[#This Row],[СЎМ]]+(ПЛАТЕЖИ[[#This Row],[ВАЛЮТА]]*ПЛАТЕЖИ[[#This Row],[КУРС]])</f>
        <v>0</v>
      </c>
      <c r="G2853" s="165"/>
      <c r="H2853" s="165"/>
      <c r="I2853" s="165"/>
    </row>
    <row r="2854" spans="1:9" x14ac:dyDescent="0.3">
      <c r="A2854" s="164"/>
      <c r="B2854" s="165"/>
      <c r="C2854" s="166"/>
      <c r="D2854" s="166"/>
      <c r="E2854" s="166"/>
      <c r="F2854" s="60">
        <f>ПЛАТЕЖИ[[#This Row],[СЎМ]]+(ПЛАТЕЖИ[[#This Row],[ВАЛЮТА]]*ПЛАТЕЖИ[[#This Row],[КУРС]])</f>
        <v>0</v>
      </c>
      <c r="G2854" s="165"/>
      <c r="H2854" s="165"/>
      <c r="I2854" s="165"/>
    </row>
    <row r="2855" spans="1:9" x14ac:dyDescent="0.3">
      <c r="A2855" s="164"/>
      <c r="B2855" s="165"/>
      <c r="C2855" s="166"/>
      <c r="D2855" s="166"/>
      <c r="E2855" s="166"/>
      <c r="F2855" s="60">
        <f>ПЛАТЕЖИ[[#This Row],[СЎМ]]+(ПЛАТЕЖИ[[#This Row],[ВАЛЮТА]]*ПЛАТЕЖИ[[#This Row],[КУРС]])</f>
        <v>0</v>
      </c>
      <c r="G2855" s="165"/>
      <c r="H2855" s="165"/>
      <c r="I2855" s="165"/>
    </row>
    <row r="2856" spans="1:9" x14ac:dyDescent="0.3">
      <c r="A2856" s="164"/>
      <c r="B2856" s="165"/>
      <c r="C2856" s="166"/>
      <c r="D2856" s="166"/>
      <c r="E2856" s="166"/>
      <c r="F2856" s="60">
        <f>ПЛАТЕЖИ[[#This Row],[СЎМ]]+(ПЛАТЕЖИ[[#This Row],[ВАЛЮТА]]*ПЛАТЕЖИ[[#This Row],[КУРС]])</f>
        <v>0</v>
      </c>
      <c r="G2856" s="165"/>
      <c r="H2856" s="165"/>
      <c r="I2856" s="165"/>
    </row>
    <row r="2857" spans="1:9" x14ac:dyDescent="0.3">
      <c r="A2857" s="164"/>
      <c r="B2857" s="165"/>
      <c r="C2857" s="166"/>
      <c r="D2857" s="166"/>
      <c r="E2857" s="166"/>
      <c r="F2857" s="60">
        <f>ПЛАТЕЖИ[[#This Row],[СЎМ]]+(ПЛАТЕЖИ[[#This Row],[ВАЛЮТА]]*ПЛАТЕЖИ[[#This Row],[КУРС]])</f>
        <v>0</v>
      </c>
      <c r="G2857" s="165"/>
      <c r="H2857" s="165"/>
      <c r="I2857" s="165"/>
    </row>
    <row r="2858" spans="1:9" x14ac:dyDescent="0.3">
      <c r="A2858" s="164"/>
      <c r="B2858" s="165"/>
      <c r="C2858" s="166"/>
      <c r="D2858" s="166"/>
      <c r="E2858" s="166"/>
      <c r="F2858" s="60">
        <f>ПЛАТЕЖИ[[#This Row],[СЎМ]]+(ПЛАТЕЖИ[[#This Row],[ВАЛЮТА]]*ПЛАТЕЖИ[[#This Row],[КУРС]])</f>
        <v>0</v>
      </c>
      <c r="G2858" s="165"/>
      <c r="H2858" s="165"/>
      <c r="I2858" s="165"/>
    </row>
    <row r="2859" spans="1:9" x14ac:dyDescent="0.3">
      <c r="A2859" s="164"/>
      <c r="B2859" s="165"/>
      <c r="C2859" s="166"/>
      <c r="D2859" s="166"/>
      <c r="E2859" s="166"/>
      <c r="F2859" s="60">
        <f>ПЛАТЕЖИ[[#This Row],[СЎМ]]+(ПЛАТЕЖИ[[#This Row],[ВАЛЮТА]]*ПЛАТЕЖИ[[#This Row],[КУРС]])</f>
        <v>0</v>
      </c>
      <c r="G2859" s="165"/>
      <c r="H2859" s="165"/>
      <c r="I2859" s="165"/>
    </row>
    <row r="2860" spans="1:9" x14ac:dyDescent="0.3">
      <c r="A2860" s="164"/>
      <c r="B2860" s="165"/>
      <c r="C2860" s="166"/>
      <c r="D2860" s="166"/>
      <c r="E2860" s="166"/>
      <c r="F2860" s="60">
        <f>ПЛАТЕЖИ[[#This Row],[СЎМ]]+(ПЛАТЕЖИ[[#This Row],[ВАЛЮТА]]*ПЛАТЕЖИ[[#This Row],[КУРС]])</f>
        <v>0</v>
      </c>
      <c r="G2860" s="165"/>
      <c r="H2860" s="165"/>
      <c r="I2860" s="165"/>
    </row>
    <row r="2861" spans="1:9" x14ac:dyDescent="0.3">
      <c r="A2861" s="164"/>
      <c r="B2861" s="165"/>
      <c r="C2861" s="166"/>
      <c r="D2861" s="166"/>
      <c r="E2861" s="166"/>
      <c r="F2861" s="60">
        <f>ПЛАТЕЖИ[[#This Row],[СЎМ]]+(ПЛАТЕЖИ[[#This Row],[ВАЛЮТА]]*ПЛАТЕЖИ[[#This Row],[КУРС]])</f>
        <v>0</v>
      </c>
      <c r="G2861" s="165"/>
      <c r="H2861" s="165"/>
      <c r="I2861" s="165"/>
    </row>
    <row r="2862" spans="1:9" x14ac:dyDescent="0.3">
      <c r="A2862" s="164"/>
      <c r="B2862" s="165"/>
      <c r="C2862" s="166"/>
      <c r="D2862" s="166"/>
      <c r="E2862" s="166"/>
      <c r="F2862" s="60">
        <f>ПЛАТЕЖИ[[#This Row],[СЎМ]]+(ПЛАТЕЖИ[[#This Row],[ВАЛЮТА]]*ПЛАТЕЖИ[[#This Row],[КУРС]])</f>
        <v>0</v>
      </c>
      <c r="G2862" s="165"/>
      <c r="H2862" s="165"/>
      <c r="I2862" s="165"/>
    </row>
    <row r="2863" spans="1:9" x14ac:dyDescent="0.3">
      <c r="A2863" s="164"/>
      <c r="B2863" s="165"/>
      <c r="C2863" s="166"/>
      <c r="D2863" s="166"/>
      <c r="E2863" s="166"/>
      <c r="F2863" s="60">
        <f>ПЛАТЕЖИ[[#This Row],[СЎМ]]+(ПЛАТЕЖИ[[#This Row],[ВАЛЮТА]]*ПЛАТЕЖИ[[#This Row],[КУРС]])</f>
        <v>0</v>
      </c>
      <c r="G2863" s="165"/>
      <c r="H2863" s="165"/>
      <c r="I2863" s="165"/>
    </row>
    <row r="2864" spans="1:9" x14ac:dyDescent="0.3">
      <c r="A2864" s="164"/>
      <c r="B2864" s="165"/>
      <c r="C2864" s="166"/>
      <c r="D2864" s="166"/>
      <c r="E2864" s="166"/>
      <c r="F2864" s="60">
        <f>ПЛАТЕЖИ[[#This Row],[СЎМ]]+(ПЛАТЕЖИ[[#This Row],[ВАЛЮТА]]*ПЛАТЕЖИ[[#This Row],[КУРС]])</f>
        <v>0</v>
      </c>
      <c r="G2864" s="165"/>
      <c r="H2864" s="165"/>
      <c r="I2864" s="165"/>
    </row>
    <row r="2865" spans="1:9" x14ac:dyDescent="0.3">
      <c r="A2865" s="164"/>
      <c r="B2865" s="165"/>
      <c r="C2865" s="166"/>
      <c r="D2865" s="166"/>
      <c r="E2865" s="166"/>
      <c r="F2865" s="60">
        <f>ПЛАТЕЖИ[[#This Row],[СЎМ]]+(ПЛАТЕЖИ[[#This Row],[ВАЛЮТА]]*ПЛАТЕЖИ[[#This Row],[КУРС]])</f>
        <v>0</v>
      </c>
      <c r="G2865" s="165"/>
      <c r="H2865" s="165"/>
      <c r="I2865" s="165"/>
    </row>
    <row r="2866" spans="1:9" x14ac:dyDescent="0.3">
      <c r="A2866" s="164"/>
      <c r="B2866" s="165"/>
      <c r="C2866" s="166"/>
      <c r="D2866" s="166"/>
      <c r="E2866" s="166"/>
      <c r="F2866" s="60">
        <f>ПЛАТЕЖИ[[#This Row],[СЎМ]]+(ПЛАТЕЖИ[[#This Row],[ВАЛЮТА]]*ПЛАТЕЖИ[[#This Row],[КУРС]])</f>
        <v>0</v>
      </c>
      <c r="G2866" s="165"/>
      <c r="H2866" s="165"/>
      <c r="I2866" s="165"/>
    </row>
    <row r="2867" spans="1:9" x14ac:dyDescent="0.3">
      <c r="A2867" s="164"/>
      <c r="B2867" s="165"/>
      <c r="C2867" s="166"/>
      <c r="D2867" s="166"/>
      <c r="E2867" s="166"/>
      <c r="F2867" s="60">
        <f>ПЛАТЕЖИ[[#This Row],[СЎМ]]+(ПЛАТЕЖИ[[#This Row],[ВАЛЮТА]]*ПЛАТЕЖИ[[#This Row],[КУРС]])</f>
        <v>0</v>
      </c>
      <c r="G2867" s="165"/>
      <c r="H2867" s="165"/>
      <c r="I2867" s="165"/>
    </row>
    <row r="2868" spans="1:9" x14ac:dyDescent="0.3">
      <c r="A2868" s="164"/>
      <c r="B2868" s="165"/>
      <c r="C2868" s="166"/>
      <c r="D2868" s="166"/>
      <c r="E2868" s="166"/>
      <c r="F2868" s="60">
        <f>ПЛАТЕЖИ[[#This Row],[СЎМ]]+(ПЛАТЕЖИ[[#This Row],[ВАЛЮТА]]*ПЛАТЕЖИ[[#This Row],[КУРС]])</f>
        <v>0</v>
      </c>
      <c r="G2868" s="165"/>
      <c r="H2868" s="165"/>
      <c r="I2868" s="165"/>
    </row>
    <row r="2869" spans="1:9" x14ac:dyDescent="0.3">
      <c r="A2869" s="164"/>
      <c r="B2869" s="165"/>
      <c r="C2869" s="166"/>
      <c r="D2869" s="166"/>
      <c r="E2869" s="166"/>
      <c r="F2869" s="60">
        <f>ПЛАТЕЖИ[[#This Row],[СЎМ]]+(ПЛАТЕЖИ[[#This Row],[ВАЛЮТА]]*ПЛАТЕЖИ[[#This Row],[КУРС]])</f>
        <v>0</v>
      </c>
      <c r="G2869" s="165"/>
      <c r="H2869" s="165"/>
      <c r="I2869" s="165"/>
    </row>
    <row r="2870" spans="1:9" x14ac:dyDescent="0.3">
      <c r="A2870" s="164"/>
      <c r="B2870" s="165"/>
      <c r="C2870" s="166"/>
      <c r="D2870" s="166"/>
      <c r="E2870" s="166"/>
      <c r="F2870" s="60">
        <f>ПЛАТЕЖИ[[#This Row],[СЎМ]]+(ПЛАТЕЖИ[[#This Row],[ВАЛЮТА]]*ПЛАТЕЖИ[[#This Row],[КУРС]])</f>
        <v>0</v>
      </c>
      <c r="G2870" s="165"/>
      <c r="H2870" s="165"/>
      <c r="I2870" s="165"/>
    </row>
    <row r="2871" spans="1:9" x14ac:dyDescent="0.3">
      <c r="A2871" s="164"/>
      <c r="B2871" s="165"/>
      <c r="C2871" s="166"/>
      <c r="D2871" s="166"/>
      <c r="E2871" s="166"/>
      <c r="F2871" s="60">
        <f>ПЛАТЕЖИ[[#This Row],[СЎМ]]+(ПЛАТЕЖИ[[#This Row],[ВАЛЮТА]]*ПЛАТЕЖИ[[#This Row],[КУРС]])</f>
        <v>0</v>
      </c>
      <c r="G2871" s="165"/>
      <c r="H2871" s="165"/>
      <c r="I2871" s="165"/>
    </row>
    <row r="2872" spans="1:9" x14ac:dyDescent="0.3">
      <c r="A2872" s="164"/>
      <c r="B2872" s="165"/>
      <c r="C2872" s="166"/>
      <c r="D2872" s="166"/>
      <c r="E2872" s="166"/>
      <c r="F2872" s="60">
        <f>ПЛАТЕЖИ[[#This Row],[СЎМ]]+(ПЛАТЕЖИ[[#This Row],[ВАЛЮТА]]*ПЛАТЕЖИ[[#This Row],[КУРС]])</f>
        <v>0</v>
      </c>
      <c r="G2872" s="165"/>
      <c r="H2872" s="165"/>
      <c r="I2872" s="165"/>
    </row>
    <row r="2873" spans="1:9" x14ac:dyDescent="0.3">
      <c r="A2873" s="164"/>
      <c r="B2873" s="165"/>
      <c r="C2873" s="166"/>
      <c r="D2873" s="166"/>
      <c r="E2873" s="166"/>
      <c r="F2873" s="60">
        <f>ПЛАТЕЖИ[[#This Row],[СЎМ]]+(ПЛАТЕЖИ[[#This Row],[ВАЛЮТА]]*ПЛАТЕЖИ[[#This Row],[КУРС]])</f>
        <v>0</v>
      </c>
      <c r="G2873" s="165"/>
      <c r="H2873" s="165"/>
      <c r="I2873" s="165"/>
    </row>
    <row r="2874" spans="1:9" x14ac:dyDescent="0.3">
      <c r="A2874" s="164"/>
      <c r="B2874" s="165"/>
      <c r="C2874" s="166"/>
      <c r="D2874" s="166"/>
      <c r="E2874" s="166"/>
      <c r="F2874" s="60">
        <f>ПЛАТЕЖИ[[#This Row],[СЎМ]]+(ПЛАТЕЖИ[[#This Row],[ВАЛЮТА]]*ПЛАТЕЖИ[[#This Row],[КУРС]])</f>
        <v>0</v>
      </c>
      <c r="G2874" s="165"/>
      <c r="H2874" s="165"/>
      <c r="I2874" s="165"/>
    </row>
    <row r="2875" spans="1:9" x14ac:dyDescent="0.3">
      <c r="A2875" s="164"/>
      <c r="B2875" s="165"/>
      <c r="C2875" s="166"/>
      <c r="D2875" s="166"/>
      <c r="E2875" s="166"/>
      <c r="F2875" s="60">
        <f>ПЛАТЕЖИ[[#This Row],[СЎМ]]+(ПЛАТЕЖИ[[#This Row],[ВАЛЮТА]]*ПЛАТЕЖИ[[#This Row],[КУРС]])</f>
        <v>0</v>
      </c>
      <c r="G2875" s="165"/>
      <c r="H2875" s="165"/>
      <c r="I2875" s="165"/>
    </row>
    <row r="2876" spans="1:9" x14ac:dyDescent="0.3">
      <c r="A2876" s="164"/>
      <c r="B2876" s="165"/>
      <c r="C2876" s="166"/>
      <c r="D2876" s="166"/>
      <c r="E2876" s="166"/>
      <c r="F2876" s="60">
        <f>ПЛАТЕЖИ[[#This Row],[СЎМ]]+(ПЛАТЕЖИ[[#This Row],[ВАЛЮТА]]*ПЛАТЕЖИ[[#This Row],[КУРС]])</f>
        <v>0</v>
      </c>
      <c r="G2876" s="165"/>
      <c r="H2876" s="165"/>
      <c r="I2876" s="165"/>
    </row>
    <row r="2877" spans="1:9" x14ac:dyDescent="0.3">
      <c r="A2877" s="164"/>
      <c r="B2877" s="165"/>
      <c r="C2877" s="166"/>
      <c r="D2877" s="166"/>
      <c r="E2877" s="166"/>
      <c r="F2877" s="60">
        <f>ПЛАТЕЖИ[[#This Row],[СЎМ]]+(ПЛАТЕЖИ[[#This Row],[ВАЛЮТА]]*ПЛАТЕЖИ[[#This Row],[КУРС]])</f>
        <v>0</v>
      </c>
      <c r="G2877" s="165"/>
      <c r="H2877" s="165"/>
      <c r="I2877" s="165"/>
    </row>
    <row r="2878" spans="1:9" x14ac:dyDescent="0.3">
      <c r="A2878" s="164"/>
      <c r="B2878" s="165"/>
      <c r="C2878" s="166"/>
      <c r="D2878" s="166"/>
      <c r="E2878" s="166"/>
      <c r="F2878" s="60">
        <f>ПЛАТЕЖИ[[#This Row],[СЎМ]]+(ПЛАТЕЖИ[[#This Row],[ВАЛЮТА]]*ПЛАТЕЖИ[[#This Row],[КУРС]])</f>
        <v>0</v>
      </c>
      <c r="G2878" s="165"/>
      <c r="H2878" s="165"/>
      <c r="I2878" s="165"/>
    </row>
    <row r="2879" spans="1:9" x14ac:dyDescent="0.3">
      <c r="A2879" s="164"/>
      <c r="B2879" s="165"/>
      <c r="C2879" s="166"/>
      <c r="D2879" s="166"/>
      <c r="E2879" s="166"/>
      <c r="F2879" s="60">
        <f>ПЛАТЕЖИ[[#This Row],[СЎМ]]+(ПЛАТЕЖИ[[#This Row],[ВАЛЮТА]]*ПЛАТЕЖИ[[#This Row],[КУРС]])</f>
        <v>0</v>
      </c>
      <c r="G2879" s="165"/>
      <c r="H2879" s="165"/>
      <c r="I2879" s="165"/>
    </row>
    <row r="2880" spans="1:9" x14ac:dyDescent="0.3">
      <c r="A2880" s="164"/>
      <c r="B2880" s="165"/>
      <c r="C2880" s="166"/>
      <c r="D2880" s="166"/>
      <c r="E2880" s="166"/>
      <c r="F2880" s="60">
        <f>ПЛАТЕЖИ[[#This Row],[СЎМ]]+(ПЛАТЕЖИ[[#This Row],[ВАЛЮТА]]*ПЛАТЕЖИ[[#This Row],[КУРС]])</f>
        <v>0</v>
      </c>
      <c r="G2880" s="165"/>
      <c r="H2880" s="165"/>
      <c r="I2880" s="165"/>
    </row>
    <row r="2881" spans="1:9" x14ac:dyDescent="0.3">
      <c r="A2881" s="164"/>
      <c r="B2881" s="165"/>
      <c r="C2881" s="166"/>
      <c r="D2881" s="166"/>
      <c r="E2881" s="166"/>
      <c r="F2881" s="60">
        <f>ПЛАТЕЖИ[[#This Row],[СЎМ]]+(ПЛАТЕЖИ[[#This Row],[ВАЛЮТА]]*ПЛАТЕЖИ[[#This Row],[КУРС]])</f>
        <v>0</v>
      </c>
      <c r="G2881" s="165"/>
      <c r="H2881" s="165"/>
      <c r="I2881" s="165"/>
    </row>
    <row r="2882" spans="1:9" x14ac:dyDescent="0.3">
      <c r="A2882" s="164"/>
      <c r="B2882" s="165"/>
      <c r="C2882" s="166"/>
      <c r="D2882" s="166"/>
      <c r="E2882" s="166"/>
      <c r="F2882" s="60">
        <f>ПЛАТЕЖИ[[#This Row],[СЎМ]]+(ПЛАТЕЖИ[[#This Row],[ВАЛЮТА]]*ПЛАТЕЖИ[[#This Row],[КУРС]])</f>
        <v>0</v>
      </c>
      <c r="G2882" s="165"/>
      <c r="H2882" s="165"/>
      <c r="I2882" s="165"/>
    </row>
    <row r="2883" spans="1:9" x14ac:dyDescent="0.3">
      <c r="A2883" s="164"/>
      <c r="B2883" s="165"/>
      <c r="C2883" s="166"/>
      <c r="D2883" s="166"/>
      <c r="E2883" s="166"/>
      <c r="F2883" s="60">
        <f>ПЛАТЕЖИ[[#This Row],[СЎМ]]+(ПЛАТЕЖИ[[#This Row],[ВАЛЮТА]]*ПЛАТЕЖИ[[#This Row],[КУРС]])</f>
        <v>0</v>
      </c>
      <c r="G2883" s="165"/>
      <c r="H2883" s="165"/>
      <c r="I2883" s="165"/>
    </row>
    <row r="2884" spans="1:9" x14ac:dyDescent="0.3">
      <c r="A2884" s="164"/>
      <c r="B2884" s="165"/>
      <c r="C2884" s="166"/>
      <c r="D2884" s="166"/>
      <c r="E2884" s="166"/>
      <c r="F2884" s="60">
        <f>ПЛАТЕЖИ[[#This Row],[СЎМ]]+(ПЛАТЕЖИ[[#This Row],[ВАЛЮТА]]*ПЛАТЕЖИ[[#This Row],[КУРС]])</f>
        <v>0</v>
      </c>
      <c r="G2884" s="165"/>
      <c r="H2884" s="165"/>
      <c r="I2884" s="165"/>
    </row>
    <row r="2885" spans="1:9" x14ac:dyDescent="0.3">
      <c r="A2885" s="164"/>
      <c r="B2885" s="165"/>
      <c r="C2885" s="166"/>
      <c r="D2885" s="166"/>
      <c r="E2885" s="166"/>
      <c r="F2885" s="60">
        <f>ПЛАТЕЖИ[[#This Row],[СЎМ]]+(ПЛАТЕЖИ[[#This Row],[ВАЛЮТА]]*ПЛАТЕЖИ[[#This Row],[КУРС]])</f>
        <v>0</v>
      </c>
      <c r="G2885" s="165"/>
      <c r="H2885" s="165"/>
      <c r="I2885" s="165"/>
    </row>
    <row r="2886" spans="1:9" x14ac:dyDescent="0.3">
      <c r="A2886" s="164"/>
      <c r="B2886" s="165"/>
      <c r="C2886" s="166"/>
      <c r="D2886" s="166"/>
      <c r="E2886" s="166"/>
      <c r="F2886" s="60">
        <f>ПЛАТЕЖИ[[#This Row],[СЎМ]]+(ПЛАТЕЖИ[[#This Row],[ВАЛЮТА]]*ПЛАТЕЖИ[[#This Row],[КУРС]])</f>
        <v>0</v>
      </c>
      <c r="G2886" s="165"/>
      <c r="H2886" s="165"/>
      <c r="I2886" s="165"/>
    </row>
    <row r="2887" spans="1:9" x14ac:dyDescent="0.3">
      <c r="A2887" s="164"/>
      <c r="B2887" s="165"/>
      <c r="C2887" s="166"/>
      <c r="D2887" s="166"/>
      <c r="E2887" s="166"/>
      <c r="F2887" s="60">
        <f>ПЛАТЕЖИ[[#This Row],[СЎМ]]+(ПЛАТЕЖИ[[#This Row],[ВАЛЮТА]]*ПЛАТЕЖИ[[#This Row],[КУРС]])</f>
        <v>0</v>
      </c>
      <c r="G2887" s="165"/>
      <c r="H2887" s="165"/>
      <c r="I2887" s="165"/>
    </row>
    <row r="2888" spans="1:9" x14ac:dyDescent="0.3">
      <c r="A2888" s="164"/>
      <c r="B2888" s="165"/>
      <c r="C2888" s="166"/>
      <c r="D2888" s="166"/>
      <c r="E2888" s="166"/>
      <c r="F2888" s="60">
        <f>ПЛАТЕЖИ[[#This Row],[СЎМ]]+(ПЛАТЕЖИ[[#This Row],[ВАЛЮТА]]*ПЛАТЕЖИ[[#This Row],[КУРС]])</f>
        <v>0</v>
      </c>
      <c r="G2888" s="165"/>
      <c r="H2888" s="165"/>
      <c r="I2888" s="165"/>
    </row>
    <row r="2889" spans="1:9" x14ac:dyDescent="0.3">
      <c r="A2889" s="164"/>
      <c r="B2889" s="165"/>
      <c r="C2889" s="166"/>
      <c r="D2889" s="166"/>
      <c r="E2889" s="166"/>
      <c r="F2889" s="60">
        <f>ПЛАТЕЖИ[[#This Row],[СЎМ]]+(ПЛАТЕЖИ[[#This Row],[ВАЛЮТА]]*ПЛАТЕЖИ[[#This Row],[КУРС]])</f>
        <v>0</v>
      </c>
      <c r="G2889" s="165"/>
      <c r="H2889" s="165"/>
      <c r="I2889" s="165"/>
    </row>
    <row r="2890" spans="1:9" x14ac:dyDescent="0.3">
      <c r="A2890" s="164"/>
      <c r="B2890" s="165"/>
      <c r="C2890" s="166"/>
      <c r="D2890" s="166"/>
      <c r="E2890" s="166"/>
      <c r="F2890" s="60">
        <f>ПЛАТЕЖИ[[#This Row],[СЎМ]]+(ПЛАТЕЖИ[[#This Row],[ВАЛЮТА]]*ПЛАТЕЖИ[[#This Row],[КУРС]])</f>
        <v>0</v>
      </c>
      <c r="G2890" s="165"/>
      <c r="H2890" s="165"/>
      <c r="I2890" s="165"/>
    </row>
    <row r="2891" spans="1:9" x14ac:dyDescent="0.3">
      <c r="A2891" s="164"/>
      <c r="B2891" s="165"/>
      <c r="C2891" s="166"/>
      <c r="D2891" s="166"/>
      <c r="E2891" s="166"/>
      <c r="F2891" s="60">
        <f>ПЛАТЕЖИ[[#This Row],[СЎМ]]+(ПЛАТЕЖИ[[#This Row],[ВАЛЮТА]]*ПЛАТЕЖИ[[#This Row],[КУРС]])</f>
        <v>0</v>
      </c>
      <c r="G2891" s="165"/>
      <c r="H2891" s="165"/>
      <c r="I2891" s="165"/>
    </row>
    <row r="2892" spans="1:9" x14ac:dyDescent="0.3">
      <c r="A2892" s="164"/>
      <c r="B2892" s="165"/>
      <c r="C2892" s="166"/>
      <c r="D2892" s="166"/>
      <c r="E2892" s="166"/>
      <c r="F2892" s="60">
        <f>ПЛАТЕЖИ[[#This Row],[СЎМ]]+(ПЛАТЕЖИ[[#This Row],[ВАЛЮТА]]*ПЛАТЕЖИ[[#This Row],[КУРС]])</f>
        <v>0</v>
      </c>
      <c r="G2892" s="165"/>
      <c r="H2892" s="165"/>
      <c r="I2892" s="165"/>
    </row>
    <row r="2893" spans="1:9" x14ac:dyDescent="0.3">
      <c r="A2893" s="164"/>
      <c r="B2893" s="165"/>
      <c r="C2893" s="166"/>
      <c r="D2893" s="166"/>
      <c r="E2893" s="166"/>
      <c r="F2893" s="60">
        <f>ПЛАТЕЖИ[[#This Row],[СЎМ]]+(ПЛАТЕЖИ[[#This Row],[ВАЛЮТА]]*ПЛАТЕЖИ[[#This Row],[КУРС]])</f>
        <v>0</v>
      </c>
      <c r="G2893" s="165"/>
      <c r="H2893" s="165"/>
      <c r="I2893" s="165"/>
    </row>
    <row r="2894" spans="1:9" x14ac:dyDescent="0.3">
      <c r="A2894" s="164"/>
      <c r="B2894" s="165"/>
      <c r="C2894" s="166"/>
      <c r="D2894" s="166"/>
      <c r="E2894" s="166"/>
      <c r="F2894" s="60">
        <f>ПЛАТЕЖИ[[#This Row],[СЎМ]]+(ПЛАТЕЖИ[[#This Row],[ВАЛЮТА]]*ПЛАТЕЖИ[[#This Row],[КУРС]])</f>
        <v>0</v>
      </c>
      <c r="G2894" s="165"/>
      <c r="H2894" s="165"/>
      <c r="I2894" s="165"/>
    </row>
    <row r="2895" spans="1:9" x14ac:dyDescent="0.3">
      <c r="A2895" s="164"/>
      <c r="B2895" s="165"/>
      <c r="C2895" s="166"/>
      <c r="D2895" s="166"/>
      <c r="E2895" s="166"/>
      <c r="F2895" s="60">
        <f>ПЛАТЕЖИ[[#This Row],[СЎМ]]+(ПЛАТЕЖИ[[#This Row],[ВАЛЮТА]]*ПЛАТЕЖИ[[#This Row],[КУРС]])</f>
        <v>0</v>
      </c>
      <c r="G2895" s="165"/>
      <c r="H2895" s="165"/>
      <c r="I2895" s="165"/>
    </row>
    <row r="2896" spans="1:9" x14ac:dyDescent="0.3">
      <c r="A2896" s="164"/>
      <c r="B2896" s="165"/>
      <c r="C2896" s="166"/>
      <c r="D2896" s="166"/>
      <c r="E2896" s="166"/>
      <c r="F2896" s="60">
        <f>ПЛАТЕЖИ[[#This Row],[СЎМ]]+(ПЛАТЕЖИ[[#This Row],[ВАЛЮТА]]*ПЛАТЕЖИ[[#This Row],[КУРС]])</f>
        <v>0</v>
      </c>
      <c r="G2896" s="165"/>
      <c r="H2896" s="165"/>
      <c r="I2896" s="165"/>
    </row>
    <row r="2897" spans="1:9" x14ac:dyDescent="0.3">
      <c r="A2897" s="164"/>
      <c r="B2897" s="165"/>
      <c r="C2897" s="166"/>
      <c r="D2897" s="166"/>
      <c r="E2897" s="166"/>
      <c r="F2897" s="60">
        <f>ПЛАТЕЖИ[[#This Row],[СЎМ]]+(ПЛАТЕЖИ[[#This Row],[ВАЛЮТА]]*ПЛАТЕЖИ[[#This Row],[КУРС]])</f>
        <v>0</v>
      </c>
      <c r="G2897" s="165"/>
      <c r="H2897" s="165"/>
      <c r="I2897" s="165"/>
    </row>
    <row r="2898" spans="1:9" x14ac:dyDescent="0.3">
      <c r="A2898" s="164"/>
      <c r="B2898" s="165"/>
      <c r="C2898" s="166"/>
      <c r="D2898" s="166"/>
      <c r="E2898" s="166"/>
      <c r="F2898" s="60">
        <f>ПЛАТЕЖИ[[#This Row],[СЎМ]]+(ПЛАТЕЖИ[[#This Row],[ВАЛЮТА]]*ПЛАТЕЖИ[[#This Row],[КУРС]])</f>
        <v>0</v>
      </c>
      <c r="G2898" s="165"/>
      <c r="H2898" s="165"/>
      <c r="I2898" s="165"/>
    </row>
    <row r="2899" spans="1:9" x14ac:dyDescent="0.3">
      <c r="A2899" s="164"/>
      <c r="B2899" s="165"/>
      <c r="C2899" s="166"/>
      <c r="D2899" s="166"/>
      <c r="E2899" s="166"/>
      <c r="F2899" s="60">
        <f>ПЛАТЕЖИ[[#This Row],[СЎМ]]+(ПЛАТЕЖИ[[#This Row],[ВАЛЮТА]]*ПЛАТЕЖИ[[#This Row],[КУРС]])</f>
        <v>0</v>
      </c>
      <c r="G2899" s="165"/>
      <c r="H2899" s="165"/>
      <c r="I2899" s="165"/>
    </row>
    <row r="2900" spans="1:9" x14ac:dyDescent="0.3">
      <c r="A2900" s="164"/>
      <c r="B2900" s="165"/>
      <c r="C2900" s="166"/>
      <c r="D2900" s="166"/>
      <c r="E2900" s="166"/>
      <c r="F2900" s="60">
        <f>ПЛАТЕЖИ[[#This Row],[СЎМ]]+(ПЛАТЕЖИ[[#This Row],[ВАЛЮТА]]*ПЛАТЕЖИ[[#This Row],[КУРС]])</f>
        <v>0</v>
      </c>
      <c r="G2900" s="165"/>
      <c r="H2900" s="165"/>
      <c r="I2900" s="165"/>
    </row>
    <row r="2901" spans="1:9" x14ac:dyDescent="0.3">
      <c r="A2901" s="164"/>
      <c r="B2901" s="165"/>
      <c r="C2901" s="166"/>
      <c r="D2901" s="166"/>
      <c r="E2901" s="166"/>
      <c r="F2901" s="60">
        <f>ПЛАТЕЖИ[[#This Row],[СЎМ]]+(ПЛАТЕЖИ[[#This Row],[ВАЛЮТА]]*ПЛАТЕЖИ[[#This Row],[КУРС]])</f>
        <v>0</v>
      </c>
      <c r="G2901" s="165"/>
      <c r="H2901" s="165"/>
      <c r="I2901" s="165"/>
    </row>
    <row r="2902" spans="1:9" x14ac:dyDescent="0.3">
      <c r="A2902" s="164"/>
      <c r="B2902" s="165"/>
      <c r="C2902" s="166"/>
      <c r="D2902" s="166"/>
      <c r="E2902" s="166"/>
      <c r="F2902" s="60">
        <f>ПЛАТЕЖИ[[#This Row],[СЎМ]]+(ПЛАТЕЖИ[[#This Row],[ВАЛЮТА]]*ПЛАТЕЖИ[[#This Row],[КУРС]])</f>
        <v>0</v>
      </c>
      <c r="G2902" s="165"/>
      <c r="H2902" s="165"/>
      <c r="I2902" s="165"/>
    </row>
    <row r="2903" spans="1:9" x14ac:dyDescent="0.3">
      <c r="A2903" s="164"/>
      <c r="B2903" s="165"/>
      <c r="C2903" s="166"/>
      <c r="D2903" s="166"/>
      <c r="E2903" s="166"/>
      <c r="F2903" s="60">
        <f>ПЛАТЕЖИ[[#This Row],[СЎМ]]+(ПЛАТЕЖИ[[#This Row],[ВАЛЮТА]]*ПЛАТЕЖИ[[#This Row],[КУРС]])</f>
        <v>0</v>
      </c>
      <c r="G2903" s="165"/>
      <c r="H2903" s="165"/>
      <c r="I2903" s="165"/>
    </row>
    <row r="2904" spans="1:9" x14ac:dyDescent="0.3">
      <c r="A2904" s="164"/>
      <c r="B2904" s="165"/>
      <c r="C2904" s="166"/>
      <c r="D2904" s="166"/>
      <c r="E2904" s="166"/>
      <c r="F2904" s="60">
        <f>ПЛАТЕЖИ[[#This Row],[СЎМ]]+(ПЛАТЕЖИ[[#This Row],[ВАЛЮТА]]*ПЛАТЕЖИ[[#This Row],[КУРС]])</f>
        <v>0</v>
      </c>
      <c r="G2904" s="165"/>
      <c r="H2904" s="165"/>
      <c r="I2904" s="165"/>
    </row>
    <row r="2905" spans="1:9" x14ac:dyDescent="0.3">
      <c r="A2905" s="164"/>
      <c r="B2905" s="165"/>
      <c r="C2905" s="166"/>
      <c r="D2905" s="166"/>
      <c r="E2905" s="166"/>
      <c r="F2905" s="60">
        <f>ПЛАТЕЖИ[[#This Row],[СЎМ]]+(ПЛАТЕЖИ[[#This Row],[ВАЛЮТА]]*ПЛАТЕЖИ[[#This Row],[КУРС]])</f>
        <v>0</v>
      </c>
      <c r="G2905" s="165"/>
      <c r="H2905" s="165"/>
      <c r="I2905" s="165"/>
    </row>
    <row r="2906" spans="1:9" x14ac:dyDescent="0.3">
      <c r="A2906" s="164"/>
      <c r="B2906" s="165"/>
      <c r="C2906" s="166"/>
      <c r="D2906" s="166"/>
      <c r="E2906" s="166"/>
      <c r="F2906" s="60">
        <f>ПЛАТЕЖИ[[#This Row],[СЎМ]]+(ПЛАТЕЖИ[[#This Row],[ВАЛЮТА]]*ПЛАТЕЖИ[[#This Row],[КУРС]])</f>
        <v>0</v>
      </c>
      <c r="G2906" s="165"/>
      <c r="H2906" s="165"/>
      <c r="I2906" s="165"/>
    </row>
    <row r="2907" spans="1:9" x14ac:dyDescent="0.3">
      <c r="A2907" s="164"/>
      <c r="B2907" s="165"/>
      <c r="C2907" s="166"/>
      <c r="D2907" s="166"/>
      <c r="E2907" s="166"/>
      <c r="F2907" s="60">
        <f>ПЛАТЕЖИ[[#This Row],[СЎМ]]+(ПЛАТЕЖИ[[#This Row],[ВАЛЮТА]]*ПЛАТЕЖИ[[#This Row],[КУРС]])</f>
        <v>0</v>
      </c>
      <c r="G2907" s="165"/>
      <c r="H2907" s="165"/>
      <c r="I2907" s="165"/>
    </row>
    <row r="2908" spans="1:9" x14ac:dyDescent="0.3">
      <c r="A2908" s="164"/>
      <c r="B2908" s="165"/>
      <c r="C2908" s="166"/>
      <c r="D2908" s="166"/>
      <c r="E2908" s="166"/>
      <c r="F2908" s="60">
        <f>ПЛАТЕЖИ[[#This Row],[СЎМ]]+(ПЛАТЕЖИ[[#This Row],[ВАЛЮТА]]*ПЛАТЕЖИ[[#This Row],[КУРС]])</f>
        <v>0</v>
      </c>
      <c r="G2908" s="165"/>
      <c r="H2908" s="165"/>
      <c r="I2908" s="165"/>
    </row>
    <row r="2909" spans="1:9" x14ac:dyDescent="0.3">
      <c r="A2909" s="164"/>
      <c r="B2909" s="165"/>
      <c r="C2909" s="166"/>
      <c r="D2909" s="166"/>
      <c r="E2909" s="166"/>
      <c r="F2909" s="60">
        <f>ПЛАТЕЖИ[[#This Row],[СЎМ]]+(ПЛАТЕЖИ[[#This Row],[ВАЛЮТА]]*ПЛАТЕЖИ[[#This Row],[КУРС]])</f>
        <v>0</v>
      </c>
      <c r="G2909" s="165"/>
      <c r="H2909" s="165"/>
      <c r="I2909" s="165"/>
    </row>
    <row r="2910" spans="1:9" x14ac:dyDescent="0.3">
      <c r="A2910" s="164"/>
      <c r="B2910" s="165"/>
      <c r="C2910" s="166"/>
      <c r="D2910" s="166"/>
      <c r="E2910" s="166"/>
      <c r="F2910" s="60">
        <f>ПЛАТЕЖИ[[#This Row],[СЎМ]]+(ПЛАТЕЖИ[[#This Row],[ВАЛЮТА]]*ПЛАТЕЖИ[[#This Row],[КУРС]])</f>
        <v>0</v>
      </c>
      <c r="G2910" s="165"/>
      <c r="H2910" s="165"/>
      <c r="I2910" s="165"/>
    </row>
    <row r="2911" spans="1:9" x14ac:dyDescent="0.3">
      <c r="A2911" s="164"/>
      <c r="B2911" s="165"/>
      <c r="C2911" s="166"/>
      <c r="D2911" s="166"/>
      <c r="E2911" s="166"/>
      <c r="F2911" s="60">
        <f>ПЛАТЕЖИ[[#This Row],[СЎМ]]+(ПЛАТЕЖИ[[#This Row],[ВАЛЮТА]]*ПЛАТЕЖИ[[#This Row],[КУРС]])</f>
        <v>0</v>
      </c>
      <c r="G2911" s="165"/>
      <c r="H2911" s="165"/>
      <c r="I2911" s="165"/>
    </row>
    <row r="2912" spans="1:9" x14ac:dyDescent="0.3">
      <c r="A2912" s="164"/>
      <c r="B2912" s="165"/>
      <c r="C2912" s="166"/>
      <c r="D2912" s="166"/>
      <c r="E2912" s="166"/>
      <c r="F2912" s="60">
        <f>ПЛАТЕЖИ[[#This Row],[СЎМ]]+(ПЛАТЕЖИ[[#This Row],[ВАЛЮТА]]*ПЛАТЕЖИ[[#This Row],[КУРС]])</f>
        <v>0</v>
      </c>
      <c r="G2912" s="165"/>
      <c r="H2912" s="165"/>
      <c r="I2912" s="165"/>
    </row>
    <row r="2913" spans="1:9" x14ac:dyDescent="0.3">
      <c r="A2913" s="164"/>
      <c r="B2913" s="165"/>
      <c r="C2913" s="166"/>
      <c r="D2913" s="166"/>
      <c r="E2913" s="166"/>
      <c r="F2913" s="60">
        <f>ПЛАТЕЖИ[[#This Row],[СЎМ]]+(ПЛАТЕЖИ[[#This Row],[ВАЛЮТА]]*ПЛАТЕЖИ[[#This Row],[КУРС]])</f>
        <v>0</v>
      </c>
      <c r="G2913" s="165"/>
      <c r="H2913" s="165"/>
      <c r="I2913" s="165"/>
    </row>
    <row r="2914" spans="1:9" x14ac:dyDescent="0.3">
      <c r="A2914" s="164"/>
      <c r="B2914" s="165"/>
      <c r="C2914" s="166"/>
      <c r="D2914" s="166"/>
      <c r="E2914" s="166"/>
      <c r="F2914" s="60">
        <f>ПЛАТЕЖИ[[#This Row],[СЎМ]]+(ПЛАТЕЖИ[[#This Row],[ВАЛЮТА]]*ПЛАТЕЖИ[[#This Row],[КУРС]])</f>
        <v>0</v>
      </c>
      <c r="G2914" s="165"/>
      <c r="H2914" s="165"/>
      <c r="I2914" s="165"/>
    </row>
    <row r="2915" spans="1:9" x14ac:dyDescent="0.3">
      <c r="A2915" s="164"/>
      <c r="B2915" s="165"/>
      <c r="C2915" s="166"/>
      <c r="D2915" s="166"/>
      <c r="E2915" s="166"/>
      <c r="F2915" s="60">
        <f>ПЛАТЕЖИ[[#This Row],[СЎМ]]+(ПЛАТЕЖИ[[#This Row],[ВАЛЮТА]]*ПЛАТЕЖИ[[#This Row],[КУРС]])</f>
        <v>0</v>
      </c>
      <c r="G2915" s="165"/>
      <c r="H2915" s="165"/>
      <c r="I2915" s="165"/>
    </row>
    <row r="2916" spans="1:9" x14ac:dyDescent="0.3">
      <c r="A2916" s="164"/>
      <c r="B2916" s="165"/>
      <c r="C2916" s="166"/>
      <c r="D2916" s="166"/>
      <c r="E2916" s="166"/>
      <c r="F2916" s="60">
        <f>ПЛАТЕЖИ[[#This Row],[СЎМ]]+(ПЛАТЕЖИ[[#This Row],[ВАЛЮТА]]*ПЛАТЕЖИ[[#This Row],[КУРС]])</f>
        <v>0</v>
      </c>
      <c r="G2916" s="165"/>
      <c r="H2916" s="165"/>
      <c r="I2916" s="165"/>
    </row>
    <row r="2917" spans="1:9" x14ac:dyDescent="0.3">
      <c r="A2917" s="164"/>
      <c r="B2917" s="165"/>
      <c r="C2917" s="166"/>
      <c r="D2917" s="166"/>
      <c r="E2917" s="166"/>
      <c r="F2917" s="60">
        <f>ПЛАТЕЖИ[[#This Row],[СЎМ]]+(ПЛАТЕЖИ[[#This Row],[ВАЛЮТА]]*ПЛАТЕЖИ[[#This Row],[КУРС]])</f>
        <v>0</v>
      </c>
      <c r="G2917" s="165"/>
      <c r="H2917" s="165"/>
      <c r="I2917" s="165"/>
    </row>
    <row r="2918" spans="1:9" x14ac:dyDescent="0.3">
      <c r="A2918" s="164"/>
      <c r="B2918" s="165"/>
      <c r="C2918" s="166"/>
      <c r="D2918" s="166"/>
      <c r="E2918" s="166"/>
      <c r="F2918" s="60">
        <f>ПЛАТЕЖИ[[#This Row],[СЎМ]]+(ПЛАТЕЖИ[[#This Row],[ВАЛЮТА]]*ПЛАТЕЖИ[[#This Row],[КУРС]])</f>
        <v>0</v>
      </c>
      <c r="G2918" s="165"/>
      <c r="H2918" s="165"/>
      <c r="I2918" s="165"/>
    </row>
    <row r="2919" spans="1:9" x14ac:dyDescent="0.3">
      <c r="A2919" s="164"/>
      <c r="B2919" s="165"/>
      <c r="C2919" s="166"/>
      <c r="D2919" s="166"/>
      <c r="E2919" s="166"/>
      <c r="F2919" s="60">
        <f>ПЛАТЕЖИ[[#This Row],[СЎМ]]+(ПЛАТЕЖИ[[#This Row],[ВАЛЮТА]]*ПЛАТЕЖИ[[#This Row],[КУРС]])</f>
        <v>0</v>
      </c>
      <c r="G2919" s="165"/>
      <c r="H2919" s="165"/>
      <c r="I2919" s="165"/>
    </row>
    <row r="2920" spans="1:9" x14ac:dyDescent="0.3">
      <c r="A2920" s="164"/>
      <c r="B2920" s="165"/>
      <c r="C2920" s="166"/>
      <c r="D2920" s="166"/>
      <c r="E2920" s="166"/>
      <c r="F2920" s="60">
        <f>ПЛАТЕЖИ[[#This Row],[СЎМ]]+(ПЛАТЕЖИ[[#This Row],[ВАЛЮТА]]*ПЛАТЕЖИ[[#This Row],[КУРС]])</f>
        <v>0</v>
      </c>
      <c r="G2920" s="165"/>
      <c r="H2920" s="165"/>
      <c r="I2920" s="165"/>
    </row>
    <row r="2921" spans="1:9" x14ac:dyDescent="0.3">
      <c r="A2921" s="164"/>
      <c r="B2921" s="165"/>
      <c r="C2921" s="166"/>
      <c r="D2921" s="166"/>
      <c r="E2921" s="166"/>
      <c r="F2921" s="60">
        <f>ПЛАТЕЖИ[[#This Row],[СЎМ]]+(ПЛАТЕЖИ[[#This Row],[ВАЛЮТА]]*ПЛАТЕЖИ[[#This Row],[КУРС]])</f>
        <v>0</v>
      </c>
      <c r="G2921" s="165"/>
      <c r="H2921" s="165"/>
      <c r="I2921" s="165"/>
    </row>
    <row r="2922" spans="1:9" x14ac:dyDescent="0.3">
      <c r="A2922" s="164"/>
      <c r="B2922" s="165"/>
      <c r="C2922" s="166"/>
      <c r="D2922" s="166"/>
      <c r="E2922" s="166"/>
      <c r="F2922" s="60">
        <f>ПЛАТЕЖИ[[#This Row],[СЎМ]]+(ПЛАТЕЖИ[[#This Row],[ВАЛЮТА]]*ПЛАТЕЖИ[[#This Row],[КУРС]])</f>
        <v>0</v>
      </c>
      <c r="G2922" s="165"/>
      <c r="H2922" s="165"/>
      <c r="I2922" s="165"/>
    </row>
    <row r="2923" spans="1:9" x14ac:dyDescent="0.3">
      <c r="A2923" s="164"/>
      <c r="B2923" s="165"/>
      <c r="C2923" s="166"/>
      <c r="D2923" s="166"/>
      <c r="E2923" s="166"/>
      <c r="F2923" s="60">
        <f>ПЛАТЕЖИ[[#This Row],[СЎМ]]+(ПЛАТЕЖИ[[#This Row],[ВАЛЮТА]]*ПЛАТЕЖИ[[#This Row],[КУРС]])</f>
        <v>0</v>
      </c>
      <c r="G2923" s="165"/>
      <c r="H2923" s="165"/>
      <c r="I2923" s="165"/>
    </row>
    <row r="2924" spans="1:9" x14ac:dyDescent="0.3">
      <c r="A2924" s="164"/>
      <c r="B2924" s="165"/>
      <c r="C2924" s="166"/>
      <c r="D2924" s="166"/>
      <c r="E2924" s="166"/>
      <c r="F2924" s="60">
        <f>ПЛАТЕЖИ[[#This Row],[СЎМ]]+(ПЛАТЕЖИ[[#This Row],[ВАЛЮТА]]*ПЛАТЕЖИ[[#This Row],[КУРС]])</f>
        <v>0</v>
      </c>
      <c r="G2924" s="165"/>
      <c r="H2924" s="165"/>
      <c r="I2924" s="165"/>
    </row>
    <row r="2925" spans="1:9" x14ac:dyDescent="0.3">
      <c r="A2925" s="164"/>
      <c r="B2925" s="165"/>
      <c r="C2925" s="166"/>
      <c r="D2925" s="166"/>
      <c r="E2925" s="166"/>
      <c r="F2925" s="60">
        <f>ПЛАТЕЖИ[[#This Row],[СЎМ]]+(ПЛАТЕЖИ[[#This Row],[ВАЛЮТА]]*ПЛАТЕЖИ[[#This Row],[КУРС]])</f>
        <v>0</v>
      </c>
      <c r="G2925" s="165"/>
      <c r="H2925" s="165"/>
      <c r="I2925" s="165"/>
    </row>
    <row r="2926" spans="1:9" x14ac:dyDescent="0.3">
      <c r="A2926" s="164"/>
      <c r="B2926" s="165"/>
      <c r="C2926" s="166"/>
      <c r="D2926" s="166"/>
      <c r="E2926" s="166"/>
      <c r="F2926" s="60">
        <f>ПЛАТЕЖИ[[#This Row],[СЎМ]]+(ПЛАТЕЖИ[[#This Row],[ВАЛЮТА]]*ПЛАТЕЖИ[[#This Row],[КУРС]])</f>
        <v>0</v>
      </c>
      <c r="G2926" s="165"/>
      <c r="H2926" s="165"/>
      <c r="I2926" s="165"/>
    </row>
    <row r="2927" spans="1:9" x14ac:dyDescent="0.3">
      <c r="A2927" s="164"/>
      <c r="B2927" s="165"/>
      <c r="C2927" s="166"/>
      <c r="D2927" s="166"/>
      <c r="E2927" s="166"/>
      <c r="F2927" s="60">
        <f>ПЛАТЕЖИ[[#This Row],[СЎМ]]+(ПЛАТЕЖИ[[#This Row],[ВАЛЮТА]]*ПЛАТЕЖИ[[#This Row],[КУРС]])</f>
        <v>0</v>
      </c>
      <c r="G2927" s="165"/>
      <c r="H2927" s="165"/>
      <c r="I2927" s="165"/>
    </row>
    <row r="2928" spans="1:9" x14ac:dyDescent="0.3">
      <c r="A2928" s="164"/>
      <c r="B2928" s="165"/>
      <c r="C2928" s="166"/>
      <c r="D2928" s="166"/>
      <c r="E2928" s="166"/>
      <c r="F2928" s="60">
        <f>ПЛАТЕЖИ[[#This Row],[СЎМ]]+(ПЛАТЕЖИ[[#This Row],[ВАЛЮТА]]*ПЛАТЕЖИ[[#This Row],[КУРС]])</f>
        <v>0</v>
      </c>
      <c r="G2928" s="165"/>
      <c r="H2928" s="165"/>
      <c r="I2928" s="165"/>
    </row>
    <row r="2929" spans="1:9" x14ac:dyDescent="0.3">
      <c r="A2929" s="164"/>
      <c r="B2929" s="165"/>
      <c r="C2929" s="166"/>
      <c r="D2929" s="166"/>
      <c r="E2929" s="166"/>
      <c r="F2929" s="60">
        <f>ПЛАТЕЖИ[[#This Row],[СЎМ]]+(ПЛАТЕЖИ[[#This Row],[ВАЛЮТА]]*ПЛАТЕЖИ[[#This Row],[КУРС]])</f>
        <v>0</v>
      </c>
      <c r="G2929" s="165"/>
      <c r="H2929" s="165"/>
      <c r="I2929" s="165"/>
    </row>
    <row r="2930" spans="1:9" x14ac:dyDescent="0.3">
      <c r="A2930" s="164"/>
      <c r="B2930" s="165"/>
      <c r="C2930" s="166"/>
      <c r="D2930" s="166"/>
      <c r="E2930" s="166"/>
      <c r="F2930" s="60">
        <f>ПЛАТЕЖИ[[#This Row],[СЎМ]]+(ПЛАТЕЖИ[[#This Row],[ВАЛЮТА]]*ПЛАТЕЖИ[[#This Row],[КУРС]])</f>
        <v>0</v>
      </c>
      <c r="G2930" s="165"/>
      <c r="H2930" s="165"/>
      <c r="I2930" s="165"/>
    </row>
    <row r="2931" spans="1:9" x14ac:dyDescent="0.3">
      <c r="A2931" s="164"/>
      <c r="B2931" s="165"/>
      <c r="C2931" s="166"/>
      <c r="D2931" s="166"/>
      <c r="E2931" s="166"/>
      <c r="F2931" s="60">
        <f>ПЛАТЕЖИ[[#This Row],[СЎМ]]+(ПЛАТЕЖИ[[#This Row],[ВАЛЮТА]]*ПЛАТЕЖИ[[#This Row],[КУРС]])</f>
        <v>0</v>
      </c>
      <c r="G2931" s="165"/>
      <c r="H2931" s="165"/>
      <c r="I2931" s="165"/>
    </row>
    <row r="2932" spans="1:9" x14ac:dyDescent="0.3">
      <c r="A2932" s="164"/>
      <c r="B2932" s="165"/>
      <c r="C2932" s="166"/>
      <c r="D2932" s="166"/>
      <c r="E2932" s="166"/>
      <c r="F2932" s="60">
        <f>ПЛАТЕЖИ[[#This Row],[СЎМ]]+(ПЛАТЕЖИ[[#This Row],[ВАЛЮТА]]*ПЛАТЕЖИ[[#This Row],[КУРС]])</f>
        <v>0</v>
      </c>
      <c r="G2932" s="165"/>
      <c r="H2932" s="165"/>
      <c r="I2932" s="165"/>
    </row>
    <row r="2933" spans="1:9" x14ac:dyDescent="0.3">
      <c r="A2933" s="164"/>
      <c r="B2933" s="165"/>
      <c r="C2933" s="166"/>
      <c r="D2933" s="166"/>
      <c r="E2933" s="166"/>
      <c r="F2933" s="60">
        <f>ПЛАТЕЖИ[[#This Row],[СЎМ]]+(ПЛАТЕЖИ[[#This Row],[ВАЛЮТА]]*ПЛАТЕЖИ[[#This Row],[КУРС]])</f>
        <v>0</v>
      </c>
      <c r="G2933" s="165"/>
      <c r="H2933" s="165"/>
      <c r="I2933" s="165"/>
    </row>
    <row r="2934" spans="1:9" x14ac:dyDescent="0.3">
      <c r="A2934" s="164"/>
      <c r="B2934" s="165"/>
      <c r="C2934" s="166"/>
      <c r="D2934" s="166"/>
      <c r="E2934" s="166"/>
      <c r="F2934" s="60">
        <f>ПЛАТЕЖИ[[#This Row],[СЎМ]]+(ПЛАТЕЖИ[[#This Row],[ВАЛЮТА]]*ПЛАТЕЖИ[[#This Row],[КУРС]])</f>
        <v>0</v>
      </c>
      <c r="G2934" s="165"/>
      <c r="H2934" s="165"/>
      <c r="I2934" s="165"/>
    </row>
    <row r="2935" spans="1:9" x14ac:dyDescent="0.3">
      <c r="A2935" s="164"/>
      <c r="B2935" s="165"/>
      <c r="C2935" s="166"/>
      <c r="D2935" s="166"/>
      <c r="E2935" s="166"/>
      <c r="F2935" s="60">
        <f>ПЛАТЕЖИ[[#This Row],[СЎМ]]+(ПЛАТЕЖИ[[#This Row],[ВАЛЮТА]]*ПЛАТЕЖИ[[#This Row],[КУРС]])</f>
        <v>0</v>
      </c>
      <c r="G2935" s="165"/>
      <c r="H2935" s="165"/>
      <c r="I2935" s="165"/>
    </row>
    <row r="2936" spans="1:9" x14ac:dyDescent="0.3">
      <c r="A2936" s="164"/>
      <c r="B2936" s="165"/>
      <c r="C2936" s="166"/>
      <c r="D2936" s="166"/>
      <c r="E2936" s="166"/>
      <c r="F2936" s="60">
        <f>ПЛАТЕЖИ[[#This Row],[СЎМ]]+(ПЛАТЕЖИ[[#This Row],[ВАЛЮТА]]*ПЛАТЕЖИ[[#This Row],[КУРС]])</f>
        <v>0</v>
      </c>
      <c r="G2936" s="165"/>
      <c r="H2936" s="165"/>
      <c r="I2936" s="165"/>
    </row>
    <row r="2937" spans="1:9" x14ac:dyDescent="0.3">
      <c r="A2937" s="164"/>
      <c r="B2937" s="165"/>
      <c r="C2937" s="166"/>
      <c r="D2937" s="166"/>
      <c r="E2937" s="166"/>
      <c r="F2937" s="60">
        <f>ПЛАТЕЖИ[[#This Row],[СЎМ]]+(ПЛАТЕЖИ[[#This Row],[ВАЛЮТА]]*ПЛАТЕЖИ[[#This Row],[КУРС]])</f>
        <v>0</v>
      </c>
      <c r="G2937" s="165"/>
      <c r="H2937" s="165"/>
      <c r="I2937" s="165"/>
    </row>
    <row r="2938" spans="1:9" x14ac:dyDescent="0.3">
      <c r="A2938" s="164"/>
      <c r="B2938" s="165"/>
      <c r="C2938" s="166"/>
      <c r="D2938" s="166"/>
      <c r="E2938" s="166"/>
      <c r="F2938" s="60">
        <f>ПЛАТЕЖИ[[#This Row],[СЎМ]]+(ПЛАТЕЖИ[[#This Row],[ВАЛЮТА]]*ПЛАТЕЖИ[[#This Row],[КУРС]])</f>
        <v>0</v>
      </c>
      <c r="G2938" s="165"/>
      <c r="H2938" s="165"/>
      <c r="I2938" s="165"/>
    </row>
    <row r="2939" spans="1:9" x14ac:dyDescent="0.3">
      <c r="A2939" s="164"/>
      <c r="B2939" s="165"/>
      <c r="C2939" s="166"/>
      <c r="D2939" s="166"/>
      <c r="E2939" s="166"/>
      <c r="F2939" s="60">
        <f>ПЛАТЕЖИ[[#This Row],[СЎМ]]+(ПЛАТЕЖИ[[#This Row],[ВАЛЮТА]]*ПЛАТЕЖИ[[#This Row],[КУРС]])</f>
        <v>0</v>
      </c>
      <c r="G2939" s="165"/>
      <c r="H2939" s="165"/>
      <c r="I2939" s="165"/>
    </row>
    <row r="2940" spans="1:9" x14ac:dyDescent="0.3">
      <c r="A2940" s="164"/>
      <c r="B2940" s="165"/>
      <c r="C2940" s="166"/>
      <c r="D2940" s="166"/>
      <c r="E2940" s="166"/>
      <c r="F2940" s="60">
        <f>ПЛАТЕЖИ[[#This Row],[СЎМ]]+(ПЛАТЕЖИ[[#This Row],[ВАЛЮТА]]*ПЛАТЕЖИ[[#This Row],[КУРС]])</f>
        <v>0</v>
      </c>
      <c r="G2940" s="165"/>
      <c r="H2940" s="165"/>
      <c r="I2940" s="165"/>
    </row>
    <row r="2941" spans="1:9" x14ac:dyDescent="0.3">
      <c r="A2941" s="164"/>
      <c r="B2941" s="165"/>
      <c r="C2941" s="166"/>
      <c r="D2941" s="166"/>
      <c r="E2941" s="166"/>
      <c r="F2941" s="60">
        <f>ПЛАТЕЖИ[[#This Row],[СЎМ]]+(ПЛАТЕЖИ[[#This Row],[ВАЛЮТА]]*ПЛАТЕЖИ[[#This Row],[КУРС]])</f>
        <v>0</v>
      </c>
      <c r="G2941" s="165"/>
      <c r="H2941" s="165"/>
      <c r="I2941" s="165"/>
    </row>
    <row r="2942" spans="1:9" x14ac:dyDescent="0.3">
      <c r="A2942" s="164"/>
      <c r="B2942" s="165"/>
      <c r="C2942" s="166"/>
      <c r="D2942" s="166"/>
      <c r="E2942" s="166"/>
      <c r="F2942" s="60">
        <f>ПЛАТЕЖИ[[#This Row],[СЎМ]]+(ПЛАТЕЖИ[[#This Row],[ВАЛЮТА]]*ПЛАТЕЖИ[[#This Row],[КУРС]])</f>
        <v>0</v>
      </c>
      <c r="G2942" s="165"/>
      <c r="H2942" s="165"/>
      <c r="I2942" s="165"/>
    </row>
    <row r="2943" spans="1:9" x14ac:dyDescent="0.3">
      <c r="A2943" s="164"/>
      <c r="B2943" s="165"/>
      <c r="C2943" s="166"/>
      <c r="D2943" s="166"/>
      <c r="E2943" s="166"/>
      <c r="F2943" s="60">
        <f>ПЛАТЕЖИ[[#This Row],[СЎМ]]+(ПЛАТЕЖИ[[#This Row],[ВАЛЮТА]]*ПЛАТЕЖИ[[#This Row],[КУРС]])</f>
        <v>0</v>
      </c>
      <c r="G2943" s="165"/>
      <c r="H2943" s="165"/>
      <c r="I2943" s="165"/>
    </row>
    <row r="2944" spans="1:9" x14ac:dyDescent="0.3">
      <c r="A2944" s="164"/>
      <c r="B2944" s="165"/>
      <c r="C2944" s="166"/>
      <c r="D2944" s="166"/>
      <c r="E2944" s="166"/>
      <c r="F2944" s="60">
        <f>ПЛАТЕЖИ[[#This Row],[СЎМ]]+(ПЛАТЕЖИ[[#This Row],[ВАЛЮТА]]*ПЛАТЕЖИ[[#This Row],[КУРС]])</f>
        <v>0</v>
      </c>
      <c r="G2944" s="165"/>
      <c r="H2944" s="165"/>
      <c r="I2944" s="165"/>
    </row>
    <row r="2945" spans="1:9" x14ac:dyDescent="0.3">
      <c r="A2945" s="164"/>
      <c r="B2945" s="165"/>
      <c r="C2945" s="166"/>
      <c r="D2945" s="166"/>
      <c r="E2945" s="166"/>
      <c r="F2945" s="60">
        <f>ПЛАТЕЖИ[[#This Row],[СЎМ]]+(ПЛАТЕЖИ[[#This Row],[ВАЛЮТА]]*ПЛАТЕЖИ[[#This Row],[КУРС]])</f>
        <v>0</v>
      </c>
      <c r="G2945" s="165"/>
      <c r="H2945" s="165"/>
      <c r="I2945" s="165"/>
    </row>
    <row r="2946" spans="1:9" x14ac:dyDescent="0.3">
      <c r="A2946" s="164"/>
      <c r="B2946" s="165"/>
      <c r="C2946" s="166"/>
      <c r="D2946" s="166"/>
      <c r="E2946" s="166"/>
      <c r="F2946" s="60">
        <f>ПЛАТЕЖИ[[#This Row],[СЎМ]]+(ПЛАТЕЖИ[[#This Row],[ВАЛЮТА]]*ПЛАТЕЖИ[[#This Row],[КУРС]])</f>
        <v>0</v>
      </c>
      <c r="G2946" s="165"/>
      <c r="H2946" s="165"/>
      <c r="I2946" s="165"/>
    </row>
    <row r="2947" spans="1:9" x14ac:dyDescent="0.3">
      <c r="A2947" s="164"/>
      <c r="B2947" s="165"/>
      <c r="C2947" s="166"/>
      <c r="D2947" s="166"/>
      <c r="E2947" s="166"/>
      <c r="F2947" s="60">
        <f>ПЛАТЕЖИ[[#This Row],[СЎМ]]+(ПЛАТЕЖИ[[#This Row],[ВАЛЮТА]]*ПЛАТЕЖИ[[#This Row],[КУРС]])</f>
        <v>0</v>
      </c>
      <c r="G2947" s="165"/>
      <c r="H2947" s="165"/>
      <c r="I2947" s="165"/>
    </row>
    <row r="2948" spans="1:9" x14ac:dyDescent="0.3">
      <c r="A2948" s="164"/>
      <c r="B2948" s="165"/>
      <c r="C2948" s="166"/>
      <c r="D2948" s="166"/>
      <c r="E2948" s="166"/>
      <c r="F2948" s="60">
        <f>ПЛАТЕЖИ[[#This Row],[СЎМ]]+(ПЛАТЕЖИ[[#This Row],[ВАЛЮТА]]*ПЛАТЕЖИ[[#This Row],[КУРС]])</f>
        <v>0</v>
      </c>
      <c r="G2948" s="165"/>
      <c r="H2948" s="165"/>
      <c r="I2948" s="165"/>
    </row>
    <row r="2949" spans="1:9" x14ac:dyDescent="0.3">
      <c r="A2949" s="164"/>
      <c r="B2949" s="165"/>
      <c r="C2949" s="166"/>
      <c r="D2949" s="166"/>
      <c r="E2949" s="166"/>
      <c r="F2949" s="60">
        <f>ПЛАТЕЖИ[[#This Row],[СЎМ]]+(ПЛАТЕЖИ[[#This Row],[ВАЛЮТА]]*ПЛАТЕЖИ[[#This Row],[КУРС]])</f>
        <v>0</v>
      </c>
      <c r="G2949" s="165"/>
      <c r="H2949" s="165"/>
      <c r="I2949" s="165"/>
    </row>
    <row r="2950" spans="1:9" x14ac:dyDescent="0.3">
      <c r="A2950" s="164"/>
      <c r="B2950" s="165"/>
      <c r="C2950" s="166"/>
      <c r="D2950" s="166"/>
      <c r="E2950" s="166"/>
      <c r="F2950" s="60">
        <f>ПЛАТЕЖИ[[#This Row],[СЎМ]]+(ПЛАТЕЖИ[[#This Row],[ВАЛЮТА]]*ПЛАТЕЖИ[[#This Row],[КУРС]])</f>
        <v>0</v>
      </c>
      <c r="G2950" s="165"/>
      <c r="H2950" s="165"/>
      <c r="I2950" s="165"/>
    </row>
    <row r="2951" spans="1:9" x14ac:dyDescent="0.3">
      <c r="A2951" s="164"/>
      <c r="B2951" s="165"/>
      <c r="C2951" s="166"/>
      <c r="D2951" s="166"/>
      <c r="E2951" s="166"/>
      <c r="F2951" s="60">
        <f>ПЛАТЕЖИ[[#This Row],[СЎМ]]+(ПЛАТЕЖИ[[#This Row],[ВАЛЮТА]]*ПЛАТЕЖИ[[#This Row],[КУРС]])</f>
        <v>0</v>
      </c>
      <c r="G2951" s="165"/>
      <c r="H2951" s="165"/>
      <c r="I2951" s="165"/>
    </row>
    <row r="2952" spans="1:9" x14ac:dyDescent="0.3">
      <c r="A2952" s="164"/>
      <c r="B2952" s="165"/>
      <c r="C2952" s="166"/>
      <c r="D2952" s="166"/>
      <c r="E2952" s="166"/>
      <c r="F2952" s="60">
        <f>ПЛАТЕЖИ[[#This Row],[СЎМ]]+(ПЛАТЕЖИ[[#This Row],[ВАЛЮТА]]*ПЛАТЕЖИ[[#This Row],[КУРС]])</f>
        <v>0</v>
      </c>
      <c r="G2952" s="165"/>
      <c r="H2952" s="165"/>
      <c r="I2952" s="165"/>
    </row>
    <row r="2953" spans="1:9" x14ac:dyDescent="0.3">
      <c r="A2953" s="164"/>
      <c r="B2953" s="165"/>
      <c r="C2953" s="166"/>
      <c r="D2953" s="166"/>
      <c r="E2953" s="166"/>
      <c r="F2953" s="60">
        <f>ПЛАТЕЖИ[[#This Row],[СЎМ]]+(ПЛАТЕЖИ[[#This Row],[ВАЛЮТА]]*ПЛАТЕЖИ[[#This Row],[КУРС]])</f>
        <v>0</v>
      </c>
      <c r="G2953" s="165"/>
      <c r="H2953" s="165"/>
      <c r="I2953" s="165"/>
    </row>
    <row r="2954" spans="1:9" x14ac:dyDescent="0.3">
      <c r="A2954" s="164"/>
      <c r="B2954" s="165"/>
      <c r="C2954" s="166"/>
      <c r="D2954" s="166"/>
      <c r="E2954" s="166"/>
      <c r="F2954" s="60">
        <f>ПЛАТЕЖИ[[#This Row],[СЎМ]]+(ПЛАТЕЖИ[[#This Row],[ВАЛЮТА]]*ПЛАТЕЖИ[[#This Row],[КУРС]])</f>
        <v>0</v>
      </c>
      <c r="G2954" s="165"/>
      <c r="H2954" s="165"/>
      <c r="I2954" s="165"/>
    </row>
    <row r="2955" spans="1:9" x14ac:dyDescent="0.3">
      <c r="A2955" s="164"/>
      <c r="B2955" s="165"/>
      <c r="C2955" s="166"/>
      <c r="D2955" s="166"/>
      <c r="E2955" s="166"/>
      <c r="F2955" s="60">
        <f>ПЛАТЕЖИ[[#This Row],[СЎМ]]+(ПЛАТЕЖИ[[#This Row],[ВАЛЮТА]]*ПЛАТЕЖИ[[#This Row],[КУРС]])</f>
        <v>0</v>
      </c>
      <c r="G2955" s="165"/>
      <c r="H2955" s="165"/>
      <c r="I2955" s="165"/>
    </row>
    <row r="2956" spans="1:9" x14ac:dyDescent="0.3">
      <c r="A2956" s="164"/>
      <c r="B2956" s="165"/>
      <c r="C2956" s="166"/>
      <c r="D2956" s="166"/>
      <c r="E2956" s="166"/>
      <c r="F2956" s="60">
        <f>ПЛАТЕЖИ[[#This Row],[СЎМ]]+(ПЛАТЕЖИ[[#This Row],[ВАЛЮТА]]*ПЛАТЕЖИ[[#This Row],[КУРС]])</f>
        <v>0</v>
      </c>
      <c r="G2956" s="165"/>
      <c r="H2956" s="165"/>
      <c r="I2956" s="165"/>
    </row>
    <row r="2957" spans="1:9" x14ac:dyDescent="0.3">
      <c r="A2957" s="164"/>
      <c r="B2957" s="165"/>
      <c r="C2957" s="166"/>
      <c r="D2957" s="166"/>
      <c r="E2957" s="166"/>
      <c r="F2957" s="60">
        <f>ПЛАТЕЖИ[[#This Row],[СЎМ]]+(ПЛАТЕЖИ[[#This Row],[ВАЛЮТА]]*ПЛАТЕЖИ[[#This Row],[КУРС]])</f>
        <v>0</v>
      </c>
      <c r="G2957" s="165"/>
      <c r="H2957" s="165"/>
      <c r="I2957" s="165"/>
    </row>
    <row r="2958" spans="1:9" x14ac:dyDescent="0.3">
      <c r="A2958" s="164"/>
      <c r="B2958" s="165"/>
      <c r="C2958" s="166"/>
      <c r="D2958" s="166"/>
      <c r="E2958" s="166"/>
      <c r="F2958" s="60">
        <f>ПЛАТЕЖИ[[#This Row],[СЎМ]]+(ПЛАТЕЖИ[[#This Row],[ВАЛЮТА]]*ПЛАТЕЖИ[[#This Row],[КУРС]])</f>
        <v>0</v>
      </c>
      <c r="G2958" s="165"/>
      <c r="H2958" s="165"/>
      <c r="I2958" s="165"/>
    </row>
    <row r="2959" spans="1:9" x14ac:dyDescent="0.3">
      <c r="A2959" s="164"/>
      <c r="B2959" s="165"/>
      <c r="C2959" s="166"/>
      <c r="D2959" s="166"/>
      <c r="E2959" s="166"/>
      <c r="F2959" s="60">
        <f>ПЛАТЕЖИ[[#This Row],[СЎМ]]+(ПЛАТЕЖИ[[#This Row],[ВАЛЮТА]]*ПЛАТЕЖИ[[#This Row],[КУРС]])</f>
        <v>0</v>
      </c>
      <c r="G2959" s="165"/>
      <c r="H2959" s="165"/>
      <c r="I2959" s="165"/>
    </row>
    <row r="2960" spans="1:9" x14ac:dyDescent="0.3">
      <c r="A2960" s="164"/>
      <c r="B2960" s="165"/>
      <c r="C2960" s="166"/>
      <c r="D2960" s="166"/>
      <c r="E2960" s="166"/>
      <c r="F2960" s="60">
        <f>ПЛАТЕЖИ[[#This Row],[СЎМ]]+(ПЛАТЕЖИ[[#This Row],[ВАЛЮТА]]*ПЛАТЕЖИ[[#This Row],[КУРС]])</f>
        <v>0</v>
      </c>
      <c r="G2960" s="165"/>
      <c r="H2960" s="165"/>
      <c r="I2960" s="165"/>
    </row>
    <row r="2961" spans="1:9" x14ac:dyDescent="0.3">
      <c r="A2961" s="164"/>
      <c r="B2961" s="165"/>
      <c r="C2961" s="166"/>
      <c r="D2961" s="166"/>
      <c r="E2961" s="166"/>
      <c r="F2961" s="60">
        <f>ПЛАТЕЖИ[[#This Row],[СЎМ]]+(ПЛАТЕЖИ[[#This Row],[ВАЛЮТА]]*ПЛАТЕЖИ[[#This Row],[КУРС]])</f>
        <v>0</v>
      </c>
      <c r="G2961" s="165"/>
      <c r="H2961" s="165"/>
      <c r="I2961" s="165"/>
    </row>
    <row r="2962" spans="1:9" x14ac:dyDescent="0.3">
      <c r="A2962" s="164"/>
      <c r="B2962" s="165"/>
      <c r="C2962" s="166"/>
      <c r="D2962" s="166"/>
      <c r="E2962" s="166"/>
      <c r="F2962" s="60">
        <f>ПЛАТЕЖИ[[#This Row],[СЎМ]]+(ПЛАТЕЖИ[[#This Row],[ВАЛЮТА]]*ПЛАТЕЖИ[[#This Row],[КУРС]])</f>
        <v>0</v>
      </c>
      <c r="G2962" s="165"/>
      <c r="H2962" s="165"/>
      <c r="I2962" s="165"/>
    </row>
    <row r="2963" spans="1:9" x14ac:dyDescent="0.3">
      <c r="A2963" s="164"/>
      <c r="B2963" s="165"/>
      <c r="C2963" s="166"/>
      <c r="D2963" s="166"/>
      <c r="E2963" s="166"/>
      <c r="F2963" s="60">
        <f>ПЛАТЕЖИ[[#This Row],[СЎМ]]+(ПЛАТЕЖИ[[#This Row],[ВАЛЮТА]]*ПЛАТЕЖИ[[#This Row],[КУРС]])</f>
        <v>0</v>
      </c>
      <c r="G2963" s="165"/>
      <c r="H2963" s="165"/>
      <c r="I2963" s="165"/>
    </row>
    <row r="2964" spans="1:9" x14ac:dyDescent="0.3">
      <c r="A2964" s="164"/>
      <c r="B2964" s="165"/>
      <c r="C2964" s="166"/>
      <c r="D2964" s="166"/>
      <c r="E2964" s="166"/>
      <c r="F2964" s="60">
        <f>ПЛАТЕЖИ[[#This Row],[СЎМ]]+(ПЛАТЕЖИ[[#This Row],[ВАЛЮТА]]*ПЛАТЕЖИ[[#This Row],[КУРС]])</f>
        <v>0</v>
      </c>
      <c r="G2964" s="165"/>
      <c r="H2964" s="165"/>
      <c r="I2964" s="165"/>
    </row>
    <row r="2965" spans="1:9" x14ac:dyDescent="0.3">
      <c r="A2965" s="164"/>
      <c r="B2965" s="165"/>
      <c r="C2965" s="166"/>
      <c r="D2965" s="166"/>
      <c r="E2965" s="166"/>
      <c r="F2965" s="60">
        <f>ПЛАТЕЖИ[[#This Row],[СЎМ]]+(ПЛАТЕЖИ[[#This Row],[ВАЛЮТА]]*ПЛАТЕЖИ[[#This Row],[КУРС]])</f>
        <v>0</v>
      </c>
      <c r="G2965" s="165"/>
      <c r="H2965" s="165"/>
      <c r="I2965" s="165"/>
    </row>
    <row r="2966" spans="1:9" x14ac:dyDescent="0.3">
      <c r="A2966" s="164"/>
      <c r="B2966" s="165"/>
      <c r="C2966" s="166"/>
      <c r="D2966" s="166"/>
      <c r="E2966" s="166"/>
      <c r="F2966" s="60">
        <f>ПЛАТЕЖИ[[#This Row],[СЎМ]]+(ПЛАТЕЖИ[[#This Row],[ВАЛЮТА]]*ПЛАТЕЖИ[[#This Row],[КУРС]])</f>
        <v>0</v>
      </c>
      <c r="G2966" s="165"/>
      <c r="H2966" s="165"/>
      <c r="I2966" s="165"/>
    </row>
    <row r="2967" spans="1:9" x14ac:dyDescent="0.3">
      <c r="A2967" s="164"/>
      <c r="B2967" s="165"/>
      <c r="C2967" s="166"/>
      <c r="D2967" s="166"/>
      <c r="E2967" s="166"/>
      <c r="F2967" s="60">
        <f>ПЛАТЕЖИ[[#This Row],[СЎМ]]+(ПЛАТЕЖИ[[#This Row],[ВАЛЮТА]]*ПЛАТЕЖИ[[#This Row],[КУРС]])</f>
        <v>0</v>
      </c>
      <c r="G2967" s="165"/>
      <c r="H2967" s="165"/>
      <c r="I2967" s="165"/>
    </row>
    <row r="2968" spans="1:9" x14ac:dyDescent="0.3">
      <c r="A2968" s="164"/>
      <c r="B2968" s="165"/>
      <c r="C2968" s="166"/>
      <c r="D2968" s="166"/>
      <c r="E2968" s="166"/>
      <c r="F2968" s="60">
        <f>ПЛАТЕЖИ[[#This Row],[СЎМ]]+(ПЛАТЕЖИ[[#This Row],[ВАЛЮТА]]*ПЛАТЕЖИ[[#This Row],[КУРС]])</f>
        <v>0</v>
      </c>
      <c r="G2968" s="165"/>
      <c r="H2968" s="165"/>
      <c r="I2968" s="165"/>
    </row>
    <row r="2969" spans="1:9" x14ac:dyDescent="0.3">
      <c r="A2969" s="164"/>
      <c r="B2969" s="165"/>
      <c r="C2969" s="166"/>
      <c r="D2969" s="166"/>
      <c r="E2969" s="166"/>
      <c r="F2969" s="60">
        <f>ПЛАТЕЖИ[[#This Row],[СЎМ]]+(ПЛАТЕЖИ[[#This Row],[ВАЛЮТА]]*ПЛАТЕЖИ[[#This Row],[КУРС]])</f>
        <v>0</v>
      </c>
      <c r="G2969" s="165"/>
      <c r="H2969" s="165"/>
      <c r="I2969" s="165"/>
    </row>
    <row r="2970" spans="1:9" x14ac:dyDescent="0.3">
      <c r="A2970" s="164"/>
      <c r="B2970" s="165"/>
      <c r="C2970" s="166"/>
      <c r="D2970" s="166"/>
      <c r="E2970" s="166"/>
      <c r="F2970" s="60">
        <f>ПЛАТЕЖИ[[#This Row],[СЎМ]]+(ПЛАТЕЖИ[[#This Row],[ВАЛЮТА]]*ПЛАТЕЖИ[[#This Row],[КУРС]])</f>
        <v>0</v>
      </c>
      <c r="G2970" s="165"/>
      <c r="H2970" s="165"/>
      <c r="I2970" s="165"/>
    </row>
    <row r="2971" spans="1:9" x14ac:dyDescent="0.3">
      <c r="A2971" s="164"/>
      <c r="B2971" s="165"/>
      <c r="C2971" s="166"/>
      <c r="D2971" s="166"/>
      <c r="E2971" s="166"/>
      <c r="F2971" s="60">
        <f>ПЛАТЕЖИ[[#This Row],[СЎМ]]+(ПЛАТЕЖИ[[#This Row],[ВАЛЮТА]]*ПЛАТЕЖИ[[#This Row],[КУРС]])</f>
        <v>0</v>
      </c>
      <c r="G2971" s="165"/>
      <c r="H2971" s="165"/>
      <c r="I2971" s="165"/>
    </row>
    <row r="2972" spans="1:9" x14ac:dyDescent="0.3">
      <c r="A2972" s="164"/>
      <c r="B2972" s="165"/>
      <c r="C2972" s="166"/>
      <c r="D2972" s="166"/>
      <c r="E2972" s="166"/>
      <c r="F2972" s="60">
        <f>ПЛАТЕЖИ[[#This Row],[СЎМ]]+(ПЛАТЕЖИ[[#This Row],[ВАЛЮТА]]*ПЛАТЕЖИ[[#This Row],[КУРС]])</f>
        <v>0</v>
      </c>
      <c r="G2972" s="165"/>
      <c r="H2972" s="165"/>
      <c r="I2972" s="165"/>
    </row>
    <row r="2973" spans="1:9" x14ac:dyDescent="0.3">
      <c r="A2973" s="164"/>
      <c r="B2973" s="165"/>
      <c r="C2973" s="166"/>
      <c r="D2973" s="166"/>
      <c r="E2973" s="166"/>
      <c r="F2973" s="60">
        <f>ПЛАТЕЖИ[[#This Row],[СЎМ]]+(ПЛАТЕЖИ[[#This Row],[ВАЛЮТА]]*ПЛАТЕЖИ[[#This Row],[КУРС]])</f>
        <v>0</v>
      </c>
      <c r="G2973" s="165"/>
      <c r="H2973" s="165"/>
      <c r="I2973" s="165"/>
    </row>
    <row r="2974" spans="1:9" x14ac:dyDescent="0.3">
      <c r="A2974" s="164"/>
      <c r="B2974" s="165"/>
      <c r="C2974" s="166"/>
      <c r="D2974" s="166"/>
      <c r="E2974" s="166"/>
      <c r="F2974" s="60">
        <f>ПЛАТЕЖИ[[#This Row],[СЎМ]]+(ПЛАТЕЖИ[[#This Row],[ВАЛЮТА]]*ПЛАТЕЖИ[[#This Row],[КУРС]])</f>
        <v>0</v>
      </c>
      <c r="G2974" s="165"/>
      <c r="H2974" s="165"/>
      <c r="I2974" s="165"/>
    </row>
    <row r="2975" spans="1:9" x14ac:dyDescent="0.3">
      <c r="A2975" s="164"/>
      <c r="B2975" s="165"/>
      <c r="C2975" s="166"/>
      <c r="D2975" s="166"/>
      <c r="E2975" s="166"/>
      <c r="F2975" s="60">
        <f>ПЛАТЕЖИ[[#This Row],[СЎМ]]+(ПЛАТЕЖИ[[#This Row],[ВАЛЮТА]]*ПЛАТЕЖИ[[#This Row],[КУРС]])</f>
        <v>0</v>
      </c>
      <c r="G2975" s="165"/>
      <c r="H2975" s="165"/>
      <c r="I2975" s="165"/>
    </row>
    <row r="2976" spans="1:9" x14ac:dyDescent="0.3">
      <c r="A2976" s="164"/>
      <c r="B2976" s="165"/>
      <c r="C2976" s="166"/>
      <c r="D2976" s="166"/>
      <c r="E2976" s="166"/>
      <c r="F2976" s="60">
        <f>ПЛАТЕЖИ[[#This Row],[СЎМ]]+(ПЛАТЕЖИ[[#This Row],[ВАЛЮТА]]*ПЛАТЕЖИ[[#This Row],[КУРС]])</f>
        <v>0</v>
      </c>
      <c r="G2976" s="165"/>
      <c r="H2976" s="165"/>
      <c r="I2976" s="165"/>
    </row>
    <row r="2977" spans="1:9" x14ac:dyDescent="0.3">
      <c r="A2977" s="164"/>
      <c r="B2977" s="165"/>
      <c r="C2977" s="166"/>
      <c r="D2977" s="166"/>
      <c r="E2977" s="166"/>
      <c r="F2977" s="60">
        <f>ПЛАТЕЖИ[[#This Row],[СЎМ]]+(ПЛАТЕЖИ[[#This Row],[ВАЛЮТА]]*ПЛАТЕЖИ[[#This Row],[КУРС]])</f>
        <v>0</v>
      </c>
      <c r="G2977" s="165"/>
      <c r="H2977" s="165"/>
      <c r="I2977" s="165"/>
    </row>
    <row r="2978" spans="1:9" x14ac:dyDescent="0.3">
      <c r="A2978" s="164"/>
      <c r="B2978" s="165"/>
      <c r="C2978" s="166"/>
      <c r="D2978" s="166"/>
      <c r="E2978" s="166"/>
      <c r="F2978" s="60">
        <f>ПЛАТЕЖИ[[#This Row],[СЎМ]]+(ПЛАТЕЖИ[[#This Row],[ВАЛЮТА]]*ПЛАТЕЖИ[[#This Row],[КУРС]])</f>
        <v>0</v>
      </c>
      <c r="G2978" s="165"/>
      <c r="H2978" s="165"/>
      <c r="I2978" s="165"/>
    </row>
    <row r="2979" spans="1:9" x14ac:dyDescent="0.3">
      <c r="A2979" s="164"/>
      <c r="B2979" s="165"/>
      <c r="C2979" s="166"/>
      <c r="D2979" s="166"/>
      <c r="E2979" s="166"/>
      <c r="F2979" s="60">
        <f>ПЛАТЕЖИ[[#This Row],[СЎМ]]+(ПЛАТЕЖИ[[#This Row],[ВАЛЮТА]]*ПЛАТЕЖИ[[#This Row],[КУРС]])</f>
        <v>0</v>
      </c>
      <c r="G2979" s="165"/>
      <c r="H2979" s="165"/>
      <c r="I2979" s="165"/>
    </row>
    <row r="2980" spans="1:9" x14ac:dyDescent="0.3">
      <c r="A2980" s="164"/>
      <c r="B2980" s="165"/>
      <c r="C2980" s="166"/>
      <c r="D2980" s="166"/>
      <c r="E2980" s="166"/>
      <c r="F2980" s="60">
        <f>ПЛАТЕЖИ[[#This Row],[СЎМ]]+(ПЛАТЕЖИ[[#This Row],[ВАЛЮТА]]*ПЛАТЕЖИ[[#This Row],[КУРС]])</f>
        <v>0</v>
      </c>
      <c r="G2980" s="165"/>
      <c r="H2980" s="165"/>
      <c r="I2980" s="165"/>
    </row>
    <row r="2981" spans="1:9" x14ac:dyDescent="0.3">
      <c r="A2981" s="164"/>
      <c r="B2981" s="165"/>
      <c r="C2981" s="166"/>
      <c r="D2981" s="166"/>
      <c r="E2981" s="166"/>
      <c r="F2981" s="60">
        <f>ПЛАТЕЖИ[[#This Row],[СЎМ]]+(ПЛАТЕЖИ[[#This Row],[ВАЛЮТА]]*ПЛАТЕЖИ[[#This Row],[КУРС]])</f>
        <v>0</v>
      </c>
      <c r="G2981" s="165"/>
      <c r="H2981" s="165"/>
      <c r="I2981" s="165"/>
    </row>
    <row r="2982" spans="1:9" x14ac:dyDescent="0.3">
      <c r="A2982" s="164"/>
      <c r="B2982" s="165"/>
      <c r="C2982" s="166"/>
      <c r="D2982" s="166"/>
      <c r="E2982" s="166"/>
      <c r="F2982" s="60">
        <f>ПЛАТЕЖИ[[#This Row],[СЎМ]]+(ПЛАТЕЖИ[[#This Row],[ВАЛЮТА]]*ПЛАТЕЖИ[[#This Row],[КУРС]])</f>
        <v>0</v>
      </c>
      <c r="G2982" s="165"/>
      <c r="H2982" s="165"/>
      <c r="I2982" s="165"/>
    </row>
    <row r="2983" spans="1:9" x14ac:dyDescent="0.3">
      <c r="A2983" s="164"/>
      <c r="B2983" s="165"/>
      <c r="C2983" s="166"/>
      <c r="D2983" s="166"/>
      <c r="E2983" s="166"/>
      <c r="F2983" s="60">
        <f>ПЛАТЕЖИ[[#This Row],[СЎМ]]+(ПЛАТЕЖИ[[#This Row],[ВАЛЮТА]]*ПЛАТЕЖИ[[#This Row],[КУРС]])</f>
        <v>0</v>
      </c>
      <c r="G2983" s="165"/>
      <c r="H2983" s="165"/>
      <c r="I2983" s="165"/>
    </row>
    <row r="2984" spans="1:9" x14ac:dyDescent="0.3">
      <c r="A2984" s="164"/>
      <c r="B2984" s="165"/>
      <c r="C2984" s="166"/>
      <c r="D2984" s="166"/>
      <c r="E2984" s="166"/>
      <c r="F2984" s="60">
        <f>ПЛАТЕЖИ[[#This Row],[СЎМ]]+(ПЛАТЕЖИ[[#This Row],[ВАЛЮТА]]*ПЛАТЕЖИ[[#This Row],[КУРС]])</f>
        <v>0</v>
      </c>
      <c r="G2984" s="165"/>
      <c r="H2984" s="165"/>
      <c r="I2984" s="165"/>
    </row>
    <row r="2985" spans="1:9" x14ac:dyDescent="0.3">
      <c r="A2985" s="164"/>
      <c r="B2985" s="165"/>
      <c r="C2985" s="166"/>
      <c r="D2985" s="166"/>
      <c r="E2985" s="166"/>
      <c r="F2985" s="60">
        <f>ПЛАТЕЖИ[[#This Row],[СЎМ]]+(ПЛАТЕЖИ[[#This Row],[ВАЛЮТА]]*ПЛАТЕЖИ[[#This Row],[КУРС]])</f>
        <v>0</v>
      </c>
      <c r="G2985" s="165"/>
      <c r="H2985" s="165"/>
      <c r="I2985" s="165"/>
    </row>
    <row r="2986" spans="1:9" x14ac:dyDescent="0.3">
      <c r="A2986" s="164"/>
      <c r="B2986" s="165"/>
      <c r="C2986" s="166"/>
      <c r="D2986" s="166"/>
      <c r="E2986" s="166"/>
      <c r="F2986" s="60">
        <f>ПЛАТЕЖИ[[#This Row],[СЎМ]]+(ПЛАТЕЖИ[[#This Row],[ВАЛЮТА]]*ПЛАТЕЖИ[[#This Row],[КУРС]])</f>
        <v>0</v>
      </c>
      <c r="G2986" s="165"/>
      <c r="H2986" s="165"/>
      <c r="I2986" s="165"/>
    </row>
    <row r="2987" spans="1:9" x14ac:dyDescent="0.3">
      <c r="A2987" s="164"/>
      <c r="B2987" s="165"/>
      <c r="C2987" s="166"/>
      <c r="D2987" s="166"/>
      <c r="E2987" s="166"/>
      <c r="F2987" s="60">
        <f>ПЛАТЕЖИ[[#This Row],[СЎМ]]+(ПЛАТЕЖИ[[#This Row],[ВАЛЮТА]]*ПЛАТЕЖИ[[#This Row],[КУРС]])</f>
        <v>0</v>
      </c>
      <c r="G2987" s="165"/>
      <c r="H2987" s="165"/>
      <c r="I2987" s="165"/>
    </row>
    <row r="2988" spans="1:9" x14ac:dyDescent="0.3">
      <c r="A2988" s="164"/>
      <c r="B2988" s="165"/>
      <c r="C2988" s="166"/>
      <c r="D2988" s="166"/>
      <c r="E2988" s="166"/>
      <c r="F2988" s="60">
        <f>ПЛАТЕЖИ[[#This Row],[СЎМ]]+(ПЛАТЕЖИ[[#This Row],[ВАЛЮТА]]*ПЛАТЕЖИ[[#This Row],[КУРС]])</f>
        <v>0</v>
      </c>
      <c r="G2988" s="165"/>
      <c r="H2988" s="165"/>
      <c r="I2988" s="165"/>
    </row>
    <row r="2989" spans="1:9" x14ac:dyDescent="0.3">
      <c r="A2989" s="164"/>
      <c r="B2989" s="165"/>
      <c r="C2989" s="166"/>
      <c r="D2989" s="166"/>
      <c r="E2989" s="166"/>
      <c r="F2989" s="60">
        <f>ПЛАТЕЖИ[[#This Row],[СЎМ]]+(ПЛАТЕЖИ[[#This Row],[ВАЛЮТА]]*ПЛАТЕЖИ[[#This Row],[КУРС]])</f>
        <v>0</v>
      </c>
      <c r="G2989" s="165"/>
      <c r="H2989" s="165"/>
      <c r="I2989" s="165"/>
    </row>
    <row r="2990" spans="1:9" x14ac:dyDescent="0.3">
      <c r="A2990" s="164"/>
      <c r="B2990" s="165"/>
      <c r="C2990" s="166"/>
      <c r="D2990" s="166"/>
      <c r="E2990" s="166"/>
      <c r="F2990" s="60">
        <f>ПЛАТЕЖИ[[#This Row],[СЎМ]]+(ПЛАТЕЖИ[[#This Row],[ВАЛЮТА]]*ПЛАТЕЖИ[[#This Row],[КУРС]])</f>
        <v>0</v>
      </c>
      <c r="G2990" s="165"/>
      <c r="H2990" s="165"/>
      <c r="I2990" s="165"/>
    </row>
    <row r="2991" spans="1:9" x14ac:dyDescent="0.3">
      <c r="A2991" s="164"/>
      <c r="B2991" s="165"/>
      <c r="C2991" s="166"/>
      <c r="D2991" s="166"/>
      <c r="E2991" s="166"/>
      <c r="F2991" s="60">
        <f>ПЛАТЕЖИ[[#This Row],[СЎМ]]+(ПЛАТЕЖИ[[#This Row],[ВАЛЮТА]]*ПЛАТЕЖИ[[#This Row],[КУРС]])</f>
        <v>0</v>
      </c>
      <c r="G2991" s="165"/>
      <c r="H2991" s="165"/>
      <c r="I2991" s="165"/>
    </row>
    <row r="2992" spans="1:9" x14ac:dyDescent="0.3">
      <c r="A2992" s="164"/>
      <c r="B2992" s="165"/>
      <c r="C2992" s="166"/>
      <c r="D2992" s="166"/>
      <c r="E2992" s="166"/>
      <c r="F2992" s="60">
        <f>ПЛАТЕЖИ[[#This Row],[СЎМ]]+(ПЛАТЕЖИ[[#This Row],[ВАЛЮТА]]*ПЛАТЕЖИ[[#This Row],[КУРС]])</f>
        <v>0</v>
      </c>
      <c r="G2992" s="165"/>
      <c r="H2992" s="165"/>
      <c r="I2992" s="165"/>
    </row>
    <row r="2993" spans="1:9" x14ac:dyDescent="0.3">
      <c r="A2993" s="164"/>
      <c r="B2993" s="165"/>
      <c r="C2993" s="166"/>
      <c r="D2993" s="166"/>
      <c r="E2993" s="166"/>
      <c r="F2993" s="60">
        <f>ПЛАТЕЖИ[[#This Row],[СЎМ]]+(ПЛАТЕЖИ[[#This Row],[ВАЛЮТА]]*ПЛАТЕЖИ[[#This Row],[КУРС]])</f>
        <v>0</v>
      </c>
      <c r="G2993" s="165"/>
      <c r="H2993" s="165"/>
      <c r="I2993" s="165"/>
    </row>
    <row r="2994" spans="1:9" x14ac:dyDescent="0.3">
      <c r="A2994" s="164"/>
      <c r="B2994" s="165"/>
      <c r="C2994" s="166"/>
      <c r="D2994" s="166"/>
      <c r="E2994" s="166"/>
      <c r="F2994" s="60">
        <f>ПЛАТЕЖИ[[#This Row],[СЎМ]]+(ПЛАТЕЖИ[[#This Row],[ВАЛЮТА]]*ПЛАТЕЖИ[[#This Row],[КУРС]])</f>
        <v>0</v>
      </c>
      <c r="G2994" s="165"/>
      <c r="H2994" s="165"/>
      <c r="I2994" s="165"/>
    </row>
    <row r="2995" spans="1:9" x14ac:dyDescent="0.3">
      <c r="A2995" s="164"/>
      <c r="B2995" s="165"/>
      <c r="C2995" s="166"/>
      <c r="D2995" s="166"/>
      <c r="E2995" s="166"/>
      <c r="F2995" s="60">
        <f>ПЛАТЕЖИ[[#This Row],[СЎМ]]+(ПЛАТЕЖИ[[#This Row],[ВАЛЮТА]]*ПЛАТЕЖИ[[#This Row],[КУРС]])</f>
        <v>0</v>
      </c>
      <c r="G2995" s="165"/>
      <c r="H2995" s="165"/>
      <c r="I2995" s="165"/>
    </row>
    <row r="2996" spans="1:9" x14ac:dyDescent="0.3">
      <c r="A2996" s="164"/>
      <c r="B2996" s="165"/>
      <c r="C2996" s="166"/>
      <c r="D2996" s="166"/>
      <c r="E2996" s="166"/>
      <c r="F2996" s="60">
        <f>ПЛАТЕЖИ[[#This Row],[СЎМ]]+(ПЛАТЕЖИ[[#This Row],[ВАЛЮТА]]*ПЛАТЕЖИ[[#This Row],[КУРС]])</f>
        <v>0</v>
      </c>
      <c r="G2996" s="165"/>
      <c r="H2996" s="165"/>
      <c r="I2996" s="165"/>
    </row>
    <row r="2997" spans="1:9" x14ac:dyDescent="0.3">
      <c r="A2997" s="164"/>
      <c r="B2997" s="165"/>
      <c r="C2997" s="166"/>
      <c r="D2997" s="166"/>
      <c r="E2997" s="166"/>
      <c r="F2997" s="60">
        <f>ПЛАТЕЖИ[[#This Row],[СЎМ]]+(ПЛАТЕЖИ[[#This Row],[ВАЛЮТА]]*ПЛАТЕЖИ[[#This Row],[КУРС]])</f>
        <v>0</v>
      </c>
      <c r="G2997" s="165"/>
      <c r="H2997" s="165"/>
      <c r="I2997" s="165"/>
    </row>
    <row r="2998" spans="1:9" x14ac:dyDescent="0.3">
      <c r="A2998" s="164"/>
      <c r="B2998" s="165"/>
      <c r="C2998" s="166"/>
      <c r="D2998" s="166"/>
      <c r="E2998" s="166"/>
      <c r="F2998" s="60">
        <f>ПЛАТЕЖИ[[#This Row],[СЎМ]]+(ПЛАТЕЖИ[[#This Row],[ВАЛЮТА]]*ПЛАТЕЖИ[[#This Row],[КУРС]])</f>
        <v>0</v>
      </c>
      <c r="G2998" s="165"/>
      <c r="H2998" s="165"/>
      <c r="I2998" s="165"/>
    </row>
    <row r="2999" spans="1:9" x14ac:dyDescent="0.3">
      <c r="A2999" s="164"/>
      <c r="B2999" s="165"/>
      <c r="C2999" s="166"/>
      <c r="D2999" s="166"/>
      <c r="E2999" s="166"/>
      <c r="F2999" s="60">
        <f>ПЛАТЕЖИ[[#This Row],[СЎМ]]+(ПЛАТЕЖИ[[#This Row],[ВАЛЮТА]]*ПЛАТЕЖИ[[#This Row],[КУРС]])</f>
        <v>0</v>
      </c>
      <c r="G2999" s="165"/>
      <c r="H2999" s="165"/>
      <c r="I2999" s="165"/>
    </row>
    <row r="3000" spans="1:9" x14ac:dyDescent="0.3">
      <c r="A3000" s="164"/>
      <c r="B3000" s="165"/>
      <c r="C3000" s="166"/>
      <c r="D3000" s="166"/>
      <c r="E3000" s="166"/>
      <c r="F3000" s="60">
        <f>ПЛАТЕЖИ[[#This Row],[СЎМ]]+(ПЛАТЕЖИ[[#This Row],[ВАЛЮТА]]*ПЛАТЕЖИ[[#This Row],[КУРС]])</f>
        <v>0</v>
      </c>
      <c r="G3000" s="165"/>
      <c r="H3000" s="165"/>
      <c r="I3000" s="165"/>
    </row>
    <row r="3001" spans="1:9" x14ac:dyDescent="0.3">
      <c r="A3001" s="164"/>
      <c r="B3001" s="165"/>
      <c r="C3001" s="166"/>
      <c r="D3001" s="166"/>
      <c r="E3001" s="166"/>
      <c r="F3001" s="60">
        <f>ПЛАТЕЖИ[[#This Row],[СЎМ]]+(ПЛАТЕЖИ[[#This Row],[ВАЛЮТА]]*ПЛАТЕЖИ[[#This Row],[КУРС]])</f>
        <v>0</v>
      </c>
      <c r="G3001" s="165"/>
      <c r="H3001" s="165"/>
      <c r="I3001" s="165"/>
    </row>
    <row r="3002" spans="1:9" x14ac:dyDescent="0.3">
      <c r="A3002" s="164"/>
      <c r="B3002" s="165"/>
      <c r="C3002" s="166"/>
      <c r="D3002" s="166"/>
      <c r="E3002" s="166"/>
      <c r="F3002" s="60">
        <f>ПЛАТЕЖИ[[#This Row],[СЎМ]]+(ПЛАТЕЖИ[[#This Row],[ВАЛЮТА]]*ПЛАТЕЖИ[[#This Row],[КУРС]])</f>
        <v>0</v>
      </c>
      <c r="G3002" s="165"/>
      <c r="H3002" s="165"/>
      <c r="I3002" s="165"/>
    </row>
    <row r="3003" spans="1:9" x14ac:dyDescent="0.3">
      <c r="A3003" s="164"/>
      <c r="B3003" s="165"/>
      <c r="C3003" s="166"/>
      <c r="D3003" s="166"/>
      <c r="E3003" s="166"/>
      <c r="F3003" s="60">
        <f>ПЛАТЕЖИ[[#This Row],[СЎМ]]+(ПЛАТЕЖИ[[#This Row],[ВАЛЮТА]]*ПЛАТЕЖИ[[#This Row],[КУРС]])</f>
        <v>0</v>
      </c>
      <c r="G3003" s="165"/>
      <c r="H3003" s="165"/>
      <c r="I3003" s="165"/>
    </row>
    <row r="3004" spans="1:9" x14ac:dyDescent="0.3">
      <c r="A3004" s="164"/>
      <c r="B3004" s="165"/>
      <c r="C3004" s="166"/>
      <c r="D3004" s="166"/>
      <c r="E3004" s="166"/>
      <c r="F3004" s="60">
        <f>ПЛАТЕЖИ[[#This Row],[СЎМ]]+(ПЛАТЕЖИ[[#This Row],[ВАЛЮТА]]*ПЛАТЕЖИ[[#This Row],[КУРС]])</f>
        <v>0</v>
      </c>
      <c r="G3004" s="165"/>
      <c r="H3004" s="165"/>
      <c r="I3004" s="165"/>
    </row>
    <row r="3005" spans="1:9" x14ac:dyDescent="0.3">
      <c r="A3005" s="164"/>
      <c r="B3005" s="165"/>
      <c r="C3005" s="166"/>
      <c r="D3005" s="166"/>
      <c r="E3005" s="166"/>
      <c r="F3005" s="60">
        <f>ПЛАТЕЖИ[[#This Row],[СЎМ]]+(ПЛАТЕЖИ[[#This Row],[ВАЛЮТА]]*ПЛАТЕЖИ[[#This Row],[КУРС]])</f>
        <v>0</v>
      </c>
      <c r="G3005" s="165"/>
      <c r="H3005" s="165"/>
      <c r="I3005" s="165"/>
    </row>
    <row r="3006" spans="1:9" x14ac:dyDescent="0.3">
      <c r="A3006" s="164"/>
      <c r="B3006" s="165"/>
      <c r="C3006" s="166"/>
      <c r="D3006" s="166"/>
      <c r="E3006" s="166"/>
      <c r="F3006" s="60">
        <f>ПЛАТЕЖИ[[#This Row],[СЎМ]]+(ПЛАТЕЖИ[[#This Row],[ВАЛЮТА]]*ПЛАТЕЖИ[[#This Row],[КУРС]])</f>
        <v>0</v>
      </c>
      <c r="G3006" s="165"/>
      <c r="H3006" s="165"/>
      <c r="I3006" s="165"/>
    </row>
    <row r="3007" spans="1:9" x14ac:dyDescent="0.3">
      <c r="A3007" s="164"/>
      <c r="B3007" s="165"/>
      <c r="C3007" s="166"/>
      <c r="D3007" s="166"/>
      <c r="E3007" s="166"/>
      <c r="F3007" s="60">
        <f>ПЛАТЕЖИ[[#This Row],[СЎМ]]+(ПЛАТЕЖИ[[#This Row],[ВАЛЮТА]]*ПЛАТЕЖИ[[#This Row],[КУРС]])</f>
        <v>0</v>
      </c>
      <c r="G3007" s="165"/>
      <c r="H3007" s="165"/>
      <c r="I3007" s="165"/>
    </row>
    <row r="3008" spans="1:9" x14ac:dyDescent="0.3">
      <c r="A3008" s="164"/>
      <c r="B3008" s="165"/>
      <c r="C3008" s="166"/>
      <c r="D3008" s="166"/>
      <c r="E3008" s="166"/>
      <c r="F3008" s="60">
        <f>ПЛАТЕЖИ[[#This Row],[СЎМ]]+(ПЛАТЕЖИ[[#This Row],[ВАЛЮТА]]*ПЛАТЕЖИ[[#This Row],[КУРС]])</f>
        <v>0</v>
      </c>
      <c r="G3008" s="165"/>
      <c r="H3008" s="165"/>
      <c r="I3008" s="165"/>
    </row>
    <row r="3009" spans="1:9" x14ac:dyDescent="0.3">
      <c r="A3009" s="164"/>
      <c r="B3009" s="165"/>
      <c r="C3009" s="166"/>
      <c r="D3009" s="166"/>
      <c r="E3009" s="166"/>
      <c r="F3009" s="60">
        <f>ПЛАТЕЖИ[[#This Row],[СЎМ]]+(ПЛАТЕЖИ[[#This Row],[ВАЛЮТА]]*ПЛАТЕЖИ[[#This Row],[КУРС]])</f>
        <v>0</v>
      </c>
      <c r="G3009" s="165"/>
      <c r="H3009" s="165"/>
      <c r="I3009" s="165"/>
    </row>
    <row r="3010" spans="1:9" x14ac:dyDescent="0.3">
      <c r="A3010" s="164"/>
      <c r="B3010" s="165"/>
      <c r="C3010" s="166"/>
      <c r="D3010" s="166"/>
      <c r="E3010" s="166"/>
      <c r="F3010" s="60">
        <f>ПЛАТЕЖИ[[#This Row],[СЎМ]]+(ПЛАТЕЖИ[[#This Row],[ВАЛЮТА]]*ПЛАТЕЖИ[[#This Row],[КУРС]])</f>
        <v>0</v>
      </c>
      <c r="G3010" s="165"/>
      <c r="H3010" s="165"/>
      <c r="I3010" s="165"/>
    </row>
    <row r="3011" spans="1:9" x14ac:dyDescent="0.3">
      <c r="A3011" s="164"/>
      <c r="B3011" s="165"/>
      <c r="C3011" s="166"/>
      <c r="D3011" s="166"/>
      <c r="E3011" s="166"/>
      <c r="F3011" s="60">
        <f>ПЛАТЕЖИ[[#This Row],[СЎМ]]+(ПЛАТЕЖИ[[#This Row],[ВАЛЮТА]]*ПЛАТЕЖИ[[#This Row],[КУРС]])</f>
        <v>0</v>
      </c>
      <c r="G3011" s="165"/>
      <c r="H3011" s="165"/>
      <c r="I3011" s="165"/>
    </row>
    <row r="3012" spans="1:9" x14ac:dyDescent="0.3">
      <c r="A3012" s="164"/>
      <c r="B3012" s="165"/>
      <c r="C3012" s="166"/>
      <c r="D3012" s="166"/>
      <c r="E3012" s="166"/>
      <c r="F3012" s="60">
        <f>ПЛАТЕЖИ[[#This Row],[СЎМ]]+(ПЛАТЕЖИ[[#This Row],[ВАЛЮТА]]*ПЛАТЕЖИ[[#This Row],[КУРС]])</f>
        <v>0</v>
      </c>
      <c r="G3012" s="165"/>
      <c r="H3012" s="165"/>
      <c r="I3012" s="165"/>
    </row>
    <row r="3013" spans="1:9" x14ac:dyDescent="0.3">
      <c r="A3013" s="164"/>
      <c r="B3013" s="165"/>
      <c r="C3013" s="166"/>
      <c r="D3013" s="166"/>
      <c r="E3013" s="166"/>
      <c r="F3013" s="60">
        <f>ПЛАТЕЖИ[[#This Row],[СЎМ]]+(ПЛАТЕЖИ[[#This Row],[ВАЛЮТА]]*ПЛАТЕЖИ[[#This Row],[КУРС]])</f>
        <v>0</v>
      </c>
      <c r="G3013" s="165"/>
      <c r="H3013" s="165"/>
      <c r="I3013" s="165"/>
    </row>
    <row r="3014" spans="1:9" x14ac:dyDescent="0.3">
      <c r="A3014" s="164"/>
      <c r="B3014" s="165"/>
      <c r="C3014" s="166"/>
      <c r="D3014" s="166"/>
      <c r="E3014" s="166"/>
      <c r="F3014" s="60">
        <f>ПЛАТЕЖИ[[#This Row],[СЎМ]]+(ПЛАТЕЖИ[[#This Row],[ВАЛЮТА]]*ПЛАТЕЖИ[[#This Row],[КУРС]])</f>
        <v>0</v>
      </c>
      <c r="G3014" s="165"/>
      <c r="H3014" s="165"/>
      <c r="I3014" s="165"/>
    </row>
    <row r="3015" spans="1:9" x14ac:dyDescent="0.3">
      <c r="A3015" s="164"/>
      <c r="B3015" s="165"/>
      <c r="C3015" s="166"/>
      <c r="D3015" s="166"/>
      <c r="E3015" s="166"/>
      <c r="F3015" s="60">
        <f>ПЛАТЕЖИ[[#This Row],[СЎМ]]+(ПЛАТЕЖИ[[#This Row],[ВАЛЮТА]]*ПЛАТЕЖИ[[#This Row],[КУРС]])</f>
        <v>0</v>
      </c>
      <c r="G3015" s="165"/>
      <c r="H3015" s="165"/>
      <c r="I3015" s="165"/>
    </row>
    <row r="3016" spans="1:9" x14ac:dyDescent="0.3">
      <c r="A3016" s="164"/>
      <c r="B3016" s="165"/>
      <c r="C3016" s="166"/>
      <c r="D3016" s="166"/>
      <c r="E3016" s="166"/>
      <c r="F3016" s="60">
        <f>ПЛАТЕЖИ[[#This Row],[СЎМ]]+(ПЛАТЕЖИ[[#This Row],[ВАЛЮТА]]*ПЛАТЕЖИ[[#This Row],[КУРС]])</f>
        <v>0</v>
      </c>
      <c r="G3016" s="165"/>
      <c r="H3016" s="165"/>
      <c r="I3016" s="165"/>
    </row>
    <row r="3017" spans="1:9" x14ac:dyDescent="0.3">
      <c r="A3017" s="164"/>
      <c r="B3017" s="165"/>
      <c r="C3017" s="166"/>
      <c r="D3017" s="166"/>
      <c r="E3017" s="166"/>
      <c r="F3017" s="60">
        <f>ПЛАТЕЖИ[[#This Row],[СЎМ]]+(ПЛАТЕЖИ[[#This Row],[ВАЛЮТА]]*ПЛАТЕЖИ[[#This Row],[КУРС]])</f>
        <v>0</v>
      </c>
      <c r="G3017" s="165"/>
      <c r="H3017" s="165"/>
      <c r="I3017" s="165"/>
    </row>
    <row r="3018" spans="1:9" x14ac:dyDescent="0.3">
      <c r="A3018" s="164"/>
      <c r="B3018" s="165"/>
      <c r="C3018" s="166"/>
      <c r="D3018" s="166"/>
      <c r="E3018" s="166"/>
      <c r="F3018" s="60">
        <f>ПЛАТЕЖИ[[#This Row],[СЎМ]]+(ПЛАТЕЖИ[[#This Row],[ВАЛЮТА]]*ПЛАТЕЖИ[[#This Row],[КУРС]])</f>
        <v>0</v>
      </c>
      <c r="G3018" s="165"/>
      <c r="H3018" s="165"/>
      <c r="I3018" s="165"/>
    </row>
    <row r="3019" spans="1:9" x14ac:dyDescent="0.3">
      <c r="A3019" s="164"/>
      <c r="B3019" s="165"/>
      <c r="C3019" s="166"/>
      <c r="D3019" s="166"/>
      <c r="E3019" s="166"/>
      <c r="F3019" s="60">
        <f>ПЛАТЕЖИ[[#This Row],[СЎМ]]+(ПЛАТЕЖИ[[#This Row],[ВАЛЮТА]]*ПЛАТЕЖИ[[#This Row],[КУРС]])</f>
        <v>0</v>
      </c>
      <c r="G3019" s="165"/>
      <c r="H3019" s="165"/>
      <c r="I3019" s="165"/>
    </row>
    <row r="3020" spans="1:9" x14ac:dyDescent="0.3">
      <c r="A3020" s="164"/>
      <c r="B3020" s="165"/>
      <c r="C3020" s="166"/>
      <c r="D3020" s="166"/>
      <c r="E3020" s="166"/>
      <c r="F3020" s="60">
        <f>ПЛАТЕЖИ[[#This Row],[СЎМ]]+(ПЛАТЕЖИ[[#This Row],[ВАЛЮТА]]*ПЛАТЕЖИ[[#This Row],[КУРС]])</f>
        <v>0</v>
      </c>
      <c r="G3020" s="165"/>
      <c r="H3020" s="165"/>
      <c r="I3020" s="165"/>
    </row>
    <row r="3021" spans="1:9" x14ac:dyDescent="0.3">
      <c r="A3021" s="164"/>
      <c r="B3021" s="165"/>
      <c r="C3021" s="166"/>
      <c r="D3021" s="166"/>
      <c r="E3021" s="166"/>
      <c r="F3021" s="60">
        <f>ПЛАТЕЖИ[[#This Row],[СЎМ]]+(ПЛАТЕЖИ[[#This Row],[ВАЛЮТА]]*ПЛАТЕЖИ[[#This Row],[КУРС]])</f>
        <v>0</v>
      </c>
      <c r="G3021" s="165"/>
      <c r="H3021" s="165"/>
      <c r="I3021" s="165"/>
    </row>
    <row r="3022" spans="1:9" x14ac:dyDescent="0.3">
      <c r="A3022" s="164"/>
      <c r="B3022" s="165"/>
      <c r="C3022" s="166"/>
      <c r="D3022" s="166"/>
      <c r="E3022" s="166"/>
      <c r="F3022" s="60">
        <f>ПЛАТЕЖИ[[#This Row],[СЎМ]]+(ПЛАТЕЖИ[[#This Row],[ВАЛЮТА]]*ПЛАТЕЖИ[[#This Row],[КУРС]])</f>
        <v>0</v>
      </c>
      <c r="G3022" s="165"/>
      <c r="H3022" s="165"/>
      <c r="I3022" s="165"/>
    </row>
    <row r="3023" spans="1:9" x14ac:dyDescent="0.3">
      <c r="A3023" s="164"/>
      <c r="B3023" s="165"/>
      <c r="C3023" s="166"/>
      <c r="D3023" s="166"/>
      <c r="E3023" s="166"/>
      <c r="F3023" s="60">
        <f>ПЛАТЕЖИ[[#This Row],[СЎМ]]+(ПЛАТЕЖИ[[#This Row],[ВАЛЮТА]]*ПЛАТЕЖИ[[#This Row],[КУРС]])</f>
        <v>0</v>
      </c>
      <c r="G3023" s="165"/>
      <c r="H3023" s="165"/>
      <c r="I3023" s="165"/>
    </row>
    <row r="3024" spans="1:9" x14ac:dyDescent="0.3">
      <c r="A3024" s="164"/>
      <c r="B3024" s="165"/>
      <c r="C3024" s="166"/>
      <c r="D3024" s="166"/>
      <c r="E3024" s="166"/>
      <c r="F3024" s="60">
        <f>ПЛАТЕЖИ[[#This Row],[СЎМ]]+(ПЛАТЕЖИ[[#This Row],[ВАЛЮТА]]*ПЛАТЕЖИ[[#This Row],[КУРС]])</f>
        <v>0</v>
      </c>
      <c r="G3024" s="165"/>
      <c r="H3024" s="165"/>
      <c r="I3024" s="165"/>
    </row>
    <row r="3025" spans="1:9" x14ac:dyDescent="0.3">
      <c r="A3025" s="164"/>
      <c r="B3025" s="165"/>
      <c r="C3025" s="166"/>
      <c r="D3025" s="166"/>
      <c r="E3025" s="166"/>
      <c r="F3025" s="60">
        <f>ПЛАТЕЖИ[[#This Row],[СЎМ]]+(ПЛАТЕЖИ[[#This Row],[ВАЛЮТА]]*ПЛАТЕЖИ[[#This Row],[КУРС]])</f>
        <v>0</v>
      </c>
      <c r="G3025" s="165"/>
      <c r="H3025" s="165"/>
      <c r="I3025" s="165"/>
    </row>
    <row r="3026" spans="1:9" x14ac:dyDescent="0.3">
      <c r="A3026" s="164"/>
      <c r="B3026" s="165"/>
      <c r="C3026" s="166"/>
      <c r="D3026" s="166"/>
      <c r="E3026" s="166"/>
      <c r="F3026" s="60">
        <f>ПЛАТЕЖИ[[#This Row],[СЎМ]]+(ПЛАТЕЖИ[[#This Row],[ВАЛЮТА]]*ПЛАТЕЖИ[[#This Row],[КУРС]])</f>
        <v>0</v>
      </c>
      <c r="G3026" s="165"/>
      <c r="H3026" s="165"/>
      <c r="I3026" s="165"/>
    </row>
    <row r="3027" spans="1:9" x14ac:dyDescent="0.3">
      <c r="A3027" s="164"/>
      <c r="B3027" s="165"/>
      <c r="C3027" s="166"/>
      <c r="D3027" s="166"/>
      <c r="E3027" s="166"/>
      <c r="F3027" s="60">
        <f>ПЛАТЕЖИ[[#This Row],[СЎМ]]+(ПЛАТЕЖИ[[#This Row],[ВАЛЮТА]]*ПЛАТЕЖИ[[#This Row],[КУРС]])</f>
        <v>0</v>
      </c>
      <c r="G3027" s="165"/>
      <c r="H3027" s="165"/>
      <c r="I3027" s="165"/>
    </row>
    <row r="3028" spans="1:9" x14ac:dyDescent="0.3">
      <c r="A3028" s="164"/>
      <c r="B3028" s="165"/>
      <c r="C3028" s="166"/>
      <c r="D3028" s="166"/>
      <c r="E3028" s="166"/>
      <c r="F3028" s="60">
        <f>ПЛАТЕЖИ[[#This Row],[СЎМ]]+(ПЛАТЕЖИ[[#This Row],[ВАЛЮТА]]*ПЛАТЕЖИ[[#This Row],[КУРС]])</f>
        <v>0</v>
      </c>
      <c r="G3028" s="165"/>
      <c r="H3028" s="165"/>
      <c r="I3028" s="165"/>
    </row>
    <row r="3029" spans="1:9" x14ac:dyDescent="0.3">
      <c r="A3029" s="164"/>
      <c r="B3029" s="165"/>
      <c r="C3029" s="166"/>
      <c r="D3029" s="166"/>
      <c r="E3029" s="166"/>
      <c r="F3029" s="60">
        <f>ПЛАТЕЖИ[[#This Row],[СЎМ]]+(ПЛАТЕЖИ[[#This Row],[ВАЛЮТА]]*ПЛАТЕЖИ[[#This Row],[КУРС]])</f>
        <v>0</v>
      </c>
      <c r="G3029" s="165"/>
      <c r="H3029" s="165"/>
      <c r="I3029" s="165"/>
    </row>
    <row r="3030" spans="1:9" x14ac:dyDescent="0.3">
      <c r="A3030" s="164"/>
      <c r="B3030" s="165"/>
      <c r="C3030" s="166"/>
      <c r="D3030" s="166"/>
      <c r="E3030" s="166"/>
      <c r="F3030" s="60">
        <f>ПЛАТЕЖИ[[#This Row],[СЎМ]]+(ПЛАТЕЖИ[[#This Row],[ВАЛЮТА]]*ПЛАТЕЖИ[[#This Row],[КУРС]])</f>
        <v>0</v>
      </c>
      <c r="G3030" s="165"/>
      <c r="H3030" s="165"/>
      <c r="I3030" s="165"/>
    </row>
    <row r="3031" spans="1:9" x14ac:dyDescent="0.3">
      <c r="A3031" s="164"/>
      <c r="B3031" s="165"/>
      <c r="C3031" s="166"/>
      <c r="D3031" s="166"/>
      <c r="E3031" s="166"/>
      <c r="F3031" s="60">
        <f>ПЛАТЕЖИ[[#This Row],[СЎМ]]+(ПЛАТЕЖИ[[#This Row],[ВАЛЮТА]]*ПЛАТЕЖИ[[#This Row],[КУРС]])</f>
        <v>0</v>
      </c>
      <c r="G3031" s="165"/>
      <c r="H3031" s="165"/>
      <c r="I3031" s="165"/>
    </row>
    <row r="3032" spans="1:9" x14ac:dyDescent="0.3">
      <c r="A3032" s="164"/>
      <c r="B3032" s="165"/>
      <c r="C3032" s="166"/>
      <c r="D3032" s="166"/>
      <c r="E3032" s="166"/>
      <c r="F3032" s="60">
        <f>ПЛАТЕЖИ[[#This Row],[СЎМ]]+(ПЛАТЕЖИ[[#This Row],[ВАЛЮТА]]*ПЛАТЕЖИ[[#This Row],[КУРС]])</f>
        <v>0</v>
      </c>
      <c r="G3032" s="165"/>
      <c r="H3032" s="165"/>
      <c r="I3032" s="165"/>
    </row>
    <row r="3033" spans="1:9" x14ac:dyDescent="0.3">
      <c r="A3033" s="164"/>
      <c r="B3033" s="165"/>
      <c r="C3033" s="166"/>
      <c r="D3033" s="166"/>
      <c r="E3033" s="166"/>
      <c r="F3033" s="60">
        <f>ПЛАТЕЖИ[[#This Row],[СЎМ]]+(ПЛАТЕЖИ[[#This Row],[ВАЛЮТА]]*ПЛАТЕЖИ[[#This Row],[КУРС]])</f>
        <v>0</v>
      </c>
      <c r="G3033" s="165"/>
      <c r="H3033" s="165"/>
      <c r="I3033" s="165"/>
    </row>
    <row r="3034" spans="1:9" x14ac:dyDescent="0.3">
      <c r="A3034" s="164"/>
      <c r="B3034" s="165"/>
      <c r="C3034" s="166"/>
      <c r="D3034" s="166"/>
      <c r="E3034" s="166"/>
      <c r="F3034" s="60">
        <f>ПЛАТЕЖИ[[#This Row],[СЎМ]]+(ПЛАТЕЖИ[[#This Row],[ВАЛЮТА]]*ПЛАТЕЖИ[[#This Row],[КУРС]])</f>
        <v>0</v>
      </c>
      <c r="G3034" s="165"/>
      <c r="H3034" s="165"/>
      <c r="I3034" s="165"/>
    </row>
    <row r="3035" spans="1:9" x14ac:dyDescent="0.3">
      <c r="A3035" s="164"/>
      <c r="B3035" s="165"/>
      <c r="C3035" s="166"/>
      <c r="D3035" s="166"/>
      <c r="E3035" s="166"/>
      <c r="F3035" s="60">
        <f>ПЛАТЕЖИ[[#This Row],[СЎМ]]+(ПЛАТЕЖИ[[#This Row],[ВАЛЮТА]]*ПЛАТЕЖИ[[#This Row],[КУРС]])</f>
        <v>0</v>
      </c>
      <c r="G3035" s="165"/>
      <c r="H3035" s="165"/>
      <c r="I3035" s="165"/>
    </row>
    <row r="3036" spans="1:9" x14ac:dyDescent="0.3">
      <c r="A3036" s="164"/>
      <c r="B3036" s="165"/>
      <c r="C3036" s="166"/>
      <c r="D3036" s="166"/>
      <c r="E3036" s="166"/>
      <c r="F3036" s="60">
        <f>ПЛАТЕЖИ[[#This Row],[СЎМ]]+(ПЛАТЕЖИ[[#This Row],[ВАЛЮТА]]*ПЛАТЕЖИ[[#This Row],[КУРС]])</f>
        <v>0</v>
      </c>
      <c r="G3036" s="165"/>
      <c r="H3036" s="165"/>
      <c r="I3036" s="165"/>
    </row>
    <row r="3037" spans="1:9" x14ac:dyDescent="0.3">
      <c r="A3037" s="164"/>
      <c r="B3037" s="165"/>
      <c r="C3037" s="166"/>
      <c r="D3037" s="166"/>
      <c r="E3037" s="166"/>
      <c r="F3037" s="60">
        <f>ПЛАТЕЖИ[[#This Row],[СЎМ]]+(ПЛАТЕЖИ[[#This Row],[ВАЛЮТА]]*ПЛАТЕЖИ[[#This Row],[КУРС]])</f>
        <v>0</v>
      </c>
      <c r="G3037" s="165"/>
      <c r="H3037" s="165"/>
      <c r="I3037" s="165"/>
    </row>
    <row r="3038" spans="1:9" x14ac:dyDescent="0.3">
      <c r="A3038" s="164"/>
      <c r="B3038" s="165"/>
      <c r="C3038" s="166"/>
      <c r="D3038" s="166"/>
      <c r="E3038" s="166"/>
      <c r="F3038" s="60">
        <f>ПЛАТЕЖИ[[#This Row],[СЎМ]]+(ПЛАТЕЖИ[[#This Row],[ВАЛЮТА]]*ПЛАТЕЖИ[[#This Row],[КУРС]])</f>
        <v>0</v>
      </c>
      <c r="G3038" s="165"/>
      <c r="H3038" s="165"/>
      <c r="I3038" s="165"/>
    </row>
    <row r="3039" spans="1:9" x14ac:dyDescent="0.3">
      <c r="A3039" s="164"/>
      <c r="B3039" s="165"/>
      <c r="C3039" s="166"/>
      <c r="D3039" s="166"/>
      <c r="E3039" s="166"/>
      <c r="F3039" s="60">
        <f>ПЛАТЕЖИ[[#This Row],[СЎМ]]+(ПЛАТЕЖИ[[#This Row],[ВАЛЮТА]]*ПЛАТЕЖИ[[#This Row],[КУРС]])</f>
        <v>0</v>
      </c>
      <c r="G3039" s="165"/>
      <c r="H3039" s="165"/>
      <c r="I3039" s="165"/>
    </row>
    <row r="3040" spans="1:9" x14ac:dyDescent="0.3">
      <c r="A3040" s="164"/>
      <c r="B3040" s="165"/>
      <c r="C3040" s="166"/>
      <c r="D3040" s="166"/>
      <c r="E3040" s="166"/>
      <c r="F3040" s="60">
        <f>ПЛАТЕЖИ[[#This Row],[СЎМ]]+(ПЛАТЕЖИ[[#This Row],[ВАЛЮТА]]*ПЛАТЕЖИ[[#This Row],[КУРС]])</f>
        <v>0</v>
      </c>
      <c r="G3040" s="165"/>
      <c r="H3040" s="165"/>
      <c r="I3040" s="165"/>
    </row>
    <row r="3041" spans="1:9" x14ac:dyDescent="0.3">
      <c r="A3041" s="164"/>
      <c r="B3041" s="165"/>
      <c r="C3041" s="166"/>
      <c r="D3041" s="166"/>
      <c r="E3041" s="166"/>
      <c r="F3041" s="60">
        <f>ПЛАТЕЖИ[[#This Row],[СЎМ]]+(ПЛАТЕЖИ[[#This Row],[ВАЛЮТА]]*ПЛАТЕЖИ[[#This Row],[КУРС]])</f>
        <v>0</v>
      </c>
      <c r="G3041" s="165"/>
      <c r="H3041" s="165"/>
      <c r="I3041" s="165"/>
    </row>
    <row r="3042" spans="1:9" x14ac:dyDescent="0.3">
      <c r="A3042" s="164"/>
      <c r="B3042" s="165"/>
      <c r="C3042" s="166"/>
      <c r="D3042" s="166"/>
      <c r="E3042" s="166"/>
      <c r="F3042" s="60">
        <f>ПЛАТЕЖИ[[#This Row],[СЎМ]]+(ПЛАТЕЖИ[[#This Row],[ВАЛЮТА]]*ПЛАТЕЖИ[[#This Row],[КУРС]])</f>
        <v>0</v>
      </c>
      <c r="G3042" s="165"/>
      <c r="H3042" s="165"/>
      <c r="I3042" s="165"/>
    </row>
    <row r="3043" spans="1:9" x14ac:dyDescent="0.3">
      <c r="A3043" s="164"/>
      <c r="B3043" s="165"/>
      <c r="C3043" s="166"/>
      <c r="D3043" s="166"/>
      <c r="E3043" s="166"/>
      <c r="F3043" s="60">
        <f>ПЛАТЕЖИ[[#This Row],[СЎМ]]+(ПЛАТЕЖИ[[#This Row],[ВАЛЮТА]]*ПЛАТЕЖИ[[#This Row],[КУРС]])</f>
        <v>0</v>
      </c>
      <c r="G3043" s="165"/>
      <c r="H3043" s="165"/>
      <c r="I3043" s="165"/>
    </row>
    <row r="3044" spans="1:9" x14ac:dyDescent="0.3">
      <c r="A3044" s="164"/>
      <c r="B3044" s="165"/>
      <c r="C3044" s="166"/>
      <c r="D3044" s="166"/>
      <c r="E3044" s="166"/>
      <c r="F3044" s="60">
        <f>ПЛАТЕЖИ[[#This Row],[СЎМ]]+(ПЛАТЕЖИ[[#This Row],[ВАЛЮТА]]*ПЛАТЕЖИ[[#This Row],[КУРС]])</f>
        <v>0</v>
      </c>
      <c r="G3044" s="165"/>
      <c r="H3044" s="165"/>
      <c r="I3044" s="165"/>
    </row>
    <row r="3045" spans="1:9" x14ac:dyDescent="0.3">
      <c r="A3045" s="164"/>
      <c r="B3045" s="165"/>
      <c r="C3045" s="166"/>
      <c r="D3045" s="166"/>
      <c r="E3045" s="166"/>
      <c r="F3045" s="60">
        <f>ПЛАТЕЖИ[[#This Row],[СЎМ]]+(ПЛАТЕЖИ[[#This Row],[ВАЛЮТА]]*ПЛАТЕЖИ[[#This Row],[КУРС]])</f>
        <v>0</v>
      </c>
      <c r="G3045" s="165"/>
      <c r="H3045" s="165"/>
      <c r="I3045" s="165"/>
    </row>
    <row r="3046" spans="1:9" x14ac:dyDescent="0.3">
      <c r="A3046" s="164"/>
      <c r="B3046" s="165"/>
      <c r="C3046" s="166"/>
      <c r="D3046" s="166"/>
      <c r="E3046" s="166"/>
      <c r="F3046" s="60">
        <f>ПЛАТЕЖИ[[#This Row],[СЎМ]]+(ПЛАТЕЖИ[[#This Row],[ВАЛЮТА]]*ПЛАТЕЖИ[[#This Row],[КУРС]])</f>
        <v>0</v>
      </c>
      <c r="G3046" s="165"/>
      <c r="H3046" s="165"/>
      <c r="I3046" s="165"/>
    </row>
    <row r="3047" spans="1:9" x14ac:dyDescent="0.3">
      <c r="A3047" s="164"/>
      <c r="B3047" s="165"/>
      <c r="C3047" s="166"/>
      <c r="D3047" s="166"/>
      <c r="E3047" s="166"/>
      <c r="F3047" s="60">
        <f>ПЛАТЕЖИ[[#This Row],[СЎМ]]+(ПЛАТЕЖИ[[#This Row],[ВАЛЮТА]]*ПЛАТЕЖИ[[#This Row],[КУРС]])</f>
        <v>0</v>
      </c>
      <c r="G3047" s="165"/>
      <c r="H3047" s="165"/>
      <c r="I3047" s="165"/>
    </row>
    <row r="3048" spans="1:9" x14ac:dyDescent="0.3">
      <c r="A3048" s="164"/>
      <c r="B3048" s="165"/>
      <c r="C3048" s="166"/>
      <c r="D3048" s="166"/>
      <c r="E3048" s="166"/>
      <c r="F3048" s="60">
        <f>ПЛАТЕЖИ[[#This Row],[СЎМ]]+(ПЛАТЕЖИ[[#This Row],[ВАЛЮТА]]*ПЛАТЕЖИ[[#This Row],[КУРС]])</f>
        <v>0</v>
      </c>
      <c r="G3048" s="165"/>
      <c r="H3048" s="165"/>
      <c r="I3048" s="165"/>
    </row>
    <row r="3049" spans="1:9" x14ac:dyDescent="0.3">
      <c r="A3049" s="164"/>
      <c r="B3049" s="165"/>
      <c r="C3049" s="166"/>
      <c r="D3049" s="166"/>
      <c r="E3049" s="166"/>
      <c r="F3049" s="60">
        <f>ПЛАТЕЖИ[[#This Row],[СЎМ]]+(ПЛАТЕЖИ[[#This Row],[ВАЛЮТА]]*ПЛАТЕЖИ[[#This Row],[КУРС]])</f>
        <v>0</v>
      </c>
      <c r="G3049" s="165"/>
      <c r="H3049" s="165"/>
      <c r="I3049" s="165"/>
    </row>
    <row r="3050" spans="1:9" x14ac:dyDescent="0.3">
      <c r="A3050" s="164"/>
      <c r="B3050" s="165"/>
      <c r="C3050" s="166"/>
      <c r="D3050" s="166"/>
      <c r="E3050" s="166"/>
      <c r="F3050" s="60">
        <f>ПЛАТЕЖИ[[#This Row],[СЎМ]]+(ПЛАТЕЖИ[[#This Row],[ВАЛЮТА]]*ПЛАТЕЖИ[[#This Row],[КУРС]])</f>
        <v>0</v>
      </c>
      <c r="G3050" s="165"/>
      <c r="H3050" s="165"/>
      <c r="I3050" s="165"/>
    </row>
    <row r="3051" spans="1:9" x14ac:dyDescent="0.3">
      <c r="A3051" s="164"/>
      <c r="B3051" s="165"/>
      <c r="C3051" s="166"/>
      <c r="D3051" s="166"/>
      <c r="E3051" s="166"/>
      <c r="F3051" s="60">
        <f>ПЛАТЕЖИ[[#This Row],[СЎМ]]+(ПЛАТЕЖИ[[#This Row],[ВАЛЮТА]]*ПЛАТЕЖИ[[#This Row],[КУРС]])</f>
        <v>0</v>
      </c>
      <c r="G3051" s="165"/>
      <c r="H3051" s="165"/>
      <c r="I3051" s="165"/>
    </row>
    <row r="3052" spans="1:9" x14ac:dyDescent="0.3">
      <c r="A3052" s="164"/>
      <c r="B3052" s="165"/>
      <c r="C3052" s="166"/>
      <c r="D3052" s="166"/>
      <c r="E3052" s="166"/>
      <c r="F3052" s="60">
        <f>ПЛАТЕЖИ[[#This Row],[СЎМ]]+(ПЛАТЕЖИ[[#This Row],[ВАЛЮТА]]*ПЛАТЕЖИ[[#This Row],[КУРС]])</f>
        <v>0</v>
      </c>
      <c r="G3052" s="165"/>
      <c r="H3052" s="165"/>
      <c r="I3052" s="165"/>
    </row>
    <row r="3053" spans="1:9" x14ac:dyDescent="0.3">
      <c r="A3053" s="164"/>
      <c r="B3053" s="165"/>
      <c r="C3053" s="166"/>
      <c r="D3053" s="166"/>
      <c r="E3053" s="166"/>
      <c r="F3053" s="60">
        <f>ПЛАТЕЖИ[[#This Row],[СЎМ]]+(ПЛАТЕЖИ[[#This Row],[ВАЛЮТА]]*ПЛАТЕЖИ[[#This Row],[КУРС]])</f>
        <v>0</v>
      </c>
      <c r="G3053" s="165"/>
      <c r="H3053" s="165"/>
      <c r="I3053" s="165"/>
    </row>
    <row r="3054" spans="1:9" x14ac:dyDescent="0.3">
      <c r="A3054" s="164"/>
      <c r="B3054" s="165"/>
      <c r="C3054" s="166"/>
      <c r="D3054" s="166"/>
      <c r="E3054" s="166"/>
      <c r="F3054" s="60">
        <f>ПЛАТЕЖИ[[#This Row],[СЎМ]]+(ПЛАТЕЖИ[[#This Row],[ВАЛЮТА]]*ПЛАТЕЖИ[[#This Row],[КУРС]])</f>
        <v>0</v>
      </c>
      <c r="G3054" s="165"/>
      <c r="H3054" s="165"/>
      <c r="I3054" s="165"/>
    </row>
    <row r="3055" spans="1:9" x14ac:dyDescent="0.3">
      <c r="A3055" s="164"/>
      <c r="B3055" s="165"/>
      <c r="C3055" s="166"/>
      <c r="D3055" s="166"/>
      <c r="E3055" s="166"/>
      <c r="F3055" s="60">
        <f>ПЛАТЕЖИ[[#This Row],[СЎМ]]+(ПЛАТЕЖИ[[#This Row],[ВАЛЮТА]]*ПЛАТЕЖИ[[#This Row],[КУРС]])</f>
        <v>0</v>
      </c>
      <c r="G3055" s="165"/>
      <c r="H3055" s="165"/>
      <c r="I3055" s="165"/>
    </row>
    <row r="3056" spans="1:9" x14ac:dyDescent="0.3">
      <c r="A3056" s="164"/>
      <c r="B3056" s="165"/>
      <c r="C3056" s="166"/>
      <c r="D3056" s="166"/>
      <c r="E3056" s="166"/>
      <c r="F3056" s="60">
        <f>ПЛАТЕЖИ[[#This Row],[СЎМ]]+(ПЛАТЕЖИ[[#This Row],[ВАЛЮТА]]*ПЛАТЕЖИ[[#This Row],[КУРС]])</f>
        <v>0</v>
      </c>
      <c r="G3056" s="165"/>
      <c r="H3056" s="165"/>
      <c r="I3056" s="165"/>
    </row>
    <row r="3057" spans="1:9" x14ac:dyDescent="0.3">
      <c r="A3057" s="164"/>
      <c r="B3057" s="165"/>
      <c r="C3057" s="166"/>
      <c r="D3057" s="166"/>
      <c r="E3057" s="166"/>
      <c r="F3057" s="60">
        <f>ПЛАТЕЖИ[[#This Row],[СЎМ]]+(ПЛАТЕЖИ[[#This Row],[ВАЛЮТА]]*ПЛАТЕЖИ[[#This Row],[КУРС]])</f>
        <v>0</v>
      </c>
      <c r="G3057" s="165"/>
      <c r="H3057" s="165"/>
      <c r="I3057" s="165"/>
    </row>
    <row r="3058" spans="1:9" x14ac:dyDescent="0.3">
      <c r="A3058" s="164"/>
      <c r="B3058" s="165"/>
      <c r="C3058" s="166"/>
      <c r="D3058" s="166"/>
      <c r="E3058" s="166"/>
      <c r="F3058" s="60">
        <f>ПЛАТЕЖИ[[#This Row],[СЎМ]]+(ПЛАТЕЖИ[[#This Row],[ВАЛЮТА]]*ПЛАТЕЖИ[[#This Row],[КУРС]])</f>
        <v>0</v>
      </c>
      <c r="G3058" s="165"/>
      <c r="H3058" s="165"/>
      <c r="I3058" s="165"/>
    </row>
    <row r="3059" spans="1:9" x14ac:dyDescent="0.3">
      <c r="A3059" s="164"/>
      <c r="B3059" s="165"/>
      <c r="C3059" s="166"/>
      <c r="D3059" s="166"/>
      <c r="E3059" s="166"/>
      <c r="F3059" s="60">
        <f>ПЛАТЕЖИ[[#This Row],[СЎМ]]+(ПЛАТЕЖИ[[#This Row],[ВАЛЮТА]]*ПЛАТЕЖИ[[#This Row],[КУРС]])</f>
        <v>0</v>
      </c>
      <c r="G3059" s="165"/>
      <c r="H3059" s="165"/>
      <c r="I3059" s="165"/>
    </row>
    <row r="3060" spans="1:9" x14ac:dyDescent="0.3">
      <c r="A3060" s="164"/>
      <c r="B3060" s="165"/>
      <c r="C3060" s="166"/>
      <c r="D3060" s="166"/>
      <c r="E3060" s="166"/>
      <c r="F3060" s="60">
        <f>ПЛАТЕЖИ[[#This Row],[СЎМ]]+(ПЛАТЕЖИ[[#This Row],[ВАЛЮТА]]*ПЛАТЕЖИ[[#This Row],[КУРС]])</f>
        <v>0</v>
      </c>
      <c r="G3060" s="165"/>
      <c r="H3060" s="165"/>
      <c r="I3060" s="165"/>
    </row>
    <row r="3061" spans="1:9" x14ac:dyDescent="0.3">
      <c r="A3061" s="164"/>
      <c r="B3061" s="165"/>
      <c r="C3061" s="166"/>
      <c r="D3061" s="166"/>
      <c r="E3061" s="166"/>
      <c r="F3061" s="60">
        <f>ПЛАТЕЖИ[[#This Row],[СЎМ]]+(ПЛАТЕЖИ[[#This Row],[ВАЛЮТА]]*ПЛАТЕЖИ[[#This Row],[КУРС]])</f>
        <v>0</v>
      </c>
      <c r="G3061" s="165"/>
      <c r="H3061" s="165"/>
      <c r="I3061" s="165"/>
    </row>
    <row r="3062" spans="1:9" x14ac:dyDescent="0.3">
      <c r="A3062" s="164"/>
      <c r="B3062" s="165"/>
      <c r="C3062" s="166"/>
      <c r="D3062" s="166"/>
      <c r="E3062" s="166"/>
      <c r="F3062" s="60">
        <f>ПЛАТЕЖИ[[#This Row],[СЎМ]]+(ПЛАТЕЖИ[[#This Row],[ВАЛЮТА]]*ПЛАТЕЖИ[[#This Row],[КУРС]])</f>
        <v>0</v>
      </c>
      <c r="G3062" s="165"/>
      <c r="H3062" s="165"/>
      <c r="I3062" s="165"/>
    </row>
    <row r="3063" spans="1:9" x14ac:dyDescent="0.3">
      <c r="A3063" s="164"/>
      <c r="B3063" s="165"/>
      <c r="C3063" s="166"/>
      <c r="D3063" s="166"/>
      <c r="E3063" s="166"/>
      <c r="F3063" s="60">
        <f>ПЛАТЕЖИ[[#This Row],[СЎМ]]+(ПЛАТЕЖИ[[#This Row],[ВАЛЮТА]]*ПЛАТЕЖИ[[#This Row],[КУРС]])</f>
        <v>0</v>
      </c>
      <c r="G3063" s="165"/>
      <c r="H3063" s="165"/>
      <c r="I3063" s="165"/>
    </row>
    <row r="3064" spans="1:9" x14ac:dyDescent="0.3">
      <c r="A3064" s="164"/>
      <c r="B3064" s="165"/>
      <c r="C3064" s="166"/>
      <c r="D3064" s="166"/>
      <c r="E3064" s="166"/>
      <c r="F3064" s="60">
        <f>ПЛАТЕЖИ[[#This Row],[СЎМ]]+(ПЛАТЕЖИ[[#This Row],[ВАЛЮТА]]*ПЛАТЕЖИ[[#This Row],[КУРС]])</f>
        <v>0</v>
      </c>
      <c r="G3064" s="165"/>
      <c r="H3064" s="165"/>
      <c r="I3064" s="165"/>
    </row>
    <row r="3065" spans="1:9" x14ac:dyDescent="0.3">
      <c r="A3065" s="164"/>
      <c r="B3065" s="165"/>
      <c r="C3065" s="166"/>
      <c r="D3065" s="166"/>
      <c r="E3065" s="166"/>
      <c r="F3065" s="60">
        <f>ПЛАТЕЖИ[[#This Row],[СЎМ]]+(ПЛАТЕЖИ[[#This Row],[ВАЛЮТА]]*ПЛАТЕЖИ[[#This Row],[КУРС]])</f>
        <v>0</v>
      </c>
      <c r="G3065" s="165"/>
      <c r="H3065" s="165"/>
      <c r="I3065" s="165"/>
    </row>
    <row r="3066" spans="1:9" x14ac:dyDescent="0.3">
      <c r="A3066" s="164"/>
      <c r="B3066" s="165"/>
      <c r="C3066" s="166"/>
      <c r="D3066" s="166"/>
      <c r="E3066" s="166"/>
      <c r="F3066" s="60">
        <f>ПЛАТЕЖИ[[#This Row],[СЎМ]]+(ПЛАТЕЖИ[[#This Row],[ВАЛЮТА]]*ПЛАТЕЖИ[[#This Row],[КУРС]])</f>
        <v>0</v>
      </c>
      <c r="G3066" s="165"/>
      <c r="H3066" s="165"/>
      <c r="I3066" s="165"/>
    </row>
    <row r="3067" spans="1:9" x14ac:dyDescent="0.3">
      <c r="A3067" s="164"/>
      <c r="B3067" s="165"/>
      <c r="C3067" s="166"/>
      <c r="D3067" s="166"/>
      <c r="E3067" s="166"/>
      <c r="F3067" s="60">
        <f>ПЛАТЕЖИ[[#This Row],[СЎМ]]+(ПЛАТЕЖИ[[#This Row],[ВАЛЮТА]]*ПЛАТЕЖИ[[#This Row],[КУРС]])</f>
        <v>0</v>
      </c>
      <c r="G3067" s="165"/>
      <c r="H3067" s="165"/>
      <c r="I3067" s="165"/>
    </row>
    <row r="3068" spans="1:9" x14ac:dyDescent="0.3">
      <c r="A3068" s="164"/>
      <c r="B3068" s="165"/>
      <c r="C3068" s="166"/>
      <c r="D3068" s="166"/>
      <c r="E3068" s="166"/>
      <c r="F3068" s="60">
        <f>ПЛАТЕЖИ[[#This Row],[СЎМ]]+(ПЛАТЕЖИ[[#This Row],[ВАЛЮТА]]*ПЛАТЕЖИ[[#This Row],[КУРС]])</f>
        <v>0</v>
      </c>
      <c r="G3068" s="165"/>
      <c r="H3068" s="165"/>
      <c r="I3068" s="165"/>
    </row>
    <row r="3069" spans="1:9" x14ac:dyDescent="0.3">
      <c r="A3069" s="164"/>
      <c r="B3069" s="165"/>
      <c r="C3069" s="166"/>
      <c r="D3069" s="166"/>
      <c r="E3069" s="166"/>
      <c r="F3069" s="60">
        <f>ПЛАТЕЖИ[[#This Row],[СЎМ]]+(ПЛАТЕЖИ[[#This Row],[ВАЛЮТА]]*ПЛАТЕЖИ[[#This Row],[КУРС]])</f>
        <v>0</v>
      </c>
      <c r="G3069" s="165"/>
      <c r="H3069" s="165"/>
      <c r="I3069" s="165"/>
    </row>
    <row r="3070" spans="1:9" x14ac:dyDescent="0.3">
      <c r="A3070" s="164"/>
      <c r="B3070" s="165"/>
      <c r="C3070" s="166"/>
      <c r="D3070" s="166"/>
      <c r="E3070" s="166"/>
      <c r="F3070" s="60">
        <f>ПЛАТЕЖИ[[#This Row],[СЎМ]]+(ПЛАТЕЖИ[[#This Row],[ВАЛЮТА]]*ПЛАТЕЖИ[[#This Row],[КУРС]])</f>
        <v>0</v>
      </c>
      <c r="G3070" s="165"/>
      <c r="H3070" s="165"/>
      <c r="I3070" s="165"/>
    </row>
    <row r="3071" spans="1:9" x14ac:dyDescent="0.3">
      <c r="A3071" s="164"/>
      <c r="B3071" s="165"/>
      <c r="C3071" s="166"/>
      <c r="D3071" s="166"/>
      <c r="E3071" s="166"/>
      <c r="F3071" s="60">
        <f>ПЛАТЕЖИ[[#This Row],[СЎМ]]+(ПЛАТЕЖИ[[#This Row],[ВАЛЮТА]]*ПЛАТЕЖИ[[#This Row],[КУРС]])</f>
        <v>0</v>
      </c>
      <c r="G3071" s="165"/>
      <c r="H3071" s="165"/>
      <c r="I3071" s="165"/>
    </row>
    <row r="3072" spans="1:9" x14ac:dyDescent="0.3">
      <c r="A3072" s="164"/>
      <c r="B3072" s="165"/>
      <c r="C3072" s="166"/>
      <c r="D3072" s="166"/>
      <c r="E3072" s="166"/>
      <c r="F3072" s="60">
        <f>ПЛАТЕЖИ[[#This Row],[СЎМ]]+(ПЛАТЕЖИ[[#This Row],[ВАЛЮТА]]*ПЛАТЕЖИ[[#This Row],[КУРС]])</f>
        <v>0</v>
      </c>
      <c r="G3072" s="165"/>
      <c r="H3072" s="165"/>
      <c r="I3072" s="165"/>
    </row>
    <row r="3073" spans="1:9" x14ac:dyDescent="0.3">
      <c r="A3073" s="164"/>
      <c r="B3073" s="165"/>
      <c r="C3073" s="166"/>
      <c r="D3073" s="166"/>
      <c r="E3073" s="166"/>
      <c r="F3073" s="60">
        <f>ПЛАТЕЖИ[[#This Row],[СЎМ]]+(ПЛАТЕЖИ[[#This Row],[ВАЛЮТА]]*ПЛАТЕЖИ[[#This Row],[КУРС]])</f>
        <v>0</v>
      </c>
      <c r="G3073" s="165"/>
      <c r="H3073" s="165"/>
      <c r="I3073" s="165"/>
    </row>
    <row r="3074" spans="1:9" x14ac:dyDescent="0.3">
      <c r="A3074" s="164"/>
      <c r="B3074" s="165"/>
      <c r="C3074" s="166"/>
      <c r="D3074" s="166"/>
      <c r="E3074" s="166"/>
      <c r="F3074" s="60">
        <f>ПЛАТЕЖИ[[#This Row],[СЎМ]]+(ПЛАТЕЖИ[[#This Row],[ВАЛЮТА]]*ПЛАТЕЖИ[[#This Row],[КУРС]])</f>
        <v>0</v>
      </c>
      <c r="G3074" s="165"/>
      <c r="H3074" s="165"/>
      <c r="I3074" s="165"/>
    </row>
    <row r="3075" spans="1:9" x14ac:dyDescent="0.3">
      <c r="A3075" s="164"/>
      <c r="B3075" s="165"/>
      <c r="C3075" s="166"/>
      <c r="D3075" s="166"/>
      <c r="E3075" s="166"/>
      <c r="F3075" s="60">
        <f>ПЛАТЕЖИ[[#This Row],[СЎМ]]+(ПЛАТЕЖИ[[#This Row],[ВАЛЮТА]]*ПЛАТЕЖИ[[#This Row],[КУРС]])</f>
        <v>0</v>
      </c>
      <c r="G3075" s="165"/>
      <c r="H3075" s="165"/>
      <c r="I3075" s="165"/>
    </row>
    <row r="3076" spans="1:9" x14ac:dyDescent="0.3">
      <c r="A3076" s="164"/>
      <c r="B3076" s="165"/>
      <c r="C3076" s="166"/>
      <c r="D3076" s="166"/>
      <c r="E3076" s="166"/>
      <c r="F3076" s="60">
        <f>ПЛАТЕЖИ[[#This Row],[СЎМ]]+(ПЛАТЕЖИ[[#This Row],[ВАЛЮТА]]*ПЛАТЕЖИ[[#This Row],[КУРС]])</f>
        <v>0</v>
      </c>
      <c r="G3076" s="165"/>
      <c r="H3076" s="165"/>
      <c r="I3076" s="165"/>
    </row>
    <row r="3077" spans="1:9" x14ac:dyDescent="0.3">
      <c r="A3077" s="164"/>
      <c r="B3077" s="165"/>
      <c r="C3077" s="166"/>
      <c r="D3077" s="166"/>
      <c r="E3077" s="166"/>
      <c r="F3077" s="60">
        <f>ПЛАТЕЖИ[[#This Row],[СЎМ]]+(ПЛАТЕЖИ[[#This Row],[ВАЛЮТА]]*ПЛАТЕЖИ[[#This Row],[КУРС]])</f>
        <v>0</v>
      </c>
      <c r="G3077" s="165"/>
      <c r="H3077" s="165"/>
      <c r="I3077" s="165"/>
    </row>
    <row r="3078" spans="1:9" x14ac:dyDescent="0.3">
      <c r="A3078" s="164"/>
      <c r="B3078" s="165"/>
      <c r="C3078" s="166"/>
      <c r="D3078" s="166"/>
      <c r="E3078" s="166"/>
      <c r="F3078" s="60">
        <f>ПЛАТЕЖИ[[#This Row],[СЎМ]]+(ПЛАТЕЖИ[[#This Row],[ВАЛЮТА]]*ПЛАТЕЖИ[[#This Row],[КУРС]])</f>
        <v>0</v>
      </c>
      <c r="G3078" s="165"/>
      <c r="H3078" s="165"/>
      <c r="I3078" s="165"/>
    </row>
    <row r="3079" spans="1:9" x14ac:dyDescent="0.3">
      <c r="A3079" s="164"/>
      <c r="B3079" s="165"/>
      <c r="C3079" s="166"/>
      <c r="D3079" s="166"/>
      <c r="E3079" s="166"/>
      <c r="F3079" s="60">
        <f>ПЛАТЕЖИ[[#This Row],[СЎМ]]+(ПЛАТЕЖИ[[#This Row],[ВАЛЮТА]]*ПЛАТЕЖИ[[#This Row],[КУРС]])</f>
        <v>0</v>
      </c>
      <c r="G3079" s="165"/>
      <c r="H3079" s="165"/>
      <c r="I3079" s="165"/>
    </row>
    <row r="3080" spans="1:9" x14ac:dyDescent="0.3">
      <c r="A3080" s="164"/>
      <c r="B3080" s="165"/>
      <c r="C3080" s="166"/>
      <c r="D3080" s="166"/>
      <c r="E3080" s="166"/>
      <c r="F3080" s="60">
        <f>ПЛАТЕЖИ[[#This Row],[СЎМ]]+(ПЛАТЕЖИ[[#This Row],[ВАЛЮТА]]*ПЛАТЕЖИ[[#This Row],[КУРС]])</f>
        <v>0</v>
      </c>
      <c r="G3080" s="165"/>
      <c r="H3080" s="165"/>
      <c r="I3080" s="165"/>
    </row>
    <row r="3081" spans="1:9" x14ac:dyDescent="0.3">
      <c r="A3081" s="164"/>
      <c r="B3081" s="165"/>
      <c r="C3081" s="166"/>
      <c r="D3081" s="166"/>
      <c r="E3081" s="166"/>
      <c r="F3081" s="60">
        <f>ПЛАТЕЖИ[[#This Row],[СЎМ]]+(ПЛАТЕЖИ[[#This Row],[ВАЛЮТА]]*ПЛАТЕЖИ[[#This Row],[КУРС]])</f>
        <v>0</v>
      </c>
      <c r="G3081" s="165"/>
      <c r="H3081" s="165"/>
      <c r="I3081" s="165"/>
    </row>
    <row r="3082" spans="1:9" x14ac:dyDescent="0.3">
      <c r="A3082" s="164"/>
      <c r="B3082" s="165"/>
      <c r="C3082" s="166"/>
      <c r="D3082" s="166"/>
      <c r="E3082" s="166"/>
      <c r="F3082" s="60">
        <f>ПЛАТЕЖИ[[#This Row],[СЎМ]]+(ПЛАТЕЖИ[[#This Row],[ВАЛЮТА]]*ПЛАТЕЖИ[[#This Row],[КУРС]])</f>
        <v>0</v>
      </c>
      <c r="G3082" s="165"/>
      <c r="H3082" s="165"/>
      <c r="I3082" s="165"/>
    </row>
    <row r="3083" spans="1:9" x14ac:dyDescent="0.3">
      <c r="A3083" s="164"/>
      <c r="B3083" s="165"/>
      <c r="C3083" s="166"/>
      <c r="D3083" s="166"/>
      <c r="E3083" s="166"/>
      <c r="F3083" s="60">
        <f>ПЛАТЕЖИ[[#This Row],[СЎМ]]+(ПЛАТЕЖИ[[#This Row],[ВАЛЮТА]]*ПЛАТЕЖИ[[#This Row],[КУРС]])</f>
        <v>0</v>
      </c>
      <c r="G3083" s="165"/>
      <c r="H3083" s="165"/>
      <c r="I3083" s="165"/>
    </row>
    <row r="3084" spans="1:9" x14ac:dyDescent="0.3">
      <c r="A3084" s="164"/>
      <c r="B3084" s="165"/>
      <c r="C3084" s="166"/>
      <c r="D3084" s="166"/>
      <c r="E3084" s="166"/>
      <c r="F3084" s="60">
        <f>ПЛАТЕЖИ[[#This Row],[СЎМ]]+(ПЛАТЕЖИ[[#This Row],[ВАЛЮТА]]*ПЛАТЕЖИ[[#This Row],[КУРС]])</f>
        <v>0</v>
      </c>
      <c r="G3084" s="165"/>
      <c r="H3084" s="165"/>
      <c r="I3084" s="165"/>
    </row>
    <row r="3085" spans="1:9" x14ac:dyDescent="0.3">
      <c r="A3085" s="164"/>
      <c r="B3085" s="165"/>
      <c r="C3085" s="166"/>
      <c r="D3085" s="166"/>
      <c r="E3085" s="166"/>
      <c r="F3085" s="60">
        <f>ПЛАТЕЖИ[[#This Row],[СЎМ]]+(ПЛАТЕЖИ[[#This Row],[ВАЛЮТА]]*ПЛАТЕЖИ[[#This Row],[КУРС]])</f>
        <v>0</v>
      </c>
      <c r="G3085" s="165"/>
      <c r="H3085" s="165"/>
      <c r="I3085" s="165"/>
    </row>
    <row r="3086" spans="1:9" x14ac:dyDescent="0.3">
      <c r="A3086" s="164"/>
      <c r="B3086" s="165"/>
      <c r="C3086" s="166"/>
      <c r="D3086" s="166"/>
      <c r="E3086" s="166"/>
      <c r="F3086" s="60">
        <f>ПЛАТЕЖИ[[#This Row],[СЎМ]]+(ПЛАТЕЖИ[[#This Row],[ВАЛЮТА]]*ПЛАТЕЖИ[[#This Row],[КУРС]])</f>
        <v>0</v>
      </c>
      <c r="G3086" s="165"/>
      <c r="H3086" s="165"/>
      <c r="I3086" s="165"/>
    </row>
    <row r="3087" spans="1:9" x14ac:dyDescent="0.3">
      <c r="A3087" s="164"/>
      <c r="B3087" s="165"/>
      <c r="C3087" s="166"/>
      <c r="D3087" s="166"/>
      <c r="E3087" s="166"/>
      <c r="F3087" s="60">
        <f>ПЛАТЕЖИ[[#This Row],[СЎМ]]+(ПЛАТЕЖИ[[#This Row],[ВАЛЮТА]]*ПЛАТЕЖИ[[#This Row],[КУРС]])</f>
        <v>0</v>
      </c>
      <c r="G3087" s="165"/>
      <c r="H3087" s="165"/>
      <c r="I3087" s="165"/>
    </row>
    <row r="3088" spans="1:9" x14ac:dyDescent="0.3">
      <c r="A3088" s="164"/>
      <c r="B3088" s="165"/>
      <c r="C3088" s="166"/>
      <c r="D3088" s="166"/>
      <c r="E3088" s="166"/>
      <c r="F3088" s="60">
        <f>ПЛАТЕЖИ[[#This Row],[СЎМ]]+(ПЛАТЕЖИ[[#This Row],[ВАЛЮТА]]*ПЛАТЕЖИ[[#This Row],[КУРС]])</f>
        <v>0</v>
      </c>
      <c r="G3088" s="165"/>
      <c r="H3088" s="165"/>
      <c r="I3088" s="165"/>
    </row>
    <row r="3089" spans="1:9" x14ac:dyDescent="0.3">
      <c r="A3089" s="164"/>
      <c r="B3089" s="165"/>
      <c r="C3089" s="166"/>
      <c r="D3089" s="166"/>
      <c r="E3089" s="166"/>
      <c r="F3089" s="60">
        <f>ПЛАТЕЖИ[[#This Row],[СЎМ]]+(ПЛАТЕЖИ[[#This Row],[ВАЛЮТА]]*ПЛАТЕЖИ[[#This Row],[КУРС]])</f>
        <v>0</v>
      </c>
      <c r="G3089" s="165"/>
      <c r="H3089" s="165"/>
      <c r="I3089" s="165"/>
    </row>
    <row r="3090" spans="1:9" x14ac:dyDescent="0.3">
      <c r="A3090" s="164"/>
      <c r="B3090" s="165"/>
      <c r="C3090" s="166"/>
      <c r="D3090" s="166"/>
      <c r="E3090" s="166"/>
      <c r="F3090" s="60">
        <f>ПЛАТЕЖИ[[#This Row],[СЎМ]]+(ПЛАТЕЖИ[[#This Row],[ВАЛЮТА]]*ПЛАТЕЖИ[[#This Row],[КУРС]])</f>
        <v>0</v>
      </c>
      <c r="G3090" s="165"/>
      <c r="H3090" s="165"/>
      <c r="I3090" s="165"/>
    </row>
    <row r="3091" spans="1:9" x14ac:dyDescent="0.3">
      <c r="A3091" s="164"/>
      <c r="B3091" s="165"/>
      <c r="C3091" s="166"/>
      <c r="D3091" s="166"/>
      <c r="E3091" s="166"/>
      <c r="F3091" s="60">
        <f>ПЛАТЕЖИ[[#This Row],[СЎМ]]+(ПЛАТЕЖИ[[#This Row],[ВАЛЮТА]]*ПЛАТЕЖИ[[#This Row],[КУРС]])</f>
        <v>0</v>
      </c>
      <c r="G3091" s="165"/>
      <c r="H3091" s="165"/>
      <c r="I3091" s="165"/>
    </row>
    <row r="3092" spans="1:9" x14ac:dyDescent="0.3">
      <c r="A3092" s="164"/>
      <c r="B3092" s="165"/>
      <c r="C3092" s="166"/>
      <c r="D3092" s="166"/>
      <c r="E3092" s="166"/>
      <c r="F3092" s="60">
        <f>ПЛАТЕЖИ[[#This Row],[СЎМ]]+(ПЛАТЕЖИ[[#This Row],[ВАЛЮТА]]*ПЛАТЕЖИ[[#This Row],[КУРС]])</f>
        <v>0</v>
      </c>
      <c r="G3092" s="165"/>
      <c r="H3092" s="165"/>
      <c r="I3092" s="165"/>
    </row>
    <row r="3093" spans="1:9" x14ac:dyDescent="0.3">
      <c r="A3093" s="164"/>
      <c r="B3093" s="165"/>
      <c r="C3093" s="166"/>
      <c r="D3093" s="166"/>
      <c r="E3093" s="166"/>
      <c r="F3093" s="60">
        <f>ПЛАТЕЖИ[[#This Row],[СЎМ]]+(ПЛАТЕЖИ[[#This Row],[ВАЛЮТА]]*ПЛАТЕЖИ[[#This Row],[КУРС]])</f>
        <v>0</v>
      </c>
      <c r="G3093" s="165"/>
      <c r="H3093" s="165"/>
      <c r="I3093" s="165"/>
    </row>
    <row r="3094" spans="1:9" x14ac:dyDescent="0.3">
      <c r="A3094" s="164"/>
      <c r="B3094" s="165"/>
      <c r="C3094" s="166"/>
      <c r="D3094" s="166"/>
      <c r="E3094" s="166"/>
      <c r="F3094" s="60">
        <f>ПЛАТЕЖИ[[#This Row],[СЎМ]]+(ПЛАТЕЖИ[[#This Row],[ВАЛЮТА]]*ПЛАТЕЖИ[[#This Row],[КУРС]])</f>
        <v>0</v>
      </c>
      <c r="G3094" s="165"/>
      <c r="H3094" s="165"/>
      <c r="I3094" s="165"/>
    </row>
    <row r="3095" spans="1:9" x14ac:dyDescent="0.3">
      <c r="A3095" s="164"/>
      <c r="B3095" s="165"/>
      <c r="C3095" s="166"/>
      <c r="D3095" s="166"/>
      <c r="E3095" s="166"/>
      <c r="F3095" s="60">
        <f>ПЛАТЕЖИ[[#This Row],[СЎМ]]+(ПЛАТЕЖИ[[#This Row],[ВАЛЮТА]]*ПЛАТЕЖИ[[#This Row],[КУРС]])</f>
        <v>0</v>
      </c>
      <c r="G3095" s="165"/>
      <c r="H3095" s="165"/>
      <c r="I3095" s="165"/>
    </row>
    <row r="3096" spans="1:9" x14ac:dyDescent="0.3">
      <c r="A3096" s="164"/>
      <c r="B3096" s="165"/>
      <c r="C3096" s="166"/>
      <c r="D3096" s="166"/>
      <c r="E3096" s="166"/>
      <c r="F3096" s="60">
        <f>ПЛАТЕЖИ[[#This Row],[СЎМ]]+(ПЛАТЕЖИ[[#This Row],[ВАЛЮТА]]*ПЛАТЕЖИ[[#This Row],[КУРС]])</f>
        <v>0</v>
      </c>
      <c r="G3096" s="165"/>
      <c r="H3096" s="165"/>
      <c r="I3096" s="165"/>
    </row>
    <row r="3097" spans="1:9" x14ac:dyDescent="0.3">
      <c r="A3097" s="164"/>
      <c r="B3097" s="165"/>
      <c r="C3097" s="166"/>
      <c r="D3097" s="166"/>
      <c r="E3097" s="166"/>
      <c r="F3097" s="60">
        <f>ПЛАТЕЖИ[[#This Row],[СЎМ]]+(ПЛАТЕЖИ[[#This Row],[ВАЛЮТА]]*ПЛАТЕЖИ[[#This Row],[КУРС]])</f>
        <v>0</v>
      </c>
      <c r="G3097" s="165"/>
      <c r="H3097" s="165"/>
      <c r="I3097" s="165"/>
    </row>
    <row r="3098" spans="1:9" x14ac:dyDescent="0.3">
      <c r="A3098" s="164"/>
      <c r="B3098" s="165"/>
      <c r="C3098" s="166"/>
      <c r="D3098" s="166"/>
      <c r="E3098" s="166"/>
      <c r="F3098" s="60">
        <f>ПЛАТЕЖИ[[#This Row],[СЎМ]]+(ПЛАТЕЖИ[[#This Row],[ВАЛЮТА]]*ПЛАТЕЖИ[[#This Row],[КУРС]])</f>
        <v>0</v>
      </c>
      <c r="G3098" s="165"/>
      <c r="H3098" s="165"/>
      <c r="I3098" s="165"/>
    </row>
    <row r="3099" spans="1:9" x14ac:dyDescent="0.3">
      <c r="A3099" s="164"/>
      <c r="B3099" s="165"/>
      <c r="C3099" s="166"/>
      <c r="D3099" s="166"/>
      <c r="E3099" s="166"/>
      <c r="F3099" s="60">
        <f>ПЛАТЕЖИ[[#This Row],[СЎМ]]+(ПЛАТЕЖИ[[#This Row],[ВАЛЮТА]]*ПЛАТЕЖИ[[#This Row],[КУРС]])</f>
        <v>0</v>
      </c>
      <c r="G3099" s="165"/>
      <c r="H3099" s="165"/>
      <c r="I3099" s="165"/>
    </row>
    <row r="3100" spans="1:9" x14ac:dyDescent="0.3">
      <c r="A3100" s="164"/>
      <c r="B3100" s="165"/>
      <c r="C3100" s="166"/>
      <c r="D3100" s="166"/>
      <c r="E3100" s="166"/>
      <c r="F3100" s="60">
        <f>ПЛАТЕЖИ[[#This Row],[СЎМ]]+(ПЛАТЕЖИ[[#This Row],[ВАЛЮТА]]*ПЛАТЕЖИ[[#This Row],[КУРС]])</f>
        <v>0</v>
      </c>
      <c r="G3100" s="165"/>
      <c r="H3100" s="165"/>
      <c r="I3100" s="165"/>
    </row>
    <row r="3101" spans="1:9" x14ac:dyDescent="0.3">
      <c r="A3101" s="164"/>
      <c r="B3101" s="165"/>
      <c r="C3101" s="166"/>
      <c r="D3101" s="166"/>
      <c r="E3101" s="166"/>
      <c r="F3101" s="60">
        <f>ПЛАТЕЖИ[[#This Row],[СЎМ]]+(ПЛАТЕЖИ[[#This Row],[ВАЛЮТА]]*ПЛАТЕЖИ[[#This Row],[КУРС]])</f>
        <v>0</v>
      </c>
      <c r="G3101" s="165"/>
      <c r="H3101" s="165"/>
      <c r="I3101" s="165"/>
    </row>
    <row r="3102" spans="1:9" x14ac:dyDescent="0.3">
      <c r="A3102" s="164"/>
      <c r="B3102" s="165"/>
      <c r="C3102" s="166"/>
      <c r="D3102" s="166"/>
      <c r="E3102" s="166"/>
      <c r="F3102" s="60">
        <f>ПЛАТЕЖИ[[#This Row],[СЎМ]]+(ПЛАТЕЖИ[[#This Row],[ВАЛЮТА]]*ПЛАТЕЖИ[[#This Row],[КУРС]])</f>
        <v>0</v>
      </c>
      <c r="G3102" s="165"/>
      <c r="H3102" s="165"/>
      <c r="I3102" s="165"/>
    </row>
    <row r="3103" spans="1:9" x14ac:dyDescent="0.3">
      <c r="A3103" s="164"/>
      <c r="B3103" s="165"/>
      <c r="C3103" s="166"/>
      <c r="D3103" s="166"/>
      <c r="E3103" s="166"/>
      <c r="F3103" s="60">
        <f>ПЛАТЕЖИ[[#This Row],[СЎМ]]+(ПЛАТЕЖИ[[#This Row],[ВАЛЮТА]]*ПЛАТЕЖИ[[#This Row],[КУРС]])</f>
        <v>0</v>
      </c>
      <c r="G3103" s="165"/>
      <c r="H3103" s="165"/>
      <c r="I3103" s="165"/>
    </row>
    <row r="3104" spans="1:9" x14ac:dyDescent="0.3">
      <c r="A3104" s="164"/>
      <c r="B3104" s="165"/>
      <c r="C3104" s="166"/>
      <c r="D3104" s="166"/>
      <c r="E3104" s="166"/>
      <c r="F3104" s="60">
        <f>ПЛАТЕЖИ[[#This Row],[СЎМ]]+(ПЛАТЕЖИ[[#This Row],[ВАЛЮТА]]*ПЛАТЕЖИ[[#This Row],[КУРС]])</f>
        <v>0</v>
      </c>
      <c r="G3104" s="165"/>
      <c r="H3104" s="165"/>
      <c r="I3104" s="165"/>
    </row>
    <row r="3105" spans="1:9" x14ac:dyDescent="0.3">
      <c r="A3105" s="164"/>
      <c r="B3105" s="165"/>
      <c r="C3105" s="166"/>
      <c r="D3105" s="166"/>
      <c r="E3105" s="166"/>
      <c r="F3105" s="60">
        <f>ПЛАТЕЖИ[[#This Row],[СЎМ]]+(ПЛАТЕЖИ[[#This Row],[ВАЛЮТА]]*ПЛАТЕЖИ[[#This Row],[КУРС]])</f>
        <v>0</v>
      </c>
      <c r="G3105" s="165"/>
      <c r="H3105" s="165"/>
      <c r="I3105" s="165"/>
    </row>
    <row r="3106" spans="1:9" x14ac:dyDescent="0.3">
      <c r="A3106" s="164"/>
      <c r="B3106" s="165"/>
      <c r="C3106" s="166"/>
      <c r="D3106" s="166"/>
      <c r="E3106" s="166"/>
      <c r="F3106" s="60">
        <f>ПЛАТЕЖИ[[#This Row],[СЎМ]]+(ПЛАТЕЖИ[[#This Row],[ВАЛЮТА]]*ПЛАТЕЖИ[[#This Row],[КУРС]])</f>
        <v>0</v>
      </c>
      <c r="G3106" s="165"/>
      <c r="H3106" s="165"/>
      <c r="I3106" s="165"/>
    </row>
    <row r="3107" spans="1:9" x14ac:dyDescent="0.3">
      <c r="A3107" s="164"/>
      <c r="B3107" s="165"/>
      <c r="C3107" s="166"/>
      <c r="D3107" s="166"/>
      <c r="E3107" s="166"/>
      <c r="F3107" s="60">
        <f>ПЛАТЕЖИ[[#This Row],[СЎМ]]+(ПЛАТЕЖИ[[#This Row],[ВАЛЮТА]]*ПЛАТЕЖИ[[#This Row],[КУРС]])</f>
        <v>0</v>
      </c>
      <c r="G3107" s="165"/>
      <c r="H3107" s="165"/>
      <c r="I3107" s="165"/>
    </row>
    <row r="3108" spans="1:9" x14ac:dyDescent="0.3">
      <c r="A3108" s="164"/>
      <c r="B3108" s="165"/>
      <c r="C3108" s="166"/>
      <c r="D3108" s="166"/>
      <c r="E3108" s="166"/>
      <c r="F3108" s="60">
        <f>ПЛАТЕЖИ[[#This Row],[СЎМ]]+(ПЛАТЕЖИ[[#This Row],[ВАЛЮТА]]*ПЛАТЕЖИ[[#This Row],[КУРС]])</f>
        <v>0</v>
      </c>
      <c r="G3108" s="165"/>
      <c r="H3108" s="165"/>
      <c r="I3108" s="165"/>
    </row>
    <row r="3109" spans="1:9" x14ac:dyDescent="0.3">
      <c r="A3109" s="164"/>
      <c r="B3109" s="165"/>
      <c r="C3109" s="166"/>
      <c r="D3109" s="166"/>
      <c r="E3109" s="166"/>
      <c r="F3109" s="60">
        <f>ПЛАТЕЖИ[[#This Row],[СЎМ]]+(ПЛАТЕЖИ[[#This Row],[ВАЛЮТА]]*ПЛАТЕЖИ[[#This Row],[КУРС]])</f>
        <v>0</v>
      </c>
      <c r="G3109" s="165"/>
      <c r="H3109" s="165"/>
      <c r="I3109" s="165"/>
    </row>
    <row r="3110" spans="1:9" x14ac:dyDescent="0.3">
      <c r="A3110" s="164"/>
      <c r="B3110" s="165"/>
      <c r="C3110" s="166"/>
      <c r="D3110" s="166"/>
      <c r="E3110" s="166"/>
      <c r="F3110" s="60">
        <f>ПЛАТЕЖИ[[#This Row],[СЎМ]]+(ПЛАТЕЖИ[[#This Row],[ВАЛЮТА]]*ПЛАТЕЖИ[[#This Row],[КУРС]])</f>
        <v>0</v>
      </c>
      <c r="G3110" s="165"/>
      <c r="H3110" s="165"/>
      <c r="I3110" s="165"/>
    </row>
    <row r="3111" spans="1:9" x14ac:dyDescent="0.3">
      <c r="A3111" s="164"/>
      <c r="B3111" s="165"/>
      <c r="C3111" s="166"/>
      <c r="D3111" s="166"/>
      <c r="E3111" s="166"/>
      <c r="F3111" s="60">
        <f>ПЛАТЕЖИ[[#This Row],[СЎМ]]+(ПЛАТЕЖИ[[#This Row],[ВАЛЮТА]]*ПЛАТЕЖИ[[#This Row],[КУРС]])</f>
        <v>0</v>
      </c>
      <c r="G3111" s="165"/>
      <c r="H3111" s="165"/>
      <c r="I3111" s="165"/>
    </row>
    <row r="3112" spans="1:9" x14ac:dyDescent="0.3">
      <c r="A3112" s="164"/>
      <c r="B3112" s="165"/>
      <c r="C3112" s="166"/>
      <c r="D3112" s="166"/>
      <c r="E3112" s="166"/>
      <c r="F3112" s="60">
        <f>ПЛАТЕЖИ[[#This Row],[СЎМ]]+(ПЛАТЕЖИ[[#This Row],[ВАЛЮТА]]*ПЛАТЕЖИ[[#This Row],[КУРС]])</f>
        <v>0</v>
      </c>
      <c r="G3112" s="165"/>
      <c r="H3112" s="165"/>
      <c r="I3112" s="165"/>
    </row>
    <row r="3113" spans="1:9" x14ac:dyDescent="0.3">
      <c r="A3113" s="164"/>
      <c r="B3113" s="165"/>
      <c r="C3113" s="166"/>
      <c r="D3113" s="166"/>
      <c r="E3113" s="166"/>
      <c r="F3113" s="60">
        <f>ПЛАТЕЖИ[[#This Row],[СЎМ]]+(ПЛАТЕЖИ[[#This Row],[ВАЛЮТА]]*ПЛАТЕЖИ[[#This Row],[КУРС]])</f>
        <v>0</v>
      </c>
      <c r="G3113" s="165"/>
      <c r="H3113" s="165"/>
      <c r="I3113" s="165"/>
    </row>
    <row r="3114" spans="1:9" x14ac:dyDescent="0.3">
      <c r="A3114" s="164"/>
      <c r="B3114" s="165"/>
      <c r="C3114" s="166"/>
      <c r="D3114" s="166"/>
      <c r="E3114" s="166"/>
      <c r="F3114" s="60">
        <f>ПЛАТЕЖИ[[#This Row],[СЎМ]]+(ПЛАТЕЖИ[[#This Row],[ВАЛЮТА]]*ПЛАТЕЖИ[[#This Row],[КУРС]])</f>
        <v>0</v>
      </c>
      <c r="G3114" s="165"/>
      <c r="H3114" s="165"/>
      <c r="I3114" s="165"/>
    </row>
    <row r="3115" spans="1:9" x14ac:dyDescent="0.3">
      <c r="A3115" s="164"/>
      <c r="B3115" s="165"/>
      <c r="C3115" s="166"/>
      <c r="D3115" s="166"/>
      <c r="E3115" s="166"/>
      <c r="F3115" s="60">
        <f>ПЛАТЕЖИ[[#This Row],[СЎМ]]+(ПЛАТЕЖИ[[#This Row],[ВАЛЮТА]]*ПЛАТЕЖИ[[#This Row],[КУРС]])</f>
        <v>0</v>
      </c>
      <c r="G3115" s="165"/>
      <c r="H3115" s="165"/>
      <c r="I3115" s="165"/>
    </row>
    <row r="3116" spans="1:9" x14ac:dyDescent="0.3">
      <c r="A3116" s="164"/>
      <c r="B3116" s="165"/>
      <c r="C3116" s="166"/>
      <c r="D3116" s="166"/>
      <c r="E3116" s="166"/>
      <c r="F3116" s="60">
        <f>ПЛАТЕЖИ[[#This Row],[СЎМ]]+(ПЛАТЕЖИ[[#This Row],[ВАЛЮТА]]*ПЛАТЕЖИ[[#This Row],[КУРС]])</f>
        <v>0</v>
      </c>
      <c r="G3116" s="165"/>
      <c r="H3116" s="165"/>
      <c r="I3116" s="165"/>
    </row>
    <row r="3117" spans="1:9" x14ac:dyDescent="0.3">
      <c r="A3117" s="164"/>
      <c r="B3117" s="165"/>
      <c r="C3117" s="166"/>
      <c r="D3117" s="166"/>
      <c r="E3117" s="166"/>
      <c r="F3117" s="60">
        <f>ПЛАТЕЖИ[[#This Row],[СЎМ]]+(ПЛАТЕЖИ[[#This Row],[ВАЛЮТА]]*ПЛАТЕЖИ[[#This Row],[КУРС]])</f>
        <v>0</v>
      </c>
      <c r="G3117" s="165"/>
      <c r="H3117" s="165"/>
      <c r="I3117" s="165"/>
    </row>
    <row r="3118" spans="1:9" x14ac:dyDescent="0.3">
      <c r="A3118" s="164"/>
      <c r="B3118" s="165"/>
      <c r="C3118" s="166"/>
      <c r="D3118" s="166"/>
      <c r="E3118" s="166"/>
      <c r="F3118" s="60">
        <f>ПЛАТЕЖИ[[#This Row],[СЎМ]]+(ПЛАТЕЖИ[[#This Row],[ВАЛЮТА]]*ПЛАТЕЖИ[[#This Row],[КУРС]])</f>
        <v>0</v>
      </c>
      <c r="G3118" s="165"/>
      <c r="H3118" s="165"/>
      <c r="I3118" s="165"/>
    </row>
    <row r="3119" spans="1:9" x14ac:dyDescent="0.3">
      <c r="A3119" s="164"/>
      <c r="B3119" s="165"/>
      <c r="C3119" s="166"/>
      <c r="D3119" s="166"/>
      <c r="E3119" s="166"/>
      <c r="F3119" s="60">
        <f>ПЛАТЕЖИ[[#This Row],[СЎМ]]+(ПЛАТЕЖИ[[#This Row],[ВАЛЮТА]]*ПЛАТЕЖИ[[#This Row],[КУРС]])</f>
        <v>0</v>
      </c>
      <c r="G3119" s="165"/>
      <c r="H3119" s="165"/>
      <c r="I3119" s="165"/>
    </row>
    <row r="3120" spans="1:9" x14ac:dyDescent="0.3">
      <c r="A3120" s="164"/>
      <c r="B3120" s="165"/>
      <c r="C3120" s="166"/>
      <c r="D3120" s="166"/>
      <c r="E3120" s="166"/>
      <c r="F3120" s="60">
        <f>ПЛАТЕЖИ[[#This Row],[СЎМ]]+(ПЛАТЕЖИ[[#This Row],[ВАЛЮТА]]*ПЛАТЕЖИ[[#This Row],[КУРС]])</f>
        <v>0</v>
      </c>
      <c r="G3120" s="165"/>
      <c r="H3120" s="165"/>
      <c r="I3120" s="165"/>
    </row>
    <row r="3121" spans="1:9" x14ac:dyDescent="0.3">
      <c r="A3121" s="164"/>
      <c r="B3121" s="165"/>
      <c r="C3121" s="166"/>
      <c r="D3121" s="166"/>
      <c r="E3121" s="166"/>
      <c r="F3121" s="60">
        <f>ПЛАТЕЖИ[[#This Row],[СЎМ]]+(ПЛАТЕЖИ[[#This Row],[ВАЛЮТА]]*ПЛАТЕЖИ[[#This Row],[КУРС]])</f>
        <v>0</v>
      </c>
      <c r="G3121" s="165"/>
      <c r="H3121" s="165"/>
      <c r="I3121" s="165"/>
    </row>
    <row r="3122" spans="1:9" x14ac:dyDescent="0.3">
      <c r="A3122" s="164"/>
      <c r="B3122" s="165"/>
      <c r="C3122" s="166"/>
      <c r="D3122" s="166"/>
      <c r="E3122" s="166"/>
      <c r="F3122" s="60">
        <f>ПЛАТЕЖИ[[#This Row],[СЎМ]]+(ПЛАТЕЖИ[[#This Row],[ВАЛЮТА]]*ПЛАТЕЖИ[[#This Row],[КУРС]])</f>
        <v>0</v>
      </c>
      <c r="G3122" s="165"/>
      <c r="H3122" s="165"/>
      <c r="I3122" s="165"/>
    </row>
    <row r="3123" spans="1:9" x14ac:dyDescent="0.3">
      <c r="A3123" s="164"/>
      <c r="B3123" s="165"/>
      <c r="C3123" s="166"/>
      <c r="D3123" s="166"/>
      <c r="E3123" s="166"/>
      <c r="F3123" s="60">
        <f>ПЛАТЕЖИ[[#This Row],[СЎМ]]+(ПЛАТЕЖИ[[#This Row],[ВАЛЮТА]]*ПЛАТЕЖИ[[#This Row],[КУРС]])</f>
        <v>0</v>
      </c>
      <c r="G3123" s="165"/>
      <c r="H3123" s="165"/>
      <c r="I3123" s="165"/>
    </row>
    <row r="3124" spans="1:9" x14ac:dyDescent="0.3">
      <c r="A3124" s="164"/>
      <c r="B3124" s="165"/>
      <c r="C3124" s="166"/>
      <c r="D3124" s="166"/>
      <c r="E3124" s="166"/>
      <c r="F3124" s="60">
        <f>ПЛАТЕЖИ[[#This Row],[СЎМ]]+(ПЛАТЕЖИ[[#This Row],[ВАЛЮТА]]*ПЛАТЕЖИ[[#This Row],[КУРС]])</f>
        <v>0</v>
      </c>
      <c r="G3124" s="165"/>
      <c r="H3124" s="165"/>
      <c r="I3124" s="165"/>
    </row>
    <row r="3125" spans="1:9" x14ac:dyDescent="0.3">
      <c r="A3125" s="164"/>
      <c r="B3125" s="165"/>
      <c r="C3125" s="166"/>
      <c r="D3125" s="166"/>
      <c r="E3125" s="166"/>
      <c r="F3125" s="60">
        <f>ПЛАТЕЖИ[[#This Row],[СЎМ]]+(ПЛАТЕЖИ[[#This Row],[ВАЛЮТА]]*ПЛАТЕЖИ[[#This Row],[КУРС]])</f>
        <v>0</v>
      </c>
      <c r="G3125" s="165"/>
      <c r="H3125" s="165"/>
      <c r="I3125" s="165"/>
    </row>
    <row r="3126" spans="1:9" x14ac:dyDescent="0.3">
      <c r="A3126" s="164"/>
      <c r="B3126" s="165"/>
      <c r="C3126" s="166"/>
      <c r="D3126" s="166"/>
      <c r="E3126" s="166"/>
      <c r="F3126" s="60">
        <f>ПЛАТЕЖИ[[#This Row],[СЎМ]]+(ПЛАТЕЖИ[[#This Row],[ВАЛЮТА]]*ПЛАТЕЖИ[[#This Row],[КУРС]])</f>
        <v>0</v>
      </c>
      <c r="G3126" s="165"/>
      <c r="H3126" s="165"/>
      <c r="I3126" s="165"/>
    </row>
    <row r="3127" spans="1:9" x14ac:dyDescent="0.3">
      <c r="A3127" s="164"/>
      <c r="B3127" s="165"/>
      <c r="C3127" s="166"/>
      <c r="D3127" s="166"/>
      <c r="E3127" s="166"/>
      <c r="F3127" s="60">
        <f>ПЛАТЕЖИ[[#This Row],[СЎМ]]+(ПЛАТЕЖИ[[#This Row],[ВАЛЮТА]]*ПЛАТЕЖИ[[#This Row],[КУРС]])</f>
        <v>0</v>
      </c>
      <c r="G3127" s="165"/>
      <c r="H3127" s="165"/>
      <c r="I3127" s="165"/>
    </row>
    <row r="3128" spans="1:9" x14ac:dyDescent="0.3">
      <c r="A3128" s="164"/>
      <c r="B3128" s="165"/>
      <c r="C3128" s="166"/>
      <c r="D3128" s="166"/>
      <c r="E3128" s="166"/>
      <c r="F3128" s="60">
        <f>ПЛАТЕЖИ[[#This Row],[СЎМ]]+(ПЛАТЕЖИ[[#This Row],[ВАЛЮТА]]*ПЛАТЕЖИ[[#This Row],[КУРС]])</f>
        <v>0</v>
      </c>
      <c r="G3128" s="165"/>
      <c r="H3128" s="165"/>
      <c r="I3128" s="165"/>
    </row>
    <row r="3129" spans="1:9" x14ac:dyDescent="0.3">
      <c r="A3129" s="164"/>
      <c r="B3129" s="165"/>
      <c r="C3129" s="166"/>
      <c r="D3129" s="166"/>
      <c r="E3129" s="166"/>
      <c r="F3129" s="60">
        <f>ПЛАТЕЖИ[[#This Row],[СЎМ]]+(ПЛАТЕЖИ[[#This Row],[ВАЛЮТА]]*ПЛАТЕЖИ[[#This Row],[КУРС]])</f>
        <v>0</v>
      </c>
      <c r="G3129" s="165"/>
      <c r="H3129" s="165"/>
      <c r="I3129" s="165"/>
    </row>
    <row r="3130" spans="1:9" x14ac:dyDescent="0.3">
      <c r="A3130" s="164"/>
      <c r="B3130" s="165"/>
      <c r="C3130" s="166"/>
      <c r="D3130" s="166"/>
      <c r="E3130" s="166"/>
      <c r="F3130" s="60">
        <f>ПЛАТЕЖИ[[#This Row],[СЎМ]]+(ПЛАТЕЖИ[[#This Row],[ВАЛЮТА]]*ПЛАТЕЖИ[[#This Row],[КУРС]])</f>
        <v>0</v>
      </c>
      <c r="G3130" s="165"/>
      <c r="H3130" s="165"/>
      <c r="I3130" s="165"/>
    </row>
    <row r="3131" spans="1:9" x14ac:dyDescent="0.3">
      <c r="A3131" s="164"/>
      <c r="B3131" s="165"/>
      <c r="C3131" s="166"/>
      <c r="D3131" s="166"/>
      <c r="E3131" s="166"/>
      <c r="F3131" s="60">
        <f>ПЛАТЕЖИ[[#This Row],[СЎМ]]+(ПЛАТЕЖИ[[#This Row],[ВАЛЮТА]]*ПЛАТЕЖИ[[#This Row],[КУРС]])</f>
        <v>0</v>
      </c>
      <c r="G3131" s="165"/>
      <c r="H3131" s="165"/>
      <c r="I3131" s="165"/>
    </row>
    <row r="3132" spans="1:9" x14ac:dyDescent="0.3">
      <c r="A3132" s="164"/>
      <c r="B3132" s="165"/>
      <c r="C3132" s="166"/>
      <c r="D3132" s="166"/>
      <c r="E3132" s="166"/>
      <c r="F3132" s="60">
        <f>ПЛАТЕЖИ[[#This Row],[СЎМ]]+(ПЛАТЕЖИ[[#This Row],[ВАЛЮТА]]*ПЛАТЕЖИ[[#This Row],[КУРС]])</f>
        <v>0</v>
      </c>
      <c r="G3132" s="165"/>
      <c r="H3132" s="165"/>
      <c r="I3132" s="165"/>
    </row>
    <row r="3133" spans="1:9" x14ac:dyDescent="0.3">
      <c r="A3133" s="164"/>
      <c r="B3133" s="165"/>
      <c r="C3133" s="166"/>
      <c r="D3133" s="166"/>
      <c r="E3133" s="166"/>
      <c r="F3133" s="60">
        <f>ПЛАТЕЖИ[[#This Row],[СЎМ]]+(ПЛАТЕЖИ[[#This Row],[ВАЛЮТА]]*ПЛАТЕЖИ[[#This Row],[КУРС]])</f>
        <v>0</v>
      </c>
      <c r="G3133" s="165"/>
      <c r="H3133" s="165"/>
      <c r="I3133" s="165"/>
    </row>
    <row r="3134" spans="1:9" x14ac:dyDescent="0.3">
      <c r="A3134" s="164"/>
      <c r="B3134" s="165"/>
      <c r="C3134" s="166"/>
      <c r="D3134" s="166"/>
      <c r="E3134" s="166"/>
      <c r="F3134" s="60">
        <f>ПЛАТЕЖИ[[#This Row],[СЎМ]]+(ПЛАТЕЖИ[[#This Row],[ВАЛЮТА]]*ПЛАТЕЖИ[[#This Row],[КУРС]])</f>
        <v>0</v>
      </c>
      <c r="G3134" s="165"/>
      <c r="H3134" s="165"/>
      <c r="I3134" s="165"/>
    </row>
    <row r="3135" spans="1:9" x14ac:dyDescent="0.3">
      <c r="A3135" s="164"/>
      <c r="B3135" s="165"/>
      <c r="C3135" s="166"/>
      <c r="D3135" s="166"/>
      <c r="E3135" s="166"/>
      <c r="F3135" s="60">
        <f>ПЛАТЕЖИ[[#This Row],[СЎМ]]+(ПЛАТЕЖИ[[#This Row],[ВАЛЮТА]]*ПЛАТЕЖИ[[#This Row],[КУРС]])</f>
        <v>0</v>
      </c>
      <c r="G3135" s="165"/>
      <c r="H3135" s="165"/>
      <c r="I3135" s="165"/>
    </row>
    <row r="3136" spans="1:9" x14ac:dyDescent="0.3">
      <c r="A3136" s="164"/>
      <c r="B3136" s="165"/>
      <c r="C3136" s="166"/>
      <c r="D3136" s="166"/>
      <c r="E3136" s="166"/>
      <c r="F3136" s="60">
        <f>ПЛАТЕЖИ[[#This Row],[СЎМ]]+(ПЛАТЕЖИ[[#This Row],[ВАЛЮТА]]*ПЛАТЕЖИ[[#This Row],[КУРС]])</f>
        <v>0</v>
      </c>
      <c r="G3136" s="165"/>
      <c r="H3136" s="165"/>
      <c r="I3136" s="165"/>
    </row>
    <row r="3137" spans="1:9" x14ac:dyDescent="0.3">
      <c r="A3137" s="164"/>
      <c r="B3137" s="165"/>
      <c r="C3137" s="166"/>
      <c r="D3137" s="166"/>
      <c r="E3137" s="166"/>
      <c r="F3137" s="60">
        <f>ПЛАТЕЖИ[[#This Row],[СЎМ]]+(ПЛАТЕЖИ[[#This Row],[ВАЛЮТА]]*ПЛАТЕЖИ[[#This Row],[КУРС]])</f>
        <v>0</v>
      </c>
      <c r="G3137" s="165"/>
      <c r="H3137" s="165"/>
      <c r="I3137" s="165"/>
    </row>
    <row r="3138" spans="1:9" x14ac:dyDescent="0.3">
      <c r="A3138" s="164"/>
      <c r="B3138" s="165"/>
      <c r="C3138" s="166"/>
      <c r="D3138" s="166"/>
      <c r="E3138" s="166"/>
      <c r="F3138" s="60">
        <f>ПЛАТЕЖИ[[#This Row],[СЎМ]]+(ПЛАТЕЖИ[[#This Row],[ВАЛЮТА]]*ПЛАТЕЖИ[[#This Row],[КУРС]])</f>
        <v>0</v>
      </c>
      <c r="G3138" s="165"/>
      <c r="H3138" s="165"/>
      <c r="I3138" s="165"/>
    </row>
    <row r="3139" spans="1:9" x14ac:dyDescent="0.3">
      <c r="A3139" s="164"/>
      <c r="B3139" s="165"/>
      <c r="C3139" s="166"/>
      <c r="D3139" s="166"/>
      <c r="E3139" s="166"/>
      <c r="F3139" s="60">
        <f>ПЛАТЕЖИ[[#This Row],[СЎМ]]+(ПЛАТЕЖИ[[#This Row],[ВАЛЮТА]]*ПЛАТЕЖИ[[#This Row],[КУРС]])</f>
        <v>0</v>
      </c>
      <c r="G3139" s="165"/>
      <c r="H3139" s="165"/>
      <c r="I3139" s="165"/>
    </row>
    <row r="3140" spans="1:9" x14ac:dyDescent="0.3">
      <c r="A3140" s="164"/>
      <c r="B3140" s="165"/>
      <c r="C3140" s="166"/>
      <c r="D3140" s="166"/>
      <c r="E3140" s="166"/>
      <c r="F3140" s="60">
        <f>ПЛАТЕЖИ[[#This Row],[СЎМ]]+(ПЛАТЕЖИ[[#This Row],[ВАЛЮТА]]*ПЛАТЕЖИ[[#This Row],[КУРС]])</f>
        <v>0</v>
      </c>
      <c r="G3140" s="165"/>
      <c r="H3140" s="165"/>
      <c r="I3140" s="165"/>
    </row>
    <row r="3141" spans="1:9" x14ac:dyDescent="0.3">
      <c r="A3141" s="164"/>
      <c r="B3141" s="165"/>
      <c r="C3141" s="166"/>
      <c r="D3141" s="166"/>
      <c r="E3141" s="166"/>
      <c r="F3141" s="60">
        <f>ПЛАТЕЖИ[[#This Row],[СЎМ]]+(ПЛАТЕЖИ[[#This Row],[ВАЛЮТА]]*ПЛАТЕЖИ[[#This Row],[КУРС]])</f>
        <v>0</v>
      </c>
      <c r="G3141" s="165"/>
      <c r="H3141" s="165"/>
      <c r="I3141" s="165"/>
    </row>
    <row r="3142" spans="1:9" x14ac:dyDescent="0.3">
      <c r="A3142" s="164"/>
      <c r="B3142" s="165"/>
      <c r="C3142" s="166"/>
      <c r="D3142" s="166"/>
      <c r="E3142" s="166"/>
      <c r="F3142" s="60">
        <f>ПЛАТЕЖИ[[#This Row],[СЎМ]]+(ПЛАТЕЖИ[[#This Row],[ВАЛЮТА]]*ПЛАТЕЖИ[[#This Row],[КУРС]])</f>
        <v>0</v>
      </c>
      <c r="G3142" s="165"/>
      <c r="H3142" s="165"/>
      <c r="I3142" s="165"/>
    </row>
    <row r="3143" spans="1:9" x14ac:dyDescent="0.3">
      <c r="A3143" s="164"/>
      <c r="B3143" s="165"/>
      <c r="C3143" s="166"/>
      <c r="D3143" s="166"/>
      <c r="E3143" s="166"/>
      <c r="F3143" s="60">
        <f>ПЛАТЕЖИ[[#This Row],[СЎМ]]+(ПЛАТЕЖИ[[#This Row],[ВАЛЮТА]]*ПЛАТЕЖИ[[#This Row],[КУРС]])</f>
        <v>0</v>
      </c>
      <c r="G3143" s="165"/>
      <c r="H3143" s="165"/>
      <c r="I3143" s="165"/>
    </row>
    <row r="3144" spans="1:9" x14ac:dyDescent="0.3">
      <c r="A3144" s="164"/>
      <c r="B3144" s="165"/>
      <c r="C3144" s="166"/>
      <c r="D3144" s="166"/>
      <c r="E3144" s="166"/>
      <c r="F3144" s="60">
        <f>ПЛАТЕЖИ[[#This Row],[СЎМ]]+(ПЛАТЕЖИ[[#This Row],[ВАЛЮТА]]*ПЛАТЕЖИ[[#This Row],[КУРС]])</f>
        <v>0</v>
      </c>
      <c r="G3144" s="165"/>
      <c r="H3144" s="165"/>
      <c r="I3144" s="165"/>
    </row>
    <row r="3145" spans="1:9" x14ac:dyDescent="0.3">
      <c r="A3145" s="164"/>
      <c r="B3145" s="165"/>
      <c r="C3145" s="166"/>
      <c r="D3145" s="166"/>
      <c r="E3145" s="166"/>
      <c r="F3145" s="60">
        <f>ПЛАТЕЖИ[[#This Row],[СЎМ]]+(ПЛАТЕЖИ[[#This Row],[ВАЛЮТА]]*ПЛАТЕЖИ[[#This Row],[КУРС]])</f>
        <v>0</v>
      </c>
      <c r="G3145" s="165"/>
      <c r="H3145" s="165"/>
      <c r="I3145" s="165"/>
    </row>
    <row r="3146" spans="1:9" x14ac:dyDescent="0.3">
      <c r="A3146" s="164"/>
      <c r="B3146" s="165"/>
      <c r="C3146" s="166"/>
      <c r="D3146" s="166"/>
      <c r="E3146" s="166"/>
      <c r="F3146" s="60">
        <f>ПЛАТЕЖИ[[#This Row],[СЎМ]]+(ПЛАТЕЖИ[[#This Row],[ВАЛЮТА]]*ПЛАТЕЖИ[[#This Row],[КУРС]])</f>
        <v>0</v>
      </c>
      <c r="G3146" s="165"/>
      <c r="H3146" s="165"/>
      <c r="I3146" s="165"/>
    </row>
    <row r="3147" spans="1:9" x14ac:dyDescent="0.3">
      <c r="A3147" s="164"/>
      <c r="B3147" s="165"/>
      <c r="C3147" s="166"/>
      <c r="D3147" s="166"/>
      <c r="E3147" s="166"/>
      <c r="F3147" s="60">
        <f>ПЛАТЕЖИ[[#This Row],[СЎМ]]+(ПЛАТЕЖИ[[#This Row],[ВАЛЮТА]]*ПЛАТЕЖИ[[#This Row],[КУРС]])</f>
        <v>0</v>
      </c>
      <c r="G3147" s="165"/>
      <c r="H3147" s="165"/>
      <c r="I3147" s="165"/>
    </row>
    <row r="3148" spans="1:9" x14ac:dyDescent="0.3">
      <c r="A3148" s="164"/>
      <c r="B3148" s="165"/>
      <c r="C3148" s="166"/>
      <c r="D3148" s="166"/>
      <c r="E3148" s="166"/>
      <c r="F3148" s="60">
        <f>ПЛАТЕЖИ[[#This Row],[СЎМ]]+(ПЛАТЕЖИ[[#This Row],[ВАЛЮТА]]*ПЛАТЕЖИ[[#This Row],[КУРС]])</f>
        <v>0</v>
      </c>
      <c r="G3148" s="165"/>
      <c r="H3148" s="165"/>
      <c r="I3148" s="165"/>
    </row>
    <row r="3149" spans="1:9" x14ac:dyDescent="0.3">
      <c r="A3149" s="164"/>
      <c r="B3149" s="165"/>
      <c r="C3149" s="166"/>
      <c r="D3149" s="166"/>
      <c r="E3149" s="166"/>
      <c r="F3149" s="60">
        <f>ПЛАТЕЖИ[[#This Row],[СЎМ]]+(ПЛАТЕЖИ[[#This Row],[ВАЛЮТА]]*ПЛАТЕЖИ[[#This Row],[КУРС]])</f>
        <v>0</v>
      </c>
      <c r="G3149" s="165"/>
      <c r="H3149" s="165"/>
      <c r="I3149" s="165"/>
    </row>
    <row r="3150" spans="1:9" x14ac:dyDescent="0.3">
      <c r="A3150" s="164"/>
      <c r="B3150" s="165"/>
      <c r="C3150" s="166"/>
      <c r="D3150" s="166"/>
      <c r="E3150" s="166"/>
      <c r="F3150" s="60">
        <f>ПЛАТЕЖИ[[#This Row],[СЎМ]]+(ПЛАТЕЖИ[[#This Row],[ВАЛЮТА]]*ПЛАТЕЖИ[[#This Row],[КУРС]])</f>
        <v>0</v>
      </c>
      <c r="G3150" s="165"/>
      <c r="H3150" s="165"/>
      <c r="I3150" s="165"/>
    </row>
    <row r="3151" spans="1:9" x14ac:dyDescent="0.3">
      <c r="A3151" s="164"/>
      <c r="B3151" s="165"/>
      <c r="C3151" s="166"/>
      <c r="D3151" s="166"/>
      <c r="E3151" s="166"/>
      <c r="F3151" s="60">
        <f>ПЛАТЕЖИ[[#This Row],[СЎМ]]+(ПЛАТЕЖИ[[#This Row],[ВАЛЮТА]]*ПЛАТЕЖИ[[#This Row],[КУРС]])</f>
        <v>0</v>
      </c>
      <c r="G3151" s="165"/>
      <c r="H3151" s="165"/>
      <c r="I3151" s="165"/>
    </row>
    <row r="3152" spans="1:9" x14ac:dyDescent="0.3">
      <c r="A3152" s="164"/>
      <c r="B3152" s="165"/>
      <c r="C3152" s="166"/>
      <c r="D3152" s="166"/>
      <c r="E3152" s="166"/>
      <c r="F3152" s="60">
        <f>ПЛАТЕЖИ[[#This Row],[СЎМ]]+(ПЛАТЕЖИ[[#This Row],[ВАЛЮТА]]*ПЛАТЕЖИ[[#This Row],[КУРС]])</f>
        <v>0</v>
      </c>
      <c r="G3152" s="165"/>
      <c r="H3152" s="165"/>
      <c r="I3152" s="165"/>
    </row>
    <row r="3153" spans="1:9" x14ac:dyDescent="0.3">
      <c r="A3153" s="164"/>
      <c r="B3153" s="165"/>
      <c r="C3153" s="166"/>
      <c r="D3153" s="166"/>
      <c r="E3153" s="166"/>
      <c r="F3153" s="60">
        <f>ПЛАТЕЖИ[[#This Row],[СЎМ]]+(ПЛАТЕЖИ[[#This Row],[ВАЛЮТА]]*ПЛАТЕЖИ[[#This Row],[КУРС]])</f>
        <v>0</v>
      </c>
      <c r="G3153" s="165"/>
      <c r="H3153" s="165"/>
      <c r="I3153" s="165"/>
    </row>
    <row r="3154" spans="1:9" x14ac:dyDescent="0.3">
      <c r="A3154" s="164"/>
      <c r="B3154" s="165"/>
      <c r="C3154" s="166"/>
      <c r="D3154" s="166"/>
      <c r="E3154" s="166"/>
      <c r="F3154" s="60">
        <f>ПЛАТЕЖИ[[#This Row],[СЎМ]]+(ПЛАТЕЖИ[[#This Row],[ВАЛЮТА]]*ПЛАТЕЖИ[[#This Row],[КУРС]])</f>
        <v>0</v>
      </c>
      <c r="G3154" s="165"/>
      <c r="H3154" s="165"/>
      <c r="I3154" s="165"/>
    </row>
    <row r="3155" spans="1:9" x14ac:dyDescent="0.3">
      <c r="A3155" s="164"/>
      <c r="B3155" s="165"/>
      <c r="C3155" s="166"/>
      <c r="D3155" s="166"/>
      <c r="E3155" s="166"/>
      <c r="F3155" s="60">
        <f>ПЛАТЕЖИ[[#This Row],[СЎМ]]+(ПЛАТЕЖИ[[#This Row],[ВАЛЮТА]]*ПЛАТЕЖИ[[#This Row],[КУРС]])</f>
        <v>0</v>
      </c>
      <c r="G3155" s="165"/>
      <c r="H3155" s="165"/>
      <c r="I3155" s="165"/>
    </row>
    <row r="3156" spans="1:9" x14ac:dyDescent="0.3">
      <c r="A3156" s="164"/>
      <c r="B3156" s="165"/>
      <c r="C3156" s="166"/>
      <c r="D3156" s="166"/>
      <c r="E3156" s="166"/>
      <c r="F3156" s="60">
        <f>ПЛАТЕЖИ[[#This Row],[СЎМ]]+(ПЛАТЕЖИ[[#This Row],[ВАЛЮТА]]*ПЛАТЕЖИ[[#This Row],[КУРС]])</f>
        <v>0</v>
      </c>
      <c r="G3156" s="165"/>
      <c r="H3156" s="165"/>
      <c r="I3156" s="165"/>
    </row>
    <row r="3157" spans="1:9" x14ac:dyDescent="0.3">
      <c r="A3157" s="164"/>
      <c r="B3157" s="165"/>
      <c r="C3157" s="166"/>
      <c r="D3157" s="166"/>
      <c r="E3157" s="166"/>
      <c r="F3157" s="60">
        <f>ПЛАТЕЖИ[[#This Row],[СЎМ]]+(ПЛАТЕЖИ[[#This Row],[ВАЛЮТА]]*ПЛАТЕЖИ[[#This Row],[КУРС]])</f>
        <v>0</v>
      </c>
      <c r="G3157" s="165"/>
      <c r="H3157" s="165"/>
      <c r="I3157" s="165"/>
    </row>
    <row r="3158" spans="1:9" x14ac:dyDescent="0.3">
      <c r="A3158" s="164"/>
      <c r="B3158" s="165"/>
      <c r="C3158" s="166"/>
      <c r="D3158" s="166"/>
      <c r="E3158" s="166"/>
      <c r="F3158" s="60">
        <f>ПЛАТЕЖИ[[#This Row],[СЎМ]]+(ПЛАТЕЖИ[[#This Row],[ВАЛЮТА]]*ПЛАТЕЖИ[[#This Row],[КУРС]])</f>
        <v>0</v>
      </c>
      <c r="G3158" s="165"/>
      <c r="H3158" s="165"/>
      <c r="I3158" s="165"/>
    </row>
    <row r="3159" spans="1:9" x14ac:dyDescent="0.3">
      <c r="A3159" s="164"/>
      <c r="B3159" s="165"/>
      <c r="C3159" s="166"/>
      <c r="D3159" s="166"/>
      <c r="E3159" s="166"/>
      <c r="F3159" s="60">
        <f>ПЛАТЕЖИ[[#This Row],[СЎМ]]+(ПЛАТЕЖИ[[#This Row],[ВАЛЮТА]]*ПЛАТЕЖИ[[#This Row],[КУРС]])</f>
        <v>0</v>
      </c>
      <c r="G3159" s="165"/>
      <c r="H3159" s="165"/>
      <c r="I3159" s="165"/>
    </row>
    <row r="3160" spans="1:9" x14ac:dyDescent="0.3">
      <c r="A3160" s="164"/>
      <c r="B3160" s="165"/>
      <c r="C3160" s="166"/>
      <c r="D3160" s="166"/>
      <c r="E3160" s="166"/>
      <c r="F3160" s="60">
        <f>ПЛАТЕЖИ[[#This Row],[СЎМ]]+(ПЛАТЕЖИ[[#This Row],[ВАЛЮТА]]*ПЛАТЕЖИ[[#This Row],[КУРС]])</f>
        <v>0</v>
      </c>
      <c r="G3160" s="165"/>
      <c r="H3160" s="165"/>
      <c r="I3160" s="165"/>
    </row>
    <row r="3161" spans="1:9" x14ac:dyDescent="0.3">
      <c r="A3161" s="164"/>
      <c r="B3161" s="165"/>
      <c r="C3161" s="166"/>
      <c r="D3161" s="166"/>
      <c r="E3161" s="166"/>
      <c r="F3161" s="60">
        <f>ПЛАТЕЖИ[[#This Row],[СЎМ]]+(ПЛАТЕЖИ[[#This Row],[ВАЛЮТА]]*ПЛАТЕЖИ[[#This Row],[КУРС]])</f>
        <v>0</v>
      </c>
      <c r="G3161" s="165"/>
      <c r="H3161" s="165"/>
      <c r="I3161" s="165"/>
    </row>
    <row r="3162" spans="1:9" x14ac:dyDescent="0.3">
      <c r="A3162" s="164"/>
      <c r="B3162" s="165"/>
      <c r="C3162" s="166"/>
      <c r="D3162" s="166"/>
      <c r="E3162" s="166"/>
      <c r="F3162" s="60">
        <f>ПЛАТЕЖИ[[#This Row],[СЎМ]]+(ПЛАТЕЖИ[[#This Row],[ВАЛЮТА]]*ПЛАТЕЖИ[[#This Row],[КУРС]])</f>
        <v>0</v>
      </c>
      <c r="G3162" s="165"/>
      <c r="H3162" s="165"/>
      <c r="I3162" s="165"/>
    </row>
    <row r="3163" spans="1:9" x14ac:dyDescent="0.3">
      <c r="A3163" s="164"/>
      <c r="B3163" s="165"/>
      <c r="C3163" s="166"/>
      <c r="D3163" s="166"/>
      <c r="E3163" s="166"/>
      <c r="F3163" s="60">
        <f>ПЛАТЕЖИ[[#This Row],[СЎМ]]+(ПЛАТЕЖИ[[#This Row],[ВАЛЮТА]]*ПЛАТЕЖИ[[#This Row],[КУРС]])</f>
        <v>0</v>
      </c>
      <c r="G3163" s="165"/>
      <c r="H3163" s="165"/>
      <c r="I3163" s="165"/>
    </row>
    <row r="3164" spans="1:9" x14ac:dyDescent="0.3">
      <c r="A3164" s="164"/>
      <c r="B3164" s="165"/>
      <c r="C3164" s="166"/>
      <c r="D3164" s="166"/>
      <c r="E3164" s="166"/>
      <c r="F3164" s="60">
        <f>ПЛАТЕЖИ[[#This Row],[СЎМ]]+(ПЛАТЕЖИ[[#This Row],[ВАЛЮТА]]*ПЛАТЕЖИ[[#This Row],[КУРС]])</f>
        <v>0</v>
      </c>
      <c r="G3164" s="165"/>
      <c r="H3164" s="165"/>
      <c r="I3164" s="165"/>
    </row>
    <row r="3165" spans="1:9" x14ac:dyDescent="0.3">
      <c r="A3165" s="164"/>
      <c r="B3165" s="165"/>
      <c r="C3165" s="166"/>
      <c r="D3165" s="166"/>
      <c r="E3165" s="166"/>
      <c r="F3165" s="60">
        <f>ПЛАТЕЖИ[[#This Row],[СЎМ]]+(ПЛАТЕЖИ[[#This Row],[ВАЛЮТА]]*ПЛАТЕЖИ[[#This Row],[КУРС]])</f>
        <v>0</v>
      </c>
      <c r="G3165" s="165"/>
      <c r="H3165" s="165"/>
      <c r="I3165" s="165"/>
    </row>
    <row r="3166" spans="1:9" x14ac:dyDescent="0.3">
      <c r="A3166" s="164"/>
      <c r="B3166" s="165"/>
      <c r="C3166" s="166"/>
      <c r="D3166" s="166"/>
      <c r="E3166" s="166"/>
      <c r="F3166" s="60">
        <f>ПЛАТЕЖИ[[#This Row],[СЎМ]]+(ПЛАТЕЖИ[[#This Row],[ВАЛЮТА]]*ПЛАТЕЖИ[[#This Row],[КУРС]])</f>
        <v>0</v>
      </c>
      <c r="G3166" s="165"/>
      <c r="H3166" s="165"/>
      <c r="I3166" s="165"/>
    </row>
    <row r="3167" spans="1:9" x14ac:dyDescent="0.3">
      <c r="A3167" s="164"/>
      <c r="B3167" s="165"/>
      <c r="C3167" s="166"/>
      <c r="D3167" s="166"/>
      <c r="E3167" s="166"/>
      <c r="F3167" s="60">
        <f>ПЛАТЕЖИ[[#This Row],[СЎМ]]+(ПЛАТЕЖИ[[#This Row],[ВАЛЮТА]]*ПЛАТЕЖИ[[#This Row],[КУРС]])</f>
        <v>0</v>
      </c>
      <c r="G3167" s="165"/>
      <c r="H3167" s="165"/>
      <c r="I3167" s="165"/>
    </row>
    <row r="3168" spans="1:9" x14ac:dyDescent="0.3">
      <c r="A3168" s="164"/>
      <c r="B3168" s="165"/>
      <c r="C3168" s="166"/>
      <c r="D3168" s="166"/>
      <c r="E3168" s="166"/>
      <c r="F3168" s="60">
        <f>ПЛАТЕЖИ[[#This Row],[СЎМ]]+(ПЛАТЕЖИ[[#This Row],[ВАЛЮТА]]*ПЛАТЕЖИ[[#This Row],[КУРС]])</f>
        <v>0</v>
      </c>
      <c r="G3168" s="165"/>
      <c r="H3168" s="165"/>
      <c r="I3168" s="165"/>
    </row>
    <row r="3169" spans="1:9" x14ac:dyDescent="0.3">
      <c r="A3169" s="164"/>
      <c r="B3169" s="165"/>
      <c r="C3169" s="166"/>
      <c r="D3169" s="166"/>
      <c r="E3169" s="166"/>
      <c r="F3169" s="60">
        <f>ПЛАТЕЖИ[[#This Row],[СЎМ]]+(ПЛАТЕЖИ[[#This Row],[ВАЛЮТА]]*ПЛАТЕЖИ[[#This Row],[КУРС]])</f>
        <v>0</v>
      </c>
      <c r="G3169" s="165"/>
      <c r="H3169" s="165"/>
      <c r="I3169" s="165"/>
    </row>
    <row r="3170" spans="1:9" x14ac:dyDescent="0.3">
      <c r="A3170" s="164"/>
      <c r="B3170" s="165"/>
      <c r="C3170" s="166"/>
      <c r="D3170" s="166"/>
      <c r="E3170" s="166"/>
      <c r="F3170" s="60">
        <f>ПЛАТЕЖИ[[#This Row],[СЎМ]]+(ПЛАТЕЖИ[[#This Row],[ВАЛЮТА]]*ПЛАТЕЖИ[[#This Row],[КУРС]])</f>
        <v>0</v>
      </c>
      <c r="G3170" s="165"/>
      <c r="H3170" s="165"/>
      <c r="I3170" s="165"/>
    </row>
    <row r="3171" spans="1:9" x14ac:dyDescent="0.3">
      <c r="A3171" s="164"/>
      <c r="B3171" s="165"/>
      <c r="C3171" s="166"/>
      <c r="D3171" s="166"/>
      <c r="E3171" s="166"/>
      <c r="F3171" s="60">
        <f>ПЛАТЕЖИ[[#This Row],[СЎМ]]+(ПЛАТЕЖИ[[#This Row],[ВАЛЮТА]]*ПЛАТЕЖИ[[#This Row],[КУРС]])</f>
        <v>0</v>
      </c>
      <c r="G3171" s="165"/>
      <c r="H3171" s="165"/>
      <c r="I3171" s="165"/>
    </row>
    <row r="3172" spans="1:9" x14ac:dyDescent="0.3">
      <c r="A3172" s="164"/>
      <c r="B3172" s="165"/>
      <c r="C3172" s="166"/>
      <c r="D3172" s="166"/>
      <c r="E3172" s="166"/>
      <c r="F3172" s="60">
        <f>ПЛАТЕЖИ[[#This Row],[СЎМ]]+(ПЛАТЕЖИ[[#This Row],[ВАЛЮТА]]*ПЛАТЕЖИ[[#This Row],[КУРС]])</f>
        <v>0</v>
      </c>
      <c r="G3172" s="165"/>
      <c r="H3172" s="165"/>
      <c r="I3172" s="165"/>
    </row>
    <row r="3173" spans="1:9" x14ac:dyDescent="0.3">
      <c r="A3173" s="164"/>
      <c r="B3173" s="165"/>
      <c r="C3173" s="166"/>
      <c r="D3173" s="166"/>
      <c r="E3173" s="166"/>
      <c r="F3173" s="60">
        <f>ПЛАТЕЖИ[[#This Row],[СЎМ]]+(ПЛАТЕЖИ[[#This Row],[ВАЛЮТА]]*ПЛАТЕЖИ[[#This Row],[КУРС]])</f>
        <v>0</v>
      </c>
      <c r="G3173" s="165"/>
      <c r="H3173" s="165"/>
      <c r="I3173" s="165"/>
    </row>
    <row r="3174" spans="1:9" x14ac:dyDescent="0.3">
      <c r="A3174" s="164"/>
      <c r="B3174" s="165"/>
      <c r="C3174" s="166"/>
      <c r="D3174" s="166"/>
      <c r="E3174" s="166"/>
      <c r="F3174" s="60">
        <f>ПЛАТЕЖИ[[#This Row],[СЎМ]]+(ПЛАТЕЖИ[[#This Row],[ВАЛЮТА]]*ПЛАТЕЖИ[[#This Row],[КУРС]])</f>
        <v>0</v>
      </c>
      <c r="G3174" s="165"/>
      <c r="H3174" s="165"/>
      <c r="I3174" s="165"/>
    </row>
    <row r="3175" spans="1:9" x14ac:dyDescent="0.3">
      <c r="A3175" s="164"/>
      <c r="B3175" s="165"/>
      <c r="C3175" s="166"/>
      <c r="D3175" s="166"/>
      <c r="E3175" s="166"/>
      <c r="F3175" s="60">
        <f>ПЛАТЕЖИ[[#This Row],[СЎМ]]+(ПЛАТЕЖИ[[#This Row],[ВАЛЮТА]]*ПЛАТЕЖИ[[#This Row],[КУРС]])</f>
        <v>0</v>
      </c>
      <c r="G3175" s="165"/>
      <c r="H3175" s="165"/>
      <c r="I3175" s="165"/>
    </row>
    <row r="3176" spans="1:9" x14ac:dyDescent="0.3">
      <c r="A3176" s="164"/>
      <c r="B3176" s="165"/>
      <c r="C3176" s="166"/>
      <c r="D3176" s="166"/>
      <c r="E3176" s="166"/>
      <c r="F3176" s="60">
        <f>ПЛАТЕЖИ[[#This Row],[СЎМ]]+(ПЛАТЕЖИ[[#This Row],[ВАЛЮТА]]*ПЛАТЕЖИ[[#This Row],[КУРС]])</f>
        <v>0</v>
      </c>
      <c r="G3176" s="165"/>
      <c r="H3176" s="165"/>
      <c r="I3176" s="165"/>
    </row>
    <row r="3177" spans="1:9" x14ac:dyDescent="0.3">
      <c r="A3177" s="164"/>
      <c r="B3177" s="165"/>
      <c r="C3177" s="166"/>
      <c r="D3177" s="166"/>
      <c r="E3177" s="166"/>
      <c r="F3177" s="60">
        <f>ПЛАТЕЖИ[[#This Row],[СЎМ]]+(ПЛАТЕЖИ[[#This Row],[ВАЛЮТА]]*ПЛАТЕЖИ[[#This Row],[КУРС]])</f>
        <v>0</v>
      </c>
      <c r="G3177" s="165"/>
      <c r="H3177" s="165"/>
      <c r="I3177" s="165"/>
    </row>
    <row r="3178" spans="1:9" x14ac:dyDescent="0.3">
      <c r="A3178" s="164"/>
      <c r="B3178" s="165"/>
      <c r="C3178" s="166"/>
      <c r="D3178" s="166"/>
      <c r="E3178" s="166"/>
      <c r="F3178" s="60">
        <f>ПЛАТЕЖИ[[#This Row],[СЎМ]]+(ПЛАТЕЖИ[[#This Row],[ВАЛЮТА]]*ПЛАТЕЖИ[[#This Row],[КУРС]])</f>
        <v>0</v>
      </c>
      <c r="G3178" s="165"/>
      <c r="H3178" s="165"/>
      <c r="I3178" s="165"/>
    </row>
    <row r="3179" spans="1:9" x14ac:dyDescent="0.3">
      <c r="A3179" s="164"/>
      <c r="B3179" s="165"/>
      <c r="C3179" s="166"/>
      <c r="D3179" s="166"/>
      <c r="E3179" s="166"/>
      <c r="F3179" s="60">
        <f>ПЛАТЕЖИ[[#This Row],[СЎМ]]+(ПЛАТЕЖИ[[#This Row],[ВАЛЮТА]]*ПЛАТЕЖИ[[#This Row],[КУРС]])</f>
        <v>0</v>
      </c>
      <c r="G3179" s="165"/>
      <c r="H3179" s="165"/>
      <c r="I3179" s="165"/>
    </row>
    <row r="3180" spans="1:9" x14ac:dyDescent="0.3">
      <c r="A3180" s="164"/>
      <c r="B3180" s="165"/>
      <c r="C3180" s="166"/>
      <c r="D3180" s="166"/>
      <c r="E3180" s="166"/>
      <c r="F3180" s="60">
        <f>ПЛАТЕЖИ[[#This Row],[СЎМ]]+(ПЛАТЕЖИ[[#This Row],[ВАЛЮТА]]*ПЛАТЕЖИ[[#This Row],[КУРС]])</f>
        <v>0</v>
      </c>
      <c r="G3180" s="165"/>
      <c r="H3180" s="165"/>
      <c r="I3180" s="165"/>
    </row>
    <row r="3181" spans="1:9" x14ac:dyDescent="0.3">
      <c r="A3181" s="164"/>
      <c r="B3181" s="165"/>
      <c r="C3181" s="166"/>
      <c r="D3181" s="166"/>
      <c r="E3181" s="166"/>
      <c r="F3181" s="60">
        <f>ПЛАТЕЖИ[[#This Row],[СЎМ]]+(ПЛАТЕЖИ[[#This Row],[ВАЛЮТА]]*ПЛАТЕЖИ[[#This Row],[КУРС]])</f>
        <v>0</v>
      </c>
      <c r="G3181" s="165"/>
      <c r="H3181" s="165"/>
      <c r="I3181" s="165"/>
    </row>
    <row r="3182" spans="1:9" x14ac:dyDescent="0.3">
      <c r="A3182" s="164"/>
      <c r="B3182" s="165"/>
      <c r="C3182" s="166"/>
      <c r="D3182" s="166"/>
      <c r="E3182" s="166"/>
      <c r="F3182" s="60">
        <f>ПЛАТЕЖИ[[#This Row],[СЎМ]]+(ПЛАТЕЖИ[[#This Row],[ВАЛЮТА]]*ПЛАТЕЖИ[[#This Row],[КУРС]])</f>
        <v>0</v>
      </c>
      <c r="G3182" s="165"/>
      <c r="H3182" s="165"/>
      <c r="I3182" s="165"/>
    </row>
    <row r="3183" spans="1:9" x14ac:dyDescent="0.3">
      <c r="A3183" s="164"/>
      <c r="B3183" s="165"/>
      <c r="C3183" s="166"/>
      <c r="D3183" s="166"/>
      <c r="E3183" s="166"/>
      <c r="F3183" s="60">
        <f>ПЛАТЕЖИ[[#This Row],[СЎМ]]+(ПЛАТЕЖИ[[#This Row],[ВАЛЮТА]]*ПЛАТЕЖИ[[#This Row],[КУРС]])</f>
        <v>0</v>
      </c>
      <c r="G3183" s="165"/>
      <c r="H3183" s="165"/>
      <c r="I3183" s="165"/>
    </row>
    <row r="3184" spans="1:9" x14ac:dyDescent="0.3">
      <c r="A3184" s="164"/>
      <c r="B3184" s="165"/>
      <c r="C3184" s="166"/>
      <c r="D3184" s="166"/>
      <c r="E3184" s="166"/>
      <c r="F3184" s="60">
        <f>ПЛАТЕЖИ[[#This Row],[СЎМ]]+(ПЛАТЕЖИ[[#This Row],[ВАЛЮТА]]*ПЛАТЕЖИ[[#This Row],[КУРС]])</f>
        <v>0</v>
      </c>
      <c r="G3184" s="165"/>
      <c r="H3184" s="165"/>
      <c r="I3184" s="165"/>
    </row>
    <row r="3185" spans="1:9" x14ac:dyDescent="0.3">
      <c r="A3185" s="164"/>
      <c r="B3185" s="165"/>
      <c r="C3185" s="166"/>
      <c r="D3185" s="166"/>
      <c r="E3185" s="166"/>
      <c r="F3185" s="60">
        <f>ПЛАТЕЖИ[[#This Row],[СЎМ]]+(ПЛАТЕЖИ[[#This Row],[ВАЛЮТА]]*ПЛАТЕЖИ[[#This Row],[КУРС]])</f>
        <v>0</v>
      </c>
      <c r="G3185" s="165"/>
      <c r="H3185" s="165"/>
      <c r="I3185" s="165"/>
    </row>
    <row r="3186" spans="1:9" x14ac:dyDescent="0.3">
      <c r="A3186" s="164"/>
      <c r="B3186" s="165"/>
      <c r="C3186" s="166"/>
      <c r="D3186" s="166"/>
      <c r="E3186" s="166"/>
      <c r="F3186" s="60">
        <f>ПЛАТЕЖИ[[#This Row],[СЎМ]]+(ПЛАТЕЖИ[[#This Row],[ВАЛЮТА]]*ПЛАТЕЖИ[[#This Row],[КУРС]])</f>
        <v>0</v>
      </c>
      <c r="G3186" s="165"/>
      <c r="H3186" s="165"/>
      <c r="I3186" s="165"/>
    </row>
    <row r="3187" spans="1:9" x14ac:dyDescent="0.3">
      <c r="A3187" s="164"/>
      <c r="B3187" s="165"/>
      <c r="C3187" s="166"/>
      <c r="D3187" s="166"/>
      <c r="E3187" s="166"/>
      <c r="F3187" s="60">
        <f>ПЛАТЕЖИ[[#This Row],[СЎМ]]+(ПЛАТЕЖИ[[#This Row],[ВАЛЮТА]]*ПЛАТЕЖИ[[#This Row],[КУРС]])</f>
        <v>0</v>
      </c>
      <c r="G3187" s="165"/>
      <c r="H3187" s="165"/>
      <c r="I3187" s="165"/>
    </row>
    <row r="3188" spans="1:9" x14ac:dyDescent="0.3">
      <c r="A3188" s="164"/>
      <c r="B3188" s="165"/>
      <c r="C3188" s="166"/>
      <c r="D3188" s="166"/>
      <c r="E3188" s="166"/>
      <c r="F3188" s="60">
        <f>ПЛАТЕЖИ[[#This Row],[СЎМ]]+(ПЛАТЕЖИ[[#This Row],[ВАЛЮТА]]*ПЛАТЕЖИ[[#This Row],[КУРС]])</f>
        <v>0</v>
      </c>
      <c r="G3188" s="165"/>
      <c r="H3188" s="165"/>
      <c r="I3188" s="165"/>
    </row>
    <row r="3189" spans="1:9" x14ac:dyDescent="0.3">
      <c r="A3189" s="164"/>
      <c r="B3189" s="165"/>
      <c r="C3189" s="166"/>
      <c r="D3189" s="166"/>
      <c r="E3189" s="166"/>
      <c r="F3189" s="60">
        <f>ПЛАТЕЖИ[[#This Row],[СЎМ]]+(ПЛАТЕЖИ[[#This Row],[ВАЛЮТА]]*ПЛАТЕЖИ[[#This Row],[КУРС]])</f>
        <v>0</v>
      </c>
      <c r="G3189" s="165"/>
      <c r="H3189" s="165"/>
      <c r="I3189" s="165"/>
    </row>
    <row r="3190" spans="1:9" x14ac:dyDescent="0.3">
      <c r="A3190" s="164"/>
      <c r="B3190" s="165"/>
      <c r="C3190" s="166"/>
      <c r="D3190" s="166"/>
      <c r="E3190" s="166"/>
      <c r="F3190" s="60">
        <f>ПЛАТЕЖИ[[#This Row],[СЎМ]]+(ПЛАТЕЖИ[[#This Row],[ВАЛЮТА]]*ПЛАТЕЖИ[[#This Row],[КУРС]])</f>
        <v>0</v>
      </c>
      <c r="G3190" s="165"/>
      <c r="H3190" s="165"/>
      <c r="I3190" s="165"/>
    </row>
    <row r="3191" spans="1:9" x14ac:dyDescent="0.3">
      <c r="A3191" s="164"/>
      <c r="B3191" s="165"/>
      <c r="C3191" s="166"/>
      <c r="D3191" s="166"/>
      <c r="E3191" s="166"/>
      <c r="F3191" s="60">
        <f>ПЛАТЕЖИ[[#This Row],[СЎМ]]+(ПЛАТЕЖИ[[#This Row],[ВАЛЮТА]]*ПЛАТЕЖИ[[#This Row],[КУРС]])</f>
        <v>0</v>
      </c>
      <c r="G3191" s="165"/>
      <c r="H3191" s="165"/>
      <c r="I3191" s="165"/>
    </row>
    <row r="3192" spans="1:9" x14ac:dyDescent="0.3">
      <c r="A3192" s="164"/>
      <c r="B3192" s="165"/>
      <c r="C3192" s="166"/>
      <c r="D3192" s="166"/>
      <c r="E3192" s="166"/>
      <c r="F3192" s="60">
        <f>ПЛАТЕЖИ[[#This Row],[СЎМ]]+(ПЛАТЕЖИ[[#This Row],[ВАЛЮТА]]*ПЛАТЕЖИ[[#This Row],[КУРС]])</f>
        <v>0</v>
      </c>
      <c r="G3192" s="165"/>
      <c r="H3192" s="165"/>
      <c r="I3192" s="165"/>
    </row>
    <row r="3193" spans="1:9" x14ac:dyDescent="0.3">
      <c r="A3193" s="164"/>
      <c r="B3193" s="165"/>
      <c r="C3193" s="166"/>
      <c r="D3193" s="166"/>
      <c r="E3193" s="166"/>
      <c r="F3193" s="60">
        <f>ПЛАТЕЖИ[[#This Row],[СЎМ]]+(ПЛАТЕЖИ[[#This Row],[ВАЛЮТА]]*ПЛАТЕЖИ[[#This Row],[КУРС]])</f>
        <v>0</v>
      </c>
      <c r="G3193" s="165"/>
      <c r="H3193" s="165"/>
      <c r="I3193" s="165"/>
    </row>
    <row r="3194" spans="1:9" x14ac:dyDescent="0.3">
      <c r="A3194" s="164"/>
      <c r="B3194" s="165"/>
      <c r="C3194" s="166"/>
      <c r="D3194" s="166"/>
      <c r="E3194" s="166"/>
      <c r="F3194" s="60">
        <f>ПЛАТЕЖИ[[#This Row],[СЎМ]]+(ПЛАТЕЖИ[[#This Row],[ВАЛЮТА]]*ПЛАТЕЖИ[[#This Row],[КУРС]])</f>
        <v>0</v>
      </c>
      <c r="G3194" s="165"/>
      <c r="H3194" s="165"/>
      <c r="I3194" s="165"/>
    </row>
    <row r="3195" spans="1:9" x14ac:dyDescent="0.3">
      <c r="A3195" s="164"/>
      <c r="B3195" s="165"/>
      <c r="C3195" s="166"/>
      <c r="D3195" s="166"/>
      <c r="E3195" s="166"/>
      <c r="F3195" s="60">
        <f>ПЛАТЕЖИ[[#This Row],[СЎМ]]+(ПЛАТЕЖИ[[#This Row],[ВАЛЮТА]]*ПЛАТЕЖИ[[#This Row],[КУРС]])</f>
        <v>0</v>
      </c>
      <c r="G3195" s="165"/>
      <c r="H3195" s="165"/>
      <c r="I3195" s="165"/>
    </row>
    <row r="3196" spans="1:9" x14ac:dyDescent="0.3">
      <c r="A3196" s="164"/>
      <c r="B3196" s="165"/>
      <c r="C3196" s="166"/>
      <c r="D3196" s="166"/>
      <c r="E3196" s="166"/>
      <c r="F3196" s="60">
        <f>ПЛАТЕЖИ[[#This Row],[СЎМ]]+(ПЛАТЕЖИ[[#This Row],[ВАЛЮТА]]*ПЛАТЕЖИ[[#This Row],[КУРС]])</f>
        <v>0</v>
      </c>
      <c r="G3196" s="165"/>
      <c r="H3196" s="165"/>
      <c r="I3196" s="165"/>
    </row>
    <row r="3197" spans="1:9" x14ac:dyDescent="0.3">
      <c r="A3197" s="164"/>
      <c r="B3197" s="165"/>
      <c r="C3197" s="166"/>
      <c r="D3197" s="166"/>
      <c r="E3197" s="166"/>
      <c r="F3197" s="60">
        <f>ПЛАТЕЖИ[[#This Row],[СЎМ]]+(ПЛАТЕЖИ[[#This Row],[ВАЛЮТА]]*ПЛАТЕЖИ[[#This Row],[КУРС]])</f>
        <v>0</v>
      </c>
      <c r="G3197" s="165"/>
      <c r="H3197" s="165"/>
      <c r="I3197" s="165"/>
    </row>
    <row r="3198" spans="1:9" x14ac:dyDescent="0.3">
      <c r="A3198" s="164"/>
      <c r="B3198" s="165"/>
      <c r="C3198" s="166"/>
      <c r="D3198" s="166"/>
      <c r="E3198" s="166"/>
      <c r="F3198" s="60">
        <f>ПЛАТЕЖИ[[#This Row],[СЎМ]]+(ПЛАТЕЖИ[[#This Row],[ВАЛЮТА]]*ПЛАТЕЖИ[[#This Row],[КУРС]])</f>
        <v>0</v>
      </c>
      <c r="G3198" s="165"/>
      <c r="H3198" s="165"/>
      <c r="I3198" s="165"/>
    </row>
    <row r="3199" spans="1:9" x14ac:dyDescent="0.3">
      <c r="A3199" s="164"/>
      <c r="B3199" s="165"/>
      <c r="C3199" s="166"/>
      <c r="D3199" s="166"/>
      <c r="E3199" s="166"/>
      <c r="F3199" s="60">
        <f>ПЛАТЕЖИ[[#This Row],[СЎМ]]+(ПЛАТЕЖИ[[#This Row],[ВАЛЮТА]]*ПЛАТЕЖИ[[#This Row],[КУРС]])</f>
        <v>0</v>
      </c>
      <c r="G3199" s="165"/>
      <c r="H3199" s="165"/>
      <c r="I3199" s="165"/>
    </row>
    <row r="3200" spans="1:9" x14ac:dyDescent="0.3">
      <c r="A3200" s="164"/>
      <c r="B3200" s="165"/>
      <c r="C3200" s="166"/>
      <c r="D3200" s="166"/>
      <c r="E3200" s="166"/>
      <c r="F3200" s="60">
        <f>ПЛАТЕЖИ[[#This Row],[СЎМ]]+(ПЛАТЕЖИ[[#This Row],[ВАЛЮТА]]*ПЛАТЕЖИ[[#This Row],[КУРС]])</f>
        <v>0</v>
      </c>
      <c r="G3200" s="165"/>
      <c r="H3200" s="165"/>
      <c r="I3200" s="165"/>
    </row>
    <row r="3201" spans="1:9" x14ac:dyDescent="0.3">
      <c r="A3201" s="164"/>
      <c r="B3201" s="165"/>
      <c r="C3201" s="166"/>
      <c r="D3201" s="166"/>
      <c r="E3201" s="166"/>
      <c r="F3201" s="60">
        <f>ПЛАТЕЖИ[[#This Row],[СЎМ]]+(ПЛАТЕЖИ[[#This Row],[ВАЛЮТА]]*ПЛАТЕЖИ[[#This Row],[КУРС]])</f>
        <v>0</v>
      </c>
      <c r="G3201" s="165"/>
      <c r="H3201" s="165"/>
      <c r="I3201" s="165"/>
    </row>
    <row r="3202" spans="1:9" x14ac:dyDescent="0.3">
      <c r="A3202" s="164"/>
      <c r="B3202" s="165"/>
      <c r="C3202" s="166"/>
      <c r="D3202" s="166"/>
      <c r="E3202" s="166"/>
      <c r="F3202" s="60">
        <f>ПЛАТЕЖИ[[#This Row],[СЎМ]]+(ПЛАТЕЖИ[[#This Row],[ВАЛЮТА]]*ПЛАТЕЖИ[[#This Row],[КУРС]])</f>
        <v>0</v>
      </c>
      <c r="G3202" s="165"/>
      <c r="H3202" s="165"/>
      <c r="I3202" s="165"/>
    </row>
    <row r="3203" spans="1:9" x14ac:dyDescent="0.3">
      <c r="A3203" s="164"/>
      <c r="B3203" s="165"/>
      <c r="C3203" s="166"/>
      <c r="D3203" s="166"/>
      <c r="E3203" s="166"/>
      <c r="F3203" s="60">
        <f>ПЛАТЕЖИ[[#This Row],[СЎМ]]+(ПЛАТЕЖИ[[#This Row],[ВАЛЮТА]]*ПЛАТЕЖИ[[#This Row],[КУРС]])</f>
        <v>0</v>
      </c>
      <c r="G3203" s="165"/>
      <c r="H3203" s="165"/>
      <c r="I3203" s="165"/>
    </row>
    <row r="3204" spans="1:9" x14ac:dyDescent="0.3">
      <c r="A3204" s="164"/>
      <c r="B3204" s="165"/>
      <c r="C3204" s="166"/>
      <c r="D3204" s="166"/>
      <c r="E3204" s="166"/>
      <c r="F3204" s="60">
        <f>ПЛАТЕЖИ[[#This Row],[СЎМ]]+(ПЛАТЕЖИ[[#This Row],[ВАЛЮТА]]*ПЛАТЕЖИ[[#This Row],[КУРС]])</f>
        <v>0</v>
      </c>
      <c r="G3204" s="165"/>
      <c r="H3204" s="165"/>
      <c r="I3204" s="165"/>
    </row>
    <row r="3205" spans="1:9" x14ac:dyDescent="0.3">
      <c r="A3205" s="164"/>
      <c r="B3205" s="165"/>
      <c r="C3205" s="166"/>
      <c r="D3205" s="166"/>
      <c r="E3205" s="166"/>
      <c r="F3205" s="60">
        <f>ПЛАТЕЖИ[[#This Row],[СЎМ]]+(ПЛАТЕЖИ[[#This Row],[ВАЛЮТА]]*ПЛАТЕЖИ[[#This Row],[КУРС]])</f>
        <v>0</v>
      </c>
      <c r="G3205" s="165"/>
      <c r="H3205" s="165"/>
      <c r="I3205" s="165"/>
    </row>
    <row r="3206" spans="1:9" x14ac:dyDescent="0.3">
      <c r="A3206" s="164"/>
      <c r="B3206" s="165"/>
      <c r="C3206" s="166"/>
      <c r="D3206" s="166"/>
      <c r="E3206" s="166"/>
      <c r="F3206" s="60">
        <f>ПЛАТЕЖИ[[#This Row],[СЎМ]]+(ПЛАТЕЖИ[[#This Row],[ВАЛЮТА]]*ПЛАТЕЖИ[[#This Row],[КУРС]])</f>
        <v>0</v>
      </c>
      <c r="G3206" s="165"/>
      <c r="H3206" s="165"/>
      <c r="I3206" s="165"/>
    </row>
    <row r="3207" spans="1:9" x14ac:dyDescent="0.3">
      <c r="A3207" s="164"/>
      <c r="B3207" s="165"/>
      <c r="C3207" s="166"/>
      <c r="D3207" s="166"/>
      <c r="E3207" s="166"/>
      <c r="F3207" s="60">
        <f>ПЛАТЕЖИ[[#This Row],[СЎМ]]+(ПЛАТЕЖИ[[#This Row],[ВАЛЮТА]]*ПЛАТЕЖИ[[#This Row],[КУРС]])</f>
        <v>0</v>
      </c>
      <c r="G3207" s="165"/>
      <c r="H3207" s="165"/>
      <c r="I3207" s="165"/>
    </row>
    <row r="3208" spans="1:9" x14ac:dyDescent="0.3">
      <c r="A3208" s="164"/>
      <c r="B3208" s="165"/>
      <c r="C3208" s="166"/>
      <c r="D3208" s="166"/>
      <c r="E3208" s="166"/>
      <c r="F3208" s="60">
        <f>ПЛАТЕЖИ[[#This Row],[СЎМ]]+(ПЛАТЕЖИ[[#This Row],[ВАЛЮТА]]*ПЛАТЕЖИ[[#This Row],[КУРС]])</f>
        <v>0</v>
      </c>
      <c r="G3208" s="165"/>
      <c r="H3208" s="165"/>
      <c r="I3208" s="165"/>
    </row>
    <row r="3209" spans="1:9" x14ac:dyDescent="0.3">
      <c r="A3209" s="164"/>
      <c r="B3209" s="165"/>
      <c r="C3209" s="166"/>
      <c r="D3209" s="166"/>
      <c r="E3209" s="166"/>
      <c r="F3209" s="60">
        <f>ПЛАТЕЖИ[[#This Row],[СЎМ]]+(ПЛАТЕЖИ[[#This Row],[ВАЛЮТА]]*ПЛАТЕЖИ[[#This Row],[КУРС]])</f>
        <v>0</v>
      </c>
      <c r="G3209" s="165"/>
      <c r="H3209" s="165"/>
      <c r="I3209" s="165"/>
    </row>
    <row r="3210" spans="1:9" x14ac:dyDescent="0.3">
      <c r="A3210" s="164"/>
      <c r="B3210" s="165"/>
      <c r="C3210" s="166"/>
      <c r="D3210" s="166"/>
      <c r="E3210" s="166"/>
      <c r="F3210" s="60">
        <f>ПЛАТЕЖИ[[#This Row],[СЎМ]]+(ПЛАТЕЖИ[[#This Row],[ВАЛЮТА]]*ПЛАТЕЖИ[[#This Row],[КУРС]])</f>
        <v>0</v>
      </c>
      <c r="G3210" s="165"/>
      <c r="H3210" s="165"/>
      <c r="I3210" s="165"/>
    </row>
    <row r="3211" spans="1:9" x14ac:dyDescent="0.3">
      <c r="A3211" s="164"/>
      <c r="B3211" s="165"/>
      <c r="C3211" s="166"/>
      <c r="D3211" s="166"/>
      <c r="E3211" s="166"/>
      <c r="F3211" s="60">
        <f>ПЛАТЕЖИ[[#This Row],[СЎМ]]+(ПЛАТЕЖИ[[#This Row],[ВАЛЮТА]]*ПЛАТЕЖИ[[#This Row],[КУРС]])</f>
        <v>0</v>
      </c>
      <c r="G3211" s="165"/>
      <c r="H3211" s="165"/>
      <c r="I3211" s="165"/>
    </row>
    <row r="3212" spans="1:9" x14ac:dyDescent="0.3">
      <c r="A3212" s="164"/>
      <c r="B3212" s="165"/>
      <c r="C3212" s="166"/>
      <c r="D3212" s="166"/>
      <c r="E3212" s="166"/>
      <c r="F3212" s="60">
        <f>ПЛАТЕЖИ[[#This Row],[СЎМ]]+(ПЛАТЕЖИ[[#This Row],[ВАЛЮТА]]*ПЛАТЕЖИ[[#This Row],[КУРС]])</f>
        <v>0</v>
      </c>
      <c r="G3212" s="165"/>
      <c r="H3212" s="165"/>
      <c r="I3212" s="165"/>
    </row>
    <row r="3213" spans="1:9" x14ac:dyDescent="0.3">
      <c r="A3213" s="164"/>
      <c r="B3213" s="165"/>
      <c r="C3213" s="166"/>
      <c r="D3213" s="166"/>
      <c r="E3213" s="166"/>
      <c r="F3213" s="60">
        <f>ПЛАТЕЖИ[[#This Row],[СЎМ]]+(ПЛАТЕЖИ[[#This Row],[ВАЛЮТА]]*ПЛАТЕЖИ[[#This Row],[КУРС]])</f>
        <v>0</v>
      </c>
      <c r="G3213" s="165"/>
      <c r="H3213" s="165"/>
      <c r="I3213" s="165"/>
    </row>
    <row r="3214" spans="1:9" x14ac:dyDescent="0.3">
      <c r="A3214" s="164"/>
      <c r="B3214" s="165"/>
      <c r="C3214" s="166"/>
      <c r="D3214" s="166"/>
      <c r="E3214" s="166"/>
      <c r="F3214" s="60">
        <f>ПЛАТЕЖИ[[#This Row],[СЎМ]]+(ПЛАТЕЖИ[[#This Row],[ВАЛЮТА]]*ПЛАТЕЖИ[[#This Row],[КУРС]])</f>
        <v>0</v>
      </c>
      <c r="G3214" s="165"/>
      <c r="H3214" s="165"/>
      <c r="I3214" s="165"/>
    </row>
    <row r="3215" spans="1:9" x14ac:dyDescent="0.3">
      <c r="A3215" s="164"/>
      <c r="B3215" s="165"/>
      <c r="C3215" s="166"/>
      <c r="D3215" s="166"/>
      <c r="E3215" s="166"/>
      <c r="F3215" s="60">
        <f>ПЛАТЕЖИ[[#This Row],[СЎМ]]+(ПЛАТЕЖИ[[#This Row],[ВАЛЮТА]]*ПЛАТЕЖИ[[#This Row],[КУРС]])</f>
        <v>0</v>
      </c>
      <c r="G3215" s="165"/>
      <c r="H3215" s="165"/>
      <c r="I3215" s="165"/>
    </row>
    <row r="3216" spans="1:9" x14ac:dyDescent="0.3">
      <c r="A3216" s="164"/>
      <c r="B3216" s="165"/>
      <c r="C3216" s="166"/>
      <c r="D3216" s="166"/>
      <c r="E3216" s="166"/>
      <c r="F3216" s="60">
        <f>ПЛАТЕЖИ[[#This Row],[СЎМ]]+(ПЛАТЕЖИ[[#This Row],[ВАЛЮТА]]*ПЛАТЕЖИ[[#This Row],[КУРС]])</f>
        <v>0</v>
      </c>
      <c r="G3216" s="165"/>
      <c r="H3216" s="165"/>
      <c r="I3216" s="165"/>
    </row>
    <row r="3217" spans="1:9" x14ac:dyDescent="0.3">
      <c r="A3217" s="164"/>
      <c r="B3217" s="165"/>
      <c r="C3217" s="166"/>
      <c r="D3217" s="166"/>
      <c r="E3217" s="166"/>
      <c r="F3217" s="60">
        <f>ПЛАТЕЖИ[[#This Row],[СЎМ]]+(ПЛАТЕЖИ[[#This Row],[ВАЛЮТА]]*ПЛАТЕЖИ[[#This Row],[КУРС]])</f>
        <v>0</v>
      </c>
      <c r="G3217" s="165"/>
      <c r="H3217" s="165"/>
      <c r="I3217" s="165"/>
    </row>
    <row r="3218" spans="1:9" x14ac:dyDescent="0.3">
      <c r="A3218" s="164"/>
      <c r="B3218" s="165"/>
      <c r="C3218" s="166"/>
      <c r="D3218" s="166"/>
      <c r="E3218" s="166"/>
      <c r="F3218" s="60">
        <f>ПЛАТЕЖИ[[#This Row],[СЎМ]]+(ПЛАТЕЖИ[[#This Row],[ВАЛЮТА]]*ПЛАТЕЖИ[[#This Row],[КУРС]])</f>
        <v>0</v>
      </c>
      <c r="G3218" s="165"/>
      <c r="H3218" s="165"/>
      <c r="I3218" s="165"/>
    </row>
    <row r="3219" spans="1:9" x14ac:dyDescent="0.3">
      <c r="A3219" s="164"/>
      <c r="B3219" s="165"/>
      <c r="C3219" s="166"/>
      <c r="D3219" s="166"/>
      <c r="E3219" s="166"/>
      <c r="F3219" s="60">
        <f>ПЛАТЕЖИ[[#This Row],[СЎМ]]+(ПЛАТЕЖИ[[#This Row],[ВАЛЮТА]]*ПЛАТЕЖИ[[#This Row],[КУРС]])</f>
        <v>0</v>
      </c>
      <c r="G3219" s="165"/>
      <c r="H3219" s="165"/>
      <c r="I3219" s="165"/>
    </row>
    <row r="3220" spans="1:9" x14ac:dyDescent="0.3">
      <c r="A3220" s="164"/>
      <c r="B3220" s="165"/>
      <c r="C3220" s="166"/>
      <c r="D3220" s="166"/>
      <c r="E3220" s="166"/>
      <c r="F3220" s="60">
        <f>ПЛАТЕЖИ[[#This Row],[СЎМ]]+(ПЛАТЕЖИ[[#This Row],[ВАЛЮТА]]*ПЛАТЕЖИ[[#This Row],[КУРС]])</f>
        <v>0</v>
      </c>
      <c r="G3220" s="165"/>
      <c r="H3220" s="165"/>
      <c r="I3220" s="165"/>
    </row>
    <row r="3221" spans="1:9" x14ac:dyDescent="0.3">
      <c r="A3221" s="164"/>
      <c r="B3221" s="165"/>
      <c r="C3221" s="166"/>
      <c r="D3221" s="166"/>
      <c r="E3221" s="166"/>
      <c r="F3221" s="60">
        <f>ПЛАТЕЖИ[[#This Row],[СЎМ]]+(ПЛАТЕЖИ[[#This Row],[ВАЛЮТА]]*ПЛАТЕЖИ[[#This Row],[КУРС]])</f>
        <v>0</v>
      </c>
      <c r="G3221" s="165"/>
      <c r="H3221" s="165"/>
      <c r="I3221" s="165"/>
    </row>
    <row r="3222" spans="1:9" x14ac:dyDescent="0.3">
      <c r="A3222" s="164"/>
      <c r="B3222" s="165"/>
      <c r="C3222" s="166"/>
      <c r="D3222" s="166"/>
      <c r="E3222" s="166"/>
      <c r="F3222" s="60">
        <f>ПЛАТЕЖИ[[#This Row],[СЎМ]]+(ПЛАТЕЖИ[[#This Row],[ВАЛЮТА]]*ПЛАТЕЖИ[[#This Row],[КУРС]])</f>
        <v>0</v>
      </c>
      <c r="G3222" s="165"/>
      <c r="H3222" s="165"/>
      <c r="I3222" s="165"/>
    </row>
    <row r="3223" spans="1:9" x14ac:dyDescent="0.3">
      <c r="A3223" s="164"/>
      <c r="B3223" s="165"/>
      <c r="C3223" s="166"/>
      <c r="D3223" s="166"/>
      <c r="E3223" s="166"/>
      <c r="F3223" s="60">
        <f>ПЛАТЕЖИ[[#This Row],[СЎМ]]+(ПЛАТЕЖИ[[#This Row],[ВАЛЮТА]]*ПЛАТЕЖИ[[#This Row],[КУРС]])</f>
        <v>0</v>
      </c>
      <c r="G3223" s="165"/>
      <c r="H3223" s="165"/>
      <c r="I3223" s="165"/>
    </row>
    <row r="3224" spans="1:9" x14ac:dyDescent="0.3">
      <c r="A3224" s="164"/>
      <c r="B3224" s="165"/>
      <c r="C3224" s="166"/>
      <c r="D3224" s="166"/>
      <c r="E3224" s="166"/>
      <c r="F3224" s="60">
        <f>ПЛАТЕЖИ[[#This Row],[СЎМ]]+(ПЛАТЕЖИ[[#This Row],[ВАЛЮТА]]*ПЛАТЕЖИ[[#This Row],[КУРС]])</f>
        <v>0</v>
      </c>
      <c r="G3224" s="165"/>
      <c r="H3224" s="165"/>
      <c r="I3224" s="165"/>
    </row>
    <row r="3225" spans="1:9" x14ac:dyDescent="0.3">
      <c r="A3225" s="164"/>
      <c r="B3225" s="165"/>
      <c r="C3225" s="166"/>
      <c r="D3225" s="166"/>
      <c r="E3225" s="166"/>
      <c r="F3225" s="60">
        <f>ПЛАТЕЖИ[[#This Row],[СЎМ]]+(ПЛАТЕЖИ[[#This Row],[ВАЛЮТА]]*ПЛАТЕЖИ[[#This Row],[КУРС]])</f>
        <v>0</v>
      </c>
      <c r="G3225" s="165"/>
      <c r="H3225" s="165"/>
      <c r="I3225" s="165"/>
    </row>
    <row r="3226" spans="1:9" x14ac:dyDescent="0.3">
      <c r="A3226" s="164"/>
      <c r="B3226" s="165"/>
      <c r="C3226" s="166"/>
      <c r="D3226" s="166"/>
      <c r="E3226" s="166"/>
      <c r="F3226" s="60">
        <f>ПЛАТЕЖИ[[#This Row],[СЎМ]]+(ПЛАТЕЖИ[[#This Row],[ВАЛЮТА]]*ПЛАТЕЖИ[[#This Row],[КУРС]])</f>
        <v>0</v>
      </c>
      <c r="G3226" s="165"/>
      <c r="H3226" s="165"/>
      <c r="I3226" s="165"/>
    </row>
    <row r="3227" spans="1:9" x14ac:dyDescent="0.3">
      <c r="A3227" s="164"/>
      <c r="B3227" s="165"/>
      <c r="C3227" s="166"/>
      <c r="D3227" s="166"/>
      <c r="E3227" s="166"/>
      <c r="F3227" s="60">
        <f>ПЛАТЕЖИ[[#This Row],[СЎМ]]+(ПЛАТЕЖИ[[#This Row],[ВАЛЮТА]]*ПЛАТЕЖИ[[#This Row],[КУРС]])</f>
        <v>0</v>
      </c>
      <c r="G3227" s="165"/>
      <c r="H3227" s="165"/>
      <c r="I3227" s="165"/>
    </row>
    <row r="3228" spans="1:9" x14ac:dyDescent="0.3">
      <c r="A3228" s="164"/>
      <c r="B3228" s="165"/>
      <c r="C3228" s="166"/>
      <c r="D3228" s="166"/>
      <c r="E3228" s="166"/>
      <c r="F3228" s="60">
        <f>ПЛАТЕЖИ[[#This Row],[СЎМ]]+(ПЛАТЕЖИ[[#This Row],[ВАЛЮТА]]*ПЛАТЕЖИ[[#This Row],[КУРС]])</f>
        <v>0</v>
      </c>
      <c r="G3228" s="165"/>
      <c r="H3228" s="165"/>
      <c r="I3228" s="165"/>
    </row>
    <row r="3229" spans="1:9" x14ac:dyDescent="0.3">
      <c r="A3229" s="164"/>
      <c r="B3229" s="165"/>
      <c r="C3229" s="166"/>
      <c r="D3229" s="166"/>
      <c r="E3229" s="166"/>
      <c r="F3229" s="167">
        <f>ПЛАТЕЖИ[[#This Row],[СЎМ]]+(ПЛАТЕЖИ[[#This Row],[ВАЛЮТА]]*ПЛАТЕЖИ[[#This Row],[КУРС]])</f>
        <v>0</v>
      </c>
      <c r="G3229" s="165"/>
      <c r="H3229" s="165"/>
      <c r="I3229" s="165"/>
    </row>
    <row r="3230" spans="1:9" x14ac:dyDescent="0.3">
      <c r="F3230" s="289">
        <f>ПЛАТЕЖИ[[#This Row],[СЎМ]]+(ПЛАТЕЖИ[[#This Row],[ВАЛЮТА]]*ПЛАТЕЖИ[[#This Row],[КУРС]])</f>
        <v>0</v>
      </c>
      <c r="G3230" s="287"/>
      <c r="H3230" s="287"/>
      <c r="I3230" s="287"/>
    </row>
    <row r="3231" spans="1:9" x14ac:dyDescent="0.3">
      <c r="F3231" s="289">
        <f>ПЛАТЕЖИ[[#This Row],[СЎМ]]+(ПЛАТЕЖИ[[#This Row],[ВАЛЮТА]]*ПЛАТЕЖИ[[#This Row],[КУРС]])</f>
        <v>0</v>
      </c>
      <c r="G3231" s="287"/>
      <c r="H3231" s="287"/>
      <c r="I3231" s="287"/>
    </row>
    <row r="3232" spans="1:9" x14ac:dyDescent="0.3">
      <c r="F3232" s="289">
        <f>ПЛАТЕЖИ[[#This Row],[СЎМ]]+(ПЛАТЕЖИ[[#This Row],[ВАЛЮТА]]*ПЛАТЕЖИ[[#This Row],[КУРС]])</f>
        <v>0</v>
      </c>
      <c r="G3232" s="287"/>
      <c r="H3232" s="287"/>
      <c r="I3232" s="287"/>
    </row>
    <row r="3233" spans="6:9" x14ac:dyDescent="0.3">
      <c r="F3233" s="289">
        <f>ПЛАТЕЖИ[[#This Row],[СЎМ]]+(ПЛАТЕЖИ[[#This Row],[ВАЛЮТА]]*ПЛАТЕЖИ[[#This Row],[КУРС]])</f>
        <v>0</v>
      </c>
      <c r="G3233" s="287"/>
      <c r="H3233" s="287"/>
      <c r="I3233" s="287"/>
    </row>
    <row r="3234" spans="6:9" x14ac:dyDescent="0.3">
      <c r="F3234" s="289">
        <f>ПЛАТЕЖИ[[#This Row],[СЎМ]]+(ПЛАТЕЖИ[[#This Row],[ВАЛЮТА]]*ПЛАТЕЖИ[[#This Row],[КУРС]])</f>
        <v>0</v>
      </c>
      <c r="G3234" s="287"/>
      <c r="H3234" s="287"/>
      <c r="I3234" s="287"/>
    </row>
    <row r="3235" spans="6:9" x14ac:dyDescent="0.3">
      <c r="F3235" s="289">
        <f>ПЛАТЕЖИ[[#This Row],[СЎМ]]+(ПЛАТЕЖИ[[#This Row],[ВАЛЮТА]]*ПЛАТЕЖИ[[#This Row],[КУРС]])</f>
        <v>0</v>
      </c>
      <c r="G3235" s="287"/>
      <c r="H3235" s="287"/>
      <c r="I3235" s="287"/>
    </row>
    <row r="3236" spans="6:9" x14ac:dyDescent="0.3">
      <c r="F3236" s="289">
        <f>ПЛАТЕЖИ[[#This Row],[СЎМ]]+(ПЛАТЕЖИ[[#This Row],[ВАЛЮТА]]*ПЛАТЕЖИ[[#This Row],[КУРС]])</f>
        <v>0</v>
      </c>
      <c r="G3236" s="287"/>
      <c r="H3236" s="287"/>
      <c r="I3236" s="287"/>
    </row>
    <row r="3237" spans="6:9" x14ac:dyDescent="0.3">
      <c r="F3237" s="289">
        <f>ПЛАТЕЖИ[[#This Row],[СЎМ]]+(ПЛАТЕЖИ[[#This Row],[ВАЛЮТА]]*ПЛАТЕЖИ[[#This Row],[КУРС]])</f>
        <v>0</v>
      </c>
      <c r="G3237" s="287"/>
      <c r="H3237" s="287"/>
      <c r="I3237" s="287"/>
    </row>
    <row r="3238" spans="6:9" x14ac:dyDescent="0.3">
      <c r="F3238" s="289">
        <f>ПЛАТЕЖИ[[#This Row],[СЎМ]]+(ПЛАТЕЖИ[[#This Row],[ВАЛЮТА]]*ПЛАТЕЖИ[[#This Row],[КУРС]])</f>
        <v>0</v>
      </c>
      <c r="G3238" s="287"/>
      <c r="H3238" s="287"/>
      <c r="I3238" s="287"/>
    </row>
    <row r="3239" spans="6:9" x14ac:dyDescent="0.3">
      <c r="F3239" s="289">
        <f>ПЛАТЕЖИ[[#This Row],[СЎМ]]+(ПЛАТЕЖИ[[#This Row],[ВАЛЮТА]]*ПЛАТЕЖИ[[#This Row],[КУРС]])</f>
        <v>0</v>
      </c>
      <c r="G3239" s="287"/>
      <c r="H3239" s="287"/>
      <c r="I3239" s="287"/>
    </row>
    <row r="3240" spans="6:9" x14ac:dyDescent="0.3">
      <c r="F3240" s="289">
        <f>ПЛАТЕЖИ[[#This Row],[СЎМ]]+(ПЛАТЕЖИ[[#This Row],[ВАЛЮТА]]*ПЛАТЕЖИ[[#This Row],[КУРС]])</f>
        <v>0</v>
      </c>
      <c r="G3240" s="287"/>
      <c r="H3240" s="287"/>
      <c r="I3240" s="287"/>
    </row>
    <row r="3241" spans="6:9" x14ac:dyDescent="0.3">
      <c r="F3241" s="289">
        <f>ПЛАТЕЖИ[[#This Row],[СЎМ]]+(ПЛАТЕЖИ[[#This Row],[ВАЛЮТА]]*ПЛАТЕЖИ[[#This Row],[КУРС]])</f>
        <v>0</v>
      </c>
      <c r="G3241" s="287"/>
      <c r="H3241" s="287"/>
      <c r="I3241" s="287"/>
    </row>
    <row r="3242" spans="6:9" x14ac:dyDescent="0.3">
      <c r="F3242" s="289">
        <f>ПЛАТЕЖИ[[#This Row],[СЎМ]]+(ПЛАТЕЖИ[[#This Row],[ВАЛЮТА]]*ПЛАТЕЖИ[[#This Row],[КУРС]])</f>
        <v>0</v>
      </c>
      <c r="G3242" s="287"/>
      <c r="H3242" s="287"/>
      <c r="I3242" s="287"/>
    </row>
    <row r="3243" spans="6:9" x14ac:dyDescent="0.3">
      <c r="F3243" s="289">
        <f>ПЛАТЕЖИ[[#This Row],[СЎМ]]+(ПЛАТЕЖИ[[#This Row],[ВАЛЮТА]]*ПЛАТЕЖИ[[#This Row],[КУРС]])</f>
        <v>0</v>
      </c>
      <c r="G3243" s="287"/>
      <c r="H3243" s="287"/>
      <c r="I3243" s="287"/>
    </row>
    <row r="3244" spans="6:9" x14ac:dyDescent="0.3">
      <c r="F3244" s="289">
        <f>ПЛАТЕЖИ[[#This Row],[СЎМ]]+(ПЛАТЕЖИ[[#This Row],[ВАЛЮТА]]*ПЛАТЕЖИ[[#This Row],[КУРС]])</f>
        <v>0</v>
      </c>
      <c r="G3244" s="287"/>
      <c r="H3244" s="287"/>
      <c r="I3244" s="287"/>
    </row>
    <row r="3245" spans="6:9" x14ac:dyDescent="0.3">
      <c r="F3245" s="289">
        <f>ПЛАТЕЖИ[[#This Row],[СЎМ]]+(ПЛАТЕЖИ[[#This Row],[ВАЛЮТА]]*ПЛАТЕЖИ[[#This Row],[КУРС]])</f>
        <v>0</v>
      </c>
      <c r="G3245" s="287"/>
      <c r="H3245" s="287"/>
      <c r="I3245" s="287"/>
    </row>
    <row r="3246" spans="6:9" x14ac:dyDescent="0.3">
      <c r="F3246" s="289">
        <f>ПЛАТЕЖИ[[#This Row],[СЎМ]]+(ПЛАТЕЖИ[[#This Row],[ВАЛЮТА]]*ПЛАТЕЖИ[[#This Row],[КУРС]])</f>
        <v>0</v>
      </c>
      <c r="G3246" s="287"/>
      <c r="H3246" s="287"/>
      <c r="I3246" s="287"/>
    </row>
    <row r="3247" spans="6:9" x14ac:dyDescent="0.3">
      <c r="F3247" s="289">
        <f>ПЛАТЕЖИ[[#This Row],[СЎМ]]+(ПЛАТЕЖИ[[#This Row],[ВАЛЮТА]]*ПЛАТЕЖИ[[#This Row],[КУРС]])</f>
        <v>0</v>
      </c>
      <c r="G3247" s="287"/>
      <c r="H3247" s="287"/>
      <c r="I3247" s="287"/>
    </row>
    <row r="3248" spans="6:9" x14ac:dyDescent="0.3">
      <c r="F3248" s="289">
        <f>ПЛАТЕЖИ[[#This Row],[СЎМ]]+(ПЛАТЕЖИ[[#This Row],[ВАЛЮТА]]*ПЛАТЕЖИ[[#This Row],[КУРС]])</f>
        <v>0</v>
      </c>
      <c r="G3248" s="287"/>
      <c r="H3248" s="287"/>
      <c r="I3248" s="287"/>
    </row>
    <row r="3249" spans="1:9" x14ac:dyDescent="0.3">
      <c r="F3249" s="289">
        <f>ПЛАТЕЖИ[[#This Row],[СЎМ]]+(ПЛАТЕЖИ[[#This Row],[ВАЛЮТА]]*ПЛАТЕЖИ[[#This Row],[КУРС]])</f>
        <v>0</v>
      </c>
      <c r="G3249" s="287"/>
      <c r="H3249" s="287"/>
      <c r="I3249" s="287"/>
    </row>
    <row r="3250" spans="1:9" x14ac:dyDescent="0.3">
      <c r="F3250" s="289">
        <f>ПЛАТЕЖИ[[#This Row],[СЎМ]]+(ПЛАТЕЖИ[[#This Row],[ВАЛЮТА]]*ПЛАТЕЖИ[[#This Row],[КУРС]])</f>
        <v>0</v>
      </c>
      <c r="G3250" s="287"/>
      <c r="H3250" s="287"/>
      <c r="I3250" s="287"/>
    </row>
    <row r="3251" spans="1:9" x14ac:dyDescent="0.3">
      <c r="F3251" s="289">
        <f>ПЛАТЕЖИ[[#This Row],[СЎМ]]+(ПЛАТЕЖИ[[#This Row],[ВАЛЮТА]]*ПЛАТЕЖИ[[#This Row],[КУРС]])</f>
        <v>0</v>
      </c>
      <c r="G3251" s="287"/>
      <c r="H3251" s="287"/>
      <c r="I3251" s="287"/>
    </row>
    <row r="3252" spans="1:9" x14ac:dyDescent="0.3">
      <c r="F3252" s="289">
        <f>ПЛАТЕЖИ[[#This Row],[СЎМ]]+(ПЛАТЕЖИ[[#This Row],[ВАЛЮТА]]*ПЛАТЕЖИ[[#This Row],[КУРС]])</f>
        <v>0</v>
      </c>
      <c r="G3252" s="287"/>
      <c r="H3252" s="287"/>
      <c r="I3252" s="287"/>
    </row>
    <row r="3253" spans="1:9" x14ac:dyDescent="0.3">
      <c r="F3253" s="289">
        <f>ПЛАТЕЖИ[[#This Row],[СЎМ]]+(ПЛАТЕЖИ[[#This Row],[ВАЛЮТА]]*ПЛАТЕЖИ[[#This Row],[КУРС]])</f>
        <v>0</v>
      </c>
      <c r="G3253" s="287"/>
      <c r="H3253" s="287"/>
      <c r="I3253" s="287"/>
    </row>
    <row r="3254" spans="1:9" x14ac:dyDescent="0.3">
      <c r="F3254" s="289">
        <f>ПЛАТЕЖИ[[#This Row],[СЎМ]]+(ПЛАТЕЖИ[[#This Row],[ВАЛЮТА]]*ПЛАТЕЖИ[[#This Row],[КУРС]])</f>
        <v>0</v>
      </c>
      <c r="G3254" s="287"/>
      <c r="H3254" s="287"/>
      <c r="I3254" s="287"/>
    </row>
    <row r="3255" spans="1:9" x14ac:dyDescent="0.3">
      <c r="F3255" s="289">
        <f>ПЛАТЕЖИ[[#This Row],[СЎМ]]+(ПЛАТЕЖИ[[#This Row],[ВАЛЮТА]]*ПЛАТЕЖИ[[#This Row],[КУРС]])</f>
        <v>0</v>
      </c>
      <c r="G3255" s="287"/>
      <c r="H3255" s="287"/>
      <c r="I3255" s="287"/>
    </row>
    <row r="3256" spans="1:9" x14ac:dyDescent="0.3">
      <c r="F3256" s="289">
        <f>ПЛАТЕЖИ[[#This Row],[СЎМ]]+(ПЛАТЕЖИ[[#This Row],[ВАЛЮТА]]*ПЛАТЕЖИ[[#This Row],[КУРС]])</f>
        <v>0</v>
      </c>
      <c r="G3256" s="287"/>
      <c r="H3256" s="287"/>
      <c r="I3256" s="287"/>
    </row>
    <row r="3257" spans="1:9" x14ac:dyDescent="0.3">
      <c r="A3257" s="286"/>
      <c r="B3257" s="287"/>
      <c r="C3257" s="288"/>
      <c r="D3257" s="288"/>
      <c r="E3257" s="288"/>
      <c r="F3257" s="289">
        <f>ПЛАТЕЖИ[[#This Row],[СЎМ]]+(ПЛАТЕЖИ[[#This Row],[ВАЛЮТА]]*ПЛАТЕЖИ[[#This Row],[КУРС]])</f>
        <v>0</v>
      </c>
      <c r="G3257" s="287"/>
      <c r="H3257" s="287"/>
      <c r="I3257" s="287"/>
    </row>
    <row r="3258" spans="1:9" x14ac:dyDescent="0.3">
      <c r="A3258" s="286"/>
      <c r="B3258" s="287"/>
      <c r="C3258" s="288"/>
      <c r="D3258" s="288"/>
      <c r="E3258" s="288"/>
      <c r="F3258" s="289">
        <f>ПЛАТЕЖИ[[#This Row],[СЎМ]]+(ПЛАТЕЖИ[[#This Row],[ВАЛЮТА]]*ПЛАТЕЖИ[[#This Row],[КУРС]])</f>
        <v>0</v>
      </c>
      <c r="G3258" s="287"/>
      <c r="H3258" s="287"/>
      <c r="I3258" s="287"/>
    </row>
    <row r="3259" spans="1:9" x14ac:dyDescent="0.3">
      <c r="A3259" s="286"/>
      <c r="B3259" s="287"/>
      <c r="C3259" s="288"/>
      <c r="D3259" s="288"/>
      <c r="E3259" s="288"/>
      <c r="F3259" s="289">
        <f>ПЛАТЕЖИ[[#This Row],[СЎМ]]+(ПЛАТЕЖИ[[#This Row],[ВАЛЮТА]]*ПЛАТЕЖИ[[#This Row],[КУРС]])</f>
        <v>0</v>
      </c>
      <c r="G3259" s="287"/>
      <c r="H3259" s="287"/>
      <c r="I3259" s="287"/>
    </row>
    <row r="3260" spans="1:9" x14ac:dyDescent="0.3">
      <c r="A3260" s="286"/>
      <c r="B3260" s="287"/>
      <c r="C3260" s="288"/>
      <c r="D3260" s="288"/>
      <c r="E3260" s="288"/>
      <c r="F3260" s="289">
        <f>ПЛАТЕЖИ[[#This Row],[СЎМ]]+(ПЛАТЕЖИ[[#This Row],[ВАЛЮТА]]*ПЛАТЕЖИ[[#This Row],[КУРС]])</f>
        <v>0</v>
      </c>
      <c r="G3260" s="287"/>
      <c r="H3260" s="287"/>
      <c r="I3260" s="287"/>
    </row>
    <row r="3261" spans="1:9" x14ac:dyDescent="0.3">
      <c r="A3261" s="286"/>
      <c r="B3261" s="287"/>
      <c r="C3261" s="288"/>
      <c r="D3261" s="288"/>
      <c r="E3261" s="288"/>
      <c r="F3261" s="289">
        <f>ПЛАТЕЖИ[[#This Row],[СЎМ]]+(ПЛАТЕЖИ[[#This Row],[ВАЛЮТА]]*ПЛАТЕЖИ[[#This Row],[КУРС]])</f>
        <v>0</v>
      </c>
      <c r="G3261" s="287"/>
      <c r="H3261" s="287"/>
      <c r="I3261" s="287"/>
    </row>
    <row r="3262" spans="1:9" x14ac:dyDescent="0.3">
      <c r="A3262" s="286"/>
      <c r="B3262" s="287"/>
      <c r="C3262" s="288"/>
      <c r="D3262" s="288"/>
      <c r="E3262" s="288"/>
      <c r="F3262" s="289">
        <f>ПЛАТЕЖИ[[#This Row],[СЎМ]]+(ПЛАТЕЖИ[[#This Row],[ВАЛЮТА]]*ПЛАТЕЖИ[[#This Row],[КУРС]])</f>
        <v>0</v>
      </c>
      <c r="G3262" s="287"/>
      <c r="H3262" s="287"/>
      <c r="I3262" s="287"/>
    </row>
    <row r="3263" spans="1:9" x14ac:dyDescent="0.3">
      <c r="A3263" s="286"/>
      <c r="B3263" s="287"/>
      <c r="C3263" s="288"/>
      <c r="D3263" s="288"/>
      <c r="E3263" s="288"/>
      <c r="F3263" s="289">
        <f>ПЛАТЕЖИ[[#This Row],[СЎМ]]+(ПЛАТЕЖИ[[#This Row],[ВАЛЮТА]]*ПЛАТЕЖИ[[#This Row],[КУРС]])</f>
        <v>0</v>
      </c>
      <c r="G3263" s="287"/>
      <c r="H3263" s="287"/>
      <c r="I3263" s="287"/>
    </row>
    <row r="3264" spans="1:9" x14ac:dyDescent="0.3">
      <c r="A3264" s="286"/>
      <c r="B3264" s="287"/>
      <c r="C3264" s="288"/>
      <c r="D3264" s="288"/>
      <c r="E3264" s="288"/>
      <c r="F3264" s="289">
        <f>ПЛАТЕЖИ[[#This Row],[СЎМ]]+(ПЛАТЕЖИ[[#This Row],[ВАЛЮТА]]*ПЛАТЕЖИ[[#This Row],[КУРС]])</f>
        <v>0</v>
      </c>
      <c r="G3264" s="287"/>
      <c r="H3264" s="287"/>
      <c r="I3264" s="287"/>
    </row>
    <row r="3265" spans="1:9" x14ac:dyDescent="0.3">
      <c r="A3265" s="286"/>
      <c r="B3265" s="287"/>
      <c r="C3265" s="288"/>
      <c r="D3265" s="288"/>
      <c r="E3265" s="288"/>
      <c r="F3265" s="289">
        <f>ПЛАТЕЖИ[[#This Row],[СЎМ]]+(ПЛАТЕЖИ[[#This Row],[ВАЛЮТА]]*ПЛАТЕЖИ[[#This Row],[КУРС]])</f>
        <v>0</v>
      </c>
      <c r="G3265" s="287"/>
      <c r="H3265" s="287"/>
      <c r="I3265" s="287"/>
    </row>
    <row r="3266" spans="1:9" x14ac:dyDescent="0.3">
      <c r="A3266" s="286"/>
      <c r="B3266" s="287"/>
      <c r="C3266" s="288"/>
      <c r="D3266" s="288"/>
      <c r="E3266" s="288"/>
      <c r="F3266" s="289">
        <f>ПЛАТЕЖИ[[#This Row],[СЎМ]]+(ПЛАТЕЖИ[[#This Row],[ВАЛЮТА]]*ПЛАТЕЖИ[[#This Row],[КУРС]])</f>
        <v>0</v>
      </c>
      <c r="G3266" s="287"/>
      <c r="H3266" s="287"/>
      <c r="I3266" s="287"/>
    </row>
    <row r="3267" spans="1:9" x14ac:dyDescent="0.3">
      <c r="A3267" s="286"/>
      <c r="B3267" s="287"/>
      <c r="C3267" s="288"/>
      <c r="D3267" s="288"/>
      <c r="E3267" s="288"/>
      <c r="F3267" s="289">
        <f>ПЛАТЕЖИ[[#This Row],[СЎМ]]+(ПЛАТЕЖИ[[#This Row],[ВАЛЮТА]]*ПЛАТЕЖИ[[#This Row],[КУРС]])</f>
        <v>0</v>
      </c>
      <c r="G3267" s="287"/>
      <c r="H3267" s="287"/>
      <c r="I3267" s="287"/>
    </row>
    <row r="3268" spans="1:9" x14ac:dyDescent="0.3">
      <c r="A3268" s="286"/>
      <c r="B3268" s="287"/>
      <c r="C3268" s="288"/>
      <c r="D3268" s="288"/>
      <c r="E3268" s="288"/>
      <c r="F3268" s="289">
        <f>ПЛАТЕЖИ[[#This Row],[СЎМ]]+(ПЛАТЕЖИ[[#This Row],[ВАЛЮТА]]*ПЛАТЕЖИ[[#This Row],[КУРС]])</f>
        <v>0</v>
      </c>
      <c r="G3268" s="287"/>
      <c r="H3268" s="287"/>
      <c r="I3268" s="287"/>
    </row>
    <row r="3269" spans="1:9" x14ac:dyDescent="0.3">
      <c r="A3269" s="286"/>
      <c r="B3269" s="287"/>
      <c r="C3269" s="288"/>
      <c r="D3269" s="288"/>
      <c r="E3269" s="288"/>
      <c r="F3269" s="289">
        <f>ПЛАТЕЖИ[[#This Row],[СЎМ]]+(ПЛАТЕЖИ[[#This Row],[ВАЛЮТА]]*ПЛАТЕЖИ[[#This Row],[КУРС]])</f>
        <v>0</v>
      </c>
      <c r="G3269" s="287"/>
      <c r="H3269" s="287"/>
      <c r="I3269" s="287"/>
    </row>
    <row r="3270" spans="1:9" x14ac:dyDescent="0.3">
      <c r="A3270" s="286"/>
      <c r="B3270" s="287"/>
      <c r="C3270" s="288"/>
      <c r="D3270" s="288"/>
      <c r="E3270" s="288"/>
      <c r="F3270" s="289">
        <f>ПЛАТЕЖИ[[#This Row],[СЎМ]]+(ПЛАТЕЖИ[[#This Row],[ВАЛЮТА]]*ПЛАТЕЖИ[[#This Row],[КУРС]])</f>
        <v>0</v>
      </c>
      <c r="G3270" s="287"/>
      <c r="H3270" s="287"/>
      <c r="I3270" s="287"/>
    </row>
    <row r="3271" spans="1:9" x14ac:dyDescent="0.3">
      <c r="A3271" s="286"/>
      <c r="B3271" s="287"/>
      <c r="C3271" s="288"/>
      <c r="D3271" s="288"/>
      <c r="E3271" s="288"/>
      <c r="F3271" s="289">
        <f>ПЛАТЕЖИ[[#This Row],[СЎМ]]+(ПЛАТЕЖИ[[#This Row],[ВАЛЮТА]]*ПЛАТЕЖИ[[#This Row],[КУРС]])</f>
        <v>0</v>
      </c>
      <c r="G3271" s="287"/>
      <c r="H3271" s="287"/>
      <c r="I3271" s="287"/>
    </row>
    <row r="3272" spans="1:9" x14ac:dyDescent="0.3">
      <c r="A3272" s="286"/>
      <c r="B3272" s="287"/>
      <c r="C3272" s="288"/>
      <c r="D3272" s="288"/>
      <c r="E3272" s="288"/>
      <c r="F3272" s="289">
        <f>ПЛАТЕЖИ[[#This Row],[СЎМ]]+(ПЛАТЕЖИ[[#This Row],[ВАЛЮТА]]*ПЛАТЕЖИ[[#This Row],[КУРС]])</f>
        <v>0</v>
      </c>
      <c r="G3272" s="287"/>
      <c r="H3272" s="287"/>
      <c r="I3272" s="287"/>
    </row>
    <row r="3273" spans="1:9" x14ac:dyDescent="0.3">
      <c r="A3273" s="286"/>
      <c r="B3273" s="287"/>
      <c r="C3273" s="288"/>
      <c r="D3273" s="288"/>
      <c r="E3273" s="288"/>
      <c r="F3273" s="289">
        <f>ПЛАТЕЖИ[[#This Row],[СЎМ]]+(ПЛАТЕЖИ[[#This Row],[ВАЛЮТА]]*ПЛАТЕЖИ[[#This Row],[КУРС]])</f>
        <v>0</v>
      </c>
      <c r="G3273" s="287"/>
      <c r="H3273" s="287"/>
      <c r="I3273" s="287"/>
    </row>
    <row r="3274" spans="1:9" x14ac:dyDescent="0.3">
      <c r="A3274" s="286"/>
      <c r="B3274" s="287"/>
      <c r="C3274" s="288"/>
      <c r="D3274" s="288"/>
      <c r="E3274" s="288"/>
      <c r="F3274" s="289">
        <f>ПЛАТЕЖИ[[#This Row],[СЎМ]]+(ПЛАТЕЖИ[[#This Row],[ВАЛЮТА]]*ПЛАТЕЖИ[[#This Row],[КУРС]])</f>
        <v>0</v>
      </c>
      <c r="G3274" s="287"/>
      <c r="H3274" s="287"/>
      <c r="I3274" s="287"/>
    </row>
    <row r="3275" spans="1:9" x14ac:dyDescent="0.3">
      <c r="A3275" s="286"/>
      <c r="B3275" s="287"/>
      <c r="C3275" s="288"/>
      <c r="D3275" s="288"/>
      <c r="E3275" s="288"/>
      <c r="F3275" s="289">
        <f>ПЛАТЕЖИ[[#This Row],[СЎМ]]+(ПЛАТЕЖИ[[#This Row],[ВАЛЮТА]]*ПЛАТЕЖИ[[#This Row],[КУРС]])</f>
        <v>0</v>
      </c>
      <c r="G3275" s="287"/>
      <c r="H3275" s="287"/>
      <c r="I3275" s="287"/>
    </row>
    <row r="3276" spans="1:9" x14ac:dyDescent="0.3">
      <c r="A3276" s="286"/>
      <c r="B3276" s="287"/>
      <c r="C3276" s="288"/>
      <c r="D3276" s="288"/>
      <c r="E3276" s="288"/>
      <c r="F3276" s="289">
        <f>ПЛАТЕЖИ[[#This Row],[СЎМ]]+(ПЛАТЕЖИ[[#This Row],[ВАЛЮТА]]*ПЛАТЕЖИ[[#This Row],[КУРС]])</f>
        <v>0</v>
      </c>
      <c r="G3276" s="287"/>
      <c r="H3276" s="287"/>
      <c r="I3276" s="287"/>
    </row>
    <row r="3277" spans="1:9" x14ac:dyDescent="0.3">
      <c r="A3277" s="286"/>
      <c r="B3277" s="287"/>
      <c r="C3277" s="288"/>
      <c r="D3277" s="288"/>
      <c r="E3277" s="288"/>
      <c r="F3277" s="289">
        <f>ПЛАТЕЖИ[[#This Row],[СЎМ]]+(ПЛАТЕЖИ[[#This Row],[ВАЛЮТА]]*ПЛАТЕЖИ[[#This Row],[КУРС]])</f>
        <v>0</v>
      </c>
      <c r="G3277" s="287"/>
      <c r="H3277" s="287"/>
      <c r="I3277" s="287"/>
    </row>
    <row r="3278" spans="1:9" x14ac:dyDescent="0.3">
      <c r="A3278" s="286"/>
      <c r="B3278" s="287"/>
      <c r="C3278" s="288"/>
      <c r="D3278" s="288"/>
      <c r="E3278" s="288"/>
      <c r="F3278" s="289">
        <f>ПЛАТЕЖИ[[#This Row],[СЎМ]]+(ПЛАТЕЖИ[[#This Row],[ВАЛЮТА]]*ПЛАТЕЖИ[[#This Row],[КУРС]])</f>
        <v>0</v>
      </c>
      <c r="G3278" s="287"/>
      <c r="H3278" s="287"/>
      <c r="I3278" s="287"/>
    </row>
    <row r="3279" spans="1:9" x14ac:dyDescent="0.3">
      <c r="A3279" s="286"/>
      <c r="B3279" s="287"/>
      <c r="C3279" s="288"/>
      <c r="D3279" s="288"/>
      <c r="E3279" s="288"/>
      <c r="F3279" s="289">
        <f>ПЛАТЕЖИ[[#This Row],[СЎМ]]+(ПЛАТЕЖИ[[#This Row],[ВАЛЮТА]]*ПЛАТЕЖИ[[#This Row],[КУРС]])</f>
        <v>0</v>
      </c>
      <c r="G3279" s="287"/>
      <c r="H3279" s="287"/>
      <c r="I3279" s="287"/>
    </row>
    <row r="3280" spans="1:9" x14ac:dyDescent="0.3">
      <c r="A3280" s="286"/>
      <c r="B3280" s="287"/>
      <c r="C3280" s="288"/>
      <c r="D3280" s="288"/>
      <c r="E3280" s="288"/>
      <c r="F3280" s="289">
        <f>ПЛАТЕЖИ[[#This Row],[СЎМ]]+(ПЛАТЕЖИ[[#This Row],[ВАЛЮТА]]*ПЛАТЕЖИ[[#This Row],[КУРС]])</f>
        <v>0</v>
      </c>
      <c r="G3280" s="287"/>
      <c r="H3280" s="287"/>
      <c r="I3280" s="287"/>
    </row>
    <row r="3281" spans="1:9" x14ac:dyDescent="0.3">
      <c r="A3281" s="286"/>
      <c r="B3281" s="287"/>
      <c r="C3281" s="288"/>
      <c r="D3281" s="288"/>
      <c r="E3281" s="288"/>
      <c r="F3281" s="289">
        <f>ПЛАТЕЖИ[[#This Row],[СЎМ]]+(ПЛАТЕЖИ[[#This Row],[ВАЛЮТА]]*ПЛАТЕЖИ[[#This Row],[КУРС]])</f>
        <v>0</v>
      </c>
      <c r="G3281" s="287"/>
      <c r="H3281" s="287"/>
      <c r="I3281" s="287"/>
    </row>
    <row r="3282" spans="1:9" x14ac:dyDescent="0.3">
      <c r="A3282" s="286"/>
      <c r="B3282" s="287"/>
      <c r="C3282" s="288"/>
      <c r="D3282" s="288"/>
      <c r="E3282" s="288"/>
      <c r="F3282" s="289">
        <f>ПЛАТЕЖИ[[#This Row],[СЎМ]]+(ПЛАТЕЖИ[[#This Row],[ВАЛЮТА]]*ПЛАТЕЖИ[[#This Row],[КУРС]])</f>
        <v>0</v>
      </c>
      <c r="G3282" s="287"/>
      <c r="H3282" s="287"/>
      <c r="I3282" s="287"/>
    </row>
    <row r="3283" spans="1:9" x14ac:dyDescent="0.3">
      <c r="A3283" s="286"/>
      <c r="B3283" s="287"/>
      <c r="C3283" s="288"/>
      <c r="D3283" s="288"/>
      <c r="E3283" s="288"/>
      <c r="F3283" s="289">
        <f>ПЛАТЕЖИ[[#This Row],[СЎМ]]+(ПЛАТЕЖИ[[#This Row],[ВАЛЮТА]]*ПЛАТЕЖИ[[#This Row],[КУРС]])</f>
        <v>0</v>
      </c>
      <c r="G3283" s="287"/>
      <c r="H3283" s="287"/>
      <c r="I3283" s="287"/>
    </row>
    <row r="3284" spans="1:9" x14ac:dyDescent="0.3">
      <c r="A3284" s="286"/>
      <c r="B3284" s="287"/>
      <c r="C3284" s="288"/>
      <c r="D3284" s="288"/>
      <c r="E3284" s="288"/>
      <c r="F3284" s="289">
        <f>ПЛАТЕЖИ[[#This Row],[СЎМ]]+(ПЛАТЕЖИ[[#This Row],[ВАЛЮТА]]*ПЛАТЕЖИ[[#This Row],[КУРС]])</f>
        <v>0</v>
      </c>
      <c r="G3284" s="287"/>
      <c r="H3284" s="287"/>
      <c r="I3284" s="287"/>
    </row>
    <row r="3285" spans="1:9" x14ac:dyDescent="0.3">
      <c r="A3285" s="286"/>
      <c r="B3285" s="287"/>
      <c r="C3285" s="288"/>
      <c r="D3285" s="288"/>
      <c r="E3285" s="288"/>
      <c r="F3285" s="289">
        <f>ПЛАТЕЖИ[[#This Row],[СЎМ]]+(ПЛАТЕЖИ[[#This Row],[ВАЛЮТА]]*ПЛАТЕЖИ[[#This Row],[КУРС]])</f>
        <v>0</v>
      </c>
      <c r="G3285" s="287"/>
      <c r="H3285" s="287"/>
      <c r="I3285" s="287"/>
    </row>
    <row r="3286" spans="1:9" x14ac:dyDescent="0.3">
      <c r="A3286" s="286"/>
      <c r="B3286" s="287"/>
      <c r="C3286" s="288"/>
      <c r="D3286" s="288"/>
      <c r="E3286" s="288"/>
      <c r="F3286" s="289">
        <f>ПЛАТЕЖИ[[#This Row],[СЎМ]]+(ПЛАТЕЖИ[[#This Row],[ВАЛЮТА]]*ПЛАТЕЖИ[[#This Row],[КУРС]])</f>
        <v>0</v>
      </c>
      <c r="G3286" s="287"/>
      <c r="H3286" s="287"/>
      <c r="I3286" s="287"/>
    </row>
    <row r="3287" spans="1:9" x14ac:dyDescent="0.3">
      <c r="A3287" s="286"/>
      <c r="B3287" s="287"/>
      <c r="C3287" s="288"/>
      <c r="D3287" s="288"/>
      <c r="E3287" s="288"/>
      <c r="F3287" s="289">
        <f>ПЛАТЕЖИ[[#This Row],[СЎМ]]+(ПЛАТЕЖИ[[#This Row],[ВАЛЮТА]]*ПЛАТЕЖИ[[#This Row],[КУРС]])</f>
        <v>0</v>
      </c>
      <c r="G3287" s="287"/>
      <c r="H3287" s="287"/>
      <c r="I3287" s="287"/>
    </row>
    <row r="3288" spans="1:9" x14ac:dyDescent="0.3">
      <c r="A3288" s="286"/>
      <c r="B3288" s="287"/>
      <c r="C3288" s="288"/>
      <c r="D3288" s="288"/>
      <c r="E3288" s="288"/>
      <c r="F3288" s="289">
        <f>ПЛАТЕЖИ[[#This Row],[СЎМ]]+(ПЛАТЕЖИ[[#This Row],[ВАЛЮТА]]*ПЛАТЕЖИ[[#This Row],[КУРС]])</f>
        <v>0</v>
      </c>
      <c r="G3288" s="287"/>
      <c r="H3288" s="287"/>
      <c r="I3288" s="287"/>
    </row>
    <row r="3289" spans="1:9" x14ac:dyDescent="0.3">
      <c r="A3289" s="286"/>
      <c r="B3289" s="287"/>
      <c r="C3289" s="288"/>
      <c r="D3289" s="288"/>
      <c r="E3289" s="288"/>
      <c r="F3289" s="289">
        <f>ПЛАТЕЖИ[[#This Row],[СЎМ]]+(ПЛАТЕЖИ[[#This Row],[ВАЛЮТА]]*ПЛАТЕЖИ[[#This Row],[КУРС]])</f>
        <v>0</v>
      </c>
      <c r="G3289" s="287"/>
      <c r="H3289" s="287"/>
      <c r="I3289" s="287"/>
    </row>
    <row r="3290" spans="1:9" x14ac:dyDescent="0.3">
      <c r="A3290" s="286"/>
      <c r="B3290" s="287"/>
      <c r="C3290" s="288"/>
      <c r="D3290" s="288"/>
      <c r="E3290" s="288"/>
      <c r="F3290" s="289">
        <f>ПЛАТЕЖИ[[#This Row],[СЎМ]]+(ПЛАТЕЖИ[[#This Row],[ВАЛЮТА]]*ПЛАТЕЖИ[[#This Row],[КУРС]])</f>
        <v>0</v>
      </c>
      <c r="G3290" s="287"/>
      <c r="H3290" s="287"/>
      <c r="I3290" s="287"/>
    </row>
    <row r="3291" spans="1:9" x14ac:dyDescent="0.3">
      <c r="A3291" s="286"/>
      <c r="B3291" s="287"/>
      <c r="C3291" s="288"/>
      <c r="D3291" s="288"/>
      <c r="E3291" s="288"/>
      <c r="F3291" s="289">
        <f>ПЛАТЕЖИ[[#This Row],[СЎМ]]+(ПЛАТЕЖИ[[#This Row],[ВАЛЮТА]]*ПЛАТЕЖИ[[#This Row],[КУРС]])</f>
        <v>0</v>
      </c>
      <c r="G3291" s="287"/>
      <c r="H3291" s="287"/>
      <c r="I3291" s="287"/>
    </row>
    <row r="3292" spans="1:9" x14ac:dyDescent="0.3">
      <c r="A3292" s="286"/>
      <c r="B3292" s="287"/>
      <c r="C3292" s="288"/>
      <c r="D3292" s="288"/>
      <c r="E3292" s="288"/>
      <c r="F3292" s="289">
        <f>ПЛАТЕЖИ[[#This Row],[СЎМ]]+(ПЛАТЕЖИ[[#This Row],[ВАЛЮТА]]*ПЛАТЕЖИ[[#This Row],[КУРС]])</f>
        <v>0</v>
      </c>
      <c r="G3292" s="287"/>
      <c r="H3292" s="287"/>
      <c r="I3292" s="287"/>
    </row>
    <row r="3293" spans="1:9" x14ac:dyDescent="0.3">
      <c r="A3293" s="286"/>
      <c r="B3293" s="287"/>
      <c r="C3293" s="288"/>
      <c r="D3293" s="288"/>
      <c r="E3293" s="288"/>
      <c r="F3293" s="289">
        <f>ПЛАТЕЖИ[[#This Row],[СЎМ]]+(ПЛАТЕЖИ[[#This Row],[ВАЛЮТА]]*ПЛАТЕЖИ[[#This Row],[КУРС]])</f>
        <v>0</v>
      </c>
      <c r="G3293" s="287"/>
      <c r="H3293" s="287"/>
      <c r="I3293" s="287"/>
    </row>
    <row r="3294" spans="1:9" x14ac:dyDescent="0.3">
      <c r="A3294" s="286"/>
      <c r="B3294" s="287"/>
      <c r="C3294" s="288"/>
      <c r="D3294" s="288"/>
      <c r="E3294" s="288"/>
      <c r="F3294" s="289">
        <f>ПЛАТЕЖИ[[#This Row],[СЎМ]]+(ПЛАТЕЖИ[[#This Row],[ВАЛЮТА]]*ПЛАТЕЖИ[[#This Row],[КУРС]])</f>
        <v>0</v>
      </c>
      <c r="G3294" s="287"/>
      <c r="H3294" s="287"/>
      <c r="I3294" s="287"/>
    </row>
    <row r="3295" spans="1:9" x14ac:dyDescent="0.3">
      <c r="A3295" s="286"/>
      <c r="B3295" s="287"/>
      <c r="C3295" s="288"/>
      <c r="D3295" s="288"/>
      <c r="E3295" s="288"/>
      <c r="F3295" s="289">
        <f>ПЛАТЕЖИ[[#This Row],[СЎМ]]+(ПЛАТЕЖИ[[#This Row],[ВАЛЮТА]]*ПЛАТЕЖИ[[#This Row],[КУРС]])</f>
        <v>0</v>
      </c>
      <c r="G3295" s="287"/>
      <c r="H3295" s="287"/>
      <c r="I3295" s="287"/>
    </row>
    <row r="3296" spans="1:9" x14ac:dyDescent="0.3">
      <c r="A3296" s="286"/>
      <c r="B3296" s="287"/>
      <c r="C3296" s="288"/>
      <c r="D3296" s="288"/>
      <c r="E3296" s="288"/>
      <c r="F3296" s="289">
        <f>ПЛАТЕЖИ[[#This Row],[СЎМ]]+(ПЛАТЕЖИ[[#This Row],[ВАЛЮТА]]*ПЛАТЕЖИ[[#This Row],[КУРС]])</f>
        <v>0</v>
      </c>
      <c r="G3296" s="287"/>
      <c r="H3296" s="287"/>
      <c r="I3296" s="287"/>
    </row>
    <row r="3297" spans="1:9" x14ac:dyDescent="0.3">
      <c r="A3297" s="286"/>
      <c r="B3297" s="287"/>
      <c r="C3297" s="288"/>
      <c r="D3297" s="288"/>
      <c r="E3297" s="288"/>
      <c r="F3297" s="289">
        <f>ПЛАТЕЖИ[[#This Row],[СЎМ]]+(ПЛАТЕЖИ[[#This Row],[ВАЛЮТА]]*ПЛАТЕЖИ[[#This Row],[КУРС]])</f>
        <v>0</v>
      </c>
      <c r="G3297" s="287"/>
      <c r="H3297" s="287"/>
      <c r="I3297" s="287"/>
    </row>
    <row r="3298" spans="1:9" x14ac:dyDescent="0.3">
      <c r="A3298" s="286"/>
      <c r="B3298" s="287"/>
      <c r="C3298" s="288"/>
      <c r="D3298" s="288"/>
      <c r="E3298" s="288"/>
      <c r="F3298" s="289">
        <f>ПЛАТЕЖИ[[#This Row],[СЎМ]]+(ПЛАТЕЖИ[[#This Row],[ВАЛЮТА]]*ПЛАТЕЖИ[[#This Row],[КУРС]])</f>
        <v>0</v>
      </c>
      <c r="G3298" s="287"/>
      <c r="H3298" s="287"/>
      <c r="I3298" s="287"/>
    </row>
    <row r="3299" spans="1:9" x14ac:dyDescent="0.3">
      <c r="A3299" s="286"/>
      <c r="B3299" s="287"/>
      <c r="C3299" s="288"/>
      <c r="D3299" s="288"/>
      <c r="E3299" s="288"/>
      <c r="F3299" s="289">
        <f>ПЛАТЕЖИ[[#This Row],[СЎМ]]+(ПЛАТЕЖИ[[#This Row],[ВАЛЮТА]]*ПЛАТЕЖИ[[#This Row],[КУРС]])</f>
        <v>0</v>
      </c>
      <c r="G3299" s="287"/>
      <c r="H3299" s="287"/>
      <c r="I3299" s="287"/>
    </row>
    <row r="3300" spans="1:9" x14ac:dyDescent="0.3">
      <c r="A3300" s="286"/>
      <c r="B3300" s="287"/>
      <c r="C3300" s="288"/>
      <c r="D3300" s="288"/>
      <c r="E3300" s="288"/>
      <c r="F3300" s="289">
        <f>ПЛАТЕЖИ[[#This Row],[СЎМ]]+(ПЛАТЕЖИ[[#This Row],[ВАЛЮТА]]*ПЛАТЕЖИ[[#This Row],[КУРС]])</f>
        <v>0</v>
      </c>
      <c r="G3300" s="287"/>
      <c r="H3300" s="287"/>
      <c r="I3300" s="287"/>
    </row>
    <row r="3301" spans="1:9" x14ac:dyDescent="0.3">
      <c r="A3301" s="286"/>
      <c r="B3301" s="287"/>
      <c r="C3301" s="288"/>
      <c r="D3301" s="288"/>
      <c r="E3301" s="288"/>
      <c r="F3301" s="289">
        <f>ПЛАТЕЖИ[[#This Row],[СЎМ]]+(ПЛАТЕЖИ[[#This Row],[ВАЛЮТА]]*ПЛАТЕЖИ[[#This Row],[КУРС]])</f>
        <v>0</v>
      </c>
      <c r="G3301" s="287"/>
      <c r="H3301" s="287"/>
      <c r="I3301" s="287"/>
    </row>
    <row r="3302" spans="1:9" x14ac:dyDescent="0.3">
      <c r="A3302" s="286"/>
      <c r="B3302" s="287"/>
      <c r="C3302" s="288"/>
      <c r="D3302" s="288"/>
      <c r="E3302" s="288"/>
      <c r="F3302" s="289">
        <f>ПЛАТЕЖИ[[#This Row],[СЎМ]]+(ПЛАТЕЖИ[[#This Row],[ВАЛЮТА]]*ПЛАТЕЖИ[[#This Row],[КУРС]])</f>
        <v>0</v>
      </c>
      <c r="G3302" s="287"/>
      <c r="H3302" s="287"/>
      <c r="I3302" s="287"/>
    </row>
    <row r="3303" spans="1:9" x14ac:dyDescent="0.3">
      <c r="A3303" s="286"/>
      <c r="B3303" s="287"/>
      <c r="C3303" s="288"/>
      <c r="D3303" s="288"/>
      <c r="E3303" s="288"/>
      <c r="F3303" s="289">
        <f>ПЛАТЕЖИ[[#This Row],[СЎМ]]+(ПЛАТЕЖИ[[#This Row],[ВАЛЮТА]]*ПЛАТЕЖИ[[#This Row],[КУРС]])</f>
        <v>0</v>
      </c>
      <c r="G3303" s="287"/>
      <c r="H3303" s="287"/>
      <c r="I3303" s="287"/>
    </row>
    <row r="3304" spans="1:9" x14ac:dyDescent="0.3">
      <c r="A3304" s="286"/>
      <c r="B3304" s="287"/>
      <c r="C3304" s="288"/>
      <c r="D3304" s="288"/>
      <c r="E3304" s="288"/>
      <c r="F3304" s="289">
        <f>ПЛАТЕЖИ[[#This Row],[СЎМ]]+(ПЛАТЕЖИ[[#This Row],[ВАЛЮТА]]*ПЛАТЕЖИ[[#This Row],[КУРС]])</f>
        <v>0</v>
      </c>
      <c r="G3304" s="287"/>
      <c r="H3304" s="287"/>
      <c r="I3304" s="287"/>
    </row>
    <row r="3305" spans="1:9" x14ac:dyDescent="0.3">
      <c r="A3305" s="286"/>
      <c r="B3305" s="287"/>
      <c r="C3305" s="288"/>
      <c r="D3305" s="288"/>
      <c r="E3305" s="288"/>
      <c r="F3305" s="289">
        <f>ПЛАТЕЖИ[[#This Row],[СЎМ]]+(ПЛАТЕЖИ[[#This Row],[ВАЛЮТА]]*ПЛАТЕЖИ[[#This Row],[КУРС]])</f>
        <v>0</v>
      </c>
      <c r="G3305" s="287"/>
      <c r="H3305" s="287"/>
      <c r="I3305" s="287"/>
    </row>
    <row r="3306" spans="1:9" x14ac:dyDescent="0.3">
      <c r="A3306" s="286"/>
      <c r="B3306" s="287"/>
      <c r="C3306" s="288"/>
      <c r="D3306" s="288"/>
      <c r="E3306" s="288"/>
      <c r="F3306" s="289">
        <f>ПЛАТЕЖИ[[#This Row],[СЎМ]]+(ПЛАТЕЖИ[[#This Row],[ВАЛЮТА]]*ПЛАТЕЖИ[[#This Row],[КУРС]])</f>
        <v>0</v>
      </c>
      <c r="G3306" s="287"/>
      <c r="H3306" s="287"/>
      <c r="I3306" s="287"/>
    </row>
    <row r="3307" spans="1:9" x14ac:dyDescent="0.3">
      <c r="A3307" s="286"/>
      <c r="B3307" s="287"/>
      <c r="C3307" s="288"/>
      <c r="D3307" s="288"/>
      <c r="E3307" s="288"/>
      <c r="F3307" s="289">
        <f>ПЛАТЕЖИ[[#This Row],[СЎМ]]+(ПЛАТЕЖИ[[#This Row],[ВАЛЮТА]]*ПЛАТЕЖИ[[#This Row],[КУРС]])</f>
        <v>0</v>
      </c>
      <c r="G3307" s="287"/>
      <c r="H3307" s="287"/>
      <c r="I3307" s="287"/>
    </row>
    <row r="3308" spans="1:9" x14ac:dyDescent="0.3">
      <c r="A3308" s="286"/>
      <c r="B3308" s="287"/>
      <c r="C3308" s="288"/>
      <c r="D3308" s="288"/>
      <c r="E3308" s="288"/>
      <c r="F3308" s="289">
        <f>ПЛАТЕЖИ[[#This Row],[СЎМ]]+(ПЛАТЕЖИ[[#This Row],[ВАЛЮТА]]*ПЛАТЕЖИ[[#This Row],[КУРС]])</f>
        <v>0</v>
      </c>
      <c r="G3308" s="287"/>
      <c r="H3308" s="287"/>
      <c r="I3308" s="287"/>
    </row>
    <row r="3309" spans="1:9" x14ac:dyDescent="0.3">
      <c r="A3309" s="286"/>
      <c r="B3309" s="287"/>
      <c r="C3309" s="288"/>
      <c r="D3309" s="288"/>
      <c r="E3309" s="288"/>
      <c r="F3309" s="289">
        <f>ПЛАТЕЖИ[[#This Row],[СЎМ]]+(ПЛАТЕЖИ[[#This Row],[ВАЛЮТА]]*ПЛАТЕЖИ[[#This Row],[КУРС]])</f>
        <v>0</v>
      </c>
      <c r="G3309" s="287"/>
      <c r="H3309" s="287"/>
      <c r="I3309" s="287"/>
    </row>
    <row r="3310" spans="1:9" x14ac:dyDescent="0.3">
      <c r="A3310" s="286"/>
      <c r="B3310" s="287"/>
      <c r="C3310" s="288"/>
      <c r="D3310" s="288"/>
      <c r="E3310" s="288"/>
      <c r="F3310" s="289">
        <f>ПЛАТЕЖИ[[#This Row],[СЎМ]]+(ПЛАТЕЖИ[[#This Row],[ВАЛЮТА]]*ПЛАТЕЖИ[[#This Row],[КУРС]])</f>
        <v>0</v>
      </c>
      <c r="G3310" s="287"/>
      <c r="H3310" s="287"/>
      <c r="I3310" s="287"/>
    </row>
    <row r="3311" spans="1:9" x14ac:dyDescent="0.3">
      <c r="A3311" s="286"/>
      <c r="B3311" s="287"/>
      <c r="C3311" s="288"/>
      <c r="D3311" s="288"/>
      <c r="E3311" s="288"/>
      <c r="F3311" s="289">
        <f>ПЛАТЕЖИ[[#This Row],[СЎМ]]+(ПЛАТЕЖИ[[#This Row],[ВАЛЮТА]]*ПЛАТЕЖИ[[#This Row],[КУРС]])</f>
        <v>0</v>
      </c>
      <c r="G3311" s="287"/>
      <c r="H3311" s="287"/>
      <c r="I3311" s="287"/>
    </row>
    <row r="3312" spans="1:9" x14ac:dyDescent="0.3">
      <c r="A3312" s="286"/>
      <c r="B3312" s="287"/>
      <c r="C3312" s="288"/>
      <c r="D3312" s="288"/>
      <c r="E3312" s="288"/>
      <c r="F3312" s="289">
        <f>ПЛАТЕЖИ[[#This Row],[СЎМ]]+(ПЛАТЕЖИ[[#This Row],[ВАЛЮТА]]*ПЛАТЕЖИ[[#This Row],[КУРС]])</f>
        <v>0</v>
      </c>
      <c r="G3312" s="287"/>
      <c r="H3312" s="287"/>
      <c r="I3312" s="287"/>
    </row>
    <row r="3313" spans="1:9" x14ac:dyDescent="0.3">
      <c r="A3313" s="286"/>
      <c r="B3313" s="287"/>
      <c r="C3313" s="288"/>
      <c r="D3313" s="288"/>
      <c r="E3313" s="288"/>
      <c r="F3313" s="289">
        <f>ПЛАТЕЖИ[[#This Row],[СЎМ]]+(ПЛАТЕЖИ[[#This Row],[ВАЛЮТА]]*ПЛАТЕЖИ[[#This Row],[КУРС]])</f>
        <v>0</v>
      </c>
      <c r="G3313" s="287"/>
      <c r="H3313" s="287"/>
      <c r="I3313" s="287"/>
    </row>
    <row r="3314" spans="1:9" x14ac:dyDescent="0.3">
      <c r="A3314" s="286"/>
      <c r="B3314" s="287"/>
      <c r="C3314" s="288"/>
      <c r="D3314" s="288"/>
      <c r="E3314" s="288"/>
      <c r="F3314" s="289">
        <f>ПЛАТЕЖИ[[#This Row],[СЎМ]]+(ПЛАТЕЖИ[[#This Row],[ВАЛЮТА]]*ПЛАТЕЖИ[[#This Row],[КУРС]])</f>
        <v>0</v>
      </c>
      <c r="G3314" s="287"/>
      <c r="H3314" s="287"/>
      <c r="I3314" s="287"/>
    </row>
    <row r="3315" spans="1:9" x14ac:dyDescent="0.3">
      <c r="A3315" s="286"/>
      <c r="B3315" s="287"/>
      <c r="C3315" s="288"/>
      <c r="D3315" s="288"/>
      <c r="E3315" s="288"/>
      <c r="F3315" s="289">
        <f>ПЛАТЕЖИ[[#This Row],[СЎМ]]+(ПЛАТЕЖИ[[#This Row],[ВАЛЮТА]]*ПЛАТЕЖИ[[#This Row],[КУРС]])</f>
        <v>0</v>
      </c>
      <c r="G3315" s="287"/>
      <c r="H3315" s="287"/>
      <c r="I3315" s="287"/>
    </row>
    <row r="3316" spans="1:9" x14ac:dyDescent="0.3">
      <c r="A3316" s="286"/>
      <c r="B3316" s="287"/>
      <c r="C3316" s="288"/>
      <c r="D3316" s="288"/>
      <c r="E3316" s="288"/>
      <c r="F3316" s="289">
        <f>ПЛАТЕЖИ[[#This Row],[СЎМ]]+(ПЛАТЕЖИ[[#This Row],[ВАЛЮТА]]*ПЛАТЕЖИ[[#This Row],[КУРС]])</f>
        <v>0</v>
      </c>
      <c r="G3316" s="287"/>
      <c r="H3316" s="287"/>
      <c r="I3316" s="287"/>
    </row>
    <row r="3317" spans="1:9" x14ac:dyDescent="0.3">
      <c r="A3317" s="286"/>
      <c r="B3317" s="287"/>
      <c r="C3317" s="288"/>
      <c r="D3317" s="288"/>
      <c r="E3317" s="288"/>
      <c r="F3317" s="289">
        <f>ПЛАТЕЖИ[[#This Row],[СЎМ]]+(ПЛАТЕЖИ[[#This Row],[ВАЛЮТА]]*ПЛАТЕЖИ[[#This Row],[КУРС]])</f>
        <v>0</v>
      </c>
      <c r="G3317" s="287"/>
      <c r="H3317" s="287"/>
      <c r="I3317" s="287"/>
    </row>
    <row r="3318" spans="1:9" x14ac:dyDescent="0.3">
      <c r="A3318" s="286"/>
      <c r="B3318" s="287"/>
      <c r="C3318" s="288"/>
      <c r="D3318" s="288"/>
      <c r="E3318" s="288"/>
      <c r="F3318" s="289">
        <f>ПЛАТЕЖИ[[#This Row],[СЎМ]]+(ПЛАТЕЖИ[[#This Row],[ВАЛЮТА]]*ПЛАТЕЖИ[[#This Row],[КУРС]])</f>
        <v>0</v>
      </c>
      <c r="G3318" s="287"/>
      <c r="H3318" s="287"/>
      <c r="I3318" s="287"/>
    </row>
    <row r="3319" spans="1:9" x14ac:dyDescent="0.3">
      <c r="A3319" s="286"/>
      <c r="B3319" s="287"/>
      <c r="C3319" s="288"/>
      <c r="D3319" s="288"/>
      <c r="E3319" s="288"/>
      <c r="F3319" s="289">
        <f>ПЛАТЕЖИ[[#This Row],[СЎМ]]+(ПЛАТЕЖИ[[#This Row],[ВАЛЮТА]]*ПЛАТЕЖИ[[#This Row],[КУРС]])</f>
        <v>0</v>
      </c>
      <c r="G3319" s="287"/>
      <c r="H3319" s="287"/>
      <c r="I3319" s="287"/>
    </row>
    <row r="3320" spans="1:9" x14ac:dyDescent="0.3">
      <c r="A3320" s="286"/>
      <c r="B3320" s="287"/>
      <c r="C3320" s="288"/>
      <c r="D3320" s="288"/>
      <c r="E3320" s="288"/>
      <c r="F3320" s="289">
        <f>ПЛАТЕЖИ[[#This Row],[СЎМ]]+(ПЛАТЕЖИ[[#This Row],[ВАЛЮТА]]*ПЛАТЕЖИ[[#This Row],[КУРС]])</f>
        <v>0</v>
      </c>
      <c r="G3320" s="287"/>
      <c r="H3320" s="287"/>
      <c r="I3320" s="287"/>
    </row>
    <row r="3321" spans="1:9" x14ac:dyDescent="0.3">
      <c r="A3321" s="286"/>
      <c r="B3321" s="287"/>
      <c r="C3321" s="288"/>
      <c r="D3321" s="288"/>
      <c r="E3321" s="288"/>
      <c r="F3321" s="289">
        <f>ПЛАТЕЖИ[[#This Row],[СЎМ]]+(ПЛАТЕЖИ[[#This Row],[ВАЛЮТА]]*ПЛАТЕЖИ[[#This Row],[КУРС]])</f>
        <v>0</v>
      </c>
      <c r="G3321" s="287"/>
      <c r="H3321" s="287"/>
      <c r="I3321" s="287"/>
    </row>
    <row r="3322" spans="1:9" x14ac:dyDescent="0.3">
      <c r="A3322" s="286"/>
      <c r="B3322" s="287"/>
      <c r="C3322" s="288"/>
      <c r="D3322" s="288"/>
      <c r="E3322" s="288"/>
      <c r="F3322" s="289">
        <f>ПЛАТЕЖИ[[#This Row],[СЎМ]]+(ПЛАТЕЖИ[[#This Row],[ВАЛЮТА]]*ПЛАТЕЖИ[[#This Row],[КУРС]])</f>
        <v>0</v>
      </c>
      <c r="G3322" s="287"/>
      <c r="H3322" s="287"/>
      <c r="I3322" s="287"/>
    </row>
    <row r="3323" spans="1:9" x14ac:dyDescent="0.3">
      <c r="A3323" s="286"/>
      <c r="B3323" s="287"/>
      <c r="C3323" s="288"/>
      <c r="D3323" s="288"/>
      <c r="E3323" s="288"/>
      <c r="F3323" s="289">
        <f>ПЛАТЕЖИ[[#This Row],[СЎМ]]+(ПЛАТЕЖИ[[#This Row],[ВАЛЮТА]]*ПЛАТЕЖИ[[#This Row],[КУРС]])</f>
        <v>0</v>
      </c>
      <c r="G3323" s="287"/>
      <c r="H3323" s="287"/>
      <c r="I3323" s="287"/>
    </row>
    <row r="3324" spans="1:9" x14ac:dyDescent="0.3">
      <c r="A3324" s="286"/>
      <c r="B3324" s="287"/>
      <c r="C3324" s="288"/>
      <c r="D3324" s="288"/>
      <c r="E3324" s="288"/>
      <c r="F3324" s="289">
        <f>ПЛАТЕЖИ[[#This Row],[СЎМ]]+(ПЛАТЕЖИ[[#This Row],[ВАЛЮТА]]*ПЛАТЕЖИ[[#This Row],[КУРС]])</f>
        <v>0</v>
      </c>
      <c r="G3324" s="287"/>
      <c r="H3324" s="287"/>
      <c r="I3324" s="287"/>
    </row>
    <row r="3325" spans="1:9" x14ac:dyDescent="0.3">
      <c r="A3325" s="286"/>
      <c r="B3325" s="287"/>
      <c r="C3325" s="288"/>
      <c r="D3325" s="288"/>
      <c r="E3325" s="288"/>
      <c r="F3325" s="289">
        <f>ПЛАТЕЖИ[[#This Row],[СЎМ]]+(ПЛАТЕЖИ[[#This Row],[ВАЛЮТА]]*ПЛАТЕЖИ[[#This Row],[КУРС]])</f>
        <v>0</v>
      </c>
      <c r="G3325" s="287"/>
      <c r="H3325" s="287"/>
      <c r="I3325" s="287"/>
    </row>
    <row r="3326" spans="1:9" x14ac:dyDescent="0.3">
      <c r="A3326" s="286"/>
      <c r="B3326" s="287"/>
      <c r="C3326" s="288"/>
      <c r="D3326" s="288"/>
      <c r="E3326" s="288"/>
      <c r="F3326" s="289">
        <f>ПЛАТЕЖИ[[#This Row],[СЎМ]]+(ПЛАТЕЖИ[[#This Row],[ВАЛЮТА]]*ПЛАТЕЖИ[[#This Row],[КУРС]])</f>
        <v>0</v>
      </c>
      <c r="G3326" s="287"/>
      <c r="H3326" s="287"/>
      <c r="I3326" s="287"/>
    </row>
    <row r="3327" spans="1:9" x14ac:dyDescent="0.3">
      <c r="A3327" s="286"/>
      <c r="B3327" s="287"/>
      <c r="C3327" s="288"/>
      <c r="D3327" s="288"/>
      <c r="E3327" s="288"/>
      <c r="F3327" s="289">
        <f>ПЛАТЕЖИ[[#This Row],[СЎМ]]+(ПЛАТЕЖИ[[#This Row],[ВАЛЮТА]]*ПЛАТЕЖИ[[#This Row],[КУРС]])</f>
        <v>0</v>
      </c>
      <c r="G3327" s="287"/>
      <c r="H3327" s="287"/>
      <c r="I3327" s="287"/>
    </row>
    <row r="3328" spans="1:9" x14ac:dyDescent="0.3">
      <c r="A3328" s="286"/>
      <c r="B3328" s="287"/>
      <c r="C3328" s="288"/>
      <c r="D3328" s="288"/>
      <c r="E3328" s="288"/>
      <c r="F3328" s="289">
        <f>ПЛАТЕЖИ[[#This Row],[СЎМ]]+(ПЛАТЕЖИ[[#This Row],[ВАЛЮТА]]*ПЛАТЕЖИ[[#This Row],[КУРС]])</f>
        <v>0</v>
      </c>
      <c r="G3328" s="287"/>
      <c r="H3328" s="287"/>
      <c r="I3328" s="287"/>
    </row>
    <row r="3329" spans="1:9" x14ac:dyDescent="0.3">
      <c r="A3329" s="286"/>
      <c r="B3329" s="287"/>
      <c r="C3329" s="288"/>
      <c r="D3329" s="288"/>
      <c r="E3329" s="288"/>
      <c r="F3329" s="289">
        <f>ПЛАТЕЖИ[[#This Row],[СЎМ]]+(ПЛАТЕЖИ[[#This Row],[ВАЛЮТА]]*ПЛАТЕЖИ[[#This Row],[КУРС]])</f>
        <v>0</v>
      </c>
      <c r="G3329" s="287"/>
      <c r="H3329" s="287"/>
      <c r="I3329" s="287"/>
    </row>
    <row r="3330" spans="1:9" x14ac:dyDescent="0.3">
      <c r="A3330" s="286"/>
      <c r="B3330" s="287"/>
      <c r="C3330" s="288"/>
      <c r="D3330" s="288"/>
      <c r="E3330" s="288"/>
      <c r="F3330" s="289">
        <f>ПЛАТЕЖИ[[#This Row],[СЎМ]]+(ПЛАТЕЖИ[[#This Row],[ВАЛЮТА]]*ПЛАТЕЖИ[[#This Row],[КУРС]])</f>
        <v>0</v>
      </c>
      <c r="G3330" s="287"/>
      <c r="H3330" s="287"/>
      <c r="I3330" s="287"/>
    </row>
    <row r="3331" spans="1:9" x14ac:dyDescent="0.3">
      <c r="A3331" s="286"/>
      <c r="B3331" s="287"/>
      <c r="C3331" s="288"/>
      <c r="D3331" s="288"/>
      <c r="E3331" s="288"/>
      <c r="F3331" s="289">
        <f>ПЛАТЕЖИ[[#This Row],[СЎМ]]+(ПЛАТЕЖИ[[#This Row],[ВАЛЮТА]]*ПЛАТЕЖИ[[#This Row],[КУРС]])</f>
        <v>0</v>
      </c>
      <c r="G3331" s="287"/>
      <c r="H3331" s="287"/>
      <c r="I3331" s="287"/>
    </row>
    <row r="3332" spans="1:9" x14ac:dyDescent="0.3">
      <c r="A3332" s="286"/>
      <c r="B3332" s="287"/>
      <c r="C3332" s="288"/>
      <c r="D3332" s="288"/>
      <c r="E3332" s="288"/>
      <c r="F3332" s="289">
        <f>ПЛАТЕЖИ[[#This Row],[СЎМ]]+(ПЛАТЕЖИ[[#This Row],[ВАЛЮТА]]*ПЛАТЕЖИ[[#This Row],[КУРС]])</f>
        <v>0</v>
      </c>
      <c r="G3332" s="287"/>
      <c r="H3332" s="287"/>
      <c r="I3332" s="287"/>
    </row>
    <row r="3333" spans="1:9" x14ac:dyDescent="0.3">
      <c r="A3333" s="286"/>
      <c r="B3333" s="287"/>
      <c r="C3333" s="288"/>
      <c r="D3333" s="288"/>
      <c r="E3333" s="288"/>
      <c r="F3333" s="289">
        <f>ПЛАТЕЖИ[[#This Row],[СЎМ]]+(ПЛАТЕЖИ[[#This Row],[ВАЛЮТА]]*ПЛАТЕЖИ[[#This Row],[КУРС]])</f>
        <v>0</v>
      </c>
      <c r="G3333" s="287"/>
      <c r="H3333" s="287"/>
      <c r="I3333" s="287"/>
    </row>
    <row r="3334" spans="1:9" x14ac:dyDescent="0.3">
      <c r="A3334" s="286"/>
      <c r="B3334" s="287"/>
      <c r="C3334" s="288"/>
      <c r="D3334" s="288"/>
      <c r="E3334" s="288"/>
      <c r="F3334" s="289">
        <f>ПЛАТЕЖИ[[#This Row],[СЎМ]]+(ПЛАТЕЖИ[[#This Row],[ВАЛЮТА]]*ПЛАТЕЖИ[[#This Row],[КУРС]])</f>
        <v>0</v>
      </c>
      <c r="G3334" s="287"/>
      <c r="H3334" s="287"/>
      <c r="I3334" s="287"/>
    </row>
    <row r="3335" spans="1:9" x14ac:dyDescent="0.3">
      <c r="A3335" s="286"/>
      <c r="B3335" s="287"/>
      <c r="C3335" s="288"/>
      <c r="D3335" s="288"/>
      <c r="E3335" s="288"/>
      <c r="F3335" s="289">
        <f>ПЛАТЕЖИ[[#This Row],[СЎМ]]+(ПЛАТЕЖИ[[#This Row],[ВАЛЮТА]]*ПЛАТЕЖИ[[#This Row],[КУРС]])</f>
        <v>0</v>
      </c>
      <c r="G3335" s="287"/>
      <c r="H3335" s="287"/>
      <c r="I3335" s="287"/>
    </row>
    <row r="3336" spans="1:9" x14ac:dyDescent="0.3">
      <c r="A3336" s="286"/>
      <c r="B3336" s="287"/>
      <c r="C3336" s="288"/>
      <c r="D3336" s="288"/>
      <c r="E3336" s="288"/>
      <c r="F3336" s="289">
        <f>ПЛАТЕЖИ[[#This Row],[СЎМ]]+(ПЛАТЕЖИ[[#This Row],[ВАЛЮТА]]*ПЛАТЕЖИ[[#This Row],[КУРС]])</f>
        <v>0</v>
      </c>
      <c r="G3336" s="287"/>
      <c r="H3336" s="287"/>
      <c r="I3336" s="287"/>
    </row>
    <row r="3337" spans="1:9" x14ac:dyDescent="0.3">
      <c r="A3337" s="286"/>
      <c r="B3337" s="287"/>
      <c r="C3337" s="288"/>
      <c r="D3337" s="288"/>
      <c r="E3337" s="288"/>
      <c r="F3337" s="289">
        <f>ПЛАТЕЖИ[[#This Row],[СЎМ]]+(ПЛАТЕЖИ[[#This Row],[ВАЛЮТА]]*ПЛАТЕЖИ[[#This Row],[КУРС]])</f>
        <v>0</v>
      </c>
      <c r="G3337" s="287"/>
      <c r="H3337" s="287"/>
      <c r="I3337" s="287"/>
    </row>
    <row r="3338" spans="1:9" x14ac:dyDescent="0.3">
      <c r="A3338" s="286"/>
      <c r="B3338" s="287"/>
      <c r="C3338" s="288"/>
      <c r="D3338" s="288"/>
      <c r="E3338" s="288"/>
      <c r="F3338" s="289">
        <f>ПЛАТЕЖИ[[#This Row],[СЎМ]]+(ПЛАТЕЖИ[[#This Row],[ВАЛЮТА]]*ПЛАТЕЖИ[[#This Row],[КУРС]])</f>
        <v>0</v>
      </c>
      <c r="G3338" s="287"/>
      <c r="H3338" s="287"/>
      <c r="I3338" s="287"/>
    </row>
    <row r="3339" spans="1:9" x14ac:dyDescent="0.3">
      <c r="A3339" s="286"/>
      <c r="B3339" s="287"/>
      <c r="C3339" s="288"/>
      <c r="D3339" s="288"/>
      <c r="E3339" s="288"/>
      <c r="F3339" s="289">
        <f>ПЛАТЕЖИ[[#This Row],[СЎМ]]+(ПЛАТЕЖИ[[#This Row],[ВАЛЮТА]]*ПЛАТЕЖИ[[#This Row],[КУРС]])</f>
        <v>0</v>
      </c>
      <c r="G3339" s="287"/>
      <c r="H3339" s="287"/>
      <c r="I3339" s="287"/>
    </row>
    <row r="3340" spans="1:9" x14ac:dyDescent="0.3">
      <c r="A3340" s="286"/>
      <c r="B3340" s="287"/>
      <c r="C3340" s="288"/>
      <c r="D3340" s="288"/>
      <c r="E3340" s="288"/>
      <c r="F3340" s="289">
        <f>ПЛАТЕЖИ[[#This Row],[СЎМ]]+(ПЛАТЕЖИ[[#This Row],[ВАЛЮТА]]*ПЛАТЕЖИ[[#This Row],[КУРС]])</f>
        <v>0</v>
      </c>
      <c r="G3340" s="287"/>
      <c r="H3340" s="287"/>
      <c r="I3340" s="287"/>
    </row>
    <row r="3341" spans="1:9" x14ac:dyDescent="0.3">
      <c r="A3341" s="286"/>
      <c r="B3341" s="287"/>
      <c r="C3341" s="288"/>
      <c r="D3341" s="288"/>
      <c r="E3341" s="288"/>
      <c r="F3341" s="289">
        <f>ПЛАТЕЖИ[[#This Row],[СЎМ]]+(ПЛАТЕЖИ[[#This Row],[ВАЛЮТА]]*ПЛАТЕЖИ[[#This Row],[КУРС]])</f>
        <v>0</v>
      </c>
      <c r="G3341" s="287"/>
      <c r="H3341" s="287"/>
      <c r="I3341" s="287"/>
    </row>
  </sheetData>
  <phoneticPr fontId="26" type="noConversion"/>
  <pageMargins left="0.7" right="0.7" top="4.4800000000000004" bottom="0.75" header="0.3" footer="0.3"/>
  <pageSetup paperSize="9" orientation="landscape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Мижоз">
          <x14:formula1>
            <xm:f>КОНТРАГЕНТ!$A$2:$A$299</xm:f>
          </x14:formula1>
          <xm:sqref>B3257:B1048576 B1:B3229</xm:sqref>
        </x14:dataValidation>
        <x14:dataValidation type="list" allowBlank="1" showInputMessage="1" showErrorMessage="1">
          <x14:formula1>
            <xm:f>МАЪЛУМОТЛАР!$D$2:$D$3</xm:f>
          </x14:formula1>
          <xm:sqref>G2:G3229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"/>
  <sheetViews>
    <sheetView tabSelected="1" zoomScale="149" zoomScaleNormal="160" workbookViewId="0">
      <selection activeCell="G16" sqref="G16"/>
    </sheetView>
  </sheetViews>
  <sheetFormatPr defaultColWidth="9.109375" defaultRowHeight="14.4" x14ac:dyDescent="0.3"/>
  <cols>
    <col min="1" max="1" width="46.21875" style="51" customWidth="1"/>
    <col min="2" max="2" width="14.88671875" style="48" hidden="1" customWidth="1"/>
    <col min="3" max="4" width="14.33203125" style="48" hidden="1" customWidth="1"/>
    <col min="5" max="5" width="15.6640625" style="49" bestFit="1" customWidth="1"/>
    <col min="6" max="6" width="8.44140625" style="52" customWidth="1"/>
    <col min="7" max="7" width="9.109375" style="51" customWidth="1"/>
    <col min="8" max="8" width="13.109375" style="51" customWidth="1"/>
    <col min="9" max="9" width="17.5546875" style="51" customWidth="1"/>
    <col min="10" max="10" width="17.109375" style="51" customWidth="1"/>
    <col min="11" max="11" width="9.44140625" style="51" customWidth="1"/>
    <col min="12" max="16384" width="9.109375" style="51"/>
  </cols>
  <sheetData>
    <row r="1" spans="1:10" s="47" customFormat="1" x14ac:dyDescent="0.3">
      <c r="A1" s="275" t="s">
        <v>16</v>
      </c>
      <c r="B1" s="231" t="s">
        <v>31</v>
      </c>
      <c r="C1" s="231" t="s">
        <v>40</v>
      </c>
      <c r="D1" s="231" t="s">
        <v>41</v>
      </c>
      <c r="E1" s="232" t="s">
        <v>32</v>
      </c>
      <c r="F1" s="233" t="s">
        <v>63</v>
      </c>
      <c r="G1" s="234" t="s">
        <v>596</v>
      </c>
      <c r="H1" s="235" t="s">
        <v>34</v>
      </c>
      <c r="I1" s="248" t="s">
        <v>64</v>
      </c>
    </row>
    <row r="2" spans="1:10" hidden="1" x14ac:dyDescent="0.3">
      <c r="A2" s="346"/>
      <c r="B2" s="283">
        <v>0</v>
      </c>
      <c r="C2" s="283">
        <v>0</v>
      </c>
      <c r="D2" s="283">
        <v>0</v>
      </c>
      <c r="E2" s="353">
        <v>0</v>
      </c>
      <c r="F2" s="282">
        <v>46148</v>
      </c>
      <c r="G2" s="282">
        <v>46174</v>
      </c>
      <c r="H2" s="281"/>
      <c r="I2" s="281"/>
    </row>
    <row r="3" spans="1:10" hidden="1" x14ac:dyDescent="0.3">
      <c r="A3" s="346" t="s">
        <v>938</v>
      </c>
      <c r="B3" s="283">
        <v>0</v>
      </c>
      <c r="C3" s="283">
        <v>4798800</v>
      </c>
      <c r="D3" s="283">
        <v>4798800</v>
      </c>
      <c r="E3" s="353">
        <v>0</v>
      </c>
      <c r="F3" s="282">
        <v>46210</v>
      </c>
      <c r="G3" s="282"/>
      <c r="H3" s="281"/>
      <c r="I3" s="281"/>
    </row>
    <row r="4" spans="1:10" x14ac:dyDescent="0.3">
      <c r="A4" s="346" t="s">
        <v>401</v>
      </c>
      <c r="B4" s="283">
        <v>-23822383</v>
      </c>
      <c r="C4" s="283">
        <v>15000000</v>
      </c>
      <c r="D4" s="283">
        <v>17544000</v>
      </c>
      <c r="E4" s="353">
        <v>-26366383</v>
      </c>
      <c r="F4" s="282">
        <v>46186</v>
      </c>
      <c r="G4" s="282">
        <v>46193</v>
      </c>
      <c r="H4" s="281" t="s">
        <v>907</v>
      </c>
      <c r="I4" s="281" t="s">
        <v>946</v>
      </c>
    </row>
    <row r="5" spans="1:10" hidden="1" x14ac:dyDescent="0.3">
      <c r="A5" s="346" t="s">
        <v>826</v>
      </c>
      <c r="B5" s="283">
        <v>-2000000</v>
      </c>
      <c r="C5" s="283">
        <v>5790450</v>
      </c>
      <c r="D5" s="283">
        <v>3790450</v>
      </c>
      <c r="E5" s="353">
        <v>0</v>
      </c>
      <c r="F5" s="282">
        <v>46198</v>
      </c>
      <c r="G5" s="282">
        <v>46204</v>
      </c>
      <c r="H5" s="281"/>
      <c r="I5" s="281"/>
    </row>
    <row r="6" spans="1:10" hidden="1" x14ac:dyDescent="0.3">
      <c r="A6" s="346" t="s">
        <v>912</v>
      </c>
      <c r="B6" s="283">
        <v>0</v>
      </c>
      <c r="C6" s="283">
        <v>12322300</v>
      </c>
      <c r="D6" s="283">
        <v>12322300</v>
      </c>
      <c r="E6" s="353">
        <v>0</v>
      </c>
      <c r="F6" s="282">
        <v>46226</v>
      </c>
      <c r="G6" s="282">
        <v>46224</v>
      </c>
      <c r="H6" s="281"/>
      <c r="I6" s="281" t="s">
        <v>961</v>
      </c>
    </row>
    <row r="7" spans="1:10" hidden="1" x14ac:dyDescent="0.3">
      <c r="A7" s="346" t="s">
        <v>73</v>
      </c>
      <c r="B7" s="283">
        <v>0</v>
      </c>
      <c r="C7" s="283">
        <v>6976000</v>
      </c>
      <c r="D7" s="283">
        <v>6976000</v>
      </c>
      <c r="E7" s="353">
        <v>0</v>
      </c>
      <c r="F7" s="282">
        <v>46175</v>
      </c>
      <c r="G7" s="282">
        <v>46197</v>
      </c>
      <c r="H7" s="281"/>
      <c r="I7" s="281" t="s">
        <v>944</v>
      </c>
    </row>
    <row r="8" spans="1:10" hidden="1" x14ac:dyDescent="0.3">
      <c r="A8" s="346" t="s">
        <v>195</v>
      </c>
      <c r="B8" s="283">
        <v>0</v>
      </c>
      <c r="C8" s="283">
        <v>2996300</v>
      </c>
      <c r="D8" s="283">
        <v>2996300</v>
      </c>
      <c r="E8" s="353">
        <v>0</v>
      </c>
      <c r="F8" s="282">
        <v>46172</v>
      </c>
      <c r="G8" s="282">
        <v>46195</v>
      </c>
      <c r="H8" s="281"/>
      <c r="I8" s="281" t="s">
        <v>927</v>
      </c>
    </row>
    <row r="9" spans="1:10" hidden="1" x14ac:dyDescent="0.3">
      <c r="A9" s="346" t="s">
        <v>353</v>
      </c>
      <c r="B9" s="283">
        <v>-3391800</v>
      </c>
      <c r="C9" s="283">
        <v>3391800</v>
      </c>
      <c r="D9" s="283">
        <v>0</v>
      </c>
      <c r="E9" s="353">
        <v>0</v>
      </c>
      <c r="F9" s="282">
        <v>46198</v>
      </c>
      <c r="G9" s="282"/>
      <c r="H9" s="281"/>
      <c r="I9" s="281" t="s">
        <v>936</v>
      </c>
    </row>
    <row r="10" spans="1:10" hidden="1" x14ac:dyDescent="0.3">
      <c r="A10" s="346" t="s">
        <v>314</v>
      </c>
      <c r="B10" s="283">
        <v>-836100</v>
      </c>
      <c r="C10" s="283">
        <v>2020600</v>
      </c>
      <c r="D10" s="283">
        <v>1184500</v>
      </c>
      <c r="E10" s="353">
        <v>0</v>
      </c>
      <c r="F10" s="282">
        <v>46198</v>
      </c>
      <c r="G10" s="282"/>
      <c r="H10" s="281"/>
      <c r="I10" s="282" t="s">
        <v>945</v>
      </c>
    </row>
    <row r="11" spans="1:10" x14ac:dyDescent="0.3">
      <c r="A11" s="346" t="s">
        <v>991</v>
      </c>
      <c r="B11" s="283">
        <v>-6852800</v>
      </c>
      <c r="C11" s="283">
        <v>5289800</v>
      </c>
      <c r="D11" s="283">
        <v>3438100</v>
      </c>
      <c r="E11" s="353">
        <v>-5001100</v>
      </c>
      <c r="F11" s="282">
        <v>46200</v>
      </c>
      <c r="G11" s="282">
        <v>46210</v>
      </c>
      <c r="H11" s="281"/>
      <c r="I11" s="281" t="s">
        <v>908</v>
      </c>
    </row>
    <row r="12" spans="1:10" hidden="1" x14ac:dyDescent="0.3">
      <c r="A12" s="346" t="s">
        <v>895</v>
      </c>
      <c r="B12" s="283">
        <v>0</v>
      </c>
      <c r="C12" s="283">
        <v>5312500</v>
      </c>
      <c r="D12" s="283">
        <v>5312500</v>
      </c>
      <c r="E12" s="353">
        <v>0</v>
      </c>
      <c r="F12" s="282">
        <v>46200</v>
      </c>
      <c r="G12" s="282">
        <v>46224</v>
      </c>
      <c r="H12" s="281"/>
      <c r="I12" s="281"/>
    </row>
    <row r="13" spans="1:10" hidden="1" x14ac:dyDescent="0.3">
      <c r="A13" s="346" t="s">
        <v>742</v>
      </c>
      <c r="B13" s="283">
        <v>0</v>
      </c>
      <c r="C13" s="283">
        <v>5117900</v>
      </c>
      <c r="D13" s="283">
        <v>5117900</v>
      </c>
      <c r="E13" s="353">
        <v>0</v>
      </c>
      <c r="F13" s="282">
        <v>46185</v>
      </c>
      <c r="G13" s="282">
        <v>46185</v>
      </c>
      <c r="H13" s="281"/>
      <c r="I13" s="281"/>
    </row>
    <row r="14" spans="1:10" hidden="1" x14ac:dyDescent="0.3">
      <c r="A14" s="346" t="s">
        <v>761</v>
      </c>
      <c r="B14" s="283">
        <v>0</v>
      </c>
      <c r="C14" s="283">
        <v>873000</v>
      </c>
      <c r="D14" s="283">
        <v>873000</v>
      </c>
      <c r="E14" s="353">
        <v>0</v>
      </c>
      <c r="F14" s="282">
        <v>46200</v>
      </c>
      <c r="G14" s="282">
        <v>46201</v>
      </c>
      <c r="H14" s="281"/>
      <c r="I14" s="281" t="s">
        <v>908</v>
      </c>
    </row>
    <row r="15" spans="1:10" x14ac:dyDescent="0.3">
      <c r="A15" s="346" t="s">
        <v>246</v>
      </c>
      <c r="B15" s="283">
        <v>-4491900</v>
      </c>
      <c r="C15" s="283">
        <v>3056000</v>
      </c>
      <c r="D15" s="283">
        <v>7107400</v>
      </c>
      <c r="E15" s="353">
        <v>-8543300</v>
      </c>
      <c r="F15" s="282">
        <v>46211</v>
      </c>
      <c r="G15" s="282">
        <v>46201</v>
      </c>
      <c r="H15" s="281" t="s">
        <v>908</v>
      </c>
      <c r="I15" s="281" t="s">
        <v>946</v>
      </c>
      <c r="J15" s="51" t="s">
        <v>39</v>
      </c>
    </row>
    <row r="16" spans="1:10" x14ac:dyDescent="0.3">
      <c r="A16" s="346" t="s">
        <v>58</v>
      </c>
      <c r="B16" s="283">
        <v>0</v>
      </c>
      <c r="C16" s="283">
        <v>0</v>
      </c>
      <c r="D16" s="283">
        <v>3313300</v>
      </c>
      <c r="E16" s="353">
        <v>-3313300</v>
      </c>
      <c r="F16" s="282">
        <v>46225</v>
      </c>
      <c r="G16" s="282">
        <v>46201</v>
      </c>
      <c r="H16" s="281"/>
      <c r="I16" s="281"/>
    </row>
    <row r="17" spans="1:10" hidden="1" x14ac:dyDescent="0.3">
      <c r="A17" s="346" t="s">
        <v>547</v>
      </c>
      <c r="B17" s="283">
        <v>0</v>
      </c>
      <c r="C17" s="283">
        <v>1655000</v>
      </c>
      <c r="D17" s="283">
        <v>1655000</v>
      </c>
      <c r="E17" s="353">
        <v>0</v>
      </c>
      <c r="F17" s="282">
        <v>46183</v>
      </c>
      <c r="G17" s="282"/>
      <c r="H17" s="281"/>
      <c r="I17" s="282" t="s">
        <v>910</v>
      </c>
    </row>
    <row r="18" spans="1:10" x14ac:dyDescent="0.3">
      <c r="A18" s="346" t="s">
        <v>779</v>
      </c>
      <c r="B18" s="283">
        <v>0</v>
      </c>
      <c r="C18" s="283">
        <v>0</v>
      </c>
      <c r="D18" s="283">
        <v>3925200</v>
      </c>
      <c r="E18" s="353">
        <v>-3925200</v>
      </c>
      <c r="F18" s="282">
        <v>46217</v>
      </c>
      <c r="G18" s="282"/>
      <c r="H18" s="281"/>
      <c r="I18" s="282"/>
    </row>
    <row r="19" spans="1:10" x14ac:dyDescent="0.3">
      <c r="A19" s="346" t="s">
        <v>157</v>
      </c>
      <c r="B19" s="283">
        <v>0</v>
      </c>
      <c r="C19" s="283">
        <v>0</v>
      </c>
      <c r="D19" s="283">
        <v>1018900</v>
      </c>
      <c r="E19" s="353">
        <v>-1018900</v>
      </c>
      <c r="F19" s="282">
        <v>46217</v>
      </c>
      <c r="G19" s="282"/>
      <c r="H19" s="281"/>
      <c r="I19" s="282" t="s">
        <v>946</v>
      </c>
    </row>
    <row r="20" spans="1:10" x14ac:dyDescent="0.3">
      <c r="A20" s="346" t="s">
        <v>688</v>
      </c>
      <c r="B20" s="283">
        <v>-1154300</v>
      </c>
      <c r="C20" s="283">
        <v>0</v>
      </c>
      <c r="D20" s="283">
        <v>0</v>
      </c>
      <c r="E20" s="353">
        <v>-1154300</v>
      </c>
      <c r="F20" s="282">
        <v>46183</v>
      </c>
      <c r="G20" s="282"/>
      <c r="H20" s="281"/>
      <c r="I20" s="282" t="s">
        <v>922</v>
      </c>
    </row>
    <row r="21" spans="1:10" x14ac:dyDescent="0.3">
      <c r="A21" s="346" t="s">
        <v>129</v>
      </c>
      <c r="B21" s="283">
        <v>-409000</v>
      </c>
      <c r="C21" s="283">
        <v>3105000</v>
      </c>
      <c r="D21" s="283">
        <v>8966600</v>
      </c>
      <c r="E21" s="353">
        <v>-6270600</v>
      </c>
      <c r="F21" s="359">
        <v>46329</v>
      </c>
      <c r="G21" s="282"/>
      <c r="H21" s="281"/>
      <c r="I21" s="281"/>
    </row>
    <row r="22" spans="1:10" hidden="1" x14ac:dyDescent="0.3">
      <c r="A22" s="346" t="s">
        <v>976</v>
      </c>
      <c r="B22" s="283">
        <v>0</v>
      </c>
      <c r="C22" s="283">
        <v>952200</v>
      </c>
      <c r="D22" s="283">
        <v>952200</v>
      </c>
      <c r="E22" s="353">
        <v>0</v>
      </c>
      <c r="F22" s="282">
        <v>46208</v>
      </c>
      <c r="G22" s="282">
        <v>46143</v>
      </c>
      <c r="H22" s="281"/>
      <c r="I22" s="281"/>
    </row>
    <row r="23" spans="1:10" x14ac:dyDescent="0.3">
      <c r="A23" s="346" t="s">
        <v>50</v>
      </c>
      <c r="B23" s="283">
        <v>0</v>
      </c>
      <c r="C23" s="283">
        <v>0</v>
      </c>
      <c r="D23" s="283">
        <v>3001200</v>
      </c>
      <c r="E23" s="353">
        <v>-3001200</v>
      </c>
      <c r="F23" s="282">
        <v>46208</v>
      </c>
      <c r="G23" s="282"/>
      <c r="H23" s="281"/>
      <c r="I23" s="281" t="s">
        <v>977</v>
      </c>
    </row>
    <row r="24" spans="1:10" hidden="1" x14ac:dyDescent="0.3">
      <c r="A24" s="346" t="s">
        <v>373</v>
      </c>
      <c r="B24" s="283">
        <v>0</v>
      </c>
      <c r="C24" s="283">
        <v>2028600</v>
      </c>
      <c r="D24" s="283">
        <v>2028600</v>
      </c>
      <c r="E24" s="353">
        <v>0</v>
      </c>
      <c r="F24" s="282">
        <v>46208</v>
      </c>
      <c r="G24" s="282">
        <v>46210</v>
      </c>
      <c r="H24" s="281"/>
      <c r="I24" s="360" t="s">
        <v>909</v>
      </c>
    </row>
    <row r="25" spans="1:10" hidden="1" x14ac:dyDescent="0.3">
      <c r="A25" s="346" t="s">
        <v>221</v>
      </c>
      <c r="B25" s="283">
        <v>-1536000</v>
      </c>
      <c r="C25" s="283">
        <v>1536000</v>
      </c>
      <c r="D25" s="283">
        <v>0</v>
      </c>
      <c r="E25" s="353">
        <v>0</v>
      </c>
      <c r="F25" s="282">
        <v>46174</v>
      </c>
      <c r="G25" s="282">
        <v>46210</v>
      </c>
      <c r="H25" s="281"/>
      <c r="I25" s="281"/>
    </row>
    <row r="26" spans="1:10" s="301" customFormat="1" x14ac:dyDescent="0.3">
      <c r="A26" s="347" t="s">
        <v>112</v>
      </c>
      <c r="B26" s="283">
        <v>-769100</v>
      </c>
      <c r="C26" s="283">
        <v>1100000</v>
      </c>
      <c r="D26" s="283">
        <v>689600</v>
      </c>
      <c r="E26" s="354">
        <v>-358700</v>
      </c>
      <c r="F26" s="309">
        <v>46227</v>
      </c>
      <c r="G26" s="309"/>
      <c r="H26" s="310"/>
      <c r="I26" s="310"/>
    </row>
    <row r="27" spans="1:10" s="302" customFormat="1" x14ac:dyDescent="0.3">
      <c r="A27" s="347" t="s">
        <v>228</v>
      </c>
      <c r="B27" s="283">
        <v>-2191900</v>
      </c>
      <c r="C27" s="283">
        <v>3192000</v>
      </c>
      <c r="D27" s="283">
        <v>3190100</v>
      </c>
      <c r="E27" s="354">
        <v>-2190000</v>
      </c>
      <c r="F27" s="309">
        <v>46187</v>
      </c>
      <c r="G27" s="309">
        <v>46180</v>
      </c>
      <c r="H27" s="310"/>
      <c r="I27" s="309" t="s">
        <v>908</v>
      </c>
      <c r="J27" s="302" t="s">
        <v>718</v>
      </c>
    </row>
    <row r="28" spans="1:10" hidden="1" x14ac:dyDescent="0.3">
      <c r="A28" s="347" t="s">
        <v>738</v>
      </c>
      <c r="B28" s="283">
        <v>-4000000</v>
      </c>
      <c r="C28" s="283">
        <v>6451800</v>
      </c>
      <c r="D28" s="283">
        <v>2451800</v>
      </c>
      <c r="E28" s="354">
        <v>0</v>
      </c>
      <c r="F28" s="309">
        <v>46174</v>
      </c>
      <c r="G28" s="309">
        <v>46210</v>
      </c>
      <c r="H28" s="310"/>
      <c r="I28" s="310"/>
    </row>
    <row r="29" spans="1:10" x14ac:dyDescent="0.3">
      <c r="A29" s="348" t="s">
        <v>429</v>
      </c>
      <c r="B29" s="283">
        <v>0</v>
      </c>
      <c r="C29" s="283">
        <v>0</v>
      </c>
      <c r="D29" s="283">
        <v>1290300</v>
      </c>
      <c r="E29" s="355">
        <v>-1290300</v>
      </c>
      <c r="F29" s="326">
        <v>46187</v>
      </c>
      <c r="G29" s="326">
        <v>46223</v>
      </c>
      <c r="H29" s="327"/>
      <c r="I29" s="326"/>
    </row>
    <row r="30" spans="1:10" x14ac:dyDescent="0.3">
      <c r="A30" s="348" t="s">
        <v>158</v>
      </c>
      <c r="B30" s="283">
        <v>0</v>
      </c>
      <c r="C30" s="283">
        <v>5506000</v>
      </c>
      <c r="D30" s="283">
        <v>9091700</v>
      </c>
      <c r="E30" s="355">
        <v>-3585700</v>
      </c>
      <c r="F30" s="326">
        <v>46205</v>
      </c>
      <c r="G30" s="326">
        <v>46191</v>
      </c>
      <c r="H30" s="327"/>
      <c r="I30" s="326" t="s">
        <v>947</v>
      </c>
    </row>
    <row r="31" spans="1:10" x14ac:dyDescent="0.3">
      <c r="A31" s="346" t="s">
        <v>815</v>
      </c>
      <c r="B31" s="283">
        <v>-2599780</v>
      </c>
      <c r="C31" s="283">
        <v>0</v>
      </c>
      <c r="D31" s="283">
        <v>0</v>
      </c>
      <c r="E31" s="353">
        <v>-2599780</v>
      </c>
      <c r="F31" s="282">
        <v>46222</v>
      </c>
      <c r="G31" s="282"/>
      <c r="H31" s="281"/>
      <c r="I31" s="281" t="s">
        <v>908</v>
      </c>
    </row>
    <row r="32" spans="1:10" hidden="1" x14ac:dyDescent="0.3">
      <c r="A32" s="346" t="s">
        <v>664</v>
      </c>
      <c r="B32" s="283">
        <v>0</v>
      </c>
      <c r="C32" s="283">
        <v>1090200</v>
      </c>
      <c r="D32" s="283">
        <v>1090200</v>
      </c>
      <c r="E32" s="353">
        <v>0</v>
      </c>
      <c r="F32" s="282">
        <v>46213</v>
      </c>
      <c r="G32" s="282">
        <v>46213</v>
      </c>
      <c r="H32" s="281"/>
      <c r="I32" s="282" t="s">
        <v>905</v>
      </c>
    </row>
    <row r="33" spans="1:9" hidden="1" x14ac:dyDescent="0.3">
      <c r="A33" s="349" t="s">
        <v>481</v>
      </c>
      <c r="B33" s="283">
        <v>0</v>
      </c>
      <c r="C33" s="283">
        <v>2692600</v>
      </c>
      <c r="D33" s="283">
        <v>2692600</v>
      </c>
      <c r="E33" s="356">
        <v>0</v>
      </c>
      <c r="F33" s="322">
        <v>46205</v>
      </c>
      <c r="G33" s="322">
        <v>46191</v>
      </c>
      <c r="H33" s="323"/>
      <c r="I33" s="322" t="s">
        <v>978</v>
      </c>
    </row>
    <row r="34" spans="1:9" x14ac:dyDescent="0.3">
      <c r="A34" s="346" t="s">
        <v>557</v>
      </c>
      <c r="B34" s="283">
        <v>-20352750</v>
      </c>
      <c r="C34" s="283">
        <v>14550000</v>
      </c>
      <c r="D34" s="283">
        <v>32454800</v>
      </c>
      <c r="E34" s="353">
        <v>-38257550</v>
      </c>
      <c r="F34" s="282">
        <v>46220</v>
      </c>
      <c r="G34" s="282"/>
      <c r="H34" s="281">
        <v>16.07</v>
      </c>
      <c r="I34" s="281" t="s">
        <v>906</v>
      </c>
    </row>
    <row r="35" spans="1:9" x14ac:dyDescent="0.3">
      <c r="A35" s="346" t="s">
        <v>398</v>
      </c>
      <c r="B35" s="283">
        <v>0</v>
      </c>
      <c r="C35" s="283">
        <v>0</v>
      </c>
      <c r="D35" s="283">
        <v>736500</v>
      </c>
      <c r="E35" s="353">
        <v>-736500</v>
      </c>
      <c r="F35" s="282">
        <v>46184</v>
      </c>
      <c r="G35" s="282">
        <v>46197</v>
      </c>
      <c r="H35" s="281"/>
      <c r="I35" s="282" t="s">
        <v>948</v>
      </c>
    </row>
    <row r="36" spans="1:9" hidden="1" x14ac:dyDescent="0.3">
      <c r="A36" s="346" t="s">
        <v>150</v>
      </c>
      <c r="B36" s="283">
        <v>0</v>
      </c>
      <c r="C36" s="283">
        <v>2205700</v>
      </c>
      <c r="D36" s="283">
        <v>2205700</v>
      </c>
      <c r="E36" s="353">
        <v>0</v>
      </c>
      <c r="F36" s="282">
        <v>46205</v>
      </c>
      <c r="G36" s="282">
        <v>46191</v>
      </c>
      <c r="H36" s="281"/>
      <c r="I36" s="282" t="s">
        <v>957</v>
      </c>
    </row>
    <row r="37" spans="1:9" x14ac:dyDescent="0.3">
      <c r="A37" s="346" t="s">
        <v>127</v>
      </c>
      <c r="B37" s="283">
        <v>-5558900</v>
      </c>
      <c r="C37" s="283">
        <v>2000000</v>
      </c>
      <c r="D37" s="283">
        <v>0</v>
      </c>
      <c r="E37" s="353">
        <v>-3558900</v>
      </c>
      <c r="F37" s="282">
        <v>46220</v>
      </c>
      <c r="G37" s="282">
        <v>46191</v>
      </c>
      <c r="H37" s="281"/>
      <c r="I37" s="281" t="s">
        <v>917</v>
      </c>
    </row>
    <row r="38" spans="1:9" x14ac:dyDescent="0.3">
      <c r="A38" s="346" t="s">
        <v>503</v>
      </c>
      <c r="B38" s="283">
        <v>10157200</v>
      </c>
      <c r="C38" s="283">
        <v>312800</v>
      </c>
      <c r="D38" s="283">
        <v>15075000</v>
      </c>
      <c r="E38" s="353">
        <v>-4605000</v>
      </c>
      <c r="F38" s="282">
        <v>46182</v>
      </c>
      <c r="G38" s="282">
        <v>46182</v>
      </c>
      <c r="H38" s="281"/>
      <c r="I38" s="281"/>
    </row>
    <row r="39" spans="1:9" hidden="1" x14ac:dyDescent="0.3">
      <c r="A39" s="346" t="s">
        <v>507</v>
      </c>
      <c r="B39" s="283">
        <v>-1829800</v>
      </c>
      <c r="C39" s="283">
        <v>2869400</v>
      </c>
      <c r="D39" s="283">
        <v>1039600</v>
      </c>
      <c r="E39" s="353">
        <v>0</v>
      </c>
      <c r="F39" s="282">
        <v>46184</v>
      </c>
      <c r="G39" s="282">
        <v>46197</v>
      </c>
      <c r="H39" s="281"/>
      <c r="I39" s="281"/>
    </row>
    <row r="40" spans="1:9" x14ac:dyDescent="0.3">
      <c r="A40" s="346" t="s">
        <v>918</v>
      </c>
      <c r="B40" s="283">
        <v>0</v>
      </c>
      <c r="C40" s="283">
        <v>1395000</v>
      </c>
      <c r="D40" s="283">
        <v>3395000</v>
      </c>
      <c r="E40" s="353">
        <v>-2000000</v>
      </c>
      <c r="F40" s="282">
        <v>46218</v>
      </c>
      <c r="G40" s="282">
        <v>46207</v>
      </c>
      <c r="H40" s="281"/>
      <c r="I40" s="281"/>
    </row>
    <row r="41" spans="1:9" hidden="1" x14ac:dyDescent="0.3">
      <c r="A41" s="346" t="s">
        <v>916</v>
      </c>
      <c r="B41" s="283">
        <v>0</v>
      </c>
      <c r="C41" s="283">
        <v>6250000</v>
      </c>
      <c r="D41" s="283">
        <v>6250000</v>
      </c>
      <c r="E41" s="353">
        <v>0</v>
      </c>
      <c r="F41" s="282">
        <v>46184</v>
      </c>
      <c r="G41" s="282"/>
      <c r="H41" s="281"/>
      <c r="I41" s="281" t="s">
        <v>930</v>
      </c>
    </row>
    <row r="42" spans="1:9" x14ac:dyDescent="0.3">
      <c r="A42" s="346" t="s">
        <v>497</v>
      </c>
      <c r="B42" s="283">
        <v>0</v>
      </c>
      <c r="C42" s="283">
        <v>5150000</v>
      </c>
      <c r="D42" s="283">
        <v>5366800</v>
      </c>
      <c r="E42" s="353">
        <v>-216800</v>
      </c>
      <c r="F42" s="282">
        <v>46184</v>
      </c>
      <c r="G42" s="282">
        <v>46197</v>
      </c>
      <c r="H42" s="281"/>
      <c r="I42" s="281" t="s">
        <v>909</v>
      </c>
    </row>
    <row r="43" spans="1:9" hidden="1" x14ac:dyDescent="0.3">
      <c r="A43" s="346" t="s">
        <v>218</v>
      </c>
      <c r="B43" s="283">
        <v>0</v>
      </c>
      <c r="C43" s="283">
        <v>5762400</v>
      </c>
      <c r="D43" s="283">
        <v>5762400</v>
      </c>
      <c r="E43" s="353">
        <v>0</v>
      </c>
      <c r="F43" s="282">
        <v>46184</v>
      </c>
      <c r="G43" s="282"/>
      <c r="H43" s="281"/>
      <c r="I43" s="281" t="s">
        <v>909</v>
      </c>
    </row>
    <row r="44" spans="1:9" x14ac:dyDescent="0.3">
      <c r="A44" s="346" t="s">
        <v>992</v>
      </c>
      <c r="B44" s="283">
        <v>-10660000</v>
      </c>
      <c r="C44" s="283">
        <v>10660000</v>
      </c>
      <c r="D44" s="283">
        <v>9496200</v>
      </c>
      <c r="E44" s="353">
        <v>-9496200</v>
      </c>
      <c r="F44" s="282">
        <v>46223</v>
      </c>
      <c r="G44" s="282">
        <v>46223</v>
      </c>
      <c r="H44" s="281"/>
      <c r="I44" s="281" t="s">
        <v>922</v>
      </c>
    </row>
    <row r="45" spans="1:9" hidden="1" x14ac:dyDescent="0.3">
      <c r="A45" s="346" t="s">
        <v>387</v>
      </c>
      <c r="B45" s="283">
        <v>0</v>
      </c>
      <c r="C45" s="283">
        <v>2657400</v>
      </c>
      <c r="D45" s="283">
        <v>2657400</v>
      </c>
      <c r="E45" s="353">
        <v>0</v>
      </c>
      <c r="F45" s="282">
        <v>46184</v>
      </c>
      <c r="G45" s="282">
        <v>46190</v>
      </c>
      <c r="H45" s="281"/>
      <c r="I45" s="281" t="s">
        <v>922</v>
      </c>
    </row>
    <row r="46" spans="1:9" hidden="1" x14ac:dyDescent="0.3">
      <c r="A46" s="346" t="s">
        <v>292</v>
      </c>
      <c r="B46" s="283">
        <v>0</v>
      </c>
      <c r="C46" s="283">
        <v>790400</v>
      </c>
      <c r="D46" s="283">
        <v>790400</v>
      </c>
      <c r="E46" s="353">
        <v>0</v>
      </c>
      <c r="F46" s="282">
        <v>46213</v>
      </c>
      <c r="G46" s="282">
        <v>46210</v>
      </c>
      <c r="H46" s="281"/>
      <c r="I46" s="281"/>
    </row>
    <row r="47" spans="1:9" hidden="1" x14ac:dyDescent="0.3">
      <c r="A47" s="346" t="s">
        <v>583</v>
      </c>
      <c r="B47" s="283">
        <v>-543600</v>
      </c>
      <c r="C47" s="283">
        <v>543600</v>
      </c>
      <c r="D47" s="283">
        <v>0</v>
      </c>
      <c r="E47" s="353">
        <v>0</v>
      </c>
      <c r="F47" s="282">
        <v>46184</v>
      </c>
      <c r="G47" s="282">
        <v>46190</v>
      </c>
      <c r="H47" s="281"/>
      <c r="I47" s="281" t="s">
        <v>910</v>
      </c>
    </row>
    <row r="48" spans="1:9" x14ac:dyDescent="0.3">
      <c r="A48" s="346" t="s">
        <v>644</v>
      </c>
      <c r="B48" s="283">
        <v>0</v>
      </c>
      <c r="C48" s="283">
        <v>0</v>
      </c>
      <c r="D48" s="283">
        <v>1124700</v>
      </c>
      <c r="E48" s="353">
        <v>-1124700</v>
      </c>
      <c r="F48" s="282">
        <v>46208</v>
      </c>
      <c r="G48" s="282"/>
      <c r="H48" s="281"/>
      <c r="I48" s="281"/>
    </row>
    <row r="49" spans="1:9" x14ac:dyDescent="0.3">
      <c r="A49" s="346" t="s">
        <v>520</v>
      </c>
      <c r="B49" s="283">
        <v>0</v>
      </c>
      <c r="C49" s="283">
        <v>1000000</v>
      </c>
      <c r="D49" s="283">
        <v>4223100</v>
      </c>
      <c r="E49" s="353">
        <v>-3223100</v>
      </c>
      <c r="F49" s="282">
        <v>46208</v>
      </c>
      <c r="G49" s="282"/>
      <c r="H49" s="281"/>
      <c r="I49" s="281"/>
    </row>
    <row r="50" spans="1:9" hidden="1" x14ac:dyDescent="0.3">
      <c r="A50" s="346" t="s">
        <v>781</v>
      </c>
      <c r="B50" s="283">
        <v>0</v>
      </c>
      <c r="C50" s="283">
        <v>3301220</v>
      </c>
      <c r="D50" s="283">
        <v>3301220</v>
      </c>
      <c r="E50" s="353">
        <v>0</v>
      </c>
      <c r="F50" s="282">
        <v>46184</v>
      </c>
      <c r="G50" s="282"/>
      <c r="H50" s="281"/>
      <c r="I50" s="360" t="s">
        <v>922</v>
      </c>
    </row>
    <row r="51" spans="1:9" hidden="1" x14ac:dyDescent="0.3">
      <c r="A51" s="346" t="s">
        <v>76</v>
      </c>
      <c r="B51" s="283">
        <v>0</v>
      </c>
      <c r="C51" s="283">
        <v>4545900</v>
      </c>
      <c r="D51" s="283">
        <v>4545900</v>
      </c>
      <c r="E51" s="353">
        <v>0</v>
      </c>
      <c r="F51" s="282">
        <v>46184</v>
      </c>
      <c r="G51" s="282">
        <v>46190</v>
      </c>
      <c r="H51" s="281"/>
      <c r="I51" s="360" t="s">
        <v>922</v>
      </c>
    </row>
    <row r="52" spans="1:9" x14ac:dyDescent="0.3">
      <c r="A52" s="346" t="s">
        <v>935</v>
      </c>
      <c r="B52" s="283">
        <v>0</v>
      </c>
      <c r="C52" s="283">
        <v>0</v>
      </c>
      <c r="D52" s="283">
        <v>4257300</v>
      </c>
      <c r="E52" s="353">
        <v>-4257300</v>
      </c>
      <c r="F52" s="282"/>
      <c r="G52" s="282"/>
      <c r="H52" s="281"/>
      <c r="I52" s="281"/>
    </row>
    <row r="53" spans="1:9" hidden="1" x14ac:dyDescent="0.3">
      <c r="A53" s="346" t="s">
        <v>360</v>
      </c>
      <c r="B53" s="283">
        <v>0</v>
      </c>
      <c r="C53" s="283">
        <v>1039600</v>
      </c>
      <c r="D53" s="283">
        <v>1039600</v>
      </c>
      <c r="E53" s="353">
        <v>0</v>
      </c>
      <c r="F53" s="282">
        <v>46220</v>
      </c>
      <c r="G53" s="282">
        <v>46221</v>
      </c>
      <c r="H53" s="281"/>
      <c r="I53" s="281" t="s">
        <v>922</v>
      </c>
    </row>
    <row r="54" spans="1:9" hidden="1" x14ac:dyDescent="0.3">
      <c r="A54" s="346" t="s">
        <v>448</v>
      </c>
      <c r="B54" s="283">
        <v>0</v>
      </c>
      <c r="C54" s="283">
        <v>2171200</v>
      </c>
      <c r="D54" s="283">
        <v>2171200</v>
      </c>
      <c r="E54" s="353">
        <v>0</v>
      </c>
      <c r="F54" s="282">
        <v>46208</v>
      </c>
      <c r="G54" s="282"/>
      <c r="H54" s="281"/>
      <c r="I54" s="282"/>
    </row>
    <row r="55" spans="1:9" x14ac:dyDescent="0.3">
      <c r="A55" s="346" t="s">
        <v>488</v>
      </c>
      <c r="B55" s="283">
        <v>0</v>
      </c>
      <c r="C55" s="283">
        <v>3425000</v>
      </c>
      <c r="D55" s="283">
        <v>5316300</v>
      </c>
      <c r="E55" s="353">
        <v>-1891300</v>
      </c>
      <c r="F55" s="282">
        <v>46191</v>
      </c>
      <c r="G55" s="282"/>
      <c r="H55" s="281"/>
      <c r="I55" s="281" t="s">
        <v>979</v>
      </c>
    </row>
    <row r="56" spans="1:9" hidden="1" x14ac:dyDescent="0.3">
      <c r="A56" s="346" t="s">
        <v>318</v>
      </c>
      <c r="B56" s="283">
        <v>0</v>
      </c>
      <c r="C56" s="283">
        <v>3847900</v>
      </c>
      <c r="D56" s="283">
        <v>3847900</v>
      </c>
      <c r="E56" s="353">
        <v>0</v>
      </c>
      <c r="F56" s="282">
        <v>46206</v>
      </c>
      <c r="G56" s="282"/>
      <c r="H56" s="281"/>
      <c r="I56" s="281"/>
    </row>
    <row r="57" spans="1:9" x14ac:dyDescent="0.3">
      <c r="A57" s="346" t="s">
        <v>993</v>
      </c>
      <c r="B57" s="283">
        <v>0</v>
      </c>
      <c r="C57" s="283">
        <v>0</v>
      </c>
      <c r="D57" s="283">
        <v>3192500</v>
      </c>
      <c r="E57" s="353">
        <v>-3192500</v>
      </c>
      <c r="F57" s="282">
        <v>46223</v>
      </c>
      <c r="G57" s="359">
        <v>46223</v>
      </c>
      <c r="H57" s="281" t="s">
        <v>908</v>
      </c>
      <c r="I57" s="360" t="s">
        <v>978</v>
      </c>
    </row>
    <row r="58" spans="1:9" hidden="1" x14ac:dyDescent="0.3">
      <c r="A58" s="346" t="s">
        <v>365</v>
      </c>
      <c r="B58" s="283">
        <v>-1050000</v>
      </c>
      <c r="C58" s="283">
        <v>1050000</v>
      </c>
      <c r="D58" s="283">
        <v>0</v>
      </c>
      <c r="E58" s="353">
        <v>0</v>
      </c>
      <c r="F58" s="282">
        <v>46193</v>
      </c>
      <c r="G58" s="282"/>
      <c r="H58" s="281"/>
      <c r="I58" s="281" t="s">
        <v>954</v>
      </c>
    </row>
    <row r="59" spans="1:9" s="301" customFormat="1" x14ac:dyDescent="0.3">
      <c r="A59" s="348" t="s">
        <v>190</v>
      </c>
      <c r="B59" s="283">
        <v>-6441500</v>
      </c>
      <c r="C59" s="283">
        <v>7707000</v>
      </c>
      <c r="D59" s="283">
        <v>12168600</v>
      </c>
      <c r="E59" s="355">
        <v>-10903100</v>
      </c>
      <c r="F59" s="326">
        <v>46191</v>
      </c>
      <c r="G59" s="326"/>
      <c r="H59" s="327"/>
      <c r="I59" s="327"/>
    </row>
    <row r="60" spans="1:9" hidden="1" x14ac:dyDescent="0.3">
      <c r="A60" s="346" t="s">
        <v>798</v>
      </c>
      <c r="B60" s="283">
        <v>0</v>
      </c>
      <c r="C60" s="283">
        <v>2092200</v>
      </c>
      <c r="D60" s="283">
        <v>2092200</v>
      </c>
      <c r="E60" s="353">
        <v>0</v>
      </c>
      <c r="F60" s="282">
        <v>46174</v>
      </c>
      <c r="G60" s="282">
        <v>46206</v>
      </c>
      <c r="H60" s="281"/>
      <c r="I60" s="281" t="s">
        <v>909</v>
      </c>
    </row>
    <row r="61" spans="1:9" x14ac:dyDescent="0.3">
      <c r="A61" s="347" t="s">
        <v>556</v>
      </c>
      <c r="B61" s="351">
        <v>31400</v>
      </c>
      <c r="C61" s="351">
        <v>7822600</v>
      </c>
      <c r="D61" s="351">
        <v>12554800</v>
      </c>
      <c r="E61" s="354">
        <v>-4700800</v>
      </c>
      <c r="F61" s="309">
        <v>46197</v>
      </c>
      <c r="G61" s="309"/>
      <c r="H61" s="310"/>
      <c r="I61" s="310"/>
    </row>
    <row r="62" spans="1:9" x14ac:dyDescent="0.3">
      <c r="A62" s="346" t="s">
        <v>560</v>
      </c>
      <c r="B62" s="283">
        <v>-3118000</v>
      </c>
      <c r="C62" s="283">
        <v>4500000</v>
      </c>
      <c r="D62" s="283">
        <v>2028600</v>
      </c>
      <c r="E62" s="353">
        <v>-646600</v>
      </c>
      <c r="F62" s="282">
        <v>46227</v>
      </c>
      <c r="G62" s="282">
        <v>46221</v>
      </c>
      <c r="H62" s="281"/>
      <c r="I62" s="282"/>
    </row>
    <row r="63" spans="1:9" hidden="1" x14ac:dyDescent="0.3">
      <c r="A63" s="348" t="s">
        <v>211</v>
      </c>
      <c r="B63" s="283">
        <v>-1082500</v>
      </c>
      <c r="C63" s="283">
        <v>3256000</v>
      </c>
      <c r="D63" s="283">
        <v>2173500</v>
      </c>
      <c r="E63" s="355">
        <v>0</v>
      </c>
      <c r="F63" s="326">
        <v>46226</v>
      </c>
      <c r="G63" s="326">
        <v>46195</v>
      </c>
      <c r="H63" s="327"/>
      <c r="I63" s="326"/>
    </row>
    <row r="64" spans="1:9" x14ac:dyDescent="0.3">
      <c r="A64" s="347" t="s">
        <v>827</v>
      </c>
      <c r="B64" s="283">
        <v>-21774800</v>
      </c>
      <c r="C64" s="283">
        <v>41569000</v>
      </c>
      <c r="D64" s="283">
        <v>45005000</v>
      </c>
      <c r="E64" s="354">
        <v>-25210800</v>
      </c>
      <c r="F64" s="309">
        <v>46182</v>
      </c>
      <c r="G64" s="309">
        <v>46224</v>
      </c>
      <c r="H64" s="310"/>
      <c r="I64" s="310" t="s">
        <v>909</v>
      </c>
    </row>
    <row r="65" spans="1:9" x14ac:dyDescent="0.3">
      <c r="A65" s="346" t="s">
        <v>923</v>
      </c>
      <c r="B65" s="283">
        <v>0</v>
      </c>
      <c r="C65" s="283">
        <v>0</v>
      </c>
      <c r="D65" s="283">
        <v>1913600</v>
      </c>
      <c r="E65" s="353">
        <v>-1913600</v>
      </c>
      <c r="F65" s="282">
        <v>46197</v>
      </c>
      <c r="G65" s="282"/>
      <c r="H65" s="281" t="s">
        <v>980</v>
      </c>
      <c r="I65" s="281"/>
    </row>
    <row r="66" spans="1:9" x14ac:dyDescent="0.3">
      <c r="A66" s="348" t="s">
        <v>975</v>
      </c>
      <c r="B66" s="283">
        <v>0</v>
      </c>
      <c r="C66" s="283">
        <v>0</v>
      </c>
      <c r="D66" s="283">
        <v>2171200</v>
      </c>
      <c r="E66" s="355">
        <v>-2171200</v>
      </c>
      <c r="F66" s="326"/>
      <c r="G66" s="326"/>
      <c r="H66" s="327"/>
      <c r="I66" s="326"/>
    </row>
    <row r="67" spans="1:9" x14ac:dyDescent="0.3">
      <c r="A67" s="346" t="s">
        <v>727</v>
      </c>
      <c r="B67" s="283">
        <v>0</v>
      </c>
      <c r="C67" s="283">
        <v>2320000</v>
      </c>
      <c r="D67" s="283">
        <v>2824800</v>
      </c>
      <c r="E67" s="353">
        <v>-504800</v>
      </c>
      <c r="F67" s="282">
        <v>46193</v>
      </c>
      <c r="G67" s="282"/>
      <c r="H67" s="281"/>
      <c r="I67" s="282"/>
    </row>
    <row r="68" spans="1:9" x14ac:dyDescent="0.3">
      <c r="A68" s="346" t="s">
        <v>1001</v>
      </c>
      <c r="B68" s="283">
        <v>0</v>
      </c>
      <c r="C68" s="283">
        <v>0</v>
      </c>
      <c r="D68" s="283">
        <v>2409600</v>
      </c>
      <c r="E68" s="353">
        <v>-2409600</v>
      </c>
      <c r="F68" s="282">
        <v>46220</v>
      </c>
      <c r="G68" s="282"/>
      <c r="H68" s="281"/>
      <c r="I68" s="282" t="s">
        <v>949</v>
      </c>
    </row>
    <row r="69" spans="1:9" x14ac:dyDescent="0.3">
      <c r="A69" s="346" t="s">
        <v>430</v>
      </c>
      <c r="B69" s="283">
        <v>0</v>
      </c>
      <c r="C69" s="283">
        <v>1036000</v>
      </c>
      <c r="D69" s="283">
        <v>2128700</v>
      </c>
      <c r="E69" s="353">
        <v>-1092700</v>
      </c>
      <c r="F69" s="282">
        <v>46193</v>
      </c>
      <c r="G69" s="282">
        <v>46211</v>
      </c>
      <c r="H69" s="281"/>
      <c r="I69" s="281"/>
    </row>
    <row r="70" spans="1:9" hidden="1" x14ac:dyDescent="0.3">
      <c r="A70" s="346" t="s">
        <v>88</v>
      </c>
      <c r="B70" s="283">
        <v>0</v>
      </c>
      <c r="C70" s="283">
        <v>1887600</v>
      </c>
      <c r="D70" s="283">
        <v>1887600</v>
      </c>
      <c r="E70" s="353">
        <v>0</v>
      </c>
      <c r="F70" s="282">
        <v>46197</v>
      </c>
      <c r="G70" s="282"/>
      <c r="H70" s="281"/>
      <c r="I70" s="281"/>
    </row>
    <row r="71" spans="1:9" hidden="1" x14ac:dyDescent="0.3">
      <c r="A71" s="348" t="s">
        <v>352</v>
      </c>
      <c r="B71" s="283">
        <v>-1099700</v>
      </c>
      <c r="C71" s="283">
        <v>1099700</v>
      </c>
      <c r="D71" s="283">
        <v>0</v>
      </c>
      <c r="E71" s="355">
        <v>0</v>
      </c>
      <c r="F71" s="326">
        <v>46224</v>
      </c>
      <c r="G71" s="326">
        <v>46225</v>
      </c>
      <c r="H71" s="327"/>
      <c r="I71" s="327"/>
    </row>
    <row r="72" spans="1:9" s="301" customFormat="1" x14ac:dyDescent="0.3">
      <c r="A72" s="348" t="s">
        <v>57</v>
      </c>
      <c r="B72" s="283">
        <v>-1704100</v>
      </c>
      <c r="C72" s="283">
        <v>1700000</v>
      </c>
      <c r="D72" s="283">
        <v>1684000</v>
      </c>
      <c r="E72" s="355">
        <v>-1688100</v>
      </c>
      <c r="F72" s="326">
        <v>46211</v>
      </c>
      <c r="G72" s="326">
        <v>46212</v>
      </c>
      <c r="H72" s="327"/>
      <c r="I72" s="327"/>
    </row>
    <row r="73" spans="1:9" x14ac:dyDescent="0.3">
      <c r="A73" s="346" t="s">
        <v>861</v>
      </c>
      <c r="B73" s="283">
        <v>0</v>
      </c>
      <c r="C73" s="283">
        <v>2712800</v>
      </c>
      <c r="D73" s="283">
        <v>3440300</v>
      </c>
      <c r="E73" s="353">
        <v>-727500</v>
      </c>
      <c r="F73" s="282">
        <v>46197</v>
      </c>
      <c r="G73" s="282"/>
      <c r="H73" s="281"/>
      <c r="I73" s="281"/>
    </row>
    <row r="74" spans="1:9" x14ac:dyDescent="0.3">
      <c r="A74" s="347" t="s">
        <v>467</v>
      </c>
      <c r="B74" s="352">
        <v>-2913261</v>
      </c>
      <c r="C74" s="283">
        <v>0</v>
      </c>
      <c r="D74" s="283">
        <v>0</v>
      </c>
      <c r="E74" s="354">
        <v>-2913261</v>
      </c>
      <c r="F74" s="309">
        <v>46193</v>
      </c>
      <c r="G74" s="309">
        <v>46211</v>
      </c>
      <c r="H74" s="310"/>
      <c r="I74" s="310" t="s">
        <v>909</v>
      </c>
    </row>
    <row r="75" spans="1:9" hidden="1" x14ac:dyDescent="0.3">
      <c r="A75" s="346" t="s">
        <v>919</v>
      </c>
      <c r="B75" s="283">
        <v>0</v>
      </c>
      <c r="C75" s="283">
        <v>14679000</v>
      </c>
      <c r="D75" s="283">
        <v>14679000</v>
      </c>
      <c r="E75" s="353">
        <v>0</v>
      </c>
      <c r="F75" s="282">
        <v>46221</v>
      </c>
      <c r="G75" s="282">
        <v>46206</v>
      </c>
      <c r="H75" s="281"/>
      <c r="I75" s="281"/>
    </row>
    <row r="76" spans="1:9" hidden="1" x14ac:dyDescent="0.3">
      <c r="A76" s="349" t="s">
        <v>641</v>
      </c>
      <c r="B76" s="351">
        <v>0</v>
      </c>
      <c r="C76" s="283">
        <v>2348900</v>
      </c>
      <c r="D76" s="283">
        <v>2348900</v>
      </c>
      <c r="E76" s="356">
        <v>0</v>
      </c>
      <c r="F76" s="322">
        <v>46214</v>
      </c>
      <c r="G76" s="322"/>
      <c r="H76" s="323"/>
      <c r="I76" s="323" t="s">
        <v>926</v>
      </c>
    </row>
    <row r="77" spans="1:9" x14ac:dyDescent="0.3">
      <c r="A77" s="348" t="s">
        <v>414</v>
      </c>
      <c r="B77" s="283">
        <v>-6336600</v>
      </c>
      <c r="C77" s="283">
        <v>4466000</v>
      </c>
      <c r="D77" s="283">
        <v>3300900</v>
      </c>
      <c r="E77" s="355">
        <v>-5171500</v>
      </c>
      <c r="F77" s="326">
        <v>46211</v>
      </c>
      <c r="G77" s="326">
        <v>46212</v>
      </c>
      <c r="H77" s="327"/>
      <c r="I77" s="327"/>
    </row>
    <row r="78" spans="1:9" hidden="1" x14ac:dyDescent="0.3">
      <c r="A78" s="346" t="s">
        <v>70</v>
      </c>
      <c r="B78" s="283">
        <v>0</v>
      </c>
      <c r="C78" s="283">
        <v>3385600</v>
      </c>
      <c r="D78" s="283">
        <v>3385600</v>
      </c>
      <c r="E78" s="353">
        <v>0</v>
      </c>
      <c r="F78" s="282">
        <v>46178</v>
      </c>
      <c r="G78" s="282">
        <v>46197</v>
      </c>
      <c r="H78" s="281"/>
      <c r="I78" s="281" t="s">
        <v>906</v>
      </c>
    </row>
    <row r="79" spans="1:9" x14ac:dyDescent="0.3">
      <c r="A79" s="346" t="s">
        <v>1007</v>
      </c>
      <c r="B79" s="283">
        <v>0</v>
      </c>
      <c r="C79" s="283">
        <v>0</v>
      </c>
      <c r="D79" s="283">
        <v>3261200</v>
      </c>
      <c r="E79" s="353">
        <v>-3261200</v>
      </c>
      <c r="F79" s="282">
        <v>46198</v>
      </c>
      <c r="G79" s="282"/>
      <c r="H79" s="281"/>
      <c r="I79" s="281"/>
    </row>
    <row r="80" spans="1:9" hidden="1" x14ac:dyDescent="0.3">
      <c r="A80" s="348" t="s">
        <v>808</v>
      </c>
      <c r="B80" s="283">
        <v>0</v>
      </c>
      <c r="C80" s="283">
        <v>1058000</v>
      </c>
      <c r="D80" s="283">
        <v>1058000</v>
      </c>
      <c r="E80" s="355">
        <v>0</v>
      </c>
      <c r="F80" s="326">
        <v>46137</v>
      </c>
      <c r="G80" s="326">
        <v>46191</v>
      </c>
      <c r="H80" s="327"/>
      <c r="I80" s="327"/>
    </row>
    <row r="81" spans="1:9" x14ac:dyDescent="0.3">
      <c r="A81" s="346" t="s">
        <v>697</v>
      </c>
      <c r="B81" s="283">
        <v>-91789050</v>
      </c>
      <c r="C81" s="283">
        <v>175064700</v>
      </c>
      <c r="D81" s="283">
        <v>106989900</v>
      </c>
      <c r="E81" s="353">
        <v>-23714250</v>
      </c>
      <c r="F81" s="282">
        <v>46214</v>
      </c>
      <c r="G81" s="282"/>
      <c r="H81" s="281"/>
      <c r="I81" s="360" t="s">
        <v>909</v>
      </c>
    </row>
    <row r="82" spans="1:9" hidden="1" x14ac:dyDescent="0.3">
      <c r="A82" s="346" t="s">
        <v>204</v>
      </c>
      <c r="B82" s="283">
        <v>0</v>
      </c>
      <c r="C82" s="283">
        <v>1035000</v>
      </c>
      <c r="D82" s="283">
        <v>1035000</v>
      </c>
      <c r="E82" s="353">
        <v>0</v>
      </c>
      <c r="F82" s="282">
        <v>46209</v>
      </c>
      <c r="G82" s="282"/>
      <c r="H82" s="281"/>
      <c r="I82" s="282"/>
    </row>
    <row r="83" spans="1:9" x14ac:dyDescent="0.3">
      <c r="A83" s="346" t="s">
        <v>741</v>
      </c>
      <c r="B83" s="283">
        <v>0</v>
      </c>
      <c r="C83" s="283">
        <v>0</v>
      </c>
      <c r="D83" s="283">
        <v>25184950</v>
      </c>
      <c r="E83" s="353">
        <v>-25184950</v>
      </c>
      <c r="F83" s="282">
        <v>46211</v>
      </c>
      <c r="G83" s="282">
        <v>46212</v>
      </c>
      <c r="H83" s="281"/>
      <c r="I83" s="360" t="s">
        <v>946</v>
      </c>
    </row>
    <row r="84" spans="1:9" x14ac:dyDescent="0.3">
      <c r="A84" s="346" t="s">
        <v>118</v>
      </c>
      <c r="B84" s="283">
        <v>0</v>
      </c>
      <c r="C84" s="283">
        <v>0</v>
      </c>
      <c r="D84" s="283">
        <v>1135200</v>
      </c>
      <c r="E84" s="353">
        <v>-1135200</v>
      </c>
      <c r="F84" s="282">
        <v>46201</v>
      </c>
      <c r="G84" s="282"/>
      <c r="H84" s="281"/>
      <c r="I84" s="282"/>
    </row>
    <row r="85" spans="1:9" hidden="1" x14ac:dyDescent="0.3">
      <c r="A85" s="348" t="s">
        <v>839</v>
      </c>
      <c r="B85" s="283">
        <v>0</v>
      </c>
      <c r="C85" s="283">
        <v>9212500</v>
      </c>
      <c r="D85" s="283">
        <v>9212500</v>
      </c>
      <c r="E85" s="355">
        <v>0</v>
      </c>
      <c r="F85" s="326">
        <v>46224</v>
      </c>
      <c r="G85" s="326"/>
      <c r="H85" s="327"/>
      <c r="I85" s="326"/>
    </row>
    <row r="86" spans="1:9" x14ac:dyDescent="0.3">
      <c r="A86" s="346" t="s">
        <v>542</v>
      </c>
      <c r="B86" s="283">
        <v>-13859150</v>
      </c>
      <c r="C86" s="283">
        <v>10000000</v>
      </c>
      <c r="D86" s="283">
        <v>0</v>
      </c>
      <c r="E86" s="353">
        <v>-3859150</v>
      </c>
      <c r="F86" s="282">
        <v>46225</v>
      </c>
      <c r="G86" s="282"/>
      <c r="H86" s="281"/>
      <c r="I86" s="282"/>
    </row>
    <row r="87" spans="1:9" hidden="1" x14ac:dyDescent="0.3">
      <c r="A87" s="346" t="s">
        <v>526</v>
      </c>
      <c r="B87" s="283">
        <v>-952500</v>
      </c>
      <c r="C87" s="283">
        <v>2683700</v>
      </c>
      <c r="D87" s="283">
        <v>1731200</v>
      </c>
      <c r="E87" s="353">
        <v>0</v>
      </c>
      <c r="F87" s="282">
        <v>46179</v>
      </c>
      <c r="G87" s="282"/>
      <c r="H87" s="281"/>
      <c r="I87" s="281" t="s">
        <v>926</v>
      </c>
    </row>
    <row r="88" spans="1:9" hidden="1" x14ac:dyDescent="0.3">
      <c r="A88" s="346" t="s">
        <v>777</v>
      </c>
      <c r="B88" s="283">
        <v>0</v>
      </c>
      <c r="C88" s="283">
        <v>1084000</v>
      </c>
      <c r="D88" s="283">
        <v>1084000</v>
      </c>
      <c r="E88" s="353">
        <v>0</v>
      </c>
      <c r="F88" s="282">
        <v>46137</v>
      </c>
      <c r="G88" s="282">
        <v>46191</v>
      </c>
      <c r="H88" s="281"/>
      <c r="I88" s="282"/>
    </row>
    <row r="89" spans="1:9" x14ac:dyDescent="0.3">
      <c r="A89" s="346" t="s">
        <v>182</v>
      </c>
      <c r="B89" s="283">
        <v>0</v>
      </c>
      <c r="C89" s="283">
        <v>1300000</v>
      </c>
      <c r="D89" s="283">
        <v>2978000</v>
      </c>
      <c r="E89" s="353">
        <v>-1678000</v>
      </c>
      <c r="F89" s="282">
        <v>46221</v>
      </c>
      <c r="G89" s="282"/>
      <c r="H89" s="281"/>
      <c r="I89" s="281"/>
    </row>
    <row r="90" spans="1:9" hidden="1" x14ac:dyDescent="0.3">
      <c r="A90" s="346" t="s">
        <v>364</v>
      </c>
      <c r="B90" s="283">
        <v>0</v>
      </c>
      <c r="C90" s="283">
        <v>833600</v>
      </c>
      <c r="D90" s="283">
        <v>833600</v>
      </c>
      <c r="E90" s="353">
        <v>0</v>
      </c>
      <c r="F90" s="282">
        <v>46210</v>
      </c>
      <c r="G90" s="282">
        <v>46215</v>
      </c>
      <c r="H90" s="281"/>
      <c r="I90" s="281"/>
    </row>
    <row r="91" spans="1:9" x14ac:dyDescent="0.3">
      <c r="A91" s="346" t="s">
        <v>572</v>
      </c>
      <c r="B91" s="283">
        <v>-1468800</v>
      </c>
      <c r="C91" s="283">
        <v>0</v>
      </c>
      <c r="D91" s="283">
        <v>0</v>
      </c>
      <c r="E91" s="353">
        <v>-1468800</v>
      </c>
      <c r="F91" s="282">
        <v>46178</v>
      </c>
      <c r="G91" s="282">
        <v>46195</v>
      </c>
      <c r="H91" s="281"/>
      <c r="I91" s="281" t="s">
        <v>909</v>
      </c>
    </row>
    <row r="92" spans="1:9" hidden="1" x14ac:dyDescent="0.3">
      <c r="A92" s="346" t="s">
        <v>89</v>
      </c>
      <c r="B92" s="283">
        <v>0</v>
      </c>
      <c r="C92" s="283">
        <v>4734100</v>
      </c>
      <c r="D92" s="283">
        <v>4734100</v>
      </c>
      <c r="E92" s="353">
        <v>0</v>
      </c>
      <c r="F92" s="282">
        <v>46175</v>
      </c>
      <c r="G92" s="282">
        <v>46193</v>
      </c>
      <c r="H92" s="281"/>
      <c r="I92" s="281"/>
    </row>
    <row r="93" spans="1:9" x14ac:dyDescent="0.3">
      <c r="A93" s="349" t="s">
        <v>639</v>
      </c>
      <c r="B93" s="283">
        <v>0</v>
      </c>
      <c r="C93" s="283">
        <v>0</v>
      </c>
      <c r="D93" s="283">
        <v>713000</v>
      </c>
      <c r="E93" s="356">
        <v>-713000</v>
      </c>
      <c r="F93" s="322">
        <v>46217</v>
      </c>
      <c r="G93" s="322"/>
      <c r="H93" s="323"/>
      <c r="I93" s="323" t="s">
        <v>909</v>
      </c>
    </row>
    <row r="94" spans="1:9" x14ac:dyDescent="0.3">
      <c r="A94" s="346" t="s">
        <v>630</v>
      </c>
      <c r="B94" s="283">
        <v>0</v>
      </c>
      <c r="C94" s="283">
        <v>0</v>
      </c>
      <c r="D94" s="283">
        <v>2534700</v>
      </c>
      <c r="E94" s="353">
        <v>-2534700</v>
      </c>
      <c r="F94" s="282">
        <v>46201</v>
      </c>
      <c r="G94" s="282">
        <v>46202</v>
      </c>
      <c r="H94" s="281" t="s">
        <v>981</v>
      </c>
      <c r="I94" s="281" t="s">
        <v>908</v>
      </c>
    </row>
    <row r="95" spans="1:9" x14ac:dyDescent="0.3">
      <c r="A95" s="346" t="s">
        <v>983</v>
      </c>
      <c r="B95" s="283">
        <v>0</v>
      </c>
      <c r="C95" s="283">
        <v>3369000</v>
      </c>
      <c r="D95" s="283">
        <v>5014600</v>
      </c>
      <c r="E95" s="353">
        <v>-1645600</v>
      </c>
      <c r="F95" s="282">
        <v>46179</v>
      </c>
      <c r="G95" s="282"/>
      <c r="H95" s="281"/>
      <c r="I95" s="281"/>
    </row>
    <row r="96" spans="1:9" x14ac:dyDescent="0.3">
      <c r="A96" s="346" t="s">
        <v>206</v>
      </c>
      <c r="B96" s="283">
        <v>0</v>
      </c>
      <c r="C96" s="283">
        <v>3966500</v>
      </c>
      <c r="D96" s="283">
        <v>4709000</v>
      </c>
      <c r="E96" s="353">
        <v>-742500</v>
      </c>
      <c r="F96" s="282">
        <v>46176</v>
      </c>
      <c r="G96" s="282"/>
      <c r="H96" s="281"/>
      <c r="I96" s="281" t="s">
        <v>908</v>
      </c>
    </row>
    <row r="97" spans="1:9" hidden="1" x14ac:dyDescent="0.3">
      <c r="A97" s="346" t="s">
        <v>958</v>
      </c>
      <c r="B97" s="283">
        <v>0</v>
      </c>
      <c r="C97" s="283">
        <v>9420100</v>
      </c>
      <c r="D97" s="283">
        <v>9420100</v>
      </c>
      <c r="E97" s="353">
        <v>0</v>
      </c>
      <c r="F97" s="282">
        <v>46225</v>
      </c>
      <c r="G97" s="282">
        <v>46195</v>
      </c>
      <c r="H97" s="281"/>
      <c r="I97" s="281"/>
    </row>
    <row r="98" spans="1:9" x14ac:dyDescent="0.3">
      <c r="A98" s="346" t="s">
        <v>209</v>
      </c>
      <c r="B98" s="283">
        <v>-16529400</v>
      </c>
      <c r="C98" s="283">
        <v>21685000</v>
      </c>
      <c r="D98" s="283">
        <v>21464100</v>
      </c>
      <c r="E98" s="353">
        <v>-16308500</v>
      </c>
      <c r="F98" s="282">
        <v>46203</v>
      </c>
      <c r="G98" s="282">
        <v>46210</v>
      </c>
      <c r="H98" s="281"/>
      <c r="I98" s="281"/>
    </row>
    <row r="99" spans="1:9" x14ac:dyDescent="0.3">
      <c r="A99" s="346" t="s">
        <v>1002</v>
      </c>
      <c r="B99" s="283">
        <v>-1100000</v>
      </c>
      <c r="C99" s="283">
        <v>805000</v>
      </c>
      <c r="D99" s="283">
        <v>0</v>
      </c>
      <c r="E99" s="353">
        <v>-295000</v>
      </c>
      <c r="F99" s="282">
        <v>46206</v>
      </c>
      <c r="G99" s="282"/>
      <c r="H99" s="281"/>
      <c r="I99" s="281"/>
    </row>
    <row r="100" spans="1:9" hidden="1" x14ac:dyDescent="0.3">
      <c r="A100" s="346" t="s">
        <v>425</v>
      </c>
      <c r="B100" s="283">
        <v>0</v>
      </c>
      <c r="C100" s="283">
        <v>1095000</v>
      </c>
      <c r="D100" s="283">
        <v>1095000</v>
      </c>
      <c r="E100" s="353">
        <v>0</v>
      </c>
      <c r="F100" s="284">
        <v>46226</v>
      </c>
      <c r="G100" s="284">
        <v>46221</v>
      </c>
      <c r="H100" s="283"/>
      <c r="I100" s="281" t="s">
        <v>908</v>
      </c>
    </row>
    <row r="101" spans="1:9" x14ac:dyDescent="0.3">
      <c r="A101" s="346" t="s">
        <v>1003</v>
      </c>
      <c r="B101" s="283">
        <v>-2316100</v>
      </c>
      <c r="C101" s="283">
        <v>0</v>
      </c>
      <c r="D101" s="283">
        <v>24098400</v>
      </c>
      <c r="E101" s="353">
        <v>-26414500</v>
      </c>
      <c r="F101" s="282">
        <v>46175</v>
      </c>
      <c r="G101" s="282">
        <v>46193</v>
      </c>
      <c r="H101" s="281"/>
      <c r="I101" s="281" t="s">
        <v>909</v>
      </c>
    </row>
    <row r="102" spans="1:9" x14ac:dyDescent="0.3">
      <c r="A102" s="346" t="s">
        <v>807</v>
      </c>
      <c r="B102" s="283">
        <v>-11069345</v>
      </c>
      <c r="C102" s="283">
        <v>115480000</v>
      </c>
      <c r="D102" s="283">
        <v>122598000</v>
      </c>
      <c r="E102" s="353">
        <v>-18187345</v>
      </c>
      <c r="F102" s="282">
        <v>46178</v>
      </c>
      <c r="G102" s="282">
        <v>46196</v>
      </c>
      <c r="H102" s="281"/>
      <c r="I102" s="281"/>
    </row>
    <row r="103" spans="1:9" hidden="1" x14ac:dyDescent="0.3">
      <c r="A103" s="346" t="s">
        <v>921</v>
      </c>
      <c r="B103" s="283">
        <v>0</v>
      </c>
      <c r="C103" s="283">
        <v>2848200</v>
      </c>
      <c r="D103" s="283">
        <v>2848200</v>
      </c>
      <c r="E103" s="353">
        <v>0</v>
      </c>
      <c r="F103" s="282">
        <v>46206</v>
      </c>
      <c r="G103" s="282"/>
      <c r="H103" s="281"/>
      <c r="I103" s="282"/>
    </row>
    <row r="104" spans="1:9" x14ac:dyDescent="0.3">
      <c r="A104" s="346" t="s">
        <v>97</v>
      </c>
      <c r="B104" s="283">
        <v>-1831300</v>
      </c>
      <c r="C104" s="283">
        <v>1831000</v>
      </c>
      <c r="D104" s="283">
        <v>5284800</v>
      </c>
      <c r="E104" s="353">
        <v>-5285100</v>
      </c>
      <c r="F104" s="282">
        <v>46223</v>
      </c>
      <c r="G104" s="282">
        <v>46225</v>
      </c>
      <c r="H104" s="281"/>
      <c r="I104" s="281" t="s">
        <v>905</v>
      </c>
    </row>
    <row r="105" spans="1:9" hidden="1" x14ac:dyDescent="0.3">
      <c r="A105" s="346" t="s">
        <v>683</v>
      </c>
      <c r="B105" s="283">
        <v>0</v>
      </c>
      <c r="C105" s="283">
        <v>976800</v>
      </c>
      <c r="D105" s="283">
        <v>976800</v>
      </c>
      <c r="E105" s="353">
        <v>0</v>
      </c>
      <c r="F105" s="282">
        <v>46185</v>
      </c>
      <c r="G105" s="282">
        <v>46185</v>
      </c>
      <c r="H105" s="281"/>
      <c r="I105" s="281" t="s">
        <v>909</v>
      </c>
    </row>
    <row r="106" spans="1:9" hidden="1" x14ac:dyDescent="0.3">
      <c r="A106" s="346" t="s">
        <v>304</v>
      </c>
      <c r="B106" s="283">
        <v>0</v>
      </c>
      <c r="C106" s="283">
        <v>1824100</v>
      </c>
      <c r="D106" s="283">
        <v>1824100</v>
      </c>
      <c r="E106" s="353">
        <v>0</v>
      </c>
      <c r="F106" s="284">
        <v>46210</v>
      </c>
      <c r="G106" s="284">
        <v>46210</v>
      </c>
      <c r="H106" s="283"/>
      <c r="I106" s="282" t="s">
        <v>908</v>
      </c>
    </row>
    <row r="107" spans="1:9" hidden="1" x14ac:dyDescent="0.3">
      <c r="A107" s="346" t="s">
        <v>486</v>
      </c>
      <c r="B107" s="283">
        <v>0</v>
      </c>
      <c r="C107" s="283">
        <v>1124200</v>
      </c>
      <c r="D107" s="283">
        <v>1124200</v>
      </c>
      <c r="E107" s="353">
        <v>0</v>
      </c>
      <c r="F107" s="282">
        <v>46203</v>
      </c>
      <c r="G107" s="282">
        <v>46210</v>
      </c>
      <c r="H107" s="281"/>
      <c r="I107" s="281" t="s">
        <v>909</v>
      </c>
    </row>
    <row r="108" spans="1:9" hidden="1" x14ac:dyDescent="0.3">
      <c r="A108" s="346" t="s">
        <v>676</v>
      </c>
      <c r="B108" s="283">
        <v>0</v>
      </c>
      <c r="C108" s="283">
        <v>3501000</v>
      </c>
      <c r="D108" s="283">
        <v>3501000</v>
      </c>
      <c r="E108" s="353">
        <v>0</v>
      </c>
      <c r="F108" s="282">
        <v>46176</v>
      </c>
      <c r="G108" s="282"/>
      <c r="H108" s="281"/>
      <c r="I108" s="282" t="s">
        <v>909</v>
      </c>
    </row>
    <row r="109" spans="1:9" x14ac:dyDescent="0.3">
      <c r="A109" s="346" t="s">
        <v>764</v>
      </c>
      <c r="B109" s="283">
        <v>0</v>
      </c>
      <c r="C109" s="283">
        <v>1900000</v>
      </c>
      <c r="D109" s="283">
        <v>4798700</v>
      </c>
      <c r="E109" s="353">
        <v>-2898700</v>
      </c>
      <c r="F109" s="284">
        <v>46178</v>
      </c>
      <c r="G109" s="284"/>
      <c r="H109" s="283"/>
      <c r="I109" s="281" t="s">
        <v>908</v>
      </c>
    </row>
    <row r="110" spans="1:9" hidden="1" x14ac:dyDescent="0.3">
      <c r="A110" s="346" t="s">
        <v>915</v>
      </c>
      <c r="B110" s="283">
        <v>0</v>
      </c>
      <c r="C110" s="283">
        <v>10232500</v>
      </c>
      <c r="D110" s="283">
        <v>10232500</v>
      </c>
      <c r="E110" s="353">
        <v>0</v>
      </c>
      <c r="F110" s="282">
        <v>46220</v>
      </c>
      <c r="G110" s="282"/>
      <c r="H110" s="281"/>
      <c r="I110" s="281" t="s">
        <v>909</v>
      </c>
    </row>
    <row r="111" spans="1:9" hidden="1" x14ac:dyDescent="0.3">
      <c r="A111" s="346" t="s">
        <v>163</v>
      </c>
      <c r="B111" s="283">
        <v>-152200</v>
      </c>
      <c r="C111" s="283">
        <v>152200</v>
      </c>
      <c r="D111" s="283">
        <v>0</v>
      </c>
      <c r="E111" s="353">
        <v>0</v>
      </c>
      <c r="F111" s="284">
        <v>46178</v>
      </c>
      <c r="G111" s="284">
        <v>46196</v>
      </c>
      <c r="H111" s="283"/>
      <c r="I111" s="281"/>
    </row>
    <row r="112" spans="1:9" hidden="1" x14ac:dyDescent="0.3">
      <c r="A112" s="346" t="s">
        <v>924</v>
      </c>
      <c r="B112" s="283">
        <v>0</v>
      </c>
      <c r="C112" s="283">
        <v>432000</v>
      </c>
      <c r="D112" s="283">
        <v>432000</v>
      </c>
      <c r="E112" s="353">
        <v>0</v>
      </c>
      <c r="F112" s="284">
        <v>46210</v>
      </c>
      <c r="G112" s="284"/>
      <c r="H112" s="283"/>
      <c r="I112" s="281"/>
    </row>
    <row r="113" spans="1:9" hidden="1" x14ac:dyDescent="0.3">
      <c r="A113" s="346" t="s">
        <v>877</v>
      </c>
      <c r="B113" s="283">
        <v>0</v>
      </c>
      <c r="C113" s="283">
        <v>2265500</v>
      </c>
      <c r="D113" s="283">
        <v>2265500</v>
      </c>
      <c r="E113" s="353">
        <v>0</v>
      </c>
      <c r="F113" s="284">
        <v>46177</v>
      </c>
      <c r="G113" s="284">
        <v>46210</v>
      </c>
      <c r="H113" s="283"/>
      <c r="I113" s="281" t="s">
        <v>909</v>
      </c>
    </row>
    <row r="114" spans="1:9" x14ac:dyDescent="0.3">
      <c r="A114" s="346" t="s">
        <v>782</v>
      </c>
      <c r="B114" s="283">
        <v>-39506400</v>
      </c>
      <c r="C114" s="283">
        <v>75000000</v>
      </c>
      <c r="D114" s="283">
        <v>64746300</v>
      </c>
      <c r="E114" s="353">
        <v>-29252700</v>
      </c>
      <c r="F114" s="284">
        <v>46191</v>
      </c>
      <c r="G114" s="284"/>
      <c r="H114" s="283"/>
      <c r="I114" s="281"/>
    </row>
    <row r="115" spans="1:9" x14ac:dyDescent="0.3">
      <c r="A115" s="346" t="s">
        <v>91</v>
      </c>
      <c r="B115" s="283">
        <v>0</v>
      </c>
      <c r="C115" s="283">
        <v>0</v>
      </c>
      <c r="D115" s="283">
        <v>1914700</v>
      </c>
      <c r="E115" s="353">
        <v>-1914700</v>
      </c>
      <c r="F115" s="284">
        <v>46185</v>
      </c>
      <c r="G115" s="284">
        <v>46185</v>
      </c>
      <c r="H115" s="283"/>
      <c r="I115" s="281" t="s">
        <v>977</v>
      </c>
    </row>
    <row r="116" spans="1:9" x14ac:dyDescent="0.3">
      <c r="A116" s="346" t="s">
        <v>592</v>
      </c>
      <c r="B116" s="283">
        <v>-110460000</v>
      </c>
      <c r="C116" s="283">
        <v>0</v>
      </c>
      <c r="D116" s="283">
        <v>13579900</v>
      </c>
      <c r="E116" s="353">
        <v>-124039900</v>
      </c>
      <c r="F116" s="361">
        <v>46223</v>
      </c>
      <c r="G116" s="284">
        <v>46218</v>
      </c>
      <c r="H116" s="283"/>
      <c r="I116" s="281"/>
    </row>
    <row r="117" spans="1:9" hidden="1" x14ac:dyDescent="0.3">
      <c r="A117" s="346" t="s">
        <v>893</v>
      </c>
      <c r="B117" s="283">
        <v>0</v>
      </c>
      <c r="C117" s="283">
        <v>1907600</v>
      </c>
      <c r="D117" s="283">
        <v>1907600</v>
      </c>
      <c r="E117" s="353">
        <v>0</v>
      </c>
      <c r="F117" s="282">
        <v>46206</v>
      </c>
      <c r="G117" s="282"/>
      <c r="H117" s="281"/>
      <c r="I117" s="282"/>
    </row>
    <row r="118" spans="1:9" hidden="1" x14ac:dyDescent="0.3">
      <c r="A118" s="346" t="s">
        <v>886</v>
      </c>
      <c r="B118" s="283">
        <v>0</v>
      </c>
      <c r="C118" s="283">
        <v>14557548</v>
      </c>
      <c r="D118" s="283">
        <v>14557548</v>
      </c>
      <c r="E118" s="353">
        <v>0</v>
      </c>
      <c r="F118" s="282">
        <v>46208</v>
      </c>
      <c r="G118" s="282"/>
      <c r="H118" s="281"/>
      <c r="I118" s="281" t="s">
        <v>937</v>
      </c>
    </row>
    <row r="119" spans="1:9" hidden="1" x14ac:dyDescent="0.3">
      <c r="A119" s="346" t="s">
        <v>828</v>
      </c>
      <c r="B119" s="283">
        <v>-3099500</v>
      </c>
      <c r="C119" s="283">
        <v>3099500</v>
      </c>
      <c r="D119" s="283">
        <v>0</v>
      </c>
      <c r="E119" s="353">
        <v>0</v>
      </c>
      <c r="F119" s="282">
        <v>46218</v>
      </c>
      <c r="G119" s="282"/>
      <c r="H119" s="281"/>
      <c r="I119" s="281" t="s">
        <v>909</v>
      </c>
    </row>
    <row r="120" spans="1:9" x14ac:dyDescent="0.3">
      <c r="A120" s="346" t="s">
        <v>829</v>
      </c>
      <c r="B120" s="283">
        <v>-1387000</v>
      </c>
      <c r="C120" s="283">
        <v>2389000</v>
      </c>
      <c r="D120" s="283">
        <v>1778800</v>
      </c>
      <c r="E120" s="353">
        <v>-776800</v>
      </c>
      <c r="F120" s="282">
        <v>46136</v>
      </c>
      <c r="G120" s="282">
        <v>46214</v>
      </c>
      <c r="H120" s="281"/>
      <c r="I120" s="282" t="s">
        <v>909</v>
      </c>
    </row>
    <row r="121" spans="1:9" x14ac:dyDescent="0.3">
      <c r="A121" s="346" t="s">
        <v>892</v>
      </c>
      <c r="B121" s="283">
        <v>0</v>
      </c>
      <c r="C121" s="283">
        <v>0</v>
      </c>
      <c r="D121" s="283">
        <v>9606950</v>
      </c>
      <c r="E121" s="353">
        <v>-9606950</v>
      </c>
      <c r="F121" s="282">
        <v>46213</v>
      </c>
      <c r="G121" s="282"/>
      <c r="H121" s="281"/>
      <c r="I121" s="282"/>
    </row>
    <row r="122" spans="1:9" x14ac:dyDescent="0.3">
      <c r="A122" s="346" t="s">
        <v>336</v>
      </c>
      <c r="B122" s="283">
        <v>-2320300</v>
      </c>
      <c r="C122" s="283">
        <v>2320000</v>
      </c>
      <c r="D122" s="283">
        <v>1918400</v>
      </c>
      <c r="E122" s="353">
        <v>-1918700</v>
      </c>
      <c r="F122" s="282">
        <v>46225</v>
      </c>
      <c r="G122" s="282">
        <v>46224</v>
      </c>
      <c r="H122" s="281"/>
      <c r="I122" s="281"/>
    </row>
    <row r="123" spans="1:9" hidden="1" x14ac:dyDescent="0.3">
      <c r="A123" s="346" t="s">
        <v>464</v>
      </c>
      <c r="B123" s="283">
        <v>0</v>
      </c>
      <c r="C123" s="283">
        <v>9052200</v>
      </c>
      <c r="D123" s="283">
        <v>9052200</v>
      </c>
      <c r="E123" s="353">
        <v>0</v>
      </c>
      <c r="F123" s="282"/>
      <c r="G123" s="282"/>
      <c r="H123" s="283"/>
      <c r="I123" s="281"/>
    </row>
    <row r="124" spans="1:9" hidden="1" x14ac:dyDescent="0.3">
      <c r="A124" s="346" t="s">
        <v>254</v>
      </c>
      <c r="B124" s="283">
        <v>0</v>
      </c>
      <c r="C124" s="283">
        <v>2018500</v>
      </c>
      <c r="D124" s="283">
        <v>2018500</v>
      </c>
      <c r="E124" s="353">
        <v>0</v>
      </c>
      <c r="F124" s="282">
        <v>46185</v>
      </c>
      <c r="G124" s="282">
        <v>46185</v>
      </c>
      <c r="H124" s="281"/>
      <c r="I124" s="360" t="s">
        <v>909</v>
      </c>
    </row>
    <row r="125" spans="1:9" x14ac:dyDescent="0.3">
      <c r="A125" s="346" t="s">
        <v>939</v>
      </c>
      <c r="B125" s="283">
        <v>0</v>
      </c>
      <c r="C125" s="283">
        <v>0</v>
      </c>
      <c r="D125" s="283">
        <v>2861000</v>
      </c>
      <c r="E125" s="353">
        <v>-2861000</v>
      </c>
      <c r="F125" s="282">
        <v>46216</v>
      </c>
      <c r="G125" s="282">
        <v>46232</v>
      </c>
      <c r="H125" s="281"/>
      <c r="I125" s="281"/>
    </row>
    <row r="126" spans="1:9" x14ac:dyDescent="0.3">
      <c r="A126" s="346" t="s">
        <v>269</v>
      </c>
      <c r="B126" s="283">
        <v>-698500</v>
      </c>
      <c r="C126" s="283">
        <v>0</v>
      </c>
      <c r="D126" s="283">
        <v>0</v>
      </c>
      <c r="E126" s="353">
        <v>-698500</v>
      </c>
      <c r="F126" s="282">
        <v>46208</v>
      </c>
      <c r="G126" s="282"/>
      <c r="H126" s="281"/>
      <c r="I126" s="281" t="s">
        <v>982</v>
      </c>
    </row>
    <row r="127" spans="1:9" x14ac:dyDescent="0.3">
      <c r="A127" s="346" t="s">
        <v>776</v>
      </c>
      <c r="B127" s="283">
        <v>-4850000</v>
      </c>
      <c r="C127" s="283">
        <v>4850000</v>
      </c>
      <c r="D127" s="283">
        <v>4469800</v>
      </c>
      <c r="E127" s="353">
        <v>-4469800</v>
      </c>
      <c r="F127" s="282">
        <v>46210</v>
      </c>
      <c r="G127" s="282"/>
      <c r="H127" s="281"/>
      <c r="I127" s="360" t="s">
        <v>994</v>
      </c>
    </row>
    <row r="128" spans="1:9" hidden="1" x14ac:dyDescent="0.3">
      <c r="A128" s="348" t="s">
        <v>320</v>
      </c>
      <c r="B128" s="283">
        <v>0</v>
      </c>
      <c r="C128" s="283">
        <v>5091300</v>
      </c>
      <c r="D128" s="283">
        <v>5091300</v>
      </c>
      <c r="E128" s="355">
        <v>0</v>
      </c>
      <c r="F128" s="326">
        <v>46163</v>
      </c>
      <c r="G128" s="326">
        <v>46140</v>
      </c>
      <c r="H128" s="327"/>
      <c r="I128" s="362" t="s">
        <v>909</v>
      </c>
    </row>
    <row r="129" spans="1:9" hidden="1" x14ac:dyDescent="0.3">
      <c r="A129" s="348" t="s">
        <v>974</v>
      </c>
      <c r="B129" s="283">
        <v>0</v>
      </c>
      <c r="C129" s="283">
        <v>700500</v>
      </c>
      <c r="D129" s="283">
        <v>700500</v>
      </c>
      <c r="E129" s="355">
        <v>0</v>
      </c>
      <c r="F129" s="326">
        <v>46224</v>
      </c>
      <c r="G129" s="326">
        <v>46224</v>
      </c>
      <c r="H129" s="327"/>
      <c r="I129" s="327"/>
    </row>
    <row r="130" spans="1:9" hidden="1" x14ac:dyDescent="0.3">
      <c r="A130" s="346" t="s">
        <v>220</v>
      </c>
      <c r="B130" s="283">
        <v>-39500</v>
      </c>
      <c r="C130" s="283">
        <v>2023700</v>
      </c>
      <c r="D130" s="283">
        <v>1984200</v>
      </c>
      <c r="E130" s="353">
        <v>0</v>
      </c>
      <c r="F130" s="282">
        <v>46205</v>
      </c>
      <c r="G130" s="282">
        <v>46212</v>
      </c>
      <c r="H130" s="281"/>
      <c r="I130" s="281" t="s">
        <v>908</v>
      </c>
    </row>
    <row r="131" spans="1:9" x14ac:dyDescent="0.3">
      <c r="A131" s="346" t="s">
        <v>672</v>
      </c>
      <c r="B131" s="283">
        <v>-1601000</v>
      </c>
      <c r="C131" s="283">
        <v>3490000</v>
      </c>
      <c r="D131" s="283">
        <v>2888200</v>
      </c>
      <c r="E131" s="353">
        <v>-999200</v>
      </c>
      <c r="F131" s="282">
        <v>46227</v>
      </c>
      <c r="G131" s="282"/>
      <c r="H131" s="281"/>
      <c r="I131" s="281"/>
    </row>
    <row r="132" spans="1:9" x14ac:dyDescent="0.3">
      <c r="A132" s="348" t="s">
        <v>319</v>
      </c>
      <c r="B132" s="283">
        <v>-30846534</v>
      </c>
      <c r="C132" s="283">
        <v>30849513</v>
      </c>
      <c r="D132" s="283">
        <v>17962600</v>
      </c>
      <c r="E132" s="355">
        <v>-17959621</v>
      </c>
      <c r="F132" s="326">
        <v>46215</v>
      </c>
      <c r="G132" s="326"/>
      <c r="H132" s="327"/>
      <c r="I132" s="327"/>
    </row>
    <row r="133" spans="1:9" x14ac:dyDescent="0.3">
      <c r="A133" s="347" t="s">
        <v>394</v>
      </c>
      <c r="B133" s="283">
        <v>-1222500</v>
      </c>
      <c r="C133" s="283">
        <v>1222500</v>
      </c>
      <c r="D133" s="283">
        <v>1127000</v>
      </c>
      <c r="E133" s="354">
        <v>-1127000</v>
      </c>
      <c r="F133" s="309">
        <v>46224</v>
      </c>
      <c r="G133" s="309"/>
      <c r="H133" s="310"/>
      <c r="I133" s="310"/>
    </row>
    <row r="134" spans="1:9" hidden="1" x14ac:dyDescent="0.3">
      <c r="A134" s="346" t="s">
        <v>879</v>
      </c>
      <c r="B134" s="283">
        <v>0</v>
      </c>
      <c r="C134" s="283">
        <v>1014300</v>
      </c>
      <c r="D134" s="283">
        <v>1014300</v>
      </c>
      <c r="E134" s="353">
        <v>0</v>
      </c>
      <c r="F134" s="282">
        <v>46216</v>
      </c>
      <c r="G134" s="282">
        <v>46202</v>
      </c>
      <c r="H134" s="281"/>
      <c r="I134" s="281"/>
    </row>
    <row r="135" spans="1:9" x14ac:dyDescent="0.3">
      <c r="A135" s="346" t="s">
        <v>290</v>
      </c>
      <c r="B135" s="283">
        <v>0</v>
      </c>
      <c r="C135" s="283">
        <v>0</v>
      </c>
      <c r="D135" s="283">
        <v>3792750</v>
      </c>
      <c r="E135" s="353">
        <v>-3792750</v>
      </c>
      <c r="F135" s="282">
        <v>46208</v>
      </c>
      <c r="G135" s="282">
        <v>46218</v>
      </c>
      <c r="H135" s="281"/>
      <c r="I135" s="360" t="s">
        <v>995</v>
      </c>
    </row>
    <row r="136" spans="1:9" x14ac:dyDescent="0.3">
      <c r="A136" s="346" t="s">
        <v>552</v>
      </c>
      <c r="B136" s="283">
        <v>252545200</v>
      </c>
      <c r="C136" s="283">
        <v>794220000</v>
      </c>
      <c r="D136" s="283">
        <v>828936000</v>
      </c>
      <c r="E136" s="353">
        <v>217829200</v>
      </c>
      <c r="F136" s="282">
        <v>46202</v>
      </c>
      <c r="G136" s="282">
        <v>46219</v>
      </c>
      <c r="H136" s="281"/>
      <c r="I136" s="281" t="s">
        <v>908</v>
      </c>
    </row>
    <row r="137" spans="1:9" x14ac:dyDescent="0.3">
      <c r="A137" s="347" t="s">
        <v>347</v>
      </c>
      <c r="B137" s="283">
        <v>146100</v>
      </c>
      <c r="C137" s="283">
        <v>0</v>
      </c>
      <c r="D137" s="283">
        <v>0</v>
      </c>
      <c r="E137" s="354">
        <v>146100</v>
      </c>
      <c r="F137" s="309">
        <v>46226</v>
      </c>
      <c r="G137" s="309"/>
      <c r="H137" s="310"/>
      <c r="I137" s="310"/>
    </row>
    <row r="138" spans="1:9" x14ac:dyDescent="0.3">
      <c r="A138" s="347" t="s">
        <v>558</v>
      </c>
      <c r="B138" s="283">
        <v>-17331600</v>
      </c>
      <c r="C138" s="283">
        <v>27320000</v>
      </c>
      <c r="D138" s="283">
        <v>37736900</v>
      </c>
      <c r="E138" s="354">
        <v>-27748500</v>
      </c>
      <c r="F138" s="309">
        <v>46212</v>
      </c>
      <c r="G138" s="309"/>
      <c r="H138" s="310"/>
      <c r="I138" s="363" t="s">
        <v>910</v>
      </c>
    </row>
    <row r="139" spans="1:9" hidden="1" x14ac:dyDescent="0.3">
      <c r="A139" s="346" t="s">
        <v>712</v>
      </c>
      <c r="B139" s="283">
        <v>0</v>
      </c>
      <c r="C139" s="283">
        <v>1163800</v>
      </c>
      <c r="D139" s="283">
        <v>1163800</v>
      </c>
      <c r="E139" s="353">
        <v>0</v>
      </c>
      <c r="F139" s="282"/>
      <c r="G139" s="282"/>
      <c r="H139" s="281"/>
      <c r="I139" s="281"/>
    </row>
    <row r="140" spans="1:9" x14ac:dyDescent="0.3">
      <c r="A140" s="346" t="s">
        <v>349</v>
      </c>
      <c r="B140" s="283">
        <v>0</v>
      </c>
      <c r="C140" s="283">
        <v>1138000</v>
      </c>
      <c r="D140" s="283">
        <v>3239700</v>
      </c>
      <c r="E140" s="353">
        <v>-2101700</v>
      </c>
      <c r="F140" s="282"/>
      <c r="G140" s="282"/>
      <c r="H140" s="281"/>
      <c r="I140" s="281"/>
    </row>
    <row r="141" spans="1:9" x14ac:dyDescent="0.3">
      <c r="A141" s="346" t="s">
        <v>244</v>
      </c>
      <c r="B141" s="283">
        <v>-171500</v>
      </c>
      <c r="C141" s="283">
        <v>0</v>
      </c>
      <c r="D141" s="283">
        <v>0</v>
      </c>
      <c r="E141" s="353">
        <v>-171500</v>
      </c>
      <c r="F141" s="282">
        <v>46220</v>
      </c>
      <c r="G141" s="282">
        <v>46212</v>
      </c>
      <c r="H141" s="281"/>
      <c r="I141" s="281"/>
    </row>
    <row r="142" spans="1:9" x14ac:dyDescent="0.3">
      <c r="A142" s="346" t="s">
        <v>646</v>
      </c>
      <c r="B142" s="283">
        <v>-2623100</v>
      </c>
      <c r="C142" s="283">
        <v>0</v>
      </c>
      <c r="D142" s="283">
        <v>0</v>
      </c>
      <c r="E142" s="353">
        <v>-2623100</v>
      </c>
      <c r="F142" s="282">
        <v>46210</v>
      </c>
      <c r="G142" s="281"/>
      <c r="H142" s="281"/>
      <c r="I142" s="281"/>
    </row>
    <row r="143" spans="1:9" x14ac:dyDescent="0.3">
      <c r="A143" s="346" t="s">
        <v>793</v>
      </c>
      <c r="B143" s="283">
        <v>-189924600</v>
      </c>
      <c r="C143" s="283">
        <v>66315000</v>
      </c>
      <c r="D143" s="283">
        <v>115275100</v>
      </c>
      <c r="E143" s="353">
        <v>-238884700</v>
      </c>
      <c r="F143" s="282">
        <v>46224</v>
      </c>
      <c r="G143" s="282"/>
      <c r="H143" s="281"/>
      <c r="I143" s="281"/>
    </row>
    <row r="144" spans="1:9" hidden="1" x14ac:dyDescent="0.3">
      <c r="A144" s="347" t="s">
        <v>315</v>
      </c>
      <c r="B144" s="283">
        <v>0</v>
      </c>
      <c r="C144" s="283">
        <v>959200</v>
      </c>
      <c r="D144" s="283">
        <v>959200</v>
      </c>
      <c r="E144" s="354">
        <v>0</v>
      </c>
      <c r="F144" s="309"/>
      <c r="G144" s="309"/>
      <c r="H144" s="310"/>
      <c r="I144" s="310"/>
    </row>
    <row r="145" spans="1:9" x14ac:dyDescent="0.3">
      <c r="A145" s="347" t="s">
        <v>83</v>
      </c>
      <c r="B145" s="283">
        <v>-49879750</v>
      </c>
      <c r="C145" s="283">
        <v>62400000</v>
      </c>
      <c r="D145" s="283">
        <v>22673050</v>
      </c>
      <c r="E145" s="354">
        <v>-10152800</v>
      </c>
      <c r="F145" s="309">
        <v>46305</v>
      </c>
      <c r="G145" s="309">
        <v>46156</v>
      </c>
      <c r="H145" s="310"/>
      <c r="I145" s="364" t="s">
        <v>996</v>
      </c>
    </row>
    <row r="146" spans="1:9" hidden="1" x14ac:dyDescent="0.3">
      <c r="A146" s="346" t="s">
        <v>491</v>
      </c>
      <c r="B146" s="283">
        <v>-200000</v>
      </c>
      <c r="C146" s="283">
        <v>4278400</v>
      </c>
      <c r="D146" s="283">
        <v>4078400</v>
      </c>
      <c r="E146" s="353">
        <v>0</v>
      </c>
      <c r="F146" s="282">
        <v>46225</v>
      </c>
      <c r="G146" s="282">
        <v>46219</v>
      </c>
      <c r="H146" s="281"/>
      <c r="I146" s="281"/>
    </row>
    <row r="147" spans="1:9" hidden="1" x14ac:dyDescent="0.3">
      <c r="A147" s="346" t="s">
        <v>956</v>
      </c>
      <c r="B147" s="283">
        <v>0</v>
      </c>
      <c r="C147" s="283">
        <v>3602300</v>
      </c>
      <c r="D147" s="283">
        <v>3602300</v>
      </c>
      <c r="E147" s="353">
        <v>0</v>
      </c>
      <c r="F147" s="282">
        <v>46226</v>
      </c>
      <c r="G147" s="282"/>
      <c r="H147" s="281"/>
      <c r="I147" s="281"/>
    </row>
    <row r="148" spans="1:9" hidden="1" x14ac:dyDescent="0.3">
      <c r="A148" s="346" t="s">
        <v>450</v>
      </c>
      <c r="B148" s="283">
        <v>0</v>
      </c>
      <c r="C148" s="283">
        <v>5982250</v>
      </c>
      <c r="D148" s="283">
        <v>5982250</v>
      </c>
      <c r="E148" s="353">
        <v>0</v>
      </c>
      <c r="F148" s="282">
        <v>46226</v>
      </c>
      <c r="G148" s="282">
        <v>46223</v>
      </c>
      <c r="H148" s="281"/>
      <c r="I148" s="281"/>
    </row>
    <row r="149" spans="1:9" hidden="1" x14ac:dyDescent="0.3">
      <c r="A149" s="346" t="s">
        <v>451</v>
      </c>
      <c r="B149" s="283">
        <v>0</v>
      </c>
      <c r="C149" s="283">
        <v>2518200</v>
      </c>
      <c r="D149" s="283">
        <v>2518200</v>
      </c>
      <c r="E149" s="353">
        <v>0</v>
      </c>
      <c r="F149" s="282">
        <v>46222</v>
      </c>
      <c r="G149" s="282">
        <v>46187</v>
      </c>
      <c r="H149" s="281"/>
      <c r="I149" s="281"/>
    </row>
    <row r="150" spans="1:9" x14ac:dyDescent="0.3">
      <c r="A150" s="348" t="s">
        <v>934</v>
      </c>
      <c r="B150" s="283">
        <v>0</v>
      </c>
      <c r="C150" s="283">
        <v>6129400</v>
      </c>
      <c r="D150" s="283">
        <v>11449400</v>
      </c>
      <c r="E150" s="355">
        <v>-5320000</v>
      </c>
      <c r="F150" s="326"/>
      <c r="G150" s="326"/>
      <c r="H150" s="327"/>
      <c r="I150" s="327"/>
    </row>
    <row r="151" spans="1:9" hidden="1" x14ac:dyDescent="0.3">
      <c r="A151" s="348" t="s">
        <v>838</v>
      </c>
      <c r="B151" s="283">
        <v>0</v>
      </c>
      <c r="C151" s="283">
        <v>2408300</v>
      </c>
      <c r="D151" s="283">
        <v>2408300</v>
      </c>
      <c r="E151" s="355">
        <v>0</v>
      </c>
      <c r="F151" s="326">
        <v>46222</v>
      </c>
      <c r="G151" s="326"/>
      <c r="H151" s="327"/>
      <c r="I151" s="327"/>
    </row>
    <row r="152" spans="1:9" hidden="1" x14ac:dyDescent="0.3">
      <c r="A152" s="346" t="s">
        <v>802</v>
      </c>
      <c r="B152" s="283">
        <v>0</v>
      </c>
      <c r="C152" s="283">
        <v>768000</v>
      </c>
      <c r="D152" s="283">
        <v>768000</v>
      </c>
      <c r="E152" s="353">
        <v>0</v>
      </c>
      <c r="F152" s="282"/>
      <c r="G152" s="282"/>
      <c r="H152" s="281"/>
      <c r="I152" s="281"/>
    </row>
    <row r="153" spans="1:9" x14ac:dyDescent="0.3">
      <c r="A153" s="346" t="s">
        <v>830</v>
      </c>
      <c r="B153" s="283">
        <v>-1609900</v>
      </c>
      <c r="C153" s="283">
        <v>1610000</v>
      </c>
      <c r="D153" s="283">
        <v>2224100</v>
      </c>
      <c r="E153" s="353">
        <v>-2224000</v>
      </c>
      <c r="F153" s="282">
        <v>46209</v>
      </c>
      <c r="G153" s="282"/>
      <c r="H153" s="281"/>
      <c r="I153" s="360" t="s">
        <v>997</v>
      </c>
    </row>
    <row r="154" spans="1:9" x14ac:dyDescent="0.3">
      <c r="A154" s="346" t="s">
        <v>350</v>
      </c>
      <c r="B154" s="283">
        <v>-2608900</v>
      </c>
      <c r="C154" s="283">
        <v>1600000</v>
      </c>
      <c r="D154" s="283">
        <v>1882900</v>
      </c>
      <c r="E154" s="353">
        <v>-2891800</v>
      </c>
      <c r="F154" s="282">
        <v>46178</v>
      </c>
      <c r="G154" s="281"/>
      <c r="H154" s="281"/>
      <c r="I154" s="281" t="s">
        <v>910</v>
      </c>
    </row>
    <row r="155" spans="1:9" hidden="1" x14ac:dyDescent="0.3">
      <c r="A155" s="346" t="s">
        <v>857</v>
      </c>
      <c r="B155" s="283">
        <v>0</v>
      </c>
      <c r="C155" s="283">
        <v>1115500</v>
      </c>
      <c r="D155" s="283">
        <v>1115500</v>
      </c>
      <c r="E155" s="353">
        <v>0</v>
      </c>
      <c r="F155" s="282"/>
      <c r="G155" s="282"/>
      <c r="H155" s="281"/>
      <c r="I155" s="281"/>
    </row>
    <row r="156" spans="1:9" x14ac:dyDescent="0.3">
      <c r="A156" s="346" t="s">
        <v>508</v>
      </c>
      <c r="B156" s="283">
        <v>-490400</v>
      </c>
      <c r="C156" s="283">
        <v>10000000</v>
      </c>
      <c r="D156" s="283">
        <v>34696100</v>
      </c>
      <c r="E156" s="353">
        <v>-25186500</v>
      </c>
      <c r="F156" s="282">
        <v>46192</v>
      </c>
      <c r="G156" s="282">
        <v>46201</v>
      </c>
      <c r="H156" s="281"/>
      <c r="I156" s="360" t="s">
        <v>998</v>
      </c>
    </row>
    <row r="157" spans="1:9" x14ac:dyDescent="0.3">
      <c r="A157" s="346" t="s">
        <v>597</v>
      </c>
      <c r="B157" s="283">
        <v>-8862000</v>
      </c>
      <c r="C157" s="283">
        <v>17259900</v>
      </c>
      <c r="D157" s="283">
        <v>10651500</v>
      </c>
      <c r="E157" s="353">
        <v>-2253600</v>
      </c>
      <c r="F157" s="282">
        <v>46202</v>
      </c>
      <c r="G157" s="282">
        <v>46218</v>
      </c>
      <c r="H157" s="281"/>
      <c r="I157" s="360" t="s">
        <v>999</v>
      </c>
    </row>
    <row r="158" spans="1:9" x14ac:dyDescent="0.3">
      <c r="A158" s="346" t="s">
        <v>296</v>
      </c>
      <c r="B158" s="283">
        <v>0</v>
      </c>
      <c r="C158" s="283">
        <v>1879800</v>
      </c>
      <c r="D158" s="283">
        <v>2951600</v>
      </c>
      <c r="E158" s="353">
        <v>-1071800</v>
      </c>
      <c r="F158" s="282"/>
      <c r="G158" s="282"/>
      <c r="H158" s="281"/>
      <c r="I158" s="281"/>
    </row>
    <row r="159" spans="1:9" x14ac:dyDescent="0.3">
      <c r="A159" s="348" t="s">
        <v>951</v>
      </c>
      <c r="B159" s="283">
        <v>0</v>
      </c>
      <c r="C159" s="283">
        <v>0</v>
      </c>
      <c r="D159" s="283">
        <v>6710100</v>
      </c>
      <c r="E159" s="355">
        <v>-6710100</v>
      </c>
      <c r="F159" s="326">
        <v>46223</v>
      </c>
      <c r="G159" s="326">
        <v>46204</v>
      </c>
      <c r="H159" s="327"/>
      <c r="I159" s="327"/>
    </row>
    <row r="160" spans="1:9" x14ac:dyDescent="0.3">
      <c r="A160" s="346" t="s">
        <v>870</v>
      </c>
      <c r="B160" s="283">
        <v>0</v>
      </c>
      <c r="C160" s="283">
        <v>0</v>
      </c>
      <c r="D160" s="283">
        <v>1897400</v>
      </c>
      <c r="E160" s="353">
        <v>-1897400</v>
      </c>
      <c r="F160" s="282">
        <v>46223</v>
      </c>
      <c r="G160" s="282">
        <v>46212</v>
      </c>
      <c r="H160" s="281"/>
      <c r="I160" s="281"/>
    </row>
    <row r="161" spans="1:9" x14ac:dyDescent="0.3">
      <c r="A161" s="346" t="s">
        <v>555</v>
      </c>
      <c r="B161" s="283">
        <v>0</v>
      </c>
      <c r="C161" s="283">
        <v>5275400</v>
      </c>
      <c r="D161" s="283">
        <v>5681200</v>
      </c>
      <c r="E161" s="353">
        <v>-405800</v>
      </c>
      <c r="F161" s="282">
        <v>46222</v>
      </c>
      <c r="G161" s="282"/>
      <c r="H161" s="281"/>
      <c r="I161" s="281" t="s">
        <v>909</v>
      </c>
    </row>
    <row r="162" spans="1:9" x14ac:dyDescent="0.3">
      <c r="A162" s="346" t="s">
        <v>681</v>
      </c>
      <c r="B162" s="283">
        <v>-268065350</v>
      </c>
      <c r="C162" s="283">
        <v>156200000</v>
      </c>
      <c r="D162" s="283">
        <v>210205650</v>
      </c>
      <c r="E162" s="353">
        <v>-322071000</v>
      </c>
      <c r="F162" s="282">
        <v>46213</v>
      </c>
      <c r="G162" s="282">
        <v>46202</v>
      </c>
      <c r="H162" s="281"/>
      <c r="I162" s="360" t="s">
        <v>909</v>
      </c>
    </row>
    <row r="163" spans="1:9" hidden="1" x14ac:dyDescent="0.3">
      <c r="A163" s="346" t="s">
        <v>343</v>
      </c>
      <c r="B163" s="283">
        <v>0</v>
      </c>
      <c r="C163" s="283">
        <v>1747400</v>
      </c>
      <c r="D163" s="283">
        <v>1747400</v>
      </c>
      <c r="E163" s="353">
        <v>0</v>
      </c>
      <c r="F163" s="284">
        <v>46222</v>
      </c>
      <c r="G163" s="284"/>
      <c r="H163" s="283"/>
      <c r="I163" s="281"/>
    </row>
    <row r="164" spans="1:9" x14ac:dyDescent="0.3">
      <c r="A164" s="346" t="s">
        <v>156</v>
      </c>
      <c r="B164" s="283">
        <v>0</v>
      </c>
      <c r="C164" s="283">
        <v>0</v>
      </c>
      <c r="D164" s="283">
        <v>17304000</v>
      </c>
      <c r="E164" s="353">
        <v>-17304000</v>
      </c>
      <c r="F164" s="282"/>
      <c r="G164" s="282"/>
      <c r="H164" s="281"/>
      <c r="I164" s="281"/>
    </row>
    <row r="165" spans="1:9" hidden="1" x14ac:dyDescent="0.3">
      <c r="A165" s="346" t="s">
        <v>167</v>
      </c>
      <c r="B165" s="283">
        <v>-2200000</v>
      </c>
      <c r="C165" s="283">
        <v>2200000</v>
      </c>
      <c r="D165" s="283">
        <v>0</v>
      </c>
      <c r="E165" s="353">
        <v>0</v>
      </c>
      <c r="F165" s="284">
        <v>46227</v>
      </c>
      <c r="G165" s="284">
        <v>46224</v>
      </c>
      <c r="H165" s="283"/>
      <c r="I165" s="281"/>
    </row>
    <row r="166" spans="1:9" x14ac:dyDescent="0.3">
      <c r="A166" s="346" t="s">
        <v>469</v>
      </c>
      <c r="B166" s="283">
        <v>0</v>
      </c>
      <c r="C166" s="283">
        <v>8788950</v>
      </c>
      <c r="D166" s="283">
        <v>10246250</v>
      </c>
      <c r="E166" s="353">
        <v>-1457300</v>
      </c>
      <c r="F166" s="284">
        <v>46207</v>
      </c>
      <c r="G166" s="284"/>
      <c r="H166" s="283"/>
      <c r="I166" s="281" t="s">
        <v>911</v>
      </c>
    </row>
    <row r="167" spans="1:9" x14ac:dyDescent="0.3">
      <c r="A167" s="346" t="s">
        <v>377</v>
      </c>
      <c r="B167" s="283">
        <v>0</v>
      </c>
      <c r="C167" s="283">
        <v>4110000</v>
      </c>
      <c r="D167" s="283">
        <v>5611200</v>
      </c>
      <c r="E167" s="353">
        <v>-1501200</v>
      </c>
      <c r="F167" s="284">
        <v>46224</v>
      </c>
      <c r="G167" s="284"/>
      <c r="H167" s="283"/>
      <c r="I167" s="281"/>
    </row>
    <row r="168" spans="1:9" x14ac:dyDescent="0.3">
      <c r="A168" s="346" t="s">
        <v>412</v>
      </c>
      <c r="B168" s="283">
        <v>-2965950</v>
      </c>
      <c r="C168" s="283">
        <v>0</v>
      </c>
      <c r="D168" s="283">
        <v>0</v>
      </c>
      <c r="E168" s="353">
        <v>-2965950</v>
      </c>
      <c r="F168" s="284">
        <v>46191</v>
      </c>
      <c r="G168" s="284">
        <v>46191</v>
      </c>
      <c r="H168" s="283"/>
      <c r="I168" s="281"/>
    </row>
    <row r="169" spans="1:9" x14ac:dyDescent="0.3">
      <c r="A169" s="346" t="s">
        <v>501</v>
      </c>
      <c r="B169" s="283">
        <v>-3625100</v>
      </c>
      <c r="C169" s="283">
        <v>985000</v>
      </c>
      <c r="D169" s="283">
        <v>0</v>
      </c>
      <c r="E169" s="353">
        <v>-2640100</v>
      </c>
      <c r="F169" s="284">
        <v>46208</v>
      </c>
      <c r="G169" s="284"/>
      <c r="H169" s="283"/>
      <c r="I169" s="281"/>
    </row>
    <row r="170" spans="1:9" x14ac:dyDescent="0.3">
      <c r="A170" s="346" t="s">
        <v>831</v>
      </c>
      <c r="B170" s="283">
        <v>-7517500</v>
      </c>
      <c r="C170" s="283">
        <v>16482500</v>
      </c>
      <c r="D170" s="283">
        <v>16558600</v>
      </c>
      <c r="E170" s="353">
        <v>-7593600</v>
      </c>
      <c r="F170" s="284">
        <v>46217</v>
      </c>
      <c r="G170" s="284">
        <v>46224</v>
      </c>
      <c r="H170" s="283"/>
      <c r="I170" s="281"/>
    </row>
    <row r="171" spans="1:9" x14ac:dyDescent="0.3">
      <c r="A171" s="350" t="s">
        <v>230</v>
      </c>
      <c r="B171" s="283">
        <v>-2499890</v>
      </c>
      <c r="C171" s="283">
        <v>0</v>
      </c>
      <c r="D171" s="283">
        <v>0</v>
      </c>
      <c r="E171" s="357">
        <v>-2499890</v>
      </c>
      <c r="F171" s="313"/>
      <c r="G171" s="313"/>
      <c r="H171" s="314"/>
      <c r="I171" s="312"/>
    </row>
    <row r="172" spans="1:9" x14ac:dyDescent="0.3">
      <c r="A172" s="346" t="s">
        <v>265</v>
      </c>
      <c r="B172" s="283">
        <v>0</v>
      </c>
      <c r="C172" s="283">
        <v>0</v>
      </c>
      <c r="D172" s="283">
        <v>1400700</v>
      </c>
      <c r="E172" s="353">
        <v>-1400700</v>
      </c>
      <c r="F172" s="284"/>
      <c r="G172" s="284"/>
      <c r="H172" s="283"/>
      <c r="I172" s="360" t="s">
        <v>1000</v>
      </c>
    </row>
    <row r="173" spans="1:9" hidden="1" x14ac:dyDescent="0.3">
      <c r="A173" s="346" t="s">
        <v>963</v>
      </c>
      <c r="B173" s="283">
        <v>0</v>
      </c>
      <c r="C173" s="283">
        <v>1809500</v>
      </c>
      <c r="D173" s="283">
        <v>1809500</v>
      </c>
      <c r="E173" s="353">
        <v>0</v>
      </c>
      <c r="F173" s="284">
        <v>46225</v>
      </c>
      <c r="G173" s="284"/>
      <c r="H173" s="283"/>
      <c r="I173" s="281"/>
    </row>
    <row r="174" spans="1:9" x14ac:dyDescent="0.3">
      <c r="A174" s="346" t="s">
        <v>1009</v>
      </c>
      <c r="B174" s="283">
        <v>-298500</v>
      </c>
      <c r="C174" s="283">
        <v>0</v>
      </c>
      <c r="D174" s="283">
        <v>0</v>
      </c>
      <c r="E174" s="353">
        <v>-298500</v>
      </c>
      <c r="F174" s="284">
        <v>46163</v>
      </c>
      <c r="G174" s="284"/>
      <c r="H174" s="283"/>
      <c r="I174" s="360" t="s">
        <v>946</v>
      </c>
    </row>
    <row r="175" spans="1:9" x14ac:dyDescent="0.3">
      <c r="A175" s="346" t="s">
        <v>540</v>
      </c>
      <c r="B175" s="283">
        <v>0</v>
      </c>
      <c r="C175" s="283">
        <v>0</v>
      </c>
      <c r="D175" s="283">
        <v>13144200</v>
      </c>
      <c r="E175" s="353">
        <v>-13144200</v>
      </c>
      <c r="F175" s="284">
        <v>46178</v>
      </c>
      <c r="G175" s="284"/>
      <c r="H175" s="283"/>
      <c r="I175" s="360" t="s">
        <v>909</v>
      </c>
    </row>
    <row r="176" spans="1:9" hidden="1" x14ac:dyDescent="0.3">
      <c r="A176" s="346" t="s">
        <v>933</v>
      </c>
      <c r="B176" s="283">
        <v>0</v>
      </c>
      <c r="C176" s="283">
        <v>8708900</v>
      </c>
      <c r="D176" s="283">
        <v>8708900</v>
      </c>
      <c r="E176" s="353">
        <v>0</v>
      </c>
      <c r="F176" s="284"/>
      <c r="G176" s="284"/>
      <c r="H176" s="283"/>
      <c r="I176" s="281"/>
    </row>
    <row r="177" spans="1:9" x14ac:dyDescent="0.3">
      <c r="A177" s="346" t="s">
        <v>571</v>
      </c>
      <c r="B177" s="283">
        <v>-42566200</v>
      </c>
      <c r="C177" s="283">
        <v>59279400</v>
      </c>
      <c r="D177" s="283">
        <v>22881600</v>
      </c>
      <c r="E177" s="353">
        <v>-6168400</v>
      </c>
      <c r="F177" s="284"/>
      <c r="G177" s="284"/>
      <c r="H177" s="283"/>
      <c r="I177" s="281"/>
    </row>
    <row r="178" spans="1:9" hidden="1" x14ac:dyDescent="0.3">
      <c r="A178" s="348" t="s">
        <v>813</v>
      </c>
      <c r="B178" s="283">
        <v>0</v>
      </c>
      <c r="C178" s="283">
        <v>763200</v>
      </c>
      <c r="D178" s="283">
        <v>763200</v>
      </c>
      <c r="E178" s="355">
        <v>0</v>
      </c>
      <c r="F178" s="365">
        <v>46208</v>
      </c>
      <c r="G178" s="365"/>
      <c r="H178" s="366"/>
      <c r="I178" s="362" t="s">
        <v>1008</v>
      </c>
    </row>
    <row r="179" spans="1:9" hidden="1" x14ac:dyDescent="0.3">
      <c r="A179" s="346" t="s">
        <v>302</v>
      </c>
      <c r="B179" s="283">
        <v>-1939900</v>
      </c>
      <c r="C179" s="283">
        <v>5494900</v>
      </c>
      <c r="D179" s="283">
        <v>3555000</v>
      </c>
      <c r="E179" s="353">
        <v>0</v>
      </c>
      <c r="F179" s="284">
        <v>46213</v>
      </c>
      <c r="G179" s="284">
        <v>46197</v>
      </c>
      <c r="H179" s="283"/>
      <c r="I179" s="281" t="s">
        <v>944</v>
      </c>
    </row>
    <row r="180" spans="1:9" hidden="1" x14ac:dyDescent="0.3">
      <c r="A180" s="346" t="s">
        <v>144</v>
      </c>
      <c r="B180" s="283">
        <v>-3832500</v>
      </c>
      <c r="C180" s="283">
        <v>3832500</v>
      </c>
      <c r="D180" s="283">
        <v>0</v>
      </c>
      <c r="E180" s="353">
        <v>0</v>
      </c>
      <c r="F180" s="284">
        <v>46221</v>
      </c>
      <c r="G180" s="284">
        <v>46224</v>
      </c>
      <c r="H180" s="283"/>
      <c r="I180" s="281"/>
    </row>
    <row r="181" spans="1:9" hidden="1" x14ac:dyDescent="0.3">
      <c r="A181" s="346" t="s">
        <v>142</v>
      </c>
      <c r="B181" s="283">
        <v>0</v>
      </c>
      <c r="C181" s="283">
        <v>763200</v>
      </c>
      <c r="D181" s="283">
        <v>763200</v>
      </c>
      <c r="E181" s="353">
        <v>0</v>
      </c>
      <c r="F181" s="284">
        <v>46192</v>
      </c>
      <c r="G181" s="284"/>
      <c r="H181" s="283"/>
      <c r="I181" s="281"/>
    </row>
    <row r="182" spans="1:9" hidden="1" x14ac:dyDescent="0.3">
      <c r="A182" s="346" t="s">
        <v>498</v>
      </c>
      <c r="B182" s="283">
        <v>0</v>
      </c>
      <c r="C182" s="283">
        <v>1891200</v>
      </c>
      <c r="D182" s="283">
        <v>1891200</v>
      </c>
      <c r="E182" s="353">
        <v>0</v>
      </c>
      <c r="F182" s="284">
        <v>46195</v>
      </c>
      <c r="G182" s="284">
        <v>46209</v>
      </c>
      <c r="H182" s="283"/>
      <c r="I182" s="281"/>
    </row>
    <row r="183" spans="1:9" hidden="1" x14ac:dyDescent="0.3">
      <c r="A183" s="346" t="s">
        <v>510</v>
      </c>
      <c r="B183" s="283">
        <v>0</v>
      </c>
      <c r="C183" s="283">
        <v>1235250</v>
      </c>
      <c r="D183" s="283">
        <v>1235250</v>
      </c>
      <c r="E183" s="353">
        <v>0</v>
      </c>
      <c r="F183" s="284">
        <v>46210</v>
      </c>
      <c r="G183" s="284"/>
      <c r="H183" s="283"/>
      <c r="I183" s="281" t="s">
        <v>931</v>
      </c>
    </row>
    <row r="184" spans="1:9" hidden="1" x14ac:dyDescent="0.3">
      <c r="A184" s="346" t="s">
        <v>899</v>
      </c>
      <c r="B184" s="283">
        <v>0</v>
      </c>
      <c r="C184" s="283">
        <v>739500</v>
      </c>
      <c r="D184" s="283">
        <v>739500</v>
      </c>
      <c r="E184" s="353">
        <v>0</v>
      </c>
      <c r="F184" s="284">
        <v>46191</v>
      </c>
      <c r="G184" s="284"/>
      <c r="H184" s="283"/>
      <c r="I184" s="282" t="s">
        <v>930</v>
      </c>
    </row>
    <row r="185" spans="1:9" hidden="1" x14ac:dyDescent="0.3">
      <c r="A185" s="346" t="s">
        <v>670</v>
      </c>
      <c r="B185" s="283">
        <v>0</v>
      </c>
      <c r="C185" s="283">
        <v>3022400</v>
      </c>
      <c r="D185" s="283">
        <v>3022400</v>
      </c>
      <c r="E185" s="353">
        <v>0</v>
      </c>
      <c r="F185" s="284">
        <v>46182</v>
      </c>
      <c r="G185" s="284">
        <v>46202</v>
      </c>
      <c r="H185" s="283"/>
      <c r="I185" s="281"/>
    </row>
    <row r="186" spans="1:9" x14ac:dyDescent="0.3">
      <c r="A186" s="346" t="s">
        <v>82</v>
      </c>
      <c r="B186" s="283">
        <v>-5276600</v>
      </c>
      <c r="C186" s="283">
        <v>5276600</v>
      </c>
      <c r="D186" s="283">
        <v>7184400</v>
      </c>
      <c r="E186" s="353">
        <v>-7184400</v>
      </c>
      <c r="F186" s="284">
        <v>46219</v>
      </c>
      <c r="G186" s="284">
        <v>46210</v>
      </c>
      <c r="H186" s="283"/>
      <c r="I186" s="281"/>
    </row>
    <row r="187" spans="1:9" x14ac:dyDescent="0.3">
      <c r="A187" s="346" t="s">
        <v>720</v>
      </c>
      <c r="B187" s="283">
        <v>0</v>
      </c>
      <c r="C187" s="283">
        <v>1117800</v>
      </c>
      <c r="D187" s="283">
        <v>2099000</v>
      </c>
      <c r="E187" s="353">
        <v>-981200</v>
      </c>
      <c r="F187" s="284"/>
      <c r="G187" s="284"/>
      <c r="H187" s="283"/>
      <c r="I187" s="281"/>
    </row>
    <row r="188" spans="1:9" hidden="1" x14ac:dyDescent="0.3">
      <c r="A188" s="346" t="s">
        <v>168</v>
      </c>
      <c r="B188" s="283">
        <v>-1257500</v>
      </c>
      <c r="C188" s="283">
        <v>1257500</v>
      </c>
      <c r="D188" s="283">
        <v>0</v>
      </c>
      <c r="E188" s="353">
        <v>0</v>
      </c>
      <c r="F188" s="284">
        <v>46209</v>
      </c>
      <c r="G188" s="284">
        <v>46209</v>
      </c>
      <c r="H188" s="283"/>
      <c r="I188" s="281"/>
    </row>
    <row r="189" spans="1:9" hidden="1" x14ac:dyDescent="0.3">
      <c r="A189" s="346" t="s">
        <v>832</v>
      </c>
      <c r="B189" s="283">
        <v>-3124500</v>
      </c>
      <c r="C189" s="283">
        <v>3124500</v>
      </c>
      <c r="D189" s="283">
        <v>0</v>
      </c>
      <c r="E189" s="353">
        <v>0</v>
      </c>
      <c r="F189" s="284">
        <v>46203</v>
      </c>
      <c r="G189" s="284">
        <v>46196</v>
      </c>
      <c r="H189" s="283"/>
      <c r="I189" s="360" t="s">
        <v>909</v>
      </c>
    </row>
    <row r="190" spans="1:9" hidden="1" x14ac:dyDescent="0.3">
      <c r="A190" s="346" t="s">
        <v>345</v>
      </c>
      <c r="B190" s="283">
        <v>-1165000</v>
      </c>
      <c r="C190" s="283">
        <v>2916100</v>
      </c>
      <c r="D190" s="283">
        <v>1751100</v>
      </c>
      <c r="E190" s="353">
        <v>0</v>
      </c>
      <c r="F190" s="284">
        <v>46222</v>
      </c>
      <c r="G190" s="284">
        <v>46207</v>
      </c>
      <c r="H190" s="283"/>
      <c r="I190" s="281"/>
    </row>
    <row r="191" spans="1:9" hidden="1" x14ac:dyDescent="0.3">
      <c r="A191" s="346" t="s">
        <v>351</v>
      </c>
      <c r="B191" s="283">
        <v>0</v>
      </c>
      <c r="C191" s="283">
        <v>1055700</v>
      </c>
      <c r="D191" s="283">
        <v>1055700</v>
      </c>
      <c r="E191" s="353">
        <v>0</v>
      </c>
      <c r="F191" s="284">
        <v>46197</v>
      </c>
      <c r="G191" s="284"/>
      <c r="H191" s="283"/>
      <c r="I191" s="281" t="s">
        <v>937</v>
      </c>
    </row>
    <row r="192" spans="1:9" x14ac:dyDescent="0.3">
      <c r="A192" s="346" t="s">
        <v>527</v>
      </c>
      <c r="B192" s="283">
        <v>-203740</v>
      </c>
      <c r="C192" s="283">
        <v>0</v>
      </c>
      <c r="D192" s="283">
        <v>0</v>
      </c>
      <c r="E192" s="353">
        <v>-203740</v>
      </c>
      <c r="F192" s="284">
        <v>46209</v>
      </c>
      <c r="G192" s="284">
        <v>46218</v>
      </c>
      <c r="H192" s="283"/>
      <c r="I192" s="281" t="s">
        <v>906</v>
      </c>
    </row>
    <row r="193" spans="1:9" hidden="1" x14ac:dyDescent="0.3">
      <c r="A193" s="346" t="s">
        <v>53</v>
      </c>
      <c r="B193" s="283">
        <v>0</v>
      </c>
      <c r="C193" s="283">
        <v>6872400</v>
      </c>
      <c r="D193" s="283">
        <v>6872400</v>
      </c>
      <c r="E193" s="353">
        <v>0</v>
      </c>
      <c r="F193" s="284">
        <v>46182</v>
      </c>
      <c r="G193" s="284">
        <v>46202</v>
      </c>
      <c r="H193" s="283"/>
      <c r="I193" s="281"/>
    </row>
    <row r="194" spans="1:9" x14ac:dyDescent="0.3">
      <c r="A194" s="346" t="s">
        <v>86</v>
      </c>
      <c r="B194" s="283">
        <v>0</v>
      </c>
      <c r="C194" s="283">
        <v>1000000</v>
      </c>
      <c r="D194" s="283">
        <v>3128500</v>
      </c>
      <c r="E194" s="353">
        <v>-2128500</v>
      </c>
      <c r="F194" s="284">
        <v>46190</v>
      </c>
      <c r="G194" s="284">
        <v>46190</v>
      </c>
      <c r="H194" s="283"/>
      <c r="I194" s="281" t="s">
        <v>962</v>
      </c>
    </row>
    <row r="195" spans="1:9" hidden="1" x14ac:dyDescent="0.3">
      <c r="A195" s="346" t="s">
        <v>900</v>
      </c>
      <c r="B195" s="283">
        <v>0</v>
      </c>
      <c r="C195" s="283">
        <v>8152800</v>
      </c>
      <c r="D195" s="283">
        <v>8152800</v>
      </c>
      <c r="E195" s="353">
        <v>0</v>
      </c>
      <c r="F195" s="284">
        <v>46195</v>
      </c>
      <c r="G195" s="284">
        <v>46209</v>
      </c>
      <c r="H195" s="283"/>
      <c r="I195" s="360" t="s">
        <v>1010</v>
      </c>
    </row>
    <row r="196" spans="1:9" hidden="1" x14ac:dyDescent="0.3">
      <c r="A196" s="346" t="s">
        <v>1004</v>
      </c>
      <c r="B196" s="283">
        <v>-12963600</v>
      </c>
      <c r="C196" s="283">
        <v>26169000</v>
      </c>
      <c r="D196" s="283">
        <v>13205400</v>
      </c>
      <c r="E196" s="353">
        <v>0</v>
      </c>
      <c r="F196" s="282">
        <v>46217</v>
      </c>
      <c r="G196" s="281"/>
      <c r="H196" s="281"/>
      <c r="I196" s="281" t="s">
        <v>908</v>
      </c>
    </row>
    <row r="197" spans="1:9" x14ac:dyDescent="0.3">
      <c r="A197" s="346" t="s">
        <v>386</v>
      </c>
      <c r="B197" s="283">
        <v>0</v>
      </c>
      <c r="C197" s="283">
        <v>1817700</v>
      </c>
      <c r="D197" s="283">
        <v>3721800</v>
      </c>
      <c r="E197" s="353">
        <v>-1904100</v>
      </c>
      <c r="F197" s="284">
        <v>46210</v>
      </c>
      <c r="G197" s="284"/>
      <c r="H197" s="283"/>
      <c r="I197" s="360" t="s">
        <v>1011</v>
      </c>
    </row>
    <row r="198" spans="1:9" x14ac:dyDescent="0.3">
      <c r="A198" s="346" t="s">
        <v>84</v>
      </c>
      <c r="B198" s="283">
        <v>-759650</v>
      </c>
      <c r="C198" s="283">
        <v>0</v>
      </c>
      <c r="D198" s="283">
        <v>0</v>
      </c>
      <c r="E198" s="353">
        <v>-759650</v>
      </c>
      <c r="F198" s="284">
        <v>46192</v>
      </c>
      <c r="G198" s="284"/>
      <c r="H198" s="283"/>
      <c r="I198" s="281"/>
    </row>
    <row r="199" spans="1:9" x14ac:dyDescent="0.3">
      <c r="A199" s="346" t="s">
        <v>812</v>
      </c>
      <c r="B199" s="283">
        <v>0</v>
      </c>
      <c r="C199" s="283">
        <v>0</v>
      </c>
      <c r="D199" s="283">
        <v>1159200</v>
      </c>
      <c r="E199" s="353">
        <v>-1159200</v>
      </c>
      <c r="F199" s="284">
        <v>46213</v>
      </c>
      <c r="G199" s="284"/>
      <c r="H199" s="283"/>
      <c r="I199" s="281"/>
    </row>
    <row r="200" spans="1:9" hidden="1" x14ac:dyDescent="0.3">
      <c r="A200" s="346" t="s">
        <v>475</v>
      </c>
      <c r="B200" s="283">
        <v>0</v>
      </c>
      <c r="C200" s="283">
        <v>913100</v>
      </c>
      <c r="D200" s="283">
        <v>913100</v>
      </c>
      <c r="E200" s="353">
        <v>0</v>
      </c>
      <c r="F200" s="284">
        <v>46324</v>
      </c>
      <c r="G200" s="284">
        <v>46210</v>
      </c>
      <c r="H200" s="283"/>
      <c r="I200" s="360" t="s">
        <v>910</v>
      </c>
    </row>
    <row r="201" spans="1:9" x14ac:dyDescent="0.3">
      <c r="A201" s="346" t="s">
        <v>932</v>
      </c>
      <c r="B201" s="283">
        <v>0</v>
      </c>
      <c r="C201" s="283">
        <v>0</v>
      </c>
      <c r="D201" s="283">
        <v>8028000</v>
      </c>
      <c r="E201" s="353">
        <v>-8028000</v>
      </c>
      <c r="F201" s="284"/>
      <c r="G201" s="284"/>
      <c r="H201" s="283"/>
      <c r="I201" s="360" t="s">
        <v>911</v>
      </c>
    </row>
    <row r="202" spans="1:9" hidden="1" x14ac:dyDescent="0.3">
      <c r="A202" s="346" t="s">
        <v>289</v>
      </c>
      <c r="B202" s="283">
        <v>0</v>
      </c>
      <c r="C202" s="283">
        <v>1069500</v>
      </c>
      <c r="D202" s="283">
        <v>1069500</v>
      </c>
      <c r="E202" s="353">
        <v>0</v>
      </c>
      <c r="F202" s="284">
        <v>46225</v>
      </c>
      <c r="G202" s="284"/>
      <c r="H202" s="283"/>
      <c r="I202" s="281"/>
    </row>
    <row r="203" spans="1:9" hidden="1" x14ac:dyDescent="0.3">
      <c r="A203" s="346" t="s">
        <v>884</v>
      </c>
      <c r="B203" s="283">
        <v>0</v>
      </c>
      <c r="C203" s="283">
        <v>11105550</v>
      </c>
      <c r="D203" s="283">
        <v>11105550</v>
      </c>
      <c r="E203" s="353">
        <v>0</v>
      </c>
      <c r="F203" s="284">
        <v>46190</v>
      </c>
      <c r="G203" s="284">
        <v>46190</v>
      </c>
      <c r="H203" s="281"/>
      <c r="I203" s="281"/>
    </row>
    <row r="204" spans="1:9" x14ac:dyDescent="0.3">
      <c r="A204" s="346" t="s">
        <v>521</v>
      </c>
      <c r="B204" s="283">
        <v>-15840400</v>
      </c>
      <c r="C204" s="283">
        <v>70129500</v>
      </c>
      <c r="D204" s="283">
        <v>64928300</v>
      </c>
      <c r="E204" s="353">
        <v>-10639200</v>
      </c>
      <c r="F204" s="284">
        <v>46207</v>
      </c>
      <c r="G204" s="284"/>
      <c r="H204" s="283"/>
      <c r="I204" s="281"/>
    </row>
    <row r="205" spans="1:9" hidden="1" x14ac:dyDescent="0.3">
      <c r="A205" s="346" t="s">
        <v>396</v>
      </c>
      <c r="B205" s="283">
        <v>0</v>
      </c>
      <c r="C205" s="283">
        <v>993300</v>
      </c>
      <c r="D205" s="283">
        <v>993300</v>
      </c>
      <c r="E205" s="353">
        <v>0</v>
      </c>
      <c r="F205" s="284">
        <v>46222</v>
      </c>
      <c r="G205" s="284"/>
      <c r="H205" s="281"/>
      <c r="I205" s="281"/>
    </row>
    <row r="206" spans="1:9" hidden="1" x14ac:dyDescent="0.3">
      <c r="A206" s="346" t="s">
        <v>929</v>
      </c>
      <c r="B206" s="283">
        <v>0</v>
      </c>
      <c r="C206" s="283">
        <v>2176800</v>
      </c>
      <c r="D206" s="283">
        <v>2176800</v>
      </c>
      <c r="E206" s="353">
        <v>0</v>
      </c>
      <c r="F206" s="284">
        <v>46221</v>
      </c>
      <c r="G206" s="284">
        <v>46221</v>
      </c>
      <c r="H206" s="283"/>
      <c r="I206" s="281"/>
    </row>
    <row r="207" spans="1:9" x14ac:dyDescent="0.3">
      <c r="A207" s="346" t="s">
        <v>170</v>
      </c>
      <c r="B207" s="283">
        <v>-4525200</v>
      </c>
      <c r="C207" s="283">
        <v>7177000</v>
      </c>
      <c r="D207" s="283">
        <v>12116300</v>
      </c>
      <c r="E207" s="353">
        <v>-9464500</v>
      </c>
      <c r="F207" s="284">
        <v>46223</v>
      </c>
      <c r="G207" s="284">
        <v>46223</v>
      </c>
      <c r="H207" s="283"/>
      <c r="I207" s="281"/>
    </row>
    <row r="208" spans="1:9" hidden="1" x14ac:dyDescent="0.3">
      <c r="A208" s="346" t="s">
        <v>984</v>
      </c>
      <c r="B208" s="283">
        <v>0</v>
      </c>
      <c r="C208" s="283">
        <v>941600</v>
      </c>
      <c r="D208" s="283">
        <v>941600</v>
      </c>
      <c r="E208" s="353">
        <v>0</v>
      </c>
      <c r="F208" s="284"/>
      <c r="G208" s="284"/>
      <c r="H208" s="283"/>
      <c r="I208" s="281"/>
    </row>
    <row r="209" spans="1:9" hidden="1" x14ac:dyDescent="0.3">
      <c r="A209" s="346" t="s">
        <v>574</v>
      </c>
      <c r="B209" s="283">
        <v>0</v>
      </c>
      <c r="C209" s="283">
        <v>1150600</v>
      </c>
      <c r="D209" s="283">
        <v>1150600</v>
      </c>
      <c r="E209" s="353">
        <v>0</v>
      </c>
      <c r="F209" s="284">
        <v>46221</v>
      </c>
      <c r="G209" s="284">
        <v>46187</v>
      </c>
      <c r="H209" s="283"/>
      <c r="I209" s="281"/>
    </row>
    <row r="210" spans="1:9" x14ac:dyDescent="0.3">
      <c r="A210" s="346" t="s">
        <v>1005</v>
      </c>
      <c r="B210" s="283">
        <v>-3091950</v>
      </c>
      <c r="C210" s="283">
        <v>27702000</v>
      </c>
      <c r="D210" s="283">
        <v>27692500</v>
      </c>
      <c r="E210" s="353">
        <v>-3082450</v>
      </c>
      <c r="F210" s="284">
        <v>46218</v>
      </c>
      <c r="G210" s="284">
        <v>46221</v>
      </c>
      <c r="H210" s="283"/>
      <c r="I210" s="360" t="s">
        <v>909</v>
      </c>
    </row>
    <row r="211" spans="1:9" hidden="1" x14ac:dyDescent="0.3">
      <c r="A211" s="346" t="s">
        <v>704</v>
      </c>
      <c r="B211" s="283">
        <v>0</v>
      </c>
      <c r="C211" s="283">
        <v>2311500</v>
      </c>
      <c r="D211" s="283">
        <v>2311500</v>
      </c>
      <c r="E211" s="353">
        <v>0</v>
      </c>
      <c r="F211" s="284">
        <v>46176</v>
      </c>
      <c r="G211" s="284"/>
      <c r="H211" s="283"/>
      <c r="I211" s="281"/>
    </row>
    <row r="212" spans="1:9" x14ac:dyDescent="0.3">
      <c r="A212" s="346" t="s">
        <v>737</v>
      </c>
      <c r="B212" s="283">
        <v>-55700250</v>
      </c>
      <c r="C212" s="283">
        <v>55000000</v>
      </c>
      <c r="D212" s="283">
        <v>22356000</v>
      </c>
      <c r="E212" s="353">
        <v>-23056250</v>
      </c>
      <c r="F212" s="284">
        <v>46191</v>
      </c>
      <c r="G212" s="284">
        <v>46208</v>
      </c>
      <c r="H212" s="283"/>
      <c r="I212" s="281"/>
    </row>
    <row r="213" spans="1:9" hidden="1" x14ac:dyDescent="0.3">
      <c r="A213" s="346" t="s">
        <v>270</v>
      </c>
      <c r="B213" s="283">
        <v>-2757600</v>
      </c>
      <c r="C213" s="283">
        <v>2757600</v>
      </c>
      <c r="D213" s="283">
        <v>0</v>
      </c>
      <c r="E213" s="353">
        <v>0</v>
      </c>
      <c r="F213" s="284">
        <v>46226</v>
      </c>
      <c r="G213" s="284">
        <v>46209</v>
      </c>
      <c r="H213" s="283"/>
      <c r="I213" s="281"/>
    </row>
    <row r="214" spans="1:9" x14ac:dyDescent="0.3">
      <c r="A214" s="346" t="s">
        <v>833</v>
      </c>
      <c r="B214" s="283">
        <v>48805</v>
      </c>
      <c r="C214" s="283">
        <v>0</v>
      </c>
      <c r="D214" s="283">
        <v>1981100</v>
      </c>
      <c r="E214" s="353">
        <v>-1932295</v>
      </c>
      <c r="F214" s="284"/>
      <c r="G214" s="284"/>
      <c r="H214" s="283"/>
      <c r="I214" s="281"/>
    </row>
    <row r="215" spans="1:9" x14ac:dyDescent="0.3">
      <c r="A215" s="346" t="s">
        <v>566</v>
      </c>
      <c r="B215" s="283">
        <v>0</v>
      </c>
      <c r="C215" s="283">
        <v>3000000</v>
      </c>
      <c r="D215" s="283">
        <v>4944800</v>
      </c>
      <c r="E215" s="353">
        <v>-1944800</v>
      </c>
      <c r="F215" s="284">
        <v>46213</v>
      </c>
      <c r="G215" s="284">
        <v>46224</v>
      </c>
      <c r="H215" s="283"/>
      <c r="I215" s="282"/>
    </row>
    <row r="216" spans="1:9" x14ac:dyDescent="0.3">
      <c r="A216" s="346" t="s">
        <v>636</v>
      </c>
      <c r="B216" s="283">
        <v>-7787400</v>
      </c>
      <c r="C216" s="283">
        <v>7787000</v>
      </c>
      <c r="D216" s="283">
        <v>5714300</v>
      </c>
      <c r="E216" s="353">
        <v>-5714700</v>
      </c>
      <c r="F216" s="284">
        <v>46215</v>
      </c>
      <c r="G216" s="284"/>
      <c r="H216" s="283"/>
      <c r="I216" s="281"/>
    </row>
    <row r="217" spans="1:9" hidden="1" x14ac:dyDescent="0.3">
      <c r="A217" s="346" t="s">
        <v>950</v>
      </c>
      <c r="B217" s="283">
        <v>0</v>
      </c>
      <c r="C217" s="283">
        <v>3168000</v>
      </c>
      <c r="D217" s="283">
        <v>3168000</v>
      </c>
      <c r="E217" s="353">
        <v>0</v>
      </c>
      <c r="F217" s="284">
        <v>46191</v>
      </c>
      <c r="G217" s="284"/>
      <c r="H217" s="283"/>
      <c r="I217" s="282">
        <v>46226</v>
      </c>
    </row>
    <row r="218" spans="1:9" x14ac:dyDescent="0.3">
      <c r="A218" s="346" t="s">
        <v>953</v>
      </c>
      <c r="B218" s="283">
        <v>0</v>
      </c>
      <c r="C218" s="283">
        <v>2416000</v>
      </c>
      <c r="D218" s="283">
        <v>3657000</v>
      </c>
      <c r="E218" s="353">
        <v>-1241000</v>
      </c>
      <c r="F218" s="284">
        <v>46182</v>
      </c>
      <c r="G218" s="284"/>
      <c r="H218" s="283"/>
      <c r="I218" s="360" t="s">
        <v>1011</v>
      </c>
    </row>
    <row r="219" spans="1:9" x14ac:dyDescent="0.3">
      <c r="A219" s="346" t="s">
        <v>610</v>
      </c>
      <c r="B219" s="283">
        <v>-1890600</v>
      </c>
      <c r="C219" s="283">
        <v>1840000</v>
      </c>
      <c r="D219" s="283">
        <v>3780000</v>
      </c>
      <c r="E219" s="353">
        <v>-3830600</v>
      </c>
      <c r="F219" s="284">
        <v>46190</v>
      </c>
      <c r="G219" s="284">
        <v>46190</v>
      </c>
      <c r="H219" s="283"/>
      <c r="I219" s="360" t="s">
        <v>909</v>
      </c>
    </row>
    <row r="220" spans="1:9" x14ac:dyDescent="0.3">
      <c r="A220" s="346" t="s">
        <v>312</v>
      </c>
      <c r="B220" s="283">
        <v>-15753600</v>
      </c>
      <c r="C220" s="283">
        <v>20209600</v>
      </c>
      <c r="D220" s="283">
        <v>9456000</v>
      </c>
      <c r="E220" s="353">
        <v>-5000000</v>
      </c>
      <c r="F220" s="284">
        <v>46222</v>
      </c>
      <c r="G220" s="284">
        <v>46181</v>
      </c>
      <c r="H220" s="283"/>
      <c r="I220" s="281"/>
    </row>
    <row r="221" spans="1:9" hidden="1" x14ac:dyDescent="0.3">
      <c r="A221" s="346" t="s">
        <v>329</v>
      </c>
      <c r="B221" s="283">
        <v>0</v>
      </c>
      <c r="C221" s="283">
        <v>2171200</v>
      </c>
      <c r="D221" s="283">
        <v>2171200</v>
      </c>
      <c r="E221" s="353">
        <v>0</v>
      </c>
      <c r="F221" s="284">
        <v>46222</v>
      </c>
      <c r="G221" s="284">
        <v>46222</v>
      </c>
      <c r="H221" s="283"/>
      <c r="I221" s="281"/>
    </row>
    <row r="222" spans="1:9" hidden="1" x14ac:dyDescent="0.3">
      <c r="A222" s="346" t="s">
        <v>415</v>
      </c>
      <c r="B222" s="283">
        <v>0</v>
      </c>
      <c r="C222" s="283">
        <v>1780300</v>
      </c>
      <c r="D222" s="283">
        <v>1780300</v>
      </c>
      <c r="E222" s="353">
        <v>0</v>
      </c>
      <c r="F222" s="284">
        <v>46221</v>
      </c>
      <c r="G222" s="284">
        <v>46221</v>
      </c>
      <c r="H222" s="283"/>
      <c r="I222" s="281"/>
    </row>
    <row r="223" spans="1:9" x14ac:dyDescent="0.3">
      <c r="A223" s="346" t="s">
        <v>116</v>
      </c>
      <c r="B223" s="283">
        <v>-297600</v>
      </c>
      <c r="C223" s="283">
        <v>0</v>
      </c>
      <c r="D223" s="283">
        <v>0</v>
      </c>
      <c r="E223" s="353">
        <v>-297600</v>
      </c>
      <c r="F223" s="284">
        <v>46180</v>
      </c>
      <c r="G223" s="284">
        <v>46225</v>
      </c>
      <c r="H223" s="283"/>
      <c r="I223" s="281"/>
    </row>
    <row r="224" spans="1:9" x14ac:dyDescent="0.3">
      <c r="A224" s="346" t="s">
        <v>567</v>
      </c>
      <c r="B224" s="283">
        <v>0</v>
      </c>
      <c r="C224" s="283">
        <v>0</v>
      </c>
      <c r="D224" s="283">
        <v>3030400</v>
      </c>
      <c r="E224" s="353">
        <v>-3030400</v>
      </c>
      <c r="F224" s="284">
        <v>46214</v>
      </c>
      <c r="G224" s="284"/>
      <c r="H224" s="283"/>
      <c r="I224" s="281"/>
    </row>
    <row r="225" spans="1:9" x14ac:dyDescent="0.3">
      <c r="A225" s="346" t="s">
        <v>72</v>
      </c>
      <c r="B225" s="283">
        <v>-700000</v>
      </c>
      <c r="C225" s="283">
        <v>1572000</v>
      </c>
      <c r="D225" s="283">
        <v>3872300</v>
      </c>
      <c r="E225" s="353">
        <v>-3000300</v>
      </c>
      <c r="F225" s="284">
        <v>46215</v>
      </c>
      <c r="G225" s="284"/>
      <c r="H225" s="283"/>
      <c r="I225" s="281"/>
    </row>
    <row r="226" spans="1:9" x14ac:dyDescent="0.3">
      <c r="A226" s="346" t="s">
        <v>615</v>
      </c>
      <c r="B226" s="283">
        <v>0</v>
      </c>
      <c r="C226" s="283">
        <v>0</v>
      </c>
      <c r="D226" s="283">
        <v>1051100</v>
      </c>
      <c r="E226" s="353">
        <v>-1051100</v>
      </c>
      <c r="F226" s="284"/>
      <c r="G226" s="284"/>
      <c r="H226" s="283"/>
      <c r="I226" s="360" t="s">
        <v>1012</v>
      </c>
    </row>
    <row r="227" spans="1:9" x14ac:dyDescent="0.3">
      <c r="A227" s="346" t="s">
        <v>1006</v>
      </c>
      <c r="B227" s="283">
        <v>-1678400</v>
      </c>
      <c r="C227" s="283">
        <v>14679000</v>
      </c>
      <c r="D227" s="283">
        <v>12848000</v>
      </c>
      <c r="E227" s="353">
        <v>152600</v>
      </c>
      <c r="F227" s="284">
        <v>46206</v>
      </c>
      <c r="G227" s="284"/>
      <c r="H227" s="283"/>
      <c r="I227" s="360" t="s">
        <v>1013</v>
      </c>
    </row>
    <row r="228" spans="1:9" x14ac:dyDescent="0.3">
      <c r="A228" s="346" t="s">
        <v>754</v>
      </c>
      <c r="B228" s="283">
        <v>0</v>
      </c>
      <c r="C228" s="283">
        <v>0</v>
      </c>
      <c r="D228" s="283">
        <v>5245900</v>
      </c>
      <c r="E228" s="353">
        <v>-5245900</v>
      </c>
      <c r="F228" s="284">
        <v>46191</v>
      </c>
      <c r="G228" s="284">
        <v>46208</v>
      </c>
      <c r="H228" s="283"/>
      <c r="I228" s="281"/>
    </row>
    <row r="229" spans="1:9" hidden="1" x14ac:dyDescent="0.3">
      <c r="A229" s="346" t="s">
        <v>105</v>
      </c>
      <c r="B229" s="283">
        <v>0</v>
      </c>
      <c r="C229" s="283">
        <v>1718000</v>
      </c>
      <c r="D229" s="283">
        <v>1718000</v>
      </c>
      <c r="E229" s="353">
        <v>0</v>
      </c>
      <c r="F229" s="284"/>
      <c r="G229" s="284"/>
      <c r="H229" s="283"/>
      <c r="I229" s="281"/>
    </row>
    <row r="230" spans="1:9" hidden="1" x14ac:dyDescent="0.3">
      <c r="A230" s="346" t="s">
        <v>207</v>
      </c>
      <c r="B230" s="283">
        <v>0</v>
      </c>
      <c r="C230" s="283">
        <v>2205700</v>
      </c>
      <c r="D230" s="283">
        <v>2205700</v>
      </c>
      <c r="E230" s="353">
        <v>0</v>
      </c>
      <c r="F230" s="284"/>
      <c r="G230" s="284"/>
      <c r="H230" s="283"/>
      <c r="I230" s="281"/>
    </row>
    <row r="231" spans="1:9" x14ac:dyDescent="0.3">
      <c r="A231" s="346" t="s">
        <v>789</v>
      </c>
      <c r="B231" s="283">
        <v>-3556376</v>
      </c>
      <c r="C231" s="283">
        <v>0</v>
      </c>
      <c r="D231" s="283">
        <v>0</v>
      </c>
      <c r="E231" s="353">
        <v>-3556376</v>
      </c>
      <c r="F231" s="284">
        <v>46174</v>
      </c>
      <c r="G231" s="284"/>
      <c r="H231" s="283"/>
      <c r="I231" s="281"/>
    </row>
    <row r="232" spans="1:9" hidden="1" x14ac:dyDescent="0.3">
      <c r="A232" s="346" t="s">
        <v>236</v>
      </c>
      <c r="B232" s="283">
        <v>-604000</v>
      </c>
      <c r="C232" s="283">
        <v>2855700</v>
      </c>
      <c r="D232" s="283">
        <v>2251700</v>
      </c>
      <c r="E232" s="353">
        <v>0</v>
      </c>
      <c r="F232" s="284"/>
      <c r="G232" s="284"/>
      <c r="H232" s="283"/>
      <c r="I232" s="281"/>
    </row>
    <row r="233" spans="1:9" hidden="1" x14ac:dyDescent="0.3">
      <c r="A233" s="346" t="s">
        <v>339</v>
      </c>
      <c r="B233" s="283">
        <v>0</v>
      </c>
      <c r="C233" s="283">
        <v>2759800</v>
      </c>
      <c r="D233" s="283">
        <v>2759800</v>
      </c>
      <c r="E233" s="353">
        <v>0</v>
      </c>
      <c r="F233" s="284"/>
      <c r="G233" s="284"/>
      <c r="H233" s="283"/>
      <c r="I233" s="281"/>
    </row>
    <row r="234" spans="1:9" x14ac:dyDescent="0.3">
      <c r="A234" s="346" t="s">
        <v>565</v>
      </c>
      <c r="B234" s="283">
        <v>-46205500</v>
      </c>
      <c r="C234" s="283">
        <v>28012000</v>
      </c>
      <c r="D234" s="283">
        <v>62796900</v>
      </c>
      <c r="E234" s="353">
        <v>-80990400</v>
      </c>
      <c r="F234" s="284">
        <v>46221</v>
      </c>
      <c r="G234" s="284">
        <v>46187</v>
      </c>
      <c r="H234" s="283"/>
      <c r="I234" s="281"/>
    </row>
    <row r="235" spans="1:9" hidden="1" x14ac:dyDescent="0.3">
      <c r="A235" s="346" t="s">
        <v>496</v>
      </c>
      <c r="B235" s="283">
        <v>0</v>
      </c>
      <c r="C235" s="283">
        <v>2841200</v>
      </c>
      <c r="D235" s="283">
        <v>2841200</v>
      </c>
      <c r="E235" s="353">
        <v>0</v>
      </c>
      <c r="F235" s="284"/>
      <c r="G235" s="284"/>
      <c r="H235" s="283"/>
      <c r="I235" s="281"/>
    </row>
    <row r="236" spans="1:9" hidden="1" x14ac:dyDescent="0.3">
      <c r="A236" s="346" t="s">
        <v>162</v>
      </c>
      <c r="B236" s="283">
        <v>0</v>
      </c>
      <c r="C236" s="283">
        <v>2588900</v>
      </c>
      <c r="D236" s="283">
        <v>2588900</v>
      </c>
      <c r="E236" s="353">
        <v>0</v>
      </c>
      <c r="F236" s="284"/>
      <c r="G236" s="284"/>
      <c r="H236" s="283"/>
      <c r="I236" s="281"/>
    </row>
    <row r="237" spans="1:9" x14ac:dyDescent="0.3">
      <c r="A237" s="346" t="s">
        <v>955</v>
      </c>
      <c r="B237" s="283">
        <v>0</v>
      </c>
      <c r="C237" s="283">
        <v>0</v>
      </c>
      <c r="D237" s="283">
        <v>2155100</v>
      </c>
      <c r="E237" s="353">
        <v>-2155100</v>
      </c>
      <c r="F237" s="284">
        <v>46222</v>
      </c>
      <c r="G237" s="284">
        <v>46218</v>
      </c>
      <c r="H237" s="283"/>
      <c r="I237" s="281"/>
    </row>
    <row r="238" spans="1:9" x14ac:dyDescent="0.3">
      <c r="A238" s="346" t="s">
        <v>711</v>
      </c>
      <c r="B238" s="283">
        <v>0</v>
      </c>
      <c r="C238" s="283">
        <v>897000</v>
      </c>
      <c r="D238" s="283">
        <v>2072300</v>
      </c>
      <c r="E238" s="353">
        <v>-1175300</v>
      </c>
      <c r="F238" s="284"/>
      <c r="G238" s="284"/>
      <c r="H238" s="283"/>
      <c r="I238" s="281"/>
    </row>
    <row r="239" spans="1:9" hidden="1" x14ac:dyDescent="0.3">
      <c r="A239" s="346" t="s">
        <v>834</v>
      </c>
      <c r="B239" s="283">
        <v>-988800</v>
      </c>
      <c r="C239" s="283">
        <v>988800</v>
      </c>
      <c r="D239" s="283">
        <v>0</v>
      </c>
      <c r="E239" s="353">
        <v>0</v>
      </c>
      <c r="F239" s="284"/>
      <c r="G239" s="284"/>
      <c r="H239" s="283"/>
      <c r="I239" s="281"/>
    </row>
    <row r="240" spans="1:9" hidden="1" x14ac:dyDescent="0.3">
      <c r="A240" s="346" t="s">
        <v>175</v>
      </c>
      <c r="B240" s="283">
        <v>-734900</v>
      </c>
      <c r="C240" s="283">
        <v>1841200</v>
      </c>
      <c r="D240" s="283">
        <v>1106300</v>
      </c>
      <c r="E240" s="353">
        <v>0</v>
      </c>
      <c r="F240" s="284"/>
      <c r="G240" s="284"/>
      <c r="H240" s="283"/>
      <c r="I240" s="281"/>
    </row>
    <row r="241" spans="1:5" x14ac:dyDescent="0.3">
      <c r="A241" s="151"/>
      <c r="E241" s="329"/>
    </row>
    <row r="253" spans="1:5" x14ac:dyDescent="0.3">
      <c r="B253" s="48" t="s">
        <v>693</v>
      </c>
    </row>
  </sheetData>
  <dataValidations count="1">
    <dataValidation type="list" allowBlank="1" showInputMessage="1" showErrorMessage="1" sqref="A202:E239 F238:G239 F235:G236 F232:G233 F229:G229 I229 I224:I225 I220 I216 I214 I232:I233 I208:I209 I205:I206 I203 F208:G208 G202 H202:H239 I238:I239 I211:I212 G216 I235:I236">
      <formula1>$C$2:$C$2289</formula1>
    </dataValidation>
  </dataValidations>
  <printOptions gridLines="1"/>
  <pageMargins left="0.31496062992125984" right="3.937007874015748E-2" top="7.874015748031496E-2" bottom="7.874015748031496E-2" header="0.31496062992125984" footer="0.31496062992125984"/>
  <pageSetup paperSize="9" fitToWidth="0" orientation="landscape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A11" sqref="A11"/>
    </sheetView>
  </sheetViews>
  <sheetFormatPr defaultColWidth="9.109375" defaultRowHeight="19.8" x14ac:dyDescent="0.4"/>
  <cols>
    <col min="1" max="1" width="24" style="15" customWidth="1"/>
    <col min="2" max="2" width="30.6640625" style="17" customWidth="1"/>
    <col min="3" max="3" width="28.88671875" style="17" customWidth="1"/>
    <col min="4" max="4" width="27" style="17" customWidth="1"/>
    <col min="5" max="5" width="9.109375" style="15"/>
    <col min="6" max="6" width="3.33203125" style="15" customWidth="1"/>
    <col min="7" max="8" width="9.109375" style="15" hidden="1" customWidth="1"/>
    <col min="9" max="16384" width="9.109375" style="15"/>
  </cols>
  <sheetData>
    <row r="1" spans="1:13" s="24" customFormat="1" x14ac:dyDescent="0.3">
      <c r="A1" s="22" t="s">
        <v>10</v>
      </c>
      <c r="B1" s="23" t="s">
        <v>940</v>
      </c>
      <c r="C1" s="23" t="s">
        <v>941</v>
      </c>
      <c r="D1" s="23" t="s">
        <v>942</v>
      </c>
    </row>
    <row r="2" spans="1:13" x14ac:dyDescent="0.4">
      <c r="A2" s="246" t="s">
        <v>593</v>
      </c>
      <c r="B2" s="247"/>
      <c r="C2" s="247"/>
      <c r="D2" s="247"/>
    </row>
    <row r="3" spans="1:13" x14ac:dyDescent="0.4">
      <c r="A3" s="246" t="s">
        <v>904</v>
      </c>
      <c r="B3" s="247"/>
      <c r="C3" s="247"/>
      <c r="D3" s="247"/>
    </row>
    <row r="4" spans="1:13" x14ac:dyDescent="0.4">
      <c r="A4" s="246" t="s">
        <v>943</v>
      </c>
      <c r="B4" s="247"/>
      <c r="C4" s="247"/>
      <c r="D4" s="247"/>
    </row>
    <row r="5" spans="1:13" x14ac:dyDescent="0.4">
      <c r="A5" s="246" t="s">
        <v>78</v>
      </c>
      <c r="B5" s="247"/>
      <c r="C5" s="247"/>
      <c r="D5" s="247"/>
    </row>
    <row r="6" spans="1:13" x14ac:dyDescent="0.4">
      <c r="A6" s="246" t="s">
        <v>605</v>
      </c>
      <c r="B6" s="247"/>
      <c r="C6" s="247"/>
      <c r="D6" s="247"/>
    </row>
    <row r="7" spans="1:13" x14ac:dyDescent="0.4">
      <c r="A7" s="246" t="s">
        <v>960</v>
      </c>
      <c r="B7" s="247"/>
      <c r="C7" s="247"/>
      <c r="D7" s="247"/>
    </row>
    <row r="8" spans="1:13" x14ac:dyDescent="0.4">
      <c r="A8" s="246" t="s">
        <v>973</v>
      </c>
      <c r="B8" s="247"/>
      <c r="C8" s="247"/>
      <c r="D8" s="247"/>
    </row>
    <row r="9" spans="1:13" x14ac:dyDescent="0.4">
      <c r="A9" s="246" t="s">
        <v>44</v>
      </c>
      <c r="B9" s="247"/>
      <c r="C9" s="247"/>
      <c r="D9" s="247"/>
    </row>
    <row r="10" spans="1:13" x14ac:dyDescent="0.4">
      <c r="A10" s="246" t="s">
        <v>986</v>
      </c>
      <c r="B10" s="247"/>
      <c r="C10" s="247"/>
      <c r="D10" s="247"/>
    </row>
    <row r="11" spans="1:13" x14ac:dyDescent="0.4">
      <c r="A11" s="246" t="s">
        <v>987</v>
      </c>
      <c r="B11" s="247"/>
      <c r="C11" s="247"/>
      <c r="D11" s="247"/>
      <c r="F11" s="15" t="s">
        <v>693</v>
      </c>
      <c r="J11" s="15" t="s">
        <v>693</v>
      </c>
    </row>
    <row r="12" spans="1:13" x14ac:dyDescent="0.4">
      <c r="A12" s="246"/>
      <c r="B12" s="247"/>
      <c r="C12" s="247"/>
      <c r="D12" s="247"/>
      <c r="M12" s="15" t="s">
        <v>693</v>
      </c>
    </row>
    <row r="15" spans="1:13" x14ac:dyDescent="0.4">
      <c r="L15" s="15" t="s">
        <v>693</v>
      </c>
    </row>
    <row r="17" spans="1:9" x14ac:dyDescent="0.4">
      <c r="B17" s="17" t="s">
        <v>693</v>
      </c>
      <c r="E17" s="15" t="s">
        <v>693</v>
      </c>
    </row>
    <row r="18" spans="1:9" x14ac:dyDescent="0.4">
      <c r="C18" s="17" t="s">
        <v>718</v>
      </c>
    </row>
    <row r="19" spans="1:9" x14ac:dyDescent="0.4">
      <c r="A19" s="15" t="s">
        <v>693</v>
      </c>
      <c r="I19" s="15" t="s">
        <v>718</v>
      </c>
    </row>
    <row r="20" spans="1:9" x14ac:dyDescent="0.4">
      <c r="C20" s="17" t="s">
        <v>693</v>
      </c>
    </row>
    <row r="21" spans="1:9" x14ac:dyDescent="0.4">
      <c r="B21" s="17" t="s">
        <v>693</v>
      </c>
      <c r="C21" s="17" t="s">
        <v>693</v>
      </c>
    </row>
    <row r="23" spans="1:9" x14ac:dyDescent="0.4">
      <c r="A23" s="15" t="s">
        <v>693</v>
      </c>
    </row>
    <row r="25" spans="1:9" ht="36.75" customHeight="1" x14ac:dyDescent="0.4">
      <c r="I25" s="15" t="s">
        <v>796</v>
      </c>
    </row>
    <row r="27" spans="1:9" ht="20.25" customHeight="1" x14ac:dyDescent="0.4"/>
  </sheetData>
  <pageMargins left="0.19685039370078741" right="0.19685039370078741" top="0.62992125984251968" bottom="0.19685039370078741" header="0.31496062992125984" footer="0.19685039370078741"/>
  <pageSetup paperSize="9" scale="80" orientation="portrait" horizontalDpi="4294967293" verticalDpi="0" r:id="rId1"/>
  <headerFooter>
    <oddHeader>&amp;C&amp;16ОМБОРДАГИ ҚОЛДИҚ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D21"/>
  <sheetViews>
    <sheetView zoomScaleNormal="100" workbookViewId="0">
      <selection activeCell="D3" sqref="D3"/>
    </sheetView>
  </sheetViews>
  <sheetFormatPr defaultRowHeight="14.4" x14ac:dyDescent="0.3"/>
  <cols>
    <col min="1" max="1" width="17.33203125" style="3" customWidth="1"/>
    <col min="2" max="2" width="24.6640625" style="1" bestFit="1" customWidth="1"/>
    <col min="3" max="3" width="14.6640625" style="1" customWidth="1"/>
    <col min="4" max="4" width="17.44140625" style="2" customWidth="1"/>
  </cols>
  <sheetData>
    <row r="1" spans="1:4" s="5" customFormat="1" x14ac:dyDescent="0.3">
      <c r="A1" s="18" t="s">
        <v>15</v>
      </c>
      <c r="B1" s="5" t="s">
        <v>27</v>
      </c>
      <c r="C1" s="5" t="s">
        <v>18</v>
      </c>
      <c r="D1" s="6" t="s">
        <v>19</v>
      </c>
    </row>
    <row r="2" spans="1:4" x14ac:dyDescent="0.3">
      <c r="B2" s="74" t="s">
        <v>42</v>
      </c>
      <c r="C2" s="74" t="s">
        <v>7</v>
      </c>
      <c r="D2" s="2">
        <v>10.5</v>
      </c>
    </row>
    <row r="3" spans="1:4" x14ac:dyDescent="0.3">
      <c r="B3" s="74" t="s">
        <v>44</v>
      </c>
      <c r="C3" s="74" t="s">
        <v>7</v>
      </c>
    </row>
    <row r="4" spans="1:4" x14ac:dyDescent="0.3">
      <c r="B4" s="74" t="s">
        <v>43</v>
      </c>
      <c r="C4" s="74" t="s">
        <v>7</v>
      </c>
    </row>
    <row r="5" spans="1:4" x14ac:dyDescent="0.3">
      <c r="B5" s="74" t="s">
        <v>78</v>
      </c>
      <c r="C5" s="74" t="s">
        <v>7</v>
      </c>
    </row>
    <row r="6" spans="1:4" x14ac:dyDescent="0.3">
      <c r="B6" s="74" t="s">
        <v>590</v>
      </c>
      <c r="C6" s="74" t="s">
        <v>7</v>
      </c>
    </row>
    <row r="7" spans="1:4" x14ac:dyDescent="0.3">
      <c r="B7" s="74" t="s">
        <v>593</v>
      </c>
      <c r="C7" s="74" t="s">
        <v>7</v>
      </c>
    </row>
    <row r="8" spans="1:4" x14ac:dyDescent="0.3">
      <c r="B8" s="74" t="s">
        <v>605</v>
      </c>
      <c r="C8" s="74" t="s">
        <v>7</v>
      </c>
    </row>
    <row r="9" spans="1:4" x14ac:dyDescent="0.3">
      <c r="B9" s="74" t="s">
        <v>617</v>
      </c>
      <c r="C9" s="74" t="s">
        <v>7</v>
      </c>
    </row>
    <row r="10" spans="1:4" x14ac:dyDescent="0.3">
      <c r="B10" s="74"/>
      <c r="C10" s="74"/>
    </row>
    <row r="11" spans="1:4" x14ac:dyDescent="0.3">
      <c r="B11" s="74"/>
      <c r="C11" s="74"/>
    </row>
    <row r="12" spans="1:4" x14ac:dyDescent="0.3">
      <c r="B12" s="74"/>
      <c r="C12" s="74"/>
    </row>
    <row r="13" spans="1:4" x14ac:dyDescent="0.3">
      <c r="B13" s="74"/>
      <c r="C13" s="74"/>
    </row>
    <row r="14" spans="1:4" x14ac:dyDescent="0.3">
      <c r="B14" s="74"/>
      <c r="C14" s="74"/>
    </row>
    <row r="15" spans="1:4" x14ac:dyDescent="0.3">
      <c r="B15" s="74"/>
      <c r="C15" s="74"/>
    </row>
    <row r="16" spans="1:4" x14ac:dyDescent="0.3">
      <c r="B16" s="74"/>
      <c r="C16" s="74"/>
    </row>
    <row r="17" spans="2:3" x14ac:dyDescent="0.3">
      <c r="B17" s="74"/>
      <c r="C17" s="74"/>
    </row>
    <row r="18" spans="2:3" x14ac:dyDescent="0.3">
      <c r="B18" s="74"/>
      <c r="C18" s="74"/>
    </row>
    <row r="19" spans="2:3" x14ac:dyDescent="0.3">
      <c r="B19" s="74"/>
      <c r="C19" s="74"/>
    </row>
    <row r="20" spans="2:3" x14ac:dyDescent="0.3">
      <c r="B20" s="74"/>
      <c r="C20" s="74"/>
    </row>
    <row r="21" spans="2:3" x14ac:dyDescent="0.3">
      <c r="B21" s="74"/>
      <c r="C21" s="74"/>
    </row>
  </sheetData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МАЪЛУМОТЛАР!$B$2:$B$3</xm:f>
          </x14:formula1>
          <xm:sqref>C2:C21</xm:sqref>
        </x14:dataValidation>
        <x14:dataValidation type="list" allowBlank="1" showInputMessage="1" showErrorMessage="1">
          <x14:formula1>
            <xm:f>МАЪЛУМОТЛАР!$C$2:$C$2022</xm:f>
          </x14:formula1>
          <xm:sqref>B2:B21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149"/>
  <sheetViews>
    <sheetView topLeftCell="A55" workbookViewId="0">
      <selection activeCell="B72" sqref="B72"/>
    </sheetView>
  </sheetViews>
  <sheetFormatPr defaultColWidth="9.109375" defaultRowHeight="19.8" x14ac:dyDescent="0.4"/>
  <cols>
    <col min="1" max="1" width="12.6640625" style="21" bestFit="1" customWidth="1"/>
    <col min="2" max="2" width="65.6640625" style="15" customWidth="1"/>
    <col min="3" max="3" width="33.44140625" style="15" customWidth="1"/>
    <col min="4" max="16384" width="9.109375" style="15"/>
  </cols>
  <sheetData>
    <row r="1" spans="1:3" s="16" customFormat="1" x14ac:dyDescent="0.4">
      <c r="A1" s="20" t="s">
        <v>15</v>
      </c>
      <c r="B1" s="16" t="s">
        <v>16</v>
      </c>
      <c r="C1" s="16" t="s">
        <v>31</v>
      </c>
    </row>
    <row r="2" spans="1:3" x14ac:dyDescent="0.4">
      <c r="A2" s="62">
        <v>46174</v>
      </c>
      <c r="B2" s="22" t="s">
        <v>401</v>
      </c>
      <c r="C2" s="66">
        <v>-23822383</v>
      </c>
    </row>
    <row r="3" spans="1:3" x14ac:dyDescent="0.4">
      <c r="A3" s="62">
        <v>46174</v>
      </c>
      <c r="B3" s="68" t="s">
        <v>826</v>
      </c>
      <c r="C3" s="66">
        <v>-2000000</v>
      </c>
    </row>
    <row r="4" spans="1:3" x14ac:dyDescent="0.4">
      <c r="A4" s="62">
        <v>46174</v>
      </c>
      <c r="B4" s="69" t="s">
        <v>353</v>
      </c>
      <c r="C4" s="66">
        <v>-3391800</v>
      </c>
    </row>
    <row r="5" spans="1:3" x14ac:dyDescent="0.4">
      <c r="A5" s="62">
        <v>46174</v>
      </c>
      <c r="B5" s="68" t="s">
        <v>314</v>
      </c>
      <c r="C5" s="66">
        <v>-836100</v>
      </c>
    </row>
    <row r="6" spans="1:3" x14ac:dyDescent="0.4">
      <c r="A6" s="62">
        <v>46174</v>
      </c>
      <c r="B6" s="69" t="s">
        <v>991</v>
      </c>
      <c r="C6" s="66">
        <v>-6852800</v>
      </c>
    </row>
    <row r="7" spans="1:3" x14ac:dyDescent="0.4">
      <c r="A7" s="62">
        <v>46174</v>
      </c>
      <c r="B7" s="68" t="s">
        <v>246</v>
      </c>
      <c r="C7" s="66">
        <v>-4491900</v>
      </c>
    </row>
    <row r="8" spans="1:3" x14ac:dyDescent="0.4">
      <c r="A8" s="62">
        <v>46174</v>
      </c>
      <c r="B8" s="69" t="s">
        <v>688</v>
      </c>
      <c r="C8" s="66">
        <v>-1154300</v>
      </c>
    </row>
    <row r="9" spans="1:3" x14ac:dyDescent="0.4">
      <c r="A9" s="62">
        <v>46174</v>
      </c>
      <c r="B9" s="68" t="s">
        <v>129</v>
      </c>
      <c r="C9" s="66">
        <v>-409000</v>
      </c>
    </row>
    <row r="10" spans="1:3" x14ac:dyDescent="0.4">
      <c r="A10" s="62">
        <v>46174</v>
      </c>
      <c r="B10" s="69" t="s">
        <v>221</v>
      </c>
      <c r="C10" s="66">
        <v>-1536000</v>
      </c>
    </row>
    <row r="11" spans="1:3" x14ac:dyDescent="0.4">
      <c r="A11" s="62">
        <v>46174</v>
      </c>
      <c r="B11" s="68" t="s">
        <v>112</v>
      </c>
      <c r="C11" s="66">
        <v>-769100</v>
      </c>
    </row>
    <row r="12" spans="1:3" x14ac:dyDescent="0.4">
      <c r="A12" s="62">
        <v>46174</v>
      </c>
      <c r="B12" s="69" t="s">
        <v>228</v>
      </c>
      <c r="C12" s="66">
        <v>-2191900</v>
      </c>
    </row>
    <row r="13" spans="1:3" x14ac:dyDescent="0.4">
      <c r="A13" s="62">
        <v>46174</v>
      </c>
      <c r="B13" s="68" t="s">
        <v>738</v>
      </c>
      <c r="C13" s="66">
        <v>-4000000</v>
      </c>
    </row>
    <row r="14" spans="1:3" x14ac:dyDescent="0.4">
      <c r="A14" s="62">
        <v>46174</v>
      </c>
      <c r="B14" s="69" t="s">
        <v>815</v>
      </c>
      <c r="C14" s="66">
        <v>-2599780</v>
      </c>
    </row>
    <row r="15" spans="1:3" x14ac:dyDescent="0.4">
      <c r="A15" s="62">
        <v>46174</v>
      </c>
      <c r="B15" s="68" t="s">
        <v>557</v>
      </c>
      <c r="C15" s="66">
        <v>-20352750</v>
      </c>
    </row>
    <row r="16" spans="1:3" x14ac:dyDescent="0.4">
      <c r="A16" s="62">
        <v>46174</v>
      </c>
      <c r="B16" s="69" t="s">
        <v>127</v>
      </c>
      <c r="C16" s="66">
        <v>-5558900</v>
      </c>
    </row>
    <row r="17" spans="1:3" x14ac:dyDescent="0.4">
      <c r="A17" s="62">
        <v>46174</v>
      </c>
      <c r="B17" s="68" t="s">
        <v>503</v>
      </c>
      <c r="C17" s="66">
        <v>10157200</v>
      </c>
    </row>
    <row r="18" spans="1:3" x14ac:dyDescent="0.4">
      <c r="A18" s="62">
        <v>46174</v>
      </c>
      <c r="B18" s="69" t="s">
        <v>507</v>
      </c>
      <c r="C18" s="67">
        <v>-1829800</v>
      </c>
    </row>
    <row r="19" spans="1:3" x14ac:dyDescent="0.4">
      <c r="A19" s="62">
        <v>46174</v>
      </c>
      <c r="B19" s="68" t="s">
        <v>992</v>
      </c>
      <c r="C19" s="67">
        <v>-10660000</v>
      </c>
    </row>
    <row r="20" spans="1:3" x14ac:dyDescent="0.4">
      <c r="A20" s="62">
        <v>46174</v>
      </c>
      <c r="B20" s="69" t="s">
        <v>583</v>
      </c>
      <c r="C20" s="67">
        <v>-543600</v>
      </c>
    </row>
    <row r="21" spans="1:3" x14ac:dyDescent="0.4">
      <c r="A21" s="62">
        <v>46174</v>
      </c>
      <c r="B21" s="68" t="s">
        <v>365</v>
      </c>
      <c r="C21" s="67">
        <v>-1050000</v>
      </c>
    </row>
    <row r="22" spans="1:3" x14ac:dyDescent="0.4">
      <c r="A22" s="62">
        <v>46174</v>
      </c>
      <c r="B22" s="69" t="s">
        <v>190</v>
      </c>
      <c r="C22" s="67">
        <v>-6441500</v>
      </c>
    </row>
    <row r="23" spans="1:3" x14ac:dyDescent="0.4">
      <c r="A23" s="62">
        <v>46174</v>
      </c>
      <c r="B23" s="68" t="s">
        <v>556</v>
      </c>
      <c r="C23" s="67">
        <v>31400</v>
      </c>
    </row>
    <row r="24" spans="1:3" x14ac:dyDescent="0.4">
      <c r="A24" s="62">
        <v>46174</v>
      </c>
      <c r="B24" s="69" t="s">
        <v>560</v>
      </c>
      <c r="C24" s="67">
        <v>-3118000</v>
      </c>
    </row>
    <row r="25" spans="1:3" x14ac:dyDescent="0.4">
      <c r="A25" s="62">
        <v>46174</v>
      </c>
      <c r="B25" s="68" t="s">
        <v>211</v>
      </c>
      <c r="C25" s="67">
        <v>-1082500</v>
      </c>
    </row>
    <row r="26" spans="1:3" x14ac:dyDescent="0.4">
      <c r="A26" s="62">
        <v>46174</v>
      </c>
      <c r="B26" s="69" t="s">
        <v>827</v>
      </c>
      <c r="C26" s="67">
        <v>-21774800</v>
      </c>
    </row>
    <row r="27" spans="1:3" x14ac:dyDescent="0.4">
      <c r="A27" s="62">
        <v>46174</v>
      </c>
      <c r="B27" s="68" t="s">
        <v>352</v>
      </c>
      <c r="C27" s="67">
        <v>-1099700</v>
      </c>
    </row>
    <row r="28" spans="1:3" x14ac:dyDescent="0.4">
      <c r="A28" s="62">
        <v>46174</v>
      </c>
      <c r="B28" s="69" t="s">
        <v>57</v>
      </c>
      <c r="C28" s="67">
        <v>-1704100</v>
      </c>
    </row>
    <row r="29" spans="1:3" x14ac:dyDescent="0.4">
      <c r="A29" s="62">
        <v>46174</v>
      </c>
      <c r="B29" s="68" t="s">
        <v>467</v>
      </c>
      <c r="C29" s="67">
        <v>-2913261</v>
      </c>
    </row>
    <row r="30" spans="1:3" x14ac:dyDescent="0.4">
      <c r="A30" s="62">
        <v>46174</v>
      </c>
      <c r="B30" s="69" t="s">
        <v>414</v>
      </c>
      <c r="C30" s="67">
        <v>-6336600</v>
      </c>
    </row>
    <row r="31" spans="1:3" x14ac:dyDescent="0.4">
      <c r="A31" s="62">
        <v>46174</v>
      </c>
      <c r="B31" s="68" t="s">
        <v>697</v>
      </c>
      <c r="C31" s="67">
        <v>-91789050</v>
      </c>
    </row>
    <row r="32" spans="1:3" x14ac:dyDescent="0.4">
      <c r="A32" s="62">
        <v>46174</v>
      </c>
      <c r="B32" s="69" t="s">
        <v>542</v>
      </c>
      <c r="C32" s="67">
        <v>-13859150</v>
      </c>
    </row>
    <row r="33" spans="1:3" x14ac:dyDescent="0.4">
      <c r="A33" s="62">
        <v>46174</v>
      </c>
      <c r="B33" s="68" t="s">
        <v>526</v>
      </c>
      <c r="C33" s="67">
        <v>-952500</v>
      </c>
    </row>
    <row r="34" spans="1:3" x14ac:dyDescent="0.4">
      <c r="A34" s="62">
        <v>46174</v>
      </c>
      <c r="B34" s="69" t="s">
        <v>572</v>
      </c>
      <c r="C34" s="67">
        <v>-1468800</v>
      </c>
    </row>
    <row r="35" spans="1:3" x14ac:dyDescent="0.4">
      <c r="A35" s="62">
        <v>46174</v>
      </c>
      <c r="B35" s="68" t="s">
        <v>209</v>
      </c>
      <c r="C35" s="67">
        <v>-16529400</v>
      </c>
    </row>
    <row r="36" spans="1:3" x14ac:dyDescent="0.4">
      <c r="A36" s="62">
        <v>46174</v>
      </c>
      <c r="B36" s="69" t="s">
        <v>1002</v>
      </c>
      <c r="C36" s="67">
        <v>-1100000</v>
      </c>
    </row>
    <row r="37" spans="1:3" x14ac:dyDescent="0.4">
      <c r="A37" s="62">
        <v>46174</v>
      </c>
      <c r="B37" s="68" t="s">
        <v>1003</v>
      </c>
      <c r="C37" s="67">
        <v>-2316100</v>
      </c>
    </row>
    <row r="38" spans="1:3" x14ac:dyDescent="0.4">
      <c r="A38" s="62">
        <v>46174</v>
      </c>
      <c r="B38" s="69" t="s">
        <v>807</v>
      </c>
      <c r="C38" s="67">
        <v>-11069345</v>
      </c>
    </row>
    <row r="39" spans="1:3" x14ac:dyDescent="0.4">
      <c r="A39" s="62">
        <v>46174</v>
      </c>
      <c r="B39" s="62" t="s">
        <v>97</v>
      </c>
      <c r="C39" s="67">
        <v>-1831300</v>
      </c>
    </row>
    <row r="40" spans="1:3" x14ac:dyDescent="0.4">
      <c r="A40" s="62">
        <v>46174</v>
      </c>
      <c r="B40" s="69" t="s">
        <v>163</v>
      </c>
      <c r="C40" s="67">
        <v>-152200</v>
      </c>
    </row>
    <row r="41" spans="1:3" x14ac:dyDescent="0.4">
      <c r="A41" s="62">
        <v>46174</v>
      </c>
      <c r="B41" s="68" t="s">
        <v>782</v>
      </c>
      <c r="C41" s="67">
        <v>-39506400</v>
      </c>
    </row>
    <row r="42" spans="1:3" x14ac:dyDescent="0.4">
      <c r="A42" s="62">
        <v>46174</v>
      </c>
      <c r="B42" s="69" t="s">
        <v>592</v>
      </c>
      <c r="C42" s="67">
        <v>-110460000</v>
      </c>
    </row>
    <row r="43" spans="1:3" x14ac:dyDescent="0.4">
      <c r="A43" s="62">
        <v>46174</v>
      </c>
      <c r="B43" s="68" t="s">
        <v>828</v>
      </c>
      <c r="C43" s="67">
        <v>-3099500</v>
      </c>
    </row>
    <row r="44" spans="1:3" x14ac:dyDescent="0.4">
      <c r="A44" s="62">
        <v>46174</v>
      </c>
      <c r="B44" s="68" t="s">
        <v>829</v>
      </c>
      <c r="C44" s="67">
        <v>-1387000</v>
      </c>
    </row>
    <row r="45" spans="1:3" x14ac:dyDescent="0.4">
      <c r="A45" s="62">
        <v>46174</v>
      </c>
      <c r="B45" s="68" t="s">
        <v>336</v>
      </c>
      <c r="C45" s="67">
        <v>-2320300</v>
      </c>
    </row>
    <row r="46" spans="1:3" x14ac:dyDescent="0.4">
      <c r="A46" s="62">
        <v>46174</v>
      </c>
      <c r="B46" s="68" t="s">
        <v>269</v>
      </c>
      <c r="C46" s="67">
        <v>-698500</v>
      </c>
    </row>
    <row r="47" spans="1:3" x14ac:dyDescent="0.4">
      <c r="A47" s="62">
        <v>46174</v>
      </c>
      <c r="B47" s="68" t="s">
        <v>776</v>
      </c>
      <c r="C47" s="67">
        <v>-4850000</v>
      </c>
    </row>
    <row r="48" spans="1:3" x14ac:dyDescent="0.4">
      <c r="A48" s="62">
        <v>46174</v>
      </c>
      <c r="B48" s="68" t="s">
        <v>220</v>
      </c>
      <c r="C48" s="67">
        <v>-39500</v>
      </c>
    </row>
    <row r="49" spans="1:3" x14ac:dyDescent="0.4">
      <c r="A49" s="62">
        <v>46174</v>
      </c>
      <c r="B49" s="68" t="s">
        <v>672</v>
      </c>
      <c r="C49" s="67">
        <v>-1601000</v>
      </c>
    </row>
    <row r="50" spans="1:3" x14ac:dyDescent="0.4">
      <c r="A50" s="62">
        <v>46174</v>
      </c>
      <c r="B50" s="68" t="s">
        <v>319</v>
      </c>
      <c r="C50" s="67">
        <v>-30846534</v>
      </c>
    </row>
    <row r="51" spans="1:3" x14ac:dyDescent="0.4">
      <c r="A51" s="62">
        <v>46174</v>
      </c>
      <c r="B51" s="68" t="s">
        <v>394</v>
      </c>
      <c r="C51" s="67">
        <v>-1222500</v>
      </c>
    </row>
    <row r="52" spans="1:3" x14ac:dyDescent="0.4">
      <c r="A52" s="62">
        <v>46174</v>
      </c>
      <c r="B52" s="65" t="s">
        <v>552</v>
      </c>
      <c r="C52" s="67">
        <v>252545200</v>
      </c>
    </row>
    <row r="53" spans="1:3" x14ac:dyDescent="0.4">
      <c r="A53" s="62">
        <v>46174</v>
      </c>
      <c r="B53" s="65" t="s">
        <v>347</v>
      </c>
      <c r="C53" s="67">
        <v>146100</v>
      </c>
    </row>
    <row r="54" spans="1:3" x14ac:dyDescent="0.4">
      <c r="A54" s="62">
        <v>46174</v>
      </c>
      <c r="B54" s="65" t="s">
        <v>558</v>
      </c>
      <c r="C54" s="67">
        <v>-17331600</v>
      </c>
    </row>
    <row r="55" spans="1:3" x14ac:dyDescent="0.4">
      <c r="A55" s="62">
        <v>46174</v>
      </c>
      <c r="B55" s="65" t="s">
        <v>244</v>
      </c>
      <c r="C55" s="67">
        <v>-171500</v>
      </c>
    </row>
    <row r="56" spans="1:3" x14ac:dyDescent="0.4">
      <c r="A56" s="62">
        <v>46174</v>
      </c>
      <c r="B56" s="65" t="s">
        <v>646</v>
      </c>
      <c r="C56" s="67">
        <v>-2623100</v>
      </c>
    </row>
    <row r="57" spans="1:3" x14ac:dyDescent="0.4">
      <c r="A57" s="62">
        <v>46174</v>
      </c>
      <c r="B57" s="65" t="s">
        <v>793</v>
      </c>
      <c r="C57" s="67">
        <v>-189924600</v>
      </c>
    </row>
    <row r="58" spans="1:3" x14ac:dyDescent="0.4">
      <c r="A58" s="62">
        <v>46174</v>
      </c>
      <c r="B58" s="22" t="s">
        <v>83</v>
      </c>
      <c r="C58" s="67">
        <v>-49879750</v>
      </c>
    </row>
    <row r="59" spans="1:3" x14ac:dyDescent="0.4">
      <c r="A59" s="62">
        <v>46174</v>
      </c>
      <c r="B59" s="22" t="s">
        <v>491</v>
      </c>
      <c r="C59" s="67">
        <v>-200000</v>
      </c>
    </row>
    <row r="60" spans="1:3" x14ac:dyDescent="0.4">
      <c r="A60" s="62">
        <v>46174</v>
      </c>
      <c r="B60" s="22" t="s">
        <v>830</v>
      </c>
      <c r="C60" s="67">
        <v>-1609900</v>
      </c>
    </row>
    <row r="61" spans="1:3" x14ac:dyDescent="0.4">
      <c r="A61" s="62">
        <v>46174</v>
      </c>
      <c r="B61" s="65" t="s">
        <v>350</v>
      </c>
      <c r="C61" s="67">
        <v>-2608900</v>
      </c>
    </row>
    <row r="62" spans="1:3" x14ac:dyDescent="0.4">
      <c r="A62" s="62">
        <v>46174</v>
      </c>
      <c r="B62" s="65" t="s">
        <v>508</v>
      </c>
      <c r="C62" s="67">
        <v>-490400</v>
      </c>
    </row>
    <row r="63" spans="1:3" x14ac:dyDescent="0.4">
      <c r="A63" s="62">
        <v>46174</v>
      </c>
      <c r="B63" s="65" t="s">
        <v>597</v>
      </c>
      <c r="C63" s="67">
        <v>-8862000</v>
      </c>
    </row>
    <row r="64" spans="1:3" x14ac:dyDescent="0.4">
      <c r="A64" s="62">
        <v>46174</v>
      </c>
      <c r="B64" s="65" t="s">
        <v>681</v>
      </c>
      <c r="C64" s="67">
        <v>-268065350</v>
      </c>
    </row>
    <row r="65" spans="1:3" x14ac:dyDescent="0.4">
      <c r="A65" s="62">
        <v>46174</v>
      </c>
      <c r="B65" s="65" t="s">
        <v>167</v>
      </c>
      <c r="C65" s="67">
        <v>-2200000</v>
      </c>
    </row>
    <row r="66" spans="1:3" x14ac:dyDescent="0.4">
      <c r="A66" s="62">
        <v>46174</v>
      </c>
      <c r="B66" s="22" t="s">
        <v>412</v>
      </c>
      <c r="C66" s="67">
        <v>-2965950</v>
      </c>
    </row>
    <row r="67" spans="1:3" x14ac:dyDescent="0.4">
      <c r="A67" s="62">
        <v>46174</v>
      </c>
      <c r="B67" s="22" t="s">
        <v>501</v>
      </c>
      <c r="C67" s="67">
        <v>-3625100</v>
      </c>
    </row>
    <row r="68" spans="1:3" x14ac:dyDescent="0.4">
      <c r="A68" s="62">
        <v>46174</v>
      </c>
      <c r="B68" s="65" t="s">
        <v>831</v>
      </c>
      <c r="C68" s="67">
        <v>-7517500</v>
      </c>
    </row>
    <row r="69" spans="1:3" x14ac:dyDescent="0.4">
      <c r="A69" s="62">
        <v>46174</v>
      </c>
      <c r="B69" s="65" t="s">
        <v>230</v>
      </c>
      <c r="C69" s="67">
        <v>-2499890</v>
      </c>
    </row>
    <row r="70" spans="1:3" x14ac:dyDescent="0.4">
      <c r="A70" s="62">
        <v>46174</v>
      </c>
      <c r="B70" s="22" t="s">
        <v>1009</v>
      </c>
      <c r="C70" s="67">
        <v>-298500</v>
      </c>
    </row>
    <row r="71" spans="1:3" x14ac:dyDescent="0.4">
      <c r="A71" s="62">
        <v>46174</v>
      </c>
      <c r="B71" s="65" t="s">
        <v>571</v>
      </c>
      <c r="C71" s="67">
        <v>-42566200</v>
      </c>
    </row>
    <row r="72" spans="1:3" ht="21" x14ac:dyDescent="0.4">
      <c r="A72" s="62">
        <v>46174</v>
      </c>
      <c r="B72" s="121" t="s">
        <v>302</v>
      </c>
      <c r="C72" s="67">
        <v>-1939900</v>
      </c>
    </row>
    <row r="73" spans="1:3" ht="21" x14ac:dyDescent="0.4">
      <c r="A73" s="62">
        <v>46174</v>
      </c>
      <c r="B73" s="121" t="s">
        <v>144</v>
      </c>
      <c r="C73" s="67">
        <v>-3832500</v>
      </c>
    </row>
    <row r="74" spans="1:3" ht="21" x14ac:dyDescent="0.4">
      <c r="A74" s="62">
        <v>46174</v>
      </c>
      <c r="B74" s="121" t="s">
        <v>82</v>
      </c>
      <c r="C74" s="67">
        <v>-5276600</v>
      </c>
    </row>
    <row r="75" spans="1:3" ht="21" x14ac:dyDescent="0.4">
      <c r="A75" s="62">
        <v>46174</v>
      </c>
      <c r="B75" s="121" t="s">
        <v>168</v>
      </c>
      <c r="C75" s="120">
        <v>-1257500</v>
      </c>
    </row>
    <row r="76" spans="1:3" ht="21" x14ac:dyDescent="0.4">
      <c r="A76" s="62">
        <v>46174</v>
      </c>
      <c r="B76" s="121" t="s">
        <v>832</v>
      </c>
      <c r="C76" s="120">
        <v>-3124500</v>
      </c>
    </row>
    <row r="77" spans="1:3" ht="21" x14ac:dyDescent="0.4">
      <c r="A77" s="62">
        <v>46174</v>
      </c>
      <c r="B77" s="121" t="s">
        <v>345</v>
      </c>
      <c r="C77" s="120">
        <v>-1165000</v>
      </c>
    </row>
    <row r="78" spans="1:3" ht="21" x14ac:dyDescent="0.4">
      <c r="A78" s="62">
        <v>46174</v>
      </c>
      <c r="B78" s="121" t="s">
        <v>527</v>
      </c>
      <c r="C78" s="120">
        <v>-203740</v>
      </c>
    </row>
    <row r="79" spans="1:3" ht="21" x14ac:dyDescent="0.4">
      <c r="A79" s="62">
        <v>46174</v>
      </c>
      <c r="B79" s="121" t="s">
        <v>1004</v>
      </c>
      <c r="C79" s="120">
        <v>-12963600</v>
      </c>
    </row>
    <row r="80" spans="1:3" ht="21" x14ac:dyDescent="0.4">
      <c r="A80" s="62">
        <v>46174</v>
      </c>
      <c r="B80" s="121" t="s">
        <v>84</v>
      </c>
      <c r="C80" s="120">
        <v>-759650</v>
      </c>
    </row>
    <row r="81" spans="1:3" ht="21" x14ac:dyDescent="0.4">
      <c r="A81" s="62">
        <v>46174</v>
      </c>
      <c r="B81" s="121" t="s">
        <v>521</v>
      </c>
      <c r="C81" s="120">
        <v>-15840400</v>
      </c>
    </row>
    <row r="82" spans="1:3" ht="21" x14ac:dyDescent="0.4">
      <c r="A82" s="62">
        <v>46174</v>
      </c>
      <c r="B82" s="121" t="s">
        <v>170</v>
      </c>
      <c r="C82" s="120">
        <v>-4525200</v>
      </c>
    </row>
    <row r="83" spans="1:3" ht="21" x14ac:dyDescent="0.4">
      <c r="A83" s="62">
        <v>46174</v>
      </c>
      <c r="B83" s="121" t="s">
        <v>1005</v>
      </c>
      <c r="C83" s="120">
        <v>-3091950</v>
      </c>
    </row>
    <row r="84" spans="1:3" ht="21" x14ac:dyDescent="0.4">
      <c r="A84" s="62">
        <v>46174</v>
      </c>
      <c r="B84" s="121" t="s">
        <v>737</v>
      </c>
      <c r="C84" s="120">
        <v>-55700250</v>
      </c>
    </row>
    <row r="85" spans="1:3" ht="21" x14ac:dyDescent="0.4">
      <c r="A85" s="62">
        <v>46174</v>
      </c>
      <c r="B85" s="121" t="s">
        <v>270</v>
      </c>
      <c r="C85" s="120">
        <v>-2757600</v>
      </c>
    </row>
    <row r="86" spans="1:3" ht="21" x14ac:dyDescent="0.4">
      <c r="A86" s="62">
        <v>46174</v>
      </c>
      <c r="B86" s="121" t="s">
        <v>833</v>
      </c>
      <c r="C86" s="120">
        <v>48805</v>
      </c>
    </row>
    <row r="87" spans="1:3" ht="21" x14ac:dyDescent="0.4">
      <c r="A87" s="62">
        <v>46174</v>
      </c>
      <c r="B87" s="121" t="s">
        <v>636</v>
      </c>
      <c r="C87" s="120">
        <v>-7787400</v>
      </c>
    </row>
    <row r="88" spans="1:3" ht="21" x14ac:dyDescent="0.4">
      <c r="A88" s="62">
        <v>46174</v>
      </c>
      <c r="B88" s="121" t="s">
        <v>610</v>
      </c>
      <c r="C88" s="120">
        <v>-1890600</v>
      </c>
    </row>
    <row r="89" spans="1:3" ht="21" x14ac:dyDescent="0.4">
      <c r="A89" s="62">
        <v>46174</v>
      </c>
      <c r="B89" s="121" t="s">
        <v>312</v>
      </c>
      <c r="C89" s="120">
        <v>-15753600</v>
      </c>
    </row>
    <row r="90" spans="1:3" ht="21" x14ac:dyDescent="0.4">
      <c r="A90" s="62">
        <v>46174</v>
      </c>
      <c r="B90" s="121" t="s">
        <v>116</v>
      </c>
      <c r="C90" s="120">
        <v>-297600</v>
      </c>
    </row>
    <row r="91" spans="1:3" x14ac:dyDescent="0.4">
      <c r="A91" s="62">
        <v>46174</v>
      </c>
      <c r="B91" s="22" t="s">
        <v>72</v>
      </c>
      <c r="C91" s="120">
        <v>-700000</v>
      </c>
    </row>
    <row r="92" spans="1:3" x14ac:dyDescent="0.4">
      <c r="A92" s="62">
        <v>46174</v>
      </c>
      <c r="B92" s="119" t="s">
        <v>1006</v>
      </c>
      <c r="C92" s="120">
        <v>-1678400</v>
      </c>
    </row>
    <row r="93" spans="1:3" x14ac:dyDescent="0.4">
      <c r="A93" s="62">
        <v>46174</v>
      </c>
      <c r="B93" s="119" t="s">
        <v>789</v>
      </c>
      <c r="C93" s="120">
        <v>-3556376</v>
      </c>
    </row>
    <row r="94" spans="1:3" x14ac:dyDescent="0.4">
      <c r="A94" s="62">
        <v>46174</v>
      </c>
      <c r="B94" s="119" t="s">
        <v>236</v>
      </c>
      <c r="C94" s="120">
        <v>-604000</v>
      </c>
    </row>
    <row r="95" spans="1:3" x14ac:dyDescent="0.4">
      <c r="A95" s="62">
        <v>46174</v>
      </c>
      <c r="B95" s="119" t="s">
        <v>565</v>
      </c>
      <c r="C95" s="120">
        <v>-46205500</v>
      </c>
    </row>
    <row r="96" spans="1:3" x14ac:dyDescent="0.4">
      <c r="A96" s="62">
        <v>46174</v>
      </c>
      <c r="B96" s="119" t="s">
        <v>834</v>
      </c>
      <c r="C96" s="120">
        <v>-988800</v>
      </c>
    </row>
    <row r="97" spans="1:3" x14ac:dyDescent="0.4">
      <c r="A97" s="62">
        <v>46174</v>
      </c>
      <c r="B97" s="119" t="s">
        <v>175</v>
      </c>
      <c r="C97" s="120">
        <v>-734900</v>
      </c>
    </row>
    <row r="98" spans="1:3" x14ac:dyDescent="0.4">
      <c r="A98" s="62"/>
      <c r="B98" s="119"/>
      <c r="C98" s="120"/>
    </row>
    <row r="99" spans="1:3" x14ac:dyDescent="0.4">
      <c r="A99" s="62"/>
      <c r="B99" s="119"/>
      <c r="C99" s="120"/>
    </row>
    <row r="100" spans="1:3" x14ac:dyDescent="0.4">
      <c r="A100" s="62"/>
      <c r="B100" s="119"/>
      <c r="C100" s="120"/>
    </row>
    <row r="101" spans="1:3" x14ac:dyDescent="0.4">
      <c r="A101" s="62"/>
      <c r="B101" s="119"/>
      <c r="C101" s="120"/>
    </row>
    <row r="102" spans="1:3" x14ac:dyDescent="0.4">
      <c r="A102" s="62"/>
      <c r="B102" s="119"/>
      <c r="C102" s="120"/>
    </row>
    <row r="103" spans="1:3" x14ac:dyDescent="0.4">
      <c r="A103" s="62"/>
      <c r="B103" s="119"/>
      <c r="C103" s="120"/>
    </row>
    <row r="104" spans="1:3" x14ac:dyDescent="0.4">
      <c r="A104" s="62"/>
      <c r="B104" s="119"/>
      <c r="C104" s="120"/>
    </row>
    <row r="105" spans="1:3" x14ac:dyDescent="0.4">
      <c r="A105" s="62"/>
      <c r="B105" s="119"/>
      <c r="C105" s="120"/>
    </row>
    <row r="106" spans="1:3" x14ac:dyDescent="0.4">
      <c r="A106" s="62"/>
      <c r="B106" s="119"/>
      <c r="C106" s="120"/>
    </row>
    <row r="107" spans="1:3" x14ac:dyDescent="0.4">
      <c r="A107" s="62"/>
      <c r="B107" s="119"/>
      <c r="C107" s="120"/>
    </row>
    <row r="108" spans="1:3" x14ac:dyDescent="0.4">
      <c r="A108" s="62"/>
      <c r="B108" s="119"/>
      <c r="C108" s="120"/>
    </row>
    <row r="109" spans="1:3" x14ac:dyDescent="0.4">
      <c r="A109" s="62"/>
      <c r="B109" s="119"/>
      <c r="C109" s="120"/>
    </row>
    <row r="110" spans="1:3" x14ac:dyDescent="0.4">
      <c r="A110" s="62"/>
      <c r="B110" s="119"/>
      <c r="C110" s="120"/>
    </row>
    <row r="111" spans="1:3" x14ac:dyDescent="0.4">
      <c r="A111" s="62"/>
      <c r="B111" s="119"/>
      <c r="C111" s="120"/>
    </row>
    <row r="112" spans="1:3" x14ac:dyDescent="0.4">
      <c r="A112" s="62"/>
      <c r="B112" s="119"/>
      <c r="C112" s="120"/>
    </row>
    <row r="113" spans="1:3" x14ac:dyDescent="0.4">
      <c r="A113" s="62"/>
      <c r="B113" s="119"/>
      <c r="C113" s="120"/>
    </row>
    <row r="114" spans="1:3" x14ac:dyDescent="0.4">
      <c r="A114" s="62"/>
      <c r="B114" s="119"/>
      <c r="C114" s="120"/>
    </row>
    <row r="115" spans="1:3" x14ac:dyDescent="0.4">
      <c r="A115" s="62"/>
      <c r="B115" s="119"/>
      <c r="C115" s="120"/>
    </row>
    <row r="116" spans="1:3" x14ac:dyDescent="0.4">
      <c r="A116" s="62"/>
      <c r="B116" s="119"/>
      <c r="C116" s="120"/>
    </row>
    <row r="117" spans="1:3" x14ac:dyDescent="0.4">
      <c r="A117" s="62"/>
      <c r="B117" s="119"/>
      <c r="C117" s="120"/>
    </row>
    <row r="118" spans="1:3" x14ac:dyDescent="0.4">
      <c r="A118" s="62"/>
      <c r="B118" s="119"/>
      <c r="C118" s="120"/>
    </row>
    <row r="119" spans="1:3" x14ac:dyDescent="0.4">
      <c r="A119" s="62"/>
      <c r="B119" s="119"/>
      <c r="C119" s="120"/>
    </row>
    <row r="120" spans="1:3" x14ac:dyDescent="0.4">
      <c r="A120" s="62"/>
      <c r="B120" s="119"/>
      <c r="C120" s="120"/>
    </row>
    <row r="121" spans="1:3" x14ac:dyDescent="0.4">
      <c r="A121" s="62"/>
      <c r="B121" s="119"/>
      <c r="C121" s="120"/>
    </row>
    <row r="122" spans="1:3" x14ac:dyDescent="0.4">
      <c r="A122" s="62"/>
      <c r="B122" s="119"/>
      <c r="C122" s="120"/>
    </row>
    <row r="123" spans="1:3" x14ac:dyDescent="0.4">
      <c r="A123" s="62"/>
      <c r="B123" s="119"/>
      <c r="C123" s="120"/>
    </row>
    <row r="124" spans="1:3" x14ac:dyDescent="0.4">
      <c r="A124" s="62"/>
      <c r="B124" s="119"/>
      <c r="C124" s="120"/>
    </row>
    <row r="125" spans="1:3" x14ac:dyDescent="0.4">
      <c r="A125" s="62"/>
      <c r="B125" s="119"/>
      <c r="C125" s="120"/>
    </row>
    <row r="126" spans="1:3" x14ac:dyDescent="0.4">
      <c r="A126" s="62"/>
      <c r="B126" s="119"/>
      <c r="C126" s="120"/>
    </row>
    <row r="127" spans="1:3" x14ac:dyDescent="0.4">
      <c r="A127" s="62"/>
      <c r="B127" s="119"/>
      <c r="C127" s="120"/>
    </row>
    <row r="128" spans="1:3" x14ac:dyDescent="0.4">
      <c r="A128" s="62"/>
      <c r="B128" s="119"/>
      <c r="C128" s="120"/>
    </row>
    <row r="129" spans="1:3" x14ac:dyDescent="0.4">
      <c r="A129" s="62"/>
      <c r="B129" s="119"/>
      <c r="C129" s="120"/>
    </row>
    <row r="130" spans="1:3" x14ac:dyDescent="0.4">
      <c r="A130" s="62"/>
      <c r="B130" s="119"/>
      <c r="C130" s="120"/>
    </row>
    <row r="131" spans="1:3" x14ac:dyDescent="0.4">
      <c r="A131" s="62"/>
      <c r="B131" s="119"/>
      <c r="C131" s="120"/>
    </row>
    <row r="132" spans="1:3" x14ac:dyDescent="0.4">
      <c r="A132" s="128"/>
      <c r="B132" s="129"/>
      <c r="C132" s="130"/>
    </row>
    <row r="133" spans="1:3" x14ac:dyDescent="0.4">
      <c r="A133" s="270"/>
      <c r="B133" s="271"/>
      <c r="C133" s="272"/>
    </row>
    <row r="134" spans="1:3" x14ac:dyDescent="0.4">
      <c r="A134" s="270"/>
      <c r="B134" s="271"/>
      <c r="C134" s="272"/>
    </row>
    <row r="135" spans="1:3" x14ac:dyDescent="0.4">
      <c r="A135" s="270"/>
      <c r="B135" s="271"/>
      <c r="C135" s="272"/>
    </row>
    <row r="136" spans="1:3" x14ac:dyDescent="0.4">
      <c r="A136" s="270"/>
      <c r="B136" s="271"/>
      <c r="C136" s="272"/>
    </row>
    <row r="137" spans="1:3" x14ac:dyDescent="0.4">
      <c r="A137" s="270"/>
      <c r="B137" s="271"/>
      <c r="C137" s="272"/>
    </row>
    <row r="138" spans="1:3" x14ac:dyDescent="0.4">
      <c r="A138" s="270"/>
      <c r="B138" s="271"/>
      <c r="C138" s="272"/>
    </row>
    <row r="139" spans="1:3" x14ac:dyDescent="0.4">
      <c r="A139" s="270"/>
      <c r="B139" s="271"/>
      <c r="C139" s="272"/>
    </row>
    <row r="140" spans="1:3" x14ac:dyDescent="0.4">
      <c r="A140" s="270"/>
      <c r="B140" s="271"/>
      <c r="C140" s="272"/>
    </row>
    <row r="141" spans="1:3" x14ac:dyDescent="0.4">
      <c r="A141" s="270"/>
      <c r="B141" s="271"/>
      <c r="C141" s="272"/>
    </row>
    <row r="142" spans="1:3" x14ac:dyDescent="0.4">
      <c r="A142" s="270"/>
      <c r="B142" s="271"/>
      <c r="C142" s="272"/>
    </row>
    <row r="143" spans="1:3" x14ac:dyDescent="0.4">
      <c r="A143" s="270"/>
      <c r="B143" s="271"/>
      <c r="C143" s="272"/>
    </row>
    <row r="144" spans="1:3" x14ac:dyDescent="0.4">
      <c r="A144" s="270"/>
      <c r="B144" s="271"/>
      <c r="C144" s="272"/>
    </row>
    <row r="145" spans="1:3" x14ac:dyDescent="0.4">
      <c r="A145" s="270"/>
      <c r="B145" s="271"/>
      <c r="C145" s="272"/>
    </row>
    <row r="146" spans="1:3" x14ac:dyDescent="0.4">
      <c r="A146" s="270"/>
      <c r="B146" s="271"/>
      <c r="C146" s="272"/>
    </row>
    <row r="147" spans="1:3" x14ac:dyDescent="0.4">
      <c r="A147" s="270"/>
      <c r="B147" s="271"/>
      <c r="C147" s="272"/>
    </row>
    <row r="148" spans="1:3" x14ac:dyDescent="0.4">
      <c r="A148" s="270"/>
      <c r="B148" s="271"/>
      <c r="C148" s="272"/>
    </row>
    <row r="149" spans="1:3" x14ac:dyDescent="0.4">
      <c r="A149" s="270"/>
      <c r="B149" s="271"/>
      <c r="C149" s="272"/>
    </row>
  </sheetData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'C:\Users\user\Desktop\[ХОЗМАГЛАР 2024 (2) (2).xlsx]КОНТРАГЕН'!#REF!</xm:f>
          </x14:formula1>
          <xm:sqref>B93:B131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J45"/>
  <sheetViews>
    <sheetView workbookViewId="0">
      <selection activeCell="L20" sqref="L20"/>
    </sheetView>
  </sheetViews>
  <sheetFormatPr defaultRowHeight="14.4" x14ac:dyDescent="0.3"/>
  <cols>
    <col min="1" max="1" width="9.33203125" customWidth="1"/>
    <col min="2" max="2" width="8" style="11" customWidth="1"/>
    <col min="4" max="4" width="15.44140625" customWidth="1"/>
    <col min="5" max="5" width="15.6640625" customWidth="1"/>
    <col min="7" max="7" width="22" style="11" customWidth="1"/>
    <col min="8" max="8" width="12.6640625" style="2" customWidth="1"/>
    <col min="9" max="9" width="13.5546875" style="2" customWidth="1"/>
    <col min="10" max="10" width="13.88671875" style="33" customWidth="1"/>
  </cols>
  <sheetData>
    <row r="1" spans="1:10" x14ac:dyDescent="0.3">
      <c r="A1" s="368" t="s">
        <v>29</v>
      </c>
      <c r="B1" s="368"/>
      <c r="D1" s="368" t="s">
        <v>26</v>
      </c>
      <c r="E1" s="368"/>
      <c r="G1" s="34" t="s">
        <v>16</v>
      </c>
      <c r="H1" s="35" t="s">
        <v>14</v>
      </c>
    </row>
    <row r="2" spans="1:10" x14ac:dyDescent="0.3">
      <c r="A2" s="7" t="s">
        <v>15</v>
      </c>
      <c r="B2" s="11" t="s">
        <v>14</v>
      </c>
      <c r="D2" s="7" t="s">
        <v>15</v>
      </c>
      <c r="E2" t="s">
        <v>14</v>
      </c>
    </row>
    <row r="3" spans="1:10" x14ac:dyDescent="0.3">
      <c r="G3" s="34" t="s">
        <v>33</v>
      </c>
      <c r="H3" s="35" t="s">
        <v>35</v>
      </c>
      <c r="I3" s="35" t="s">
        <v>36</v>
      </c>
      <c r="J3" s="35" t="s">
        <v>37</v>
      </c>
    </row>
    <row r="4" spans="1:10" x14ac:dyDescent="0.3">
      <c r="A4" s="7" t="s">
        <v>17</v>
      </c>
      <c r="B4" s="11" t="s">
        <v>28</v>
      </c>
      <c r="D4" s="7" t="s">
        <v>17</v>
      </c>
      <c r="E4" t="s">
        <v>30</v>
      </c>
      <c r="G4" s="36" t="s">
        <v>74</v>
      </c>
      <c r="H4" s="35"/>
      <c r="I4" s="35">
        <v>0</v>
      </c>
      <c r="J4" s="35" t="e">
        <v>#DIV/0!</v>
      </c>
    </row>
    <row r="5" spans="1:10" x14ac:dyDescent="0.3">
      <c r="A5" s="8" t="s">
        <v>74</v>
      </c>
      <c r="B5" s="11">
        <v>0</v>
      </c>
      <c r="D5" s="8" t="s">
        <v>2</v>
      </c>
      <c r="E5" s="11">
        <v>172087200</v>
      </c>
      <c r="G5" s="36" t="s">
        <v>42</v>
      </c>
      <c r="H5" s="35">
        <v>8362</v>
      </c>
      <c r="I5" s="35">
        <v>172030250</v>
      </c>
      <c r="J5" s="35">
        <v>20572.859363788568</v>
      </c>
    </row>
    <row r="6" spans="1:10" x14ac:dyDescent="0.3">
      <c r="A6" s="8" t="s">
        <v>42</v>
      </c>
      <c r="B6" s="11">
        <v>8362</v>
      </c>
      <c r="D6" s="8" t="s">
        <v>1</v>
      </c>
      <c r="E6" s="11">
        <v>10361700</v>
      </c>
      <c r="G6" s="36" t="s">
        <v>44</v>
      </c>
      <c r="H6" s="35">
        <v>204</v>
      </c>
      <c r="I6" s="35">
        <v>3774000</v>
      </c>
      <c r="J6" s="35">
        <v>18500</v>
      </c>
    </row>
    <row r="7" spans="1:10" x14ac:dyDescent="0.3">
      <c r="A7" s="8" t="s">
        <v>44</v>
      </c>
      <c r="B7" s="11">
        <v>204</v>
      </c>
      <c r="D7" s="8" t="s">
        <v>74</v>
      </c>
      <c r="E7" s="11">
        <v>11961000</v>
      </c>
      <c r="G7" s="36" t="s">
        <v>43</v>
      </c>
      <c r="H7" s="35">
        <v>1040.3999999999999</v>
      </c>
      <c r="I7" s="35">
        <v>17747700</v>
      </c>
      <c r="J7" s="35">
        <v>17058.535178777394</v>
      </c>
    </row>
    <row r="8" spans="1:10" x14ac:dyDescent="0.3">
      <c r="A8" s="8" t="s">
        <v>43</v>
      </c>
      <c r="B8" s="11">
        <v>1040.3999999999999</v>
      </c>
      <c r="D8" s="8" t="s">
        <v>13</v>
      </c>
      <c r="E8" s="11">
        <v>194409900</v>
      </c>
      <c r="G8" s="36" t="s">
        <v>13</v>
      </c>
      <c r="H8" s="35">
        <v>9606.4</v>
      </c>
      <c r="I8" s="35">
        <v>193551950</v>
      </c>
      <c r="J8" s="35">
        <v>20148.229305463028</v>
      </c>
    </row>
    <row r="9" spans="1:10" x14ac:dyDescent="0.3">
      <c r="A9" s="8" t="s">
        <v>21</v>
      </c>
      <c r="B9" s="11">
        <v>9606.4</v>
      </c>
      <c r="G9"/>
      <c r="H9"/>
      <c r="I9"/>
      <c r="J9"/>
    </row>
    <row r="10" spans="1:10" x14ac:dyDescent="0.3">
      <c r="B10"/>
      <c r="G10"/>
      <c r="H10"/>
      <c r="I10"/>
      <c r="J10"/>
    </row>
    <row r="11" spans="1:10" x14ac:dyDescent="0.3">
      <c r="B11"/>
      <c r="G11"/>
      <c r="H11"/>
      <c r="I11"/>
      <c r="J11"/>
    </row>
    <row r="12" spans="1:10" x14ac:dyDescent="0.3">
      <c r="B12"/>
      <c r="G12"/>
      <c r="H12"/>
      <c r="I12"/>
      <c r="J12"/>
    </row>
    <row r="13" spans="1:10" x14ac:dyDescent="0.3">
      <c r="B13"/>
      <c r="G13"/>
      <c r="H13"/>
      <c r="I13"/>
      <c r="J13"/>
    </row>
    <row r="14" spans="1:10" x14ac:dyDescent="0.3">
      <c r="B14"/>
      <c r="G14"/>
      <c r="H14"/>
      <c r="I14"/>
      <c r="J14"/>
    </row>
    <row r="15" spans="1:10" x14ac:dyDescent="0.3">
      <c r="B15"/>
      <c r="G15"/>
      <c r="H15"/>
      <c r="I15"/>
      <c r="J15"/>
    </row>
    <row r="16" spans="1:10" x14ac:dyDescent="0.3">
      <c r="B16"/>
      <c r="G16"/>
      <c r="H16"/>
      <c r="I16"/>
      <c r="J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2:10" x14ac:dyDescent="0.3">
      <c r="B33"/>
      <c r="G33"/>
      <c r="H33"/>
      <c r="I33"/>
      <c r="J33"/>
    </row>
    <row r="34" spans="2:10" x14ac:dyDescent="0.3">
      <c r="B34"/>
      <c r="G34"/>
      <c r="H34"/>
      <c r="I34"/>
      <c r="J34"/>
    </row>
    <row r="35" spans="2:10" x14ac:dyDescent="0.3">
      <c r="B35"/>
      <c r="G35"/>
      <c r="H35"/>
      <c r="I35"/>
      <c r="J35"/>
    </row>
    <row r="36" spans="2:10" x14ac:dyDescent="0.3">
      <c r="B36"/>
      <c r="G36"/>
      <c r="H36"/>
      <c r="I36"/>
      <c r="J36"/>
    </row>
    <row r="37" spans="2:10" x14ac:dyDescent="0.3">
      <c r="B37"/>
      <c r="G37"/>
      <c r="H37"/>
      <c r="I37"/>
      <c r="J37"/>
    </row>
    <row r="38" spans="2:10" x14ac:dyDescent="0.3">
      <c r="B38"/>
      <c r="G38"/>
      <c r="H38"/>
      <c r="I38"/>
      <c r="J38"/>
    </row>
    <row r="39" spans="2:10" x14ac:dyDescent="0.3">
      <c r="B39"/>
      <c r="G39"/>
      <c r="H39"/>
      <c r="I39"/>
      <c r="J39"/>
    </row>
    <row r="40" spans="2:10" x14ac:dyDescent="0.3">
      <c r="B40"/>
      <c r="G40"/>
      <c r="H40"/>
      <c r="I40"/>
      <c r="J40"/>
    </row>
    <row r="41" spans="2:10" x14ac:dyDescent="0.3">
      <c r="B41"/>
      <c r="G41"/>
      <c r="H41"/>
      <c r="I41"/>
      <c r="J41"/>
    </row>
    <row r="42" spans="2:10" x14ac:dyDescent="0.3">
      <c r="B42"/>
      <c r="G42"/>
      <c r="H42"/>
      <c r="I42"/>
      <c r="J42"/>
    </row>
    <row r="43" spans="2:10" x14ac:dyDescent="0.3">
      <c r="B43"/>
      <c r="G43"/>
      <c r="H43"/>
      <c r="I43"/>
      <c r="J43"/>
    </row>
    <row r="44" spans="2:10" x14ac:dyDescent="0.3">
      <c r="B44"/>
      <c r="G44"/>
      <c r="H44"/>
      <c r="I44"/>
      <c r="J44"/>
    </row>
    <row r="45" spans="2:10" x14ac:dyDescent="0.3">
      <c r="B45"/>
    </row>
  </sheetData>
  <mergeCells count="2">
    <mergeCell ref="A1:B1"/>
    <mergeCell ref="D1:E1"/>
  </mergeCells>
  <pageMargins left="0.7" right="0.7" top="0.75" bottom="0.75" header="0.3" footer="0.3"/>
  <pageSetup paperSize="9" orientation="portrait" verticalDpi="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68"/>
  <sheetViews>
    <sheetView workbookViewId="0">
      <selection activeCell="H29" sqref="H29"/>
    </sheetView>
  </sheetViews>
  <sheetFormatPr defaultRowHeight="14.4" x14ac:dyDescent="0.3"/>
  <cols>
    <col min="1" max="1" width="18.109375" bestFit="1" customWidth="1"/>
    <col min="2" max="2" width="12.5546875" customWidth="1"/>
    <col min="3" max="3" width="27.44140625" bestFit="1" customWidth="1"/>
    <col min="4" max="4" width="24.109375" customWidth="1"/>
  </cols>
  <sheetData>
    <row r="1" spans="1:5" s="1" customFormat="1" x14ac:dyDescent="0.3">
      <c r="A1" s="1" t="s">
        <v>0</v>
      </c>
      <c r="B1" s="1" t="s">
        <v>4</v>
      </c>
      <c r="C1" s="1" t="s">
        <v>5</v>
      </c>
      <c r="D1" s="1" t="s">
        <v>6</v>
      </c>
      <c r="E1" s="10" t="s">
        <v>10</v>
      </c>
    </row>
    <row r="2" spans="1:5" s="1" customFormat="1" x14ac:dyDescent="0.3">
      <c r="B2" s="26" t="s">
        <v>8</v>
      </c>
      <c r="C2" s="45" t="s">
        <v>42</v>
      </c>
      <c r="D2" s="26" t="s">
        <v>2</v>
      </c>
      <c r="E2" s="26" t="s">
        <v>9</v>
      </c>
    </row>
    <row r="3" spans="1:5" s="1" customFormat="1" x14ac:dyDescent="0.3">
      <c r="B3" s="26" t="s">
        <v>7</v>
      </c>
      <c r="C3" s="45" t="s">
        <v>43</v>
      </c>
      <c r="D3" s="26" t="s">
        <v>1</v>
      </c>
      <c r="E3" s="26" t="s">
        <v>11</v>
      </c>
    </row>
    <row r="4" spans="1:5" s="1" customFormat="1" x14ac:dyDescent="0.3">
      <c r="B4" s="12"/>
      <c r="C4" s="45" t="s">
        <v>44</v>
      </c>
      <c r="D4" s="12" t="s">
        <v>38</v>
      </c>
      <c r="E4" s="26" t="s">
        <v>12</v>
      </c>
    </row>
    <row r="5" spans="1:5" s="43" customFormat="1" x14ac:dyDescent="0.3">
      <c r="C5" s="45" t="s">
        <v>78</v>
      </c>
    </row>
    <row r="6" spans="1:5" s="37" customFormat="1" x14ac:dyDescent="0.3">
      <c r="C6" s="45" t="s">
        <v>590</v>
      </c>
    </row>
    <row r="7" spans="1:5" x14ac:dyDescent="0.3">
      <c r="A7" s="12"/>
      <c r="B7" s="12"/>
      <c r="C7" s="45" t="s">
        <v>593</v>
      </c>
      <c r="D7" s="12"/>
      <c r="E7" s="12"/>
    </row>
    <row r="8" spans="1:5" x14ac:dyDescent="0.3">
      <c r="A8" s="12"/>
      <c r="B8" s="12"/>
      <c r="C8" s="45"/>
      <c r="D8" s="12"/>
      <c r="E8" s="12"/>
    </row>
    <row r="9" spans="1:5" x14ac:dyDescent="0.3">
      <c r="A9" s="37"/>
      <c r="B9" s="37"/>
      <c r="C9" s="45"/>
      <c r="D9" s="37"/>
      <c r="E9" s="37"/>
    </row>
    <row r="10" spans="1:5" x14ac:dyDescent="0.3">
      <c r="A10" s="12"/>
      <c r="B10" s="12"/>
      <c r="C10" s="45"/>
      <c r="D10" s="12"/>
      <c r="E10" s="12"/>
    </row>
    <row r="11" spans="1:5" x14ac:dyDescent="0.3">
      <c r="A11" s="12"/>
      <c r="B11" s="12"/>
      <c r="C11" s="45"/>
      <c r="D11" s="12"/>
      <c r="E11" s="12"/>
    </row>
    <row r="12" spans="1:5" x14ac:dyDescent="0.3">
      <c r="A12" s="12"/>
      <c r="B12" s="12"/>
      <c r="C12" s="45"/>
      <c r="D12" s="12"/>
      <c r="E12" s="12"/>
    </row>
    <row r="13" spans="1:5" x14ac:dyDescent="0.3">
      <c r="A13" s="12"/>
      <c r="B13" s="12"/>
      <c r="C13" s="45"/>
      <c r="D13" s="12"/>
      <c r="E13" s="12"/>
    </row>
    <row r="14" spans="1:5" x14ac:dyDescent="0.3">
      <c r="A14" s="12"/>
      <c r="B14" s="12"/>
      <c r="C14" s="45"/>
      <c r="D14" s="12"/>
      <c r="E14" s="12"/>
    </row>
    <row r="15" spans="1:5" x14ac:dyDescent="0.3">
      <c r="A15" s="19"/>
      <c r="B15" s="19"/>
      <c r="C15" s="45"/>
      <c r="D15" s="19"/>
      <c r="E15" s="19"/>
    </row>
    <row r="16" spans="1:5" x14ac:dyDescent="0.3">
      <c r="A16" s="12"/>
      <c r="B16" s="12"/>
      <c r="C16" s="45"/>
      <c r="D16" s="12"/>
      <c r="E16" s="12"/>
    </row>
    <row r="17" spans="1:5" x14ac:dyDescent="0.3">
      <c r="A17" s="12"/>
      <c r="B17" s="12"/>
      <c r="C17" s="45"/>
      <c r="D17" s="12"/>
      <c r="E17" s="12"/>
    </row>
    <row r="18" spans="1:5" x14ac:dyDescent="0.3">
      <c r="A18" s="12"/>
      <c r="B18" s="12"/>
      <c r="C18" s="45"/>
      <c r="D18" s="12"/>
      <c r="E18" s="12"/>
    </row>
    <row r="19" spans="1:5" x14ac:dyDescent="0.3">
      <c r="A19" s="12"/>
      <c r="B19" s="12"/>
      <c r="C19" s="45"/>
      <c r="D19" s="12"/>
      <c r="E19" s="12"/>
    </row>
    <row r="20" spans="1:5" x14ac:dyDescent="0.3">
      <c r="A20" s="12"/>
      <c r="B20" s="12"/>
      <c r="C20" s="45"/>
      <c r="D20" s="12"/>
      <c r="E20" s="12"/>
    </row>
    <row r="21" spans="1:5" x14ac:dyDescent="0.3">
      <c r="A21" s="12"/>
      <c r="B21" s="12"/>
      <c r="C21" s="45"/>
      <c r="D21" s="12"/>
      <c r="E21" s="12"/>
    </row>
    <row r="22" spans="1:5" x14ac:dyDescent="0.3">
      <c r="A22" s="12"/>
      <c r="B22" s="12"/>
      <c r="C22" s="45"/>
      <c r="D22" s="12"/>
      <c r="E22" s="12"/>
    </row>
    <row r="23" spans="1:5" x14ac:dyDescent="0.3">
      <c r="A23" s="12"/>
      <c r="B23" s="12"/>
      <c r="C23" s="45"/>
      <c r="D23" s="12"/>
      <c r="E23" s="12"/>
    </row>
    <row r="24" spans="1:5" x14ac:dyDescent="0.3">
      <c r="A24" s="12"/>
      <c r="B24" s="12"/>
      <c r="C24" s="45"/>
      <c r="D24" s="12"/>
      <c r="E24" s="12"/>
    </row>
    <row r="25" spans="1:5" x14ac:dyDescent="0.3">
      <c r="A25" s="12"/>
      <c r="B25" s="12"/>
      <c r="C25" s="45"/>
      <c r="D25" s="12"/>
      <c r="E25" s="12"/>
    </row>
    <row r="26" spans="1:5" x14ac:dyDescent="0.3">
      <c r="A26" s="12"/>
      <c r="B26" s="12"/>
      <c r="C26" s="45"/>
      <c r="D26" s="12"/>
      <c r="E26" s="12"/>
    </row>
    <row r="27" spans="1:5" x14ac:dyDescent="0.3">
      <c r="A27" s="12"/>
      <c r="B27" s="12"/>
      <c r="C27" s="45"/>
      <c r="D27" s="12"/>
      <c r="E27" s="12"/>
    </row>
    <row r="28" spans="1:5" x14ac:dyDescent="0.3">
      <c r="A28" s="38"/>
      <c r="B28" s="38"/>
      <c r="C28" s="45"/>
      <c r="D28" s="38"/>
      <c r="E28" s="38"/>
    </row>
    <row r="29" spans="1:5" x14ac:dyDescent="0.3">
      <c r="A29" s="38"/>
      <c r="B29" s="38"/>
      <c r="C29" s="45"/>
      <c r="D29" s="38"/>
      <c r="E29" s="38"/>
    </row>
    <row r="30" spans="1:5" x14ac:dyDescent="0.3">
      <c r="A30" s="40"/>
      <c r="B30" s="40"/>
      <c r="C30" s="45"/>
      <c r="D30" s="40"/>
      <c r="E30" s="40"/>
    </row>
    <row r="31" spans="1:5" x14ac:dyDescent="0.3">
      <c r="A31" s="12"/>
      <c r="B31" s="12"/>
      <c r="C31" s="45"/>
      <c r="D31" s="12"/>
      <c r="E31" s="12"/>
    </row>
    <row r="32" spans="1:5" x14ac:dyDescent="0.3">
      <c r="A32" s="19"/>
      <c r="B32" s="19"/>
      <c r="C32" s="45"/>
      <c r="D32" s="19"/>
      <c r="E32" s="19"/>
    </row>
    <row r="33" spans="1:11" x14ac:dyDescent="0.3">
      <c r="A33" s="12"/>
      <c r="B33" s="12"/>
      <c r="C33" s="45"/>
      <c r="D33" s="12"/>
      <c r="E33" s="12"/>
    </row>
    <row r="34" spans="1:11" x14ac:dyDescent="0.3">
      <c r="A34" s="12"/>
      <c r="B34" s="12"/>
      <c r="C34" s="45"/>
      <c r="D34" s="12"/>
      <c r="E34" s="12"/>
    </row>
    <row r="35" spans="1:11" x14ac:dyDescent="0.3">
      <c r="A35" s="38"/>
      <c r="B35" s="38"/>
      <c r="C35" s="45"/>
      <c r="D35" s="38"/>
      <c r="E35" s="38"/>
      <c r="K35" t="s">
        <v>718</v>
      </c>
    </row>
    <row r="36" spans="1:11" x14ac:dyDescent="0.3">
      <c r="A36" s="12"/>
      <c r="B36" s="12"/>
      <c r="C36" s="45"/>
      <c r="D36" s="12"/>
      <c r="E36" s="12"/>
    </row>
    <row r="37" spans="1:11" x14ac:dyDescent="0.3">
      <c r="A37" s="12"/>
      <c r="B37" s="12"/>
      <c r="C37" s="45"/>
      <c r="D37" s="12"/>
      <c r="E37" s="12"/>
    </row>
    <row r="38" spans="1:11" x14ac:dyDescent="0.3">
      <c r="A38" s="12"/>
      <c r="B38" s="12"/>
      <c r="C38" s="45"/>
      <c r="D38" s="12"/>
      <c r="E38" s="12"/>
    </row>
    <row r="39" spans="1:11" x14ac:dyDescent="0.3">
      <c r="A39" s="14"/>
      <c r="B39" s="14"/>
      <c r="C39" s="45"/>
      <c r="D39" s="14"/>
      <c r="E39" s="14"/>
    </row>
    <row r="40" spans="1:11" x14ac:dyDescent="0.3">
      <c r="A40" s="39"/>
      <c r="B40" s="39"/>
      <c r="C40" s="45"/>
      <c r="D40" s="39"/>
      <c r="E40" s="39"/>
    </row>
    <row r="41" spans="1:11" x14ac:dyDescent="0.3">
      <c r="A41" s="41"/>
      <c r="B41" s="41"/>
      <c r="C41" s="45"/>
      <c r="D41" s="41"/>
      <c r="E41" s="41"/>
    </row>
    <row r="42" spans="1:11" x14ac:dyDescent="0.3">
      <c r="A42" s="41"/>
      <c r="B42" s="41"/>
      <c r="C42" s="45"/>
      <c r="D42" s="41"/>
      <c r="E42" s="41"/>
    </row>
    <row r="43" spans="1:11" x14ac:dyDescent="0.3">
      <c r="A43" s="41"/>
      <c r="B43" s="41"/>
      <c r="C43" s="45"/>
      <c r="D43" s="41"/>
      <c r="E43" s="41"/>
    </row>
    <row r="44" spans="1:11" x14ac:dyDescent="0.3">
      <c r="A44" s="42"/>
      <c r="B44" s="42"/>
      <c r="C44" s="45"/>
      <c r="D44" s="42"/>
      <c r="E44" s="42"/>
    </row>
    <row r="45" spans="1:11" x14ac:dyDescent="0.3">
      <c r="A45" s="19"/>
      <c r="B45" s="19"/>
      <c r="C45" s="45"/>
      <c r="D45" s="19"/>
      <c r="E45" s="19"/>
    </row>
    <row r="46" spans="1:11" x14ac:dyDescent="0.3">
      <c r="A46" s="19"/>
      <c r="B46" s="19"/>
      <c r="C46" s="45"/>
      <c r="D46" s="19"/>
      <c r="E46" s="19"/>
    </row>
    <row r="47" spans="1:11" x14ac:dyDescent="0.3">
      <c r="A47" s="19"/>
      <c r="B47" s="19"/>
      <c r="C47" s="45"/>
      <c r="D47" s="19"/>
      <c r="E47" s="19"/>
    </row>
    <row r="48" spans="1:11" x14ac:dyDescent="0.3">
      <c r="A48" s="19"/>
      <c r="B48" s="19"/>
      <c r="C48" s="45"/>
      <c r="D48" s="19"/>
      <c r="E48" s="19"/>
    </row>
    <row r="49" spans="1:5" x14ac:dyDescent="0.3">
      <c r="A49" s="19"/>
      <c r="B49" s="19"/>
      <c r="C49" s="45"/>
      <c r="D49" s="19"/>
      <c r="E49" s="19"/>
    </row>
    <row r="50" spans="1:5" x14ac:dyDescent="0.3">
      <c r="A50" s="25"/>
      <c r="B50" s="25"/>
      <c r="C50" s="45"/>
      <c r="D50" s="25"/>
      <c r="E50" s="25"/>
    </row>
    <row r="51" spans="1:5" x14ac:dyDescent="0.3">
      <c r="A51" s="25"/>
      <c r="B51" s="25"/>
      <c r="C51" s="45"/>
      <c r="D51" s="25"/>
      <c r="E51" s="25"/>
    </row>
    <row r="52" spans="1:5" x14ac:dyDescent="0.3">
      <c r="A52" s="25"/>
      <c r="B52" s="25"/>
      <c r="C52" s="45"/>
      <c r="D52" s="25"/>
      <c r="E52" s="25"/>
    </row>
    <row r="53" spans="1:5" x14ac:dyDescent="0.3">
      <c r="A53" s="25"/>
      <c r="B53" s="25"/>
      <c r="C53" s="45"/>
      <c r="D53" s="25"/>
      <c r="E53" s="25"/>
    </row>
    <row r="54" spans="1:5" x14ac:dyDescent="0.3">
      <c r="A54" s="29"/>
      <c r="B54" s="29"/>
      <c r="C54" s="45"/>
      <c r="D54" s="29"/>
      <c r="E54" s="29"/>
    </row>
    <row r="55" spans="1:5" x14ac:dyDescent="0.3">
      <c r="A55" s="25"/>
      <c r="B55" s="25"/>
      <c r="C55" s="45"/>
      <c r="D55" s="25"/>
      <c r="E55" s="25"/>
    </row>
    <row r="56" spans="1:5" x14ac:dyDescent="0.3">
      <c r="A56" s="29"/>
      <c r="B56" s="29"/>
      <c r="C56" s="45"/>
      <c r="D56" s="29"/>
      <c r="E56" s="29"/>
    </row>
    <row r="57" spans="1:5" x14ac:dyDescent="0.3">
      <c r="A57" s="29"/>
      <c r="B57" s="29"/>
      <c r="C57" s="45"/>
      <c r="D57" s="29"/>
      <c r="E57" s="29"/>
    </row>
    <row r="58" spans="1:5" x14ac:dyDescent="0.3">
      <c r="A58" s="29"/>
      <c r="B58" s="29"/>
      <c r="C58" s="45"/>
      <c r="D58" s="29"/>
      <c r="E58" s="29"/>
    </row>
    <row r="59" spans="1:5" x14ac:dyDescent="0.3">
      <c r="A59" s="29"/>
      <c r="B59" s="29"/>
      <c r="C59" s="45"/>
      <c r="D59" s="29"/>
      <c r="E59" s="29"/>
    </row>
    <row r="60" spans="1:5" x14ac:dyDescent="0.3">
      <c r="A60" s="29"/>
      <c r="B60" s="29"/>
      <c r="C60" s="45"/>
      <c r="D60" s="29"/>
      <c r="E60" s="29"/>
    </row>
    <row r="61" spans="1:5" x14ac:dyDescent="0.3">
      <c r="A61" s="25"/>
      <c r="B61" s="25"/>
      <c r="C61" s="45"/>
      <c r="D61" s="25"/>
      <c r="E61" s="25"/>
    </row>
    <row r="62" spans="1:5" x14ac:dyDescent="0.3">
      <c r="A62" s="25"/>
      <c r="B62" s="25"/>
      <c r="C62" s="45"/>
      <c r="D62" s="25"/>
      <c r="E62" s="25"/>
    </row>
    <row r="63" spans="1:5" x14ac:dyDescent="0.3">
      <c r="A63" s="26"/>
      <c r="B63" s="26"/>
      <c r="C63" s="45"/>
      <c r="D63" s="26"/>
      <c r="E63" s="26"/>
    </row>
    <row r="64" spans="1:5" x14ac:dyDescent="0.3">
      <c r="A64" s="27"/>
      <c r="B64" s="27"/>
      <c r="C64" s="45"/>
      <c r="D64" s="27"/>
      <c r="E64" s="27"/>
    </row>
    <row r="65" spans="1:5" x14ac:dyDescent="0.3">
      <c r="A65" s="28"/>
      <c r="B65" s="28"/>
      <c r="C65" s="45"/>
      <c r="D65" s="28"/>
      <c r="E65" s="28"/>
    </row>
    <row r="66" spans="1:5" x14ac:dyDescent="0.3">
      <c r="A66" s="30"/>
      <c r="B66" s="30"/>
      <c r="C66" s="45"/>
      <c r="D66" s="30"/>
      <c r="E66" s="30"/>
    </row>
    <row r="67" spans="1:5" x14ac:dyDescent="0.3">
      <c r="A67" s="45"/>
      <c r="B67" s="45"/>
      <c r="C67" s="45"/>
      <c r="D67" s="45"/>
      <c r="E67" s="45"/>
    </row>
    <row r="68" spans="1:5" x14ac:dyDescent="0.3">
      <c r="A68" s="45"/>
      <c r="B68" s="45"/>
      <c r="C68" s="45"/>
      <c r="D68" s="45"/>
      <c r="E68" s="45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1624"/>
  <sheetViews>
    <sheetView workbookViewId="0">
      <selection activeCell="A840" sqref="A840"/>
    </sheetView>
  </sheetViews>
  <sheetFormatPr defaultRowHeight="14.4" x14ac:dyDescent="0.3"/>
  <cols>
    <col min="1" max="1" width="72" customWidth="1"/>
  </cols>
  <sheetData>
    <row r="1" spans="1:1" ht="18" x14ac:dyDescent="0.35">
      <c r="A1" s="32"/>
    </row>
    <row r="2" spans="1:1" ht="19.5" hidden="1" customHeight="1" x14ac:dyDescent="0.4">
      <c r="A2" s="114" t="s">
        <v>45</v>
      </c>
    </row>
    <row r="3" spans="1:1" ht="19.5" hidden="1" customHeight="1" x14ac:dyDescent="0.4">
      <c r="A3" s="115" t="s">
        <v>79</v>
      </c>
    </row>
    <row r="4" spans="1:1" ht="19.5" hidden="1" customHeight="1" x14ac:dyDescent="0.4">
      <c r="A4" s="114" t="s">
        <v>46</v>
      </c>
    </row>
    <row r="5" spans="1:1" ht="19.5" hidden="1" customHeight="1" x14ac:dyDescent="0.4">
      <c r="A5" s="115" t="s">
        <v>47</v>
      </c>
    </row>
    <row r="6" spans="1:1" ht="19.5" hidden="1" customHeight="1" x14ac:dyDescent="0.4">
      <c r="A6" s="114" t="s">
        <v>80</v>
      </c>
    </row>
    <row r="7" spans="1:1" ht="19.5" hidden="1" customHeight="1" x14ac:dyDescent="0.4">
      <c r="A7" s="115" t="s">
        <v>48</v>
      </c>
    </row>
    <row r="8" spans="1:1" ht="19.5" hidden="1" customHeight="1" x14ac:dyDescent="0.4">
      <c r="A8" s="114" t="s">
        <v>49</v>
      </c>
    </row>
    <row r="9" spans="1:1" ht="19.5" hidden="1" customHeight="1" x14ac:dyDescent="0.4">
      <c r="A9" s="115" t="s">
        <v>50</v>
      </c>
    </row>
    <row r="10" spans="1:1" ht="19.5" hidden="1" customHeight="1" x14ac:dyDescent="0.4">
      <c r="A10" s="114" t="s">
        <v>81</v>
      </c>
    </row>
    <row r="11" spans="1:1" ht="19.5" hidden="1" customHeight="1" x14ac:dyDescent="0.4">
      <c r="A11" s="115" t="s">
        <v>51</v>
      </c>
    </row>
    <row r="12" spans="1:1" ht="19.5" hidden="1" customHeight="1" x14ac:dyDescent="0.4">
      <c r="A12" s="114" t="s">
        <v>82</v>
      </c>
    </row>
    <row r="13" spans="1:1" ht="19.5" hidden="1" customHeight="1" x14ac:dyDescent="0.4">
      <c r="A13" s="115" t="s">
        <v>83</v>
      </c>
    </row>
    <row r="14" spans="1:1" ht="19.5" hidden="1" customHeight="1" x14ac:dyDescent="0.4">
      <c r="A14" s="114" t="s">
        <v>84</v>
      </c>
    </row>
    <row r="15" spans="1:1" ht="19.5" hidden="1" customHeight="1" x14ac:dyDescent="0.4">
      <c r="A15" s="115" t="s">
        <v>85</v>
      </c>
    </row>
    <row r="16" spans="1:1" ht="19.5" hidden="1" customHeight="1" x14ac:dyDescent="0.4">
      <c r="A16" s="114" t="s">
        <v>52</v>
      </c>
    </row>
    <row r="17" spans="1:1" ht="19.5" hidden="1" customHeight="1" x14ac:dyDescent="0.4">
      <c r="A17" s="115" t="s">
        <v>86</v>
      </c>
    </row>
    <row r="18" spans="1:1" ht="19.5" hidden="1" customHeight="1" x14ac:dyDescent="0.4">
      <c r="A18" s="114" t="s">
        <v>87</v>
      </c>
    </row>
    <row r="19" spans="1:1" ht="19.5" hidden="1" customHeight="1" x14ac:dyDescent="0.4">
      <c r="A19" s="115" t="s">
        <v>88</v>
      </c>
    </row>
    <row r="20" spans="1:1" ht="19.5" hidden="1" customHeight="1" x14ac:dyDescent="0.4">
      <c r="A20" s="114" t="s">
        <v>89</v>
      </c>
    </row>
    <row r="21" spans="1:1" ht="19.5" hidden="1" customHeight="1" x14ac:dyDescent="0.4">
      <c r="A21" s="115" t="s">
        <v>90</v>
      </c>
    </row>
    <row r="22" spans="1:1" ht="19.5" hidden="1" customHeight="1" x14ac:dyDescent="0.4">
      <c r="A22" s="114" t="s">
        <v>91</v>
      </c>
    </row>
    <row r="23" spans="1:1" ht="19.5" hidden="1" customHeight="1" x14ac:dyDescent="0.4">
      <c r="A23" s="115" t="s">
        <v>92</v>
      </c>
    </row>
    <row r="24" spans="1:1" ht="19.5" hidden="1" customHeight="1" x14ac:dyDescent="0.4">
      <c r="A24" s="114" t="s">
        <v>93</v>
      </c>
    </row>
    <row r="25" spans="1:1" ht="19.5" hidden="1" customHeight="1" x14ac:dyDescent="0.4">
      <c r="A25" s="115" t="s">
        <v>94</v>
      </c>
    </row>
    <row r="26" spans="1:1" ht="19.5" hidden="1" customHeight="1" x14ac:dyDescent="0.4">
      <c r="A26" s="114" t="s">
        <v>53</v>
      </c>
    </row>
    <row r="27" spans="1:1" ht="19.5" hidden="1" customHeight="1" x14ac:dyDescent="0.4">
      <c r="A27" s="115" t="s">
        <v>95</v>
      </c>
    </row>
    <row r="28" spans="1:1" ht="19.5" hidden="1" customHeight="1" x14ac:dyDescent="0.4">
      <c r="A28" s="114" t="s">
        <v>96</v>
      </c>
    </row>
    <row r="29" spans="1:1" ht="19.5" hidden="1" customHeight="1" x14ac:dyDescent="0.4">
      <c r="A29" s="115" t="s">
        <v>97</v>
      </c>
    </row>
    <row r="30" spans="1:1" ht="19.5" hidden="1" customHeight="1" x14ac:dyDescent="0.4">
      <c r="A30" s="114" t="s">
        <v>98</v>
      </c>
    </row>
    <row r="31" spans="1:1" ht="19.5" hidden="1" customHeight="1" x14ac:dyDescent="0.4">
      <c r="A31" s="115" t="s">
        <v>99</v>
      </c>
    </row>
    <row r="32" spans="1:1" ht="19.5" hidden="1" customHeight="1" x14ac:dyDescent="0.4">
      <c r="A32" s="114" t="s">
        <v>54</v>
      </c>
    </row>
    <row r="33" spans="1:1" ht="19.5" hidden="1" customHeight="1" x14ac:dyDescent="0.4">
      <c r="A33" s="115" t="s">
        <v>100</v>
      </c>
    </row>
    <row r="34" spans="1:1" ht="19.5" hidden="1" customHeight="1" x14ac:dyDescent="0.4">
      <c r="A34" s="115" t="s">
        <v>55</v>
      </c>
    </row>
    <row r="35" spans="1:1" ht="19.5" hidden="1" customHeight="1" x14ac:dyDescent="0.4">
      <c r="A35" s="114" t="s">
        <v>101</v>
      </c>
    </row>
    <row r="36" spans="1:1" ht="19.5" hidden="1" customHeight="1" x14ac:dyDescent="0.4">
      <c r="A36" s="115" t="s">
        <v>102</v>
      </c>
    </row>
    <row r="37" spans="1:1" ht="19.5" hidden="1" customHeight="1" x14ac:dyDescent="0.4">
      <c r="A37" s="114" t="s">
        <v>56</v>
      </c>
    </row>
    <row r="38" spans="1:1" ht="19.5" hidden="1" customHeight="1" x14ac:dyDescent="0.4">
      <c r="A38" s="115" t="s">
        <v>57</v>
      </c>
    </row>
    <row r="39" spans="1:1" ht="19.5" hidden="1" customHeight="1" x14ac:dyDescent="0.4">
      <c r="A39" s="114" t="s">
        <v>103</v>
      </c>
    </row>
    <row r="40" spans="1:1" ht="19.5" hidden="1" customHeight="1" x14ac:dyDescent="0.4">
      <c r="A40" s="115" t="s">
        <v>104</v>
      </c>
    </row>
    <row r="41" spans="1:1" ht="19.5" hidden="1" customHeight="1" x14ac:dyDescent="0.4">
      <c r="A41" s="114" t="s">
        <v>58</v>
      </c>
    </row>
    <row r="42" spans="1:1" ht="19.5" hidden="1" customHeight="1" x14ac:dyDescent="0.4">
      <c r="A42" s="115" t="s">
        <v>59</v>
      </c>
    </row>
    <row r="43" spans="1:1" ht="19.5" hidden="1" customHeight="1" x14ac:dyDescent="0.4">
      <c r="A43" s="114" t="s">
        <v>60</v>
      </c>
    </row>
    <row r="44" spans="1:1" ht="19.5" hidden="1" customHeight="1" x14ac:dyDescent="0.4">
      <c r="A44" s="115" t="s">
        <v>61</v>
      </c>
    </row>
    <row r="45" spans="1:1" ht="19.5" hidden="1" customHeight="1" x14ac:dyDescent="0.4">
      <c r="A45" s="114" t="s">
        <v>62</v>
      </c>
    </row>
    <row r="46" spans="1:1" ht="19.5" hidden="1" customHeight="1" x14ac:dyDescent="0.4">
      <c r="A46" s="115" t="s">
        <v>105</v>
      </c>
    </row>
    <row r="47" spans="1:1" ht="19.5" hidden="1" customHeight="1" x14ac:dyDescent="0.4">
      <c r="A47" s="114" t="s">
        <v>106</v>
      </c>
    </row>
    <row r="48" spans="1:1" ht="19.5" hidden="1" customHeight="1" x14ac:dyDescent="0.4">
      <c r="A48" s="115" t="s">
        <v>65</v>
      </c>
    </row>
    <row r="49" spans="1:1" ht="19.5" hidden="1" customHeight="1" x14ac:dyDescent="0.4">
      <c r="A49" s="114" t="s">
        <v>107</v>
      </c>
    </row>
    <row r="50" spans="1:1" ht="19.5" hidden="1" customHeight="1" x14ac:dyDescent="0.4">
      <c r="A50" s="115" t="s">
        <v>108</v>
      </c>
    </row>
    <row r="51" spans="1:1" ht="19.5" hidden="1" customHeight="1" x14ac:dyDescent="0.4">
      <c r="A51" s="116" t="s">
        <v>109</v>
      </c>
    </row>
    <row r="52" spans="1:1" ht="19.5" hidden="1" customHeight="1" x14ac:dyDescent="0.4">
      <c r="A52" s="115" t="s">
        <v>110</v>
      </c>
    </row>
    <row r="53" spans="1:1" ht="19.5" hidden="1" customHeight="1" x14ac:dyDescent="0.4">
      <c r="A53" s="114" t="s">
        <v>66</v>
      </c>
    </row>
    <row r="54" spans="1:1" ht="19.5" hidden="1" customHeight="1" x14ac:dyDescent="0.4">
      <c r="A54" s="115" t="s">
        <v>111</v>
      </c>
    </row>
    <row r="55" spans="1:1" ht="19.5" hidden="1" customHeight="1" x14ac:dyDescent="0.4">
      <c r="A55" s="114" t="s">
        <v>112</v>
      </c>
    </row>
    <row r="56" spans="1:1" ht="19.5" hidden="1" customHeight="1" x14ac:dyDescent="0.4">
      <c r="A56" s="115" t="s">
        <v>67</v>
      </c>
    </row>
    <row r="57" spans="1:1" ht="19.5" hidden="1" customHeight="1" x14ac:dyDescent="0.4">
      <c r="A57" s="114" t="s">
        <v>68</v>
      </c>
    </row>
    <row r="58" spans="1:1" ht="19.5" hidden="1" customHeight="1" x14ac:dyDescent="0.4">
      <c r="A58" s="115" t="s">
        <v>113</v>
      </c>
    </row>
    <row r="59" spans="1:1" ht="19.5" hidden="1" customHeight="1" x14ac:dyDescent="0.4">
      <c r="A59" s="114" t="s">
        <v>69</v>
      </c>
    </row>
    <row r="60" spans="1:1" ht="19.5" hidden="1" customHeight="1" x14ac:dyDescent="0.4">
      <c r="A60" s="115" t="s">
        <v>70</v>
      </c>
    </row>
    <row r="61" spans="1:1" ht="19.5" hidden="1" customHeight="1" x14ac:dyDescent="0.4">
      <c r="A61" s="114" t="s">
        <v>71</v>
      </c>
    </row>
    <row r="62" spans="1:1" ht="19.5" hidden="1" customHeight="1" x14ac:dyDescent="0.4">
      <c r="A62" s="115" t="s">
        <v>72</v>
      </c>
    </row>
    <row r="63" spans="1:1" ht="19.5" hidden="1" customHeight="1" x14ac:dyDescent="0.4">
      <c r="A63" s="114" t="s">
        <v>73</v>
      </c>
    </row>
    <row r="64" spans="1:1" ht="19.5" hidden="1" customHeight="1" x14ac:dyDescent="0.4">
      <c r="A64" s="115" t="s">
        <v>114</v>
      </c>
    </row>
    <row r="65" spans="1:1" ht="19.5" hidden="1" customHeight="1" x14ac:dyDescent="0.4">
      <c r="A65" s="114" t="s">
        <v>115</v>
      </c>
    </row>
    <row r="66" spans="1:1" ht="19.5" hidden="1" customHeight="1" x14ac:dyDescent="0.4">
      <c r="A66" s="115" t="s">
        <v>75</v>
      </c>
    </row>
    <row r="67" spans="1:1" ht="19.5" hidden="1" customHeight="1" x14ac:dyDescent="0.4">
      <c r="A67" s="114" t="s">
        <v>76</v>
      </c>
    </row>
    <row r="68" spans="1:1" ht="19.5" hidden="1" customHeight="1" x14ac:dyDescent="0.4">
      <c r="A68" s="115" t="s">
        <v>77</v>
      </c>
    </row>
    <row r="69" spans="1:1" ht="19.5" hidden="1" customHeight="1" x14ac:dyDescent="0.4">
      <c r="A69" s="114" t="s">
        <v>116</v>
      </c>
    </row>
    <row r="70" spans="1:1" ht="19.5" hidden="1" customHeight="1" x14ac:dyDescent="0.4">
      <c r="A70" s="115" t="s">
        <v>117</v>
      </c>
    </row>
    <row r="71" spans="1:1" ht="19.5" hidden="1" customHeight="1" x14ac:dyDescent="0.4">
      <c r="A71" s="114" t="s">
        <v>118</v>
      </c>
    </row>
    <row r="72" spans="1:1" ht="19.5" hidden="1" customHeight="1" x14ac:dyDescent="0.4">
      <c r="A72" s="115" t="s">
        <v>119</v>
      </c>
    </row>
    <row r="73" spans="1:1" ht="19.5" hidden="1" customHeight="1" x14ac:dyDescent="0.4">
      <c r="A73" s="114" t="s">
        <v>120</v>
      </c>
    </row>
    <row r="74" spans="1:1" ht="19.5" hidden="1" customHeight="1" x14ac:dyDescent="0.4">
      <c r="A74" s="115" t="s">
        <v>121</v>
      </c>
    </row>
    <row r="75" spans="1:1" ht="19.5" hidden="1" customHeight="1" x14ac:dyDescent="0.4">
      <c r="A75" s="114" t="s">
        <v>122</v>
      </c>
    </row>
    <row r="76" spans="1:1" ht="19.5" hidden="1" customHeight="1" x14ac:dyDescent="0.4">
      <c r="A76" s="115" t="s">
        <v>123</v>
      </c>
    </row>
    <row r="77" spans="1:1" ht="19.5" hidden="1" customHeight="1" x14ac:dyDescent="0.4">
      <c r="A77" s="114" t="s">
        <v>124</v>
      </c>
    </row>
    <row r="78" spans="1:1" ht="19.5" hidden="1" customHeight="1" x14ac:dyDescent="0.4">
      <c r="A78" s="115" t="s">
        <v>125</v>
      </c>
    </row>
    <row r="79" spans="1:1" ht="19.5" hidden="1" customHeight="1" x14ac:dyDescent="0.4">
      <c r="A79" s="114" t="s">
        <v>126</v>
      </c>
    </row>
    <row r="80" spans="1:1" ht="19.5" hidden="1" customHeight="1" x14ac:dyDescent="0.4">
      <c r="A80" s="115" t="s">
        <v>127</v>
      </c>
    </row>
    <row r="81" spans="1:1" ht="19.5" hidden="1" customHeight="1" x14ac:dyDescent="0.4">
      <c r="A81" s="114" t="s">
        <v>128</v>
      </c>
    </row>
    <row r="82" spans="1:1" ht="19.5" hidden="1" customHeight="1" x14ac:dyDescent="0.4">
      <c r="A82" s="115" t="s">
        <v>129</v>
      </c>
    </row>
    <row r="83" spans="1:1" ht="19.5" hidden="1" customHeight="1" x14ac:dyDescent="0.4">
      <c r="A83" s="114" t="s">
        <v>130</v>
      </c>
    </row>
    <row r="84" spans="1:1" ht="19.5" hidden="1" customHeight="1" x14ac:dyDescent="0.4">
      <c r="A84" s="115" t="s">
        <v>131</v>
      </c>
    </row>
    <row r="85" spans="1:1" ht="19.5" hidden="1" customHeight="1" x14ac:dyDescent="0.4">
      <c r="A85" s="114" t="s">
        <v>132</v>
      </c>
    </row>
    <row r="86" spans="1:1" ht="19.5" hidden="1" customHeight="1" x14ac:dyDescent="0.4">
      <c r="A86" s="115" t="s">
        <v>133</v>
      </c>
    </row>
    <row r="87" spans="1:1" ht="19.5" hidden="1" customHeight="1" x14ac:dyDescent="0.4">
      <c r="A87" s="114" t="s">
        <v>134</v>
      </c>
    </row>
    <row r="88" spans="1:1" ht="19.5" hidden="1" customHeight="1" x14ac:dyDescent="0.4">
      <c r="A88" s="115" t="s">
        <v>135</v>
      </c>
    </row>
    <row r="89" spans="1:1" ht="19.5" hidden="1" customHeight="1" x14ac:dyDescent="0.4">
      <c r="A89" s="114" t="s">
        <v>136</v>
      </c>
    </row>
    <row r="90" spans="1:1" ht="19.5" hidden="1" customHeight="1" x14ac:dyDescent="0.4">
      <c r="A90" s="115" t="s">
        <v>137</v>
      </c>
    </row>
    <row r="91" spans="1:1" ht="19.5" hidden="1" customHeight="1" x14ac:dyDescent="0.4">
      <c r="A91" s="114" t="s">
        <v>138</v>
      </c>
    </row>
    <row r="92" spans="1:1" ht="19.5" hidden="1" customHeight="1" x14ac:dyDescent="0.4">
      <c r="A92" s="115" t="s">
        <v>139</v>
      </c>
    </row>
    <row r="93" spans="1:1" ht="19.5" hidden="1" customHeight="1" x14ac:dyDescent="0.4">
      <c r="A93" s="114" t="s">
        <v>140</v>
      </c>
    </row>
    <row r="94" spans="1:1" ht="19.5" hidden="1" customHeight="1" x14ac:dyDescent="0.4">
      <c r="A94" s="115" t="s">
        <v>141</v>
      </c>
    </row>
    <row r="95" spans="1:1" ht="19.5" hidden="1" customHeight="1" x14ac:dyDescent="0.4">
      <c r="A95" s="114" t="s">
        <v>142</v>
      </c>
    </row>
    <row r="96" spans="1:1" ht="19.5" hidden="1" customHeight="1" x14ac:dyDescent="0.4">
      <c r="A96" s="115" t="s">
        <v>143</v>
      </c>
    </row>
    <row r="97" spans="1:1" ht="19.5" hidden="1" customHeight="1" x14ac:dyDescent="0.4">
      <c r="A97" s="114" t="s">
        <v>144</v>
      </c>
    </row>
    <row r="98" spans="1:1" ht="19.5" hidden="1" customHeight="1" x14ac:dyDescent="0.4">
      <c r="A98" s="115" t="s">
        <v>145</v>
      </c>
    </row>
    <row r="99" spans="1:1" ht="19.5" hidden="1" customHeight="1" x14ac:dyDescent="0.4">
      <c r="A99" s="114" t="s">
        <v>146</v>
      </c>
    </row>
    <row r="100" spans="1:1" ht="19.5" hidden="1" customHeight="1" x14ac:dyDescent="0.4">
      <c r="A100" s="115" t="s">
        <v>147</v>
      </c>
    </row>
    <row r="101" spans="1:1" ht="19.5" hidden="1" customHeight="1" x14ac:dyDescent="0.4">
      <c r="A101" s="114" t="s">
        <v>148</v>
      </c>
    </row>
    <row r="102" spans="1:1" ht="19.5" hidden="1" customHeight="1" x14ac:dyDescent="0.4">
      <c r="A102" s="115" t="s">
        <v>149</v>
      </c>
    </row>
    <row r="103" spans="1:1" ht="19.5" hidden="1" customHeight="1" x14ac:dyDescent="0.4">
      <c r="A103" s="114" t="s">
        <v>150</v>
      </c>
    </row>
    <row r="104" spans="1:1" ht="19.5" hidden="1" customHeight="1" x14ac:dyDescent="0.4">
      <c r="A104" s="115" t="s">
        <v>151</v>
      </c>
    </row>
    <row r="105" spans="1:1" ht="19.5" hidden="1" customHeight="1" x14ac:dyDescent="0.4">
      <c r="A105" s="114" t="s">
        <v>152</v>
      </c>
    </row>
    <row r="106" spans="1:1" ht="19.5" hidden="1" customHeight="1" x14ac:dyDescent="0.4">
      <c r="A106" s="115" t="s">
        <v>153</v>
      </c>
    </row>
    <row r="107" spans="1:1" ht="19.5" hidden="1" customHeight="1" x14ac:dyDescent="0.4">
      <c r="A107" s="114" t="s">
        <v>154</v>
      </c>
    </row>
    <row r="108" spans="1:1" ht="19.5" hidden="1" customHeight="1" x14ac:dyDescent="0.4">
      <c r="A108" s="115" t="s">
        <v>155</v>
      </c>
    </row>
    <row r="109" spans="1:1" ht="19.5" hidden="1" customHeight="1" x14ac:dyDescent="0.4">
      <c r="A109" s="114" t="s">
        <v>156</v>
      </c>
    </row>
    <row r="110" spans="1:1" ht="19.5" hidden="1" customHeight="1" x14ac:dyDescent="0.4">
      <c r="A110" s="115" t="s">
        <v>157</v>
      </c>
    </row>
    <row r="111" spans="1:1" ht="19.5" hidden="1" customHeight="1" x14ac:dyDescent="0.4">
      <c r="A111" s="114"/>
    </row>
    <row r="112" spans="1:1" ht="19.5" hidden="1" customHeight="1" x14ac:dyDescent="0.4">
      <c r="A112" s="115" t="s">
        <v>159</v>
      </c>
    </row>
    <row r="113" spans="1:1" ht="19.5" hidden="1" customHeight="1" x14ac:dyDescent="0.4">
      <c r="A113" s="114" t="s">
        <v>160</v>
      </c>
    </row>
    <row r="114" spans="1:1" ht="19.5" hidden="1" customHeight="1" x14ac:dyDescent="0.4">
      <c r="A114" s="115" t="s">
        <v>161</v>
      </c>
    </row>
    <row r="115" spans="1:1" ht="19.5" hidden="1" customHeight="1" x14ac:dyDescent="0.4">
      <c r="A115" s="114" t="s">
        <v>162</v>
      </c>
    </row>
    <row r="116" spans="1:1" ht="19.5" hidden="1" customHeight="1" x14ac:dyDescent="0.4">
      <c r="A116" s="115" t="s">
        <v>163</v>
      </c>
    </row>
    <row r="117" spans="1:1" ht="19.5" hidden="1" customHeight="1" x14ac:dyDescent="0.4">
      <c r="A117" s="114" t="s">
        <v>164</v>
      </c>
    </row>
    <row r="118" spans="1:1" ht="19.5" hidden="1" customHeight="1" x14ac:dyDescent="0.4">
      <c r="A118" s="115" t="s">
        <v>165</v>
      </c>
    </row>
    <row r="119" spans="1:1" ht="19.5" hidden="1" customHeight="1" x14ac:dyDescent="0.4">
      <c r="A119" s="114" t="s">
        <v>166</v>
      </c>
    </row>
    <row r="120" spans="1:1" ht="19.5" hidden="1" customHeight="1" x14ac:dyDescent="0.4">
      <c r="A120" s="115" t="s">
        <v>167</v>
      </c>
    </row>
    <row r="121" spans="1:1" ht="19.5" hidden="1" customHeight="1" x14ac:dyDescent="0.4">
      <c r="A121" s="114" t="s">
        <v>168</v>
      </c>
    </row>
    <row r="122" spans="1:1" ht="19.5" hidden="1" customHeight="1" x14ac:dyDescent="0.4">
      <c r="A122" s="115" t="s">
        <v>169</v>
      </c>
    </row>
    <row r="123" spans="1:1" ht="19.5" hidden="1" customHeight="1" x14ac:dyDescent="0.4">
      <c r="A123" s="114" t="s">
        <v>170</v>
      </c>
    </row>
    <row r="124" spans="1:1" ht="19.5" hidden="1" customHeight="1" x14ac:dyDescent="0.4">
      <c r="A124" s="115" t="s">
        <v>171</v>
      </c>
    </row>
    <row r="125" spans="1:1" ht="19.5" hidden="1" customHeight="1" x14ac:dyDescent="0.4">
      <c r="A125" s="114" t="s">
        <v>172</v>
      </c>
    </row>
    <row r="126" spans="1:1" ht="19.5" hidden="1" customHeight="1" x14ac:dyDescent="0.4">
      <c r="A126" s="115" t="s">
        <v>173</v>
      </c>
    </row>
    <row r="127" spans="1:1" ht="19.5" hidden="1" customHeight="1" x14ac:dyDescent="0.4">
      <c r="A127" s="114" t="s">
        <v>174</v>
      </c>
    </row>
    <row r="128" spans="1:1" ht="19.5" hidden="1" customHeight="1" x14ac:dyDescent="0.4">
      <c r="A128" s="115" t="s">
        <v>175</v>
      </c>
    </row>
    <row r="129" spans="1:1" ht="19.5" hidden="1" customHeight="1" x14ac:dyDescent="0.4">
      <c r="A129" s="115" t="s">
        <v>176</v>
      </c>
    </row>
    <row r="130" spans="1:1" ht="19.5" hidden="1" customHeight="1" x14ac:dyDescent="0.4">
      <c r="A130" s="115" t="s">
        <v>177</v>
      </c>
    </row>
    <row r="131" spans="1:1" ht="19.5" hidden="1" customHeight="1" x14ac:dyDescent="0.4">
      <c r="A131" s="115" t="s">
        <v>178</v>
      </c>
    </row>
    <row r="132" spans="1:1" ht="19.5" hidden="1" customHeight="1" x14ac:dyDescent="0.4">
      <c r="A132" s="115" t="s">
        <v>179</v>
      </c>
    </row>
    <row r="133" spans="1:1" ht="19.5" hidden="1" customHeight="1" x14ac:dyDescent="0.4">
      <c r="A133" s="115" t="s">
        <v>180</v>
      </c>
    </row>
    <row r="134" spans="1:1" ht="19.5" hidden="1" customHeight="1" x14ac:dyDescent="0.4">
      <c r="A134" s="115" t="s">
        <v>181</v>
      </c>
    </row>
    <row r="135" spans="1:1" ht="19.5" hidden="1" customHeight="1" x14ac:dyDescent="0.4">
      <c r="A135" s="115" t="s">
        <v>182</v>
      </c>
    </row>
    <row r="136" spans="1:1" ht="19.5" hidden="1" customHeight="1" x14ac:dyDescent="0.4">
      <c r="A136" s="115" t="s">
        <v>183</v>
      </c>
    </row>
    <row r="137" spans="1:1" ht="19.5" hidden="1" customHeight="1" x14ac:dyDescent="0.4">
      <c r="A137" s="115" t="s">
        <v>184</v>
      </c>
    </row>
    <row r="138" spans="1:1" ht="19.5" hidden="1" customHeight="1" x14ac:dyDescent="0.4">
      <c r="A138" s="115" t="s">
        <v>185</v>
      </c>
    </row>
    <row r="139" spans="1:1" ht="19.5" hidden="1" customHeight="1" x14ac:dyDescent="0.4">
      <c r="A139" s="115" t="s">
        <v>186</v>
      </c>
    </row>
    <row r="140" spans="1:1" ht="19.5" hidden="1" customHeight="1" x14ac:dyDescent="0.4">
      <c r="A140" s="115" t="s">
        <v>187</v>
      </c>
    </row>
    <row r="141" spans="1:1" ht="19.5" hidden="1" customHeight="1" x14ac:dyDescent="0.4">
      <c r="A141" s="115" t="s">
        <v>188</v>
      </c>
    </row>
    <row r="142" spans="1:1" ht="19.5" hidden="1" customHeight="1" x14ac:dyDescent="0.4">
      <c r="A142" s="115" t="s">
        <v>189</v>
      </c>
    </row>
    <row r="143" spans="1:1" ht="19.5" hidden="1" customHeight="1" x14ac:dyDescent="0.4">
      <c r="A143" s="115" t="s">
        <v>190</v>
      </c>
    </row>
    <row r="144" spans="1:1" ht="19.5" hidden="1" customHeight="1" x14ac:dyDescent="0.4">
      <c r="A144" s="115" t="s">
        <v>191</v>
      </c>
    </row>
    <row r="145" spans="1:1" ht="19.5" hidden="1" customHeight="1" x14ac:dyDescent="0.4">
      <c r="A145" s="115" t="s">
        <v>192</v>
      </c>
    </row>
    <row r="146" spans="1:1" ht="19.5" hidden="1" customHeight="1" x14ac:dyDescent="0.4">
      <c r="A146" s="115" t="s">
        <v>193</v>
      </c>
    </row>
    <row r="147" spans="1:1" ht="19.5" hidden="1" customHeight="1" x14ac:dyDescent="0.4">
      <c r="A147" s="115" t="s">
        <v>194</v>
      </c>
    </row>
    <row r="148" spans="1:1" ht="19.5" hidden="1" customHeight="1" x14ac:dyDescent="0.4">
      <c r="A148" s="115" t="s">
        <v>195</v>
      </c>
    </row>
    <row r="149" spans="1:1" ht="19.5" hidden="1" customHeight="1" x14ac:dyDescent="0.4">
      <c r="A149" s="115" t="s">
        <v>196</v>
      </c>
    </row>
    <row r="150" spans="1:1" ht="19.5" hidden="1" customHeight="1" x14ac:dyDescent="0.4">
      <c r="A150" s="115" t="s">
        <v>197</v>
      </c>
    </row>
    <row r="151" spans="1:1" ht="19.5" hidden="1" customHeight="1" x14ac:dyDescent="0.4">
      <c r="A151" s="115" t="s">
        <v>198</v>
      </c>
    </row>
    <row r="152" spans="1:1" ht="19.5" hidden="1" customHeight="1" x14ac:dyDescent="0.4">
      <c r="A152" s="115" t="s">
        <v>199</v>
      </c>
    </row>
    <row r="153" spans="1:1" ht="19.5" hidden="1" customHeight="1" x14ac:dyDescent="0.4">
      <c r="A153" s="115" t="s">
        <v>200</v>
      </c>
    </row>
    <row r="154" spans="1:1" ht="19.5" hidden="1" customHeight="1" x14ac:dyDescent="0.4">
      <c r="A154" s="115" t="s">
        <v>201</v>
      </c>
    </row>
    <row r="155" spans="1:1" ht="19.5" hidden="1" customHeight="1" x14ac:dyDescent="0.4">
      <c r="A155" s="115" t="s">
        <v>202</v>
      </c>
    </row>
    <row r="156" spans="1:1" ht="19.5" hidden="1" customHeight="1" x14ac:dyDescent="0.4">
      <c r="A156" s="115" t="s">
        <v>203</v>
      </c>
    </row>
    <row r="157" spans="1:1" ht="19.5" hidden="1" customHeight="1" x14ac:dyDescent="0.4">
      <c r="A157" s="115" t="s">
        <v>204</v>
      </c>
    </row>
    <row r="158" spans="1:1" ht="19.5" hidden="1" customHeight="1" x14ac:dyDescent="0.4">
      <c r="A158" s="115" t="s">
        <v>205</v>
      </c>
    </row>
    <row r="159" spans="1:1" ht="19.5" hidden="1" customHeight="1" x14ac:dyDescent="0.4">
      <c r="A159" s="115" t="s">
        <v>206</v>
      </c>
    </row>
    <row r="160" spans="1:1" ht="19.5" hidden="1" customHeight="1" x14ac:dyDescent="0.4">
      <c r="A160" s="115" t="s">
        <v>207</v>
      </c>
    </row>
    <row r="161" spans="1:1" ht="19.5" hidden="1" customHeight="1" x14ac:dyDescent="0.4">
      <c r="A161" s="115" t="s">
        <v>208</v>
      </c>
    </row>
    <row r="162" spans="1:1" ht="19.5" hidden="1" customHeight="1" x14ac:dyDescent="0.4">
      <c r="A162" s="115" t="s">
        <v>209</v>
      </c>
    </row>
    <row r="163" spans="1:1" ht="19.5" hidden="1" customHeight="1" x14ac:dyDescent="0.4">
      <c r="A163" s="115" t="s">
        <v>210</v>
      </c>
    </row>
    <row r="164" spans="1:1" ht="19.5" hidden="1" customHeight="1" x14ac:dyDescent="0.4">
      <c r="A164" s="115" t="s">
        <v>211</v>
      </c>
    </row>
    <row r="165" spans="1:1" ht="19.5" hidden="1" customHeight="1" x14ac:dyDescent="0.4">
      <c r="A165" s="115" t="s">
        <v>212</v>
      </c>
    </row>
    <row r="166" spans="1:1" ht="19.5" hidden="1" customHeight="1" x14ac:dyDescent="0.4">
      <c r="A166" s="115" t="s">
        <v>213</v>
      </c>
    </row>
    <row r="167" spans="1:1" ht="19.5" hidden="1" customHeight="1" x14ac:dyDescent="0.4">
      <c r="A167" s="115" t="s">
        <v>214</v>
      </c>
    </row>
    <row r="168" spans="1:1" ht="19.5" hidden="1" customHeight="1" x14ac:dyDescent="0.4">
      <c r="A168" s="115" t="s">
        <v>215</v>
      </c>
    </row>
    <row r="169" spans="1:1" ht="19.5" hidden="1" customHeight="1" x14ac:dyDescent="0.4">
      <c r="A169" s="115" t="s">
        <v>216</v>
      </c>
    </row>
    <row r="170" spans="1:1" ht="19.5" hidden="1" customHeight="1" x14ac:dyDescent="0.4">
      <c r="A170" s="115" t="s">
        <v>217</v>
      </c>
    </row>
    <row r="171" spans="1:1" ht="19.5" hidden="1" customHeight="1" x14ac:dyDescent="0.4">
      <c r="A171" s="115" t="s">
        <v>218</v>
      </c>
    </row>
    <row r="172" spans="1:1" ht="19.5" hidden="1" customHeight="1" x14ac:dyDescent="0.4">
      <c r="A172" s="115" t="s">
        <v>219</v>
      </c>
    </row>
    <row r="173" spans="1:1" ht="19.5" hidden="1" customHeight="1" x14ac:dyDescent="0.4">
      <c r="A173" s="115" t="s">
        <v>220</v>
      </c>
    </row>
    <row r="174" spans="1:1" ht="19.5" hidden="1" customHeight="1" x14ac:dyDescent="0.4">
      <c r="A174" s="115" t="s">
        <v>221</v>
      </c>
    </row>
    <row r="175" spans="1:1" ht="19.5" hidden="1" customHeight="1" x14ac:dyDescent="0.4">
      <c r="A175" s="115" t="s">
        <v>222</v>
      </c>
    </row>
    <row r="176" spans="1:1" ht="19.5" hidden="1" customHeight="1" x14ac:dyDescent="0.4">
      <c r="A176" s="115" t="s">
        <v>223</v>
      </c>
    </row>
    <row r="177" spans="1:1" ht="19.5" hidden="1" customHeight="1" x14ac:dyDescent="0.4">
      <c r="A177" s="115" t="s">
        <v>224</v>
      </c>
    </row>
    <row r="178" spans="1:1" ht="19.5" hidden="1" customHeight="1" x14ac:dyDescent="0.4">
      <c r="A178" s="115" t="s">
        <v>225</v>
      </c>
    </row>
    <row r="179" spans="1:1" ht="19.5" hidden="1" customHeight="1" x14ac:dyDescent="0.4">
      <c r="A179" s="115" t="s">
        <v>226</v>
      </c>
    </row>
    <row r="180" spans="1:1" ht="19.5" hidden="1" customHeight="1" x14ac:dyDescent="0.4">
      <c r="A180" s="115" t="s">
        <v>227</v>
      </c>
    </row>
    <row r="181" spans="1:1" ht="19.5" hidden="1" customHeight="1" x14ac:dyDescent="0.4">
      <c r="A181" s="115" t="s">
        <v>228</v>
      </c>
    </row>
    <row r="182" spans="1:1" ht="19.5" hidden="1" customHeight="1" x14ac:dyDescent="0.4">
      <c r="A182" s="115" t="s">
        <v>229</v>
      </c>
    </row>
    <row r="183" spans="1:1" ht="19.5" hidden="1" customHeight="1" x14ac:dyDescent="0.4">
      <c r="A183" s="115" t="s">
        <v>230</v>
      </c>
    </row>
    <row r="184" spans="1:1" ht="19.5" hidden="1" customHeight="1" x14ac:dyDescent="0.4">
      <c r="A184" s="115" t="s">
        <v>231</v>
      </c>
    </row>
    <row r="185" spans="1:1" ht="19.5" hidden="1" customHeight="1" x14ac:dyDescent="0.4">
      <c r="A185" s="115" t="s">
        <v>232</v>
      </c>
    </row>
    <row r="186" spans="1:1" ht="19.5" hidden="1" customHeight="1" x14ac:dyDescent="0.4">
      <c r="A186" s="115" t="s">
        <v>233</v>
      </c>
    </row>
    <row r="187" spans="1:1" ht="19.5" hidden="1" customHeight="1" x14ac:dyDescent="0.4">
      <c r="A187" s="115" t="s">
        <v>234</v>
      </c>
    </row>
    <row r="188" spans="1:1" ht="19.5" hidden="1" customHeight="1" x14ac:dyDescent="0.4">
      <c r="A188" s="115" t="s">
        <v>235</v>
      </c>
    </row>
    <row r="189" spans="1:1" ht="19.5" hidden="1" customHeight="1" x14ac:dyDescent="0.4">
      <c r="A189" s="115" t="s">
        <v>236</v>
      </c>
    </row>
    <row r="190" spans="1:1" ht="19.5" hidden="1" customHeight="1" x14ac:dyDescent="0.4">
      <c r="A190" s="115" t="s">
        <v>237</v>
      </c>
    </row>
    <row r="191" spans="1:1" ht="19.5" hidden="1" customHeight="1" x14ac:dyDescent="0.4">
      <c r="A191" s="115" t="s">
        <v>238</v>
      </c>
    </row>
    <row r="192" spans="1:1" ht="19.5" hidden="1" customHeight="1" x14ac:dyDescent="0.4">
      <c r="A192" s="115" t="s">
        <v>239</v>
      </c>
    </row>
    <row r="193" spans="1:1" ht="19.5" hidden="1" customHeight="1" x14ac:dyDescent="0.4">
      <c r="A193" s="115" t="s">
        <v>240</v>
      </c>
    </row>
    <row r="194" spans="1:1" ht="19.5" hidden="1" customHeight="1" x14ac:dyDescent="0.4">
      <c r="A194" s="115" t="s">
        <v>241</v>
      </c>
    </row>
    <row r="195" spans="1:1" ht="19.5" hidden="1" customHeight="1" x14ac:dyDescent="0.4">
      <c r="A195" s="115" t="s">
        <v>242</v>
      </c>
    </row>
    <row r="196" spans="1:1" ht="19.5" hidden="1" customHeight="1" x14ac:dyDescent="0.4">
      <c r="A196" s="115" t="s">
        <v>243</v>
      </c>
    </row>
    <row r="197" spans="1:1" ht="19.5" hidden="1" customHeight="1" x14ac:dyDescent="0.4">
      <c r="A197" s="115" t="s">
        <v>244</v>
      </c>
    </row>
    <row r="198" spans="1:1" ht="19.5" hidden="1" customHeight="1" x14ac:dyDescent="0.4">
      <c r="A198" s="115" t="s">
        <v>245</v>
      </c>
    </row>
    <row r="199" spans="1:1" ht="19.5" hidden="1" customHeight="1" x14ac:dyDescent="0.4">
      <c r="A199" s="115" t="s">
        <v>246</v>
      </c>
    </row>
    <row r="200" spans="1:1" ht="19.5" hidden="1" customHeight="1" x14ac:dyDescent="0.4">
      <c r="A200" s="115" t="s">
        <v>247</v>
      </c>
    </row>
    <row r="201" spans="1:1" ht="19.5" hidden="1" customHeight="1" x14ac:dyDescent="0.4">
      <c r="A201" s="115" t="s">
        <v>248</v>
      </c>
    </row>
    <row r="202" spans="1:1" ht="19.5" hidden="1" customHeight="1" x14ac:dyDescent="0.4">
      <c r="A202" s="115" t="s">
        <v>249</v>
      </c>
    </row>
    <row r="203" spans="1:1" ht="19.5" hidden="1" customHeight="1" x14ac:dyDescent="0.4">
      <c r="A203" s="115" t="s">
        <v>250</v>
      </c>
    </row>
    <row r="204" spans="1:1" ht="19.5" hidden="1" customHeight="1" x14ac:dyDescent="0.4">
      <c r="A204" s="115" t="s">
        <v>251</v>
      </c>
    </row>
    <row r="205" spans="1:1" ht="19.5" hidden="1" customHeight="1" x14ac:dyDescent="0.4">
      <c r="A205" s="115" t="s">
        <v>252</v>
      </c>
    </row>
    <row r="206" spans="1:1" ht="19.5" hidden="1" customHeight="1" x14ac:dyDescent="0.4">
      <c r="A206" s="115" t="s">
        <v>253</v>
      </c>
    </row>
    <row r="207" spans="1:1" ht="19.5" hidden="1" customHeight="1" x14ac:dyDescent="0.4">
      <c r="A207" s="115" t="s">
        <v>254</v>
      </c>
    </row>
    <row r="208" spans="1:1" ht="19.5" hidden="1" customHeight="1" x14ac:dyDescent="0.4">
      <c r="A208" s="115" t="s">
        <v>255</v>
      </c>
    </row>
    <row r="209" spans="1:1" ht="19.5" hidden="1" customHeight="1" x14ac:dyDescent="0.4">
      <c r="A209" s="115" t="s">
        <v>256</v>
      </c>
    </row>
    <row r="210" spans="1:1" ht="19.5" hidden="1" customHeight="1" x14ac:dyDescent="0.4">
      <c r="A210" s="115" t="s">
        <v>257</v>
      </c>
    </row>
    <row r="211" spans="1:1" ht="19.5" hidden="1" customHeight="1" x14ac:dyDescent="0.4">
      <c r="A211" s="115" t="s">
        <v>258</v>
      </c>
    </row>
    <row r="212" spans="1:1" ht="19.5" hidden="1" customHeight="1" x14ac:dyDescent="0.4">
      <c r="A212" s="115" t="s">
        <v>259</v>
      </c>
    </row>
    <row r="213" spans="1:1" ht="19.5" hidden="1" customHeight="1" x14ac:dyDescent="0.4">
      <c r="A213" s="115" t="s">
        <v>260</v>
      </c>
    </row>
    <row r="214" spans="1:1" ht="19.5" hidden="1" customHeight="1" x14ac:dyDescent="0.4">
      <c r="A214" s="115" t="s">
        <v>261</v>
      </c>
    </row>
    <row r="215" spans="1:1" ht="19.5" hidden="1" customHeight="1" x14ac:dyDescent="0.4">
      <c r="A215" s="115" t="s">
        <v>262</v>
      </c>
    </row>
    <row r="216" spans="1:1" ht="19.5" hidden="1" customHeight="1" x14ac:dyDescent="0.4">
      <c r="A216" s="115" t="s">
        <v>263</v>
      </c>
    </row>
    <row r="217" spans="1:1" ht="19.5" hidden="1" customHeight="1" x14ac:dyDescent="0.4">
      <c r="A217" s="115" t="s">
        <v>264</v>
      </c>
    </row>
    <row r="218" spans="1:1" ht="19.5" hidden="1" customHeight="1" x14ac:dyDescent="0.4">
      <c r="A218" s="115" t="s">
        <v>265</v>
      </c>
    </row>
    <row r="219" spans="1:1" ht="19.5" hidden="1" customHeight="1" x14ac:dyDescent="0.4">
      <c r="A219" s="115" t="s">
        <v>266</v>
      </c>
    </row>
    <row r="220" spans="1:1" ht="19.5" hidden="1" customHeight="1" x14ac:dyDescent="0.4">
      <c r="A220" s="115" t="s">
        <v>267</v>
      </c>
    </row>
    <row r="221" spans="1:1" ht="19.5" hidden="1" customHeight="1" x14ac:dyDescent="0.4">
      <c r="A221" s="115" t="s">
        <v>268</v>
      </c>
    </row>
    <row r="222" spans="1:1" ht="19.5" hidden="1" customHeight="1" x14ac:dyDescent="0.4">
      <c r="A222" s="115" t="s">
        <v>269</v>
      </c>
    </row>
    <row r="223" spans="1:1" ht="19.5" hidden="1" customHeight="1" x14ac:dyDescent="0.4">
      <c r="A223" s="115" t="s">
        <v>270</v>
      </c>
    </row>
    <row r="224" spans="1:1" ht="19.5" hidden="1" customHeight="1" x14ac:dyDescent="0.4">
      <c r="A224" s="115" t="s">
        <v>271</v>
      </c>
    </row>
    <row r="225" spans="1:1" ht="19.5" hidden="1" customHeight="1" x14ac:dyDescent="0.4">
      <c r="A225" s="115" t="s">
        <v>272</v>
      </c>
    </row>
    <row r="226" spans="1:1" ht="19.5" hidden="1" customHeight="1" x14ac:dyDescent="0.4">
      <c r="A226" s="115" t="s">
        <v>273</v>
      </c>
    </row>
    <row r="227" spans="1:1" ht="19.5" hidden="1" customHeight="1" x14ac:dyDescent="0.4">
      <c r="A227" s="115" t="s">
        <v>274</v>
      </c>
    </row>
    <row r="228" spans="1:1" ht="19.5" hidden="1" customHeight="1" x14ac:dyDescent="0.4">
      <c r="A228" s="115" t="s">
        <v>275</v>
      </c>
    </row>
    <row r="229" spans="1:1" ht="19.5" hidden="1" customHeight="1" x14ac:dyDescent="0.4">
      <c r="A229" s="115" t="s">
        <v>276</v>
      </c>
    </row>
    <row r="230" spans="1:1" ht="19.5" hidden="1" customHeight="1" x14ac:dyDescent="0.4">
      <c r="A230" s="115" t="s">
        <v>277</v>
      </c>
    </row>
    <row r="231" spans="1:1" ht="19.5" hidden="1" customHeight="1" x14ac:dyDescent="0.4">
      <c r="A231" s="115" t="s">
        <v>278</v>
      </c>
    </row>
    <row r="232" spans="1:1" ht="19.5" hidden="1" customHeight="1" x14ac:dyDescent="0.4">
      <c r="A232" s="117" t="s">
        <v>279</v>
      </c>
    </row>
    <row r="233" spans="1:1" ht="19.5" hidden="1" customHeight="1" x14ac:dyDescent="0.4">
      <c r="A233" s="117" t="s">
        <v>280</v>
      </c>
    </row>
    <row r="234" spans="1:1" ht="19.5" hidden="1" customHeight="1" x14ac:dyDescent="0.4">
      <c r="A234" s="117" t="s">
        <v>281</v>
      </c>
    </row>
    <row r="235" spans="1:1" ht="19.5" hidden="1" customHeight="1" x14ac:dyDescent="0.4">
      <c r="A235" s="117" t="s">
        <v>282</v>
      </c>
    </row>
    <row r="236" spans="1:1" ht="19.5" hidden="1" customHeight="1" x14ac:dyDescent="0.4">
      <c r="A236" s="117" t="s">
        <v>283</v>
      </c>
    </row>
    <row r="237" spans="1:1" ht="19.5" hidden="1" customHeight="1" x14ac:dyDescent="0.4">
      <c r="A237" s="117" t="s">
        <v>284</v>
      </c>
    </row>
    <row r="238" spans="1:1" ht="19.5" hidden="1" customHeight="1" x14ac:dyDescent="0.4">
      <c r="A238" s="117" t="s">
        <v>285</v>
      </c>
    </row>
    <row r="239" spans="1:1" ht="19.5" hidden="1" customHeight="1" x14ac:dyDescent="0.4">
      <c r="A239" s="117" t="s">
        <v>286</v>
      </c>
    </row>
    <row r="240" spans="1:1" ht="19.5" hidden="1" customHeight="1" x14ac:dyDescent="0.4">
      <c r="A240" s="117" t="s">
        <v>287</v>
      </c>
    </row>
    <row r="241" spans="1:1" ht="19.5" hidden="1" customHeight="1" x14ac:dyDescent="0.4">
      <c r="A241" s="117" t="s">
        <v>288</v>
      </c>
    </row>
    <row r="242" spans="1:1" ht="19.5" hidden="1" customHeight="1" x14ac:dyDescent="0.4">
      <c r="A242" s="117" t="s">
        <v>289</v>
      </c>
    </row>
    <row r="243" spans="1:1" ht="19.5" hidden="1" customHeight="1" x14ac:dyDescent="0.4">
      <c r="A243" s="117" t="s">
        <v>290</v>
      </c>
    </row>
    <row r="244" spans="1:1" ht="19.5" hidden="1" customHeight="1" x14ac:dyDescent="0.4">
      <c r="A244" s="117" t="s">
        <v>291</v>
      </c>
    </row>
    <row r="245" spans="1:1" ht="19.5" hidden="1" customHeight="1" x14ac:dyDescent="0.4">
      <c r="A245" s="117" t="s">
        <v>292</v>
      </c>
    </row>
    <row r="246" spans="1:1" ht="19.5" hidden="1" customHeight="1" x14ac:dyDescent="0.4">
      <c r="A246" s="117" t="s">
        <v>293</v>
      </c>
    </row>
    <row r="247" spans="1:1" ht="19.5" hidden="1" customHeight="1" x14ac:dyDescent="0.4">
      <c r="A247" s="117" t="s">
        <v>294</v>
      </c>
    </row>
    <row r="248" spans="1:1" ht="19.5" hidden="1" customHeight="1" x14ac:dyDescent="0.4">
      <c r="A248" s="117" t="s">
        <v>295</v>
      </c>
    </row>
    <row r="249" spans="1:1" ht="19.5" hidden="1" customHeight="1" x14ac:dyDescent="0.4">
      <c r="A249" s="117" t="s">
        <v>296</v>
      </c>
    </row>
    <row r="250" spans="1:1" ht="19.5" hidden="1" customHeight="1" x14ac:dyDescent="0.4">
      <c r="A250" s="117" t="s">
        <v>297</v>
      </c>
    </row>
    <row r="251" spans="1:1" ht="19.5" hidden="1" customHeight="1" x14ac:dyDescent="0.4">
      <c r="A251" s="118" t="s">
        <v>298</v>
      </c>
    </row>
    <row r="252" spans="1:1" ht="19.5" hidden="1" customHeight="1" x14ac:dyDescent="0.4">
      <c r="A252" s="118" t="s">
        <v>299</v>
      </c>
    </row>
    <row r="253" spans="1:1" ht="19.5" hidden="1" customHeight="1" x14ac:dyDescent="0.4">
      <c r="A253" s="118" t="s">
        <v>300</v>
      </c>
    </row>
    <row r="254" spans="1:1" ht="19.5" hidden="1" customHeight="1" x14ac:dyDescent="0.4">
      <c r="A254" s="118" t="s">
        <v>301</v>
      </c>
    </row>
    <row r="255" spans="1:1" ht="19.5" hidden="1" customHeight="1" x14ac:dyDescent="0.4">
      <c r="A255" s="118" t="s">
        <v>302</v>
      </c>
    </row>
    <row r="256" spans="1:1" ht="19.5" hidden="1" customHeight="1" x14ac:dyDescent="0.4">
      <c r="A256" s="118" t="s">
        <v>303</v>
      </c>
    </row>
    <row r="257" spans="1:1" ht="19.5" hidden="1" customHeight="1" x14ac:dyDescent="0.4">
      <c r="A257" s="118" t="s">
        <v>304</v>
      </c>
    </row>
    <row r="258" spans="1:1" ht="19.5" hidden="1" customHeight="1" x14ac:dyDescent="0.4">
      <c r="A258" s="118" t="s">
        <v>305</v>
      </c>
    </row>
    <row r="259" spans="1:1" ht="19.5" hidden="1" customHeight="1" x14ac:dyDescent="0.4">
      <c r="A259" s="118" t="s">
        <v>306</v>
      </c>
    </row>
    <row r="260" spans="1:1" ht="19.5" hidden="1" customHeight="1" x14ac:dyDescent="0.4">
      <c r="A260" s="118" t="s">
        <v>255</v>
      </c>
    </row>
    <row r="261" spans="1:1" ht="19.5" hidden="1" customHeight="1" x14ac:dyDescent="0.4">
      <c r="A261" s="118" t="s">
        <v>307</v>
      </c>
    </row>
    <row r="262" spans="1:1" ht="19.5" hidden="1" customHeight="1" x14ac:dyDescent="0.4">
      <c r="A262" s="118" t="s">
        <v>175</v>
      </c>
    </row>
    <row r="263" spans="1:1" ht="19.5" hidden="1" customHeight="1" x14ac:dyDescent="0.4">
      <c r="A263" s="118" t="s">
        <v>193</v>
      </c>
    </row>
    <row r="264" spans="1:1" ht="19.5" hidden="1" customHeight="1" x14ac:dyDescent="0.4">
      <c r="A264" s="118" t="s">
        <v>308</v>
      </c>
    </row>
    <row r="265" spans="1:1" ht="19.5" hidden="1" customHeight="1" x14ac:dyDescent="0.4">
      <c r="A265" s="118" t="s">
        <v>309</v>
      </c>
    </row>
    <row r="266" spans="1:1" ht="19.5" hidden="1" customHeight="1" x14ac:dyDescent="0.4">
      <c r="A266" s="118" t="s">
        <v>278</v>
      </c>
    </row>
    <row r="267" spans="1:1" ht="19.5" hidden="1" customHeight="1" x14ac:dyDescent="0.4">
      <c r="A267" s="118" t="s">
        <v>310</v>
      </c>
    </row>
    <row r="268" spans="1:1" ht="19.5" hidden="1" customHeight="1" x14ac:dyDescent="0.4">
      <c r="A268" s="118" t="s">
        <v>311</v>
      </c>
    </row>
    <row r="269" spans="1:1" ht="19.5" hidden="1" customHeight="1" x14ac:dyDescent="0.4">
      <c r="A269" s="118" t="s">
        <v>312</v>
      </c>
    </row>
    <row r="270" spans="1:1" ht="19.5" hidden="1" customHeight="1" x14ac:dyDescent="0.4">
      <c r="A270" s="118" t="s">
        <v>313</v>
      </c>
    </row>
    <row r="271" spans="1:1" ht="19.5" hidden="1" customHeight="1" x14ac:dyDescent="0.4">
      <c r="A271" s="118" t="s">
        <v>314</v>
      </c>
    </row>
    <row r="272" spans="1:1" ht="19.5" hidden="1" customHeight="1" x14ac:dyDescent="0.4">
      <c r="A272" s="118" t="s">
        <v>142</v>
      </c>
    </row>
    <row r="273" spans="1:1" ht="19.5" hidden="1" customHeight="1" x14ac:dyDescent="0.4">
      <c r="A273" s="118" t="s">
        <v>172</v>
      </c>
    </row>
    <row r="274" spans="1:1" ht="19.5" hidden="1" customHeight="1" x14ac:dyDescent="0.4">
      <c r="A274" s="118" t="s">
        <v>167</v>
      </c>
    </row>
    <row r="275" spans="1:1" ht="19.5" hidden="1" customHeight="1" x14ac:dyDescent="0.4">
      <c r="A275" s="118" t="s">
        <v>162</v>
      </c>
    </row>
    <row r="276" spans="1:1" ht="19.5" hidden="1" customHeight="1" x14ac:dyDescent="0.4">
      <c r="A276" s="118" t="s">
        <v>315</v>
      </c>
    </row>
    <row r="277" spans="1:1" ht="19.5" hidden="1" customHeight="1" x14ac:dyDescent="0.4">
      <c r="A277" s="118" t="s">
        <v>316</v>
      </c>
    </row>
    <row r="278" spans="1:1" ht="19.5" hidden="1" customHeight="1" x14ac:dyDescent="0.4">
      <c r="A278" s="118" t="s">
        <v>317</v>
      </c>
    </row>
    <row r="279" spans="1:1" ht="19.5" hidden="1" customHeight="1" x14ac:dyDescent="0.4">
      <c r="A279" s="118" t="s">
        <v>318</v>
      </c>
    </row>
    <row r="280" spans="1:1" ht="19.5" hidden="1" customHeight="1" x14ac:dyDescent="0.4">
      <c r="A280" s="118" t="s">
        <v>319</v>
      </c>
    </row>
    <row r="281" spans="1:1" ht="19.5" hidden="1" customHeight="1" x14ac:dyDescent="0.4">
      <c r="A281" s="118" t="s">
        <v>320</v>
      </c>
    </row>
    <row r="282" spans="1:1" ht="19.5" hidden="1" customHeight="1" x14ac:dyDescent="0.4">
      <c r="A282" s="118" t="s">
        <v>321</v>
      </c>
    </row>
    <row r="283" spans="1:1" ht="19.5" hidden="1" customHeight="1" x14ac:dyDescent="0.4">
      <c r="A283" s="118" t="s">
        <v>322</v>
      </c>
    </row>
    <row r="284" spans="1:1" ht="19.5" hidden="1" customHeight="1" x14ac:dyDescent="0.4">
      <c r="A284" s="118" t="s">
        <v>323</v>
      </c>
    </row>
    <row r="285" spans="1:1" ht="19.5" hidden="1" customHeight="1" x14ac:dyDescent="0.4">
      <c r="A285" s="118" t="s">
        <v>324</v>
      </c>
    </row>
    <row r="286" spans="1:1" ht="19.5" hidden="1" customHeight="1" x14ac:dyDescent="0.4">
      <c r="A286" s="118" t="s">
        <v>325</v>
      </c>
    </row>
    <row r="287" spans="1:1" ht="19.5" hidden="1" customHeight="1" x14ac:dyDescent="0.4">
      <c r="A287" s="118" t="s">
        <v>326</v>
      </c>
    </row>
    <row r="288" spans="1:1" ht="19.5" hidden="1" customHeight="1" x14ac:dyDescent="0.4">
      <c r="A288" s="118" t="s">
        <v>321</v>
      </c>
    </row>
    <row r="289" spans="1:1" ht="19.5" hidden="1" customHeight="1" x14ac:dyDescent="0.4">
      <c r="A289" s="118" t="s">
        <v>327</v>
      </c>
    </row>
    <row r="290" spans="1:1" ht="19.5" hidden="1" customHeight="1" x14ac:dyDescent="0.4">
      <c r="A290" s="118" t="s">
        <v>328</v>
      </c>
    </row>
    <row r="291" spans="1:1" ht="19.5" hidden="1" customHeight="1" x14ac:dyDescent="0.4">
      <c r="A291" s="118" t="s">
        <v>329</v>
      </c>
    </row>
    <row r="292" spans="1:1" ht="19.5" hidden="1" customHeight="1" x14ac:dyDescent="0.4">
      <c r="A292" s="118" t="s">
        <v>330</v>
      </c>
    </row>
    <row r="293" spans="1:1" ht="19.5" hidden="1" customHeight="1" x14ac:dyDescent="0.4">
      <c r="A293" s="118" t="s">
        <v>331</v>
      </c>
    </row>
    <row r="294" spans="1:1" ht="19.5" hidden="1" customHeight="1" x14ac:dyDescent="0.4">
      <c r="A294" s="118" t="s">
        <v>194</v>
      </c>
    </row>
    <row r="295" spans="1:1" ht="19.5" hidden="1" customHeight="1" x14ac:dyDescent="0.4">
      <c r="A295" s="118" t="s">
        <v>332</v>
      </c>
    </row>
    <row r="296" spans="1:1" ht="19.5" hidden="1" customHeight="1" x14ac:dyDescent="0.4">
      <c r="A296" s="118" t="s">
        <v>333</v>
      </c>
    </row>
    <row r="297" spans="1:1" ht="19.5" hidden="1" customHeight="1" x14ac:dyDescent="0.4">
      <c r="A297" s="118" t="s">
        <v>334</v>
      </c>
    </row>
    <row r="298" spans="1:1" ht="19.5" hidden="1" customHeight="1" x14ac:dyDescent="0.4">
      <c r="A298" s="118" t="s">
        <v>335</v>
      </c>
    </row>
    <row r="299" spans="1:1" ht="19.5" hidden="1" customHeight="1" x14ac:dyDescent="0.4">
      <c r="A299" s="118" t="s">
        <v>569</v>
      </c>
    </row>
    <row r="300" spans="1:1" ht="19.5" hidden="1" customHeight="1" x14ac:dyDescent="0.4">
      <c r="A300" s="118" t="s">
        <v>336</v>
      </c>
    </row>
    <row r="301" spans="1:1" ht="19.5" hidden="1" customHeight="1" x14ac:dyDescent="0.4">
      <c r="A301" s="118" t="s">
        <v>337</v>
      </c>
    </row>
    <row r="302" spans="1:1" ht="19.5" hidden="1" customHeight="1" x14ac:dyDescent="0.4">
      <c r="A302" s="118" t="s">
        <v>338</v>
      </c>
    </row>
    <row r="303" spans="1:1" ht="19.5" hidden="1" customHeight="1" x14ac:dyDescent="0.4">
      <c r="A303" s="118" t="s">
        <v>339</v>
      </c>
    </row>
    <row r="304" spans="1:1" ht="19.5" hidden="1" customHeight="1" x14ac:dyDescent="0.4">
      <c r="A304" s="118" t="s">
        <v>340</v>
      </c>
    </row>
    <row r="305" spans="1:1" ht="19.5" hidden="1" customHeight="1" x14ac:dyDescent="0.4">
      <c r="A305" s="118" t="s">
        <v>341</v>
      </c>
    </row>
    <row r="306" spans="1:1" ht="19.5" hidden="1" customHeight="1" x14ac:dyDescent="0.4">
      <c r="A306" s="118" t="s">
        <v>342</v>
      </c>
    </row>
    <row r="307" spans="1:1" ht="19.5" hidden="1" customHeight="1" x14ac:dyDescent="0.4">
      <c r="A307" s="118" t="s">
        <v>343</v>
      </c>
    </row>
    <row r="308" spans="1:1" ht="19.5" hidden="1" customHeight="1" x14ac:dyDescent="0.4">
      <c r="A308" s="118"/>
    </row>
    <row r="309" spans="1:1" ht="19.5" hidden="1" customHeight="1" x14ac:dyDescent="0.4">
      <c r="A309" s="118" t="s">
        <v>344</v>
      </c>
    </row>
    <row r="310" spans="1:1" ht="19.5" hidden="1" customHeight="1" x14ac:dyDescent="0.4">
      <c r="A310" s="118" t="s">
        <v>345</v>
      </c>
    </row>
    <row r="311" spans="1:1" ht="19.5" hidden="1" customHeight="1" x14ac:dyDescent="0.4">
      <c r="A311" s="118" t="s">
        <v>346</v>
      </c>
    </row>
    <row r="312" spans="1:1" ht="19.5" hidden="1" customHeight="1" x14ac:dyDescent="0.4">
      <c r="A312" s="118" t="s">
        <v>347</v>
      </c>
    </row>
    <row r="313" spans="1:1" ht="19.5" hidden="1" customHeight="1" x14ac:dyDescent="0.4">
      <c r="A313" s="118" t="s">
        <v>348</v>
      </c>
    </row>
    <row r="314" spans="1:1" ht="19.5" hidden="1" customHeight="1" x14ac:dyDescent="0.4">
      <c r="A314" s="118" t="s">
        <v>349</v>
      </c>
    </row>
    <row r="315" spans="1:1" ht="19.5" hidden="1" customHeight="1" x14ac:dyDescent="0.4">
      <c r="A315" s="118" t="s">
        <v>350</v>
      </c>
    </row>
    <row r="316" spans="1:1" ht="19.5" hidden="1" customHeight="1" x14ac:dyDescent="0.4">
      <c r="A316" s="118" t="s">
        <v>351</v>
      </c>
    </row>
    <row r="317" spans="1:1" ht="19.5" hidden="1" customHeight="1" x14ac:dyDescent="0.4">
      <c r="A317" s="118" t="s">
        <v>206</v>
      </c>
    </row>
    <row r="318" spans="1:1" ht="19.5" hidden="1" customHeight="1" x14ac:dyDescent="0.4">
      <c r="A318" s="118"/>
    </row>
    <row r="319" spans="1:1" ht="19.5" hidden="1" customHeight="1" x14ac:dyDescent="0.4">
      <c r="A319" s="118" t="s">
        <v>353</v>
      </c>
    </row>
    <row r="320" spans="1:1" ht="19.5" hidden="1" customHeight="1" x14ac:dyDescent="0.4">
      <c r="A320" s="118" t="s">
        <v>354</v>
      </c>
    </row>
    <row r="321" spans="1:1" ht="19.5" hidden="1" customHeight="1" x14ac:dyDescent="0.4">
      <c r="A321" s="118" t="s">
        <v>355</v>
      </c>
    </row>
    <row r="322" spans="1:1" ht="19.5" hidden="1" customHeight="1" x14ac:dyDescent="0.4">
      <c r="A322" s="118" t="s">
        <v>356</v>
      </c>
    </row>
    <row r="323" spans="1:1" ht="19.5" hidden="1" customHeight="1" x14ac:dyDescent="0.4">
      <c r="A323" s="118" t="s">
        <v>357</v>
      </c>
    </row>
    <row r="324" spans="1:1" ht="19.5" hidden="1" customHeight="1" x14ac:dyDescent="0.4">
      <c r="A324" s="118" t="s">
        <v>358</v>
      </c>
    </row>
    <row r="325" spans="1:1" ht="19.5" hidden="1" customHeight="1" x14ac:dyDescent="0.4">
      <c r="A325" s="118" t="s">
        <v>359</v>
      </c>
    </row>
    <row r="326" spans="1:1" ht="19.5" hidden="1" customHeight="1" x14ac:dyDescent="0.4">
      <c r="A326" s="118" t="s">
        <v>360</v>
      </c>
    </row>
    <row r="327" spans="1:1" ht="19.5" hidden="1" customHeight="1" x14ac:dyDescent="0.4">
      <c r="A327" s="118" t="s">
        <v>361</v>
      </c>
    </row>
    <row r="328" spans="1:1" ht="19.5" hidden="1" customHeight="1" x14ac:dyDescent="0.4">
      <c r="A328" s="118" t="s">
        <v>362</v>
      </c>
    </row>
    <row r="329" spans="1:1" ht="19.5" hidden="1" customHeight="1" x14ac:dyDescent="0.4">
      <c r="A329" s="118" t="s">
        <v>363</v>
      </c>
    </row>
    <row r="330" spans="1:1" ht="19.5" hidden="1" customHeight="1" x14ac:dyDescent="0.4">
      <c r="A330" s="118" t="s">
        <v>364</v>
      </c>
    </row>
    <row r="331" spans="1:1" ht="19.5" hidden="1" customHeight="1" x14ac:dyDescent="0.4">
      <c r="A331" s="118" t="s">
        <v>681</v>
      </c>
    </row>
    <row r="332" spans="1:1" ht="19.5" hidden="1" customHeight="1" x14ac:dyDescent="0.4">
      <c r="A332" s="118" t="s">
        <v>365</v>
      </c>
    </row>
    <row r="333" spans="1:1" ht="19.5" hidden="1" customHeight="1" x14ac:dyDescent="0.4">
      <c r="A333" s="118" t="s">
        <v>366</v>
      </c>
    </row>
    <row r="334" spans="1:1" ht="19.5" hidden="1" customHeight="1" x14ac:dyDescent="0.4">
      <c r="A334" s="118" t="s">
        <v>367</v>
      </c>
    </row>
    <row r="335" spans="1:1" ht="19.5" hidden="1" customHeight="1" x14ac:dyDescent="0.4">
      <c r="A335" s="118" t="s">
        <v>368</v>
      </c>
    </row>
    <row r="336" spans="1:1" ht="19.5" hidden="1" customHeight="1" x14ac:dyDescent="0.4">
      <c r="A336" s="118" t="s">
        <v>369</v>
      </c>
    </row>
    <row r="337" spans="1:1" ht="19.5" hidden="1" customHeight="1" x14ac:dyDescent="0.4">
      <c r="A337" s="118" t="s">
        <v>370</v>
      </c>
    </row>
    <row r="338" spans="1:1" ht="19.5" hidden="1" customHeight="1" x14ac:dyDescent="0.4">
      <c r="A338" s="118" t="s">
        <v>371</v>
      </c>
    </row>
    <row r="339" spans="1:1" ht="19.5" hidden="1" customHeight="1" x14ac:dyDescent="0.4">
      <c r="A339" s="118" t="s">
        <v>372</v>
      </c>
    </row>
    <row r="340" spans="1:1" ht="19.5" hidden="1" customHeight="1" x14ac:dyDescent="0.4">
      <c r="A340" s="118" t="s">
        <v>163</v>
      </c>
    </row>
    <row r="341" spans="1:1" ht="19.5" hidden="1" customHeight="1" x14ac:dyDescent="0.4">
      <c r="A341" s="118" t="s">
        <v>373</v>
      </c>
    </row>
    <row r="342" spans="1:1" ht="19.5" hidden="1" customHeight="1" x14ac:dyDescent="0.4">
      <c r="A342" s="118" t="s">
        <v>374</v>
      </c>
    </row>
    <row r="343" spans="1:1" ht="19.5" hidden="1" customHeight="1" x14ac:dyDescent="0.4">
      <c r="A343" s="118" t="s">
        <v>86</v>
      </c>
    </row>
    <row r="344" spans="1:1" ht="19.5" hidden="1" customHeight="1" x14ac:dyDescent="0.4">
      <c r="A344" s="118" t="s">
        <v>375</v>
      </c>
    </row>
    <row r="345" spans="1:1" ht="19.5" hidden="1" customHeight="1" x14ac:dyDescent="0.4">
      <c r="A345" s="118" t="s">
        <v>376</v>
      </c>
    </row>
    <row r="346" spans="1:1" ht="19.5" hidden="1" customHeight="1" x14ac:dyDescent="0.4">
      <c r="A346" s="118" t="s">
        <v>377</v>
      </c>
    </row>
    <row r="347" spans="1:1" ht="19.5" hidden="1" customHeight="1" x14ac:dyDescent="0.4">
      <c r="A347" s="118" t="s">
        <v>697</v>
      </c>
    </row>
    <row r="348" spans="1:1" ht="19.5" hidden="1" customHeight="1" x14ac:dyDescent="0.4">
      <c r="A348" s="118" t="s">
        <v>378</v>
      </c>
    </row>
    <row r="349" spans="1:1" ht="19.5" hidden="1" customHeight="1" x14ac:dyDescent="0.4">
      <c r="A349" s="118" t="s">
        <v>379</v>
      </c>
    </row>
    <row r="350" spans="1:1" ht="19.5" hidden="1" customHeight="1" x14ac:dyDescent="0.4">
      <c r="A350" s="118" t="s">
        <v>380</v>
      </c>
    </row>
    <row r="351" spans="1:1" ht="19.5" hidden="1" customHeight="1" x14ac:dyDescent="0.4">
      <c r="A351" s="118" t="s">
        <v>381</v>
      </c>
    </row>
    <row r="352" spans="1:1" ht="19.5" hidden="1" customHeight="1" x14ac:dyDescent="0.4">
      <c r="A352" s="118" t="s">
        <v>382</v>
      </c>
    </row>
    <row r="353" spans="1:1" ht="19.5" hidden="1" customHeight="1" x14ac:dyDescent="0.4">
      <c r="A353" s="118" t="s">
        <v>783</v>
      </c>
    </row>
    <row r="354" spans="1:1" ht="19.5" hidden="1" customHeight="1" x14ac:dyDescent="0.4">
      <c r="A354" s="118" t="s">
        <v>384</v>
      </c>
    </row>
    <row r="355" spans="1:1" ht="19.5" hidden="1" customHeight="1" x14ac:dyDescent="0.4">
      <c r="A355" s="118" t="s">
        <v>385</v>
      </c>
    </row>
    <row r="356" spans="1:1" ht="19.5" hidden="1" customHeight="1" x14ac:dyDescent="0.4">
      <c r="A356" s="118" t="s">
        <v>199</v>
      </c>
    </row>
    <row r="357" spans="1:1" ht="19.5" hidden="1" customHeight="1" x14ac:dyDescent="0.4">
      <c r="A357" s="118" t="s">
        <v>386</v>
      </c>
    </row>
    <row r="358" spans="1:1" ht="19.5" hidden="1" customHeight="1" x14ac:dyDescent="0.4">
      <c r="A358" s="118" t="s">
        <v>387</v>
      </c>
    </row>
    <row r="359" spans="1:1" ht="19.5" hidden="1" customHeight="1" x14ac:dyDescent="0.4">
      <c r="A359" s="118" t="s">
        <v>388</v>
      </c>
    </row>
    <row r="360" spans="1:1" ht="19.5" hidden="1" customHeight="1" x14ac:dyDescent="0.4">
      <c r="A360" s="118" t="s">
        <v>389</v>
      </c>
    </row>
    <row r="361" spans="1:1" ht="19.5" hidden="1" customHeight="1" x14ac:dyDescent="0.4">
      <c r="A361" s="118" t="s">
        <v>390</v>
      </c>
    </row>
    <row r="362" spans="1:1" ht="19.5" hidden="1" customHeight="1" x14ac:dyDescent="0.4">
      <c r="A362" s="118" t="s">
        <v>345</v>
      </c>
    </row>
    <row r="363" spans="1:1" ht="19.5" hidden="1" customHeight="1" x14ac:dyDescent="0.4">
      <c r="A363" s="118" t="s">
        <v>232</v>
      </c>
    </row>
    <row r="364" spans="1:1" ht="19.5" hidden="1" customHeight="1" x14ac:dyDescent="0.4">
      <c r="A364" s="118" t="s">
        <v>391</v>
      </c>
    </row>
    <row r="365" spans="1:1" ht="19.5" hidden="1" customHeight="1" x14ac:dyDescent="0.4">
      <c r="A365" s="118" t="s">
        <v>392</v>
      </c>
    </row>
    <row r="366" spans="1:1" ht="19.5" hidden="1" customHeight="1" x14ac:dyDescent="0.4">
      <c r="A366" s="118" t="s">
        <v>393</v>
      </c>
    </row>
    <row r="367" spans="1:1" ht="19.5" hidden="1" customHeight="1" x14ac:dyDescent="0.4">
      <c r="A367" s="118" t="s">
        <v>394</v>
      </c>
    </row>
    <row r="368" spans="1:1" ht="19.5" hidden="1" customHeight="1" x14ac:dyDescent="0.4">
      <c r="A368" s="118" t="s">
        <v>265</v>
      </c>
    </row>
    <row r="369" spans="1:1" ht="19.5" hidden="1" customHeight="1" x14ac:dyDescent="0.4">
      <c r="A369" s="118" t="s">
        <v>195</v>
      </c>
    </row>
    <row r="370" spans="1:1" ht="19.5" hidden="1" customHeight="1" x14ac:dyDescent="0.4">
      <c r="A370" s="118" t="s">
        <v>357</v>
      </c>
    </row>
    <row r="371" spans="1:1" ht="19.5" hidden="1" customHeight="1" x14ac:dyDescent="0.4">
      <c r="A371" s="118" t="s">
        <v>395</v>
      </c>
    </row>
    <row r="372" spans="1:1" ht="19.5" hidden="1" customHeight="1" x14ac:dyDescent="0.4">
      <c r="A372" s="118" t="s">
        <v>396</v>
      </c>
    </row>
    <row r="373" spans="1:1" ht="19.5" hidden="1" customHeight="1" x14ac:dyDescent="0.4">
      <c r="A373" s="118" t="s">
        <v>221</v>
      </c>
    </row>
    <row r="374" spans="1:1" ht="19.5" hidden="1" customHeight="1" x14ac:dyDescent="0.4">
      <c r="A374" s="118" t="s">
        <v>354</v>
      </c>
    </row>
    <row r="375" spans="1:1" ht="19.5" hidden="1" customHeight="1" x14ac:dyDescent="0.4">
      <c r="A375" s="118" t="s">
        <v>340</v>
      </c>
    </row>
    <row r="376" spans="1:1" ht="19.5" hidden="1" customHeight="1" x14ac:dyDescent="0.4">
      <c r="A376" s="118" t="s">
        <v>397</v>
      </c>
    </row>
    <row r="377" spans="1:1" ht="19.5" hidden="1" customHeight="1" x14ac:dyDescent="0.4">
      <c r="A377" s="118" t="s">
        <v>398</v>
      </c>
    </row>
    <row r="378" spans="1:1" ht="19.5" hidden="1" customHeight="1" x14ac:dyDescent="0.4">
      <c r="A378" s="118" t="s">
        <v>399</v>
      </c>
    </row>
    <row r="379" spans="1:1" ht="19.5" hidden="1" customHeight="1" x14ac:dyDescent="0.4">
      <c r="A379" s="118" t="s">
        <v>400</v>
      </c>
    </row>
    <row r="380" spans="1:1" ht="19.5" hidden="1" customHeight="1" x14ac:dyDescent="0.4">
      <c r="A380" s="118" t="s">
        <v>401</v>
      </c>
    </row>
    <row r="381" spans="1:1" ht="19.5" hidden="1" customHeight="1" x14ac:dyDescent="0.4">
      <c r="A381" s="118" t="s">
        <v>339</v>
      </c>
    </row>
    <row r="382" spans="1:1" ht="19.5" hidden="1" customHeight="1" x14ac:dyDescent="0.4">
      <c r="A382" s="118" t="s">
        <v>402</v>
      </c>
    </row>
    <row r="383" spans="1:1" ht="19.5" hidden="1" customHeight="1" x14ac:dyDescent="0.4">
      <c r="A383" s="118" t="s">
        <v>403</v>
      </c>
    </row>
    <row r="384" spans="1:1" ht="19.5" hidden="1" customHeight="1" x14ac:dyDescent="0.4">
      <c r="A384" s="118" t="s">
        <v>404</v>
      </c>
    </row>
    <row r="385" spans="1:1" ht="19.5" hidden="1" customHeight="1" x14ac:dyDescent="0.4">
      <c r="A385" s="118" t="s">
        <v>405</v>
      </c>
    </row>
    <row r="386" spans="1:1" ht="19.5" hidden="1" customHeight="1" x14ac:dyDescent="0.4">
      <c r="A386" s="118" t="s">
        <v>406</v>
      </c>
    </row>
    <row r="387" spans="1:1" ht="19.5" hidden="1" customHeight="1" x14ac:dyDescent="0.4">
      <c r="A387" s="118" t="s">
        <v>407</v>
      </c>
    </row>
    <row r="388" spans="1:1" ht="19.5" hidden="1" customHeight="1" x14ac:dyDescent="0.4">
      <c r="A388" s="118" t="s">
        <v>382</v>
      </c>
    </row>
    <row r="389" spans="1:1" ht="19.5" hidden="1" customHeight="1" x14ac:dyDescent="0.4">
      <c r="A389" s="118" t="s">
        <v>408</v>
      </c>
    </row>
    <row r="390" spans="1:1" ht="19.5" hidden="1" customHeight="1" x14ac:dyDescent="0.4">
      <c r="A390" s="118" t="s">
        <v>409</v>
      </c>
    </row>
    <row r="391" spans="1:1" ht="19.5" hidden="1" customHeight="1" x14ac:dyDescent="0.4">
      <c r="A391" s="118" t="s">
        <v>410</v>
      </c>
    </row>
    <row r="392" spans="1:1" ht="19.5" hidden="1" customHeight="1" x14ac:dyDescent="0.4">
      <c r="A392" s="118" t="s">
        <v>411</v>
      </c>
    </row>
    <row r="393" spans="1:1" ht="19.5" hidden="1" customHeight="1" x14ac:dyDescent="0.4">
      <c r="A393" s="118" t="s">
        <v>364</v>
      </c>
    </row>
    <row r="394" spans="1:1" ht="19.5" hidden="1" customHeight="1" x14ac:dyDescent="0.4">
      <c r="A394" s="118" t="s">
        <v>385</v>
      </c>
    </row>
    <row r="395" spans="1:1" ht="19.5" hidden="1" customHeight="1" x14ac:dyDescent="0.4">
      <c r="A395" s="118" t="s">
        <v>362</v>
      </c>
    </row>
    <row r="396" spans="1:1" ht="19.5" hidden="1" customHeight="1" x14ac:dyDescent="0.4">
      <c r="A396" s="118" t="s">
        <v>151</v>
      </c>
    </row>
    <row r="397" spans="1:1" ht="19.5" hidden="1" customHeight="1" x14ac:dyDescent="0.4">
      <c r="A397" s="118" t="s">
        <v>188</v>
      </c>
    </row>
    <row r="398" spans="1:1" ht="19.5" hidden="1" customHeight="1" x14ac:dyDescent="0.4">
      <c r="A398" s="118" t="s">
        <v>412</v>
      </c>
    </row>
    <row r="399" spans="1:1" ht="19.5" hidden="1" customHeight="1" x14ac:dyDescent="0.4">
      <c r="A399" s="118" t="s">
        <v>210</v>
      </c>
    </row>
    <row r="400" spans="1:1" ht="19.5" hidden="1" customHeight="1" x14ac:dyDescent="0.4">
      <c r="A400" s="118" t="s">
        <v>413</v>
      </c>
    </row>
    <row r="401" spans="1:1" ht="19.5" hidden="1" customHeight="1" x14ac:dyDescent="0.4">
      <c r="A401" s="118" t="s">
        <v>414</v>
      </c>
    </row>
    <row r="402" spans="1:1" ht="19.5" hidden="1" customHeight="1" x14ac:dyDescent="0.4">
      <c r="A402" s="118" t="s">
        <v>359</v>
      </c>
    </row>
    <row r="403" spans="1:1" ht="19.5" hidden="1" customHeight="1" x14ac:dyDescent="0.4">
      <c r="A403" s="118" t="s">
        <v>390</v>
      </c>
    </row>
    <row r="404" spans="1:1" ht="19.5" hidden="1" customHeight="1" x14ac:dyDescent="0.4">
      <c r="A404" s="118" t="s">
        <v>362</v>
      </c>
    </row>
    <row r="405" spans="1:1" ht="19.5" hidden="1" customHeight="1" x14ac:dyDescent="0.4">
      <c r="A405" s="118" t="s">
        <v>415</v>
      </c>
    </row>
    <row r="406" spans="1:1" ht="19.5" hidden="1" customHeight="1" x14ac:dyDescent="0.4">
      <c r="A406" s="118" t="s">
        <v>416</v>
      </c>
    </row>
    <row r="407" spans="1:1" ht="19.5" hidden="1" customHeight="1" x14ac:dyDescent="0.4">
      <c r="A407" s="118" t="s">
        <v>417</v>
      </c>
    </row>
    <row r="408" spans="1:1" ht="19.5" hidden="1" customHeight="1" x14ac:dyDescent="0.4">
      <c r="A408" s="118" t="s">
        <v>993</v>
      </c>
    </row>
    <row r="409" spans="1:1" ht="19.5" hidden="1" customHeight="1" x14ac:dyDescent="0.4">
      <c r="A409" s="118" t="s">
        <v>418</v>
      </c>
    </row>
    <row r="410" spans="1:1" ht="19.5" hidden="1" customHeight="1" x14ac:dyDescent="0.4">
      <c r="A410" s="118" t="s">
        <v>361</v>
      </c>
    </row>
    <row r="411" spans="1:1" ht="19.5" hidden="1" customHeight="1" x14ac:dyDescent="0.4">
      <c r="A411" s="118" t="s">
        <v>419</v>
      </c>
    </row>
    <row r="412" spans="1:1" ht="19.5" hidden="1" customHeight="1" x14ac:dyDescent="0.4">
      <c r="A412" s="118" t="s">
        <v>343</v>
      </c>
    </row>
    <row r="413" spans="1:1" ht="19.5" hidden="1" customHeight="1" x14ac:dyDescent="0.4">
      <c r="A413" s="118" t="s">
        <v>420</v>
      </c>
    </row>
    <row r="414" spans="1:1" ht="19.5" hidden="1" customHeight="1" x14ac:dyDescent="0.4">
      <c r="A414" s="118" t="s">
        <v>362</v>
      </c>
    </row>
    <row r="415" spans="1:1" ht="19.5" hidden="1" customHeight="1" x14ac:dyDescent="0.4">
      <c r="A415" s="118" t="s">
        <v>333</v>
      </c>
    </row>
    <row r="416" spans="1:1" ht="19.5" hidden="1" customHeight="1" x14ac:dyDescent="0.4">
      <c r="A416" s="118" t="s">
        <v>421</v>
      </c>
    </row>
    <row r="417" spans="1:1" ht="19.5" hidden="1" customHeight="1" x14ac:dyDescent="0.4">
      <c r="A417" s="118" t="s">
        <v>377</v>
      </c>
    </row>
    <row r="418" spans="1:1" ht="19.5" hidden="1" customHeight="1" x14ac:dyDescent="0.4">
      <c r="A418" s="118" t="s">
        <v>340</v>
      </c>
    </row>
    <row r="419" spans="1:1" ht="19.5" hidden="1" customHeight="1" x14ac:dyDescent="0.4">
      <c r="A419" s="118" t="s">
        <v>422</v>
      </c>
    </row>
    <row r="420" spans="1:1" ht="19.5" hidden="1" customHeight="1" x14ac:dyDescent="0.4">
      <c r="A420" s="118" t="s">
        <v>423</v>
      </c>
    </row>
    <row r="421" spans="1:1" ht="19.5" hidden="1" customHeight="1" x14ac:dyDescent="0.4">
      <c r="A421" s="118" t="s">
        <v>424</v>
      </c>
    </row>
    <row r="422" spans="1:1" ht="19.5" hidden="1" customHeight="1" x14ac:dyDescent="0.4">
      <c r="A422" s="118" t="s">
        <v>425</v>
      </c>
    </row>
    <row r="423" spans="1:1" ht="19.5" hidden="1" customHeight="1" x14ac:dyDescent="0.4">
      <c r="A423" s="118" t="s">
        <v>426</v>
      </c>
    </row>
    <row r="424" spans="1:1" ht="19.5" hidden="1" customHeight="1" x14ac:dyDescent="0.4">
      <c r="A424" s="118" t="s">
        <v>427</v>
      </c>
    </row>
    <row r="425" spans="1:1" ht="19.5" hidden="1" customHeight="1" x14ac:dyDescent="0.4">
      <c r="A425" s="118" t="s">
        <v>347</v>
      </c>
    </row>
    <row r="426" spans="1:1" ht="19.5" hidden="1" customHeight="1" x14ac:dyDescent="0.4">
      <c r="A426" s="118" t="s">
        <v>362</v>
      </c>
    </row>
    <row r="427" spans="1:1" ht="19.5" hidden="1" customHeight="1" x14ac:dyDescent="0.4">
      <c r="A427" s="118" t="s">
        <v>428</v>
      </c>
    </row>
    <row r="428" spans="1:1" ht="19.5" hidden="1" customHeight="1" x14ac:dyDescent="0.4">
      <c r="A428" s="118" t="s">
        <v>429</v>
      </c>
    </row>
    <row r="429" spans="1:1" ht="19.5" hidden="1" customHeight="1" x14ac:dyDescent="0.4">
      <c r="A429" s="118" t="s">
        <v>339</v>
      </c>
    </row>
    <row r="430" spans="1:1" ht="19.5" hidden="1" customHeight="1" x14ac:dyDescent="0.4">
      <c r="A430" s="118" t="s">
        <v>430</v>
      </c>
    </row>
    <row r="431" spans="1:1" ht="19.5" hidden="1" customHeight="1" x14ac:dyDescent="0.4">
      <c r="A431" s="118" t="s">
        <v>380</v>
      </c>
    </row>
    <row r="432" spans="1:1" ht="19.5" hidden="1" customHeight="1" x14ac:dyDescent="0.4">
      <c r="A432" s="118" t="s">
        <v>431</v>
      </c>
    </row>
    <row r="433" spans="1:1" ht="19.5" hidden="1" customHeight="1" x14ac:dyDescent="0.4">
      <c r="A433" s="118" t="s">
        <v>925</v>
      </c>
    </row>
    <row r="434" spans="1:1" ht="19.5" hidden="1" customHeight="1" x14ac:dyDescent="0.4">
      <c r="A434" s="118" t="s">
        <v>432</v>
      </c>
    </row>
    <row r="435" spans="1:1" ht="19.5" hidden="1" customHeight="1" x14ac:dyDescent="0.4">
      <c r="A435" s="118" t="s">
        <v>377</v>
      </c>
    </row>
    <row r="436" spans="1:1" ht="19.5" hidden="1" customHeight="1" x14ac:dyDescent="0.4">
      <c r="A436" s="118" t="s">
        <v>433</v>
      </c>
    </row>
    <row r="437" spans="1:1" ht="19.5" hidden="1" customHeight="1" x14ac:dyDescent="0.4">
      <c r="A437" s="118" t="s">
        <v>434</v>
      </c>
    </row>
    <row r="438" spans="1:1" ht="19.5" hidden="1" customHeight="1" x14ac:dyDescent="0.4">
      <c r="A438" s="118" t="s">
        <v>435</v>
      </c>
    </row>
    <row r="439" spans="1:1" ht="19.5" hidden="1" customHeight="1" x14ac:dyDescent="0.4">
      <c r="A439" s="118" t="s">
        <v>436</v>
      </c>
    </row>
    <row r="440" spans="1:1" ht="19.5" hidden="1" customHeight="1" x14ac:dyDescent="0.4">
      <c r="A440" s="118" t="s">
        <v>437</v>
      </c>
    </row>
    <row r="441" spans="1:1" ht="19.5" hidden="1" customHeight="1" x14ac:dyDescent="0.4">
      <c r="A441" s="118" t="s">
        <v>438</v>
      </c>
    </row>
    <row r="442" spans="1:1" ht="19.5" hidden="1" customHeight="1" x14ac:dyDescent="0.4">
      <c r="A442" s="118" t="s">
        <v>383</v>
      </c>
    </row>
    <row r="443" spans="1:1" ht="19.5" hidden="1" customHeight="1" x14ac:dyDescent="0.4">
      <c r="A443" s="118" t="s">
        <v>250</v>
      </c>
    </row>
    <row r="444" spans="1:1" ht="19.5" hidden="1" customHeight="1" x14ac:dyDescent="0.4">
      <c r="A444" s="118" t="s">
        <v>201</v>
      </c>
    </row>
    <row r="445" spans="1:1" ht="19.5" hidden="1" customHeight="1" x14ac:dyDescent="0.4">
      <c r="A445" s="118" t="s">
        <v>439</v>
      </c>
    </row>
    <row r="446" spans="1:1" ht="19.5" hidden="1" customHeight="1" x14ac:dyDescent="0.4">
      <c r="A446" s="118" t="s">
        <v>440</v>
      </c>
    </row>
    <row r="447" spans="1:1" ht="19.5" hidden="1" customHeight="1" x14ac:dyDescent="0.4">
      <c r="A447" s="118" t="s">
        <v>441</v>
      </c>
    </row>
    <row r="448" spans="1:1" ht="19.5" hidden="1" customHeight="1" x14ac:dyDescent="0.4">
      <c r="A448" s="118" t="s">
        <v>442</v>
      </c>
    </row>
    <row r="449" spans="1:1" ht="19.5" hidden="1" customHeight="1" x14ac:dyDescent="0.4">
      <c r="A449" s="118" t="s">
        <v>283</v>
      </c>
    </row>
    <row r="450" spans="1:1" ht="19.5" hidden="1" customHeight="1" x14ac:dyDescent="0.4">
      <c r="A450" s="118" t="s">
        <v>443</v>
      </c>
    </row>
    <row r="451" spans="1:1" ht="19.5" hidden="1" customHeight="1" x14ac:dyDescent="0.4">
      <c r="A451" s="118" t="s">
        <v>444</v>
      </c>
    </row>
    <row r="452" spans="1:1" ht="19.5" hidden="1" customHeight="1" x14ac:dyDescent="0.4">
      <c r="A452" s="118" t="s">
        <v>375</v>
      </c>
    </row>
    <row r="453" spans="1:1" ht="19.5" hidden="1" customHeight="1" x14ac:dyDescent="0.4">
      <c r="A453" s="118" t="s">
        <v>244</v>
      </c>
    </row>
    <row r="454" spans="1:1" ht="19.5" hidden="1" customHeight="1" x14ac:dyDescent="0.4">
      <c r="A454" s="118" t="s">
        <v>362</v>
      </c>
    </row>
    <row r="455" spans="1:1" ht="19.5" hidden="1" customHeight="1" x14ac:dyDescent="0.4">
      <c r="A455" s="118" t="s">
        <v>445</v>
      </c>
    </row>
    <row r="456" spans="1:1" ht="19.5" hidden="1" customHeight="1" x14ac:dyDescent="0.4">
      <c r="A456" s="118" t="s">
        <v>397</v>
      </c>
    </row>
    <row r="457" spans="1:1" ht="19.5" hidden="1" customHeight="1" x14ac:dyDescent="0.4">
      <c r="A457" s="118" t="s">
        <v>343</v>
      </c>
    </row>
    <row r="458" spans="1:1" ht="19.5" hidden="1" customHeight="1" x14ac:dyDescent="0.4">
      <c r="A458" s="118" t="s">
        <v>446</v>
      </c>
    </row>
    <row r="459" spans="1:1" ht="19.5" hidden="1" customHeight="1" x14ac:dyDescent="0.4">
      <c r="A459" s="118" t="s">
        <v>447</v>
      </c>
    </row>
    <row r="460" spans="1:1" ht="19.5" hidden="1" customHeight="1" x14ac:dyDescent="0.4">
      <c r="A460" s="118" t="s">
        <v>448</v>
      </c>
    </row>
    <row r="461" spans="1:1" ht="19.5" hidden="1" customHeight="1" x14ac:dyDescent="0.4">
      <c r="A461" s="118" t="s">
        <v>449</v>
      </c>
    </row>
    <row r="462" spans="1:1" ht="19.5" hidden="1" customHeight="1" x14ac:dyDescent="0.4">
      <c r="A462" s="118" t="s">
        <v>450</v>
      </c>
    </row>
    <row r="463" spans="1:1" ht="19.5" hidden="1" customHeight="1" x14ac:dyDescent="0.4">
      <c r="A463" s="118" t="s">
        <v>451</v>
      </c>
    </row>
    <row r="464" spans="1:1" ht="19.5" hidden="1" customHeight="1" x14ac:dyDescent="0.4">
      <c r="A464" s="118" t="s">
        <v>452</v>
      </c>
    </row>
    <row r="465" spans="1:1" ht="19.5" hidden="1" customHeight="1" x14ac:dyDescent="0.4">
      <c r="A465" s="118" t="s">
        <v>453</v>
      </c>
    </row>
    <row r="466" spans="1:1" ht="19.5" hidden="1" customHeight="1" x14ac:dyDescent="0.4">
      <c r="A466" s="118" t="s">
        <v>454</v>
      </c>
    </row>
    <row r="467" spans="1:1" ht="19.5" hidden="1" customHeight="1" x14ac:dyDescent="0.4">
      <c r="A467" s="118" t="s">
        <v>334</v>
      </c>
    </row>
    <row r="468" spans="1:1" ht="19.5" hidden="1" customHeight="1" x14ac:dyDescent="0.4">
      <c r="A468" s="118" t="s">
        <v>455</v>
      </c>
    </row>
    <row r="469" spans="1:1" ht="19.5" hidden="1" customHeight="1" x14ac:dyDescent="0.4">
      <c r="A469" s="118" t="s">
        <v>456</v>
      </c>
    </row>
    <row r="470" spans="1:1" ht="19.5" hidden="1" customHeight="1" x14ac:dyDescent="0.4">
      <c r="A470" s="118" t="s">
        <v>457</v>
      </c>
    </row>
    <row r="471" spans="1:1" ht="19.5" hidden="1" customHeight="1" x14ac:dyDescent="0.4">
      <c r="A471" s="118" t="s">
        <v>263</v>
      </c>
    </row>
    <row r="472" spans="1:1" ht="19.5" hidden="1" customHeight="1" x14ac:dyDescent="0.4">
      <c r="A472" s="118" t="s">
        <v>131</v>
      </c>
    </row>
    <row r="473" spans="1:1" ht="19.5" hidden="1" customHeight="1" x14ac:dyDescent="0.4">
      <c r="A473" s="118" t="s">
        <v>458</v>
      </c>
    </row>
    <row r="474" spans="1:1" ht="19.5" hidden="1" customHeight="1" x14ac:dyDescent="0.4">
      <c r="A474" s="118" t="s">
        <v>459</v>
      </c>
    </row>
    <row r="475" spans="1:1" ht="19.5" hidden="1" customHeight="1" x14ac:dyDescent="0.4">
      <c r="A475" s="118" t="s">
        <v>460</v>
      </c>
    </row>
    <row r="476" spans="1:1" ht="19.5" hidden="1" customHeight="1" x14ac:dyDescent="0.4">
      <c r="A476" s="118" t="s">
        <v>461</v>
      </c>
    </row>
    <row r="477" spans="1:1" ht="19.5" hidden="1" customHeight="1" x14ac:dyDescent="0.4">
      <c r="A477" s="118" t="s">
        <v>462</v>
      </c>
    </row>
    <row r="478" spans="1:1" ht="19.5" hidden="1" customHeight="1" x14ac:dyDescent="0.4">
      <c r="A478" s="118" t="s">
        <v>463</v>
      </c>
    </row>
    <row r="479" spans="1:1" ht="19.5" hidden="1" customHeight="1" x14ac:dyDescent="0.4">
      <c r="A479" s="118" t="s">
        <v>464</v>
      </c>
    </row>
    <row r="480" spans="1:1" ht="19.5" hidden="1" customHeight="1" x14ac:dyDescent="0.4">
      <c r="A480" s="118" t="s">
        <v>465</v>
      </c>
    </row>
    <row r="481" spans="1:1" ht="19.5" hidden="1" customHeight="1" x14ac:dyDescent="0.4">
      <c r="A481" s="118" t="s">
        <v>280</v>
      </c>
    </row>
    <row r="482" spans="1:1" ht="19.5" hidden="1" customHeight="1" x14ac:dyDescent="0.4">
      <c r="A482" s="118" t="s">
        <v>466</v>
      </c>
    </row>
    <row r="483" spans="1:1" ht="19.5" hidden="1" customHeight="1" x14ac:dyDescent="0.4">
      <c r="A483" s="118" t="s">
        <v>294</v>
      </c>
    </row>
    <row r="484" spans="1:1" ht="19.5" hidden="1" customHeight="1" x14ac:dyDescent="0.4">
      <c r="A484" s="118" t="s">
        <v>371</v>
      </c>
    </row>
    <row r="485" spans="1:1" ht="19.5" hidden="1" customHeight="1" x14ac:dyDescent="0.4">
      <c r="A485" s="118" t="s">
        <v>467</v>
      </c>
    </row>
    <row r="486" spans="1:1" ht="19.5" hidden="1" customHeight="1" x14ac:dyDescent="0.4">
      <c r="A486" s="118" t="s">
        <v>178</v>
      </c>
    </row>
    <row r="487" spans="1:1" ht="19.5" hidden="1" customHeight="1" x14ac:dyDescent="0.4">
      <c r="A487" s="118" t="s">
        <v>468</v>
      </c>
    </row>
    <row r="488" spans="1:1" ht="19.5" hidden="1" customHeight="1" x14ac:dyDescent="0.4">
      <c r="A488" s="118" t="s">
        <v>401</v>
      </c>
    </row>
    <row r="489" spans="1:1" ht="19.5" hidden="1" customHeight="1" x14ac:dyDescent="0.4">
      <c r="A489" s="118" t="s">
        <v>469</v>
      </c>
    </row>
    <row r="490" spans="1:1" ht="19.5" hidden="1" customHeight="1" x14ac:dyDescent="0.4">
      <c r="A490" s="118" t="s">
        <v>470</v>
      </c>
    </row>
    <row r="491" spans="1:1" ht="19.5" hidden="1" customHeight="1" x14ac:dyDescent="0.4">
      <c r="A491" s="118" t="s">
        <v>471</v>
      </c>
    </row>
    <row r="492" spans="1:1" ht="19.5" hidden="1" customHeight="1" x14ac:dyDescent="0.4">
      <c r="A492" s="118" t="s">
        <v>62</v>
      </c>
    </row>
    <row r="493" spans="1:1" ht="19.5" hidden="1" customHeight="1" x14ac:dyDescent="0.4">
      <c r="A493" s="118" t="s">
        <v>472</v>
      </c>
    </row>
    <row r="494" spans="1:1" ht="19.5" hidden="1" customHeight="1" x14ac:dyDescent="0.4">
      <c r="A494" s="118" t="s">
        <v>473</v>
      </c>
    </row>
    <row r="495" spans="1:1" ht="19.5" hidden="1" customHeight="1" x14ac:dyDescent="0.4">
      <c r="A495" s="118" t="s">
        <v>474</v>
      </c>
    </row>
    <row r="496" spans="1:1" ht="19.5" hidden="1" customHeight="1" x14ac:dyDescent="0.4">
      <c r="A496" s="118" t="s">
        <v>475</v>
      </c>
    </row>
    <row r="497" spans="1:1" ht="19.5" hidden="1" customHeight="1" x14ac:dyDescent="0.4">
      <c r="A497" s="118" t="s">
        <v>476</v>
      </c>
    </row>
    <row r="498" spans="1:1" ht="19.5" hidden="1" customHeight="1" x14ac:dyDescent="0.4">
      <c r="A498" s="118" t="s">
        <v>451</v>
      </c>
    </row>
    <row r="499" spans="1:1" ht="19.5" hidden="1" customHeight="1" x14ac:dyDescent="0.4">
      <c r="A499" s="118" t="s">
        <v>477</v>
      </c>
    </row>
    <row r="500" spans="1:1" ht="19.5" hidden="1" customHeight="1" x14ac:dyDescent="0.4">
      <c r="A500" s="118" t="s">
        <v>478</v>
      </c>
    </row>
    <row r="501" spans="1:1" ht="19.5" hidden="1" customHeight="1" x14ac:dyDescent="0.4">
      <c r="A501" s="118" t="s">
        <v>479</v>
      </c>
    </row>
    <row r="502" spans="1:1" ht="19.5" hidden="1" customHeight="1" x14ac:dyDescent="0.4">
      <c r="A502" s="118" t="s">
        <v>480</v>
      </c>
    </row>
    <row r="503" spans="1:1" ht="19.5" hidden="1" customHeight="1" x14ac:dyDescent="0.4">
      <c r="A503" s="118" t="s">
        <v>481</v>
      </c>
    </row>
    <row r="504" spans="1:1" ht="19.5" hidden="1" customHeight="1" x14ac:dyDescent="0.4">
      <c r="A504" s="118" t="s">
        <v>482</v>
      </c>
    </row>
    <row r="505" spans="1:1" ht="19.5" hidden="1" customHeight="1" x14ac:dyDescent="0.4">
      <c r="A505" s="118" t="s">
        <v>483</v>
      </c>
    </row>
    <row r="506" spans="1:1" ht="19.5" hidden="1" customHeight="1" x14ac:dyDescent="0.4">
      <c r="A506" s="118" t="s">
        <v>484</v>
      </c>
    </row>
    <row r="507" spans="1:1" ht="19.5" hidden="1" customHeight="1" x14ac:dyDescent="0.4">
      <c r="A507" s="118" t="s">
        <v>485</v>
      </c>
    </row>
    <row r="508" spans="1:1" ht="19.5" hidden="1" customHeight="1" x14ac:dyDescent="0.4">
      <c r="A508" s="118" t="s">
        <v>486</v>
      </c>
    </row>
    <row r="509" spans="1:1" ht="19.5" hidden="1" customHeight="1" x14ac:dyDescent="0.4">
      <c r="A509" s="118" t="s">
        <v>487</v>
      </c>
    </row>
    <row r="510" spans="1:1" ht="19.5" hidden="1" customHeight="1" x14ac:dyDescent="0.4">
      <c r="A510" s="118" t="s">
        <v>488</v>
      </c>
    </row>
    <row r="511" spans="1:1" ht="19.5" hidden="1" customHeight="1" x14ac:dyDescent="0.4">
      <c r="A511" s="118" t="s">
        <v>489</v>
      </c>
    </row>
    <row r="512" spans="1:1" ht="19.5" hidden="1" customHeight="1" x14ac:dyDescent="0.4">
      <c r="A512" s="118" t="s">
        <v>490</v>
      </c>
    </row>
    <row r="513" spans="1:1" ht="19.5" hidden="1" customHeight="1" x14ac:dyDescent="0.4">
      <c r="A513" s="118" t="s">
        <v>491</v>
      </c>
    </row>
    <row r="514" spans="1:1" ht="19.5" hidden="1" customHeight="1" x14ac:dyDescent="0.4">
      <c r="A514" s="118" t="s">
        <v>175</v>
      </c>
    </row>
    <row r="515" spans="1:1" ht="19.5" hidden="1" customHeight="1" x14ac:dyDescent="0.4">
      <c r="A515" s="118" t="s">
        <v>492</v>
      </c>
    </row>
    <row r="516" spans="1:1" ht="19.5" hidden="1" customHeight="1" x14ac:dyDescent="0.4">
      <c r="A516" s="118" t="s">
        <v>493</v>
      </c>
    </row>
    <row r="517" spans="1:1" ht="19.5" hidden="1" customHeight="1" x14ac:dyDescent="0.4">
      <c r="A517" s="118" t="s">
        <v>494</v>
      </c>
    </row>
    <row r="518" spans="1:1" ht="19.5" hidden="1" customHeight="1" x14ac:dyDescent="0.4">
      <c r="A518" s="118" t="s">
        <v>495</v>
      </c>
    </row>
    <row r="519" spans="1:1" ht="19.5" hidden="1" customHeight="1" x14ac:dyDescent="0.4">
      <c r="A519" s="118" t="s">
        <v>496</v>
      </c>
    </row>
    <row r="520" spans="1:1" ht="19.5" hidden="1" customHeight="1" x14ac:dyDescent="0.4">
      <c r="A520" s="118" t="s">
        <v>415</v>
      </c>
    </row>
    <row r="521" spans="1:1" ht="19.5" hidden="1" customHeight="1" x14ac:dyDescent="0.4">
      <c r="A521" s="118" t="s">
        <v>497</v>
      </c>
    </row>
    <row r="522" spans="1:1" ht="19.5" hidden="1" customHeight="1" x14ac:dyDescent="0.4">
      <c r="A522" s="118" t="s">
        <v>498</v>
      </c>
    </row>
    <row r="523" spans="1:1" ht="19.5" hidden="1" customHeight="1" x14ac:dyDescent="0.4">
      <c r="A523" s="118" t="s">
        <v>513</v>
      </c>
    </row>
    <row r="524" spans="1:1" ht="19.5" hidden="1" customHeight="1" x14ac:dyDescent="0.4">
      <c r="A524" s="118" t="s">
        <v>499</v>
      </c>
    </row>
    <row r="525" spans="1:1" ht="19.5" hidden="1" customHeight="1" x14ac:dyDescent="0.4">
      <c r="A525" s="118" t="s">
        <v>500</v>
      </c>
    </row>
    <row r="526" spans="1:1" ht="19.5" hidden="1" customHeight="1" x14ac:dyDescent="0.4">
      <c r="A526" s="118" t="s">
        <v>501</v>
      </c>
    </row>
    <row r="527" spans="1:1" ht="19.5" hidden="1" customHeight="1" x14ac:dyDescent="0.4">
      <c r="A527" s="118" t="s">
        <v>502</v>
      </c>
    </row>
    <row r="528" spans="1:1" ht="19.5" hidden="1" customHeight="1" x14ac:dyDescent="0.4">
      <c r="A528" s="118" t="s">
        <v>503</v>
      </c>
    </row>
    <row r="529" spans="1:1" ht="19.5" hidden="1" customHeight="1" x14ac:dyDescent="0.4">
      <c r="A529" s="118" t="s">
        <v>504</v>
      </c>
    </row>
    <row r="530" spans="1:1" ht="19.5" hidden="1" customHeight="1" x14ac:dyDescent="0.4">
      <c r="A530" s="118" t="s">
        <v>505</v>
      </c>
    </row>
    <row r="531" spans="1:1" ht="19.5" hidden="1" customHeight="1" x14ac:dyDescent="0.4">
      <c r="A531" s="118" t="s">
        <v>506</v>
      </c>
    </row>
    <row r="532" spans="1:1" ht="19.5" hidden="1" customHeight="1" x14ac:dyDescent="0.4">
      <c r="A532" s="118" t="s">
        <v>507</v>
      </c>
    </row>
    <row r="533" spans="1:1" ht="19.5" hidden="1" customHeight="1" x14ac:dyDescent="0.4">
      <c r="A533" s="118" t="s">
        <v>508</v>
      </c>
    </row>
    <row r="534" spans="1:1" ht="19.5" hidden="1" customHeight="1" x14ac:dyDescent="0.4">
      <c r="A534" s="118" t="s">
        <v>509</v>
      </c>
    </row>
    <row r="535" spans="1:1" ht="19.5" hidden="1" customHeight="1" x14ac:dyDescent="0.4">
      <c r="A535" s="118" t="s">
        <v>510</v>
      </c>
    </row>
    <row r="536" spans="1:1" ht="19.5" hidden="1" customHeight="1" x14ac:dyDescent="0.4">
      <c r="A536" s="118" t="s">
        <v>511</v>
      </c>
    </row>
    <row r="537" spans="1:1" ht="19.5" hidden="1" customHeight="1" x14ac:dyDescent="0.4">
      <c r="A537" s="118" t="s">
        <v>512</v>
      </c>
    </row>
    <row r="538" spans="1:1" ht="19.5" hidden="1" customHeight="1" x14ac:dyDescent="0.4">
      <c r="A538" s="118" t="s">
        <v>513</v>
      </c>
    </row>
    <row r="539" spans="1:1" ht="19.5" hidden="1" customHeight="1" x14ac:dyDescent="0.4">
      <c r="A539" s="118" t="s">
        <v>514</v>
      </c>
    </row>
    <row r="540" spans="1:1" ht="19.5" hidden="1" customHeight="1" x14ac:dyDescent="0.4">
      <c r="A540" s="118" t="s">
        <v>515</v>
      </c>
    </row>
    <row r="541" spans="1:1" ht="19.5" hidden="1" customHeight="1" x14ac:dyDescent="0.4">
      <c r="A541" s="118" t="s">
        <v>516</v>
      </c>
    </row>
    <row r="542" spans="1:1" ht="19.5" hidden="1" customHeight="1" x14ac:dyDescent="0.4">
      <c r="A542" s="118" t="s">
        <v>517</v>
      </c>
    </row>
    <row r="543" spans="1:1" ht="19.5" hidden="1" customHeight="1" x14ac:dyDescent="0.4">
      <c r="A543" s="118" t="s">
        <v>518</v>
      </c>
    </row>
    <row r="544" spans="1:1" ht="19.5" hidden="1" customHeight="1" x14ac:dyDescent="0.4">
      <c r="A544" s="118" t="s">
        <v>519</v>
      </c>
    </row>
    <row r="545" spans="1:1" ht="19.5" hidden="1" customHeight="1" x14ac:dyDescent="0.4">
      <c r="A545" s="118" t="s">
        <v>520</v>
      </c>
    </row>
    <row r="546" spans="1:1" ht="19.5" hidden="1" customHeight="1" x14ac:dyDescent="0.4">
      <c r="A546" s="118" t="s">
        <v>521</v>
      </c>
    </row>
    <row r="547" spans="1:1" ht="19.5" hidden="1" customHeight="1" x14ac:dyDescent="0.4">
      <c r="A547" s="118" t="s">
        <v>522</v>
      </c>
    </row>
    <row r="548" spans="1:1" ht="19.5" hidden="1" customHeight="1" x14ac:dyDescent="0.4">
      <c r="A548" s="118" t="s">
        <v>523</v>
      </c>
    </row>
    <row r="549" spans="1:1" ht="19.5" hidden="1" customHeight="1" x14ac:dyDescent="0.4">
      <c r="A549" s="118" t="s">
        <v>524</v>
      </c>
    </row>
    <row r="550" spans="1:1" ht="19.5" hidden="1" customHeight="1" x14ac:dyDescent="0.4">
      <c r="A550" s="118" t="s">
        <v>525</v>
      </c>
    </row>
    <row r="551" spans="1:1" ht="19.5" hidden="1" customHeight="1" x14ac:dyDescent="0.4">
      <c r="A551" s="118" t="s">
        <v>526</v>
      </c>
    </row>
    <row r="552" spans="1:1" ht="19.5" hidden="1" customHeight="1" x14ac:dyDescent="0.4">
      <c r="A552" s="118" t="s">
        <v>527</v>
      </c>
    </row>
    <row r="553" spans="1:1" ht="19.5" hidden="1" customHeight="1" x14ac:dyDescent="0.4">
      <c r="A553" s="118" t="s">
        <v>528</v>
      </c>
    </row>
    <row r="554" spans="1:1" ht="19.5" hidden="1" customHeight="1" x14ac:dyDescent="0.4">
      <c r="A554" s="118" t="s">
        <v>529</v>
      </c>
    </row>
    <row r="555" spans="1:1" ht="19.5" hidden="1" customHeight="1" x14ac:dyDescent="0.4">
      <c r="A555" s="118" t="s">
        <v>530</v>
      </c>
    </row>
    <row r="556" spans="1:1" ht="19.5" hidden="1" customHeight="1" x14ac:dyDescent="0.4">
      <c r="A556" s="118" t="s">
        <v>531</v>
      </c>
    </row>
    <row r="557" spans="1:1" ht="19.5" hidden="1" customHeight="1" x14ac:dyDescent="0.4">
      <c r="A557" s="118" t="s">
        <v>532</v>
      </c>
    </row>
    <row r="558" spans="1:1" ht="19.5" hidden="1" customHeight="1" x14ac:dyDescent="0.4">
      <c r="A558" s="118" t="s">
        <v>533</v>
      </c>
    </row>
    <row r="559" spans="1:1" ht="19.5" hidden="1" customHeight="1" x14ac:dyDescent="0.4">
      <c r="A559" s="118" t="s">
        <v>534</v>
      </c>
    </row>
    <row r="560" spans="1:1" ht="19.5" hidden="1" customHeight="1" x14ac:dyDescent="0.4">
      <c r="A560" s="118" t="s">
        <v>535</v>
      </c>
    </row>
    <row r="561" spans="1:1" ht="19.5" hidden="1" customHeight="1" x14ac:dyDescent="0.4">
      <c r="A561" s="118" t="s">
        <v>536</v>
      </c>
    </row>
    <row r="562" spans="1:1" ht="19.5" hidden="1" customHeight="1" x14ac:dyDescent="0.4">
      <c r="A562" s="118" t="s">
        <v>537</v>
      </c>
    </row>
    <row r="563" spans="1:1" ht="19.5" hidden="1" customHeight="1" x14ac:dyDescent="0.4">
      <c r="A563" s="118" t="s">
        <v>538</v>
      </c>
    </row>
    <row r="564" spans="1:1" ht="19.5" hidden="1" customHeight="1" x14ac:dyDescent="0.4">
      <c r="A564" s="118" t="s">
        <v>539</v>
      </c>
    </row>
    <row r="565" spans="1:1" ht="19.5" hidden="1" customHeight="1" x14ac:dyDescent="0.4">
      <c r="A565" s="118" t="s">
        <v>540</v>
      </c>
    </row>
    <row r="566" spans="1:1" ht="19.5" hidden="1" customHeight="1" x14ac:dyDescent="0.4">
      <c r="A566" s="118" t="s">
        <v>541</v>
      </c>
    </row>
    <row r="567" spans="1:1" ht="19.5" hidden="1" customHeight="1" x14ac:dyDescent="0.4">
      <c r="A567" s="118" t="s">
        <v>542</v>
      </c>
    </row>
    <row r="568" spans="1:1" ht="19.5" hidden="1" customHeight="1" x14ac:dyDescent="0.4">
      <c r="A568" s="118" t="s">
        <v>543</v>
      </c>
    </row>
    <row r="569" spans="1:1" ht="19.5" hidden="1" customHeight="1" x14ac:dyDescent="0.4">
      <c r="A569" s="118" t="s">
        <v>544</v>
      </c>
    </row>
    <row r="570" spans="1:1" ht="19.5" hidden="1" customHeight="1" x14ac:dyDescent="0.4">
      <c r="A570" s="118" t="s">
        <v>545</v>
      </c>
    </row>
    <row r="571" spans="1:1" ht="19.5" hidden="1" customHeight="1" x14ac:dyDescent="0.4">
      <c r="A571" s="118" t="s">
        <v>546</v>
      </c>
    </row>
    <row r="572" spans="1:1" ht="19.5" hidden="1" customHeight="1" x14ac:dyDescent="0.4">
      <c r="A572" s="118" t="s">
        <v>547</v>
      </c>
    </row>
    <row r="573" spans="1:1" ht="19.5" hidden="1" customHeight="1" x14ac:dyDescent="0.4">
      <c r="A573" s="118" t="s">
        <v>548</v>
      </c>
    </row>
    <row r="574" spans="1:1" ht="19.5" hidden="1" customHeight="1" x14ac:dyDescent="0.4">
      <c r="A574" s="118" t="s">
        <v>549</v>
      </c>
    </row>
    <row r="575" spans="1:1" ht="19.5" hidden="1" customHeight="1" x14ac:dyDescent="0.4">
      <c r="A575" s="118" t="s">
        <v>550</v>
      </c>
    </row>
    <row r="576" spans="1:1" ht="19.5" hidden="1" customHeight="1" x14ac:dyDescent="0.4">
      <c r="A576" s="118" t="s">
        <v>551</v>
      </c>
    </row>
    <row r="577" spans="1:1" ht="19.5" hidden="1" customHeight="1" x14ac:dyDescent="0.4">
      <c r="A577" s="118">
        <v>0</v>
      </c>
    </row>
    <row r="578" spans="1:1" ht="19.5" hidden="1" customHeight="1" x14ac:dyDescent="0.4">
      <c r="A578" s="118" t="s">
        <v>553</v>
      </c>
    </row>
    <row r="579" spans="1:1" ht="19.5" hidden="1" customHeight="1" x14ac:dyDescent="0.4">
      <c r="A579" s="118" t="s">
        <v>554</v>
      </c>
    </row>
    <row r="580" spans="1:1" ht="19.5" hidden="1" customHeight="1" x14ac:dyDescent="0.4">
      <c r="A580" s="118" t="s">
        <v>555</v>
      </c>
    </row>
    <row r="581" spans="1:1" ht="19.5" hidden="1" customHeight="1" x14ac:dyDescent="0.4">
      <c r="A581" s="118" t="s">
        <v>556</v>
      </c>
    </row>
    <row r="582" spans="1:1" ht="19.5" hidden="1" customHeight="1" x14ac:dyDescent="0.4">
      <c r="A582" s="118" t="s">
        <v>557</v>
      </c>
    </row>
    <row r="583" spans="1:1" ht="19.5" hidden="1" customHeight="1" x14ac:dyDescent="0.4">
      <c r="A583" s="118" t="s">
        <v>558</v>
      </c>
    </row>
    <row r="584" spans="1:1" ht="19.5" hidden="1" customHeight="1" x14ac:dyDescent="0.4">
      <c r="A584" s="118" t="s">
        <v>559</v>
      </c>
    </row>
    <row r="585" spans="1:1" ht="19.5" hidden="1" customHeight="1" x14ac:dyDescent="0.4">
      <c r="A585" s="118" t="s">
        <v>560</v>
      </c>
    </row>
    <row r="586" spans="1:1" ht="19.5" hidden="1" customHeight="1" x14ac:dyDescent="0.4">
      <c r="A586" s="118" t="s">
        <v>561</v>
      </c>
    </row>
    <row r="587" spans="1:1" ht="19.5" hidden="1" customHeight="1" x14ac:dyDescent="0.4">
      <c r="A587" s="118" t="s">
        <v>562</v>
      </c>
    </row>
    <row r="588" spans="1:1" ht="19.5" hidden="1" customHeight="1" x14ac:dyDescent="0.4">
      <c r="A588" s="118" t="s">
        <v>563</v>
      </c>
    </row>
    <row r="589" spans="1:1" ht="19.5" hidden="1" customHeight="1" x14ac:dyDescent="0.4">
      <c r="A589" s="118" t="s">
        <v>564</v>
      </c>
    </row>
    <row r="590" spans="1:1" ht="19.5" hidden="1" customHeight="1" x14ac:dyDescent="0.4">
      <c r="A590" s="118" t="s">
        <v>565</v>
      </c>
    </row>
    <row r="591" spans="1:1" ht="19.5" hidden="1" customHeight="1" x14ac:dyDescent="0.4">
      <c r="A591" s="118" t="s">
        <v>566</v>
      </c>
    </row>
    <row r="592" spans="1:1" ht="19.5" hidden="1" customHeight="1" x14ac:dyDescent="0.4">
      <c r="A592" s="118" t="s">
        <v>567</v>
      </c>
    </row>
    <row r="593" spans="1:1" ht="19.5" hidden="1" customHeight="1" x14ac:dyDescent="0.4">
      <c r="A593" s="118" t="s">
        <v>568</v>
      </c>
    </row>
    <row r="594" spans="1:1" ht="19.5" hidden="1" customHeight="1" x14ac:dyDescent="0.4">
      <c r="A594" s="118" t="s">
        <v>569</v>
      </c>
    </row>
    <row r="595" spans="1:1" ht="19.5" hidden="1" customHeight="1" x14ac:dyDescent="0.4">
      <c r="A595" s="118" t="s">
        <v>570</v>
      </c>
    </row>
    <row r="596" spans="1:1" ht="19.5" hidden="1" customHeight="1" x14ac:dyDescent="0.4">
      <c r="A596" s="118" t="s">
        <v>571</v>
      </c>
    </row>
    <row r="597" spans="1:1" ht="19.5" hidden="1" customHeight="1" x14ac:dyDescent="0.4">
      <c r="A597" s="118" t="s">
        <v>572</v>
      </c>
    </row>
    <row r="598" spans="1:1" ht="19.5" hidden="1" customHeight="1" x14ac:dyDescent="0.4">
      <c r="A598" s="118" t="s">
        <v>573</v>
      </c>
    </row>
    <row r="599" spans="1:1" ht="19.5" hidden="1" customHeight="1" x14ac:dyDescent="0.4">
      <c r="A599" s="118" t="s">
        <v>574</v>
      </c>
    </row>
    <row r="600" spans="1:1" ht="19.5" hidden="1" customHeight="1" x14ac:dyDescent="0.4">
      <c r="A600" s="118" t="s">
        <v>575</v>
      </c>
    </row>
    <row r="601" spans="1:1" ht="19.5" hidden="1" customHeight="1" x14ac:dyDescent="0.4">
      <c r="A601" s="118" t="s">
        <v>576</v>
      </c>
    </row>
    <row r="602" spans="1:1" ht="19.5" hidden="1" customHeight="1" x14ac:dyDescent="0.4">
      <c r="A602" s="118" t="s">
        <v>577</v>
      </c>
    </row>
    <row r="603" spans="1:1" ht="19.5" hidden="1" customHeight="1" x14ac:dyDescent="0.4">
      <c r="A603" s="118" t="s">
        <v>578</v>
      </c>
    </row>
    <row r="604" spans="1:1" ht="19.5" hidden="1" customHeight="1" x14ac:dyDescent="0.4">
      <c r="A604" s="118" t="s">
        <v>579</v>
      </c>
    </row>
    <row r="605" spans="1:1" ht="19.5" hidden="1" customHeight="1" x14ac:dyDescent="0.4">
      <c r="A605" s="118" t="s">
        <v>580</v>
      </c>
    </row>
    <row r="606" spans="1:1" ht="19.5" hidden="1" customHeight="1" x14ac:dyDescent="0.4">
      <c r="A606" s="118" t="s">
        <v>581</v>
      </c>
    </row>
    <row r="607" spans="1:1" ht="19.5" hidden="1" customHeight="1" x14ac:dyDescent="0.4">
      <c r="A607" s="118" t="s">
        <v>582</v>
      </c>
    </row>
    <row r="608" spans="1:1" ht="19.5" hidden="1" customHeight="1" x14ac:dyDescent="0.4">
      <c r="A608" s="118" t="s">
        <v>583</v>
      </c>
    </row>
    <row r="609" spans="1:1" ht="19.5" hidden="1" customHeight="1" x14ac:dyDescent="0.4">
      <c r="A609" s="118" t="s">
        <v>584</v>
      </c>
    </row>
    <row r="610" spans="1:1" ht="19.5" hidden="1" customHeight="1" x14ac:dyDescent="0.4">
      <c r="A610" s="118" t="s">
        <v>585</v>
      </c>
    </row>
    <row r="611" spans="1:1" ht="19.5" hidden="1" customHeight="1" x14ac:dyDescent="0.4">
      <c r="A611" s="118" t="s">
        <v>586</v>
      </c>
    </row>
    <row r="612" spans="1:1" ht="19.5" hidden="1" customHeight="1" x14ac:dyDescent="0.4">
      <c r="A612" s="118" t="s">
        <v>587</v>
      </c>
    </row>
    <row r="613" spans="1:1" ht="19.5" hidden="1" customHeight="1" x14ac:dyDescent="0.4">
      <c r="A613" s="118" t="s">
        <v>588</v>
      </c>
    </row>
    <row r="614" spans="1:1" ht="19.5" hidden="1" customHeight="1" x14ac:dyDescent="0.4">
      <c r="A614" s="118" t="s">
        <v>589</v>
      </c>
    </row>
    <row r="615" spans="1:1" ht="19.5" hidden="1" customHeight="1" x14ac:dyDescent="0.4">
      <c r="A615" s="118" t="s">
        <v>401</v>
      </c>
    </row>
    <row r="616" spans="1:1" ht="19.5" hidden="1" customHeight="1" x14ac:dyDescent="0.4">
      <c r="A616" s="118" t="s">
        <v>586</v>
      </c>
    </row>
    <row r="617" spans="1:1" ht="19.5" hidden="1" customHeight="1" x14ac:dyDescent="0.4">
      <c r="A617" s="118" t="s">
        <v>591</v>
      </c>
    </row>
    <row r="618" spans="1:1" ht="19.5" hidden="1" customHeight="1" x14ac:dyDescent="0.4">
      <c r="A618" s="118" t="s">
        <v>592</v>
      </c>
    </row>
    <row r="619" spans="1:1" ht="19.5" hidden="1" customHeight="1" x14ac:dyDescent="0.4">
      <c r="A619" s="118" t="s">
        <v>594</v>
      </c>
    </row>
    <row r="620" spans="1:1" ht="19.5" hidden="1" customHeight="1" x14ac:dyDescent="0.4">
      <c r="A620" s="118" t="s">
        <v>595</v>
      </c>
    </row>
    <row r="621" spans="1:1" ht="19.5" hidden="1" customHeight="1" x14ac:dyDescent="0.4">
      <c r="A621" s="118" t="s">
        <v>597</v>
      </c>
    </row>
    <row r="622" spans="1:1" ht="19.5" hidden="1" customHeight="1" x14ac:dyDescent="0.4">
      <c r="A622" s="118" t="s">
        <v>598</v>
      </c>
    </row>
    <row r="623" spans="1:1" ht="19.5" hidden="1" customHeight="1" x14ac:dyDescent="0.4">
      <c r="A623" s="118" t="s">
        <v>599</v>
      </c>
    </row>
    <row r="624" spans="1:1" ht="19.5" hidden="1" customHeight="1" x14ac:dyDescent="0.4">
      <c r="A624" s="118" t="s">
        <v>600</v>
      </c>
    </row>
    <row r="625" spans="1:1" ht="19.5" hidden="1" customHeight="1" x14ac:dyDescent="0.4">
      <c r="A625" s="118" t="s">
        <v>601</v>
      </c>
    </row>
    <row r="626" spans="1:1" ht="19.5" hidden="1" customHeight="1" x14ac:dyDescent="0.4">
      <c r="A626" s="118" t="s">
        <v>602</v>
      </c>
    </row>
    <row r="627" spans="1:1" ht="19.5" hidden="1" customHeight="1" x14ac:dyDescent="0.4">
      <c r="A627" s="118" t="s">
        <v>603</v>
      </c>
    </row>
    <row r="628" spans="1:1" ht="19.5" hidden="1" customHeight="1" x14ac:dyDescent="0.4">
      <c r="A628" s="118" t="s">
        <v>604</v>
      </c>
    </row>
    <row r="629" spans="1:1" ht="19.5" hidden="1" customHeight="1" x14ac:dyDescent="0.4">
      <c r="A629" s="118" t="s">
        <v>606</v>
      </c>
    </row>
    <row r="630" spans="1:1" ht="19.5" hidden="1" customHeight="1" x14ac:dyDescent="0.4">
      <c r="A630" s="118" t="s">
        <v>607</v>
      </c>
    </row>
    <row r="631" spans="1:1" ht="19.5" hidden="1" customHeight="1" x14ac:dyDescent="0.4">
      <c r="A631" s="118" t="s">
        <v>608</v>
      </c>
    </row>
    <row r="632" spans="1:1" ht="19.5" hidden="1" customHeight="1" x14ac:dyDescent="0.4">
      <c r="A632" s="118" t="s">
        <v>609</v>
      </c>
    </row>
    <row r="633" spans="1:1" ht="19.5" hidden="1" customHeight="1" x14ac:dyDescent="0.4">
      <c r="A633" s="118" t="s">
        <v>610</v>
      </c>
    </row>
    <row r="634" spans="1:1" ht="19.5" hidden="1" customHeight="1" x14ac:dyDescent="0.4">
      <c r="A634" s="118" t="s">
        <v>611</v>
      </c>
    </row>
    <row r="635" spans="1:1" ht="19.5" hidden="1" customHeight="1" x14ac:dyDescent="0.4">
      <c r="A635" s="118" t="s">
        <v>612</v>
      </c>
    </row>
    <row r="636" spans="1:1" ht="19.5" hidden="1" customHeight="1" x14ac:dyDescent="0.4">
      <c r="A636" s="118" t="s">
        <v>613</v>
      </c>
    </row>
    <row r="637" spans="1:1" ht="19.5" hidden="1" customHeight="1" x14ac:dyDescent="0.4">
      <c r="A637" s="118" t="s">
        <v>614</v>
      </c>
    </row>
    <row r="638" spans="1:1" ht="19.5" hidden="1" customHeight="1" x14ac:dyDescent="0.4">
      <c r="A638" s="118" t="s">
        <v>615</v>
      </c>
    </row>
    <row r="639" spans="1:1" ht="19.5" hidden="1" customHeight="1" x14ac:dyDescent="0.4">
      <c r="A639" s="118" t="s">
        <v>616</v>
      </c>
    </row>
    <row r="640" spans="1:1" ht="19.5" hidden="1" customHeight="1" x14ac:dyDescent="0.4">
      <c r="A640" s="118" t="s">
        <v>618</v>
      </c>
    </row>
    <row r="641" spans="1:1" ht="19.5" hidden="1" customHeight="1" x14ac:dyDescent="0.4">
      <c r="A641" s="118" t="s">
        <v>619</v>
      </c>
    </row>
    <row r="642" spans="1:1" ht="19.5" hidden="1" customHeight="1" x14ac:dyDescent="0.4">
      <c r="A642" s="118" t="s">
        <v>620</v>
      </c>
    </row>
    <row r="643" spans="1:1" ht="19.5" hidden="1" customHeight="1" x14ac:dyDescent="0.4">
      <c r="A643" s="118" t="s">
        <v>621</v>
      </c>
    </row>
    <row r="644" spans="1:1" ht="19.5" hidden="1" customHeight="1" x14ac:dyDescent="0.4">
      <c r="A644" s="118" t="s">
        <v>622</v>
      </c>
    </row>
    <row r="645" spans="1:1" ht="19.5" hidden="1" customHeight="1" x14ac:dyDescent="0.4">
      <c r="A645" s="118" t="s">
        <v>623</v>
      </c>
    </row>
    <row r="646" spans="1:1" ht="19.5" hidden="1" customHeight="1" x14ac:dyDescent="0.4">
      <c r="A646" s="118" t="s">
        <v>624</v>
      </c>
    </row>
    <row r="647" spans="1:1" ht="19.5" hidden="1" customHeight="1" x14ac:dyDescent="0.4">
      <c r="A647" s="118" t="s">
        <v>625</v>
      </c>
    </row>
    <row r="648" spans="1:1" ht="19.5" hidden="1" customHeight="1" x14ac:dyDescent="0.4">
      <c r="A648" s="118" t="s">
        <v>626</v>
      </c>
    </row>
    <row r="649" spans="1:1" ht="19.5" hidden="1" customHeight="1" x14ac:dyDescent="0.4">
      <c r="A649" s="118" t="s">
        <v>627</v>
      </c>
    </row>
    <row r="650" spans="1:1" ht="19.5" hidden="1" customHeight="1" x14ac:dyDescent="0.4">
      <c r="A650" s="118" t="s">
        <v>628</v>
      </c>
    </row>
    <row r="651" spans="1:1" ht="19.5" hidden="1" customHeight="1" x14ac:dyDescent="0.4">
      <c r="A651" s="118" t="s">
        <v>629</v>
      </c>
    </row>
    <row r="652" spans="1:1" ht="19.5" hidden="1" customHeight="1" x14ac:dyDescent="0.4">
      <c r="A652" s="118" t="s">
        <v>630</v>
      </c>
    </row>
    <row r="653" spans="1:1" ht="19.5" hidden="1" customHeight="1" x14ac:dyDescent="0.4">
      <c r="A653" s="118" t="s">
        <v>631</v>
      </c>
    </row>
    <row r="654" spans="1:1" ht="19.5" hidden="1" customHeight="1" x14ac:dyDescent="0.4">
      <c r="A654" s="118" t="s">
        <v>632</v>
      </c>
    </row>
    <row r="655" spans="1:1" ht="19.5" hidden="1" customHeight="1" x14ac:dyDescent="0.4">
      <c r="A655" s="118" t="s">
        <v>633</v>
      </c>
    </row>
    <row r="656" spans="1:1" ht="19.5" hidden="1" customHeight="1" x14ac:dyDescent="0.4">
      <c r="A656" s="118" t="s">
        <v>634</v>
      </c>
    </row>
    <row r="657" spans="1:1" ht="19.5" hidden="1" customHeight="1" x14ac:dyDescent="0.4">
      <c r="A657" s="118" t="s">
        <v>635</v>
      </c>
    </row>
    <row r="658" spans="1:1" ht="19.5" hidden="1" customHeight="1" x14ac:dyDescent="0.4">
      <c r="A658" s="118" t="s">
        <v>636</v>
      </c>
    </row>
    <row r="659" spans="1:1" ht="19.5" hidden="1" customHeight="1" x14ac:dyDescent="0.4">
      <c r="A659" s="118" t="s">
        <v>637</v>
      </c>
    </row>
    <row r="660" spans="1:1" ht="19.5" hidden="1" customHeight="1" x14ac:dyDescent="0.4">
      <c r="A660" s="118" t="s">
        <v>638</v>
      </c>
    </row>
    <row r="661" spans="1:1" ht="19.5" hidden="1" customHeight="1" x14ac:dyDescent="0.4">
      <c r="A661" s="118" t="s">
        <v>639</v>
      </c>
    </row>
    <row r="662" spans="1:1" ht="19.5" hidden="1" customHeight="1" x14ac:dyDescent="0.4">
      <c r="A662" s="118" t="s">
        <v>640</v>
      </c>
    </row>
    <row r="663" spans="1:1" ht="19.5" hidden="1" customHeight="1" x14ac:dyDescent="0.4">
      <c r="A663" s="118" t="s">
        <v>641</v>
      </c>
    </row>
    <row r="664" spans="1:1" ht="19.5" hidden="1" customHeight="1" x14ac:dyDescent="0.4">
      <c r="A664" s="118" t="s">
        <v>642</v>
      </c>
    </row>
    <row r="665" spans="1:1" ht="19.5" hidden="1" customHeight="1" x14ac:dyDescent="0.4">
      <c r="A665" s="118" t="s">
        <v>643</v>
      </c>
    </row>
    <row r="666" spans="1:1" ht="19.5" hidden="1" customHeight="1" x14ac:dyDescent="0.4">
      <c r="A666" s="118" t="s">
        <v>644</v>
      </c>
    </row>
    <row r="667" spans="1:1" ht="19.5" hidden="1" customHeight="1" x14ac:dyDescent="0.4">
      <c r="A667" s="118" t="s">
        <v>645</v>
      </c>
    </row>
    <row r="668" spans="1:1" ht="19.5" hidden="1" customHeight="1" x14ac:dyDescent="0.4">
      <c r="A668" s="118" t="s">
        <v>646</v>
      </c>
    </row>
    <row r="669" spans="1:1" ht="19.5" hidden="1" customHeight="1" x14ac:dyDescent="0.4">
      <c r="A669" s="118" t="s">
        <v>647</v>
      </c>
    </row>
    <row r="670" spans="1:1" ht="19.5" hidden="1" customHeight="1" x14ac:dyDescent="0.4">
      <c r="A670" s="118" t="s">
        <v>648</v>
      </c>
    </row>
    <row r="671" spans="1:1" ht="19.5" hidden="1" customHeight="1" x14ac:dyDescent="0.4">
      <c r="A671" s="118" t="s">
        <v>649</v>
      </c>
    </row>
    <row r="672" spans="1:1" ht="19.5" hidden="1" customHeight="1" x14ac:dyDescent="0.4">
      <c r="A672" s="118" t="s">
        <v>650</v>
      </c>
    </row>
    <row r="673" spans="1:1" ht="19.5" hidden="1" customHeight="1" x14ac:dyDescent="0.4">
      <c r="A673" s="118" t="s">
        <v>651</v>
      </c>
    </row>
    <row r="674" spans="1:1" ht="19.5" hidden="1" customHeight="1" x14ac:dyDescent="0.4">
      <c r="A674" s="118" t="s">
        <v>652</v>
      </c>
    </row>
    <row r="675" spans="1:1" ht="19.5" hidden="1" customHeight="1" x14ac:dyDescent="0.4">
      <c r="A675" s="118" t="s">
        <v>653</v>
      </c>
    </row>
    <row r="676" spans="1:1" ht="19.5" hidden="1" customHeight="1" x14ac:dyDescent="0.4">
      <c r="A676" s="118" t="s">
        <v>654</v>
      </c>
    </row>
    <row r="677" spans="1:1" ht="19.5" hidden="1" customHeight="1" x14ac:dyDescent="0.4">
      <c r="A677" s="118" t="s">
        <v>655</v>
      </c>
    </row>
    <row r="678" spans="1:1" ht="19.5" hidden="1" customHeight="1" x14ac:dyDescent="0.4">
      <c r="A678" s="118" t="s">
        <v>656</v>
      </c>
    </row>
    <row r="679" spans="1:1" ht="19.5" hidden="1" customHeight="1" x14ac:dyDescent="0.4">
      <c r="A679" s="118" t="s">
        <v>657</v>
      </c>
    </row>
    <row r="680" spans="1:1" ht="19.5" hidden="1" customHeight="1" x14ac:dyDescent="0.4">
      <c r="A680" s="118" t="s">
        <v>658</v>
      </c>
    </row>
    <row r="681" spans="1:1" ht="19.5" hidden="1" customHeight="1" x14ac:dyDescent="0.4">
      <c r="A681" s="118" t="s">
        <v>659</v>
      </c>
    </row>
    <row r="682" spans="1:1" ht="19.5" hidden="1" customHeight="1" x14ac:dyDescent="0.4">
      <c r="A682" s="118" t="s">
        <v>660</v>
      </c>
    </row>
    <row r="683" spans="1:1" ht="19.5" hidden="1" customHeight="1" x14ac:dyDescent="0.4">
      <c r="A683" s="118" t="s">
        <v>661</v>
      </c>
    </row>
    <row r="684" spans="1:1" ht="19.5" hidden="1" customHeight="1" x14ac:dyDescent="0.4">
      <c r="A684" s="118" t="s">
        <v>662</v>
      </c>
    </row>
    <row r="685" spans="1:1" ht="23.25" hidden="1" customHeight="1" x14ac:dyDescent="0.45">
      <c r="A685" s="118" t="s">
        <v>722</v>
      </c>
    </row>
    <row r="686" spans="1:1" ht="19.5" hidden="1" customHeight="1" x14ac:dyDescent="0.4">
      <c r="A686" s="118" t="s">
        <v>663</v>
      </c>
    </row>
    <row r="687" spans="1:1" ht="19.5" hidden="1" customHeight="1" x14ac:dyDescent="0.4">
      <c r="A687" s="118" t="s">
        <v>664</v>
      </c>
    </row>
    <row r="688" spans="1:1" ht="19.5" hidden="1" customHeight="1" x14ac:dyDescent="0.4">
      <c r="A688" s="118" t="s">
        <v>665</v>
      </c>
    </row>
    <row r="689" spans="1:1" ht="19.5" hidden="1" customHeight="1" x14ac:dyDescent="0.4">
      <c r="A689" s="118" t="s">
        <v>666</v>
      </c>
    </row>
    <row r="690" spans="1:1" ht="19.5" hidden="1" customHeight="1" x14ac:dyDescent="0.4">
      <c r="A690" s="118" t="s">
        <v>667</v>
      </c>
    </row>
    <row r="691" spans="1:1" ht="19.5" hidden="1" customHeight="1" x14ac:dyDescent="0.4">
      <c r="A691" s="118" t="s">
        <v>668</v>
      </c>
    </row>
    <row r="692" spans="1:1" ht="19.5" hidden="1" customHeight="1" x14ac:dyDescent="0.4">
      <c r="A692" s="118" t="s">
        <v>669</v>
      </c>
    </row>
    <row r="693" spans="1:1" ht="19.5" hidden="1" customHeight="1" x14ac:dyDescent="0.4">
      <c r="A693" s="118" t="s">
        <v>670</v>
      </c>
    </row>
    <row r="694" spans="1:1" ht="19.5" hidden="1" customHeight="1" x14ac:dyDescent="0.4">
      <c r="A694" s="118" t="s">
        <v>671</v>
      </c>
    </row>
    <row r="695" spans="1:1" ht="19.5" hidden="1" customHeight="1" x14ac:dyDescent="0.4">
      <c r="A695" s="118" t="s">
        <v>672</v>
      </c>
    </row>
    <row r="696" spans="1:1" ht="19.5" hidden="1" customHeight="1" x14ac:dyDescent="0.4">
      <c r="A696" s="118" t="s">
        <v>673</v>
      </c>
    </row>
    <row r="697" spans="1:1" ht="19.5" hidden="1" customHeight="1" x14ac:dyDescent="0.4">
      <c r="A697" s="118" t="s">
        <v>674</v>
      </c>
    </row>
    <row r="698" spans="1:1" ht="19.5" hidden="1" customHeight="1" x14ac:dyDescent="0.4">
      <c r="A698" s="118" t="s">
        <v>675</v>
      </c>
    </row>
    <row r="699" spans="1:1" ht="19.5" hidden="1" customHeight="1" x14ac:dyDescent="0.4">
      <c r="A699" s="118" t="s">
        <v>676</v>
      </c>
    </row>
    <row r="700" spans="1:1" ht="19.5" hidden="1" customHeight="1" x14ac:dyDescent="0.4">
      <c r="A700" s="118" t="s">
        <v>677</v>
      </c>
    </row>
    <row r="701" spans="1:1" ht="19.5" hidden="1" customHeight="1" x14ac:dyDescent="0.4">
      <c r="A701" s="118" t="s">
        <v>678</v>
      </c>
    </row>
    <row r="702" spans="1:1" ht="19.5" hidden="1" customHeight="1" x14ac:dyDescent="0.4">
      <c r="A702" s="118" t="s">
        <v>679</v>
      </c>
    </row>
    <row r="703" spans="1:1" ht="19.5" hidden="1" customHeight="1" x14ac:dyDescent="0.4">
      <c r="A703" s="118" t="s">
        <v>680</v>
      </c>
    </row>
    <row r="704" spans="1:1" ht="19.5" hidden="1" customHeight="1" x14ac:dyDescent="0.4">
      <c r="A704" s="118" t="s">
        <v>681</v>
      </c>
    </row>
    <row r="705" spans="1:1" ht="19.5" hidden="1" customHeight="1" x14ac:dyDescent="0.4">
      <c r="A705" s="118" t="s">
        <v>321</v>
      </c>
    </row>
    <row r="706" spans="1:1" ht="19.5" hidden="1" customHeight="1" x14ac:dyDescent="0.4">
      <c r="A706" s="118" t="s">
        <v>682</v>
      </c>
    </row>
    <row r="707" spans="1:1" ht="19.5" hidden="1" customHeight="1" x14ac:dyDescent="0.4">
      <c r="A707" s="118" t="s">
        <v>683</v>
      </c>
    </row>
    <row r="708" spans="1:1" ht="19.5" hidden="1" customHeight="1" x14ac:dyDescent="0.4">
      <c r="A708" s="118" t="s">
        <v>684</v>
      </c>
    </row>
    <row r="709" spans="1:1" ht="19.5" hidden="1" customHeight="1" x14ac:dyDescent="0.4">
      <c r="A709" s="118" t="s">
        <v>685</v>
      </c>
    </row>
    <row r="710" spans="1:1" ht="19.5" hidden="1" customHeight="1" x14ac:dyDescent="0.4">
      <c r="A710" s="118" t="s">
        <v>686</v>
      </c>
    </row>
    <row r="711" spans="1:1" ht="19.5" hidden="1" customHeight="1" x14ac:dyDescent="0.4">
      <c r="A711" s="118" t="s">
        <v>687</v>
      </c>
    </row>
    <row r="712" spans="1:1" ht="19.5" hidden="1" customHeight="1" x14ac:dyDescent="0.4">
      <c r="A712" s="118" t="s">
        <v>688</v>
      </c>
    </row>
    <row r="713" spans="1:1" ht="19.5" hidden="1" customHeight="1" x14ac:dyDescent="0.4">
      <c r="A713" s="118" t="s">
        <v>689</v>
      </c>
    </row>
    <row r="714" spans="1:1" ht="19.5" hidden="1" customHeight="1" x14ac:dyDescent="0.4">
      <c r="A714" s="118" t="s">
        <v>690</v>
      </c>
    </row>
    <row r="715" spans="1:1" ht="19.5" hidden="1" customHeight="1" x14ac:dyDescent="0.4">
      <c r="A715" s="118" t="s">
        <v>691</v>
      </c>
    </row>
    <row r="716" spans="1:1" ht="19.5" hidden="1" customHeight="1" x14ac:dyDescent="0.4">
      <c r="A716" s="118" t="s">
        <v>692</v>
      </c>
    </row>
    <row r="717" spans="1:1" ht="19.5" hidden="1" customHeight="1" x14ac:dyDescent="0.4">
      <c r="A717" s="118" t="s">
        <v>694</v>
      </c>
    </row>
    <row r="718" spans="1:1" ht="19.5" hidden="1" customHeight="1" x14ac:dyDescent="0.4">
      <c r="A718" s="118" t="s">
        <v>695</v>
      </c>
    </row>
    <row r="719" spans="1:1" ht="19.5" hidden="1" customHeight="1" x14ac:dyDescent="0.4">
      <c r="A719" s="118" t="s">
        <v>696</v>
      </c>
    </row>
    <row r="720" spans="1:1" ht="19.5" hidden="1" customHeight="1" x14ac:dyDescent="0.4">
      <c r="A720" s="118" t="s">
        <v>698</v>
      </c>
    </row>
    <row r="721" spans="1:1" ht="19.5" hidden="1" customHeight="1" x14ac:dyDescent="0.4">
      <c r="A721" s="118" t="s">
        <v>699</v>
      </c>
    </row>
    <row r="722" spans="1:1" ht="19.5" hidden="1" customHeight="1" x14ac:dyDescent="0.4">
      <c r="A722" s="118" t="s">
        <v>700</v>
      </c>
    </row>
    <row r="723" spans="1:1" ht="19.5" hidden="1" customHeight="1" x14ac:dyDescent="0.4">
      <c r="A723" s="118" t="s">
        <v>701</v>
      </c>
    </row>
    <row r="724" spans="1:1" ht="19.5" hidden="1" customHeight="1" x14ac:dyDescent="0.4">
      <c r="A724" s="118" t="s">
        <v>702</v>
      </c>
    </row>
    <row r="725" spans="1:1" ht="19.5" hidden="1" customHeight="1" x14ac:dyDescent="0.4">
      <c r="A725" s="118" t="s">
        <v>703</v>
      </c>
    </row>
    <row r="726" spans="1:1" ht="19.5" hidden="1" customHeight="1" x14ac:dyDescent="0.4">
      <c r="A726" s="118" t="s">
        <v>704</v>
      </c>
    </row>
    <row r="727" spans="1:1" ht="19.5" hidden="1" customHeight="1" x14ac:dyDescent="0.4">
      <c r="A727" s="118" t="s">
        <v>705</v>
      </c>
    </row>
    <row r="728" spans="1:1" ht="19.5" hidden="1" customHeight="1" x14ac:dyDescent="0.4">
      <c r="A728" s="118" t="s">
        <v>706</v>
      </c>
    </row>
    <row r="729" spans="1:1" ht="19.5" hidden="1" customHeight="1" x14ac:dyDescent="0.4">
      <c r="A729" s="118" t="s">
        <v>707</v>
      </c>
    </row>
    <row r="730" spans="1:1" ht="19.5" hidden="1" customHeight="1" x14ac:dyDescent="0.4">
      <c r="A730" s="118" t="s">
        <v>708</v>
      </c>
    </row>
    <row r="731" spans="1:1" ht="15" hidden="1" customHeight="1" x14ac:dyDescent="0.3">
      <c r="A731" s="159" t="s">
        <v>709</v>
      </c>
    </row>
    <row r="732" spans="1:1" ht="15" hidden="1" customHeight="1" x14ac:dyDescent="0.3">
      <c r="A732" s="159" t="s">
        <v>710</v>
      </c>
    </row>
    <row r="733" spans="1:1" ht="18.75" hidden="1" customHeight="1" x14ac:dyDescent="0.35">
      <c r="A733" s="161" t="s">
        <v>711</v>
      </c>
    </row>
    <row r="734" spans="1:1" ht="21" hidden="1" customHeight="1" x14ac:dyDescent="0.4">
      <c r="A734" s="162" t="s">
        <v>712</v>
      </c>
    </row>
    <row r="735" spans="1:1" ht="15" hidden="1" customHeight="1" x14ac:dyDescent="0.3">
      <c r="A735" s="159" t="s">
        <v>713</v>
      </c>
    </row>
    <row r="736" spans="1:1" ht="18.75" hidden="1" customHeight="1" x14ac:dyDescent="0.35">
      <c r="A736" s="161" t="s">
        <v>714</v>
      </c>
    </row>
    <row r="737" spans="1:1" ht="21" hidden="1" customHeight="1" x14ac:dyDescent="0.4">
      <c r="A737" s="162" t="s">
        <v>715</v>
      </c>
    </row>
    <row r="738" spans="1:1" ht="21" hidden="1" customHeight="1" x14ac:dyDescent="0.4">
      <c r="A738" s="162" t="s">
        <v>716</v>
      </c>
    </row>
    <row r="739" spans="1:1" ht="21" hidden="1" customHeight="1" x14ac:dyDescent="0.4">
      <c r="A739" s="162" t="s">
        <v>717</v>
      </c>
    </row>
    <row r="740" spans="1:1" ht="21" hidden="1" customHeight="1" x14ac:dyDescent="0.4">
      <c r="A740" s="162" t="s">
        <v>719</v>
      </c>
    </row>
    <row r="741" spans="1:1" ht="21" hidden="1" customHeight="1" x14ac:dyDescent="0.4">
      <c r="A741" s="162" t="s">
        <v>720</v>
      </c>
    </row>
    <row r="742" spans="1:1" ht="18.75" hidden="1" customHeight="1" x14ac:dyDescent="0.35">
      <c r="A742" s="161" t="s">
        <v>721</v>
      </c>
    </row>
    <row r="743" spans="1:1" ht="21" hidden="1" customHeight="1" x14ac:dyDescent="0.4">
      <c r="A743" s="162" t="s">
        <v>723</v>
      </c>
    </row>
    <row r="744" spans="1:1" ht="18.75" hidden="1" customHeight="1" x14ac:dyDescent="0.35">
      <c r="A744" s="161" t="s">
        <v>724</v>
      </c>
    </row>
    <row r="745" spans="1:1" ht="18.75" hidden="1" customHeight="1" x14ac:dyDescent="0.35">
      <c r="A745" s="161" t="s">
        <v>725</v>
      </c>
    </row>
    <row r="746" spans="1:1" ht="18.75" hidden="1" customHeight="1" x14ac:dyDescent="0.35">
      <c r="A746" s="161" t="s">
        <v>726</v>
      </c>
    </row>
    <row r="747" spans="1:1" ht="21" hidden="1" customHeight="1" x14ac:dyDescent="0.4">
      <c r="A747" s="162" t="s">
        <v>727</v>
      </c>
    </row>
    <row r="748" spans="1:1" ht="21" hidden="1" customHeight="1" x14ac:dyDescent="0.4">
      <c r="A748" s="162" t="s">
        <v>728</v>
      </c>
    </row>
    <row r="749" spans="1:1" ht="21" hidden="1" customHeight="1" x14ac:dyDescent="0.4">
      <c r="A749" s="162" t="s">
        <v>729</v>
      </c>
    </row>
    <row r="750" spans="1:1" ht="21" hidden="1" customHeight="1" x14ac:dyDescent="0.4">
      <c r="A750" s="162" t="s">
        <v>730</v>
      </c>
    </row>
    <row r="751" spans="1:1" ht="21" hidden="1" customHeight="1" x14ac:dyDescent="0.4">
      <c r="A751" s="162" t="s">
        <v>782</v>
      </c>
    </row>
    <row r="752" spans="1:1" ht="21" hidden="1" customHeight="1" x14ac:dyDescent="0.4">
      <c r="A752" s="162" t="s">
        <v>731</v>
      </c>
    </row>
    <row r="753" spans="1:1" ht="21" hidden="1" customHeight="1" x14ac:dyDescent="0.4">
      <c r="A753" s="162" t="s">
        <v>732</v>
      </c>
    </row>
    <row r="754" spans="1:1" ht="21" hidden="1" customHeight="1" x14ac:dyDescent="0.4">
      <c r="A754" s="162" t="s">
        <v>733</v>
      </c>
    </row>
    <row r="755" spans="1:1" ht="21" hidden="1" customHeight="1" x14ac:dyDescent="0.4">
      <c r="A755" s="162" t="s">
        <v>734</v>
      </c>
    </row>
    <row r="756" spans="1:1" ht="21" hidden="1" customHeight="1" x14ac:dyDescent="0.4">
      <c r="A756" s="162" t="s">
        <v>735</v>
      </c>
    </row>
    <row r="757" spans="1:1" ht="21" hidden="1" customHeight="1" x14ac:dyDescent="0.4">
      <c r="A757" s="162" t="s">
        <v>736</v>
      </c>
    </row>
    <row r="758" spans="1:1" ht="21" hidden="1" customHeight="1" x14ac:dyDescent="0.4">
      <c r="A758" s="162" t="s">
        <v>737</v>
      </c>
    </row>
    <row r="759" spans="1:1" ht="21" hidden="1" customHeight="1" x14ac:dyDescent="0.4">
      <c r="A759" s="162" t="s">
        <v>738</v>
      </c>
    </row>
    <row r="760" spans="1:1" ht="21" hidden="1" customHeight="1" x14ac:dyDescent="0.4">
      <c r="A760" s="162" t="s">
        <v>739</v>
      </c>
    </row>
    <row r="761" spans="1:1" ht="21" hidden="1" customHeight="1" x14ac:dyDescent="0.4">
      <c r="A761" s="162" t="s">
        <v>740</v>
      </c>
    </row>
    <row r="762" spans="1:1" ht="21" hidden="1" customHeight="1" x14ac:dyDescent="0.4">
      <c r="A762" s="162" t="s">
        <v>741</v>
      </c>
    </row>
    <row r="763" spans="1:1" ht="21" hidden="1" customHeight="1" x14ac:dyDescent="0.4">
      <c r="A763" s="162" t="s">
        <v>742</v>
      </c>
    </row>
    <row r="764" spans="1:1" ht="21" hidden="1" customHeight="1" x14ac:dyDescent="0.4">
      <c r="A764" s="162" t="s">
        <v>743</v>
      </c>
    </row>
    <row r="765" spans="1:1" ht="21" hidden="1" customHeight="1" x14ac:dyDescent="0.4">
      <c r="A765" s="162" t="s">
        <v>744</v>
      </c>
    </row>
    <row r="766" spans="1:1" ht="21" hidden="1" customHeight="1" x14ac:dyDescent="0.4">
      <c r="A766" s="162" t="s">
        <v>745</v>
      </c>
    </row>
    <row r="767" spans="1:1" ht="21" hidden="1" customHeight="1" x14ac:dyDescent="0.4">
      <c r="A767" s="162" t="s">
        <v>746</v>
      </c>
    </row>
    <row r="768" spans="1:1" ht="21" hidden="1" customHeight="1" x14ac:dyDescent="0.4">
      <c r="A768" s="162" t="s">
        <v>747</v>
      </c>
    </row>
    <row r="769" spans="1:1" ht="21" hidden="1" customHeight="1" x14ac:dyDescent="0.4">
      <c r="A769" s="162" t="s">
        <v>748</v>
      </c>
    </row>
    <row r="770" spans="1:1" ht="21" hidden="1" customHeight="1" x14ac:dyDescent="0.4">
      <c r="A770" s="162" t="s">
        <v>749</v>
      </c>
    </row>
    <row r="771" spans="1:1" ht="21" hidden="1" customHeight="1" x14ac:dyDescent="0.4">
      <c r="A771" s="162" t="s">
        <v>750</v>
      </c>
    </row>
    <row r="772" spans="1:1" ht="21" hidden="1" customHeight="1" x14ac:dyDescent="0.4">
      <c r="A772" s="162" t="s">
        <v>751</v>
      </c>
    </row>
    <row r="773" spans="1:1" ht="21" hidden="1" customHeight="1" x14ac:dyDescent="0.4">
      <c r="A773" s="162" t="s">
        <v>752</v>
      </c>
    </row>
    <row r="774" spans="1:1" ht="21" hidden="1" customHeight="1" x14ac:dyDescent="0.4">
      <c r="A774" s="162" t="s">
        <v>697</v>
      </c>
    </row>
    <row r="775" spans="1:1" ht="21" hidden="1" customHeight="1" x14ac:dyDescent="0.4">
      <c r="A775" s="162" t="s">
        <v>753</v>
      </c>
    </row>
    <row r="776" spans="1:1" ht="21" hidden="1" customHeight="1" x14ac:dyDescent="0.4">
      <c r="A776" s="162" t="s">
        <v>754</v>
      </c>
    </row>
    <row r="777" spans="1:1" ht="21" hidden="1" customHeight="1" x14ac:dyDescent="0.4">
      <c r="A777" s="162" t="s">
        <v>755</v>
      </c>
    </row>
    <row r="778" spans="1:1" ht="21" hidden="1" customHeight="1" x14ac:dyDescent="0.4">
      <c r="A778" s="162" t="s">
        <v>756</v>
      </c>
    </row>
    <row r="779" spans="1:1" ht="21" hidden="1" customHeight="1" x14ac:dyDescent="0.4">
      <c r="A779" s="162" t="s">
        <v>757</v>
      </c>
    </row>
    <row r="780" spans="1:1" ht="21" hidden="1" customHeight="1" x14ac:dyDescent="0.4">
      <c r="A780" s="162" t="s">
        <v>758</v>
      </c>
    </row>
    <row r="781" spans="1:1" ht="21" hidden="1" customHeight="1" x14ac:dyDescent="0.4">
      <c r="A781" s="162" t="s">
        <v>759</v>
      </c>
    </row>
    <row r="782" spans="1:1" ht="21" hidden="1" customHeight="1" x14ac:dyDescent="0.4">
      <c r="A782" s="162" t="s">
        <v>734</v>
      </c>
    </row>
    <row r="783" spans="1:1" ht="21" hidden="1" customHeight="1" x14ac:dyDescent="0.4">
      <c r="A783" s="162" t="s">
        <v>760</v>
      </c>
    </row>
    <row r="784" spans="1:1" ht="21" hidden="1" customHeight="1" x14ac:dyDescent="0.4">
      <c r="A784" s="162" t="s">
        <v>761</v>
      </c>
    </row>
    <row r="785" spans="1:1" ht="21" hidden="1" customHeight="1" x14ac:dyDescent="0.4">
      <c r="A785" s="162" t="s">
        <v>762</v>
      </c>
    </row>
    <row r="786" spans="1:1" ht="21" hidden="1" customHeight="1" x14ac:dyDescent="0.4">
      <c r="A786" s="162" t="s">
        <v>763</v>
      </c>
    </row>
    <row r="787" spans="1:1" ht="21" hidden="1" customHeight="1" x14ac:dyDescent="0.4">
      <c r="A787" s="162" t="s">
        <v>764</v>
      </c>
    </row>
    <row r="788" spans="1:1" ht="21" hidden="1" customHeight="1" x14ac:dyDescent="0.4">
      <c r="A788" s="162" t="s">
        <v>765</v>
      </c>
    </row>
    <row r="789" spans="1:1" ht="21" hidden="1" customHeight="1" x14ac:dyDescent="0.4">
      <c r="A789" s="162" t="s">
        <v>766</v>
      </c>
    </row>
    <row r="790" spans="1:1" ht="21" hidden="1" customHeight="1" x14ac:dyDescent="0.4">
      <c r="A790" s="162" t="s">
        <v>767</v>
      </c>
    </row>
    <row r="791" spans="1:1" ht="21" hidden="1" customHeight="1" x14ac:dyDescent="0.4">
      <c r="A791" s="162" t="s">
        <v>768</v>
      </c>
    </row>
    <row r="792" spans="1:1" ht="21" hidden="1" customHeight="1" x14ac:dyDescent="0.4">
      <c r="A792" s="162" t="s">
        <v>767</v>
      </c>
    </row>
    <row r="793" spans="1:1" ht="21" hidden="1" customHeight="1" x14ac:dyDescent="0.4">
      <c r="A793" s="162" t="s">
        <v>769</v>
      </c>
    </row>
    <row r="794" spans="1:1" ht="21" hidden="1" customHeight="1" x14ac:dyDescent="0.4">
      <c r="A794" s="162" t="s">
        <v>770</v>
      </c>
    </row>
    <row r="795" spans="1:1" ht="21" hidden="1" customHeight="1" x14ac:dyDescent="0.4">
      <c r="A795" s="162" t="s">
        <v>772</v>
      </c>
    </row>
    <row r="796" spans="1:1" ht="21" hidden="1" customHeight="1" x14ac:dyDescent="0.4">
      <c r="A796" s="162" t="s">
        <v>773</v>
      </c>
    </row>
    <row r="797" spans="1:1" ht="21" hidden="1" customHeight="1" x14ac:dyDescent="0.4">
      <c r="A797" s="162" t="s">
        <v>774</v>
      </c>
    </row>
    <row r="798" spans="1:1" ht="21" hidden="1" customHeight="1" x14ac:dyDescent="0.4">
      <c r="A798" s="162" t="s">
        <v>775</v>
      </c>
    </row>
    <row r="799" spans="1:1" ht="21" hidden="1" customHeight="1" x14ac:dyDescent="0.4">
      <c r="A799" s="162" t="s">
        <v>776</v>
      </c>
    </row>
    <row r="800" spans="1:1" ht="21" hidden="1" customHeight="1" x14ac:dyDescent="0.4">
      <c r="A800" s="162" t="s">
        <v>777</v>
      </c>
    </row>
    <row r="801" spans="1:1" ht="21" hidden="1" customHeight="1" x14ac:dyDescent="0.4">
      <c r="A801" s="162" t="s">
        <v>778</v>
      </c>
    </row>
    <row r="802" spans="1:1" ht="21" hidden="1" customHeight="1" x14ac:dyDescent="0.4">
      <c r="A802" s="162" t="s">
        <v>779</v>
      </c>
    </row>
    <row r="803" spans="1:1" ht="21" hidden="1" customHeight="1" x14ac:dyDescent="0.4">
      <c r="A803" s="162" t="s">
        <v>758</v>
      </c>
    </row>
    <row r="804" spans="1:1" ht="21" hidden="1" customHeight="1" x14ac:dyDescent="0.4">
      <c r="A804" s="162" t="s">
        <v>780</v>
      </c>
    </row>
    <row r="805" spans="1:1" ht="21" hidden="1" customHeight="1" x14ac:dyDescent="0.4">
      <c r="A805" s="162" t="s">
        <v>781</v>
      </c>
    </row>
    <row r="806" spans="1:1" ht="21" hidden="1" customHeight="1" x14ac:dyDescent="0.4">
      <c r="A806" s="162" t="s">
        <v>784</v>
      </c>
    </row>
    <row r="807" spans="1:1" ht="21" hidden="1" customHeight="1" x14ac:dyDescent="0.4">
      <c r="A807" s="162" t="s">
        <v>785</v>
      </c>
    </row>
    <row r="808" spans="1:1" ht="21" hidden="1" customHeight="1" x14ac:dyDescent="0.4">
      <c r="A808" s="162" t="s">
        <v>786</v>
      </c>
    </row>
    <row r="809" spans="1:1" ht="21" hidden="1" customHeight="1" x14ac:dyDescent="0.4">
      <c r="A809" s="162" t="s">
        <v>766</v>
      </c>
    </row>
    <row r="810" spans="1:1" ht="21" hidden="1" customHeight="1" x14ac:dyDescent="0.4">
      <c r="A810" s="162" t="s">
        <v>787</v>
      </c>
    </row>
    <row r="811" spans="1:1" ht="21" hidden="1" customHeight="1" x14ac:dyDescent="0.4">
      <c r="A811" s="162" t="s">
        <v>788</v>
      </c>
    </row>
    <row r="812" spans="1:1" ht="21" hidden="1" customHeight="1" x14ac:dyDescent="0.4">
      <c r="A812" s="162" t="s">
        <v>789</v>
      </c>
    </row>
    <row r="813" spans="1:1" ht="21" hidden="1" customHeight="1" x14ac:dyDescent="0.4">
      <c r="A813" s="162" t="s">
        <v>790</v>
      </c>
    </row>
    <row r="814" spans="1:1" ht="21" hidden="1" customHeight="1" x14ac:dyDescent="0.4">
      <c r="A814" s="162" t="s">
        <v>791</v>
      </c>
    </row>
    <row r="815" spans="1:1" ht="21" hidden="1" customHeight="1" x14ac:dyDescent="0.4">
      <c r="A815" s="162" t="s">
        <v>792</v>
      </c>
    </row>
    <row r="816" spans="1:1" ht="21" hidden="1" customHeight="1" x14ac:dyDescent="0.4">
      <c r="A816" s="162" t="s">
        <v>793</v>
      </c>
    </row>
    <row r="817" spans="1:1" ht="21" hidden="1" customHeight="1" x14ac:dyDescent="0.4">
      <c r="A817" s="162" t="s">
        <v>794</v>
      </c>
    </row>
    <row r="818" spans="1:1" ht="21" hidden="1" customHeight="1" x14ac:dyDescent="0.4">
      <c r="A818" s="162" t="s">
        <v>795</v>
      </c>
    </row>
    <row r="819" spans="1:1" ht="21" hidden="1" customHeight="1" x14ac:dyDescent="0.4">
      <c r="A819" s="162" t="s">
        <v>797</v>
      </c>
    </row>
    <row r="820" spans="1:1" ht="21" hidden="1" customHeight="1" x14ac:dyDescent="0.4">
      <c r="A820" s="162" t="s">
        <v>798</v>
      </c>
    </row>
    <row r="821" spans="1:1" ht="21" hidden="1" customHeight="1" x14ac:dyDescent="0.4">
      <c r="A821" s="162" t="s">
        <v>799</v>
      </c>
    </row>
    <row r="822" spans="1:1" ht="21" hidden="1" customHeight="1" x14ac:dyDescent="0.4">
      <c r="A822" s="162" t="s">
        <v>800</v>
      </c>
    </row>
    <row r="823" spans="1:1" ht="21" hidden="1" customHeight="1" x14ac:dyDescent="0.4">
      <c r="A823" s="162" t="s">
        <v>801</v>
      </c>
    </row>
    <row r="824" spans="1:1" ht="21" hidden="1" customHeight="1" x14ac:dyDescent="0.4">
      <c r="A824" s="162" t="s">
        <v>802</v>
      </c>
    </row>
    <row r="825" spans="1:1" ht="21" hidden="1" customHeight="1" x14ac:dyDescent="0.4">
      <c r="A825" s="162" t="s">
        <v>803</v>
      </c>
    </row>
    <row r="826" spans="1:1" ht="21" hidden="1" customHeight="1" x14ac:dyDescent="0.4">
      <c r="A826" s="162" t="s">
        <v>804</v>
      </c>
    </row>
    <row r="827" spans="1:1" ht="21" hidden="1" customHeight="1" x14ac:dyDescent="0.4">
      <c r="A827" s="162" t="s">
        <v>805</v>
      </c>
    </row>
    <row r="828" spans="1:1" ht="21" hidden="1" customHeight="1" x14ac:dyDescent="0.4">
      <c r="A828" s="162" t="s">
        <v>1003</v>
      </c>
    </row>
    <row r="829" spans="1:1" ht="21" hidden="1" customHeight="1" x14ac:dyDescent="0.4">
      <c r="A829" s="162" t="s">
        <v>807</v>
      </c>
    </row>
    <row r="830" spans="1:1" ht="21" hidden="1" customHeight="1" x14ac:dyDescent="0.4">
      <c r="A830" s="162" t="s">
        <v>808</v>
      </c>
    </row>
    <row r="831" spans="1:1" ht="21" hidden="1" customHeight="1" x14ac:dyDescent="0.4">
      <c r="A831" s="162" t="s">
        <v>809</v>
      </c>
    </row>
    <row r="832" spans="1:1" ht="21" hidden="1" customHeight="1" x14ac:dyDescent="0.4">
      <c r="A832" s="162" t="s">
        <v>810</v>
      </c>
    </row>
    <row r="833" spans="1:1" ht="21" hidden="1" customHeight="1" x14ac:dyDescent="0.4">
      <c r="A833" s="162" t="s">
        <v>811</v>
      </c>
    </row>
    <row r="834" spans="1:1" ht="21" hidden="1" customHeight="1" x14ac:dyDescent="0.4">
      <c r="A834" s="162" t="s">
        <v>812</v>
      </c>
    </row>
    <row r="835" spans="1:1" ht="21" hidden="1" customHeight="1" x14ac:dyDescent="0.4">
      <c r="A835" s="162" t="s">
        <v>813</v>
      </c>
    </row>
    <row r="836" spans="1:1" ht="21" hidden="1" customHeight="1" x14ac:dyDescent="0.4">
      <c r="A836" s="162" t="s">
        <v>814</v>
      </c>
    </row>
    <row r="837" spans="1:1" ht="21" hidden="1" customHeight="1" x14ac:dyDescent="0.4">
      <c r="A837" s="162" t="s">
        <v>815</v>
      </c>
    </row>
    <row r="838" spans="1:1" ht="21" hidden="1" customHeight="1" x14ac:dyDescent="0.4">
      <c r="A838" s="162" t="s">
        <v>816</v>
      </c>
    </row>
    <row r="839" spans="1:1" ht="21" hidden="1" customHeight="1" x14ac:dyDescent="0.4">
      <c r="A839" s="162" t="s">
        <v>817</v>
      </c>
    </row>
    <row r="840" spans="1:1" ht="21" customHeight="1" x14ac:dyDescent="0.4">
      <c r="A840" s="162" t="s">
        <v>1009</v>
      </c>
    </row>
    <row r="841" spans="1:1" ht="21" hidden="1" customHeight="1" x14ac:dyDescent="0.4">
      <c r="A841" s="162" t="s">
        <v>818</v>
      </c>
    </row>
    <row r="842" spans="1:1" ht="21" hidden="1" customHeight="1" x14ac:dyDescent="0.4">
      <c r="A842" s="162" t="s">
        <v>992</v>
      </c>
    </row>
    <row r="843" spans="1:1" ht="21" hidden="1" customHeight="1" x14ac:dyDescent="0.4">
      <c r="A843" s="162" t="s">
        <v>819</v>
      </c>
    </row>
    <row r="844" spans="1:1" ht="21" hidden="1" customHeight="1" x14ac:dyDescent="0.4">
      <c r="A844" s="162" t="s">
        <v>820</v>
      </c>
    </row>
    <row r="845" spans="1:1" ht="21" hidden="1" customHeight="1" x14ac:dyDescent="0.4">
      <c r="A845" s="162" t="s">
        <v>821</v>
      </c>
    </row>
    <row r="846" spans="1:1" ht="21" hidden="1" customHeight="1" x14ac:dyDescent="0.4">
      <c r="A846" s="162" t="s">
        <v>822</v>
      </c>
    </row>
    <row r="847" spans="1:1" ht="21" hidden="1" customHeight="1" x14ac:dyDescent="0.4">
      <c r="A847" s="162" t="s">
        <v>823</v>
      </c>
    </row>
    <row r="848" spans="1:1" ht="21" hidden="1" customHeight="1" x14ac:dyDescent="0.4">
      <c r="A848" s="162" t="s">
        <v>824</v>
      </c>
    </row>
    <row r="849" spans="1:1" ht="21" hidden="1" customHeight="1" x14ac:dyDescent="0.4">
      <c r="A849" s="162" t="s">
        <v>825</v>
      </c>
    </row>
    <row r="850" spans="1:1" ht="21" hidden="1" customHeight="1" x14ac:dyDescent="0.4">
      <c r="A850" s="162" t="s">
        <v>838</v>
      </c>
    </row>
    <row r="851" spans="1:1" ht="21" hidden="1" customHeight="1" x14ac:dyDescent="0.4">
      <c r="A851" s="162" t="s">
        <v>839</v>
      </c>
    </row>
    <row r="852" spans="1:1" ht="21" hidden="1" customHeight="1" x14ac:dyDescent="0.4">
      <c r="A852" s="162" t="s">
        <v>840</v>
      </c>
    </row>
    <row r="853" spans="1:1" ht="21" hidden="1" customHeight="1" x14ac:dyDescent="0.4">
      <c r="A853" s="162" t="s">
        <v>841</v>
      </c>
    </row>
    <row r="854" spans="1:1" ht="21" hidden="1" customHeight="1" x14ac:dyDescent="0.4">
      <c r="A854" s="162" t="s">
        <v>842</v>
      </c>
    </row>
    <row r="855" spans="1:1" ht="21" hidden="1" customHeight="1" x14ac:dyDescent="0.4">
      <c r="A855" s="162" t="s">
        <v>843</v>
      </c>
    </row>
    <row r="856" spans="1:1" ht="21" hidden="1" customHeight="1" x14ac:dyDescent="0.4">
      <c r="A856" s="162" t="s">
        <v>844</v>
      </c>
    </row>
    <row r="857" spans="1:1" ht="21" hidden="1" customHeight="1" x14ac:dyDescent="0.4">
      <c r="A857" s="162" t="s">
        <v>845</v>
      </c>
    </row>
    <row r="858" spans="1:1" ht="21" hidden="1" customHeight="1" x14ac:dyDescent="0.4">
      <c r="A858" s="162" t="s">
        <v>846</v>
      </c>
    </row>
    <row r="859" spans="1:1" ht="21" hidden="1" customHeight="1" x14ac:dyDescent="0.4">
      <c r="A859" s="162" t="s">
        <v>847</v>
      </c>
    </row>
    <row r="860" spans="1:1" ht="21" hidden="1" customHeight="1" x14ac:dyDescent="0.4">
      <c r="A860" s="162" t="s">
        <v>848</v>
      </c>
    </row>
    <row r="861" spans="1:1" ht="21" hidden="1" customHeight="1" x14ac:dyDescent="0.4">
      <c r="A861" s="162" t="s">
        <v>849</v>
      </c>
    </row>
    <row r="862" spans="1:1" ht="21" hidden="1" customHeight="1" x14ac:dyDescent="0.4">
      <c r="A862" s="162" t="s">
        <v>850</v>
      </c>
    </row>
    <row r="863" spans="1:1" ht="21" hidden="1" customHeight="1" x14ac:dyDescent="0.4">
      <c r="A863" s="162" t="s">
        <v>851</v>
      </c>
    </row>
    <row r="864" spans="1:1" ht="21" hidden="1" customHeight="1" x14ac:dyDescent="0.4">
      <c r="A864" s="162" t="s">
        <v>852</v>
      </c>
    </row>
    <row r="865" spans="1:1" ht="21" hidden="1" customHeight="1" x14ac:dyDescent="0.4">
      <c r="A865" s="162" t="s">
        <v>853</v>
      </c>
    </row>
    <row r="866" spans="1:1" ht="21" hidden="1" customHeight="1" x14ac:dyDescent="0.4">
      <c r="A866" s="162" t="s">
        <v>854</v>
      </c>
    </row>
    <row r="867" spans="1:1" ht="21" hidden="1" customHeight="1" x14ac:dyDescent="0.4">
      <c r="A867" s="162" t="s">
        <v>855</v>
      </c>
    </row>
    <row r="868" spans="1:1" ht="21" hidden="1" customHeight="1" x14ac:dyDescent="0.4">
      <c r="A868" s="162" t="s">
        <v>856</v>
      </c>
    </row>
    <row r="869" spans="1:1" ht="21" hidden="1" customHeight="1" x14ac:dyDescent="0.4">
      <c r="A869" s="162" t="s">
        <v>857</v>
      </c>
    </row>
    <row r="870" spans="1:1" ht="21" hidden="1" customHeight="1" x14ac:dyDescent="0.4">
      <c r="A870" s="162" t="s">
        <v>858</v>
      </c>
    </row>
    <row r="871" spans="1:1" ht="21" hidden="1" customHeight="1" x14ac:dyDescent="0.4">
      <c r="A871" s="162" t="s">
        <v>859</v>
      </c>
    </row>
    <row r="872" spans="1:1" ht="21" hidden="1" customHeight="1" x14ac:dyDescent="0.4">
      <c r="A872" s="162" t="s">
        <v>860</v>
      </c>
    </row>
    <row r="873" spans="1:1" ht="21" hidden="1" customHeight="1" x14ac:dyDescent="0.4">
      <c r="A873" s="162" t="s">
        <v>861</v>
      </c>
    </row>
    <row r="874" spans="1:1" ht="21" hidden="1" customHeight="1" x14ac:dyDescent="0.4">
      <c r="A874" s="162" t="s">
        <v>862</v>
      </c>
    </row>
    <row r="875" spans="1:1" ht="21" hidden="1" customHeight="1" x14ac:dyDescent="0.4">
      <c r="A875" s="162" t="s">
        <v>863</v>
      </c>
    </row>
    <row r="876" spans="1:1" ht="21" hidden="1" customHeight="1" x14ac:dyDescent="0.4">
      <c r="A876" s="162" t="s">
        <v>864</v>
      </c>
    </row>
    <row r="877" spans="1:1" ht="21" hidden="1" customHeight="1" x14ac:dyDescent="0.4">
      <c r="A877" s="162" t="s">
        <v>865</v>
      </c>
    </row>
    <row r="878" spans="1:1" ht="21" hidden="1" customHeight="1" x14ac:dyDescent="0.4">
      <c r="A878" s="162" t="s">
        <v>866</v>
      </c>
    </row>
    <row r="879" spans="1:1" ht="21" hidden="1" customHeight="1" x14ac:dyDescent="0.4">
      <c r="A879" s="162" t="s">
        <v>828</v>
      </c>
    </row>
    <row r="880" spans="1:1" ht="21" hidden="1" customHeight="1" x14ac:dyDescent="0.4">
      <c r="A880" s="162" t="s">
        <v>867</v>
      </c>
    </row>
    <row r="881" spans="1:1" ht="21" hidden="1" customHeight="1" x14ac:dyDescent="0.4">
      <c r="A881" s="162" t="s">
        <v>868</v>
      </c>
    </row>
    <row r="882" spans="1:1" ht="21" hidden="1" customHeight="1" x14ac:dyDescent="0.4">
      <c r="A882" s="162" t="s">
        <v>869</v>
      </c>
    </row>
    <row r="883" spans="1:1" ht="21" hidden="1" customHeight="1" x14ac:dyDescent="0.4">
      <c r="A883" s="162" t="s">
        <v>829</v>
      </c>
    </row>
    <row r="884" spans="1:1" ht="21" hidden="1" customHeight="1" x14ac:dyDescent="0.4">
      <c r="A884" s="162" t="s">
        <v>870</v>
      </c>
    </row>
    <row r="885" spans="1:1" ht="21" hidden="1" customHeight="1" x14ac:dyDescent="0.4">
      <c r="A885" s="162" t="s">
        <v>871</v>
      </c>
    </row>
    <row r="886" spans="1:1" ht="21" hidden="1" customHeight="1" x14ac:dyDescent="0.4">
      <c r="A886" s="162" t="s">
        <v>872</v>
      </c>
    </row>
    <row r="887" spans="1:1" ht="21" hidden="1" customHeight="1" x14ac:dyDescent="0.4">
      <c r="A887" s="162" t="s">
        <v>873</v>
      </c>
    </row>
    <row r="888" spans="1:1" ht="21" hidden="1" customHeight="1" x14ac:dyDescent="0.4">
      <c r="A888" s="162" t="s">
        <v>874</v>
      </c>
    </row>
    <row r="889" spans="1:1" ht="21" hidden="1" customHeight="1" x14ac:dyDescent="0.4">
      <c r="A889" s="162" t="s">
        <v>875</v>
      </c>
    </row>
    <row r="890" spans="1:1" ht="21" hidden="1" customHeight="1" x14ac:dyDescent="0.4">
      <c r="A890" s="162" t="s">
        <v>876</v>
      </c>
    </row>
    <row r="891" spans="1:1" ht="21" hidden="1" customHeight="1" x14ac:dyDescent="0.4">
      <c r="A891" s="162" t="s">
        <v>877</v>
      </c>
    </row>
    <row r="892" spans="1:1" ht="21" hidden="1" customHeight="1" x14ac:dyDescent="0.4">
      <c r="A892" s="162" t="s">
        <v>1002</v>
      </c>
    </row>
    <row r="893" spans="1:1" ht="21" hidden="1" customHeight="1" x14ac:dyDescent="0.4">
      <c r="A893" s="162" t="s">
        <v>878</v>
      </c>
    </row>
    <row r="894" spans="1:1" ht="21" hidden="1" customHeight="1" x14ac:dyDescent="0.4">
      <c r="A894" s="162" t="s">
        <v>879</v>
      </c>
    </row>
    <row r="895" spans="1:1" ht="21" hidden="1" customHeight="1" x14ac:dyDescent="0.4">
      <c r="A895" s="162" t="s">
        <v>880</v>
      </c>
    </row>
    <row r="896" spans="1:1" ht="21" hidden="1" customHeight="1" x14ac:dyDescent="0.4">
      <c r="A896" s="162" t="s">
        <v>991</v>
      </c>
    </row>
    <row r="897" spans="1:1" ht="21" hidden="1" customHeight="1" x14ac:dyDescent="0.4">
      <c r="A897" s="162" t="s">
        <v>881</v>
      </c>
    </row>
    <row r="898" spans="1:1" ht="21" hidden="1" customHeight="1" x14ac:dyDescent="0.4">
      <c r="A898" s="162" t="s">
        <v>882</v>
      </c>
    </row>
    <row r="899" spans="1:1" ht="21" hidden="1" customHeight="1" x14ac:dyDescent="0.4">
      <c r="A899" s="162" t="s">
        <v>883</v>
      </c>
    </row>
    <row r="900" spans="1:1" ht="21" hidden="1" customHeight="1" x14ac:dyDescent="0.4">
      <c r="A900" s="162" t="s">
        <v>920</v>
      </c>
    </row>
    <row r="901" spans="1:1" ht="21" hidden="1" customHeight="1" x14ac:dyDescent="0.4">
      <c r="A901" s="162" t="s">
        <v>833</v>
      </c>
    </row>
    <row r="902" spans="1:1" ht="21" hidden="1" customHeight="1" x14ac:dyDescent="0.4">
      <c r="A902" s="162" t="s">
        <v>834</v>
      </c>
    </row>
    <row r="903" spans="1:1" ht="21" hidden="1" customHeight="1" x14ac:dyDescent="0.4">
      <c r="A903" s="162" t="s">
        <v>831</v>
      </c>
    </row>
    <row r="904" spans="1:1" ht="21" hidden="1" customHeight="1" x14ac:dyDescent="0.4">
      <c r="A904" s="162" t="s">
        <v>1005</v>
      </c>
    </row>
    <row r="905" spans="1:1" ht="21" hidden="1" customHeight="1" x14ac:dyDescent="0.4">
      <c r="A905" s="162" t="s">
        <v>806</v>
      </c>
    </row>
    <row r="906" spans="1:1" ht="21" hidden="1" customHeight="1" x14ac:dyDescent="0.4">
      <c r="A906" s="162" t="s">
        <v>885</v>
      </c>
    </row>
    <row r="907" spans="1:1" ht="21" hidden="1" customHeight="1" x14ac:dyDescent="0.4">
      <c r="A907" s="162" t="s">
        <v>1006</v>
      </c>
    </row>
    <row r="908" spans="1:1" ht="21" hidden="1" customHeight="1" x14ac:dyDescent="0.4">
      <c r="A908" s="162" t="s">
        <v>886</v>
      </c>
    </row>
    <row r="909" spans="1:1" ht="21" hidden="1" customHeight="1" x14ac:dyDescent="0.4">
      <c r="A909" s="162" t="s">
        <v>887</v>
      </c>
    </row>
    <row r="910" spans="1:1" ht="21" hidden="1" customHeight="1" x14ac:dyDescent="0.4">
      <c r="A910" s="162" t="s">
        <v>552</v>
      </c>
    </row>
    <row r="911" spans="1:1" ht="21" hidden="1" customHeight="1" x14ac:dyDescent="0.4">
      <c r="A911" s="162" t="s">
        <v>888</v>
      </c>
    </row>
    <row r="912" spans="1:1" ht="21" hidden="1" customHeight="1" x14ac:dyDescent="0.4">
      <c r="A912" s="162" t="s">
        <v>889</v>
      </c>
    </row>
    <row r="913" spans="1:1" ht="21" hidden="1" customHeight="1" x14ac:dyDescent="0.4">
      <c r="A913" s="162" t="s">
        <v>890</v>
      </c>
    </row>
    <row r="914" spans="1:1" ht="21" hidden="1" customHeight="1" x14ac:dyDescent="0.4">
      <c r="A914" s="162" t="s">
        <v>891</v>
      </c>
    </row>
    <row r="915" spans="1:1" ht="21" hidden="1" customHeight="1" x14ac:dyDescent="0.4">
      <c r="A915" s="162" t="s">
        <v>832</v>
      </c>
    </row>
    <row r="916" spans="1:1" ht="21" hidden="1" customHeight="1" x14ac:dyDescent="0.4">
      <c r="A916" s="162" t="s">
        <v>830</v>
      </c>
    </row>
    <row r="917" spans="1:1" ht="21" hidden="1" customHeight="1" x14ac:dyDescent="0.4">
      <c r="A917" s="162" t="s">
        <v>892</v>
      </c>
    </row>
    <row r="918" spans="1:1" ht="21" hidden="1" customHeight="1" x14ac:dyDescent="0.4">
      <c r="A918" s="162" t="s">
        <v>893</v>
      </c>
    </row>
    <row r="919" spans="1:1" ht="21" hidden="1" customHeight="1" x14ac:dyDescent="0.4">
      <c r="A919" s="162" t="s">
        <v>894</v>
      </c>
    </row>
    <row r="920" spans="1:1" ht="21" hidden="1" customHeight="1" x14ac:dyDescent="0.4">
      <c r="A920" s="162" t="s">
        <v>895</v>
      </c>
    </row>
    <row r="921" spans="1:1" ht="21" hidden="1" customHeight="1" x14ac:dyDescent="0.4">
      <c r="A921" s="162" t="s">
        <v>896</v>
      </c>
    </row>
    <row r="922" spans="1:1" ht="21" hidden="1" customHeight="1" x14ac:dyDescent="0.4">
      <c r="A922" s="162" t="s">
        <v>827</v>
      </c>
    </row>
    <row r="923" spans="1:1" ht="21" hidden="1" customHeight="1" x14ac:dyDescent="0.4">
      <c r="A923" s="162" t="s">
        <v>897</v>
      </c>
    </row>
    <row r="924" spans="1:1" ht="21" hidden="1" customHeight="1" x14ac:dyDescent="0.4">
      <c r="A924" s="162" t="s">
        <v>898</v>
      </c>
    </row>
    <row r="925" spans="1:1" ht="21" hidden="1" customHeight="1" x14ac:dyDescent="0.4">
      <c r="A925" s="162" t="s">
        <v>899</v>
      </c>
    </row>
    <row r="926" spans="1:1" ht="21" hidden="1" customHeight="1" x14ac:dyDescent="0.4">
      <c r="A926" s="162" t="s">
        <v>900</v>
      </c>
    </row>
    <row r="927" spans="1:1" ht="21" hidden="1" customHeight="1" x14ac:dyDescent="0.4">
      <c r="A927" s="162" t="s">
        <v>901</v>
      </c>
    </row>
    <row r="928" spans="1:1" ht="21" hidden="1" customHeight="1" x14ac:dyDescent="0.4">
      <c r="A928" s="162" t="s">
        <v>902</v>
      </c>
    </row>
    <row r="929" spans="1:1" ht="21" hidden="1" customHeight="1" x14ac:dyDescent="0.4">
      <c r="A929" s="162" t="s">
        <v>903</v>
      </c>
    </row>
    <row r="930" spans="1:1" ht="21" hidden="1" customHeight="1" x14ac:dyDescent="0.4">
      <c r="A930" s="162" t="s">
        <v>1004</v>
      </c>
    </row>
    <row r="931" spans="1:1" ht="21" hidden="1" customHeight="1" x14ac:dyDescent="0.4">
      <c r="A931" s="162" t="s">
        <v>912</v>
      </c>
    </row>
    <row r="932" spans="1:1" ht="21" hidden="1" customHeight="1" x14ac:dyDescent="0.4">
      <c r="A932" s="162" t="s">
        <v>915</v>
      </c>
    </row>
    <row r="933" spans="1:1" ht="21" hidden="1" customHeight="1" x14ac:dyDescent="0.4">
      <c r="A933" s="162" t="s">
        <v>916</v>
      </c>
    </row>
    <row r="934" spans="1:1" ht="21" hidden="1" customHeight="1" x14ac:dyDescent="0.4">
      <c r="A934" s="162" t="s">
        <v>918</v>
      </c>
    </row>
    <row r="935" spans="1:1" ht="21" hidden="1" customHeight="1" x14ac:dyDescent="0.4">
      <c r="A935" s="162" t="s">
        <v>919</v>
      </c>
    </row>
    <row r="936" spans="1:1" ht="21" hidden="1" customHeight="1" x14ac:dyDescent="0.4">
      <c r="A936" s="162" t="s">
        <v>921</v>
      </c>
    </row>
    <row r="937" spans="1:1" ht="21" hidden="1" customHeight="1" x14ac:dyDescent="0.4">
      <c r="A937" s="162" t="s">
        <v>923</v>
      </c>
    </row>
    <row r="938" spans="1:1" ht="21" hidden="1" customHeight="1" x14ac:dyDescent="0.4">
      <c r="A938" s="162" t="s">
        <v>1001</v>
      </c>
    </row>
    <row r="939" spans="1:1" ht="21" hidden="1" customHeight="1" x14ac:dyDescent="0.4">
      <c r="A939" s="162" t="s">
        <v>924</v>
      </c>
    </row>
    <row r="940" spans="1:1" ht="21" hidden="1" x14ac:dyDescent="0.4">
      <c r="A940" s="162" t="s">
        <v>929</v>
      </c>
    </row>
    <row r="941" spans="1:1" ht="21" hidden="1" x14ac:dyDescent="0.4">
      <c r="A941" s="162" t="s">
        <v>932</v>
      </c>
    </row>
    <row r="942" spans="1:1" ht="21" hidden="1" x14ac:dyDescent="0.4">
      <c r="A942" s="162" t="s">
        <v>933</v>
      </c>
    </row>
    <row r="943" spans="1:1" ht="21" hidden="1" x14ac:dyDescent="0.4">
      <c r="A943" s="162" t="s">
        <v>934</v>
      </c>
    </row>
    <row r="944" spans="1:1" ht="21" hidden="1" x14ac:dyDescent="0.4">
      <c r="A944" s="162" t="s">
        <v>935</v>
      </c>
    </row>
    <row r="945" spans="1:1" ht="21" hidden="1" x14ac:dyDescent="0.4">
      <c r="A945" s="162" t="s">
        <v>938</v>
      </c>
    </row>
    <row r="946" spans="1:1" ht="21" hidden="1" x14ac:dyDescent="0.4">
      <c r="A946" s="162" t="s">
        <v>939</v>
      </c>
    </row>
    <row r="947" spans="1:1" ht="21" hidden="1" x14ac:dyDescent="0.4">
      <c r="A947" s="162" t="s">
        <v>953</v>
      </c>
    </row>
    <row r="948" spans="1:1" ht="21" hidden="1" x14ac:dyDescent="0.4">
      <c r="A948" s="162" t="s">
        <v>951</v>
      </c>
    </row>
    <row r="949" spans="1:1" ht="21" hidden="1" x14ac:dyDescent="0.4">
      <c r="A949" s="162" t="s">
        <v>955</v>
      </c>
    </row>
    <row r="950" spans="1:1" ht="21" hidden="1" x14ac:dyDescent="0.4">
      <c r="A950" s="162" t="s">
        <v>1007</v>
      </c>
    </row>
    <row r="951" spans="1:1" ht="21" hidden="1" x14ac:dyDescent="0.4">
      <c r="A951" s="162" t="s">
        <v>956</v>
      </c>
    </row>
    <row r="952" spans="1:1" ht="21" hidden="1" x14ac:dyDescent="0.4">
      <c r="A952" s="162" t="s">
        <v>958</v>
      </c>
    </row>
    <row r="953" spans="1:1" ht="21" hidden="1" x14ac:dyDescent="0.4">
      <c r="A953" s="162" t="s">
        <v>963</v>
      </c>
    </row>
    <row r="954" spans="1:1" ht="21" hidden="1" x14ac:dyDescent="0.4">
      <c r="A954" s="162" t="s">
        <v>964</v>
      </c>
    </row>
    <row r="955" spans="1:1" ht="21" hidden="1" x14ac:dyDescent="0.4">
      <c r="A955" s="162" t="s">
        <v>965</v>
      </c>
    </row>
    <row r="956" spans="1:1" ht="21" hidden="1" x14ac:dyDescent="0.4">
      <c r="A956" s="162" t="s">
        <v>966</v>
      </c>
    </row>
    <row r="957" spans="1:1" ht="21" hidden="1" x14ac:dyDescent="0.4">
      <c r="A957" s="162" t="s">
        <v>967</v>
      </c>
    </row>
    <row r="958" spans="1:1" ht="21" hidden="1" x14ac:dyDescent="0.4">
      <c r="A958" s="162" t="s">
        <v>968</v>
      </c>
    </row>
    <row r="959" spans="1:1" ht="21" hidden="1" x14ac:dyDescent="0.4">
      <c r="A959" s="162" t="s">
        <v>969</v>
      </c>
    </row>
    <row r="960" spans="1:1" ht="21" hidden="1" x14ac:dyDescent="0.4">
      <c r="A960" s="162" t="s">
        <v>489</v>
      </c>
    </row>
    <row r="961" spans="1:1" ht="21" hidden="1" x14ac:dyDescent="0.4">
      <c r="A961" s="162" t="s">
        <v>970</v>
      </c>
    </row>
    <row r="962" spans="1:1" ht="21" hidden="1" x14ac:dyDescent="0.4">
      <c r="A962" s="162" t="s">
        <v>971</v>
      </c>
    </row>
    <row r="963" spans="1:1" ht="21" hidden="1" x14ac:dyDescent="0.4">
      <c r="A963" s="162" t="s">
        <v>972</v>
      </c>
    </row>
    <row r="964" spans="1:1" ht="21" hidden="1" x14ac:dyDescent="0.4">
      <c r="A964" s="162" t="s">
        <v>983</v>
      </c>
    </row>
    <row r="965" spans="1:1" ht="21" hidden="1" x14ac:dyDescent="0.4">
      <c r="A965" s="162" t="s">
        <v>984</v>
      </c>
    </row>
    <row r="966" spans="1:1" ht="21" hidden="1" x14ac:dyDescent="0.4">
      <c r="A966" s="162" t="s">
        <v>990</v>
      </c>
    </row>
    <row r="967" spans="1:1" ht="21" hidden="1" x14ac:dyDescent="0.4">
      <c r="A967" s="162" t="s">
        <v>988</v>
      </c>
    </row>
    <row r="968" spans="1:1" ht="21" hidden="1" x14ac:dyDescent="0.4">
      <c r="A968" s="162" t="s">
        <v>989</v>
      </c>
    </row>
    <row r="969" spans="1:1" ht="21" x14ac:dyDescent="0.4">
      <c r="A969" s="162"/>
    </row>
    <row r="970" spans="1:1" ht="21" x14ac:dyDescent="0.4">
      <c r="A970" s="162"/>
    </row>
    <row r="971" spans="1:1" ht="21" x14ac:dyDescent="0.4">
      <c r="A971" s="162"/>
    </row>
    <row r="972" spans="1:1" ht="21" x14ac:dyDescent="0.4">
      <c r="A972" s="162"/>
    </row>
    <row r="973" spans="1:1" ht="21" x14ac:dyDescent="0.4">
      <c r="A973" s="162"/>
    </row>
    <row r="974" spans="1:1" ht="21" x14ac:dyDescent="0.4">
      <c r="A974" s="162"/>
    </row>
    <row r="975" spans="1:1" ht="21" x14ac:dyDescent="0.4">
      <c r="A975" s="162"/>
    </row>
    <row r="976" spans="1:1" ht="21" x14ac:dyDescent="0.4">
      <c r="A976" s="162"/>
    </row>
    <row r="977" spans="1:1" ht="21" x14ac:dyDescent="0.4">
      <c r="A977" s="162"/>
    </row>
    <row r="978" spans="1:1" ht="21" x14ac:dyDescent="0.4">
      <c r="A978" s="162"/>
    </row>
    <row r="979" spans="1:1" ht="21" x14ac:dyDescent="0.4">
      <c r="A979" s="162"/>
    </row>
    <row r="980" spans="1:1" ht="21" x14ac:dyDescent="0.4">
      <c r="A980" s="162"/>
    </row>
    <row r="981" spans="1:1" ht="21" x14ac:dyDescent="0.4">
      <c r="A981" s="162"/>
    </row>
    <row r="982" spans="1:1" ht="21" x14ac:dyDescent="0.4">
      <c r="A982" s="162"/>
    </row>
    <row r="983" spans="1:1" ht="21" x14ac:dyDescent="0.4">
      <c r="A983" s="162"/>
    </row>
    <row r="984" spans="1:1" ht="21" x14ac:dyDescent="0.4">
      <c r="A984" s="162"/>
    </row>
    <row r="985" spans="1:1" ht="21" x14ac:dyDescent="0.4">
      <c r="A985" s="162"/>
    </row>
    <row r="986" spans="1:1" ht="21" x14ac:dyDescent="0.4">
      <c r="A986" s="162"/>
    </row>
    <row r="987" spans="1:1" ht="21" x14ac:dyDescent="0.4">
      <c r="A987" s="162"/>
    </row>
    <row r="988" spans="1:1" ht="21" x14ac:dyDescent="0.4">
      <c r="A988" s="162"/>
    </row>
    <row r="989" spans="1:1" ht="21" x14ac:dyDescent="0.4">
      <c r="A989" s="162"/>
    </row>
    <row r="990" spans="1:1" ht="21" x14ac:dyDescent="0.4">
      <c r="A990" s="162"/>
    </row>
    <row r="991" spans="1:1" ht="21" x14ac:dyDescent="0.4">
      <c r="A991" s="162"/>
    </row>
    <row r="992" spans="1:1" ht="21" x14ac:dyDescent="0.4">
      <c r="A992" s="162"/>
    </row>
    <row r="993" spans="1:1" ht="21" x14ac:dyDescent="0.4">
      <c r="A993" s="162"/>
    </row>
    <row r="994" spans="1:1" ht="21" x14ac:dyDescent="0.4">
      <c r="A994" s="162"/>
    </row>
    <row r="995" spans="1:1" ht="21" x14ac:dyDescent="0.4">
      <c r="A995" s="162"/>
    </row>
    <row r="996" spans="1:1" ht="21" x14ac:dyDescent="0.4">
      <c r="A996" s="162"/>
    </row>
    <row r="997" spans="1:1" ht="21" x14ac:dyDescent="0.4">
      <c r="A997" s="162"/>
    </row>
    <row r="998" spans="1:1" ht="21" x14ac:dyDescent="0.4">
      <c r="A998" s="162"/>
    </row>
    <row r="999" spans="1:1" ht="21" x14ac:dyDescent="0.4">
      <c r="A999" s="162"/>
    </row>
    <row r="1000" spans="1:1" ht="21" x14ac:dyDescent="0.4">
      <c r="A1000" s="162"/>
    </row>
    <row r="1001" spans="1:1" ht="21" x14ac:dyDescent="0.4">
      <c r="A1001" s="162"/>
    </row>
    <row r="1002" spans="1:1" ht="21" x14ac:dyDescent="0.4">
      <c r="A1002" s="162"/>
    </row>
    <row r="1003" spans="1:1" ht="21" x14ac:dyDescent="0.4">
      <c r="A1003" s="162"/>
    </row>
    <row r="1004" spans="1:1" ht="21" x14ac:dyDescent="0.4">
      <c r="A1004" s="162"/>
    </row>
    <row r="1005" spans="1:1" ht="21" x14ac:dyDescent="0.4">
      <c r="A1005" s="162"/>
    </row>
    <row r="1006" spans="1:1" ht="21" x14ac:dyDescent="0.4">
      <c r="A1006" s="162"/>
    </row>
    <row r="1007" spans="1:1" ht="21" x14ac:dyDescent="0.4">
      <c r="A1007" s="162"/>
    </row>
    <row r="1008" spans="1:1" ht="21" x14ac:dyDescent="0.4">
      <c r="A1008" s="162"/>
    </row>
    <row r="1009" spans="1:1" ht="21" x14ac:dyDescent="0.4">
      <c r="A1009" s="162"/>
    </row>
    <row r="1010" spans="1:1" ht="21" x14ac:dyDescent="0.4">
      <c r="A1010" s="162"/>
    </row>
    <row r="1011" spans="1:1" ht="21" x14ac:dyDescent="0.4">
      <c r="A1011" s="162"/>
    </row>
    <row r="1012" spans="1:1" ht="21" x14ac:dyDescent="0.4">
      <c r="A1012" s="162"/>
    </row>
    <row r="1013" spans="1:1" ht="21" x14ac:dyDescent="0.4">
      <c r="A1013" s="162"/>
    </row>
    <row r="1014" spans="1:1" ht="21" x14ac:dyDescent="0.4">
      <c r="A1014" s="162"/>
    </row>
    <row r="1015" spans="1:1" ht="21" x14ac:dyDescent="0.4">
      <c r="A1015" s="162"/>
    </row>
    <row r="1016" spans="1:1" ht="21" x14ac:dyDescent="0.4">
      <c r="A1016" s="162"/>
    </row>
    <row r="1017" spans="1:1" ht="21" x14ac:dyDescent="0.4">
      <c r="A1017" s="162"/>
    </row>
    <row r="1018" spans="1:1" ht="21" x14ac:dyDescent="0.4">
      <c r="A1018" s="162"/>
    </row>
    <row r="1019" spans="1:1" ht="21" x14ac:dyDescent="0.4">
      <c r="A1019" s="162"/>
    </row>
    <row r="1020" spans="1:1" ht="21" x14ac:dyDescent="0.4">
      <c r="A1020" s="162"/>
    </row>
    <row r="1021" spans="1:1" ht="21" x14ac:dyDescent="0.4">
      <c r="A1021" s="162"/>
    </row>
    <row r="1022" spans="1:1" ht="21" x14ac:dyDescent="0.4">
      <c r="A1022" s="162"/>
    </row>
    <row r="1023" spans="1:1" ht="21" x14ac:dyDescent="0.4">
      <c r="A1023" s="162"/>
    </row>
    <row r="1024" spans="1:1" ht="21" x14ac:dyDescent="0.4">
      <c r="A1024" s="162"/>
    </row>
    <row r="1025" spans="1:1" ht="21" x14ac:dyDescent="0.4">
      <c r="A1025" s="162"/>
    </row>
    <row r="1026" spans="1:1" ht="21" x14ac:dyDescent="0.4">
      <c r="A1026" s="162"/>
    </row>
    <row r="1027" spans="1:1" ht="21" x14ac:dyDescent="0.4">
      <c r="A1027" s="162"/>
    </row>
    <row r="1028" spans="1:1" ht="21" x14ac:dyDescent="0.4">
      <c r="A1028" s="162"/>
    </row>
    <row r="1029" spans="1:1" ht="21" x14ac:dyDescent="0.4">
      <c r="A1029" s="162"/>
    </row>
    <row r="1030" spans="1:1" ht="21" x14ac:dyDescent="0.4">
      <c r="A1030" s="162"/>
    </row>
    <row r="1031" spans="1:1" ht="21" x14ac:dyDescent="0.4">
      <c r="A1031" s="162"/>
    </row>
    <row r="1032" spans="1:1" ht="21" x14ac:dyDescent="0.4">
      <c r="A1032" s="162"/>
    </row>
    <row r="1033" spans="1:1" ht="21" x14ac:dyDescent="0.4">
      <c r="A1033" s="162"/>
    </row>
    <row r="1034" spans="1:1" ht="21" x14ac:dyDescent="0.4">
      <c r="A1034" s="162"/>
    </row>
    <row r="1035" spans="1:1" ht="21" x14ac:dyDescent="0.4">
      <c r="A1035" s="162"/>
    </row>
    <row r="1036" spans="1:1" ht="21" x14ac:dyDescent="0.4">
      <c r="A1036" s="162"/>
    </row>
    <row r="1037" spans="1:1" ht="21" x14ac:dyDescent="0.4">
      <c r="A1037" s="162"/>
    </row>
    <row r="1038" spans="1:1" ht="21" x14ac:dyDescent="0.4">
      <c r="A1038" s="162"/>
    </row>
    <row r="1039" spans="1:1" ht="21" x14ac:dyDescent="0.4">
      <c r="A1039" s="162"/>
    </row>
    <row r="1040" spans="1:1" ht="21" x14ac:dyDescent="0.4">
      <c r="A1040" s="162"/>
    </row>
    <row r="1041" spans="1:1" ht="21" x14ac:dyDescent="0.4">
      <c r="A1041" s="162"/>
    </row>
    <row r="1042" spans="1:1" ht="21" x14ac:dyDescent="0.4">
      <c r="A1042" s="162"/>
    </row>
    <row r="1043" spans="1:1" ht="21" x14ac:dyDescent="0.4">
      <c r="A1043" s="162"/>
    </row>
    <row r="1044" spans="1:1" ht="21" x14ac:dyDescent="0.4">
      <c r="A1044" s="162"/>
    </row>
    <row r="1045" spans="1:1" ht="21" x14ac:dyDescent="0.4">
      <c r="A1045" s="162"/>
    </row>
    <row r="1046" spans="1:1" ht="21" x14ac:dyDescent="0.4">
      <c r="A1046" s="162"/>
    </row>
    <row r="1047" spans="1:1" ht="21" x14ac:dyDescent="0.4">
      <c r="A1047" s="162"/>
    </row>
    <row r="1048" spans="1:1" ht="21" x14ac:dyDescent="0.4">
      <c r="A1048" s="162"/>
    </row>
    <row r="1049" spans="1:1" ht="21" x14ac:dyDescent="0.4">
      <c r="A1049" s="162"/>
    </row>
    <row r="1050" spans="1:1" ht="21" x14ac:dyDescent="0.4">
      <c r="A1050" s="162"/>
    </row>
    <row r="1051" spans="1:1" ht="21" x14ac:dyDescent="0.4">
      <c r="A1051" s="162"/>
    </row>
    <row r="1052" spans="1:1" ht="21" x14ac:dyDescent="0.4">
      <c r="A1052" s="162"/>
    </row>
    <row r="1053" spans="1:1" ht="21" x14ac:dyDescent="0.4">
      <c r="A1053" s="162"/>
    </row>
    <row r="1054" spans="1:1" ht="21" x14ac:dyDescent="0.4">
      <c r="A1054" s="162"/>
    </row>
    <row r="1055" spans="1:1" ht="21" x14ac:dyDescent="0.4">
      <c r="A1055" s="162"/>
    </row>
    <row r="1056" spans="1:1" ht="21" x14ac:dyDescent="0.4">
      <c r="A1056" s="162"/>
    </row>
    <row r="1057" spans="1:1" ht="21" x14ac:dyDescent="0.4">
      <c r="A1057" s="162"/>
    </row>
    <row r="1058" spans="1:1" ht="21" x14ac:dyDescent="0.4">
      <c r="A1058" s="162"/>
    </row>
    <row r="1059" spans="1:1" ht="21" x14ac:dyDescent="0.4">
      <c r="A1059" s="162"/>
    </row>
    <row r="1060" spans="1:1" ht="21" x14ac:dyDescent="0.4">
      <c r="A1060" s="162"/>
    </row>
    <row r="1061" spans="1:1" ht="21" x14ac:dyDescent="0.4">
      <c r="A1061" s="162"/>
    </row>
    <row r="1062" spans="1:1" ht="21" x14ac:dyDescent="0.4">
      <c r="A1062" s="162"/>
    </row>
    <row r="1063" spans="1:1" ht="21" x14ac:dyDescent="0.4">
      <c r="A1063" s="162"/>
    </row>
    <row r="1064" spans="1:1" ht="21" x14ac:dyDescent="0.4">
      <c r="A1064" s="162"/>
    </row>
    <row r="1065" spans="1:1" ht="21" x14ac:dyDescent="0.4">
      <c r="A1065" s="162"/>
    </row>
    <row r="1066" spans="1:1" ht="21" x14ac:dyDescent="0.4">
      <c r="A1066" s="162"/>
    </row>
    <row r="1067" spans="1:1" ht="21" x14ac:dyDescent="0.4">
      <c r="A1067" s="162"/>
    </row>
    <row r="1068" spans="1:1" ht="21" x14ac:dyDescent="0.4">
      <c r="A1068" s="162"/>
    </row>
    <row r="1069" spans="1:1" ht="21" x14ac:dyDescent="0.4">
      <c r="A1069" s="162"/>
    </row>
    <row r="1070" spans="1:1" ht="21" x14ac:dyDescent="0.4">
      <c r="A1070" s="162"/>
    </row>
    <row r="1071" spans="1:1" ht="21" x14ac:dyDescent="0.4">
      <c r="A1071" s="162"/>
    </row>
    <row r="1072" spans="1:1" ht="21" x14ac:dyDescent="0.4">
      <c r="A1072" s="162"/>
    </row>
    <row r="1073" spans="1:1" ht="21" x14ac:dyDescent="0.4">
      <c r="A1073" s="162"/>
    </row>
    <row r="1074" spans="1:1" ht="21" x14ac:dyDescent="0.4">
      <c r="A1074" s="162"/>
    </row>
    <row r="1075" spans="1:1" ht="21" x14ac:dyDescent="0.4">
      <c r="A1075" s="162"/>
    </row>
    <row r="1076" spans="1:1" ht="21" x14ac:dyDescent="0.4">
      <c r="A1076" s="162"/>
    </row>
    <row r="1077" spans="1:1" ht="21" x14ac:dyDescent="0.4">
      <c r="A1077" s="162"/>
    </row>
    <row r="1078" spans="1:1" ht="21" x14ac:dyDescent="0.4">
      <c r="A1078" s="162"/>
    </row>
    <row r="1079" spans="1:1" ht="21" x14ac:dyDescent="0.4">
      <c r="A1079" s="162"/>
    </row>
    <row r="1080" spans="1:1" ht="21" x14ac:dyDescent="0.4">
      <c r="A1080" s="162"/>
    </row>
    <row r="1081" spans="1:1" ht="21" x14ac:dyDescent="0.4">
      <c r="A1081" s="162"/>
    </row>
    <row r="1082" spans="1:1" ht="21" x14ac:dyDescent="0.4">
      <c r="A1082" s="162"/>
    </row>
    <row r="1083" spans="1:1" ht="21" x14ac:dyDescent="0.4">
      <c r="A1083" s="162"/>
    </row>
    <row r="1084" spans="1:1" ht="21" x14ac:dyDescent="0.4">
      <c r="A1084" s="162"/>
    </row>
    <row r="1085" spans="1:1" ht="21" x14ac:dyDescent="0.4">
      <c r="A1085" s="162"/>
    </row>
    <row r="1086" spans="1:1" ht="21" x14ac:dyDescent="0.4">
      <c r="A1086" s="162"/>
    </row>
    <row r="1087" spans="1:1" ht="21" x14ac:dyDescent="0.4">
      <c r="A1087" s="162"/>
    </row>
    <row r="1088" spans="1:1" ht="21" x14ac:dyDescent="0.4">
      <c r="A1088" s="162"/>
    </row>
    <row r="1089" spans="1:1" ht="21" x14ac:dyDescent="0.4">
      <c r="A1089" s="162"/>
    </row>
    <row r="1090" spans="1:1" ht="21" x14ac:dyDescent="0.4">
      <c r="A1090" s="162"/>
    </row>
    <row r="1091" spans="1:1" ht="21" x14ac:dyDescent="0.4">
      <c r="A1091" s="162"/>
    </row>
    <row r="1092" spans="1:1" ht="21" x14ac:dyDescent="0.4">
      <c r="A1092" s="162"/>
    </row>
    <row r="1093" spans="1:1" ht="21" x14ac:dyDescent="0.4">
      <c r="A1093" s="162"/>
    </row>
    <row r="1094" spans="1:1" ht="21" x14ac:dyDescent="0.4">
      <c r="A1094" s="162"/>
    </row>
    <row r="1095" spans="1:1" ht="21" x14ac:dyDescent="0.4">
      <c r="A1095" s="162"/>
    </row>
    <row r="1096" spans="1:1" ht="21" x14ac:dyDescent="0.4">
      <c r="A1096" s="162"/>
    </row>
    <row r="1097" spans="1:1" ht="21" x14ac:dyDescent="0.4">
      <c r="A1097" s="162"/>
    </row>
    <row r="1098" spans="1:1" ht="21" x14ac:dyDescent="0.4">
      <c r="A1098" s="162"/>
    </row>
    <row r="1099" spans="1:1" ht="21" x14ac:dyDescent="0.4">
      <c r="A1099" s="162"/>
    </row>
    <row r="1100" spans="1:1" ht="21" x14ac:dyDescent="0.4">
      <c r="A1100" s="162"/>
    </row>
    <row r="1101" spans="1:1" ht="21" x14ac:dyDescent="0.4">
      <c r="A1101" s="162"/>
    </row>
    <row r="1102" spans="1:1" ht="21" x14ac:dyDescent="0.4">
      <c r="A1102" s="162"/>
    </row>
    <row r="1103" spans="1:1" ht="21" x14ac:dyDescent="0.4">
      <c r="A1103" s="162"/>
    </row>
    <row r="1104" spans="1:1" ht="21" x14ac:dyDescent="0.4">
      <c r="A1104" s="162"/>
    </row>
    <row r="1105" spans="1:1" ht="21" x14ac:dyDescent="0.4">
      <c r="A1105" s="162"/>
    </row>
    <row r="1106" spans="1:1" ht="21" x14ac:dyDescent="0.4">
      <c r="A1106" s="162"/>
    </row>
    <row r="1107" spans="1:1" ht="21" x14ac:dyDescent="0.4">
      <c r="A1107" s="162"/>
    </row>
    <row r="1108" spans="1:1" ht="21" x14ac:dyDescent="0.4">
      <c r="A1108" s="162"/>
    </row>
    <row r="1109" spans="1:1" ht="21" x14ac:dyDescent="0.4">
      <c r="A1109" s="162"/>
    </row>
    <row r="1110" spans="1:1" ht="21" x14ac:dyDescent="0.4">
      <c r="A1110" s="162"/>
    </row>
    <row r="1111" spans="1:1" ht="21" x14ac:dyDescent="0.4">
      <c r="A1111" s="162"/>
    </row>
    <row r="1112" spans="1:1" ht="21" x14ac:dyDescent="0.4">
      <c r="A1112" s="162"/>
    </row>
    <row r="1113" spans="1:1" ht="21" x14ac:dyDescent="0.4">
      <c r="A1113" s="162"/>
    </row>
    <row r="1114" spans="1:1" ht="21" x14ac:dyDescent="0.4">
      <c r="A1114" s="162"/>
    </row>
    <row r="1115" spans="1:1" ht="21" x14ac:dyDescent="0.4">
      <c r="A1115" s="162"/>
    </row>
    <row r="1116" spans="1:1" ht="21" x14ac:dyDescent="0.4">
      <c r="A1116" s="162"/>
    </row>
    <row r="1117" spans="1:1" ht="21" x14ac:dyDescent="0.4">
      <c r="A1117" s="162"/>
    </row>
    <row r="1118" spans="1:1" ht="21" x14ac:dyDescent="0.4">
      <c r="A1118" s="162"/>
    </row>
    <row r="1119" spans="1:1" ht="21" x14ac:dyDescent="0.4">
      <c r="A1119" s="162"/>
    </row>
    <row r="1120" spans="1:1" ht="21" x14ac:dyDescent="0.4">
      <c r="A1120" s="162"/>
    </row>
    <row r="1121" spans="1:1" ht="21" x14ac:dyDescent="0.4">
      <c r="A1121" s="162"/>
    </row>
    <row r="1122" spans="1:1" ht="21" x14ac:dyDescent="0.4">
      <c r="A1122" s="162"/>
    </row>
    <row r="1123" spans="1:1" ht="21" x14ac:dyDescent="0.4">
      <c r="A1123" s="162"/>
    </row>
    <row r="1124" spans="1:1" ht="21" x14ac:dyDescent="0.4">
      <c r="A1124" s="162"/>
    </row>
    <row r="1125" spans="1:1" ht="21" x14ac:dyDescent="0.4">
      <c r="A1125" s="162"/>
    </row>
    <row r="1126" spans="1:1" ht="21" x14ac:dyDescent="0.4">
      <c r="A1126" s="162"/>
    </row>
    <row r="1127" spans="1:1" ht="21" x14ac:dyDescent="0.4">
      <c r="A1127" s="162"/>
    </row>
    <row r="1128" spans="1:1" ht="21" x14ac:dyDescent="0.4">
      <c r="A1128" s="162"/>
    </row>
    <row r="1129" spans="1:1" ht="21" x14ac:dyDescent="0.4">
      <c r="A1129" s="162"/>
    </row>
    <row r="1130" spans="1:1" ht="21" x14ac:dyDescent="0.4">
      <c r="A1130" s="162"/>
    </row>
    <row r="1131" spans="1:1" ht="21" x14ac:dyDescent="0.4">
      <c r="A1131" s="162"/>
    </row>
    <row r="1132" spans="1:1" ht="21" x14ac:dyDescent="0.4">
      <c r="A1132" s="162"/>
    </row>
    <row r="1133" spans="1:1" ht="21" x14ac:dyDescent="0.4">
      <c r="A1133" s="162"/>
    </row>
    <row r="1134" spans="1:1" ht="21" x14ac:dyDescent="0.4">
      <c r="A1134" s="162"/>
    </row>
    <row r="1135" spans="1:1" ht="21" x14ac:dyDescent="0.4">
      <c r="A1135" s="162"/>
    </row>
    <row r="1136" spans="1:1" ht="21" x14ac:dyDescent="0.4">
      <c r="A1136" s="162"/>
    </row>
    <row r="1137" spans="1:1" ht="21" x14ac:dyDescent="0.4">
      <c r="A1137" s="162"/>
    </row>
    <row r="1138" spans="1:1" ht="21" x14ac:dyDescent="0.4">
      <c r="A1138" s="162"/>
    </row>
    <row r="1139" spans="1:1" ht="21" x14ac:dyDescent="0.4">
      <c r="A1139" s="162"/>
    </row>
    <row r="1140" spans="1:1" ht="21" x14ac:dyDescent="0.4">
      <c r="A1140" s="162"/>
    </row>
    <row r="1141" spans="1:1" ht="21" x14ac:dyDescent="0.4">
      <c r="A1141" s="162"/>
    </row>
    <row r="1142" spans="1:1" ht="21" x14ac:dyDescent="0.4">
      <c r="A1142" s="162"/>
    </row>
    <row r="1143" spans="1:1" ht="21" x14ac:dyDescent="0.4">
      <c r="A1143" s="162"/>
    </row>
    <row r="1144" spans="1:1" ht="21" x14ac:dyDescent="0.4">
      <c r="A1144" s="162"/>
    </row>
    <row r="1145" spans="1:1" ht="21" x14ac:dyDescent="0.4">
      <c r="A1145" s="162"/>
    </row>
    <row r="1146" spans="1:1" ht="21" x14ac:dyDescent="0.4">
      <c r="A1146" s="162"/>
    </row>
    <row r="1147" spans="1:1" ht="21" x14ac:dyDescent="0.4">
      <c r="A1147" s="162"/>
    </row>
    <row r="1148" spans="1:1" ht="21" x14ac:dyDescent="0.4">
      <c r="A1148" s="162"/>
    </row>
    <row r="1149" spans="1:1" ht="21" x14ac:dyDescent="0.4">
      <c r="A1149" s="162"/>
    </row>
    <row r="1150" spans="1:1" ht="21" x14ac:dyDescent="0.4">
      <c r="A1150" s="162"/>
    </row>
    <row r="1151" spans="1:1" ht="21" x14ac:dyDescent="0.4">
      <c r="A1151" s="162"/>
    </row>
    <row r="1152" spans="1:1" ht="21" x14ac:dyDescent="0.4">
      <c r="A1152" s="162"/>
    </row>
    <row r="1153" spans="1:1" ht="21" x14ac:dyDescent="0.4">
      <c r="A1153" s="162"/>
    </row>
    <row r="1154" spans="1:1" ht="21" x14ac:dyDescent="0.4">
      <c r="A1154" s="162"/>
    </row>
    <row r="1155" spans="1:1" ht="21" x14ac:dyDescent="0.4">
      <c r="A1155" s="162"/>
    </row>
    <row r="1156" spans="1:1" ht="21" x14ac:dyDescent="0.4">
      <c r="A1156" s="162"/>
    </row>
    <row r="1157" spans="1:1" ht="21" x14ac:dyDescent="0.4">
      <c r="A1157" s="162"/>
    </row>
    <row r="1158" spans="1:1" ht="21" x14ac:dyDescent="0.4">
      <c r="A1158" s="162"/>
    </row>
    <row r="1159" spans="1:1" ht="21" x14ac:dyDescent="0.4">
      <c r="A1159" s="162"/>
    </row>
    <row r="1160" spans="1:1" ht="21" x14ac:dyDescent="0.4">
      <c r="A1160" s="162"/>
    </row>
    <row r="1161" spans="1:1" ht="21" x14ac:dyDescent="0.4">
      <c r="A1161" s="162"/>
    </row>
    <row r="1162" spans="1:1" ht="21" x14ac:dyDescent="0.4">
      <c r="A1162" s="162"/>
    </row>
    <row r="1163" spans="1:1" ht="21" x14ac:dyDescent="0.4">
      <c r="A1163" s="162"/>
    </row>
    <row r="1164" spans="1:1" ht="21" x14ac:dyDescent="0.4">
      <c r="A1164" s="162"/>
    </row>
    <row r="1165" spans="1:1" ht="21" x14ac:dyDescent="0.4">
      <c r="A1165" s="162"/>
    </row>
    <row r="1166" spans="1:1" ht="21" x14ac:dyDescent="0.4">
      <c r="A1166" s="162"/>
    </row>
    <row r="1167" spans="1:1" ht="21" x14ac:dyDescent="0.4">
      <c r="A1167" s="162"/>
    </row>
    <row r="1168" spans="1:1" ht="21" x14ac:dyDescent="0.4">
      <c r="A1168" s="162"/>
    </row>
    <row r="1169" spans="1:1" ht="21" x14ac:dyDescent="0.4">
      <c r="A1169" s="162"/>
    </row>
    <row r="1170" spans="1:1" ht="21" x14ac:dyDescent="0.4">
      <c r="A1170" s="162"/>
    </row>
    <row r="1171" spans="1:1" ht="21" x14ac:dyDescent="0.4">
      <c r="A1171" s="162"/>
    </row>
    <row r="1172" spans="1:1" ht="21" x14ac:dyDescent="0.4">
      <c r="A1172" s="162"/>
    </row>
    <row r="1173" spans="1:1" ht="21" x14ac:dyDescent="0.4">
      <c r="A1173" s="162"/>
    </row>
    <row r="1174" spans="1:1" ht="21" x14ac:dyDescent="0.4">
      <c r="A1174" s="162"/>
    </row>
    <row r="1175" spans="1:1" ht="21" x14ac:dyDescent="0.4">
      <c r="A1175" s="162"/>
    </row>
    <row r="1176" spans="1:1" ht="21" x14ac:dyDescent="0.4">
      <c r="A1176" s="162"/>
    </row>
    <row r="1177" spans="1:1" ht="21" x14ac:dyDescent="0.4">
      <c r="A1177" s="162"/>
    </row>
    <row r="1178" spans="1:1" ht="21" x14ac:dyDescent="0.4">
      <c r="A1178" s="162"/>
    </row>
    <row r="1179" spans="1:1" ht="21" x14ac:dyDescent="0.4">
      <c r="A1179" s="162"/>
    </row>
    <row r="1180" spans="1:1" ht="21" x14ac:dyDescent="0.4">
      <c r="A1180" s="162"/>
    </row>
    <row r="1181" spans="1:1" ht="21" x14ac:dyDescent="0.4">
      <c r="A1181" s="162"/>
    </row>
    <row r="1182" spans="1:1" ht="21" x14ac:dyDescent="0.4">
      <c r="A1182" s="162"/>
    </row>
    <row r="1183" spans="1:1" ht="21" x14ac:dyDescent="0.4">
      <c r="A1183" s="162"/>
    </row>
    <row r="1184" spans="1:1" ht="21" x14ac:dyDescent="0.4">
      <c r="A1184" s="162"/>
    </row>
    <row r="1185" spans="1:1" ht="21" x14ac:dyDescent="0.4">
      <c r="A1185" s="162"/>
    </row>
    <row r="1186" spans="1:1" ht="21" x14ac:dyDescent="0.4">
      <c r="A1186" s="162"/>
    </row>
    <row r="1187" spans="1:1" ht="21" x14ac:dyDescent="0.4">
      <c r="A1187" s="162"/>
    </row>
    <row r="1188" spans="1:1" ht="21" x14ac:dyDescent="0.4">
      <c r="A1188" s="162"/>
    </row>
    <row r="1189" spans="1:1" ht="21" x14ac:dyDescent="0.4">
      <c r="A1189" s="162"/>
    </row>
    <row r="1190" spans="1:1" ht="21" x14ac:dyDescent="0.4">
      <c r="A1190" s="162"/>
    </row>
    <row r="1191" spans="1:1" ht="21" x14ac:dyDescent="0.4">
      <c r="A1191" s="162"/>
    </row>
    <row r="1192" spans="1:1" ht="21" x14ac:dyDescent="0.4">
      <c r="A1192" s="162"/>
    </row>
    <row r="1193" spans="1:1" ht="21" x14ac:dyDescent="0.4">
      <c r="A1193" s="162"/>
    </row>
    <row r="1194" spans="1:1" ht="21" x14ac:dyDescent="0.4">
      <c r="A1194" s="162"/>
    </row>
    <row r="1195" spans="1:1" ht="21" x14ac:dyDescent="0.4">
      <c r="A1195" s="162"/>
    </row>
    <row r="1196" spans="1:1" ht="21" x14ac:dyDescent="0.4">
      <c r="A1196" s="162"/>
    </row>
    <row r="1197" spans="1:1" ht="21" x14ac:dyDescent="0.4">
      <c r="A1197" s="162"/>
    </row>
    <row r="1198" spans="1:1" ht="21" x14ac:dyDescent="0.4">
      <c r="A1198" s="162"/>
    </row>
    <row r="1199" spans="1:1" ht="21" x14ac:dyDescent="0.4">
      <c r="A1199" s="162"/>
    </row>
    <row r="1200" spans="1:1" ht="21" x14ac:dyDescent="0.4">
      <c r="A1200" s="162"/>
    </row>
    <row r="1201" spans="1:1" ht="21" x14ac:dyDescent="0.4">
      <c r="A1201" s="162"/>
    </row>
    <row r="1202" spans="1:1" ht="21" x14ac:dyDescent="0.4">
      <c r="A1202" s="162"/>
    </row>
    <row r="1203" spans="1:1" ht="21" x14ac:dyDescent="0.4">
      <c r="A1203" s="162"/>
    </row>
    <row r="1204" spans="1:1" ht="21" x14ac:dyDescent="0.4">
      <c r="A1204" s="162"/>
    </row>
    <row r="1205" spans="1:1" ht="21" x14ac:dyDescent="0.4">
      <c r="A1205" s="162"/>
    </row>
    <row r="1206" spans="1:1" ht="21" x14ac:dyDescent="0.4">
      <c r="A1206" s="162"/>
    </row>
    <row r="1207" spans="1:1" ht="21" x14ac:dyDescent="0.4">
      <c r="A1207" s="162"/>
    </row>
    <row r="1208" spans="1:1" ht="21" x14ac:dyDescent="0.4">
      <c r="A1208" s="162"/>
    </row>
    <row r="1209" spans="1:1" ht="21" x14ac:dyDescent="0.4">
      <c r="A1209" s="162"/>
    </row>
    <row r="1210" spans="1:1" ht="21" x14ac:dyDescent="0.4">
      <c r="A1210" s="162"/>
    </row>
    <row r="1211" spans="1:1" ht="21" x14ac:dyDescent="0.4">
      <c r="A1211" s="162"/>
    </row>
    <row r="1212" spans="1:1" ht="21" x14ac:dyDescent="0.4">
      <c r="A1212" s="162"/>
    </row>
    <row r="1213" spans="1:1" ht="21" x14ac:dyDescent="0.4">
      <c r="A1213" s="162"/>
    </row>
    <row r="1214" spans="1:1" ht="21" x14ac:dyDescent="0.4">
      <c r="A1214" s="162"/>
    </row>
    <row r="1215" spans="1:1" ht="21" x14ac:dyDescent="0.4">
      <c r="A1215" s="162"/>
    </row>
    <row r="1216" spans="1:1" ht="21" x14ac:dyDescent="0.4">
      <c r="A1216" s="162"/>
    </row>
    <row r="1217" spans="1:1" ht="21" x14ac:dyDescent="0.4">
      <c r="A1217" s="162"/>
    </row>
    <row r="1218" spans="1:1" ht="21" x14ac:dyDescent="0.4">
      <c r="A1218" s="162"/>
    </row>
    <row r="1219" spans="1:1" ht="21" x14ac:dyDescent="0.4">
      <c r="A1219" s="162"/>
    </row>
    <row r="1220" spans="1:1" ht="21" x14ac:dyDescent="0.4">
      <c r="A1220" s="162"/>
    </row>
    <row r="1221" spans="1:1" ht="21" x14ac:dyDescent="0.4">
      <c r="A1221" s="162"/>
    </row>
    <row r="1222" spans="1:1" ht="21" x14ac:dyDescent="0.4">
      <c r="A1222" s="162"/>
    </row>
    <row r="1223" spans="1:1" ht="21" x14ac:dyDescent="0.4">
      <c r="A1223" s="162"/>
    </row>
    <row r="1224" spans="1:1" ht="21" x14ac:dyDescent="0.4">
      <c r="A1224" s="162"/>
    </row>
    <row r="1225" spans="1:1" ht="21" x14ac:dyDescent="0.4">
      <c r="A1225" s="162"/>
    </row>
    <row r="1226" spans="1:1" ht="21" x14ac:dyDescent="0.4">
      <c r="A1226" s="162"/>
    </row>
    <row r="1227" spans="1:1" ht="21" x14ac:dyDescent="0.4">
      <c r="A1227" s="162"/>
    </row>
    <row r="1228" spans="1:1" ht="21" x14ac:dyDescent="0.4">
      <c r="A1228" s="162"/>
    </row>
    <row r="1229" spans="1:1" ht="21" x14ac:dyDescent="0.4">
      <c r="A1229" s="162"/>
    </row>
    <row r="1230" spans="1:1" ht="21" x14ac:dyDescent="0.4">
      <c r="A1230" s="162"/>
    </row>
    <row r="1231" spans="1:1" ht="21" x14ac:dyDescent="0.4">
      <c r="A1231" s="162"/>
    </row>
    <row r="1232" spans="1:1" ht="21" x14ac:dyDescent="0.4">
      <c r="A1232" s="162"/>
    </row>
    <row r="1233" spans="1:1" ht="21" x14ac:dyDescent="0.4">
      <c r="A1233" s="162"/>
    </row>
    <row r="1234" spans="1:1" ht="21" x14ac:dyDescent="0.4">
      <c r="A1234" s="162"/>
    </row>
    <row r="1235" spans="1:1" ht="21" x14ac:dyDescent="0.4">
      <c r="A1235" s="162"/>
    </row>
    <row r="1236" spans="1:1" ht="21" x14ac:dyDescent="0.4">
      <c r="A1236" s="162"/>
    </row>
    <row r="1237" spans="1:1" ht="21" x14ac:dyDescent="0.4">
      <c r="A1237" s="162"/>
    </row>
    <row r="1238" spans="1:1" ht="21" x14ac:dyDescent="0.4">
      <c r="A1238" s="162"/>
    </row>
    <row r="1239" spans="1:1" ht="21" x14ac:dyDescent="0.4">
      <c r="A1239" s="162"/>
    </row>
    <row r="1240" spans="1:1" ht="21" x14ac:dyDescent="0.4">
      <c r="A1240" s="162"/>
    </row>
    <row r="1241" spans="1:1" ht="21" x14ac:dyDescent="0.4">
      <c r="A1241" s="162"/>
    </row>
    <row r="1242" spans="1:1" ht="21" x14ac:dyDescent="0.4">
      <c r="A1242" s="162"/>
    </row>
    <row r="1243" spans="1:1" ht="21" x14ac:dyDescent="0.4">
      <c r="A1243" s="162"/>
    </row>
    <row r="1244" spans="1:1" ht="21" x14ac:dyDescent="0.4">
      <c r="A1244" s="162"/>
    </row>
    <row r="1245" spans="1:1" ht="21" x14ac:dyDescent="0.4">
      <c r="A1245" s="162"/>
    </row>
    <row r="1246" spans="1:1" ht="21" x14ac:dyDescent="0.4">
      <c r="A1246" s="162"/>
    </row>
    <row r="1247" spans="1:1" ht="21" x14ac:dyDescent="0.4">
      <c r="A1247" s="162"/>
    </row>
    <row r="1248" spans="1:1" ht="21" x14ac:dyDescent="0.4">
      <c r="A1248" s="162"/>
    </row>
    <row r="1249" spans="1:1" ht="21" x14ac:dyDescent="0.4">
      <c r="A1249" s="162"/>
    </row>
    <row r="1250" spans="1:1" ht="21" x14ac:dyDescent="0.4">
      <c r="A1250" s="162"/>
    </row>
    <row r="1251" spans="1:1" ht="21" x14ac:dyDescent="0.4">
      <c r="A1251" s="162"/>
    </row>
    <row r="1252" spans="1:1" ht="21" x14ac:dyDescent="0.4">
      <c r="A1252" s="162"/>
    </row>
    <row r="1253" spans="1:1" ht="21" x14ac:dyDescent="0.4">
      <c r="A1253" s="162"/>
    </row>
    <row r="1254" spans="1:1" ht="21" x14ac:dyDescent="0.4">
      <c r="A1254" s="162"/>
    </row>
    <row r="1255" spans="1:1" ht="21" x14ac:dyDescent="0.4">
      <c r="A1255" s="162"/>
    </row>
    <row r="1256" spans="1:1" ht="21" x14ac:dyDescent="0.4">
      <c r="A1256" s="162"/>
    </row>
    <row r="1257" spans="1:1" ht="21" x14ac:dyDescent="0.4">
      <c r="A1257" s="162"/>
    </row>
    <row r="1258" spans="1:1" ht="21" x14ac:dyDescent="0.4">
      <c r="A1258" s="162"/>
    </row>
    <row r="1259" spans="1:1" ht="21" x14ac:dyDescent="0.4">
      <c r="A1259" s="162"/>
    </row>
    <row r="1260" spans="1:1" ht="21" x14ac:dyDescent="0.4">
      <c r="A1260" s="162"/>
    </row>
    <row r="1261" spans="1:1" ht="21" x14ac:dyDescent="0.4">
      <c r="A1261" s="162"/>
    </row>
    <row r="1262" spans="1:1" ht="21" x14ac:dyDescent="0.4">
      <c r="A1262" s="162"/>
    </row>
    <row r="1263" spans="1:1" ht="21" x14ac:dyDescent="0.4">
      <c r="A1263" s="162"/>
    </row>
    <row r="1264" spans="1:1" ht="21" x14ac:dyDescent="0.4">
      <c r="A1264" s="162"/>
    </row>
    <row r="1265" spans="1:1" ht="21" x14ac:dyDescent="0.4">
      <c r="A1265" s="162"/>
    </row>
    <row r="1266" spans="1:1" ht="21" x14ac:dyDescent="0.4">
      <c r="A1266" s="162"/>
    </row>
    <row r="1267" spans="1:1" ht="21" x14ac:dyDescent="0.4">
      <c r="A1267" s="162"/>
    </row>
    <row r="1268" spans="1:1" ht="21" x14ac:dyDescent="0.4">
      <c r="A1268" s="162"/>
    </row>
    <row r="1269" spans="1:1" ht="21" x14ac:dyDescent="0.4">
      <c r="A1269" s="162"/>
    </row>
    <row r="1270" spans="1:1" ht="21" x14ac:dyDescent="0.4">
      <c r="A1270" s="162"/>
    </row>
    <row r="1271" spans="1:1" ht="21" x14ac:dyDescent="0.4">
      <c r="A1271" s="162"/>
    </row>
    <row r="1272" spans="1:1" ht="21" x14ac:dyDescent="0.4">
      <c r="A1272" s="162"/>
    </row>
    <row r="1273" spans="1:1" ht="21" x14ac:dyDescent="0.4">
      <c r="A1273" s="162"/>
    </row>
    <row r="1274" spans="1:1" ht="21" x14ac:dyDescent="0.4">
      <c r="A1274" s="162"/>
    </row>
    <row r="1275" spans="1:1" ht="21" x14ac:dyDescent="0.4">
      <c r="A1275" s="162"/>
    </row>
    <row r="1276" spans="1:1" ht="21" x14ac:dyDescent="0.4">
      <c r="A1276" s="162"/>
    </row>
    <row r="1277" spans="1:1" ht="21" x14ac:dyDescent="0.4">
      <c r="A1277" s="162"/>
    </row>
    <row r="1278" spans="1:1" ht="21" x14ac:dyDescent="0.4">
      <c r="A1278" s="162"/>
    </row>
    <row r="1279" spans="1:1" ht="21" x14ac:dyDescent="0.4">
      <c r="A1279" s="162"/>
    </row>
    <row r="1280" spans="1:1" ht="21" x14ac:dyDescent="0.4">
      <c r="A1280" s="162"/>
    </row>
    <row r="1281" spans="1:1" ht="21" x14ac:dyDescent="0.4">
      <c r="A1281" s="162"/>
    </row>
    <row r="1282" spans="1:1" ht="21" x14ac:dyDescent="0.4">
      <c r="A1282" s="162"/>
    </row>
    <row r="1283" spans="1:1" ht="21" x14ac:dyDescent="0.4">
      <c r="A1283" s="162"/>
    </row>
    <row r="1284" spans="1:1" ht="21" x14ac:dyDescent="0.4">
      <c r="A1284" s="162"/>
    </row>
    <row r="1285" spans="1:1" ht="21" x14ac:dyDescent="0.4">
      <c r="A1285" s="162"/>
    </row>
    <row r="1286" spans="1:1" ht="21" x14ac:dyDescent="0.4">
      <c r="A1286" s="162"/>
    </row>
    <row r="1287" spans="1:1" ht="21" x14ac:dyDescent="0.4">
      <c r="A1287" s="162"/>
    </row>
    <row r="1288" spans="1:1" ht="21" x14ac:dyDescent="0.4">
      <c r="A1288" s="162"/>
    </row>
    <row r="1289" spans="1:1" ht="21" x14ac:dyDescent="0.4">
      <c r="A1289" s="162"/>
    </row>
    <row r="1290" spans="1:1" ht="21" x14ac:dyDescent="0.4">
      <c r="A1290" s="162"/>
    </row>
    <row r="1291" spans="1:1" ht="21" x14ac:dyDescent="0.4">
      <c r="A1291" s="162"/>
    </row>
    <row r="1292" spans="1:1" ht="21" x14ac:dyDescent="0.4">
      <c r="A1292" s="162"/>
    </row>
    <row r="1293" spans="1:1" ht="21" x14ac:dyDescent="0.4">
      <c r="A1293" s="162"/>
    </row>
    <row r="1294" spans="1:1" ht="21" x14ac:dyDescent="0.4">
      <c r="A1294" s="162"/>
    </row>
    <row r="1295" spans="1:1" ht="21" x14ac:dyDescent="0.4">
      <c r="A1295" s="162"/>
    </row>
    <row r="1296" spans="1:1" ht="21" x14ac:dyDescent="0.4">
      <c r="A1296" s="162"/>
    </row>
    <row r="1297" spans="1:1" ht="21" x14ac:dyDescent="0.4">
      <c r="A1297" s="162"/>
    </row>
    <row r="1298" spans="1:1" ht="21" x14ac:dyDescent="0.4">
      <c r="A1298" s="162"/>
    </row>
    <row r="1299" spans="1:1" ht="21" x14ac:dyDescent="0.4">
      <c r="A1299" s="162"/>
    </row>
    <row r="1300" spans="1:1" ht="21" x14ac:dyDescent="0.4">
      <c r="A1300" s="162"/>
    </row>
    <row r="1301" spans="1:1" ht="21" x14ac:dyDescent="0.4">
      <c r="A1301" s="162"/>
    </row>
    <row r="1302" spans="1:1" ht="21" x14ac:dyDescent="0.4">
      <c r="A1302" s="162"/>
    </row>
    <row r="1303" spans="1:1" ht="21" x14ac:dyDescent="0.4">
      <c r="A1303" s="162"/>
    </row>
    <row r="1304" spans="1:1" ht="21" x14ac:dyDescent="0.4">
      <c r="A1304" s="162"/>
    </row>
    <row r="1305" spans="1:1" ht="21" x14ac:dyDescent="0.4">
      <c r="A1305" s="162"/>
    </row>
    <row r="1306" spans="1:1" ht="21" x14ac:dyDescent="0.4">
      <c r="A1306" s="162"/>
    </row>
    <row r="1307" spans="1:1" ht="21" x14ac:dyDescent="0.4">
      <c r="A1307" s="162"/>
    </row>
    <row r="1308" spans="1:1" ht="21" x14ac:dyDescent="0.4">
      <c r="A1308" s="162"/>
    </row>
    <row r="1309" spans="1:1" ht="21" x14ac:dyDescent="0.4">
      <c r="A1309" s="162"/>
    </row>
    <row r="1310" spans="1:1" ht="21" x14ac:dyDescent="0.4">
      <c r="A1310" s="162"/>
    </row>
    <row r="1311" spans="1:1" ht="21" x14ac:dyDescent="0.4">
      <c r="A1311" s="162"/>
    </row>
    <row r="1312" spans="1:1" ht="21" x14ac:dyDescent="0.4">
      <c r="A1312" s="162"/>
    </row>
    <row r="1313" spans="1:1" ht="21" x14ac:dyDescent="0.4">
      <c r="A1313" s="162"/>
    </row>
    <row r="1314" spans="1:1" ht="21" x14ac:dyDescent="0.4">
      <c r="A1314" s="162"/>
    </row>
    <row r="1315" spans="1:1" ht="21" x14ac:dyDescent="0.4">
      <c r="A1315" s="162"/>
    </row>
    <row r="1316" spans="1:1" ht="21" x14ac:dyDescent="0.4">
      <c r="A1316" s="162"/>
    </row>
    <row r="1317" spans="1:1" ht="21" x14ac:dyDescent="0.4">
      <c r="A1317" s="162"/>
    </row>
    <row r="1318" spans="1:1" ht="21" x14ac:dyDescent="0.4">
      <c r="A1318" s="162"/>
    </row>
    <row r="1319" spans="1:1" ht="21" x14ac:dyDescent="0.4">
      <c r="A1319" s="162"/>
    </row>
    <row r="1320" spans="1:1" ht="21" x14ac:dyDescent="0.4">
      <c r="A1320" s="162"/>
    </row>
    <row r="1321" spans="1:1" ht="21" x14ac:dyDescent="0.4">
      <c r="A1321" s="162"/>
    </row>
    <row r="1322" spans="1:1" ht="21" x14ac:dyDescent="0.4">
      <c r="A1322" s="162"/>
    </row>
    <row r="1323" spans="1:1" ht="21" x14ac:dyDescent="0.4">
      <c r="A1323" s="162"/>
    </row>
    <row r="1324" spans="1:1" ht="21" x14ac:dyDescent="0.4">
      <c r="A1324" s="162"/>
    </row>
    <row r="1325" spans="1:1" ht="21" x14ac:dyDescent="0.4">
      <c r="A1325" s="162"/>
    </row>
    <row r="1326" spans="1:1" ht="21" x14ac:dyDescent="0.4">
      <c r="A1326" s="162"/>
    </row>
    <row r="1327" spans="1:1" ht="21" x14ac:dyDescent="0.4">
      <c r="A1327" s="162"/>
    </row>
    <row r="1328" spans="1:1" ht="21" x14ac:dyDescent="0.4">
      <c r="A1328" s="162"/>
    </row>
    <row r="1329" spans="1:1" ht="21" x14ac:dyDescent="0.4">
      <c r="A1329" s="162"/>
    </row>
    <row r="1330" spans="1:1" ht="21" x14ac:dyDescent="0.4">
      <c r="A1330" s="162"/>
    </row>
    <row r="1331" spans="1:1" ht="21" x14ac:dyDescent="0.4">
      <c r="A1331" s="162"/>
    </row>
    <row r="1332" spans="1:1" ht="21" x14ac:dyDescent="0.4">
      <c r="A1332" s="162"/>
    </row>
    <row r="1333" spans="1:1" ht="21" x14ac:dyDescent="0.4">
      <c r="A1333" s="162"/>
    </row>
    <row r="1334" spans="1:1" ht="21" x14ac:dyDescent="0.4">
      <c r="A1334" s="162"/>
    </row>
    <row r="1335" spans="1:1" ht="21" x14ac:dyDescent="0.4">
      <c r="A1335" s="162"/>
    </row>
    <row r="1336" spans="1:1" ht="21" x14ac:dyDescent="0.4">
      <c r="A1336" s="162"/>
    </row>
    <row r="1337" spans="1:1" ht="21" x14ac:dyDescent="0.4">
      <c r="A1337" s="162"/>
    </row>
    <row r="1338" spans="1:1" ht="21" x14ac:dyDescent="0.4">
      <c r="A1338" s="162"/>
    </row>
    <row r="1339" spans="1:1" ht="21" x14ac:dyDescent="0.4">
      <c r="A1339" s="162"/>
    </row>
    <row r="1340" spans="1:1" ht="21" x14ac:dyDescent="0.4">
      <c r="A1340" s="162"/>
    </row>
    <row r="1341" spans="1:1" ht="21" x14ac:dyDescent="0.4">
      <c r="A1341" s="162"/>
    </row>
    <row r="1342" spans="1:1" ht="21" x14ac:dyDescent="0.4">
      <c r="A1342" s="162"/>
    </row>
    <row r="1343" spans="1:1" ht="21" x14ac:dyDescent="0.4">
      <c r="A1343" s="162"/>
    </row>
    <row r="1344" spans="1:1" ht="21" x14ac:dyDescent="0.4">
      <c r="A1344" s="162"/>
    </row>
    <row r="1345" spans="1:1" ht="21" x14ac:dyDescent="0.4">
      <c r="A1345" s="162"/>
    </row>
    <row r="1346" spans="1:1" ht="21" x14ac:dyDescent="0.4">
      <c r="A1346" s="162"/>
    </row>
    <row r="1347" spans="1:1" ht="21" x14ac:dyDescent="0.4">
      <c r="A1347" s="162"/>
    </row>
    <row r="1348" spans="1:1" ht="21" x14ac:dyDescent="0.4">
      <c r="A1348" s="162"/>
    </row>
    <row r="1349" spans="1:1" ht="21" x14ac:dyDescent="0.4">
      <c r="A1349" s="162"/>
    </row>
    <row r="1350" spans="1:1" ht="21" x14ac:dyDescent="0.4">
      <c r="A1350" s="162"/>
    </row>
    <row r="1351" spans="1:1" ht="21" x14ac:dyDescent="0.4">
      <c r="A1351" s="162"/>
    </row>
    <row r="1352" spans="1:1" ht="21" x14ac:dyDescent="0.4">
      <c r="A1352" s="162"/>
    </row>
    <row r="1353" spans="1:1" ht="21" x14ac:dyDescent="0.4">
      <c r="A1353" s="162"/>
    </row>
    <row r="1354" spans="1:1" ht="21" x14ac:dyDescent="0.4">
      <c r="A1354" s="162"/>
    </row>
    <row r="1355" spans="1:1" ht="21" x14ac:dyDescent="0.4">
      <c r="A1355" s="162"/>
    </row>
    <row r="1356" spans="1:1" ht="21" x14ac:dyDescent="0.4">
      <c r="A1356" s="162"/>
    </row>
    <row r="1357" spans="1:1" ht="21" x14ac:dyDescent="0.4">
      <c r="A1357" s="162"/>
    </row>
    <row r="1358" spans="1:1" ht="21" x14ac:dyDescent="0.4">
      <c r="A1358" s="162"/>
    </row>
    <row r="1359" spans="1:1" ht="21" x14ac:dyDescent="0.4">
      <c r="A1359" s="162"/>
    </row>
    <row r="1360" spans="1:1" ht="21" x14ac:dyDescent="0.4">
      <c r="A1360" s="162"/>
    </row>
    <row r="1361" spans="1:1" ht="21" x14ac:dyDescent="0.4">
      <c r="A1361" s="162"/>
    </row>
    <row r="1362" spans="1:1" ht="21" x14ac:dyDescent="0.4">
      <c r="A1362" s="162"/>
    </row>
    <row r="1363" spans="1:1" ht="21" x14ac:dyDescent="0.4">
      <c r="A1363" s="162"/>
    </row>
    <row r="1364" spans="1:1" ht="21" x14ac:dyDescent="0.4">
      <c r="A1364" s="162"/>
    </row>
    <row r="1365" spans="1:1" ht="21" x14ac:dyDescent="0.4">
      <c r="A1365" s="162"/>
    </row>
    <row r="1366" spans="1:1" ht="21" x14ac:dyDescent="0.4">
      <c r="A1366" s="162"/>
    </row>
    <row r="1367" spans="1:1" ht="21" x14ac:dyDescent="0.4">
      <c r="A1367" s="162"/>
    </row>
    <row r="1368" spans="1:1" ht="21" x14ac:dyDescent="0.4">
      <c r="A1368" s="162"/>
    </row>
    <row r="1369" spans="1:1" ht="21" x14ac:dyDescent="0.4">
      <c r="A1369" s="162"/>
    </row>
    <row r="1370" spans="1:1" ht="21" x14ac:dyDescent="0.4">
      <c r="A1370" s="162"/>
    </row>
    <row r="1371" spans="1:1" ht="21" x14ac:dyDescent="0.4">
      <c r="A1371" s="162"/>
    </row>
    <row r="1372" spans="1:1" ht="21" x14ac:dyDescent="0.4">
      <c r="A1372" s="162"/>
    </row>
    <row r="1373" spans="1:1" ht="21" x14ac:dyDescent="0.4">
      <c r="A1373" s="162"/>
    </row>
    <row r="1374" spans="1:1" ht="21" x14ac:dyDescent="0.4">
      <c r="A1374" s="162"/>
    </row>
    <row r="1375" spans="1:1" ht="21" x14ac:dyDescent="0.4">
      <c r="A1375" s="162"/>
    </row>
    <row r="1376" spans="1:1" ht="21" x14ac:dyDescent="0.4">
      <c r="A1376" s="162"/>
    </row>
    <row r="1377" spans="1:1" ht="21" x14ac:dyDescent="0.4">
      <c r="A1377" s="162"/>
    </row>
    <row r="1378" spans="1:1" ht="21" x14ac:dyDescent="0.4">
      <c r="A1378" s="162"/>
    </row>
    <row r="1379" spans="1:1" ht="21" x14ac:dyDescent="0.4">
      <c r="A1379" s="162"/>
    </row>
    <row r="1380" spans="1:1" ht="21" x14ac:dyDescent="0.4">
      <c r="A1380" s="162"/>
    </row>
    <row r="1381" spans="1:1" ht="21" x14ac:dyDescent="0.4">
      <c r="A1381" s="162"/>
    </row>
    <row r="1382" spans="1:1" ht="21" x14ac:dyDescent="0.4">
      <c r="A1382" s="162"/>
    </row>
    <row r="1383" spans="1:1" ht="21" x14ac:dyDescent="0.4">
      <c r="A1383" s="162"/>
    </row>
    <row r="1384" spans="1:1" ht="21" x14ac:dyDescent="0.4">
      <c r="A1384" s="162"/>
    </row>
    <row r="1385" spans="1:1" ht="21" x14ac:dyDescent="0.4">
      <c r="A1385" s="162"/>
    </row>
    <row r="1386" spans="1:1" ht="21" x14ac:dyDescent="0.4">
      <c r="A1386" s="162"/>
    </row>
    <row r="1387" spans="1:1" ht="21" x14ac:dyDescent="0.4">
      <c r="A1387" s="162"/>
    </row>
    <row r="1388" spans="1:1" ht="21" x14ac:dyDescent="0.4">
      <c r="A1388" s="162"/>
    </row>
    <row r="1389" spans="1:1" ht="21" x14ac:dyDescent="0.4">
      <c r="A1389" s="162"/>
    </row>
    <row r="1390" spans="1:1" ht="21" x14ac:dyDescent="0.4">
      <c r="A1390" s="162"/>
    </row>
    <row r="1391" spans="1:1" ht="21" x14ac:dyDescent="0.4">
      <c r="A1391" s="162"/>
    </row>
    <row r="1392" spans="1:1" ht="21" x14ac:dyDescent="0.4">
      <c r="A1392" s="162"/>
    </row>
    <row r="1393" spans="1:1" ht="21" x14ac:dyDescent="0.4">
      <c r="A1393" s="162"/>
    </row>
    <row r="1394" spans="1:1" ht="21" x14ac:dyDescent="0.4">
      <c r="A1394" s="162"/>
    </row>
    <row r="1395" spans="1:1" ht="21" x14ac:dyDescent="0.4">
      <c r="A1395" s="162"/>
    </row>
    <row r="1396" spans="1:1" ht="21" x14ac:dyDescent="0.4">
      <c r="A1396" s="162"/>
    </row>
    <row r="1397" spans="1:1" ht="21" x14ac:dyDescent="0.4">
      <c r="A1397" s="162"/>
    </row>
    <row r="1398" spans="1:1" ht="21" x14ac:dyDescent="0.4">
      <c r="A1398" s="162"/>
    </row>
    <row r="1399" spans="1:1" ht="21" x14ac:dyDescent="0.4">
      <c r="A1399" s="162"/>
    </row>
    <row r="1400" spans="1:1" ht="21" x14ac:dyDescent="0.4">
      <c r="A1400" s="162"/>
    </row>
    <row r="1401" spans="1:1" ht="21" x14ac:dyDescent="0.4">
      <c r="A1401" s="162"/>
    </row>
    <row r="1402" spans="1:1" ht="21" x14ac:dyDescent="0.4">
      <c r="A1402" s="162"/>
    </row>
    <row r="1403" spans="1:1" ht="21" x14ac:dyDescent="0.4">
      <c r="A1403" s="162"/>
    </row>
    <row r="1404" spans="1:1" ht="21" x14ac:dyDescent="0.4">
      <c r="A1404" s="162"/>
    </row>
    <row r="1405" spans="1:1" ht="21" x14ac:dyDescent="0.4">
      <c r="A1405" s="162"/>
    </row>
    <row r="1406" spans="1:1" ht="21" x14ac:dyDescent="0.4">
      <c r="A1406" s="162"/>
    </row>
    <row r="1407" spans="1:1" ht="21" x14ac:dyDescent="0.4">
      <c r="A1407" s="162"/>
    </row>
    <row r="1408" spans="1:1" ht="21" x14ac:dyDescent="0.4">
      <c r="A1408" s="162"/>
    </row>
    <row r="1409" spans="1:1" ht="21" x14ac:dyDescent="0.4">
      <c r="A1409" s="162"/>
    </row>
    <row r="1410" spans="1:1" ht="21" x14ac:dyDescent="0.4">
      <c r="A1410" s="162"/>
    </row>
    <row r="1411" spans="1:1" ht="21" x14ac:dyDescent="0.4">
      <c r="A1411" s="162"/>
    </row>
    <row r="1412" spans="1:1" ht="21" x14ac:dyDescent="0.4">
      <c r="A1412" s="162"/>
    </row>
    <row r="1413" spans="1:1" ht="21" x14ac:dyDescent="0.4">
      <c r="A1413" s="162"/>
    </row>
    <row r="1414" spans="1:1" ht="21" x14ac:dyDescent="0.4">
      <c r="A1414" s="162"/>
    </row>
    <row r="1415" spans="1:1" ht="21" x14ac:dyDescent="0.4">
      <c r="A1415" s="162"/>
    </row>
    <row r="1416" spans="1:1" ht="21" x14ac:dyDescent="0.4">
      <c r="A1416" s="162"/>
    </row>
    <row r="1417" spans="1:1" ht="21" x14ac:dyDescent="0.4">
      <c r="A1417" s="162"/>
    </row>
    <row r="1418" spans="1:1" ht="21" x14ac:dyDescent="0.4">
      <c r="A1418" s="162"/>
    </row>
    <row r="1419" spans="1:1" ht="21" x14ac:dyDescent="0.4">
      <c r="A1419" s="162"/>
    </row>
    <row r="1420" spans="1:1" ht="21" x14ac:dyDescent="0.4">
      <c r="A1420" s="162"/>
    </row>
    <row r="1421" spans="1:1" ht="21" x14ac:dyDescent="0.4">
      <c r="A1421" s="162"/>
    </row>
    <row r="1422" spans="1:1" ht="21" x14ac:dyDescent="0.4">
      <c r="A1422" s="162"/>
    </row>
    <row r="1423" spans="1:1" ht="21" x14ac:dyDescent="0.4">
      <c r="A1423" s="162"/>
    </row>
    <row r="1424" spans="1:1" ht="21" x14ac:dyDescent="0.4">
      <c r="A1424" s="162"/>
    </row>
    <row r="1425" spans="1:1" ht="21" x14ac:dyDescent="0.4">
      <c r="A1425" s="162"/>
    </row>
    <row r="1426" spans="1:1" ht="21" x14ac:dyDescent="0.4">
      <c r="A1426" s="162"/>
    </row>
    <row r="1427" spans="1:1" ht="21" x14ac:dyDescent="0.4">
      <c r="A1427" s="162"/>
    </row>
    <row r="1428" spans="1:1" ht="21" x14ac:dyDescent="0.4">
      <c r="A1428" s="162"/>
    </row>
    <row r="1429" spans="1:1" ht="21" x14ac:dyDescent="0.4">
      <c r="A1429" s="162"/>
    </row>
    <row r="1430" spans="1:1" ht="21" x14ac:dyDescent="0.4">
      <c r="A1430" s="162"/>
    </row>
    <row r="1431" spans="1:1" ht="21" x14ac:dyDescent="0.4">
      <c r="A1431" s="162"/>
    </row>
    <row r="1432" spans="1:1" ht="21" x14ac:dyDescent="0.4">
      <c r="A1432" s="162"/>
    </row>
    <row r="1433" spans="1:1" ht="21" x14ac:dyDescent="0.4">
      <c r="A1433" s="162"/>
    </row>
    <row r="1434" spans="1:1" ht="21" x14ac:dyDescent="0.4">
      <c r="A1434" s="162"/>
    </row>
    <row r="1435" spans="1:1" ht="21" x14ac:dyDescent="0.4">
      <c r="A1435" s="162"/>
    </row>
    <row r="1436" spans="1:1" ht="21" x14ac:dyDescent="0.4">
      <c r="A1436" s="162"/>
    </row>
    <row r="1437" spans="1:1" ht="21" x14ac:dyDescent="0.4">
      <c r="A1437" s="162"/>
    </row>
    <row r="1438" spans="1:1" ht="21" x14ac:dyDescent="0.4">
      <c r="A1438" s="162"/>
    </row>
    <row r="1439" spans="1:1" ht="21" x14ac:dyDescent="0.4">
      <c r="A1439" s="162"/>
    </row>
    <row r="1440" spans="1:1" ht="21" x14ac:dyDescent="0.4">
      <c r="A1440" s="162"/>
    </row>
    <row r="1441" spans="1:1" ht="21" x14ac:dyDescent="0.4">
      <c r="A1441" s="162"/>
    </row>
    <row r="1442" spans="1:1" ht="21" x14ac:dyDescent="0.4">
      <c r="A1442" s="162"/>
    </row>
    <row r="1443" spans="1:1" ht="21" x14ac:dyDescent="0.4">
      <c r="A1443" s="162"/>
    </row>
    <row r="1444" spans="1:1" ht="21" x14ac:dyDescent="0.4">
      <c r="A1444" s="162"/>
    </row>
    <row r="1445" spans="1:1" ht="21" x14ac:dyDescent="0.4">
      <c r="A1445" s="162"/>
    </row>
    <row r="1446" spans="1:1" ht="21" x14ac:dyDescent="0.4">
      <c r="A1446" s="162"/>
    </row>
    <row r="1447" spans="1:1" ht="21" x14ac:dyDescent="0.4">
      <c r="A1447" s="162"/>
    </row>
    <row r="1448" spans="1:1" ht="21" x14ac:dyDescent="0.4">
      <c r="A1448" s="162"/>
    </row>
    <row r="1449" spans="1:1" ht="21" x14ac:dyDescent="0.4">
      <c r="A1449" s="162"/>
    </row>
    <row r="1450" spans="1:1" ht="21" x14ac:dyDescent="0.4">
      <c r="A1450" s="162"/>
    </row>
    <row r="1451" spans="1:1" ht="21" x14ac:dyDescent="0.4">
      <c r="A1451" s="162"/>
    </row>
    <row r="1452" spans="1:1" ht="21" x14ac:dyDescent="0.4">
      <c r="A1452" s="162"/>
    </row>
    <row r="1453" spans="1:1" ht="21" x14ac:dyDescent="0.4">
      <c r="A1453" s="162"/>
    </row>
    <row r="1454" spans="1:1" ht="21" x14ac:dyDescent="0.4">
      <c r="A1454" s="162"/>
    </row>
    <row r="1455" spans="1:1" ht="21" x14ac:dyDescent="0.4">
      <c r="A1455" s="162"/>
    </row>
    <row r="1456" spans="1:1" ht="21" x14ac:dyDescent="0.4">
      <c r="A1456" s="162"/>
    </row>
    <row r="1457" spans="1:1" ht="21" x14ac:dyDescent="0.4">
      <c r="A1457" s="162"/>
    </row>
    <row r="1458" spans="1:1" ht="21" x14ac:dyDescent="0.4">
      <c r="A1458" s="162"/>
    </row>
    <row r="1459" spans="1:1" ht="21" x14ac:dyDescent="0.4">
      <c r="A1459" s="162"/>
    </row>
    <row r="1460" spans="1:1" ht="21" x14ac:dyDescent="0.4">
      <c r="A1460" s="162"/>
    </row>
    <row r="1461" spans="1:1" ht="21" x14ac:dyDescent="0.4">
      <c r="A1461" s="162"/>
    </row>
    <row r="1462" spans="1:1" ht="21" x14ac:dyDescent="0.4">
      <c r="A1462" s="162"/>
    </row>
    <row r="1463" spans="1:1" ht="21" x14ac:dyDescent="0.4">
      <c r="A1463" s="162"/>
    </row>
    <row r="1464" spans="1:1" ht="21" x14ac:dyDescent="0.4">
      <c r="A1464" s="162"/>
    </row>
    <row r="1465" spans="1:1" ht="21" x14ac:dyDescent="0.4">
      <c r="A1465" s="162"/>
    </row>
    <row r="1466" spans="1:1" ht="21" x14ac:dyDescent="0.4">
      <c r="A1466" s="162"/>
    </row>
    <row r="1467" spans="1:1" ht="21" x14ac:dyDescent="0.4">
      <c r="A1467" s="162"/>
    </row>
    <row r="1468" spans="1:1" ht="21" x14ac:dyDescent="0.4">
      <c r="A1468" s="162"/>
    </row>
    <row r="1469" spans="1:1" ht="21" x14ac:dyDescent="0.4">
      <c r="A1469" s="162"/>
    </row>
    <row r="1470" spans="1:1" ht="21" x14ac:dyDescent="0.4">
      <c r="A1470" s="162"/>
    </row>
    <row r="1471" spans="1:1" ht="21" x14ac:dyDescent="0.4">
      <c r="A1471" s="162"/>
    </row>
    <row r="1472" spans="1:1" ht="21" x14ac:dyDescent="0.4">
      <c r="A1472" s="162"/>
    </row>
    <row r="1473" spans="1:1" ht="21" x14ac:dyDescent="0.4">
      <c r="A1473" s="162"/>
    </row>
    <row r="1474" spans="1:1" ht="21" x14ac:dyDescent="0.4">
      <c r="A1474" s="162"/>
    </row>
    <row r="1475" spans="1:1" ht="21" x14ac:dyDescent="0.4">
      <c r="A1475" s="162"/>
    </row>
    <row r="1476" spans="1:1" ht="21" x14ac:dyDescent="0.4">
      <c r="A1476" s="162"/>
    </row>
    <row r="1477" spans="1:1" ht="21" x14ac:dyDescent="0.4">
      <c r="A1477" s="162"/>
    </row>
    <row r="1478" spans="1:1" ht="21" x14ac:dyDescent="0.4">
      <c r="A1478" s="162"/>
    </row>
    <row r="1479" spans="1:1" ht="21" x14ac:dyDescent="0.4">
      <c r="A1479" s="162"/>
    </row>
    <row r="1480" spans="1:1" ht="21" x14ac:dyDescent="0.4">
      <c r="A1480" s="162"/>
    </row>
    <row r="1481" spans="1:1" ht="21" x14ac:dyDescent="0.4">
      <c r="A1481" s="162"/>
    </row>
    <row r="1482" spans="1:1" ht="21" x14ac:dyDescent="0.4">
      <c r="A1482" s="162"/>
    </row>
    <row r="1483" spans="1:1" ht="21" x14ac:dyDescent="0.4">
      <c r="A1483" s="162"/>
    </row>
    <row r="1484" spans="1:1" ht="21" x14ac:dyDescent="0.4">
      <c r="A1484" s="162"/>
    </row>
    <row r="1485" spans="1:1" ht="21" x14ac:dyDescent="0.4">
      <c r="A1485" s="162"/>
    </row>
    <row r="1486" spans="1:1" ht="21" x14ac:dyDescent="0.4">
      <c r="A1486" s="162"/>
    </row>
    <row r="1487" spans="1:1" ht="21" x14ac:dyDescent="0.4">
      <c r="A1487" s="162"/>
    </row>
    <row r="1488" spans="1:1" ht="21" x14ac:dyDescent="0.4">
      <c r="A1488" s="162"/>
    </row>
    <row r="1489" spans="1:1" ht="21" x14ac:dyDescent="0.4">
      <c r="A1489" s="162"/>
    </row>
    <row r="1490" spans="1:1" ht="21" x14ac:dyDescent="0.4">
      <c r="A1490" s="162"/>
    </row>
    <row r="1491" spans="1:1" ht="21" x14ac:dyDescent="0.4">
      <c r="A1491" s="162"/>
    </row>
    <row r="1492" spans="1:1" ht="21" x14ac:dyDescent="0.4">
      <c r="A1492" s="162"/>
    </row>
    <row r="1493" spans="1:1" ht="21" x14ac:dyDescent="0.4">
      <c r="A1493" s="162"/>
    </row>
    <row r="1494" spans="1:1" ht="21" x14ac:dyDescent="0.4">
      <c r="A1494" s="162"/>
    </row>
    <row r="1495" spans="1:1" ht="21" x14ac:dyDescent="0.4">
      <c r="A1495" s="162"/>
    </row>
    <row r="1496" spans="1:1" ht="21" x14ac:dyDescent="0.4">
      <c r="A1496" s="162"/>
    </row>
    <row r="1497" spans="1:1" ht="21" x14ac:dyDescent="0.4">
      <c r="A1497" s="162"/>
    </row>
    <row r="1498" spans="1:1" ht="21" x14ac:dyDescent="0.4">
      <c r="A1498" s="162"/>
    </row>
    <row r="1499" spans="1:1" ht="21" x14ac:dyDescent="0.4">
      <c r="A1499" s="162"/>
    </row>
    <row r="1500" spans="1:1" ht="21" x14ac:dyDescent="0.4">
      <c r="A1500" s="162"/>
    </row>
    <row r="1501" spans="1:1" ht="21" x14ac:dyDescent="0.4">
      <c r="A1501" s="162"/>
    </row>
    <row r="1502" spans="1:1" ht="21" x14ac:dyDescent="0.4">
      <c r="A1502" s="162"/>
    </row>
    <row r="1503" spans="1:1" ht="21" x14ac:dyDescent="0.4">
      <c r="A1503" s="162"/>
    </row>
    <row r="1504" spans="1:1" ht="21" x14ac:dyDescent="0.4">
      <c r="A1504" s="162"/>
    </row>
    <row r="1505" spans="1:1" ht="21" x14ac:dyDescent="0.4">
      <c r="A1505" s="162"/>
    </row>
    <row r="1506" spans="1:1" ht="21" x14ac:dyDescent="0.4">
      <c r="A1506" s="162"/>
    </row>
    <row r="1507" spans="1:1" ht="21" x14ac:dyDescent="0.4">
      <c r="A1507" s="162"/>
    </row>
    <row r="1508" spans="1:1" ht="21" x14ac:dyDescent="0.4">
      <c r="A1508" s="162"/>
    </row>
    <row r="1509" spans="1:1" ht="21" x14ac:dyDescent="0.4">
      <c r="A1509" s="162"/>
    </row>
    <row r="1510" spans="1:1" ht="21" x14ac:dyDescent="0.4">
      <c r="A1510" s="162"/>
    </row>
    <row r="1511" spans="1:1" ht="21" x14ac:dyDescent="0.4">
      <c r="A1511" s="162"/>
    </row>
    <row r="1512" spans="1:1" ht="21" x14ac:dyDescent="0.4">
      <c r="A1512" s="162"/>
    </row>
    <row r="1513" spans="1:1" ht="21" x14ac:dyDescent="0.4">
      <c r="A1513" s="162"/>
    </row>
    <row r="1514" spans="1:1" ht="21" x14ac:dyDescent="0.4">
      <c r="A1514" s="162"/>
    </row>
    <row r="1515" spans="1:1" ht="21" x14ac:dyDescent="0.4">
      <c r="A1515" s="162"/>
    </row>
    <row r="1516" spans="1:1" ht="21" x14ac:dyDescent="0.4">
      <c r="A1516" s="162"/>
    </row>
    <row r="1517" spans="1:1" ht="21" x14ac:dyDescent="0.4">
      <c r="A1517" s="162"/>
    </row>
    <row r="1518" spans="1:1" ht="21" x14ac:dyDescent="0.4">
      <c r="A1518" s="162"/>
    </row>
    <row r="1519" spans="1:1" ht="21" x14ac:dyDescent="0.4">
      <c r="A1519" s="162"/>
    </row>
    <row r="1520" spans="1:1" ht="21" x14ac:dyDescent="0.4">
      <c r="A1520" s="162"/>
    </row>
    <row r="1521" spans="1:1" ht="21" x14ac:dyDescent="0.4">
      <c r="A1521" s="162"/>
    </row>
    <row r="1522" spans="1:1" ht="21" x14ac:dyDescent="0.4">
      <c r="A1522" s="162"/>
    </row>
    <row r="1523" spans="1:1" ht="21" x14ac:dyDescent="0.4">
      <c r="A1523" s="162"/>
    </row>
    <row r="1524" spans="1:1" ht="21" x14ac:dyDescent="0.4">
      <c r="A1524" s="162"/>
    </row>
    <row r="1525" spans="1:1" ht="21" x14ac:dyDescent="0.4">
      <c r="A1525" s="162"/>
    </row>
    <row r="1526" spans="1:1" ht="21" x14ac:dyDescent="0.4">
      <c r="A1526" s="162"/>
    </row>
    <row r="1527" spans="1:1" ht="21" x14ac:dyDescent="0.4">
      <c r="A1527" s="162"/>
    </row>
    <row r="1528" spans="1:1" ht="21" x14ac:dyDescent="0.4">
      <c r="A1528" s="162"/>
    </row>
    <row r="1529" spans="1:1" ht="21" x14ac:dyDescent="0.4">
      <c r="A1529" s="162"/>
    </row>
    <row r="1530" spans="1:1" ht="21" x14ac:dyDescent="0.4">
      <c r="A1530" s="162"/>
    </row>
    <row r="1531" spans="1:1" ht="21" x14ac:dyDescent="0.4">
      <c r="A1531" s="162"/>
    </row>
    <row r="1532" spans="1:1" ht="21" x14ac:dyDescent="0.4">
      <c r="A1532" s="162"/>
    </row>
    <row r="1533" spans="1:1" ht="21" x14ac:dyDescent="0.4">
      <c r="A1533" s="162"/>
    </row>
    <row r="1534" spans="1:1" ht="21" x14ac:dyDescent="0.4">
      <c r="A1534" s="162"/>
    </row>
    <row r="1535" spans="1:1" ht="21" x14ac:dyDescent="0.4">
      <c r="A1535" s="162"/>
    </row>
    <row r="1536" spans="1:1" ht="21" x14ac:dyDescent="0.4">
      <c r="A1536" s="162"/>
    </row>
    <row r="1537" spans="1:1" ht="21" x14ac:dyDescent="0.4">
      <c r="A1537" s="162"/>
    </row>
    <row r="1538" spans="1:1" ht="21" x14ac:dyDescent="0.4">
      <c r="A1538" s="162"/>
    </row>
    <row r="1539" spans="1:1" ht="21" x14ac:dyDescent="0.4">
      <c r="A1539" s="162"/>
    </row>
    <row r="1540" spans="1:1" ht="21" x14ac:dyDescent="0.4">
      <c r="A1540" s="162"/>
    </row>
    <row r="1541" spans="1:1" ht="21" x14ac:dyDescent="0.4">
      <c r="A1541" s="162"/>
    </row>
    <row r="1542" spans="1:1" ht="21" x14ac:dyDescent="0.4">
      <c r="A1542" s="162"/>
    </row>
    <row r="1543" spans="1:1" ht="21" x14ac:dyDescent="0.4">
      <c r="A1543" s="162"/>
    </row>
    <row r="1544" spans="1:1" ht="21" x14ac:dyDescent="0.4">
      <c r="A1544" s="162"/>
    </row>
    <row r="1545" spans="1:1" ht="21" x14ac:dyDescent="0.4">
      <c r="A1545" s="162"/>
    </row>
    <row r="1546" spans="1:1" ht="21" x14ac:dyDescent="0.4">
      <c r="A1546" s="162"/>
    </row>
    <row r="1547" spans="1:1" ht="21" x14ac:dyDescent="0.4">
      <c r="A1547" s="162"/>
    </row>
    <row r="1548" spans="1:1" ht="21" x14ac:dyDescent="0.4">
      <c r="A1548" s="162"/>
    </row>
    <row r="1549" spans="1:1" ht="21" x14ac:dyDescent="0.4">
      <c r="A1549" s="162"/>
    </row>
    <row r="1550" spans="1:1" ht="21" x14ac:dyDescent="0.4">
      <c r="A1550" s="162"/>
    </row>
    <row r="1551" spans="1:1" ht="21" x14ac:dyDescent="0.4">
      <c r="A1551" s="162"/>
    </row>
    <row r="1552" spans="1:1" ht="21" x14ac:dyDescent="0.4">
      <c r="A1552" s="162"/>
    </row>
    <row r="1553" spans="1:1" ht="21" x14ac:dyDescent="0.4">
      <c r="A1553" s="162"/>
    </row>
    <row r="1554" spans="1:1" ht="21" x14ac:dyDescent="0.4">
      <c r="A1554" s="162"/>
    </row>
    <row r="1555" spans="1:1" ht="21" x14ac:dyDescent="0.4">
      <c r="A1555" s="162"/>
    </row>
    <row r="1556" spans="1:1" ht="21" x14ac:dyDescent="0.4">
      <c r="A1556" s="162"/>
    </row>
    <row r="1557" spans="1:1" ht="21" x14ac:dyDescent="0.4">
      <c r="A1557" s="162"/>
    </row>
    <row r="1558" spans="1:1" ht="21" x14ac:dyDescent="0.4">
      <c r="A1558" s="162"/>
    </row>
    <row r="1559" spans="1:1" ht="21" x14ac:dyDescent="0.4">
      <c r="A1559" s="162"/>
    </row>
    <row r="1560" spans="1:1" ht="21" x14ac:dyDescent="0.4">
      <c r="A1560" s="162"/>
    </row>
    <row r="1561" spans="1:1" ht="21" x14ac:dyDescent="0.4">
      <c r="A1561" s="162"/>
    </row>
    <row r="1562" spans="1:1" ht="21" x14ac:dyDescent="0.4">
      <c r="A1562" s="162"/>
    </row>
    <row r="1563" spans="1:1" ht="21" x14ac:dyDescent="0.4">
      <c r="A1563" s="162"/>
    </row>
    <row r="1564" spans="1:1" ht="21" x14ac:dyDescent="0.4">
      <c r="A1564" s="162"/>
    </row>
    <row r="1565" spans="1:1" ht="21" x14ac:dyDescent="0.4">
      <c r="A1565" s="162"/>
    </row>
    <row r="1566" spans="1:1" ht="21" x14ac:dyDescent="0.4">
      <c r="A1566" s="162"/>
    </row>
    <row r="1567" spans="1:1" ht="21" x14ac:dyDescent="0.4">
      <c r="A1567" s="162"/>
    </row>
    <row r="1568" spans="1:1" ht="21" x14ac:dyDescent="0.4">
      <c r="A1568" s="162"/>
    </row>
    <row r="1569" spans="1:1" ht="21" x14ac:dyDescent="0.4">
      <c r="A1569" s="162"/>
    </row>
    <row r="1570" spans="1:1" ht="21" x14ac:dyDescent="0.4">
      <c r="A1570" s="162"/>
    </row>
    <row r="1571" spans="1:1" ht="21" x14ac:dyDescent="0.4">
      <c r="A1571" s="162"/>
    </row>
    <row r="1572" spans="1:1" ht="21" x14ac:dyDescent="0.4">
      <c r="A1572" s="162"/>
    </row>
    <row r="1573" spans="1:1" ht="21" x14ac:dyDescent="0.4">
      <c r="A1573" s="162"/>
    </row>
    <row r="1574" spans="1:1" ht="21" x14ac:dyDescent="0.4">
      <c r="A1574" s="162"/>
    </row>
    <row r="1575" spans="1:1" ht="21" x14ac:dyDescent="0.4">
      <c r="A1575" s="162"/>
    </row>
    <row r="1576" spans="1:1" ht="21" x14ac:dyDescent="0.4">
      <c r="A1576" s="162"/>
    </row>
    <row r="1577" spans="1:1" ht="21" x14ac:dyDescent="0.4">
      <c r="A1577" s="162"/>
    </row>
    <row r="1578" spans="1:1" ht="21" x14ac:dyDescent="0.4">
      <c r="A1578" s="162"/>
    </row>
    <row r="1579" spans="1:1" ht="21" x14ac:dyDescent="0.4">
      <c r="A1579" s="162"/>
    </row>
    <row r="1580" spans="1:1" ht="21" x14ac:dyDescent="0.4">
      <c r="A1580" s="162"/>
    </row>
    <row r="1581" spans="1:1" ht="21" x14ac:dyDescent="0.4">
      <c r="A1581" s="162"/>
    </row>
    <row r="1582" spans="1:1" ht="21" x14ac:dyDescent="0.4">
      <c r="A1582" s="162"/>
    </row>
    <row r="1583" spans="1:1" ht="21" x14ac:dyDescent="0.4">
      <c r="A1583" s="162"/>
    </row>
    <row r="1584" spans="1:1" ht="21" x14ac:dyDescent="0.4">
      <c r="A1584" s="162"/>
    </row>
    <row r="1585" spans="1:1" ht="21" x14ac:dyDescent="0.4">
      <c r="A1585" s="162"/>
    </row>
    <row r="1586" spans="1:1" ht="21" x14ac:dyDescent="0.4">
      <c r="A1586" s="162"/>
    </row>
    <row r="1587" spans="1:1" ht="21" x14ac:dyDescent="0.4">
      <c r="A1587" s="162"/>
    </row>
    <row r="1588" spans="1:1" ht="21" x14ac:dyDescent="0.4">
      <c r="A1588" s="162"/>
    </row>
    <row r="1589" spans="1:1" ht="21" x14ac:dyDescent="0.4">
      <c r="A1589" s="162"/>
    </row>
    <row r="1590" spans="1:1" ht="21" x14ac:dyDescent="0.4">
      <c r="A1590" s="162"/>
    </row>
    <row r="1591" spans="1:1" ht="21" x14ac:dyDescent="0.4">
      <c r="A1591" s="162"/>
    </row>
    <row r="1592" spans="1:1" ht="21" x14ac:dyDescent="0.4">
      <c r="A1592" s="162"/>
    </row>
    <row r="1593" spans="1:1" ht="21" x14ac:dyDescent="0.4">
      <c r="A1593" s="162"/>
    </row>
    <row r="1594" spans="1:1" ht="21" x14ac:dyDescent="0.4">
      <c r="A1594" s="162"/>
    </row>
    <row r="1595" spans="1:1" ht="21" x14ac:dyDescent="0.4">
      <c r="A1595" s="162"/>
    </row>
    <row r="1596" spans="1:1" ht="21" x14ac:dyDescent="0.4">
      <c r="A1596" s="162"/>
    </row>
    <row r="1597" spans="1:1" ht="21" x14ac:dyDescent="0.4">
      <c r="A1597" s="162"/>
    </row>
    <row r="1598" spans="1:1" ht="21" x14ac:dyDescent="0.4">
      <c r="A1598" s="162"/>
    </row>
    <row r="1599" spans="1:1" ht="21" x14ac:dyDescent="0.4">
      <c r="A1599" s="162"/>
    </row>
    <row r="1600" spans="1:1" ht="21" x14ac:dyDescent="0.4">
      <c r="A1600" s="162"/>
    </row>
    <row r="1601" spans="1:1" ht="21" x14ac:dyDescent="0.4">
      <c r="A1601" s="162"/>
    </row>
    <row r="1602" spans="1:1" ht="21" x14ac:dyDescent="0.4">
      <c r="A1602" s="162"/>
    </row>
    <row r="1603" spans="1:1" ht="21" x14ac:dyDescent="0.4">
      <c r="A1603" s="162"/>
    </row>
    <row r="1604" spans="1:1" ht="21" x14ac:dyDescent="0.4">
      <c r="A1604" s="162"/>
    </row>
    <row r="1605" spans="1:1" ht="21" x14ac:dyDescent="0.4">
      <c r="A1605" s="162"/>
    </row>
    <row r="1606" spans="1:1" ht="21" x14ac:dyDescent="0.4">
      <c r="A1606" s="162"/>
    </row>
    <row r="1607" spans="1:1" ht="21" x14ac:dyDescent="0.4">
      <c r="A1607" s="162"/>
    </row>
    <row r="1608" spans="1:1" ht="21" x14ac:dyDescent="0.4">
      <c r="A1608" s="162"/>
    </row>
    <row r="1609" spans="1:1" ht="21" x14ac:dyDescent="0.4">
      <c r="A1609" s="162"/>
    </row>
    <row r="1610" spans="1:1" ht="21" x14ac:dyDescent="0.4">
      <c r="A1610" s="162"/>
    </row>
    <row r="1611" spans="1:1" ht="21" x14ac:dyDescent="0.4">
      <c r="A1611" s="162"/>
    </row>
    <row r="1612" spans="1:1" ht="21" x14ac:dyDescent="0.4">
      <c r="A1612" s="162"/>
    </row>
    <row r="1613" spans="1:1" ht="21" x14ac:dyDescent="0.4">
      <c r="A1613" s="162"/>
    </row>
    <row r="1614" spans="1:1" ht="21" x14ac:dyDescent="0.4">
      <c r="A1614" s="162"/>
    </row>
    <row r="1615" spans="1:1" ht="21" x14ac:dyDescent="0.4">
      <c r="A1615" s="162"/>
    </row>
    <row r="1616" spans="1:1" ht="21" x14ac:dyDescent="0.4">
      <c r="A1616" s="162"/>
    </row>
    <row r="1617" spans="1:1" ht="21" x14ac:dyDescent="0.4">
      <c r="A1617" s="162"/>
    </row>
    <row r="1618" spans="1:1" ht="21" x14ac:dyDescent="0.4">
      <c r="A1618" s="162"/>
    </row>
    <row r="1619" spans="1:1" ht="21" x14ac:dyDescent="0.4">
      <c r="A1619" s="162"/>
    </row>
    <row r="1620" spans="1:1" ht="21" x14ac:dyDescent="0.4">
      <c r="A1620" s="162"/>
    </row>
    <row r="1621" spans="1:1" ht="21" x14ac:dyDescent="0.4">
      <c r="A1621" s="162"/>
    </row>
    <row r="1622" spans="1:1" ht="21" x14ac:dyDescent="0.4">
      <c r="A1622" s="162"/>
    </row>
    <row r="1623" spans="1:1" ht="21" x14ac:dyDescent="0.4">
      <c r="A1623" s="162"/>
    </row>
    <row r="1624" spans="1:1" ht="21" x14ac:dyDescent="0.4">
      <c r="A1624" s="162"/>
    </row>
  </sheetData>
  <autoFilter ref="A1:A968">
    <filterColumn colId="0">
      <filters>
        <filter val="УЛУҒБЕК ДЕКОПЛАСТ ЧИРЧИҚ"/>
      </filters>
    </filterColumn>
    <sortState ref="A2:A125">
      <sortCondition ref="A1:A88"/>
    </sortState>
  </autoFilter>
  <phoneticPr fontId="26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24BDC7-D776-488E-BDD8-E9DAD616EE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АСОСИЙ</vt:lpstr>
      <vt:lpstr>СОТУВ</vt:lpstr>
      <vt:lpstr>ТЎЛОВ</vt:lpstr>
      <vt:lpstr>АКТ СВЕРКА</vt:lpstr>
      <vt:lpstr>ОМБОР ҚОЛДИҒИ</vt:lpstr>
      <vt:lpstr>Лист1</vt:lpstr>
      <vt:lpstr>КИРИМ ОМБОР</vt:lpstr>
      <vt:lpstr>БОШЛАҒИЧ САЛЬДО</vt:lpstr>
      <vt:lpstr>СТАТИСТИКА</vt:lpstr>
      <vt:lpstr>МАЪЛУМОТЛАР</vt:lpstr>
      <vt:lpstr>КОНТРАГЕНТ</vt:lpstr>
      <vt:lpstr>АСОСИЙ!Область_печати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</dc:creator>
  <cp:lastModifiedBy>HP</cp:lastModifiedBy>
  <cp:lastPrinted>2026-07-19T12:09:30Z</cp:lastPrinted>
  <dcterms:created xsi:type="dcterms:W3CDTF">2020-09-15T05:33:38Z</dcterms:created>
  <dcterms:modified xsi:type="dcterms:W3CDTF">2026-07-25T11:03:36Z</dcterms:modified>
</cp:coreProperties>
</file>
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88" i="1" l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L1005" i="1"/>
  <c r="K1005" i="1"/>
  <c r="H1005" i="1"/>
  <c r="L1004" i="1"/>
  <c r="K1004" i="1"/>
  <c r="H1004" i="1"/>
  <c r="L1003" i="1"/>
  <c r="K1003" i="1"/>
  <c r="H1003" i="1"/>
  <c r="L1002" i="1"/>
  <c r="K1002" i="1"/>
  <c r="H1002" i="1"/>
  <c r="L1001" i="1"/>
  <c r="K1001" i="1"/>
  <c r="H1001" i="1"/>
  <c r="L1000" i="1"/>
  <c r="K1000" i="1"/>
  <c r="H1000" i="1"/>
  <c r="L999" i="1"/>
  <c r="K999" i="1"/>
  <c r="H999" i="1"/>
  <c r="L998" i="1"/>
  <c r="K998" i="1"/>
  <c r="H998" i="1"/>
  <c r="L997" i="1"/>
  <c r="K997" i="1"/>
  <c r="H997" i="1"/>
  <c r="L996" i="1"/>
  <c r="K996" i="1"/>
  <c r="H996" i="1"/>
  <c r="L995" i="1"/>
  <c r="K995" i="1"/>
  <c r="H995" i="1"/>
  <c r="L994" i="1"/>
  <c r="K994" i="1"/>
  <c r="H994" i="1"/>
  <c r="L993" i="1"/>
  <c r="K993" i="1"/>
  <c r="H993" i="1"/>
  <c r="L992" i="1"/>
  <c r="K992" i="1"/>
  <c r="H992" i="1"/>
  <c r="L991" i="1"/>
  <c r="K991" i="1"/>
  <c r="H991" i="1"/>
  <c r="L990" i="1"/>
  <c r="K990" i="1"/>
  <c r="H990" i="1"/>
  <c r="L989" i="1"/>
  <c r="K989" i="1"/>
  <c r="H989" i="1"/>
  <c r="L988" i="1"/>
  <c r="K988" i="1"/>
  <c r="H988" i="1"/>
  <c r="L987" i="1"/>
  <c r="K987" i="1"/>
  <c r="H987" i="1"/>
  <c r="L986" i="1"/>
  <c r="K986" i="1"/>
  <c r="H986" i="1"/>
  <c r="L985" i="1"/>
  <c r="K985" i="1"/>
  <c r="H985" i="1"/>
  <c r="L984" i="1"/>
  <c r="K984" i="1"/>
  <c r="H984" i="1"/>
  <c r="L983" i="1"/>
  <c r="K983" i="1"/>
  <c r="H983" i="1"/>
  <c r="L982" i="1"/>
  <c r="K982" i="1"/>
  <c r="H982" i="1"/>
  <c r="L981" i="1"/>
  <c r="K981" i="1"/>
  <c r="H981" i="1"/>
  <c r="L980" i="1"/>
  <c r="K980" i="1"/>
  <c r="H980" i="1"/>
  <c r="L979" i="1"/>
  <c r="K979" i="1"/>
  <c r="H979" i="1"/>
  <c r="L978" i="1"/>
  <c r="K978" i="1"/>
  <c r="H978" i="1"/>
  <c r="L977" i="1"/>
  <c r="K977" i="1"/>
  <c r="H977" i="1"/>
  <c r="L976" i="1"/>
  <c r="K976" i="1"/>
  <c r="H976" i="1"/>
  <c r="L975" i="1"/>
  <c r="K975" i="1"/>
  <c r="H975" i="1"/>
  <c r="L974" i="1"/>
  <c r="K974" i="1"/>
  <c r="H974" i="1"/>
  <c r="L973" i="1"/>
  <c r="K973" i="1"/>
  <c r="H973" i="1"/>
  <c r="L972" i="1"/>
  <c r="K972" i="1"/>
  <c r="H972" i="1"/>
  <c r="L971" i="1"/>
  <c r="K971" i="1"/>
  <c r="H971" i="1"/>
  <c r="L970" i="1"/>
  <c r="K970" i="1"/>
  <c r="H970" i="1"/>
  <c r="L969" i="1"/>
  <c r="K969" i="1"/>
  <c r="H969" i="1"/>
  <c r="L968" i="1"/>
  <c r="K968" i="1"/>
  <c r="H968" i="1"/>
  <c r="L967" i="1"/>
  <c r="K967" i="1"/>
  <c r="H967" i="1"/>
  <c r="L966" i="1"/>
  <c r="K966" i="1"/>
  <c r="H966" i="1"/>
  <c r="L965" i="1"/>
  <c r="K965" i="1"/>
  <c r="H965" i="1"/>
  <c r="L964" i="1"/>
  <c r="K964" i="1"/>
  <c r="H964" i="1"/>
  <c r="L963" i="1"/>
  <c r="K963" i="1"/>
  <c r="H963" i="1"/>
  <c r="L962" i="1"/>
  <c r="K962" i="1"/>
  <c r="H962" i="1"/>
  <c r="L961" i="1"/>
  <c r="K961" i="1"/>
  <c r="H961" i="1"/>
  <c r="L960" i="1"/>
  <c r="K960" i="1"/>
  <c r="H960" i="1"/>
  <c r="L959" i="1"/>
  <c r="K959" i="1"/>
  <c r="H959" i="1"/>
  <c r="L958" i="1"/>
  <c r="K958" i="1"/>
  <c r="H958" i="1"/>
  <c r="L957" i="1"/>
  <c r="K957" i="1"/>
  <c r="H957" i="1"/>
  <c r="L956" i="1"/>
  <c r="K956" i="1"/>
  <c r="H956" i="1"/>
  <c r="L955" i="1"/>
  <c r="K955" i="1"/>
  <c r="H955" i="1"/>
  <c r="L954" i="1"/>
  <c r="K954" i="1"/>
  <c r="H954" i="1"/>
  <c r="L953" i="1"/>
  <c r="K953" i="1"/>
  <c r="H953" i="1"/>
  <c r="L952" i="1"/>
  <c r="K952" i="1"/>
  <c r="H952" i="1"/>
  <c r="L951" i="1"/>
  <c r="K951" i="1"/>
  <c r="H951" i="1"/>
  <c r="L950" i="1"/>
  <c r="K950" i="1"/>
  <c r="H950" i="1"/>
  <c r="L949" i="1"/>
  <c r="K949" i="1"/>
  <c r="H949" i="1"/>
  <c r="L948" i="1"/>
  <c r="K948" i="1"/>
  <c r="H948" i="1"/>
  <c r="L947" i="1"/>
  <c r="K947" i="1"/>
  <c r="H947" i="1"/>
  <c r="L946" i="1"/>
  <c r="K946" i="1"/>
  <c r="H946" i="1"/>
  <c r="L945" i="1"/>
  <c r="K945" i="1"/>
  <c r="H945" i="1"/>
  <c r="L944" i="1"/>
  <c r="K944" i="1"/>
  <c r="H944" i="1"/>
  <c r="L943" i="1"/>
  <c r="K943" i="1"/>
  <c r="H943" i="1"/>
  <c r="L942" i="1"/>
  <c r="K942" i="1"/>
  <c r="H942" i="1"/>
  <c r="L941" i="1"/>
  <c r="K941" i="1"/>
  <c r="H941" i="1"/>
  <c r="L940" i="1"/>
  <c r="K940" i="1"/>
  <c r="H940" i="1"/>
  <c r="L939" i="1"/>
  <c r="K939" i="1"/>
  <c r="H939" i="1"/>
  <c r="L938" i="1"/>
  <c r="K938" i="1"/>
  <c r="H938" i="1"/>
  <c r="L937" i="1"/>
  <c r="K937" i="1"/>
  <c r="H937" i="1"/>
  <c r="L936" i="1"/>
  <c r="K936" i="1"/>
  <c r="H936" i="1"/>
  <c r="L935" i="1"/>
  <c r="K935" i="1"/>
  <c r="H935" i="1"/>
  <c r="L934" i="1"/>
  <c r="K934" i="1"/>
  <c r="H934" i="1"/>
  <c r="L933" i="1"/>
  <c r="K933" i="1"/>
  <c r="H933" i="1"/>
  <c r="L932" i="1"/>
  <c r="K932" i="1"/>
  <c r="H932" i="1"/>
  <c r="L931" i="1"/>
  <c r="K931" i="1"/>
  <c r="H931" i="1"/>
  <c r="L930" i="1"/>
  <c r="K930" i="1"/>
  <c r="H930" i="1"/>
  <c r="L929" i="1"/>
  <c r="K929" i="1"/>
  <c r="H929" i="1"/>
  <c r="L928" i="1"/>
  <c r="K928" i="1"/>
  <c r="H928" i="1"/>
  <c r="L927" i="1"/>
  <c r="K927" i="1"/>
  <c r="H927" i="1"/>
  <c r="L926" i="1"/>
  <c r="K926" i="1"/>
  <c r="H926" i="1"/>
  <c r="L925" i="1"/>
  <c r="K925" i="1"/>
  <c r="H925" i="1"/>
  <c r="L924" i="1"/>
  <c r="K924" i="1"/>
  <c r="H924" i="1"/>
  <c r="L923" i="1"/>
  <c r="K923" i="1"/>
  <c r="H923" i="1"/>
  <c r="L922" i="1"/>
  <c r="K922" i="1"/>
  <c r="H922" i="1"/>
  <c r="L921" i="1"/>
  <c r="K921" i="1"/>
  <c r="H921" i="1"/>
  <c r="L920" i="1"/>
  <c r="K920" i="1"/>
  <c r="H920" i="1"/>
  <c r="L919" i="1"/>
  <c r="K919" i="1"/>
  <c r="H919" i="1"/>
  <c r="L918" i="1"/>
  <c r="K918" i="1"/>
  <c r="H918" i="1"/>
  <c r="L917" i="1"/>
  <c r="K917" i="1"/>
  <c r="H917" i="1"/>
  <c r="L916" i="1"/>
  <c r="K916" i="1"/>
  <c r="H916" i="1"/>
  <c r="L915" i="1"/>
  <c r="K915" i="1"/>
  <c r="H915" i="1"/>
  <c r="L914" i="1"/>
  <c r="K914" i="1"/>
  <c r="H914" i="1"/>
  <c r="L913" i="1"/>
  <c r="K913" i="1"/>
  <c r="H913" i="1"/>
  <c r="L912" i="1"/>
  <c r="K912" i="1"/>
  <c r="H912" i="1"/>
  <c r="L911" i="1"/>
  <c r="K911" i="1"/>
  <c r="H911" i="1"/>
  <c r="L910" i="1"/>
  <c r="K910" i="1"/>
  <c r="H910" i="1"/>
  <c r="L909" i="1"/>
  <c r="K909" i="1"/>
  <c r="H909" i="1"/>
  <c r="L908" i="1"/>
  <c r="K908" i="1"/>
  <c r="H908" i="1"/>
  <c r="L907" i="1"/>
  <c r="K907" i="1"/>
  <c r="H907" i="1"/>
  <c r="L906" i="1"/>
  <c r="K906" i="1"/>
  <c r="H906" i="1"/>
  <c r="L905" i="1"/>
  <c r="K905" i="1"/>
  <c r="H905" i="1"/>
  <c r="L904" i="1"/>
  <c r="K904" i="1"/>
  <c r="H904" i="1"/>
  <c r="L903" i="1"/>
  <c r="K903" i="1"/>
  <c r="H903" i="1"/>
  <c r="L902" i="1"/>
  <c r="K902" i="1"/>
  <c r="H902" i="1"/>
  <c r="L901" i="1"/>
  <c r="K901" i="1"/>
  <c r="H901" i="1"/>
  <c r="L900" i="1"/>
  <c r="K900" i="1"/>
  <c r="H900" i="1"/>
  <c r="L899" i="1"/>
  <c r="K899" i="1"/>
  <c r="H899" i="1"/>
  <c r="L898" i="1"/>
  <c r="K898" i="1"/>
  <c r="H898" i="1"/>
  <c r="L897" i="1"/>
  <c r="K897" i="1"/>
  <c r="H897" i="1"/>
  <c r="L896" i="1"/>
  <c r="K896" i="1"/>
  <c r="H896" i="1"/>
  <c r="L895" i="1"/>
  <c r="K895" i="1"/>
  <c r="H895" i="1"/>
  <c r="L894" i="1"/>
  <c r="K894" i="1"/>
  <c r="H894" i="1"/>
  <c r="L893" i="1"/>
  <c r="K893" i="1"/>
  <c r="H893" i="1"/>
  <c r="L892" i="1"/>
  <c r="K892" i="1"/>
  <c r="H892" i="1"/>
  <c r="L891" i="1"/>
  <c r="K891" i="1"/>
  <c r="H891" i="1"/>
  <c r="L890" i="1"/>
  <c r="K890" i="1"/>
  <c r="H890" i="1"/>
  <c r="L889" i="1"/>
  <c r="K889" i="1"/>
  <c r="H889" i="1"/>
  <c r="L888" i="1"/>
  <c r="K888" i="1"/>
  <c r="H888" i="1"/>
  <c r="L887" i="1"/>
  <c r="K887" i="1"/>
  <c r="H887" i="1"/>
  <c r="L886" i="1"/>
  <c r="K886" i="1"/>
  <c r="H886" i="1"/>
  <c r="L885" i="1"/>
  <c r="K885" i="1"/>
  <c r="H885" i="1"/>
  <c r="L884" i="1"/>
  <c r="K884" i="1"/>
  <c r="H884" i="1"/>
  <c r="L883" i="1"/>
  <c r="K883" i="1"/>
  <c r="H883" i="1"/>
  <c r="L882" i="1"/>
  <c r="K882" i="1"/>
  <c r="H882" i="1"/>
  <c r="L881" i="1"/>
  <c r="K881" i="1"/>
  <c r="H881" i="1"/>
  <c r="L880" i="1"/>
  <c r="K880" i="1"/>
  <c r="H880" i="1"/>
  <c r="L879" i="1"/>
  <c r="K879" i="1"/>
  <c r="H879" i="1"/>
  <c r="L878" i="1"/>
  <c r="K878" i="1"/>
  <c r="H878" i="1"/>
  <c r="L877" i="1"/>
  <c r="K877" i="1"/>
  <c r="H877" i="1"/>
  <c r="L876" i="1"/>
  <c r="K876" i="1"/>
  <c r="H876" i="1"/>
  <c r="L875" i="1"/>
  <c r="K875" i="1"/>
  <c r="H875" i="1"/>
  <c r="L874" i="1"/>
  <c r="K874" i="1"/>
  <c r="H874" i="1"/>
  <c r="L873" i="1"/>
  <c r="K873" i="1"/>
  <c r="H873" i="1"/>
  <c r="L872" i="1"/>
  <c r="K872" i="1"/>
  <c r="H872" i="1"/>
  <c r="L871" i="1"/>
  <c r="K871" i="1"/>
  <c r="H871" i="1"/>
  <c r="L870" i="1"/>
  <c r="K870" i="1"/>
  <c r="H870" i="1"/>
  <c r="L869" i="1"/>
  <c r="K869" i="1"/>
  <c r="H869" i="1"/>
  <c r="L868" i="1"/>
  <c r="K868" i="1"/>
  <c r="H868" i="1"/>
  <c r="L867" i="1"/>
  <c r="K867" i="1"/>
  <c r="H867" i="1"/>
  <c r="L866" i="1"/>
  <c r="K866" i="1"/>
  <c r="H866" i="1"/>
  <c r="L865" i="1"/>
  <c r="K865" i="1"/>
  <c r="H865" i="1"/>
  <c r="L864" i="1"/>
  <c r="K864" i="1"/>
  <c r="H864" i="1"/>
  <c r="L863" i="1"/>
  <c r="K863" i="1"/>
  <c r="H863" i="1"/>
  <c r="L862" i="1"/>
  <c r="K862" i="1"/>
  <c r="H862" i="1"/>
  <c r="L861" i="1"/>
  <c r="K861" i="1"/>
  <c r="H861" i="1"/>
  <c r="L860" i="1"/>
  <c r="K860" i="1"/>
  <c r="H860" i="1"/>
  <c r="L859" i="1"/>
  <c r="K859" i="1"/>
  <c r="H859" i="1"/>
  <c r="L858" i="1"/>
  <c r="K858" i="1"/>
  <c r="H858" i="1"/>
  <c r="L857" i="1"/>
  <c r="K857" i="1"/>
  <c r="H857" i="1"/>
  <c r="L856" i="1"/>
  <c r="K856" i="1"/>
  <c r="H856" i="1"/>
  <c r="L855" i="1"/>
  <c r="K855" i="1"/>
  <c r="H855" i="1"/>
  <c r="L854" i="1"/>
  <c r="K854" i="1"/>
  <c r="H854" i="1"/>
  <c r="L853" i="1"/>
  <c r="K853" i="1"/>
  <c r="H853" i="1"/>
  <c r="L852" i="1"/>
  <c r="K852" i="1"/>
  <c r="H852" i="1"/>
  <c r="L851" i="1"/>
  <c r="K851" i="1"/>
  <c r="H851" i="1"/>
  <c r="L850" i="1"/>
  <c r="K850" i="1"/>
  <c r="H850" i="1"/>
  <c r="L849" i="1"/>
  <c r="K849" i="1"/>
  <c r="H849" i="1"/>
  <c r="L848" i="1"/>
  <c r="K848" i="1"/>
  <c r="H848" i="1"/>
  <c r="L847" i="1"/>
  <c r="K847" i="1"/>
  <c r="H847" i="1"/>
  <c r="L846" i="1"/>
  <c r="K846" i="1"/>
  <c r="H846" i="1"/>
  <c r="L845" i="1"/>
  <c r="K845" i="1"/>
  <c r="H845" i="1"/>
  <c r="L844" i="1"/>
  <c r="K844" i="1"/>
  <c r="H844" i="1"/>
  <c r="L843" i="1"/>
  <c r="K843" i="1"/>
  <c r="H843" i="1"/>
  <c r="L842" i="1"/>
  <c r="K842" i="1"/>
  <c r="H842" i="1"/>
  <c r="L841" i="1"/>
  <c r="K841" i="1"/>
  <c r="H841" i="1"/>
  <c r="L840" i="1"/>
  <c r="K840" i="1"/>
  <c r="H840" i="1"/>
  <c r="L839" i="1"/>
  <c r="K839" i="1"/>
  <c r="H839" i="1"/>
  <c r="L838" i="1"/>
  <c r="K838" i="1"/>
  <c r="H838" i="1"/>
  <c r="L837" i="1"/>
  <c r="K837" i="1"/>
  <c r="H837" i="1"/>
  <c r="L836" i="1"/>
  <c r="K836" i="1"/>
  <c r="H836" i="1"/>
  <c r="L835" i="1"/>
  <c r="K835" i="1"/>
  <c r="H835" i="1"/>
  <c r="L834" i="1"/>
  <c r="K834" i="1"/>
  <c r="H834" i="1"/>
  <c r="L833" i="1"/>
  <c r="K833" i="1"/>
  <c r="H833" i="1"/>
  <c r="L832" i="1"/>
  <c r="K832" i="1"/>
  <c r="H832" i="1"/>
  <c r="L831" i="1"/>
  <c r="K831" i="1"/>
  <c r="H831" i="1"/>
  <c r="L830" i="1"/>
  <c r="K830" i="1"/>
  <c r="H830" i="1"/>
  <c r="L829" i="1"/>
  <c r="K829" i="1"/>
  <c r="H829" i="1"/>
  <c r="L828" i="1"/>
  <c r="K828" i="1"/>
  <c r="H828" i="1"/>
  <c r="L827" i="1"/>
  <c r="K827" i="1"/>
  <c r="H827" i="1"/>
  <c r="L826" i="1"/>
  <c r="K826" i="1"/>
  <c r="H826" i="1"/>
  <c r="L825" i="1"/>
  <c r="K825" i="1"/>
  <c r="H825" i="1"/>
  <c r="L824" i="1"/>
  <c r="K824" i="1"/>
  <c r="H824" i="1"/>
  <c r="L823" i="1"/>
  <c r="K823" i="1"/>
  <c r="H823" i="1"/>
  <c r="L822" i="1"/>
  <c r="K822" i="1"/>
  <c r="H822" i="1"/>
  <c r="L821" i="1"/>
  <c r="K821" i="1"/>
  <c r="H821" i="1"/>
  <c r="L820" i="1"/>
  <c r="K820" i="1"/>
  <c r="H820" i="1"/>
  <c r="L819" i="1"/>
  <c r="K819" i="1"/>
  <c r="H819" i="1"/>
  <c r="L818" i="1"/>
  <c r="K818" i="1"/>
  <c r="H818" i="1"/>
  <c r="L817" i="1"/>
  <c r="K817" i="1"/>
  <c r="H817" i="1"/>
  <c r="L816" i="1"/>
  <c r="K816" i="1"/>
  <c r="H816" i="1"/>
  <c r="L815" i="1"/>
  <c r="K815" i="1"/>
  <c r="H815" i="1"/>
  <c r="L814" i="1"/>
  <c r="K814" i="1"/>
  <c r="H814" i="1"/>
  <c r="L813" i="1"/>
  <c r="K813" i="1"/>
  <c r="H813" i="1"/>
  <c r="L812" i="1"/>
  <c r="K812" i="1"/>
  <c r="H812" i="1"/>
  <c r="L811" i="1"/>
  <c r="K811" i="1"/>
  <c r="H811" i="1"/>
  <c r="L810" i="1"/>
  <c r="K810" i="1"/>
  <c r="H810" i="1"/>
  <c r="L809" i="1"/>
  <c r="K809" i="1"/>
  <c r="H809" i="1"/>
  <c r="L808" i="1"/>
  <c r="K808" i="1"/>
  <c r="H808" i="1"/>
  <c r="L807" i="1"/>
  <c r="K807" i="1"/>
  <c r="H807" i="1"/>
  <c r="L806" i="1"/>
  <c r="K806" i="1"/>
  <c r="H806" i="1"/>
  <c r="L805" i="1"/>
  <c r="K805" i="1"/>
  <c r="H805" i="1"/>
  <c r="L804" i="1"/>
  <c r="K804" i="1"/>
  <c r="H804" i="1"/>
  <c r="L803" i="1"/>
  <c r="K803" i="1"/>
  <c r="H803" i="1"/>
  <c r="L802" i="1"/>
  <c r="K802" i="1"/>
  <c r="H802" i="1"/>
  <c r="L801" i="1"/>
  <c r="K801" i="1"/>
  <c r="H801" i="1"/>
  <c r="L800" i="1"/>
  <c r="K800" i="1"/>
  <c r="H800" i="1"/>
  <c r="L799" i="1"/>
  <c r="K799" i="1"/>
  <c r="H799" i="1"/>
  <c r="L798" i="1"/>
  <c r="K798" i="1"/>
  <c r="H798" i="1"/>
  <c r="L797" i="1"/>
  <c r="K797" i="1"/>
  <c r="H797" i="1"/>
  <c r="L796" i="1"/>
  <c r="K796" i="1"/>
  <c r="H796" i="1"/>
  <c r="L795" i="1"/>
  <c r="K795" i="1"/>
  <c r="H795" i="1"/>
  <c r="L794" i="1"/>
  <c r="K794" i="1"/>
  <c r="H794" i="1"/>
  <c r="L793" i="1"/>
  <c r="K793" i="1"/>
  <c r="H793" i="1"/>
  <c r="L792" i="1"/>
  <c r="K792" i="1"/>
  <c r="H792" i="1"/>
  <c r="L791" i="1"/>
  <c r="K791" i="1"/>
  <c r="H791" i="1"/>
  <c r="L790" i="1"/>
  <c r="K790" i="1"/>
  <c r="H790" i="1"/>
  <c r="L789" i="1"/>
  <c r="K789" i="1"/>
  <c r="H789" i="1"/>
  <c r="L788" i="1"/>
  <c r="K788" i="1"/>
  <c r="H788" i="1"/>
  <c r="L787" i="1"/>
  <c r="K787" i="1"/>
  <c r="H787" i="1"/>
  <c r="L786" i="1"/>
  <c r="K786" i="1"/>
  <c r="H786" i="1"/>
  <c r="L785" i="1"/>
  <c r="K785" i="1"/>
  <c r="H785" i="1"/>
  <c r="L784" i="1"/>
  <c r="K784" i="1"/>
  <c r="H784" i="1"/>
  <c r="L783" i="1"/>
  <c r="K783" i="1"/>
  <c r="H783" i="1"/>
  <c r="L782" i="1"/>
  <c r="K782" i="1"/>
  <c r="H782" i="1"/>
  <c r="L781" i="1"/>
  <c r="K781" i="1"/>
  <c r="H781" i="1"/>
  <c r="L780" i="1"/>
  <c r="K780" i="1"/>
  <c r="H780" i="1"/>
  <c r="L779" i="1"/>
  <c r="K779" i="1"/>
  <c r="H779" i="1"/>
  <c r="L778" i="1"/>
  <c r="K778" i="1"/>
  <c r="H778" i="1"/>
  <c r="L777" i="1"/>
  <c r="K777" i="1"/>
  <c r="H777" i="1"/>
  <c r="L776" i="1"/>
  <c r="K776" i="1"/>
  <c r="H776" i="1"/>
  <c r="L775" i="1"/>
  <c r="K775" i="1"/>
  <c r="H775" i="1"/>
  <c r="L774" i="1"/>
  <c r="K774" i="1"/>
  <c r="H774" i="1"/>
  <c r="L773" i="1"/>
  <c r="K773" i="1"/>
  <c r="H773" i="1"/>
  <c r="L772" i="1"/>
  <c r="K772" i="1"/>
  <c r="H772" i="1"/>
  <c r="L771" i="1"/>
  <c r="K771" i="1"/>
  <c r="H771" i="1"/>
  <c r="L770" i="1"/>
  <c r="K770" i="1"/>
  <c r="H770" i="1"/>
  <c r="L769" i="1"/>
  <c r="K769" i="1"/>
  <c r="H769" i="1"/>
  <c r="L768" i="1"/>
  <c r="K768" i="1"/>
  <c r="H768" i="1"/>
  <c r="L767" i="1"/>
  <c r="K767" i="1"/>
  <c r="H767" i="1"/>
  <c r="L766" i="1"/>
  <c r="K766" i="1"/>
  <c r="H766" i="1"/>
  <c r="L765" i="1"/>
  <c r="K765" i="1"/>
  <c r="H765" i="1"/>
  <c r="L764" i="1"/>
  <c r="K764" i="1"/>
  <c r="H764" i="1"/>
  <c r="L763" i="1"/>
  <c r="K763" i="1"/>
  <c r="H763" i="1"/>
  <c r="L762" i="1"/>
  <c r="K762" i="1"/>
  <c r="H762" i="1"/>
  <c r="L761" i="1"/>
  <c r="K761" i="1"/>
  <c r="H761" i="1"/>
  <c r="L760" i="1"/>
  <c r="K760" i="1"/>
  <c r="H760" i="1"/>
  <c r="L759" i="1"/>
  <c r="K759" i="1"/>
  <c r="H759" i="1"/>
  <c r="L758" i="1"/>
  <c r="K758" i="1"/>
  <c r="H758" i="1"/>
  <c r="L757" i="1"/>
  <c r="K757" i="1"/>
  <c r="H757" i="1"/>
  <c r="L756" i="1"/>
  <c r="K756" i="1"/>
  <c r="H756" i="1"/>
  <c r="L755" i="1"/>
  <c r="K755" i="1"/>
  <c r="H755" i="1"/>
  <c r="L754" i="1"/>
  <c r="K754" i="1"/>
  <c r="H754" i="1"/>
  <c r="L753" i="1"/>
  <c r="K753" i="1"/>
  <c r="H753" i="1"/>
  <c r="L752" i="1"/>
  <c r="K752" i="1"/>
  <c r="H752" i="1"/>
  <c r="L751" i="1"/>
  <c r="K751" i="1"/>
  <c r="H751" i="1"/>
  <c r="L750" i="1"/>
  <c r="K750" i="1"/>
  <c r="H750" i="1"/>
  <c r="L749" i="1"/>
  <c r="K749" i="1"/>
  <c r="H749" i="1"/>
  <c r="L748" i="1"/>
  <c r="K748" i="1"/>
  <c r="H748" i="1"/>
  <c r="L747" i="1"/>
  <c r="K747" i="1"/>
  <c r="H747" i="1"/>
  <c r="L746" i="1"/>
  <c r="K746" i="1"/>
  <c r="H746" i="1"/>
  <c r="L745" i="1"/>
  <c r="K745" i="1"/>
  <c r="H745" i="1"/>
  <c r="L744" i="1"/>
  <c r="K744" i="1"/>
  <c r="H744" i="1"/>
  <c r="L743" i="1"/>
  <c r="K743" i="1"/>
  <c r="H743" i="1"/>
  <c r="L742" i="1"/>
  <c r="K742" i="1"/>
  <c r="H742" i="1"/>
  <c r="L741" i="1"/>
  <c r="K741" i="1"/>
  <c r="H741" i="1"/>
  <c r="L740" i="1"/>
  <c r="K740" i="1"/>
  <c r="H740" i="1"/>
  <c r="L739" i="1"/>
  <c r="K739" i="1"/>
  <c r="H739" i="1"/>
  <c r="L738" i="1"/>
  <c r="K738" i="1"/>
  <c r="H738" i="1"/>
  <c r="L737" i="1"/>
  <c r="K737" i="1"/>
  <c r="H737" i="1"/>
  <c r="L736" i="1"/>
  <c r="K736" i="1"/>
  <c r="H736" i="1"/>
  <c r="L735" i="1"/>
  <c r="K735" i="1"/>
  <c r="H735" i="1"/>
  <c r="L734" i="1"/>
  <c r="K734" i="1"/>
  <c r="H734" i="1"/>
  <c r="L733" i="1"/>
  <c r="K733" i="1"/>
  <c r="H733" i="1"/>
  <c r="L732" i="1"/>
  <c r="K732" i="1"/>
  <c r="H732" i="1"/>
  <c r="L731" i="1"/>
  <c r="K731" i="1"/>
  <c r="H731" i="1"/>
  <c r="L730" i="1"/>
  <c r="K730" i="1"/>
  <c r="H730" i="1"/>
  <c r="L729" i="1"/>
  <c r="K729" i="1"/>
  <c r="H729" i="1"/>
  <c r="L728" i="1"/>
  <c r="K728" i="1"/>
  <c r="H728" i="1"/>
  <c r="L727" i="1"/>
  <c r="K727" i="1"/>
  <c r="H727" i="1"/>
  <c r="L726" i="1"/>
  <c r="K726" i="1"/>
  <c r="H726" i="1"/>
  <c r="L725" i="1"/>
  <c r="K725" i="1"/>
  <c r="H725" i="1"/>
  <c r="L724" i="1"/>
  <c r="K724" i="1"/>
  <c r="H724" i="1"/>
  <c r="L723" i="1"/>
  <c r="K723" i="1"/>
  <c r="H723" i="1"/>
  <c r="L722" i="1"/>
  <c r="K722" i="1"/>
  <c r="H722" i="1"/>
  <c r="L721" i="1"/>
  <c r="K721" i="1"/>
  <c r="H721" i="1"/>
  <c r="L720" i="1"/>
  <c r="K720" i="1"/>
  <c r="H720" i="1"/>
  <c r="L719" i="1"/>
  <c r="K719" i="1"/>
  <c r="H719" i="1"/>
  <c r="L718" i="1"/>
  <c r="K718" i="1"/>
  <c r="H718" i="1"/>
  <c r="L717" i="1"/>
  <c r="K717" i="1"/>
  <c r="H717" i="1"/>
  <c r="L716" i="1"/>
  <c r="K716" i="1"/>
  <c r="H716" i="1"/>
  <c r="L715" i="1"/>
  <c r="K715" i="1"/>
  <c r="H715" i="1"/>
  <c r="L714" i="1"/>
  <c r="K714" i="1"/>
  <c r="H714" i="1"/>
  <c r="L713" i="1"/>
  <c r="K713" i="1"/>
  <c r="H713" i="1"/>
  <c r="L712" i="1"/>
  <c r="K712" i="1"/>
  <c r="H712" i="1"/>
  <c r="L711" i="1"/>
  <c r="K711" i="1"/>
  <c r="H711" i="1"/>
  <c r="L710" i="1"/>
  <c r="K710" i="1"/>
  <c r="H710" i="1"/>
  <c r="L709" i="1"/>
  <c r="K709" i="1"/>
  <c r="H709" i="1"/>
  <c r="L708" i="1"/>
  <c r="K708" i="1"/>
  <c r="H708" i="1"/>
  <c r="L707" i="1"/>
  <c r="K707" i="1"/>
  <c r="H707" i="1"/>
  <c r="L706" i="1"/>
  <c r="K706" i="1"/>
  <c r="H706" i="1"/>
  <c r="L705" i="1"/>
  <c r="K705" i="1"/>
  <c r="H705" i="1"/>
  <c r="L704" i="1"/>
  <c r="K704" i="1"/>
  <c r="H704" i="1"/>
  <c r="L703" i="1"/>
  <c r="K703" i="1"/>
  <c r="H703" i="1"/>
  <c r="L702" i="1"/>
  <c r="K702" i="1"/>
  <c r="H702" i="1"/>
  <c r="L701" i="1"/>
  <c r="K701" i="1"/>
  <c r="H701" i="1"/>
  <c r="L700" i="1"/>
  <c r="K700" i="1"/>
  <c r="H700" i="1"/>
  <c r="L699" i="1"/>
  <c r="K699" i="1"/>
  <c r="H699" i="1"/>
  <c r="L698" i="1"/>
  <c r="K698" i="1"/>
  <c r="H698" i="1"/>
  <c r="L697" i="1"/>
  <c r="K697" i="1"/>
  <c r="H697" i="1"/>
  <c r="L696" i="1"/>
  <c r="K696" i="1"/>
  <c r="H696" i="1"/>
  <c r="L695" i="1"/>
  <c r="K695" i="1"/>
  <c r="H695" i="1"/>
  <c r="L694" i="1"/>
  <c r="K694" i="1"/>
  <c r="H694" i="1"/>
  <c r="L693" i="1"/>
  <c r="K693" i="1"/>
  <c r="H693" i="1"/>
  <c r="L692" i="1"/>
  <c r="K692" i="1"/>
  <c r="H692" i="1"/>
  <c r="L691" i="1"/>
  <c r="K691" i="1"/>
  <c r="H691" i="1"/>
  <c r="L690" i="1"/>
  <c r="K690" i="1"/>
  <c r="H690" i="1"/>
  <c r="L689" i="1"/>
  <c r="K689" i="1"/>
  <c r="H689" i="1"/>
  <c r="L688" i="1"/>
  <c r="K688" i="1"/>
  <c r="H688" i="1"/>
  <c r="L687" i="1"/>
  <c r="K687" i="1"/>
  <c r="H687" i="1"/>
  <c r="L686" i="1"/>
  <c r="K686" i="1"/>
  <c r="H686" i="1"/>
  <c r="L685" i="1"/>
  <c r="K685" i="1"/>
  <c r="H685" i="1"/>
  <c r="L684" i="1"/>
  <c r="K684" i="1"/>
  <c r="H684" i="1"/>
  <c r="L683" i="1"/>
  <c r="K683" i="1"/>
  <c r="H683" i="1"/>
  <c r="L682" i="1"/>
  <c r="K682" i="1"/>
  <c r="H682" i="1"/>
  <c r="L681" i="1"/>
  <c r="K681" i="1"/>
  <c r="H681" i="1"/>
  <c r="L680" i="1"/>
  <c r="K680" i="1"/>
  <c r="H680" i="1"/>
  <c r="L679" i="1"/>
  <c r="K679" i="1"/>
  <c r="H679" i="1"/>
  <c r="L678" i="1"/>
  <c r="K678" i="1"/>
  <c r="H678" i="1"/>
  <c r="L677" i="1"/>
  <c r="K677" i="1"/>
  <c r="H677" i="1"/>
  <c r="L676" i="1"/>
  <c r="K676" i="1"/>
  <c r="H676" i="1"/>
  <c r="L675" i="1"/>
  <c r="K675" i="1"/>
  <c r="H675" i="1"/>
  <c r="L674" i="1"/>
  <c r="K674" i="1"/>
  <c r="H674" i="1"/>
  <c r="L673" i="1"/>
  <c r="K673" i="1"/>
  <c r="H673" i="1"/>
  <c r="L672" i="1"/>
  <c r="K672" i="1"/>
  <c r="H672" i="1"/>
  <c r="L671" i="1"/>
  <c r="K671" i="1"/>
  <c r="H671" i="1"/>
  <c r="L670" i="1"/>
  <c r="K670" i="1"/>
  <c r="H670" i="1"/>
  <c r="L669" i="1"/>
  <c r="K669" i="1"/>
  <c r="H669" i="1"/>
  <c r="L668" i="1"/>
  <c r="K668" i="1"/>
  <c r="H668" i="1"/>
  <c r="L667" i="1"/>
  <c r="K667" i="1"/>
  <c r="H667" i="1"/>
  <c r="L666" i="1"/>
  <c r="K666" i="1"/>
  <c r="H666" i="1"/>
  <c r="L665" i="1"/>
  <c r="K665" i="1"/>
  <c r="H665" i="1"/>
  <c r="L664" i="1"/>
  <c r="K664" i="1"/>
  <c r="H664" i="1"/>
  <c r="L663" i="1"/>
  <c r="K663" i="1"/>
  <c r="H663" i="1"/>
  <c r="L662" i="1"/>
  <c r="K662" i="1"/>
  <c r="H662" i="1"/>
  <c r="L661" i="1"/>
  <c r="K661" i="1"/>
  <c r="H661" i="1"/>
  <c r="L660" i="1"/>
  <c r="K660" i="1"/>
  <c r="H660" i="1"/>
  <c r="L659" i="1"/>
  <c r="K659" i="1"/>
  <c r="H659" i="1"/>
  <c r="L658" i="1"/>
  <c r="K658" i="1"/>
  <c r="H658" i="1"/>
  <c r="L657" i="1"/>
  <c r="K657" i="1"/>
  <c r="H657" i="1"/>
  <c r="L656" i="1"/>
  <c r="K656" i="1"/>
  <c r="H656" i="1"/>
  <c r="L655" i="1"/>
  <c r="K655" i="1"/>
  <c r="H655" i="1"/>
  <c r="L654" i="1"/>
  <c r="K654" i="1"/>
  <c r="H654" i="1"/>
  <c r="L653" i="1"/>
  <c r="K653" i="1"/>
  <c r="H653" i="1"/>
  <c r="L652" i="1"/>
  <c r="K652" i="1"/>
  <c r="H652" i="1"/>
  <c r="L651" i="1"/>
  <c r="K651" i="1"/>
  <c r="H651" i="1"/>
  <c r="L650" i="1"/>
  <c r="K650" i="1"/>
  <c r="H650" i="1"/>
  <c r="L649" i="1"/>
  <c r="K649" i="1"/>
  <c r="H649" i="1"/>
  <c r="L648" i="1"/>
  <c r="K648" i="1"/>
  <c r="H648" i="1"/>
  <c r="L647" i="1"/>
  <c r="K647" i="1"/>
  <c r="H647" i="1"/>
  <c r="L646" i="1"/>
  <c r="K646" i="1"/>
  <c r="H646" i="1"/>
  <c r="L645" i="1"/>
  <c r="K645" i="1"/>
  <c r="H645" i="1"/>
  <c r="L644" i="1"/>
  <c r="K644" i="1"/>
  <c r="H644" i="1"/>
  <c r="L643" i="1"/>
  <c r="K643" i="1"/>
  <c r="H643" i="1"/>
  <c r="L642" i="1"/>
  <c r="K642" i="1"/>
  <c r="H642" i="1"/>
  <c r="L641" i="1"/>
  <c r="K641" i="1"/>
  <c r="H641" i="1"/>
  <c r="L640" i="1"/>
  <c r="K640" i="1"/>
  <c r="H640" i="1"/>
  <c r="L639" i="1"/>
  <c r="K639" i="1"/>
  <c r="H639" i="1"/>
  <c r="L638" i="1"/>
  <c r="K638" i="1"/>
  <c r="H638" i="1"/>
  <c r="L637" i="1"/>
  <c r="K637" i="1"/>
  <c r="H637" i="1"/>
  <c r="L636" i="1"/>
  <c r="K636" i="1"/>
  <c r="H636" i="1"/>
  <c r="L635" i="1"/>
  <c r="K635" i="1"/>
  <c r="H635" i="1"/>
  <c r="L634" i="1"/>
  <c r="K634" i="1"/>
  <c r="H634" i="1"/>
  <c r="L633" i="1"/>
  <c r="K633" i="1"/>
  <c r="H633" i="1"/>
  <c r="L632" i="1"/>
  <c r="K632" i="1"/>
  <c r="H632" i="1"/>
  <c r="L631" i="1"/>
  <c r="K631" i="1"/>
  <c r="H631" i="1"/>
  <c r="L630" i="1"/>
  <c r="K630" i="1"/>
  <c r="H630" i="1"/>
  <c r="L629" i="1"/>
  <c r="K629" i="1"/>
  <c r="H629" i="1"/>
  <c r="L628" i="1"/>
  <c r="K628" i="1"/>
  <c r="H628" i="1"/>
  <c r="L627" i="1"/>
  <c r="K627" i="1"/>
  <c r="H627" i="1"/>
  <c r="L626" i="1"/>
  <c r="K626" i="1"/>
  <c r="H626" i="1"/>
  <c r="L625" i="1"/>
  <c r="K625" i="1"/>
  <c r="H625" i="1"/>
  <c r="L624" i="1"/>
  <c r="K624" i="1"/>
  <c r="H624" i="1"/>
  <c r="L623" i="1"/>
  <c r="K623" i="1"/>
  <c r="H623" i="1"/>
  <c r="L622" i="1"/>
  <c r="K622" i="1"/>
  <c r="H622" i="1"/>
  <c r="L621" i="1"/>
  <c r="K621" i="1"/>
  <c r="H621" i="1"/>
  <c r="L620" i="1"/>
  <c r="K620" i="1"/>
  <c r="H620" i="1"/>
  <c r="L619" i="1"/>
  <c r="K619" i="1"/>
  <c r="H619" i="1"/>
  <c r="L618" i="1"/>
  <c r="K618" i="1"/>
  <c r="H618" i="1"/>
  <c r="L617" i="1"/>
  <c r="K617" i="1"/>
  <c r="H617" i="1"/>
  <c r="L616" i="1"/>
  <c r="K616" i="1"/>
  <c r="H616" i="1"/>
  <c r="L615" i="1"/>
  <c r="K615" i="1"/>
  <c r="H615" i="1"/>
  <c r="L614" i="1"/>
  <c r="K614" i="1"/>
  <c r="H614" i="1"/>
  <c r="L613" i="1"/>
  <c r="K613" i="1"/>
  <c r="H613" i="1"/>
  <c r="L612" i="1"/>
  <c r="K612" i="1"/>
  <c r="H612" i="1"/>
  <c r="L611" i="1"/>
  <c r="K611" i="1"/>
  <c r="H611" i="1"/>
  <c r="L610" i="1"/>
  <c r="K610" i="1"/>
  <c r="H610" i="1"/>
  <c r="L609" i="1"/>
  <c r="K609" i="1"/>
  <c r="H609" i="1"/>
  <c r="L608" i="1"/>
  <c r="K608" i="1"/>
  <c r="H608" i="1"/>
  <c r="L607" i="1"/>
  <c r="K607" i="1"/>
  <c r="H607" i="1"/>
  <c r="L606" i="1"/>
  <c r="K606" i="1"/>
  <c r="H606" i="1"/>
  <c r="L605" i="1"/>
  <c r="K605" i="1"/>
  <c r="H605" i="1"/>
  <c r="L604" i="1"/>
  <c r="K604" i="1"/>
  <c r="H604" i="1"/>
  <c r="L603" i="1"/>
  <c r="K603" i="1"/>
  <c r="H603" i="1"/>
  <c r="L602" i="1"/>
  <c r="H602" i="1"/>
  <c r="L601" i="1"/>
  <c r="K601" i="1"/>
  <c r="H601" i="1"/>
  <c r="L600" i="1"/>
  <c r="K600" i="1"/>
  <c r="H600" i="1"/>
  <c r="L599" i="1"/>
  <c r="K599" i="1"/>
  <c r="H599" i="1"/>
  <c r="L598" i="1"/>
  <c r="K598" i="1"/>
  <c r="H598" i="1"/>
  <c r="L597" i="1"/>
  <c r="K597" i="1"/>
  <c r="H597" i="1"/>
  <c r="L596" i="1"/>
  <c r="K596" i="1"/>
  <c r="H596" i="1"/>
  <c r="L595" i="1"/>
  <c r="K595" i="1"/>
  <c r="H595" i="1"/>
  <c r="L594" i="1"/>
  <c r="K594" i="1"/>
  <c r="H594" i="1"/>
  <c r="L593" i="1"/>
  <c r="K593" i="1"/>
  <c r="H593" i="1"/>
  <c r="L592" i="1"/>
  <c r="K592" i="1"/>
  <c r="H592" i="1"/>
  <c r="L591" i="1"/>
  <c r="K591" i="1"/>
  <c r="H591" i="1"/>
  <c r="L590" i="1"/>
  <c r="K590" i="1"/>
  <c r="H590" i="1"/>
  <c r="L589" i="1"/>
  <c r="K589" i="1"/>
  <c r="H589" i="1"/>
  <c r="L588" i="1"/>
  <c r="K588" i="1"/>
  <c r="H588" i="1"/>
  <c r="L587" i="1"/>
  <c r="K587" i="1"/>
  <c r="H587" i="1"/>
  <c r="L586" i="1"/>
  <c r="K586" i="1"/>
  <c r="H586" i="1"/>
  <c r="L585" i="1"/>
  <c r="K585" i="1"/>
  <c r="H585" i="1"/>
  <c r="L584" i="1"/>
  <c r="K584" i="1"/>
  <c r="H584" i="1"/>
  <c r="L583" i="1"/>
  <c r="K583" i="1"/>
  <c r="H583" i="1"/>
  <c r="L582" i="1"/>
  <c r="K582" i="1"/>
  <c r="H582" i="1"/>
  <c r="L581" i="1"/>
  <c r="K581" i="1"/>
  <c r="H581" i="1"/>
  <c r="L580" i="1"/>
  <c r="K580" i="1"/>
  <c r="H580" i="1"/>
  <c r="L579" i="1"/>
  <c r="K579" i="1"/>
  <c r="H579" i="1"/>
  <c r="L578" i="1"/>
  <c r="K578" i="1"/>
  <c r="H578" i="1"/>
  <c r="L577" i="1"/>
  <c r="K577" i="1"/>
  <c r="H577" i="1"/>
  <c r="L576" i="1"/>
  <c r="K576" i="1"/>
  <c r="H576" i="1"/>
  <c r="L575" i="1"/>
  <c r="K575" i="1"/>
  <c r="H575" i="1"/>
  <c r="L574" i="1"/>
  <c r="K574" i="1"/>
  <c r="H574" i="1"/>
  <c r="L573" i="1"/>
  <c r="K573" i="1"/>
  <c r="H573" i="1"/>
  <c r="L572" i="1"/>
  <c r="K572" i="1"/>
  <c r="H572" i="1"/>
  <c r="L571" i="1"/>
  <c r="K571" i="1"/>
  <c r="H571" i="1"/>
  <c r="L570" i="1"/>
  <c r="K570" i="1"/>
  <c r="H570" i="1"/>
  <c r="L569" i="1"/>
  <c r="K569" i="1"/>
  <c r="H569" i="1"/>
  <c r="L568" i="1"/>
  <c r="K568" i="1"/>
  <c r="H568" i="1"/>
  <c r="L567" i="1"/>
  <c r="K567" i="1"/>
  <c r="H567" i="1"/>
  <c r="L566" i="1"/>
  <c r="K566" i="1"/>
  <c r="H566" i="1"/>
  <c r="L565" i="1"/>
  <c r="K565" i="1"/>
  <c r="H565" i="1"/>
  <c r="L564" i="1"/>
  <c r="K564" i="1"/>
  <c r="H564" i="1"/>
  <c r="L563" i="1"/>
  <c r="K563" i="1"/>
  <c r="H563" i="1"/>
  <c r="L562" i="1"/>
  <c r="K562" i="1"/>
  <c r="H562" i="1"/>
  <c r="L561" i="1"/>
  <c r="K561" i="1"/>
  <c r="H561" i="1"/>
  <c r="L560" i="1"/>
  <c r="K560" i="1"/>
  <c r="H560" i="1"/>
  <c r="L559" i="1"/>
  <c r="K559" i="1"/>
  <c r="H559" i="1"/>
  <c r="L558" i="1"/>
  <c r="K558" i="1"/>
  <c r="H558" i="1"/>
  <c r="L557" i="1"/>
  <c r="K557" i="1"/>
  <c r="H557" i="1"/>
  <c r="L556" i="1"/>
  <c r="K556" i="1"/>
  <c r="H556" i="1"/>
  <c r="L555" i="1"/>
  <c r="K555" i="1"/>
  <c r="H555" i="1"/>
  <c r="L554" i="1"/>
  <c r="K554" i="1"/>
  <c r="H554" i="1"/>
  <c r="L553" i="1"/>
  <c r="K553" i="1"/>
  <c r="H553" i="1"/>
  <c r="L552" i="1"/>
  <c r="K552" i="1"/>
  <c r="H552" i="1"/>
  <c r="L551" i="1"/>
  <c r="K551" i="1"/>
  <c r="H551" i="1"/>
  <c r="L550" i="1"/>
  <c r="K550" i="1"/>
  <c r="H550" i="1"/>
  <c r="L549" i="1"/>
  <c r="K549" i="1"/>
  <c r="H549" i="1"/>
  <c r="L548" i="1"/>
  <c r="K548" i="1"/>
  <c r="H548" i="1"/>
  <c r="L547" i="1"/>
  <c r="K547" i="1"/>
  <c r="H547" i="1"/>
  <c r="L546" i="1"/>
  <c r="K546" i="1"/>
  <c r="H546" i="1"/>
  <c r="L545" i="1"/>
  <c r="K545" i="1"/>
  <c r="H545" i="1"/>
  <c r="L544" i="1"/>
  <c r="K544" i="1"/>
  <c r="H544" i="1"/>
  <c r="L543" i="1"/>
  <c r="K543" i="1"/>
  <c r="H543" i="1"/>
  <c r="L542" i="1"/>
  <c r="K542" i="1"/>
  <c r="H542" i="1"/>
  <c r="L541" i="1"/>
  <c r="K541" i="1"/>
  <c r="H541" i="1"/>
  <c r="L540" i="1"/>
  <c r="K540" i="1"/>
  <c r="H540" i="1"/>
  <c r="L539" i="1"/>
  <c r="K539" i="1"/>
  <c r="H539" i="1"/>
  <c r="L538" i="1"/>
  <c r="K538" i="1"/>
  <c r="H538" i="1"/>
  <c r="L537" i="1"/>
  <c r="K537" i="1"/>
  <c r="H537" i="1"/>
  <c r="L536" i="1"/>
  <c r="K536" i="1"/>
  <c r="H536" i="1"/>
  <c r="L535" i="1"/>
  <c r="K535" i="1"/>
  <c r="H535" i="1"/>
  <c r="L534" i="1"/>
  <c r="K534" i="1"/>
  <c r="H534" i="1"/>
  <c r="L533" i="1"/>
  <c r="K533" i="1"/>
  <c r="H533" i="1"/>
  <c r="L532" i="1"/>
  <c r="K532" i="1"/>
  <c r="H532" i="1"/>
  <c r="L531" i="1"/>
  <c r="K531" i="1"/>
  <c r="H531" i="1"/>
  <c r="L530" i="1"/>
  <c r="K530" i="1"/>
  <c r="H530" i="1"/>
  <c r="L529" i="1"/>
  <c r="K529" i="1"/>
  <c r="H529" i="1"/>
  <c r="L528" i="1"/>
  <c r="K528" i="1"/>
  <c r="H528" i="1"/>
  <c r="L527" i="1"/>
  <c r="K527" i="1"/>
  <c r="H527" i="1"/>
  <c r="L526" i="1"/>
  <c r="K526" i="1"/>
  <c r="H526" i="1"/>
  <c r="L525" i="1"/>
  <c r="K525" i="1"/>
  <c r="H525" i="1"/>
  <c r="L524" i="1"/>
  <c r="K524" i="1"/>
  <c r="H524" i="1"/>
  <c r="L523" i="1"/>
  <c r="K523" i="1"/>
  <c r="H523" i="1"/>
  <c r="L522" i="1"/>
  <c r="K522" i="1"/>
  <c r="H522" i="1"/>
  <c r="L521" i="1"/>
  <c r="K521" i="1"/>
  <c r="H521" i="1"/>
  <c r="L520" i="1"/>
  <c r="K520" i="1"/>
  <c r="H520" i="1"/>
  <c r="L519" i="1"/>
  <c r="K519" i="1"/>
  <c r="H519" i="1"/>
  <c r="L518" i="1"/>
  <c r="K518" i="1"/>
  <c r="H518" i="1"/>
  <c r="L517" i="1"/>
  <c r="K517" i="1"/>
  <c r="H517" i="1"/>
  <c r="L516" i="1"/>
  <c r="K516" i="1"/>
  <c r="H516" i="1"/>
  <c r="L515" i="1"/>
  <c r="K515" i="1"/>
  <c r="H515" i="1"/>
  <c r="L514" i="1"/>
  <c r="K514" i="1"/>
  <c r="H514" i="1"/>
  <c r="L513" i="1"/>
  <c r="K513" i="1"/>
  <c r="H513" i="1"/>
  <c r="L512" i="1"/>
  <c r="K512" i="1"/>
  <c r="H512" i="1"/>
  <c r="L511" i="1"/>
  <c r="K511" i="1"/>
  <c r="H511" i="1"/>
  <c r="L510" i="1"/>
  <c r="K510" i="1"/>
  <c r="H510" i="1"/>
  <c r="L509" i="1"/>
  <c r="K509" i="1"/>
  <c r="H509" i="1"/>
  <c r="L508" i="1"/>
  <c r="K508" i="1"/>
  <c r="H508" i="1"/>
  <c r="L507" i="1"/>
  <c r="K507" i="1"/>
  <c r="H507" i="1"/>
  <c r="L506" i="1"/>
  <c r="K506" i="1"/>
  <c r="H506" i="1"/>
  <c r="L505" i="1"/>
  <c r="K505" i="1"/>
  <c r="H505" i="1"/>
  <c r="L504" i="1"/>
  <c r="K504" i="1"/>
  <c r="H504" i="1"/>
  <c r="L503" i="1"/>
  <c r="K503" i="1"/>
  <c r="H503" i="1"/>
  <c r="L502" i="1"/>
  <c r="K502" i="1"/>
  <c r="H502" i="1"/>
  <c r="L501" i="1"/>
  <c r="K501" i="1"/>
  <c r="H501" i="1"/>
  <c r="L500" i="1"/>
  <c r="K500" i="1"/>
  <c r="H500" i="1"/>
  <c r="L499" i="1"/>
  <c r="K499" i="1"/>
  <c r="H499" i="1"/>
  <c r="L498" i="1"/>
  <c r="K498" i="1"/>
  <c r="H498" i="1"/>
  <c r="L497" i="1"/>
  <c r="K497" i="1"/>
  <c r="H497" i="1"/>
  <c r="L496" i="1"/>
  <c r="K496" i="1"/>
  <c r="H496" i="1"/>
  <c r="L495" i="1"/>
  <c r="K495" i="1"/>
  <c r="H495" i="1"/>
  <c r="L494" i="1"/>
  <c r="K494" i="1"/>
  <c r="H494" i="1"/>
  <c r="L493" i="1"/>
  <c r="K493" i="1"/>
  <c r="H493" i="1"/>
  <c r="L492" i="1"/>
  <c r="K492" i="1"/>
  <c r="H492" i="1"/>
  <c r="L491" i="1"/>
  <c r="K491" i="1"/>
  <c r="H491" i="1"/>
  <c r="L490" i="1"/>
  <c r="K490" i="1"/>
  <c r="H490" i="1"/>
  <c r="L489" i="1"/>
  <c r="K489" i="1"/>
  <c r="H489" i="1"/>
  <c r="L488" i="1"/>
  <c r="K488" i="1"/>
  <c r="H488" i="1"/>
  <c r="L487" i="1"/>
  <c r="K487" i="1"/>
  <c r="H487" i="1"/>
  <c r="L486" i="1"/>
  <c r="K486" i="1"/>
  <c r="H486" i="1"/>
  <c r="L485" i="1"/>
  <c r="K485" i="1"/>
  <c r="H485" i="1"/>
  <c r="L484" i="1"/>
  <c r="K484" i="1"/>
  <c r="H484" i="1"/>
  <c r="L483" i="1"/>
  <c r="K483" i="1"/>
  <c r="H483" i="1"/>
  <c r="L482" i="1"/>
  <c r="K482" i="1"/>
  <c r="H482" i="1"/>
  <c r="L481" i="1"/>
  <c r="K481" i="1"/>
  <c r="H481" i="1"/>
  <c r="L480" i="1"/>
  <c r="K480" i="1"/>
  <c r="H480" i="1"/>
  <c r="L479" i="1"/>
  <c r="K479" i="1"/>
  <c r="H479" i="1"/>
  <c r="L478" i="1"/>
  <c r="K478" i="1"/>
  <c r="H478" i="1"/>
  <c r="L477" i="1"/>
  <c r="K477" i="1"/>
  <c r="H477" i="1"/>
  <c r="L476" i="1"/>
  <c r="K476" i="1"/>
  <c r="H476" i="1"/>
  <c r="L475" i="1"/>
  <c r="K475" i="1"/>
  <c r="H475" i="1"/>
  <c r="L474" i="1"/>
  <c r="K474" i="1"/>
  <c r="H474" i="1"/>
  <c r="L473" i="1"/>
  <c r="K473" i="1"/>
  <c r="H473" i="1"/>
  <c r="L472" i="1"/>
  <c r="K472" i="1"/>
  <c r="H472" i="1"/>
  <c r="L471" i="1"/>
  <c r="K471" i="1"/>
  <c r="H471" i="1"/>
  <c r="L470" i="1"/>
  <c r="K470" i="1"/>
  <c r="H470" i="1"/>
  <c r="L469" i="1"/>
  <c r="K469" i="1"/>
  <c r="H469" i="1"/>
  <c r="L468" i="1"/>
  <c r="K468" i="1"/>
  <c r="H468" i="1"/>
  <c r="L467" i="1"/>
  <c r="K467" i="1"/>
  <c r="H467" i="1"/>
  <c r="L466" i="1"/>
  <c r="K466" i="1"/>
  <c r="H466" i="1"/>
  <c r="L465" i="1"/>
  <c r="K465" i="1"/>
  <c r="H465" i="1"/>
  <c r="L464" i="1"/>
  <c r="K464" i="1"/>
  <c r="H464" i="1"/>
  <c r="L463" i="1"/>
  <c r="K463" i="1"/>
  <c r="H463" i="1"/>
  <c r="L462" i="1"/>
  <c r="K462" i="1"/>
  <c r="H462" i="1"/>
  <c r="L461" i="1"/>
  <c r="K461" i="1"/>
  <c r="H461" i="1"/>
  <c r="L460" i="1"/>
  <c r="K460" i="1"/>
  <c r="H460" i="1"/>
  <c r="L459" i="1"/>
  <c r="K459" i="1"/>
  <c r="H459" i="1"/>
  <c r="L458" i="1"/>
  <c r="K458" i="1"/>
  <c r="H458" i="1"/>
  <c r="L457" i="1"/>
  <c r="K457" i="1"/>
  <c r="H457" i="1"/>
  <c r="L456" i="1"/>
  <c r="K456" i="1"/>
  <c r="H456" i="1"/>
  <c r="L455" i="1"/>
  <c r="K455" i="1"/>
  <c r="H455" i="1"/>
  <c r="L454" i="1"/>
  <c r="K454" i="1"/>
  <c r="H454" i="1"/>
  <c r="L453" i="1"/>
  <c r="K453" i="1"/>
  <c r="H453" i="1"/>
  <c r="L452" i="1"/>
  <c r="K452" i="1"/>
  <c r="H452" i="1"/>
  <c r="L451" i="1"/>
  <c r="K451" i="1"/>
  <c r="H451" i="1"/>
  <c r="L450" i="1"/>
  <c r="K450" i="1"/>
  <c r="H450" i="1"/>
  <c r="L449" i="1"/>
  <c r="K449" i="1"/>
  <c r="H449" i="1"/>
  <c r="L448" i="1"/>
  <c r="K448" i="1"/>
  <c r="H448" i="1"/>
  <c r="L447" i="1"/>
  <c r="K447" i="1"/>
  <c r="H447" i="1"/>
  <c r="L446" i="1"/>
  <c r="K446" i="1"/>
  <c r="H446" i="1"/>
  <c r="L445" i="1"/>
  <c r="K445" i="1"/>
  <c r="H445" i="1"/>
  <c r="L444" i="1"/>
  <c r="K444" i="1"/>
  <c r="H444" i="1"/>
  <c r="L443" i="1"/>
  <c r="K443" i="1"/>
  <c r="H443" i="1"/>
  <c r="L442" i="1"/>
  <c r="K442" i="1"/>
  <c r="H442" i="1"/>
  <c r="L441" i="1"/>
  <c r="K441" i="1"/>
  <c r="H441" i="1"/>
  <c r="L440" i="1"/>
  <c r="K440" i="1"/>
  <c r="H440" i="1"/>
  <c r="L439" i="1"/>
  <c r="K439" i="1"/>
  <c r="H439" i="1"/>
  <c r="L438" i="1"/>
  <c r="K438" i="1"/>
  <c r="H438" i="1"/>
  <c r="L437" i="1"/>
  <c r="K437" i="1"/>
  <c r="H437" i="1"/>
  <c r="L436" i="1"/>
  <c r="K436" i="1"/>
  <c r="H436" i="1"/>
  <c r="L435" i="1"/>
  <c r="K435" i="1"/>
  <c r="H435" i="1"/>
  <c r="L434" i="1"/>
  <c r="K434" i="1"/>
  <c r="H434" i="1"/>
  <c r="L433" i="1"/>
  <c r="K433" i="1"/>
  <c r="H433" i="1"/>
  <c r="L432" i="1"/>
  <c r="K432" i="1"/>
  <c r="H432" i="1"/>
  <c r="L431" i="1"/>
  <c r="K431" i="1"/>
  <c r="H431" i="1"/>
  <c r="L430" i="1"/>
  <c r="K430" i="1"/>
  <c r="H430" i="1"/>
  <c r="L429" i="1"/>
  <c r="K429" i="1"/>
  <c r="H429" i="1"/>
  <c r="L428" i="1"/>
  <c r="K428" i="1"/>
  <c r="H428" i="1"/>
  <c r="L427" i="1"/>
  <c r="K427" i="1"/>
  <c r="H427" i="1"/>
  <c r="L426" i="1"/>
  <c r="K426" i="1"/>
  <c r="H426" i="1"/>
  <c r="L425" i="1"/>
  <c r="K425" i="1"/>
  <c r="H425" i="1"/>
  <c r="L424" i="1"/>
  <c r="K424" i="1"/>
  <c r="H424" i="1"/>
  <c r="L423" i="1"/>
  <c r="K423" i="1"/>
  <c r="H423" i="1"/>
  <c r="L422" i="1"/>
  <c r="K422" i="1"/>
  <c r="H422" i="1"/>
  <c r="L421" i="1"/>
  <c r="K421" i="1"/>
  <c r="H421" i="1"/>
  <c r="L420" i="1"/>
  <c r="K420" i="1"/>
  <c r="H420" i="1"/>
  <c r="L419" i="1"/>
  <c r="K419" i="1"/>
  <c r="H419" i="1"/>
  <c r="L418" i="1"/>
  <c r="K418" i="1"/>
  <c r="H418" i="1"/>
  <c r="L417" i="1"/>
  <c r="K417" i="1"/>
  <c r="H417" i="1"/>
  <c r="L416" i="1"/>
  <c r="K416" i="1"/>
  <c r="H416" i="1"/>
  <c r="L415" i="1"/>
  <c r="K415" i="1"/>
  <c r="H415" i="1"/>
  <c r="L414" i="1"/>
  <c r="K414" i="1"/>
  <c r="H414" i="1"/>
  <c r="L413" i="1"/>
  <c r="K413" i="1"/>
  <c r="H413" i="1"/>
  <c r="L412" i="1"/>
  <c r="K412" i="1"/>
  <c r="H412" i="1"/>
  <c r="L411" i="1"/>
  <c r="K411" i="1"/>
  <c r="H411" i="1"/>
  <c r="L410" i="1"/>
  <c r="K410" i="1"/>
  <c r="H410" i="1"/>
  <c r="L409" i="1"/>
  <c r="K409" i="1"/>
  <c r="H409" i="1"/>
  <c r="L408" i="1"/>
  <c r="K408" i="1"/>
  <c r="H408" i="1"/>
  <c r="L407" i="1"/>
  <c r="K407" i="1"/>
  <c r="H407" i="1"/>
  <c r="L406" i="1"/>
  <c r="K406" i="1"/>
  <c r="H406" i="1"/>
  <c r="L405" i="1"/>
  <c r="K405" i="1"/>
  <c r="H405" i="1"/>
  <c r="L404" i="1"/>
  <c r="K404" i="1"/>
  <c r="H404" i="1"/>
  <c r="L403" i="1"/>
  <c r="K403" i="1"/>
  <c r="H403" i="1"/>
  <c r="L402" i="1"/>
  <c r="K402" i="1"/>
  <c r="H402" i="1"/>
  <c r="L401" i="1"/>
  <c r="K401" i="1"/>
  <c r="H401" i="1"/>
  <c r="L400" i="1"/>
  <c r="K400" i="1"/>
  <c r="H400" i="1"/>
  <c r="L399" i="1"/>
  <c r="K399" i="1"/>
  <c r="H399" i="1"/>
  <c r="L398" i="1"/>
  <c r="K398" i="1"/>
  <c r="H398" i="1"/>
  <c r="L397" i="1"/>
  <c r="K397" i="1"/>
  <c r="H397" i="1"/>
  <c r="L396" i="1"/>
  <c r="K396" i="1"/>
  <c r="H396" i="1"/>
  <c r="L395" i="1"/>
  <c r="K395" i="1"/>
  <c r="H395" i="1"/>
  <c r="L394" i="1"/>
  <c r="K394" i="1"/>
  <c r="H394" i="1"/>
  <c r="L393" i="1"/>
  <c r="K393" i="1"/>
  <c r="H393" i="1"/>
  <c r="L392" i="1"/>
  <c r="K392" i="1"/>
  <c r="H392" i="1"/>
  <c r="L391" i="1"/>
  <c r="K391" i="1"/>
  <c r="H391" i="1"/>
  <c r="L390" i="1"/>
  <c r="K390" i="1"/>
  <c r="H390" i="1"/>
  <c r="L389" i="1"/>
  <c r="K389" i="1"/>
  <c r="H389" i="1"/>
  <c r="L388" i="1"/>
  <c r="K388" i="1"/>
  <c r="H388" i="1"/>
  <c r="L387" i="1"/>
  <c r="K387" i="1"/>
  <c r="H387" i="1"/>
  <c r="L386" i="1"/>
  <c r="K386" i="1"/>
  <c r="H386" i="1"/>
  <c r="L385" i="1"/>
  <c r="K385" i="1"/>
  <c r="H385" i="1"/>
  <c r="L384" i="1"/>
  <c r="K384" i="1"/>
  <c r="H384" i="1"/>
  <c r="L383" i="1"/>
  <c r="K383" i="1"/>
  <c r="H383" i="1"/>
  <c r="L382" i="1"/>
  <c r="K382" i="1"/>
  <c r="H382" i="1"/>
  <c r="L381" i="1"/>
  <c r="K381" i="1"/>
  <c r="H381" i="1"/>
  <c r="L380" i="1"/>
  <c r="K380" i="1"/>
  <c r="H380" i="1"/>
  <c r="L379" i="1"/>
  <c r="K379" i="1"/>
  <c r="H379" i="1"/>
  <c r="L378" i="1"/>
  <c r="K378" i="1"/>
  <c r="H378" i="1"/>
  <c r="L377" i="1"/>
  <c r="K377" i="1"/>
  <c r="H377" i="1"/>
  <c r="L376" i="1"/>
  <c r="K376" i="1"/>
  <c r="H376" i="1"/>
  <c r="L375" i="1"/>
  <c r="K375" i="1"/>
  <c r="H375" i="1"/>
  <c r="L374" i="1"/>
  <c r="K374" i="1"/>
  <c r="H374" i="1"/>
  <c r="L373" i="1"/>
  <c r="K373" i="1"/>
  <c r="H373" i="1"/>
  <c r="L372" i="1"/>
  <c r="K372" i="1"/>
  <c r="H372" i="1"/>
  <c r="L371" i="1"/>
  <c r="K371" i="1"/>
  <c r="H371" i="1"/>
  <c r="L370" i="1"/>
  <c r="K370" i="1"/>
  <c r="H370" i="1"/>
  <c r="L369" i="1"/>
  <c r="K369" i="1"/>
  <c r="H369" i="1"/>
  <c r="L368" i="1"/>
  <c r="K368" i="1"/>
  <c r="H368" i="1"/>
  <c r="L367" i="1"/>
  <c r="K367" i="1"/>
  <c r="H367" i="1"/>
  <c r="L366" i="1"/>
  <c r="K366" i="1"/>
  <c r="H366" i="1"/>
  <c r="L365" i="1"/>
  <c r="K365" i="1"/>
  <c r="H365" i="1"/>
  <c r="L364" i="1"/>
  <c r="K364" i="1"/>
  <c r="H364" i="1"/>
  <c r="L363" i="1"/>
  <c r="K363" i="1"/>
  <c r="H363" i="1"/>
  <c r="L362" i="1"/>
  <c r="K362" i="1"/>
  <c r="H362" i="1"/>
  <c r="L361" i="1"/>
  <c r="K361" i="1"/>
  <c r="H361" i="1"/>
  <c r="L360" i="1"/>
  <c r="K360" i="1"/>
  <c r="H360" i="1"/>
  <c r="L359" i="1"/>
  <c r="K359" i="1"/>
  <c r="H359" i="1"/>
  <c r="L358" i="1"/>
  <c r="K358" i="1"/>
  <c r="H358" i="1"/>
  <c r="L357" i="1"/>
  <c r="K357" i="1"/>
  <c r="H357" i="1"/>
  <c r="L356" i="1"/>
  <c r="K356" i="1"/>
  <c r="H356" i="1"/>
  <c r="L355" i="1"/>
  <c r="K355" i="1"/>
  <c r="H355" i="1"/>
  <c r="L354" i="1"/>
  <c r="K354" i="1"/>
  <c r="H354" i="1"/>
  <c r="L353" i="1"/>
  <c r="K353" i="1"/>
  <c r="H353" i="1"/>
  <c r="L352" i="1"/>
  <c r="K352" i="1"/>
  <c r="H352" i="1"/>
  <c r="L351" i="1"/>
  <c r="K351" i="1"/>
  <c r="H351" i="1"/>
  <c r="L350" i="1"/>
  <c r="K350" i="1"/>
  <c r="H350" i="1"/>
  <c r="L349" i="1"/>
  <c r="K349" i="1"/>
  <c r="H349" i="1"/>
  <c r="L348" i="1"/>
  <c r="K348" i="1"/>
  <c r="H348" i="1"/>
  <c r="L347" i="1"/>
  <c r="K347" i="1"/>
  <c r="H347" i="1"/>
  <c r="L346" i="1"/>
  <c r="K346" i="1"/>
  <c r="H346" i="1"/>
  <c r="L345" i="1"/>
  <c r="K345" i="1"/>
  <c r="H345" i="1"/>
  <c r="L344" i="1"/>
  <c r="K344" i="1"/>
  <c r="H344" i="1"/>
  <c r="L343" i="1"/>
  <c r="K343" i="1"/>
  <c r="H343" i="1"/>
  <c r="L342" i="1"/>
  <c r="K342" i="1"/>
  <c r="H342" i="1"/>
  <c r="L341" i="1"/>
  <c r="K341" i="1"/>
  <c r="H341" i="1"/>
  <c r="L340" i="1"/>
  <c r="K340" i="1"/>
  <c r="H340" i="1"/>
  <c r="L339" i="1"/>
  <c r="K339" i="1"/>
  <c r="H339" i="1"/>
  <c r="L338" i="1"/>
  <c r="K338" i="1"/>
  <c r="H338" i="1"/>
  <c r="L337" i="1"/>
  <c r="K337" i="1"/>
  <c r="H337" i="1"/>
  <c r="L336" i="1"/>
  <c r="K336" i="1"/>
  <c r="H336" i="1"/>
  <c r="L335" i="1"/>
  <c r="K335" i="1"/>
  <c r="H335" i="1"/>
  <c r="L334" i="1"/>
  <c r="K334" i="1"/>
  <c r="H334" i="1"/>
  <c r="L333" i="1"/>
  <c r="K333" i="1"/>
  <c r="H333" i="1"/>
  <c r="L332" i="1"/>
  <c r="K332" i="1"/>
  <c r="H332" i="1"/>
  <c r="L331" i="1"/>
  <c r="K331" i="1"/>
  <c r="H331" i="1"/>
  <c r="L330" i="1"/>
  <c r="K330" i="1"/>
  <c r="H330" i="1"/>
  <c r="L329" i="1"/>
  <c r="K329" i="1"/>
  <c r="H329" i="1"/>
  <c r="L328" i="1"/>
  <c r="K328" i="1"/>
  <c r="H328" i="1"/>
  <c r="L327" i="1"/>
  <c r="K327" i="1"/>
  <c r="H327" i="1"/>
  <c r="L326" i="1"/>
  <c r="K326" i="1"/>
  <c r="H326" i="1"/>
  <c r="L325" i="1"/>
  <c r="K325" i="1"/>
  <c r="H325" i="1"/>
  <c r="L324" i="1"/>
  <c r="K324" i="1"/>
  <c r="H324" i="1"/>
  <c r="L323" i="1"/>
  <c r="K323" i="1"/>
  <c r="H323" i="1"/>
  <c r="L322" i="1"/>
  <c r="K322" i="1"/>
  <c r="H322" i="1"/>
  <c r="L321" i="1"/>
  <c r="K321" i="1"/>
  <c r="H321" i="1"/>
  <c r="L320" i="1"/>
  <c r="K320" i="1"/>
  <c r="H320" i="1"/>
  <c r="L319" i="1"/>
  <c r="K319" i="1"/>
  <c r="H319" i="1"/>
  <c r="L318" i="1"/>
  <c r="K318" i="1"/>
  <c r="H318" i="1"/>
  <c r="L317" i="1"/>
  <c r="K317" i="1"/>
  <c r="H317" i="1"/>
  <c r="L316" i="1"/>
  <c r="K316" i="1"/>
  <c r="H316" i="1"/>
  <c r="L315" i="1"/>
  <c r="K315" i="1"/>
  <c r="H315" i="1"/>
  <c r="L314" i="1"/>
  <c r="K314" i="1"/>
  <c r="H314" i="1"/>
  <c r="L313" i="1"/>
  <c r="K313" i="1"/>
  <c r="H313" i="1"/>
  <c r="L312" i="1"/>
  <c r="K312" i="1"/>
  <c r="H312" i="1"/>
  <c r="L311" i="1"/>
  <c r="K311" i="1"/>
  <c r="H311" i="1"/>
  <c r="L310" i="1"/>
  <c r="K310" i="1"/>
  <c r="H310" i="1"/>
  <c r="L309" i="1"/>
  <c r="K309" i="1"/>
  <c r="H309" i="1"/>
  <c r="L308" i="1"/>
  <c r="K308" i="1"/>
  <c r="H308" i="1"/>
  <c r="L307" i="1"/>
  <c r="K307" i="1"/>
  <c r="H307" i="1"/>
  <c r="L306" i="1"/>
  <c r="K306" i="1"/>
  <c r="H306" i="1"/>
  <c r="L305" i="1"/>
  <c r="K305" i="1"/>
  <c r="H305" i="1"/>
  <c r="L304" i="1"/>
  <c r="K304" i="1"/>
  <c r="H304" i="1"/>
  <c r="L303" i="1"/>
  <c r="K303" i="1"/>
  <c r="H303" i="1"/>
  <c r="L302" i="1"/>
  <c r="K302" i="1"/>
  <c r="H302" i="1"/>
  <c r="L301" i="1"/>
  <c r="K301" i="1"/>
  <c r="H301" i="1"/>
  <c r="L300" i="1"/>
  <c r="K300" i="1"/>
  <c r="H300" i="1"/>
  <c r="L299" i="1"/>
  <c r="K299" i="1"/>
  <c r="H299" i="1"/>
  <c r="L298" i="1"/>
  <c r="K298" i="1"/>
  <c r="H298" i="1"/>
  <c r="L297" i="1"/>
  <c r="K297" i="1"/>
  <c r="H297" i="1"/>
  <c r="L296" i="1"/>
  <c r="K296" i="1"/>
  <c r="H296" i="1"/>
  <c r="L295" i="1"/>
  <c r="K295" i="1"/>
  <c r="H295" i="1"/>
  <c r="L294" i="1"/>
  <c r="K294" i="1"/>
  <c r="H294" i="1"/>
  <c r="L293" i="1"/>
  <c r="K293" i="1"/>
  <c r="H293" i="1"/>
  <c r="L292" i="1"/>
  <c r="K292" i="1"/>
  <c r="H292" i="1"/>
  <c r="L291" i="1"/>
  <c r="K291" i="1"/>
  <c r="H291" i="1"/>
  <c r="L290" i="1"/>
  <c r="K290" i="1"/>
  <c r="H290" i="1"/>
  <c r="L289" i="1"/>
  <c r="K289" i="1"/>
  <c r="H289" i="1"/>
  <c r="L288" i="1"/>
  <c r="K288" i="1"/>
  <c r="H288" i="1"/>
  <c r="L287" i="1"/>
  <c r="K287" i="1"/>
  <c r="H287" i="1"/>
  <c r="L286" i="1"/>
  <c r="K286" i="1"/>
  <c r="H286" i="1"/>
  <c r="L285" i="1"/>
  <c r="K285" i="1"/>
  <c r="H285" i="1"/>
  <c r="L284" i="1"/>
  <c r="K284" i="1"/>
  <c r="H284" i="1"/>
  <c r="L283" i="1"/>
  <c r="K283" i="1"/>
  <c r="H283" i="1"/>
  <c r="L282" i="1"/>
  <c r="K282" i="1"/>
  <c r="H282" i="1"/>
  <c r="L281" i="1"/>
  <c r="K281" i="1"/>
  <c r="H281" i="1"/>
  <c r="L280" i="1"/>
  <c r="K280" i="1"/>
  <c r="H280" i="1"/>
  <c r="L279" i="1"/>
  <c r="K279" i="1"/>
  <c r="H279" i="1"/>
  <c r="L278" i="1"/>
  <c r="K278" i="1"/>
  <c r="H278" i="1"/>
  <c r="L277" i="1"/>
  <c r="K277" i="1"/>
  <c r="H277" i="1"/>
  <c r="L276" i="1"/>
  <c r="K276" i="1"/>
  <c r="H276" i="1"/>
  <c r="L275" i="1"/>
  <c r="K275" i="1"/>
  <c r="H275" i="1"/>
  <c r="L274" i="1"/>
  <c r="K274" i="1"/>
  <c r="H274" i="1"/>
  <c r="L273" i="1"/>
  <c r="K273" i="1"/>
  <c r="H273" i="1"/>
  <c r="L272" i="1"/>
  <c r="K272" i="1"/>
  <c r="H272" i="1"/>
  <c r="L271" i="1"/>
  <c r="K271" i="1"/>
  <c r="H271" i="1"/>
  <c r="L270" i="1"/>
  <c r="K270" i="1"/>
  <c r="H270" i="1"/>
  <c r="L269" i="1"/>
  <c r="K269" i="1"/>
  <c r="H269" i="1"/>
  <c r="L268" i="1"/>
  <c r="K268" i="1"/>
  <c r="H268" i="1"/>
  <c r="L267" i="1"/>
  <c r="K267" i="1"/>
  <c r="H267" i="1"/>
  <c r="L266" i="1"/>
  <c r="K266" i="1"/>
  <c r="H266" i="1"/>
  <c r="L265" i="1"/>
  <c r="K265" i="1"/>
  <c r="H265" i="1"/>
  <c r="L264" i="1"/>
  <c r="K264" i="1"/>
  <c r="H264" i="1"/>
  <c r="L263" i="1"/>
  <c r="K263" i="1"/>
  <c r="H263" i="1"/>
  <c r="L262" i="1"/>
  <c r="K262" i="1"/>
  <c r="H262" i="1"/>
  <c r="L261" i="1"/>
  <c r="K261" i="1"/>
  <c r="H261" i="1"/>
  <c r="L260" i="1"/>
  <c r="K260" i="1"/>
  <c r="H260" i="1"/>
  <c r="L259" i="1"/>
  <c r="K259" i="1"/>
  <c r="H259" i="1"/>
  <c r="L258" i="1"/>
  <c r="K258" i="1"/>
  <c r="H258" i="1"/>
  <c r="L257" i="1"/>
  <c r="K257" i="1"/>
  <c r="H257" i="1"/>
  <c r="L256" i="1"/>
  <c r="K256" i="1"/>
  <c r="H256" i="1"/>
  <c r="L255" i="1"/>
  <c r="K255" i="1"/>
  <c r="H255" i="1"/>
  <c r="L254" i="1"/>
  <c r="K254" i="1"/>
  <c r="H254" i="1"/>
  <c r="L253" i="1"/>
  <c r="K253" i="1"/>
  <c r="H253" i="1"/>
  <c r="L252" i="1"/>
  <c r="K252" i="1"/>
  <c r="H252" i="1"/>
  <c r="L251" i="1"/>
  <c r="K251" i="1"/>
  <c r="H251" i="1"/>
  <c r="L250" i="1"/>
  <c r="K250" i="1"/>
  <c r="H250" i="1"/>
  <c r="L249" i="1"/>
  <c r="K249" i="1"/>
  <c r="H249" i="1"/>
  <c r="L248" i="1"/>
  <c r="K248" i="1"/>
  <c r="H248" i="1"/>
  <c r="L247" i="1"/>
  <c r="K247" i="1"/>
  <c r="H247" i="1"/>
  <c r="L246" i="1"/>
  <c r="K246" i="1"/>
  <c r="H246" i="1"/>
  <c r="L245" i="1"/>
  <c r="K245" i="1"/>
  <c r="H245" i="1"/>
  <c r="L244" i="1"/>
  <c r="K244" i="1"/>
  <c r="H244" i="1"/>
  <c r="L243" i="1"/>
  <c r="K243" i="1"/>
  <c r="H243" i="1"/>
  <c r="L242" i="1"/>
  <c r="K242" i="1"/>
  <c r="H242" i="1"/>
  <c r="L241" i="1"/>
  <c r="K241" i="1"/>
  <c r="H241" i="1"/>
  <c r="L240" i="1"/>
  <c r="K240" i="1"/>
  <c r="H240" i="1"/>
  <c r="L239" i="1"/>
  <c r="K239" i="1"/>
  <c r="H239" i="1"/>
  <c r="L238" i="1"/>
  <c r="K238" i="1"/>
  <c r="H238" i="1"/>
  <c r="L237" i="1"/>
  <c r="K237" i="1"/>
  <c r="H237" i="1"/>
  <c r="L236" i="1"/>
  <c r="K236" i="1"/>
  <c r="H236" i="1"/>
  <c r="L235" i="1"/>
  <c r="K235" i="1"/>
  <c r="H235" i="1"/>
  <c r="L234" i="1"/>
  <c r="K234" i="1"/>
  <c r="H234" i="1"/>
  <c r="L233" i="1"/>
  <c r="K233" i="1"/>
  <c r="H233" i="1"/>
  <c r="L232" i="1"/>
  <c r="K232" i="1"/>
  <c r="H232" i="1"/>
  <c r="L231" i="1"/>
  <c r="K231" i="1"/>
  <c r="H231" i="1"/>
  <c r="L230" i="1"/>
  <c r="K230" i="1"/>
  <c r="H230" i="1"/>
  <c r="L229" i="1"/>
  <c r="K229" i="1"/>
  <c r="H229" i="1"/>
  <c r="L228" i="1"/>
  <c r="K228" i="1"/>
  <c r="H228" i="1"/>
  <c r="L227" i="1"/>
  <c r="K227" i="1"/>
  <c r="H227" i="1"/>
  <c r="L226" i="1"/>
  <c r="K226" i="1"/>
  <c r="H226" i="1"/>
  <c r="L225" i="1"/>
  <c r="K225" i="1"/>
  <c r="H225" i="1"/>
  <c r="L224" i="1"/>
  <c r="K224" i="1"/>
  <c r="H224" i="1"/>
  <c r="L223" i="1"/>
  <c r="K223" i="1"/>
  <c r="H223" i="1"/>
  <c r="L222" i="1"/>
  <c r="K222" i="1"/>
  <c r="H222" i="1"/>
  <c r="L221" i="1"/>
  <c r="K221" i="1"/>
  <c r="H221" i="1"/>
  <c r="L220" i="1"/>
  <c r="K220" i="1"/>
  <c r="H220" i="1"/>
  <c r="L219" i="1"/>
  <c r="K219" i="1"/>
  <c r="H219" i="1"/>
  <c r="L218" i="1"/>
  <c r="K218" i="1"/>
  <c r="H218" i="1"/>
  <c r="L217" i="1"/>
  <c r="K217" i="1"/>
  <c r="H217" i="1"/>
  <c r="L216" i="1"/>
  <c r="K216" i="1"/>
  <c r="H216" i="1"/>
  <c r="L215" i="1"/>
  <c r="K215" i="1"/>
  <c r="H215" i="1"/>
  <c r="L214" i="1"/>
  <c r="K214" i="1"/>
  <c r="H214" i="1"/>
  <c r="L213" i="1"/>
  <c r="K213" i="1"/>
  <c r="H213" i="1"/>
  <c r="L212" i="1"/>
  <c r="K212" i="1"/>
  <c r="H212" i="1"/>
  <c r="L211" i="1"/>
  <c r="K211" i="1"/>
  <c r="H211" i="1"/>
  <c r="L210" i="1"/>
  <c r="K210" i="1"/>
  <c r="H210" i="1"/>
  <c r="L209" i="1"/>
  <c r="K209" i="1"/>
  <c r="H209" i="1"/>
  <c r="L208" i="1"/>
  <c r="K208" i="1"/>
  <c r="H208" i="1"/>
  <c r="L207" i="1"/>
  <c r="K207" i="1"/>
  <c r="H207" i="1"/>
  <c r="L206" i="1"/>
  <c r="K206" i="1"/>
  <c r="H206" i="1"/>
  <c r="L205" i="1"/>
  <c r="K205" i="1"/>
  <c r="H205" i="1"/>
  <c r="L204" i="1"/>
  <c r="K204" i="1"/>
  <c r="H204" i="1"/>
  <c r="L203" i="1"/>
  <c r="K203" i="1"/>
  <c r="H203" i="1"/>
  <c r="L202" i="1"/>
  <c r="K202" i="1"/>
  <c r="H202" i="1"/>
  <c r="L201" i="1"/>
  <c r="K201" i="1"/>
  <c r="H201" i="1"/>
  <c r="L200" i="1"/>
  <c r="K200" i="1"/>
  <c r="H200" i="1"/>
  <c r="L199" i="1"/>
  <c r="K199" i="1"/>
  <c r="H199" i="1"/>
  <c r="L198" i="1"/>
  <c r="K198" i="1"/>
  <c r="H198" i="1"/>
  <c r="L197" i="1"/>
  <c r="K197" i="1"/>
  <c r="H197" i="1"/>
  <c r="L196" i="1"/>
  <c r="K196" i="1"/>
  <c r="H196" i="1"/>
  <c r="L195" i="1"/>
  <c r="K195" i="1"/>
  <c r="H195" i="1"/>
  <c r="L194" i="1"/>
  <c r="K194" i="1"/>
  <c r="H194" i="1"/>
  <c r="L193" i="1"/>
  <c r="K193" i="1"/>
  <c r="H193" i="1"/>
  <c r="L192" i="1"/>
  <c r="K192" i="1"/>
  <c r="H192" i="1"/>
  <c r="L191" i="1"/>
  <c r="K191" i="1"/>
  <c r="H191" i="1"/>
  <c r="L190" i="1"/>
  <c r="K190" i="1"/>
  <c r="H190" i="1"/>
  <c r="L189" i="1"/>
  <c r="K189" i="1"/>
  <c r="H189" i="1"/>
  <c r="L188" i="1"/>
  <c r="K188" i="1"/>
  <c r="H188" i="1"/>
  <c r="L187" i="1"/>
  <c r="K187" i="1"/>
  <c r="H187" i="1"/>
  <c r="L186" i="1"/>
  <c r="K186" i="1"/>
  <c r="H186" i="1"/>
  <c r="L185" i="1"/>
  <c r="K185" i="1"/>
  <c r="H185" i="1"/>
  <c r="L184" i="1"/>
  <c r="K184" i="1"/>
  <c r="H184" i="1"/>
  <c r="L183" i="1"/>
  <c r="K183" i="1"/>
  <c r="H183" i="1"/>
  <c r="L182" i="1"/>
  <c r="K182" i="1"/>
  <c r="H182" i="1"/>
  <c r="L181" i="1"/>
  <c r="K181" i="1"/>
  <c r="H181" i="1"/>
  <c r="L180" i="1"/>
  <c r="K180" i="1"/>
  <c r="H180" i="1"/>
  <c r="L179" i="1"/>
  <c r="K179" i="1"/>
  <c r="H179" i="1"/>
  <c r="L178" i="1"/>
  <c r="K178" i="1"/>
  <c r="H178" i="1"/>
  <c r="L177" i="1"/>
  <c r="K177" i="1"/>
  <c r="H177" i="1"/>
  <c r="L176" i="1"/>
  <c r="K176" i="1"/>
  <c r="H176" i="1"/>
  <c r="L175" i="1"/>
  <c r="K175" i="1"/>
  <c r="H175" i="1"/>
  <c r="L174" i="1"/>
  <c r="K174" i="1"/>
  <c r="H174" i="1"/>
  <c r="L173" i="1"/>
  <c r="K173" i="1"/>
  <c r="H173" i="1"/>
  <c r="L172" i="1"/>
  <c r="K172" i="1"/>
  <c r="H172" i="1"/>
  <c r="L171" i="1"/>
  <c r="K171" i="1"/>
  <c r="H171" i="1"/>
  <c r="L170" i="1"/>
  <c r="K170" i="1"/>
  <c r="H170" i="1"/>
  <c r="L169" i="1"/>
  <c r="K169" i="1"/>
  <c r="H169" i="1"/>
  <c r="L168" i="1"/>
  <c r="K168" i="1"/>
  <c r="H168" i="1"/>
  <c r="L167" i="1"/>
  <c r="K167" i="1"/>
  <c r="H167" i="1"/>
  <c r="L166" i="1"/>
  <c r="K166" i="1"/>
  <c r="H166" i="1"/>
  <c r="L165" i="1"/>
  <c r="K165" i="1"/>
  <c r="H165" i="1"/>
  <c r="L164" i="1"/>
  <c r="K164" i="1"/>
  <c r="H164" i="1"/>
  <c r="L163" i="1"/>
  <c r="K163" i="1"/>
  <c r="H163" i="1"/>
  <c r="L162" i="1"/>
  <c r="K162" i="1"/>
  <c r="H162" i="1"/>
  <c r="L161" i="1"/>
  <c r="K161" i="1"/>
  <c r="H161" i="1"/>
  <c r="L160" i="1"/>
  <c r="K160" i="1"/>
  <c r="H160" i="1"/>
  <c r="L159" i="1"/>
  <c r="K159" i="1"/>
  <c r="H159" i="1"/>
  <c r="L158" i="1"/>
  <c r="K158" i="1"/>
  <c r="H158" i="1"/>
  <c r="L157" i="1"/>
  <c r="K157" i="1"/>
  <c r="H157" i="1"/>
  <c r="L156" i="1"/>
  <c r="K156" i="1"/>
  <c r="H156" i="1"/>
  <c r="L155" i="1"/>
  <c r="K155" i="1"/>
  <c r="H155" i="1"/>
  <c r="L154" i="1"/>
  <c r="K154" i="1"/>
  <c r="H154" i="1"/>
  <c r="L153" i="1"/>
  <c r="K153" i="1"/>
  <c r="H153" i="1"/>
  <c r="L152" i="1"/>
  <c r="K152" i="1"/>
  <c r="H152" i="1"/>
  <c r="L151" i="1"/>
  <c r="K151" i="1"/>
  <c r="H151" i="1"/>
  <c r="L150" i="1"/>
  <c r="K150" i="1"/>
  <c r="H150" i="1"/>
  <c r="L149" i="1"/>
  <c r="K149" i="1"/>
  <c r="H149" i="1"/>
  <c r="L148" i="1"/>
  <c r="K148" i="1"/>
  <c r="H148" i="1"/>
  <c r="L147" i="1"/>
  <c r="K147" i="1"/>
  <c r="H147" i="1"/>
  <c r="L146" i="1"/>
  <c r="K146" i="1"/>
  <c r="H146" i="1"/>
  <c r="L145" i="1"/>
  <c r="K145" i="1"/>
  <c r="H145" i="1"/>
  <c r="L144" i="1"/>
  <c r="K144" i="1"/>
  <c r="H144" i="1"/>
  <c r="L143" i="1"/>
  <c r="K143" i="1"/>
  <c r="H143" i="1"/>
  <c r="L142" i="1"/>
  <c r="K142" i="1"/>
  <c r="H142" i="1"/>
  <c r="L141" i="1"/>
  <c r="K141" i="1"/>
  <c r="H141" i="1"/>
  <c r="L140" i="1"/>
  <c r="K140" i="1"/>
  <c r="H140" i="1"/>
  <c r="L139" i="1"/>
  <c r="K139" i="1"/>
  <c r="H139" i="1"/>
  <c r="L138" i="1"/>
  <c r="K138" i="1"/>
  <c r="H138" i="1"/>
  <c r="L137" i="1"/>
  <c r="K137" i="1"/>
  <c r="H137" i="1"/>
  <c r="L136" i="1"/>
  <c r="K136" i="1"/>
  <c r="H136" i="1"/>
  <c r="L135" i="1"/>
  <c r="K135" i="1"/>
  <c r="H135" i="1"/>
  <c r="L134" i="1"/>
  <c r="K134" i="1"/>
  <c r="H134" i="1"/>
  <c r="L133" i="1"/>
  <c r="K133" i="1"/>
  <c r="H133" i="1"/>
  <c r="L132" i="1"/>
  <c r="K132" i="1"/>
  <c r="H132" i="1"/>
  <c r="L131" i="1"/>
  <c r="K131" i="1"/>
  <c r="H131" i="1"/>
  <c r="L130" i="1"/>
  <c r="K130" i="1"/>
  <c r="H130" i="1"/>
  <c r="L129" i="1"/>
  <c r="K129" i="1"/>
  <c r="H129" i="1"/>
  <c r="L128" i="1"/>
  <c r="K128" i="1"/>
  <c r="H128" i="1"/>
  <c r="L127" i="1"/>
  <c r="K127" i="1"/>
  <c r="H127" i="1"/>
  <c r="L126" i="1"/>
  <c r="K126" i="1"/>
  <c r="H126" i="1"/>
  <c r="L125" i="1"/>
  <c r="K125" i="1"/>
  <c r="H125" i="1"/>
  <c r="L124" i="1"/>
  <c r="K124" i="1"/>
  <c r="H124" i="1"/>
  <c r="L123" i="1"/>
  <c r="K123" i="1"/>
  <c r="H123" i="1"/>
  <c r="L122" i="1"/>
  <c r="K122" i="1"/>
  <c r="H122" i="1"/>
  <c r="L121" i="1"/>
  <c r="K121" i="1"/>
  <c r="H121" i="1"/>
  <c r="L120" i="1"/>
  <c r="K120" i="1"/>
  <c r="H120" i="1"/>
  <c r="L119" i="1"/>
  <c r="K119" i="1"/>
  <c r="H119" i="1"/>
  <c r="L118" i="1"/>
  <c r="K118" i="1"/>
  <c r="H118" i="1"/>
  <c r="L117" i="1"/>
  <c r="K117" i="1"/>
  <c r="H117" i="1"/>
  <c r="L116" i="1"/>
  <c r="K116" i="1"/>
  <c r="H116" i="1"/>
  <c r="L115" i="1"/>
  <c r="K115" i="1"/>
  <c r="H115" i="1"/>
  <c r="L114" i="1"/>
  <c r="K114" i="1"/>
  <c r="H114" i="1"/>
  <c r="L113" i="1"/>
  <c r="K113" i="1"/>
  <c r="H113" i="1"/>
  <c r="L112" i="1"/>
  <c r="K112" i="1"/>
  <c r="H112" i="1"/>
  <c r="L111" i="1"/>
  <c r="K111" i="1"/>
  <c r="H111" i="1"/>
  <c r="L110" i="1"/>
  <c r="K110" i="1"/>
  <c r="H110" i="1"/>
  <c r="L109" i="1"/>
  <c r="K109" i="1"/>
  <c r="H109" i="1"/>
  <c r="L108" i="1"/>
  <c r="K108" i="1"/>
  <c r="H108" i="1"/>
  <c r="L107" i="1"/>
  <c r="K107" i="1"/>
  <c r="H107" i="1"/>
  <c r="L106" i="1"/>
  <c r="K106" i="1"/>
  <c r="H106" i="1"/>
  <c r="L105" i="1"/>
  <c r="K105" i="1"/>
  <c r="H105" i="1"/>
  <c r="L104" i="1"/>
  <c r="K104" i="1"/>
  <c r="H104" i="1"/>
  <c r="L103" i="1"/>
  <c r="K103" i="1"/>
  <c r="H103" i="1"/>
  <c r="L102" i="1"/>
  <c r="K102" i="1"/>
  <c r="H102" i="1"/>
  <c r="L101" i="1"/>
  <c r="K101" i="1"/>
  <c r="H101" i="1"/>
  <c r="L100" i="1"/>
  <c r="K100" i="1"/>
  <c r="H100" i="1"/>
  <c r="L99" i="1"/>
  <c r="K99" i="1"/>
  <c r="H99" i="1"/>
  <c r="L98" i="1"/>
  <c r="K98" i="1"/>
  <c r="H98" i="1"/>
  <c r="L97" i="1"/>
  <c r="K97" i="1"/>
  <c r="H97" i="1"/>
  <c r="L96" i="1"/>
  <c r="K96" i="1"/>
  <c r="H96" i="1"/>
  <c r="L95" i="1"/>
  <c r="K95" i="1"/>
  <c r="H95" i="1"/>
  <c r="L94" i="1"/>
  <c r="K94" i="1"/>
  <c r="H94" i="1"/>
  <c r="L93" i="1"/>
  <c r="K93" i="1"/>
  <c r="H93" i="1"/>
  <c r="L92" i="1"/>
  <c r="K92" i="1"/>
  <c r="H92" i="1"/>
  <c r="L91" i="1"/>
  <c r="K91" i="1"/>
  <c r="H91" i="1"/>
  <c r="L90" i="1"/>
  <c r="K90" i="1"/>
  <c r="H90" i="1"/>
  <c r="L89" i="1"/>
  <c r="K89" i="1"/>
  <c r="H89" i="1"/>
  <c r="L88" i="1"/>
  <c r="K88" i="1"/>
  <c r="H88" i="1"/>
  <c r="L87" i="1"/>
  <c r="K87" i="1"/>
  <c r="H87" i="1"/>
  <c r="L86" i="1"/>
  <c r="K86" i="1"/>
  <c r="H86" i="1"/>
  <c r="L85" i="1"/>
  <c r="K85" i="1"/>
  <c r="H85" i="1"/>
  <c r="L84" i="1"/>
  <c r="K84" i="1"/>
  <c r="H84" i="1"/>
  <c r="L83" i="1"/>
  <c r="K83" i="1"/>
  <c r="H83" i="1"/>
  <c r="L82" i="1"/>
  <c r="K82" i="1"/>
  <c r="H82" i="1"/>
  <c r="L81" i="1"/>
  <c r="K81" i="1"/>
  <c r="H81" i="1"/>
  <c r="L80" i="1"/>
  <c r="K80" i="1"/>
  <c r="H80" i="1"/>
  <c r="L79" i="1"/>
  <c r="K79" i="1"/>
  <c r="H79" i="1"/>
  <c r="L78" i="1"/>
  <c r="K78" i="1"/>
  <c r="H78" i="1"/>
  <c r="L77" i="1"/>
  <c r="K77" i="1"/>
  <c r="H77" i="1"/>
  <c r="L76" i="1"/>
  <c r="K76" i="1"/>
  <c r="H76" i="1"/>
  <c r="L75" i="1"/>
  <c r="K75" i="1"/>
  <c r="H75" i="1"/>
  <c r="L74" i="1"/>
  <c r="K74" i="1"/>
  <c r="H74" i="1"/>
  <c r="L73" i="1"/>
  <c r="K73" i="1"/>
  <c r="H73" i="1"/>
  <c r="L72" i="1"/>
  <c r="K72" i="1"/>
  <c r="H72" i="1"/>
  <c r="L71" i="1"/>
  <c r="K71" i="1"/>
  <c r="H71" i="1"/>
  <c r="L70" i="1"/>
  <c r="K70" i="1"/>
  <c r="H70" i="1"/>
  <c r="L69" i="1"/>
  <c r="K69" i="1"/>
  <c r="H69" i="1"/>
  <c r="L68" i="1"/>
  <c r="K68" i="1"/>
  <c r="H68" i="1"/>
  <c r="L67" i="1"/>
  <c r="K67" i="1"/>
  <c r="H67" i="1"/>
  <c r="L66" i="1"/>
  <c r="K66" i="1"/>
  <c r="H66" i="1"/>
  <c r="L65" i="1"/>
  <c r="K65" i="1"/>
  <c r="H65" i="1"/>
  <c r="L64" i="1"/>
  <c r="K64" i="1"/>
  <c r="H64" i="1"/>
  <c r="L63" i="1"/>
  <c r="K63" i="1"/>
  <c r="H63" i="1"/>
  <c r="L62" i="1"/>
  <c r="K62" i="1"/>
  <c r="H62" i="1"/>
  <c r="L61" i="1"/>
  <c r="K61" i="1"/>
  <c r="H61" i="1"/>
  <c r="L60" i="1"/>
  <c r="K60" i="1"/>
  <c r="H60" i="1"/>
  <c r="L59" i="1"/>
  <c r="K59" i="1"/>
  <c r="H59" i="1"/>
  <c r="L58" i="1"/>
  <c r="K58" i="1"/>
  <c r="H58" i="1"/>
  <c r="L57" i="1"/>
  <c r="K57" i="1"/>
  <c r="H57" i="1"/>
  <c r="L56" i="1"/>
  <c r="K56" i="1"/>
  <c r="H56" i="1"/>
  <c r="L55" i="1"/>
  <c r="K55" i="1"/>
  <c r="H55" i="1"/>
  <c r="L54" i="1"/>
  <c r="K54" i="1"/>
  <c r="H54" i="1"/>
  <c r="L53" i="1"/>
  <c r="K53" i="1"/>
  <c r="H53" i="1"/>
  <c r="L52" i="1"/>
  <c r="K52" i="1"/>
  <c r="H52" i="1"/>
  <c r="L51" i="1"/>
  <c r="K51" i="1"/>
  <c r="H51" i="1"/>
  <c r="L50" i="1"/>
  <c r="K50" i="1"/>
  <c r="H50" i="1"/>
  <c r="L49" i="1"/>
  <c r="K49" i="1"/>
  <c r="H49" i="1"/>
  <c r="L48" i="1"/>
  <c r="K48" i="1"/>
  <c r="H48" i="1"/>
  <c r="L47" i="1"/>
  <c r="K47" i="1"/>
  <c r="H47" i="1"/>
  <c r="L46" i="1"/>
  <c r="K46" i="1"/>
  <c r="H46" i="1"/>
  <c r="L45" i="1"/>
  <c r="K45" i="1"/>
  <c r="H45" i="1"/>
  <c r="L44" i="1"/>
  <c r="K44" i="1"/>
  <c r="H44" i="1"/>
  <c r="L43" i="1"/>
  <c r="K43" i="1"/>
  <c r="H43" i="1"/>
  <c r="L42" i="1"/>
  <c r="K42" i="1"/>
  <c r="H42" i="1"/>
  <c r="L41" i="1"/>
  <c r="K41" i="1"/>
  <c r="H41" i="1"/>
  <c r="L40" i="1"/>
  <c r="K40" i="1"/>
  <c r="H40" i="1"/>
  <c r="L39" i="1"/>
  <c r="K39" i="1"/>
  <c r="H39" i="1"/>
  <c r="L38" i="1"/>
  <c r="K38" i="1"/>
  <c r="H38" i="1"/>
  <c r="L37" i="1"/>
  <c r="K37" i="1"/>
  <c r="H37" i="1"/>
  <c r="L36" i="1"/>
  <c r="K36" i="1"/>
  <c r="H36" i="1"/>
  <c r="L35" i="1"/>
  <c r="K35" i="1"/>
  <c r="H35" i="1"/>
  <c r="L34" i="1"/>
  <c r="K34" i="1"/>
  <c r="H34" i="1"/>
  <c r="L33" i="1"/>
  <c r="K33" i="1"/>
  <c r="H33" i="1"/>
  <c r="L32" i="1"/>
  <c r="K32" i="1"/>
  <c r="H32" i="1"/>
  <c r="L31" i="1"/>
  <c r="K31" i="1"/>
  <c r="H31" i="1"/>
  <c r="L30" i="1"/>
  <c r="K30" i="1"/>
  <c r="H30" i="1"/>
  <c r="L29" i="1"/>
  <c r="K29" i="1"/>
  <c r="H29" i="1"/>
  <c r="L28" i="1"/>
  <c r="K28" i="1"/>
  <c r="H28" i="1"/>
  <c r="L27" i="1"/>
  <c r="K27" i="1"/>
  <c r="H27" i="1"/>
  <c r="L26" i="1"/>
  <c r="K26" i="1"/>
  <c r="H26" i="1"/>
  <c r="L25" i="1"/>
  <c r="K25" i="1"/>
  <c r="H25" i="1"/>
  <c r="L24" i="1"/>
  <c r="K24" i="1"/>
  <c r="H24" i="1"/>
  <c r="L23" i="1"/>
  <c r="K23" i="1"/>
  <c r="H23" i="1"/>
  <c r="L22" i="1"/>
  <c r="K22" i="1"/>
  <c r="H22" i="1"/>
  <c r="L21" i="1"/>
  <c r="K21" i="1"/>
  <c r="H21" i="1"/>
  <c r="L20" i="1"/>
  <c r="K20" i="1"/>
  <c r="H20" i="1"/>
  <c r="L19" i="1"/>
  <c r="K19" i="1"/>
  <c r="H19" i="1"/>
  <c r="L18" i="1"/>
  <c r="K18" i="1"/>
  <c r="H18" i="1"/>
  <c r="L17" i="1"/>
  <c r="K17" i="1"/>
  <c r="H17" i="1"/>
  <c r="L16" i="1"/>
  <c r="K16" i="1"/>
  <c r="H16" i="1"/>
  <c r="L15" i="1"/>
  <c r="K15" i="1"/>
  <c r="H15" i="1"/>
  <c r="L14" i="1"/>
  <c r="K14" i="1"/>
  <c r="H14" i="1"/>
  <c r="L13" i="1"/>
  <c r="K13" i="1"/>
  <c r="H13" i="1"/>
  <c r="L12" i="1"/>
  <c r="K12" i="1"/>
  <c r="H12" i="1"/>
  <c r="L11" i="1"/>
  <c r="K11" i="1"/>
  <c r="H11" i="1"/>
  <c r="L10" i="1"/>
  <c r="K10" i="1"/>
  <c r="H10" i="1"/>
  <c r="L9" i="1"/>
  <c r="K9" i="1"/>
  <c r="H9" i="1"/>
  <c r="L8" i="1"/>
  <c r="K8" i="1"/>
  <c r="H8" i="1"/>
  <c r="L7" i="1"/>
  <c r="K7" i="1"/>
  <c r="H7" i="1"/>
  <c r="L6" i="1"/>
  <c r="K6" i="1"/>
  <c r="H6" i="1"/>
  <c r="L5" i="1"/>
  <c r="K5" i="1"/>
  <c r="H5" i="1"/>
  <c r="L4" i="1"/>
  <c r="K4" i="1"/>
  <c r="H4" i="1"/>
  <c r="L3" i="1"/>
  <c r="K3" i="1"/>
  <c r="H3" i="1"/>
</calcChain>
</file>

<file path=xl/sharedStrings.xml><?xml version="1.0" encoding="utf-8"?>
<sst xmlns="http://schemas.openxmlformats.org/spreadsheetml/2006/main" count="6304" uniqueCount="395">
  <si>
    <t>БАХТИЁР ЎЗБ МАХАЛЛА 97 420 20 60</t>
  </si>
  <si>
    <t>ОҚ</t>
  </si>
  <si>
    <t>КГ</t>
  </si>
  <si>
    <t>ШУХРАТ ЮНУСОБОД 97 773 34 44</t>
  </si>
  <si>
    <t>ФАХРИДДИН ЮНУСОБОД 99 051 53 10</t>
  </si>
  <si>
    <t>МУНОЖАТ ДУРМОН 88 410 21 61</t>
  </si>
  <si>
    <t>ДОНИЁР БАРДАНКЎЛ 99 827 57 29</t>
  </si>
  <si>
    <t>ХОЖАКБАР ОДНОРАЗОВЫЙ ЦЕХ 94 650 47 69</t>
  </si>
  <si>
    <t>НОВВОТ ҚОП</t>
  </si>
  <si>
    <t>УМАР ПЛАСТИК ЮНУСОБОД 95 643 30 03</t>
  </si>
  <si>
    <t>ҚОРА</t>
  </si>
  <si>
    <t>ОЙБЕК МЕДГОРОДОК 97 401 55 52</t>
  </si>
  <si>
    <t>ОТАБЕК ФОМЛАЙН МАТРАС 97 170 92 29</t>
  </si>
  <si>
    <t>ИРОДА ЧИРЧИҚ 94 412 82 25</t>
  </si>
  <si>
    <t>АКМАЛ ЯНГИ КЛЕНТ 99 882 46 46</t>
  </si>
  <si>
    <t>МУРОД ТЕКСТИЛНИЙ 97 728 30 77</t>
  </si>
  <si>
    <t>ОҚ ЯЛТИРОҚ</t>
  </si>
  <si>
    <t>УМАРХОН СЕБЗОР 90 120 71 72</t>
  </si>
  <si>
    <t xml:space="preserve">АБДУЛЛОХ УЗБОМ ДОКОН </t>
  </si>
  <si>
    <t>АБДУШУКУР ПАРКЕНТСКИЙ Б 99 309 64 52</t>
  </si>
  <si>
    <t>ФАРРУХ ФАРХАДСКИЙ 97 109 40 22</t>
  </si>
  <si>
    <t>АЗИМШЕР 40 ЛЕТ 90 137 16 00</t>
  </si>
  <si>
    <t>МИРХАКИМ ЯНГИЙУЛ ФЛАКОН 94 634 77 07</t>
  </si>
  <si>
    <t>НУСРАТИЛЛА ЖОЪМЕ 88 860 88 88</t>
  </si>
  <si>
    <t>УЛУҒБЕК ДЕКОПЛАСТ ЧИРЧИҚ</t>
  </si>
  <si>
    <t>ҚОП</t>
  </si>
  <si>
    <t>РУСТАМ ЧИНОЗ 99 895 84 93</t>
  </si>
  <si>
    <t>РУСТАМ ЖОМЕ 97 442 88 99</t>
  </si>
  <si>
    <t>ШОКИР СЕРГЕЛИ 97 414 44 05</t>
  </si>
  <si>
    <t>НОВВОТ</t>
  </si>
  <si>
    <t>ХУСНИДДИН ОЛМОЗОР МЕТРО 93 259 84 47</t>
  </si>
  <si>
    <t>БЕГЗОД СЕРГЕЛИЙ 99 307 27 34</t>
  </si>
  <si>
    <t>ДИЛМУРОД ЯНГИ ЖОМЕ 23-Д 99 302 06 09</t>
  </si>
  <si>
    <t>САРДОР ХАСАНБОЙ 99 339 26 42</t>
  </si>
  <si>
    <t>ОЛИМ ЧИРЧИҚ 90 331 77 70</t>
  </si>
  <si>
    <t>ОҚҚОВОҚ</t>
  </si>
  <si>
    <t>КЎК</t>
  </si>
  <si>
    <t>ХУСАН 40 ЛЕТ 88 033 94 04</t>
  </si>
  <si>
    <t>ХУРШИД ПРОМЗОНА 99 833 92 92</t>
  </si>
  <si>
    <t>ЭЛЁР ҚОРАСУВ МАТРАС 94 826 44 44</t>
  </si>
  <si>
    <t>ШПУЛ -</t>
  </si>
  <si>
    <t>НАЗАРБЕК ТТЗ 91.997.66.67</t>
  </si>
  <si>
    <t>МАНСУР РАМАДАН 50 ЙИЛ 90 391 00 05</t>
  </si>
  <si>
    <t>АХРОР КАДИШВА 97 137 33 34</t>
  </si>
  <si>
    <t>САРДОР ЎЙНЧОҚ НАЗАРБЕК 93 577 70 14</t>
  </si>
  <si>
    <t>АНВАР ГВАРДЕЙСКИЙ 90 039 49 98</t>
  </si>
  <si>
    <t>ТУЙГУН ЛИМАНАРИЯ 99 830 45 41</t>
  </si>
  <si>
    <t>АБДУЖАЛИЛ БЕКТЕМИР 90 909 64 74</t>
  </si>
  <si>
    <t>САЛОХИДДИН ТЕКИСТИЛ 99 010 20 50</t>
  </si>
  <si>
    <t>АКМАЛ СОРТЕПА 97 739 23 35</t>
  </si>
  <si>
    <t>ТЕМУР ДЎМБИРОБОД 97 773 16 24</t>
  </si>
  <si>
    <t xml:space="preserve">БОТИР БУЗБОЗОР 97 707 07 28 </t>
  </si>
  <si>
    <t>БАХТИЁР ЧИРЧИҚ 97 446 27 78</t>
  </si>
  <si>
    <t>ЗИЁД ТЕКСТИЛ 99 855 61 31</t>
  </si>
  <si>
    <t>ХУСНИДДИН ҚОЙЛИҚ 99 492 04 05</t>
  </si>
  <si>
    <t>СУННАТИЛЛА ҚЎЙЛИҚ 97 351 33 23</t>
  </si>
  <si>
    <t>РУХСОРА СЕРГЕЛИЙ 90 328 28 75</t>
  </si>
  <si>
    <t>БЕГЗОД РИСОВИЙ 90 74 42 92</t>
  </si>
  <si>
    <t>ВАСИЛ СЕРГЕЛИ 90 946 08 83</t>
  </si>
  <si>
    <t>ШУХРАТ ТЎЙ ТЕПА 93 557 30 31</t>
  </si>
  <si>
    <t>ЧИННИБЕК МЕБЕЛ ЦЕХ 94 858 05 28</t>
  </si>
  <si>
    <t>ОТАБЕК ЯНГИБОЗОР 55 901 00 73</t>
  </si>
  <si>
    <t>ОЛИМ САМАРҚАНД ДАРВОЗА 99 262 72 72</t>
  </si>
  <si>
    <t>ШЕРЗОД УНИВЕРСАМ 99 530 01 85</t>
  </si>
  <si>
    <t>ЗОКИР ТТЗ 97 401 72 22</t>
  </si>
  <si>
    <t>РУСТАМ АВИХЕР ПЛАСТИК 97 157 60 70</t>
  </si>
  <si>
    <t>шот фак берлдли</t>
  </si>
  <si>
    <t>БАХРОМ ФУТ СИТИ</t>
  </si>
  <si>
    <t>МУРОД БПС СОБРАХИМОВ 77 706 35 35</t>
  </si>
  <si>
    <t>СИРОЖИДДИН ПАНЕЛНИЙ 90 980 61 74</t>
  </si>
  <si>
    <t>БАХТИЁР ЮНУСОБОД САБЗАВОТ 97 766 75 70</t>
  </si>
  <si>
    <t>ХУСАН УЗБОМ 90 009 89 56</t>
  </si>
  <si>
    <t>ДАВРОН КЕЛЕС 99 638 07 07</t>
  </si>
  <si>
    <t>АКМАЛ НАЗАРБЕК 97 752 16 76</t>
  </si>
  <si>
    <t>БЕРДИҚУЛ ЎРИКЗОР 90 942 91 00</t>
  </si>
  <si>
    <t>БАХОДИР ТИНЧЛИК 97 774 22 74</t>
  </si>
  <si>
    <t>ХИММАТ ҚОРАСУВ 94 634 29 91</t>
  </si>
  <si>
    <t>ДОНИЁР ТАНСИҚБОЙ 90 806 13 13</t>
  </si>
  <si>
    <t>КАМРОН 97 180 45 67</t>
  </si>
  <si>
    <t>САНЖАР ПЛАСМАС ҚАХРАМОН 99 853 00 22</t>
  </si>
  <si>
    <t>МУХАММАД ҚИБРАЙ ПОКЕЙ ЦЕХ 97 401 53 53</t>
  </si>
  <si>
    <t>ЖАСУР ҚЎЙЛИҚ 88 386 31 30</t>
  </si>
  <si>
    <t>АКБАР БОЛТА 99 855 95 77</t>
  </si>
  <si>
    <t>8 МИКРАРАЙОН</t>
  </si>
  <si>
    <t>АКМАЛ ЧИРЧИҚ 97 739 27 39</t>
  </si>
  <si>
    <t>БЕГЗОД ПАРКЕНТ 95 001 66 99</t>
  </si>
  <si>
    <t>ИБРОХИМ БЕШҚОРҒОН 99 891 85 40</t>
  </si>
  <si>
    <t>ХОЗМАК</t>
  </si>
  <si>
    <t>АБДУЛАЗИЗ А НАБИЕВ 90 957 33 11</t>
  </si>
  <si>
    <t>КОМОЛИДДИН СИРДАРЙО 99 197 11 01</t>
  </si>
  <si>
    <t>ФАРРУХ ТТЗ 99 819 23 43</t>
  </si>
  <si>
    <t>ЭРКИН АСКИЯ БОЗОР 90 946 76 96</t>
  </si>
  <si>
    <t>ШАВКАТ СЕРГЕЛИЙ 33 526 83 83</t>
  </si>
  <si>
    <t>ДАВРОН ЦИНТИФОН ЦЕХ 9984407 70</t>
  </si>
  <si>
    <t>САРДОР 18 КВАРТАЛ 90 939 59 49</t>
  </si>
  <si>
    <t>ФЕРУЗ БЕКТЕМИР 94 646 42 10</t>
  </si>
  <si>
    <t>САИДЖОН ЧОШТЕПА 99 929  21 21</t>
  </si>
  <si>
    <t xml:space="preserve">цех </t>
  </si>
  <si>
    <t>УМАР ЯНГИЙЎЛ 90 316 96 59</t>
  </si>
  <si>
    <t>ЖАМОЛ ЧИЛОНЗОР 99 558 44 19</t>
  </si>
  <si>
    <t>ҚУДРАТИЛЛА МЕДГОРОДОК 97 724 43 55</t>
  </si>
  <si>
    <t>САНЖАР Ц5 93 108 08 08</t>
  </si>
  <si>
    <t>СОБИР ҚЎЙЛИҚ 90 114 50 79</t>
  </si>
  <si>
    <t>АБДУЛЛОХ ПАНЕЛНИЙ 99 819 85 15</t>
  </si>
  <si>
    <t>ОТАБЕК ЯНГИЙЎЛ 97 880 81 81</t>
  </si>
  <si>
    <t>ХОЖАКБАР НБФ 77 088 47 47</t>
  </si>
  <si>
    <t>АЛИЖОН КЕЛЕС 99 992 62 66</t>
  </si>
  <si>
    <t>АБДУЛЛОХ ЖАР АРИҚ 99 168 33 33</t>
  </si>
  <si>
    <t>ИСРОИЛ ЯНГИЙЎЛ 99 806 88 33</t>
  </si>
  <si>
    <t>ШАМШОД 40 ЛЕТ 91 827 47 07</t>
  </si>
  <si>
    <t>ШАХБОЗ НУРАФШОН 33 888 02 70</t>
  </si>
  <si>
    <t>ВАСИЛА ХОЛА СЕРГЕЛИ 94 699 53 93</t>
  </si>
  <si>
    <t>ҒИЁСИДДИН ИБИН СИНО 93 572 07 77</t>
  </si>
  <si>
    <t>АСАД ЧУКИРСОЙ ОЙНЧОҚ  97 733 07 38</t>
  </si>
  <si>
    <t>ШУХРАТ ТТЗ 93 516 36 15</t>
  </si>
  <si>
    <t>АВАЗ ТУЗ 93 229 12 36</t>
  </si>
  <si>
    <t>ЖАХОНГИР ОЛМАЛИК 88 439 00 00</t>
  </si>
  <si>
    <t>АКМАЛ ЦУМ 99 004 00 46</t>
  </si>
  <si>
    <t>ҒУЛОМ ЯНГИЙУЛ 99 803 31 09</t>
  </si>
  <si>
    <t>КУК ТОЗА</t>
  </si>
  <si>
    <t>ФАРХОД ПОВОРОТ 90 110 22 99</t>
  </si>
  <si>
    <t>МУХАММАДЖОН ДУРМОН 77 489 77 70</t>
  </si>
  <si>
    <t>ТОЛИБ МАТРАС 99 392 31 55</t>
  </si>
  <si>
    <t>ДОСТОН МАСЛА ЖИР 94 128 34 44</t>
  </si>
  <si>
    <t>ФАХРИДДИН ЮНУСОБОД 14 КВ 99 519 45 31</t>
  </si>
  <si>
    <t>ХУМОЙИН ЗАНГОТА 99 847 04 14</t>
  </si>
  <si>
    <t>ДИЛМУРОД ЎЙНЧОҚ НАЗАРБЕК 97 723 19 81</t>
  </si>
  <si>
    <t>СОБИТЖОН ИЛОНЛИ ОТА 90 946 54 05</t>
  </si>
  <si>
    <t>НУРИДДИН ҚЎЙЛИҚ 90 333 89 33</t>
  </si>
  <si>
    <t>СУННАТ БАКАЛАШКА СЕХ  99 845 00 20</t>
  </si>
  <si>
    <t>АБДУЛЛОХ СИГНЕТ 95 830 55 55</t>
  </si>
  <si>
    <t>ХУСНИДДИН ТИНЧЛИК</t>
  </si>
  <si>
    <t>КОМОЛИДДИН НАЗАРБЕК</t>
  </si>
  <si>
    <t>ЗАФАР ЮНУСОБОД 90 350 53 52</t>
  </si>
  <si>
    <t>ЎТКИР ТЕКСТИЛ 93 300 30 67</t>
  </si>
  <si>
    <t>ХУСАН АЛ ХОРАЗМИЙ 97 739 75 28</t>
  </si>
  <si>
    <t>ОРИФ УЧТЕПА 90 873 54 95</t>
  </si>
  <si>
    <t>ШОХРУХ УЗБОМ</t>
  </si>
  <si>
    <t>МУРОДИЛЛА НУРХАЙОТ ЦЕХ ПЛАСМАС 99 301 70 10</t>
  </si>
  <si>
    <t>ОРИФ ТТЗ 99 862 46 85</t>
  </si>
  <si>
    <t>ДИЛШОД ҚОРАМУРТ 99 845 22 11</t>
  </si>
  <si>
    <t>БАХРОМ ЗАНГИОТА 99 814 06 60</t>
  </si>
  <si>
    <t>МУРОД МЕГАПЛАНЕТ 90 961 38 98</t>
  </si>
  <si>
    <t>ЧОРИ ГВАРДЕЙСКИЙ 90 091 41 00</t>
  </si>
  <si>
    <t>НОМОЗ ЦИОЛКОВСКИЙ 99 956 66 89</t>
  </si>
  <si>
    <t>КОЗИМ ТТЗ 90 186 58 48</t>
  </si>
  <si>
    <t>УМИД ПОВОРОТ 99 934 99 96</t>
  </si>
  <si>
    <t>МАХКАМ ҚОРАСУВ 97 140 32 32</t>
  </si>
  <si>
    <t>БАХТИЁР ГУЛЗОР 99 002 72 00</t>
  </si>
  <si>
    <t>ГАЗАЛКЕНТ</t>
  </si>
  <si>
    <t>ЖАМОЛ ХАСАНБОЙ 90 944 27 83</t>
  </si>
  <si>
    <t>РЎЗМИДДИН ЮНУСОБОД 94 699 99 46</t>
  </si>
  <si>
    <t>ШОКИР АЛГОРИТИМ 90 961 23 24</t>
  </si>
  <si>
    <t>КОМОЛИДДИН СТАР ПЛАСТ</t>
  </si>
  <si>
    <t>ИЛЁС СЕРГЕЛИ 97 102 25 25</t>
  </si>
  <si>
    <t>ОТАБЕК КИМ ПЕН ХВА</t>
  </si>
  <si>
    <t>САХОБИДДИН ЮНУСОБОД 19 КВ 97 115 06 06</t>
  </si>
  <si>
    <t>ШУХРАТ ТОРГОВИЙ 88 178 08 05</t>
  </si>
  <si>
    <t>ҚОРАҚОЛПОҚ</t>
  </si>
  <si>
    <t>АНВАР ФАРХАДСКИЙ 90 351 60 50</t>
  </si>
  <si>
    <t>ШУХРАТ ЧОРСУ 93 533 28 53</t>
  </si>
  <si>
    <t>НОСИР ЮНУСОБОД 93 506 00 06</t>
  </si>
  <si>
    <t>АБДУҚАХХОР ҚУШ БОЗОР 97 778 76 66</t>
  </si>
  <si>
    <t>ШЛАКАБЛОК ЦЕХ 98 707 98 77</t>
  </si>
  <si>
    <t>АХМАДЖОН БЕКТОППИ 88 343 33 31</t>
  </si>
  <si>
    <t>МИРЗОИР НУРАФШОН 99 090 00 77</t>
  </si>
  <si>
    <t>ҚУДРАТИЛЛА СИММА ХОТЕЛ</t>
  </si>
  <si>
    <t>ДАВРОН ҚУШБЕГИ 99 844 07 70</t>
  </si>
  <si>
    <t>АВАЗ ХАСАНБОЙ 90 004 01 24</t>
  </si>
  <si>
    <t>ИБРОХИМ БОССУВ 97 0047 67 77</t>
  </si>
  <si>
    <t>ОЛИМ КЕЛЕС 95 989 76 67</t>
  </si>
  <si>
    <t>ДОНИЁР КЕЛЕС ФЛАКОН ЦЕХ 94 665 06 50</t>
  </si>
  <si>
    <t>АЛИШЕР ТЕКСТИЛ ЯНГИЙЎЛ 99 847 10 55</t>
  </si>
  <si>
    <t>ҒИЁСИДДИН ЮНУСОБОД 50 005 99 49</t>
  </si>
  <si>
    <t>АЗАМ  ШОТА РУСТЕВЕЛИ 99 913 38 50</t>
  </si>
  <si>
    <t>АНВАР ЦАЛКОВСКИЙ 90 964 55 08</t>
  </si>
  <si>
    <t>ФАРРУХ ХОНАБОД 90 952 56 52</t>
  </si>
  <si>
    <t>ШЕРЗОД ҚОРАСУВ 97 729 42 02</t>
  </si>
  <si>
    <t>МУХИДДИН ВОДНИК 90 979 50 50</t>
  </si>
  <si>
    <t>МАКСИМ</t>
  </si>
  <si>
    <t>ФАРХОД ИБИН СИНО 93 566 66 46</t>
  </si>
  <si>
    <t>САИД РИСОВИЙ 90 939 90 09</t>
  </si>
  <si>
    <t>МУАЗЗАМ КАДИШВА 99 972 89 98</t>
  </si>
  <si>
    <t>БОХОДИР СЕРГЕЛИ СТР 99 999 62 45</t>
  </si>
  <si>
    <t xml:space="preserve"> </t>
  </si>
  <si>
    <t>МУХАММАД ПОНЕЛНИЙ 90 176 31 10</t>
  </si>
  <si>
    <t>КОТЕЛНИЙ ЖОЙ</t>
  </si>
  <si>
    <t>ФАЗЛИДДИН КИНПЕНХУА 99 236 99 39</t>
  </si>
  <si>
    <t>МУРОД ЭРКИН 97 746 66 43</t>
  </si>
  <si>
    <t>СОБИР УЧХОЗ 97 748 27 07</t>
  </si>
  <si>
    <t>ТОХИР ТТЗ 99 868 00 71</t>
  </si>
  <si>
    <t>ХАМИДУЛЛА ЧОРСУ 90 319 07 25</t>
  </si>
  <si>
    <t>РУЛОН КЕСМАГА</t>
  </si>
  <si>
    <t>ЖАМШИД ПОДВАЛ</t>
  </si>
  <si>
    <t>ОРИП ОЛМОС ТОЙХОНА 90 873 54 95</t>
  </si>
  <si>
    <t>ДИЛОБАР ҚОРАСУВ 88 122 99 90</t>
  </si>
  <si>
    <t>АБДУХАМИД ВОДНИК 77 304 18 75</t>
  </si>
  <si>
    <t>ДИЛМУРОД ЧЕРНАЕВКА 98 126 55 53</t>
  </si>
  <si>
    <t>ФАРРУХ ГВАРДЕЙСКИЙ 90 004 46 46</t>
  </si>
  <si>
    <t>ИКРОМ КЕЛЕС 95 081 01 65</t>
  </si>
  <si>
    <t>АБДУРАХМОН КЕЛЕС 94 665 06 50</t>
  </si>
  <si>
    <t>БАХРОМ ВОДНИК 90 965 72 09</t>
  </si>
  <si>
    <t>ДИЛФУЗА ЯНГИЙЎЛ 90 128 45 54</t>
  </si>
  <si>
    <t>АБДУҒОФИР АЛГОРИТИМ 90 925 82 72</t>
  </si>
  <si>
    <t>АХМАТЖОН ТОРГОВИЙ 99 807 91 00</t>
  </si>
  <si>
    <t>САИДҒАНИ ПАРЛАМЕНТ 98 126 72 05</t>
  </si>
  <si>
    <t>ДИЛМУРОД 3 ҚАХРАМОН 97 711 27 96</t>
  </si>
  <si>
    <t>САРВАР ЧЕРНАЕВКА 93 165 20 00</t>
  </si>
  <si>
    <t>ДИЛШОД ЮНУСОБОД 77 010 92 22</t>
  </si>
  <si>
    <t>ШЕРАЛИ ИЙК ОТА 70 122 08 04</t>
  </si>
  <si>
    <t>ШЕРАЛИ ҚОЙЛИҚ 90 978 22 89</t>
  </si>
  <si>
    <t>МУХЛИСХОН ОДНОРОЗВЫЙ 94 283 61 63</t>
  </si>
  <si>
    <t>АТХАМ ЧИРЧИҚ 99 407 40 74</t>
  </si>
  <si>
    <t>УМАР КАДИШВА 97 777 42 46</t>
  </si>
  <si>
    <t>ШУХРАТ ЮНУСОБОД 15 КВ 99 818 34 24</t>
  </si>
  <si>
    <t>ИБРОХИМ ЭРКИН ПОСТ МАТРАС 97 709 94 40</t>
  </si>
  <si>
    <t>УСМОН КАДИШЕВА 88 702 70 71</t>
  </si>
  <si>
    <t>РУСТАМ НОВОМОСКОВСКИЙ 94 632 20 50</t>
  </si>
  <si>
    <t>ХАБИБУЛЛОХ ЯНГИЙЎЛ</t>
  </si>
  <si>
    <t>ОҒАБЕК ЯНГИБОЗОР 33 310 20 00</t>
  </si>
  <si>
    <t>МУХАММАД ДУРМОН 77 489 77 70</t>
  </si>
  <si>
    <t>АБДУЛАТИФ ИЗЗАТ КЎЧА  97 754 16 12</t>
  </si>
  <si>
    <t>ҒАЙРАТ МЕГА ПЛАНЕТ 90 972 12 14</t>
  </si>
  <si>
    <t>РЎЗИВОЙ ҚОРАСУВ 88 018 19 91</t>
  </si>
  <si>
    <t>2 ТОЧКА</t>
  </si>
  <si>
    <t>ШУХРАТ КЕЛЕС 99 800 19 00</t>
  </si>
  <si>
    <t>МУНОЖАТ ЧИРЧУ 90 139 78 76</t>
  </si>
  <si>
    <t>ҒАЗААЛКЕНТ</t>
  </si>
  <si>
    <t>АБДУЛЛОХ ТРАВЕРТИНГ</t>
  </si>
  <si>
    <t>ИЗЗАТ ТРАВЕРТИНГ</t>
  </si>
  <si>
    <t>ХАЛИМ СЕРГЕЛИ 90 824 44 00</t>
  </si>
  <si>
    <t>ДИЛШОД ЯНГИЙЎЛ ШЛАКАБЛОК 94 216 65 76</t>
  </si>
  <si>
    <t>УМИД СЕРГЕЛИ 98 101 36 56</t>
  </si>
  <si>
    <t>УМАР ЮНУСОБОД 99 821 32 21</t>
  </si>
  <si>
    <t>ИНОЯТ ОПА МЕДГОРОДОК 90 350 92 01</t>
  </si>
  <si>
    <t>ФАХРИДДИН ЮНУСОБОД 99 519 45 31</t>
  </si>
  <si>
    <t>ИЛХОМ БАРДАНКЎЛ 97 460 90 95</t>
  </si>
  <si>
    <t>ШУХРАТ ТАРВУЗ 90 595 79 23</t>
  </si>
  <si>
    <t>ШПУЛА</t>
  </si>
  <si>
    <t>АБДУБОҚИЙ СОБРОХ БАКЛАШКА ЦЕХ 94 602 00 73</t>
  </si>
  <si>
    <t>ЭЛБЕК ПАРКЕНТСКИЙ 99 833 24 02</t>
  </si>
  <si>
    <t>ДИЛШОД НАЗАРБЕК 97 772 50 01</t>
  </si>
  <si>
    <t>АКБАР РИЧ</t>
  </si>
  <si>
    <t>САЙФИДДИН ЦИОЛКОВСКИЙ 97 702 73 76</t>
  </si>
  <si>
    <t>НАСИБА ТАШ. Г. РЕС. 97 774 84 76</t>
  </si>
  <si>
    <t>ХОЗ</t>
  </si>
  <si>
    <t>НУРИДДИН МАССИВ 5 90 333 89 33</t>
  </si>
  <si>
    <t>ШАВКАТ ОҚТЕПА СОХИЛБЎЙИ 94 893 00 53</t>
  </si>
  <si>
    <t>ШЕРЗОД АКАНИ ДОСТИ</t>
  </si>
  <si>
    <t>ШЕРЗОД ТТЗ 93 510 10 40</t>
  </si>
  <si>
    <t>АЛИШЕР СЕРСЕРГЕЛИЙ 90 918 35 32</t>
  </si>
  <si>
    <t>АХАТҚУЛ СЕРГЕЛИ 90 359 35 06</t>
  </si>
  <si>
    <t>КОЗИМ СЕВР ВОСТОК</t>
  </si>
  <si>
    <t>103 КЎК</t>
  </si>
  <si>
    <t>САРВАР ДЎРМОН 88 703 52 52</t>
  </si>
  <si>
    <t>ТОЗА КЎК</t>
  </si>
  <si>
    <t>МУХАММАДЖОН ИБН СИНО 99 046 10 38</t>
  </si>
  <si>
    <t>ХАМИДУЛЛОХ СЕРГЕЛИЙ 90 123 33 23</t>
  </si>
  <si>
    <t>ТАРВУЗКЛЕНТ</t>
  </si>
  <si>
    <t xml:space="preserve">  </t>
  </si>
  <si>
    <t>ОҚ 2</t>
  </si>
  <si>
    <t>ДАВРОН А.ДОНИШ 90 986 70 88</t>
  </si>
  <si>
    <t>ХАКИМ ЭМУЛТЦИЯ ТИНЧЛИК</t>
  </si>
  <si>
    <t>МУСТАФО АСКИЯ БОЗОР 88 180 20 80</t>
  </si>
  <si>
    <t>САНА</t>
  </si>
  <si>
    <t>МИЖОЗ</t>
  </si>
  <si>
    <t>ТОВАР</t>
  </si>
  <si>
    <t>ЎЛ.БИР</t>
  </si>
  <si>
    <t>СОНИ</t>
  </si>
  <si>
    <t>НАРХИ</t>
  </si>
  <si>
    <t>ЖАМИ</t>
  </si>
  <si>
    <t>ОҒИРЛИГИ</t>
  </si>
  <si>
    <t>ТАННАРХ</t>
  </si>
  <si>
    <t>ЖАМИ2</t>
  </si>
  <si>
    <t>ФОЙДА</t>
  </si>
  <si>
    <t>КЛИК</t>
  </si>
  <si>
    <t>МУЗАФФАР УНИВЕРСАМ 94 659 07 78</t>
  </si>
  <si>
    <t>БАХОДИР НАЗАРБЕК 99 834 06 17</t>
  </si>
  <si>
    <t>АЗАМ ЯНГИОБОД 90 916 98 89</t>
  </si>
  <si>
    <t>ПЕР</t>
  </si>
  <si>
    <t>РАВШАН СЕРГЕЛИЙ 99 909 68 33</t>
  </si>
  <si>
    <t>АЗАМ ЧОШТЕПА 99 846 46 15</t>
  </si>
  <si>
    <t>ЭЛДОР ҚОЙЛИҚ 94 648 08 04</t>
  </si>
  <si>
    <t>ДОНИЁР УЗБОМ</t>
  </si>
  <si>
    <t>ФЕРУЗА КОТТА ҚАНИ 90 980 51 10</t>
  </si>
  <si>
    <t>ХИЛОЛА ЎЗГАРИШ 93 686 65 45</t>
  </si>
  <si>
    <t>МУЗАФФАР БЕКТЕМИР 90 345 45 86</t>
  </si>
  <si>
    <t>пер</t>
  </si>
  <si>
    <t>МАХМУД ҒУНЧА 94 684 83 83</t>
  </si>
  <si>
    <t>АЗАМАТ ҚЎЙЛИҚ 90 138 36 63</t>
  </si>
  <si>
    <t>ШАВКАТ ХАСАНБОЙ 97 740 32 31</t>
  </si>
  <si>
    <t>ШУХРАТ ЖОМЕ 336 ДОКОН 90 318 36 00</t>
  </si>
  <si>
    <t>ЖАВОХИР ДЎМБИРОБОД 95 030 01 06</t>
  </si>
  <si>
    <t>ИСЛОМ ГВАРДИЙСКИЙ 90 994 35 08</t>
  </si>
  <si>
    <t>ЖАСУР 40 ЛЕТ 97 760 17 02</t>
  </si>
  <si>
    <t xml:space="preserve">ПЕР </t>
  </si>
  <si>
    <t>АБДУҚАЮМ ДАЛИГУЗАР 99 851 16 13</t>
  </si>
  <si>
    <t>МАНСУР ДЎМБИРОБОД 91 015 08 98</t>
  </si>
  <si>
    <t>МАРАТ ҚОРАСУВ 90 944 68 11</t>
  </si>
  <si>
    <t>МУЗАФФАР ТЕМИРЙЎЛ ИНС. 99 809 36 68</t>
  </si>
  <si>
    <t>ОТАБЕК ЦИОЛКОВСКИЙ 99 851 63 31</t>
  </si>
  <si>
    <t>РАВШАН КАДИШВА 97 726 35 55</t>
  </si>
  <si>
    <t>САРДОР АСКИЯ БОЗОР 97 747 12 08</t>
  </si>
  <si>
    <t>СЕВАРА РОХАТ 90 052 61 61</t>
  </si>
  <si>
    <t>УМИД ЧИЛОНЗОР 95 632 22 99</t>
  </si>
  <si>
    <t>ХАМЗА ТИГЕР ТЕКСТИЛ</t>
  </si>
  <si>
    <t>ХАМИДУЛЛОХ МИРОБОД 90 978 61 61</t>
  </si>
  <si>
    <t>ШЕРЗОДКЛЕНТ</t>
  </si>
  <si>
    <t>НОДИР ЧИНОЗ 33 771 71 07</t>
  </si>
  <si>
    <t>МУЗАФФАР ПАРКЕНТ 99 804 74 75</t>
  </si>
  <si>
    <t>ТЎРАБЕК ЧЕРНАЕВКА 97 000 32 20</t>
  </si>
  <si>
    <t>ТОХИР КЕЛЕС 97 755 74 48</t>
  </si>
  <si>
    <t>САРВАР ПЛАСМАС ЦЕХ 33 389 33 33</t>
  </si>
  <si>
    <t>КОМОЛА</t>
  </si>
  <si>
    <t>пЕР</t>
  </si>
  <si>
    <t>ШУХРАТ ТРАВЕРТИНГ 90 330 52 04</t>
  </si>
  <si>
    <t>клик</t>
  </si>
  <si>
    <t>СЎМ</t>
  </si>
  <si>
    <t>ВАЛЮТА</t>
  </si>
  <si>
    <t>КУРС</t>
  </si>
  <si>
    <t>ТЎЛОВ ТУРИ</t>
  </si>
  <si>
    <t>ИЗОХ</t>
  </si>
  <si>
    <t>БАХТИЁР МЕДГОРОДОК 90 358 07 54</t>
  </si>
  <si>
    <t>ОҚ 2 СОРТ</t>
  </si>
  <si>
    <t>АЛИШЕР СЕРГЕЛИЙ 33 447 35 00</t>
  </si>
  <si>
    <t>ГИДРО</t>
  </si>
  <si>
    <t>АБДУВОХИД ИБИН СИНО 99 308 15 15</t>
  </si>
  <si>
    <t>ИСЛОМ ҚОЙЛИҚ 90 188 97 67</t>
  </si>
  <si>
    <t>ЖОНИБЕК ЮНУСОБОД 90 914 09 14</t>
  </si>
  <si>
    <t>ЖАМШИД ҚОРАСУВ 50 779 00 35</t>
  </si>
  <si>
    <t>УМИДЖОН ВОДНИК 99 891 28 93</t>
  </si>
  <si>
    <t>АНВАР ФАРХАДСКИЙ 94 605 00 14</t>
  </si>
  <si>
    <t>ХАСАН СЕРГЕЛИЙ 90 351 23 09</t>
  </si>
  <si>
    <t>ИКРОМ ҒУНЧА 90 167 88 62</t>
  </si>
  <si>
    <t>ШПУЛ-</t>
  </si>
  <si>
    <t>МУЗАФФАР ЖОМЕ 99 322 05 74</t>
  </si>
  <si>
    <t xml:space="preserve">АЮБХОН ЧИЛОН 90 968 72 91 </t>
  </si>
  <si>
    <t>АБДУСАТТОР ИБН СИНО 99 407 85 55</t>
  </si>
  <si>
    <t>ХАБИБУЛЛО БЕК ТЎПИ 93 537 00 08</t>
  </si>
  <si>
    <t>АХРОР ШОТА РУСТАВЕЛИ 98 123 10 23</t>
  </si>
  <si>
    <t>ЭЛДОР ПАРКЕНТ 99 127 62 87</t>
  </si>
  <si>
    <t>ЖАМШИД УЗБОМ</t>
  </si>
  <si>
    <t>МАВЛОН ЛИМАНАРИЯ 93 553 37 32</t>
  </si>
  <si>
    <t>БОХОДИР ТИНЧЛИК 90 906 45 53</t>
  </si>
  <si>
    <t>МАХЛИЁО СЕРГЕЛИЙ 97 381 51 14</t>
  </si>
  <si>
    <t>ИЗЗАТ СЕРГЕЛИЙ 98 143 77 77</t>
  </si>
  <si>
    <t>ЗИЁДУЛЛОХ СОЛНЕЧНИЙ 90 990 26 56</t>
  </si>
  <si>
    <t>АБДУҚОДИР ЯККАСАРОЙ 99 877 39 49</t>
  </si>
  <si>
    <t>САЙОРА ҚОЗОРОБОД 90 063 13 33</t>
  </si>
  <si>
    <t>МИРЛАЗИЗ ЧОРСУ 98.314.61.41</t>
  </si>
  <si>
    <t>40 та</t>
  </si>
  <si>
    <t>ХУСНОРА ЮНУСОБОД 99 484 32 35</t>
  </si>
  <si>
    <t>ДОНИЁР 15 КВ ЮНУСОБОД 88 711 61 11</t>
  </si>
  <si>
    <t>УММАТ ШЛАКАБЛОК СУРМ СЕХ 90 949 37 70</t>
  </si>
  <si>
    <t xml:space="preserve">ДОНИЁР СУРУМ </t>
  </si>
  <si>
    <t>МУЗАФФАР ЯНГИ КЛЕНТ 90 184 10 07</t>
  </si>
  <si>
    <t>240 см</t>
  </si>
  <si>
    <t>250 см</t>
  </si>
  <si>
    <t>ИБРОХИМ БЕКТЕМИР 99 859 21 40</t>
  </si>
  <si>
    <t>ХУРШИД ЭРКИН ПОСТ 98 809 70 71</t>
  </si>
  <si>
    <t>БОТИР ЧОРОСУ 97 732 94 92</t>
  </si>
  <si>
    <t>ШОХРУЛЛО МАГНИТ КЎЧА 99 700 40 30</t>
  </si>
  <si>
    <t xml:space="preserve">РУСТАМ ЧИНОЗ </t>
  </si>
  <si>
    <t>240см</t>
  </si>
  <si>
    <t xml:space="preserve">ХАСАН ЦИОЛКОВСКИЙ 33 939 26 26 </t>
  </si>
  <si>
    <t>УМАР МУМИН ЦИОЛОВСКИЙ</t>
  </si>
  <si>
    <t>РУСТАМЖОН ЦИОЛКОВСКИЙ</t>
  </si>
  <si>
    <t>АКБАР БЕК ТЎПИ 97 727 80 10</t>
  </si>
  <si>
    <t>УЛУҒБЕК КОТТАҚАНИ 98 809 55 85</t>
  </si>
  <si>
    <t>БЕХРУЗ ЧИЛОНЗОР 19 КВ 88 586 15 65</t>
  </si>
  <si>
    <t>САИД ГВАРДЕВСКИЙ 97 411 17 38</t>
  </si>
  <si>
    <t>ОҒАБЕК ЯНГИБОЗОР 97 310 20 00</t>
  </si>
  <si>
    <t>ЁРКИН МЕДГАРАДОК 90 994 07 72</t>
  </si>
  <si>
    <t>НОДИР АКА КЛЕС 99 303 66 36</t>
  </si>
  <si>
    <t>БОТИР БЕДАПОЯ 90 808 22 26</t>
  </si>
  <si>
    <t>ШЕРЖОН АКА ЦИО ЦИОЛКОВИСКИЙ 99 484 43 21</t>
  </si>
  <si>
    <t>САРВАР АКА РИСОВИЙ 93 577 88 82</t>
  </si>
  <si>
    <t>АЛИШЕР БАРДАНКУЛ 99 532 08 46</t>
  </si>
  <si>
    <t>ОТАБЕК КЕЛЕС 97 774 06 08</t>
  </si>
  <si>
    <t>кг</t>
  </si>
  <si>
    <t>ҒАЙРАТ РАМАДАН 99 095 90 80</t>
  </si>
  <si>
    <t>ЗАФАР ИЗЗА 1.19 ДУКОН</t>
  </si>
  <si>
    <t>Нитканка</t>
  </si>
  <si>
    <t>РУСТАМ ПАРКЕНТ 99 822 86 78</t>
  </si>
  <si>
    <t>ШЕРЖОН АКА ЦИОЛКОВИСКИЙ 99 484 43 21</t>
  </si>
  <si>
    <t>ИХТИЁР ОПТОМ 99 863 80 12</t>
  </si>
  <si>
    <t>23та рулон</t>
  </si>
  <si>
    <t>ТУЛКИН ФУТСИТИЙ 99 843 04 08</t>
  </si>
  <si>
    <t>ОҚ 1 СОРТ</t>
  </si>
  <si>
    <t>ОБИД АКА ПАРКЕНТСКИЙТ 97 423 05 01</t>
  </si>
  <si>
    <t>ДОНИЁР БАРДАНКУЛ 99 827 57 29</t>
  </si>
  <si>
    <t xml:space="preserve">ДОНИЁР ТАНСИҚБОЙ 90 350 53 52 </t>
  </si>
  <si>
    <t>БАХТИЁР ЮНУСОБОД ГИЛАМ 93 833 98 88</t>
  </si>
  <si>
    <t>оброзец</t>
  </si>
  <si>
    <t>АЗИМ ШЕР 40 ЛЕТ 90 137 16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</si>
</sst>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#,##0.00_ ;[Red]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2" borderId="1" xfId="0" applyNumberFormat="1" applyFont="1" applyFill="1" applyBorder="1" applyAlignment="1">
      <alignment horizontal="center"/>
    </xf>
    <xf numFmtId="49" fontId="0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5" fontId="0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0" fillId="2" borderId="3" xfId="0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65" fontId="0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0" fillId="4" borderId="2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/>
    </xf>
    <xf numFmtId="165" fontId="0" fillId="6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1;&#1054;&#1047;&#1052;&#1040;&#1043;&#1051;&#1040;&#1056;%202024-2025%2027%20(2)%20(2)%20(3)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1;&#1054;&#1047;&#1052;&#1040;&#1043;&#1051;&#1040;&#1056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СОСИЙ"/>
      <sheetName val="СОТУВ"/>
      <sheetName val="ТЎЛОВ"/>
      <sheetName val="АКТ СВЕРКА"/>
      <sheetName val="ОМБОР ҚОЛДИҒИ"/>
      <sheetName val="Лист2"/>
      <sheetName val="Лист1"/>
      <sheetName val="КИРИМ ОМБОР"/>
      <sheetName val="БОШЛАҒИЧ САЛЬДО"/>
      <sheetName val="СТАТИСТИКА"/>
      <sheetName val="МАЪЛУМОТЛАР"/>
      <sheetName val="КОНТРАГЕНТ"/>
      <sheetName val="ХОЗМАГЛАР 2024-2025 27 (2) (2)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СОСИЙ"/>
      <sheetName val="СОТУВ"/>
      <sheetName val="ТЎЛОВ"/>
      <sheetName val="АКТ СВЕРКА"/>
      <sheetName val="ОМБОР ҚОЛДИҒИ"/>
      <sheetName val="Лист1"/>
      <sheetName val="КИРИМ ОМБОР"/>
      <sheetName val="БОШЛАҒИЧ САЛЬДО"/>
      <sheetName val="СТАТИСТИКА"/>
      <sheetName val="МАЪЛУМОТЛАР"/>
      <sheetName val="КОНТРАГЕН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460"/>
  <sheetViews>
    <sheetView tabSelected="1" topLeftCell="B2" workbookViewId="0">
      <selection activeCell="S993" sqref="S993"/>
    </sheetView>
  </sheetViews>
  <sheetFormatPr defaultRowHeight="15" x14ac:dyDescent="0.25"/>
  <cols>
    <col min="3" max="3" width="40.28515625" customWidth="1"/>
    <col min="4" max="4" width="18.42578125" customWidth="1"/>
    <col min="8" max="8" width="13.7109375" customWidth="1"/>
    <col min="11" max="11" width="18.7109375" customWidth="1"/>
    <col min="12" max="12" width="12.85546875" customWidth="1"/>
    <col min="15" max="15" width="15.28515625" customWidth="1"/>
    <col min="16" max="16" width="37" customWidth="1"/>
    <col min="17" max="17" width="16" customWidth="1"/>
    <col min="20" max="20" width="16.5703125" customWidth="1"/>
  </cols>
  <sheetData>
    <row r="2" spans="2:23" x14ac:dyDescent="0.25">
      <c r="B2" s="21" t="s">
        <v>264</v>
      </c>
      <c r="C2" s="22" t="s">
        <v>265</v>
      </c>
      <c r="D2" s="23" t="s">
        <v>266</v>
      </c>
      <c r="E2" s="23" t="s">
        <v>267</v>
      </c>
      <c r="F2" s="24" t="s">
        <v>268</v>
      </c>
      <c r="G2" s="25" t="s">
        <v>269</v>
      </c>
      <c r="H2" s="25" t="s">
        <v>270</v>
      </c>
      <c r="I2" s="25" t="s">
        <v>271</v>
      </c>
      <c r="J2" s="23" t="s">
        <v>272</v>
      </c>
      <c r="K2" s="23" t="s">
        <v>273</v>
      </c>
      <c r="L2" s="26" t="s">
        <v>274</v>
      </c>
      <c r="O2" s="35" t="s">
        <v>264</v>
      </c>
      <c r="P2" s="23" t="s">
        <v>265</v>
      </c>
      <c r="Q2" s="25" t="s">
        <v>317</v>
      </c>
      <c r="R2" s="25" t="s">
        <v>318</v>
      </c>
      <c r="S2" s="25" t="s">
        <v>319</v>
      </c>
      <c r="T2" s="25" t="s">
        <v>270</v>
      </c>
      <c r="U2" s="23" t="s">
        <v>320</v>
      </c>
      <c r="V2" s="23" t="s">
        <v>321</v>
      </c>
      <c r="W2" s="36"/>
    </row>
    <row r="3" spans="2:23" x14ac:dyDescent="0.25">
      <c r="B3" s="1">
        <v>46026</v>
      </c>
      <c r="C3" s="2" t="s">
        <v>0</v>
      </c>
      <c r="D3" s="3" t="s">
        <v>1</v>
      </c>
      <c r="E3" s="3" t="s">
        <v>2</v>
      </c>
      <c r="F3" s="4">
        <v>49.1</v>
      </c>
      <c r="G3" s="4">
        <v>21000</v>
      </c>
      <c r="H3" s="5">
        <f>[1]!РЕАЛИЗАЦИЯ[СОНИ]*[1]!РЕАЛИЗАЦИЯ[НАРХИ]</f>
        <v>0</v>
      </c>
      <c r="I3" s="4"/>
      <c r="J3" s="6">
        <v>19000</v>
      </c>
      <c r="K3" s="4">
        <f>[1]!РЕАЛИЗАЦИЯ[[#This Row],[СОНИ]]*[1]!РЕАЛИЗАЦИЯ[[#This Row],[ТАННАРХ]]</f>
        <v>0</v>
      </c>
      <c r="L3" s="7" t="e">
        <f>[1]!РЕАЛИЗАЦИЯ[[#This Row],[ЖАМИ]]-[1]!РЕАЛИЗАЦИЯ[[#This Row],[ЖАМИ2]]</f>
        <v>#VALUE!</v>
      </c>
      <c r="O3" s="27">
        <v>46026</v>
      </c>
      <c r="P3" s="28" t="s">
        <v>261</v>
      </c>
      <c r="Q3" s="6">
        <v>200000</v>
      </c>
      <c r="R3" s="6"/>
      <c r="S3" s="6"/>
      <c r="T3" s="29">
        <f>[1]!ПЛАТЕЖИ[[#This Row],[СЎМ]]+([1]!ПЛАТЕЖИ[[#This Row],[ВАЛЮТА]]*[1]!ПЛАТЕЖИ[[#This Row],[КУРС]])</f>
        <v>1627000</v>
      </c>
      <c r="U3" s="28"/>
      <c r="V3" s="28" t="s">
        <v>275</v>
      </c>
    </row>
    <row r="4" spans="2:23" x14ac:dyDescent="0.25">
      <c r="B4" s="8">
        <v>46026</v>
      </c>
      <c r="C4" s="9" t="s">
        <v>3</v>
      </c>
      <c r="D4" s="10" t="s">
        <v>1</v>
      </c>
      <c r="E4" s="10" t="s">
        <v>2</v>
      </c>
      <c r="F4" s="11">
        <v>158.9</v>
      </c>
      <c r="G4" s="11">
        <v>20000</v>
      </c>
      <c r="H4" s="12">
        <f>[1]!РЕАЛИЗАЦИЯ[СОНИ]*[1]!РЕАЛИЗАЦИЯ[НАРХИ]</f>
        <v>5204520</v>
      </c>
      <c r="I4" s="11"/>
      <c r="J4" s="13">
        <v>19000</v>
      </c>
      <c r="K4" s="11">
        <f>[1]!РЕАЛИЗАЦИЯ[[#This Row],[СОНИ]]*[1]!РЕАЛИЗАЦИЯ[[#This Row],[ТАННАРХ]]</f>
        <v>1085043600</v>
      </c>
      <c r="L4" s="14">
        <f>[1]!РЕАЛИЗАЦИЯ[[#This Row],[ЖАМИ]]-[1]!РЕАЛИЗАЦИЯ[[#This Row],[ЖАМИ2]]</f>
        <v>5204300.4000000004</v>
      </c>
      <c r="O4" s="30">
        <v>46026</v>
      </c>
      <c r="P4" s="31" t="s">
        <v>276</v>
      </c>
      <c r="Q4" s="13">
        <v>400000</v>
      </c>
      <c r="R4" s="13"/>
      <c r="S4" s="13"/>
      <c r="T4" s="32">
        <f>[1]!ПЛАТЕЖИ[[#This Row],[СЎМ]]+([1]!ПЛАТЕЖИ[[#This Row],[ВАЛЮТА]]*[1]!ПЛАТЕЖИ[[#This Row],[КУРС]])</f>
        <v>5000300</v>
      </c>
      <c r="U4" s="31"/>
      <c r="V4" s="31"/>
    </row>
    <row r="5" spans="2:23" x14ac:dyDescent="0.25">
      <c r="B5" s="1">
        <v>46026</v>
      </c>
      <c r="C5" s="2" t="s">
        <v>4</v>
      </c>
      <c r="D5" s="3" t="s">
        <v>1</v>
      </c>
      <c r="E5" s="3" t="s">
        <v>2</v>
      </c>
      <c r="F5" s="4">
        <v>52.2</v>
      </c>
      <c r="G5" s="4">
        <v>21000</v>
      </c>
      <c r="H5" s="5">
        <f>[1]!РЕАЛИЗАЦИЯ[СОНИ]*[1]!РЕАЛИЗАЦИЯ[НАРХИ]</f>
        <v>1170000</v>
      </c>
      <c r="I5" s="4"/>
      <c r="J5" s="6">
        <v>19000</v>
      </c>
      <c r="K5" s="4">
        <f>[1]!РЕАЛИЗАЦИЯ[[#This Row],[СОНИ]]*[1]!РЕАЛИЗАЦИЯ[[#This Row],[ТАННАРХ]]</f>
        <v>0</v>
      </c>
      <c r="L5" s="7">
        <f>[1]!РЕАЛИЗАЦИЯ[[#This Row],[ЖАМИ]]-[1]!РЕАЛИЗАЦИЯ[[#This Row],[ЖАМИ2]]</f>
        <v>1170000</v>
      </c>
      <c r="O5" s="27">
        <v>46026</v>
      </c>
      <c r="P5" s="28" t="s">
        <v>0</v>
      </c>
      <c r="Q5" s="6">
        <v>1031100</v>
      </c>
      <c r="R5" s="6"/>
      <c r="S5" s="6"/>
      <c r="T5" s="29">
        <f>[1]!ПЛАТЕЖИ[[#This Row],[СЎМ]]+([1]!ПЛАТЕЖИ[[#This Row],[ВАЛЮТА]]*[1]!ПЛАТЕЖИ[[#This Row],[КУРС]])</f>
        <v>1003000</v>
      </c>
      <c r="U5" s="28"/>
      <c r="V5" s="28"/>
    </row>
    <row r="6" spans="2:23" x14ac:dyDescent="0.25">
      <c r="B6" s="8">
        <v>46026</v>
      </c>
      <c r="C6" s="9" t="s">
        <v>5</v>
      </c>
      <c r="D6" s="10" t="s">
        <v>1</v>
      </c>
      <c r="E6" s="10" t="s">
        <v>2</v>
      </c>
      <c r="F6" s="11">
        <v>98.4</v>
      </c>
      <c r="G6" s="11">
        <v>21000</v>
      </c>
      <c r="H6" s="12">
        <f>[1]!РЕАЛИЗАЦИЯ[СОНИ]*[1]!РЕАЛИЗАЦИЯ[НАРХИ]</f>
        <v>1184400</v>
      </c>
      <c r="I6" s="11"/>
      <c r="J6" s="13">
        <v>19000</v>
      </c>
      <c r="K6" s="11">
        <f>[1]!РЕАЛИЗАЦИЯ[[#This Row],[СОНИ]]*[1]!РЕАЛИЗАЦИЯ[[#This Row],[ТАННАРХ]]</f>
        <v>0</v>
      </c>
      <c r="L6" s="14">
        <f>[1]!РЕАЛИЗАЦИЯ[[#This Row],[ЖАМИ]]-[1]!РЕАЛИЗАЦИЯ[[#This Row],[ЖАМИ2]]</f>
        <v>1184400</v>
      </c>
      <c r="O6" s="30">
        <v>46026</v>
      </c>
      <c r="P6" s="31" t="s">
        <v>3</v>
      </c>
      <c r="Q6" s="13">
        <v>3178000</v>
      </c>
      <c r="R6" s="13"/>
      <c r="S6" s="13"/>
      <c r="T6" s="32">
        <f>[1]!ПЛАТЕЖИ[[#This Row],[СЎМ]]+([1]!ПЛАТЕЖИ[[#This Row],[ВАЛЮТА]]*[1]!ПЛАТЕЖИ[[#This Row],[КУРС]])</f>
        <v>1000000</v>
      </c>
      <c r="U6" s="31"/>
      <c r="V6" s="31"/>
    </row>
    <row r="7" spans="2:23" x14ac:dyDescent="0.25">
      <c r="B7" s="1">
        <v>46026</v>
      </c>
      <c r="C7" s="2" t="s">
        <v>6</v>
      </c>
      <c r="D7" s="3" t="s">
        <v>1</v>
      </c>
      <c r="E7" s="3" t="s">
        <v>2</v>
      </c>
      <c r="F7" s="4">
        <v>93</v>
      </c>
      <c r="G7" s="4">
        <v>21000</v>
      </c>
      <c r="H7" s="5">
        <f>[1]!РЕАЛИЗАЦИЯ[СОНИ]*[1]!РЕАЛИЗАЦИЯ[НАРХИ]</f>
        <v>1058400</v>
      </c>
      <c r="I7" s="4"/>
      <c r="J7" s="6">
        <v>19000</v>
      </c>
      <c r="K7" s="4">
        <f>[1]!РЕАЛИЗАЦИЯ[[#This Row],[СОНИ]]*[1]!РЕАЛИЗАЦИЯ[[#This Row],[ТАННАРХ]]</f>
        <v>0</v>
      </c>
      <c r="L7" s="7">
        <f>[1]!РЕАЛИЗАЦИЯ[[#This Row],[ЖАМИ]]-[1]!РЕАЛИЗАЦИЯ[[#This Row],[ЖАМИ2]]</f>
        <v>1058400</v>
      </c>
      <c r="O7" s="27">
        <v>46026</v>
      </c>
      <c r="P7" s="28" t="s">
        <v>4</v>
      </c>
      <c r="Q7" s="6">
        <v>1097000</v>
      </c>
      <c r="R7" s="6"/>
      <c r="S7" s="6"/>
      <c r="T7" s="29">
        <f>[1]!ПЛАТЕЖИ[[#This Row],[СЎМ]]+([1]!ПЛАТЕЖИ[[#This Row],[ВАЛЮТА]]*[1]!ПЛАТЕЖИ[[#This Row],[КУРС]])</f>
        <v>540000</v>
      </c>
      <c r="U7" s="28"/>
      <c r="V7" s="28"/>
    </row>
    <row r="8" spans="2:23" x14ac:dyDescent="0.25">
      <c r="B8" s="8">
        <v>46027</v>
      </c>
      <c r="C8" s="9" t="s">
        <v>7</v>
      </c>
      <c r="D8" s="10" t="s">
        <v>8</v>
      </c>
      <c r="E8" s="10" t="s">
        <v>2</v>
      </c>
      <c r="F8" s="11">
        <v>467.7</v>
      </c>
      <c r="G8" s="11">
        <v>22000</v>
      </c>
      <c r="H8" s="12">
        <f>[1]!РЕАЛИЗАЦИЯ[СОНИ]*[1]!РЕАЛИЗАЦИЯ[НАРХИ]</f>
        <v>1087800</v>
      </c>
      <c r="I8" s="11"/>
      <c r="J8" s="13">
        <v>20000</v>
      </c>
      <c r="K8" s="11">
        <f>[1]!РЕАЛИЗАЦИЯ[[#This Row],[СОНИ]]*[1]!РЕАЛИЗАЦИЯ[[#This Row],[ТАННАРХ]]</f>
        <v>0</v>
      </c>
      <c r="L8" s="14">
        <f>[1]!РЕАЛИЗАЦИЯ[[#This Row],[ЖАМИ]]-[1]!РЕАЛИЗАЦИЯ[[#This Row],[ЖАМИ2]]</f>
        <v>1087800</v>
      </c>
      <c r="O8" s="30">
        <v>46026</v>
      </c>
      <c r="P8" s="31" t="s">
        <v>6</v>
      </c>
      <c r="Q8" s="13">
        <v>664000</v>
      </c>
      <c r="R8" s="13"/>
      <c r="S8" s="13"/>
      <c r="T8" s="32">
        <f>[1]!ПЛАТЕЖИ[[#This Row],[СЎМ]]+([1]!ПЛАТЕЖИ[[#This Row],[ВАЛЮТА]]*[1]!ПЛАТЕЖИ[[#This Row],[КУРС]])</f>
        <v>890000</v>
      </c>
      <c r="U8" s="31"/>
      <c r="V8" s="31"/>
    </row>
    <row r="9" spans="2:23" x14ac:dyDescent="0.25">
      <c r="B9" s="1">
        <v>46027</v>
      </c>
      <c r="C9" s="2" t="s">
        <v>9</v>
      </c>
      <c r="D9" s="3" t="s">
        <v>10</v>
      </c>
      <c r="E9" s="3" t="s">
        <v>2</v>
      </c>
      <c r="F9" s="4">
        <v>100.6</v>
      </c>
      <c r="G9" s="4">
        <v>18500</v>
      </c>
      <c r="H9" s="5">
        <f>[1]!РЕАЛИЗАЦИЯ[СОНИ]*[1]!РЕАЛИЗАЦИЯ[НАРХИ]</f>
        <v>2447700</v>
      </c>
      <c r="I9" s="4"/>
      <c r="J9" s="6">
        <v>13000</v>
      </c>
      <c r="K9" s="4">
        <f>[1]!РЕАЛИЗАЦИЯ[[#This Row],[СОНИ]]*[1]!РЕАЛИЗАЦИЯ[[#This Row],[ТАННАРХ]]</f>
        <v>0</v>
      </c>
      <c r="L9" s="7">
        <f>[1]!РЕАЛИЗАЦИЯ[[#This Row],[ЖАМИ]]-[1]!РЕАЛИЗАЦИЯ[[#This Row],[ЖАМИ2]]</f>
        <v>2447700</v>
      </c>
      <c r="O9" s="27">
        <v>46027</v>
      </c>
      <c r="P9" s="28" t="s">
        <v>161</v>
      </c>
      <c r="Q9" s="6">
        <v>1026900</v>
      </c>
      <c r="R9" s="6"/>
      <c r="S9" s="6"/>
      <c r="T9" s="29">
        <f>[1]!ПЛАТЕЖИ[[#This Row],[СЎМ]]+([1]!ПЛАТЕЖИ[[#This Row],[ВАЛЮТА]]*[1]!ПЛАТЕЖИ[[#This Row],[КУРС]])</f>
        <v>2835500</v>
      </c>
      <c r="U9" s="28"/>
      <c r="V9" s="28"/>
    </row>
    <row r="10" spans="2:23" x14ac:dyDescent="0.25">
      <c r="B10" s="8">
        <v>46027</v>
      </c>
      <c r="C10" s="9" t="s">
        <v>11</v>
      </c>
      <c r="D10" s="10" t="s">
        <v>1</v>
      </c>
      <c r="E10" s="10" t="s">
        <v>2</v>
      </c>
      <c r="F10" s="11">
        <v>148.69999999999999</v>
      </c>
      <c r="G10" s="11">
        <v>21000</v>
      </c>
      <c r="H10" s="12">
        <f>[1]!РЕАЛИЗАЦИЯ[СОНИ]*[1]!РЕАЛИЗАЦИЯ[НАРХИ]</f>
        <v>1757000</v>
      </c>
      <c r="I10" s="11"/>
      <c r="J10" s="13">
        <v>19000</v>
      </c>
      <c r="K10" s="11">
        <f>[1]!РЕАЛИЗАЦИЯ[[#This Row],[СОНИ]]*[1]!РЕАЛИЗАЦИЯ[[#This Row],[ТАННАРХ]]</f>
        <v>0</v>
      </c>
      <c r="L10" s="14">
        <f>[1]!РЕАЛИЗАЦИЯ[[#This Row],[ЖАМИ]]-[1]!РЕАЛИЗАЦИЯ[[#This Row],[ЖАМИ2]]</f>
        <v>1757000</v>
      </c>
      <c r="O10" s="30">
        <v>46027</v>
      </c>
      <c r="P10" s="31" t="s">
        <v>277</v>
      </c>
      <c r="Q10" s="13">
        <v>8570400</v>
      </c>
      <c r="R10" s="13"/>
      <c r="S10" s="13"/>
      <c r="T10" s="32">
        <f>[1]!ПЛАТЕЖИ[[#This Row],[СЎМ]]+([1]!ПЛАТЕЖИ[[#This Row],[ВАЛЮТА]]*[1]!ПЛАТЕЖИ[[#This Row],[КУРС]])</f>
        <v>1811000</v>
      </c>
      <c r="U10" s="31"/>
      <c r="V10" s="31"/>
    </row>
    <row r="11" spans="2:23" x14ac:dyDescent="0.25">
      <c r="B11" s="1">
        <v>46027</v>
      </c>
      <c r="C11" s="2" t="s">
        <v>11</v>
      </c>
      <c r="D11" s="3" t="s">
        <v>10</v>
      </c>
      <c r="E11" s="3" t="s">
        <v>2</v>
      </c>
      <c r="F11" s="4">
        <v>49.1</v>
      </c>
      <c r="G11" s="4">
        <v>16000</v>
      </c>
      <c r="H11" s="5">
        <f>[1]!РЕАЛИЗАЦИЯ[СОНИ]*[1]!РЕАЛИЗАЦИЯ[НАРХИ]</f>
        <v>889600</v>
      </c>
      <c r="I11" s="4"/>
      <c r="J11" s="6">
        <v>13000</v>
      </c>
      <c r="K11" s="4">
        <f>[1]!РЕАЛИЗАЦИЯ[[#This Row],[СОНИ]]*[1]!РЕАЛИЗАЦИЯ[[#This Row],[ТАННАРХ]]</f>
        <v>0</v>
      </c>
      <c r="L11" s="7">
        <f>[1]!РЕАЛИЗАЦИЯ[[#This Row],[ЖАМИ]]-[1]!РЕАЛИЗАЦИЯ[[#This Row],[ЖАМИ2]]</f>
        <v>889600</v>
      </c>
      <c r="O11" s="27">
        <v>46027</v>
      </c>
      <c r="P11" s="28" t="s">
        <v>23</v>
      </c>
      <c r="Q11" s="6">
        <v>4078000</v>
      </c>
      <c r="R11" s="6"/>
      <c r="S11" s="6"/>
      <c r="T11" s="29">
        <f>[1]!ПЛАТЕЖИ[[#This Row],[СЎМ]]+([1]!ПЛАТЕЖИ[[#This Row],[ВАЛЮТА]]*[1]!ПЛАТЕЖИ[[#This Row],[КУРС]])</f>
        <v>2021300</v>
      </c>
      <c r="U11" s="28"/>
      <c r="V11" s="28"/>
    </row>
    <row r="12" spans="2:23" x14ac:dyDescent="0.25">
      <c r="B12" s="8">
        <v>46027</v>
      </c>
      <c r="C12" s="9" t="s">
        <v>12</v>
      </c>
      <c r="D12" s="10" t="s">
        <v>1</v>
      </c>
      <c r="E12" s="10" t="s">
        <v>2</v>
      </c>
      <c r="F12" s="11">
        <v>2041.8</v>
      </c>
      <c r="G12" s="11">
        <v>24000</v>
      </c>
      <c r="H12" s="12">
        <f>[1]!РЕАЛИЗАЦИЯ[СОНИ]*[1]!РЕАЛИЗАЦИЯ[НАРХИ]</f>
        <v>5368550</v>
      </c>
      <c r="I12" s="11">
        <v>6</v>
      </c>
      <c r="J12" s="13">
        <v>19000</v>
      </c>
      <c r="K12" s="11">
        <f>[1]!РЕАЛИЗАЦИЯ[[#This Row],[СОНИ]]*[1]!РЕАЛИЗАЦИЯ[[#This Row],[ТАННАРХ]]</f>
        <v>0</v>
      </c>
      <c r="L12" s="14">
        <f>[1]!РЕАЛИЗАЦИЯ[[#This Row],[ЖАМИ]]-[1]!РЕАЛИЗАЦИЯ[[#This Row],[ЖАМИ2]]</f>
        <v>5368550</v>
      </c>
      <c r="O12" s="30">
        <v>46027</v>
      </c>
      <c r="P12" s="31" t="s">
        <v>21</v>
      </c>
      <c r="Q12" s="13">
        <v>600000</v>
      </c>
      <c r="R12" s="13"/>
      <c r="S12" s="13"/>
      <c r="T12" s="32">
        <f>[1]!ПЛАТЕЖИ[[#This Row],[СЎМ]]+([1]!ПЛАТЕЖИ[[#This Row],[ВАЛЮТА]]*[1]!ПЛАТЕЖИ[[#This Row],[КУРС]])</f>
        <v>2000000</v>
      </c>
      <c r="U12" s="31"/>
      <c r="V12" s="31"/>
    </row>
    <row r="13" spans="2:23" x14ac:dyDescent="0.25">
      <c r="B13" s="1">
        <v>46027</v>
      </c>
      <c r="C13" s="2" t="s">
        <v>3</v>
      </c>
      <c r="D13" s="3" t="s">
        <v>10</v>
      </c>
      <c r="E13" s="3" t="s">
        <v>2</v>
      </c>
      <c r="F13" s="4">
        <v>51.2</v>
      </c>
      <c r="G13" s="4">
        <v>15000</v>
      </c>
      <c r="H13" s="5">
        <f>[1]!РЕАЛИЗАЦИЯ[СОНИ]*[1]!РЕАЛИЗАЦИЯ[НАРХИ]</f>
        <v>697500</v>
      </c>
      <c r="I13" s="4"/>
      <c r="J13" s="6">
        <v>13000</v>
      </c>
      <c r="K13" s="4">
        <f>[1]!РЕАЛИЗАЦИЯ[[#This Row],[СОНИ]]*[1]!РЕАЛИЗАЦИЯ[[#This Row],[ТАННАРХ]]</f>
        <v>0</v>
      </c>
      <c r="L13" s="7">
        <f>[1]!РЕАЛИЗАЦИЯ[[#This Row],[ЖАМИ]]-[1]!РЕАЛИЗАЦИЯ[[#This Row],[ЖАМИ2]]</f>
        <v>697500</v>
      </c>
      <c r="O13" s="27">
        <v>46027</v>
      </c>
      <c r="P13" s="28" t="s">
        <v>3</v>
      </c>
      <c r="Q13" s="6">
        <v>768000</v>
      </c>
      <c r="R13" s="6"/>
      <c r="S13" s="6"/>
      <c r="T13" s="29">
        <f>[1]!ПЛАТЕЖИ[[#This Row],[СЎМ]]+([1]!ПЛАТЕЖИ[[#This Row],[ВАЛЮТА]]*[1]!ПЛАТЕЖИ[[#This Row],[КУРС]])</f>
        <v>500000</v>
      </c>
      <c r="U13" s="28"/>
      <c r="V13" s="28"/>
    </row>
    <row r="14" spans="2:23" x14ac:dyDescent="0.25">
      <c r="B14" s="8">
        <v>46027</v>
      </c>
      <c r="C14" s="9" t="s">
        <v>13</v>
      </c>
      <c r="D14" s="10" t="s">
        <v>1</v>
      </c>
      <c r="E14" s="10" t="s">
        <v>2</v>
      </c>
      <c r="F14" s="11">
        <v>49.5</v>
      </c>
      <c r="G14" s="11">
        <v>21000</v>
      </c>
      <c r="H14" s="12">
        <f>[1]!РЕАЛИЗАЦИЯ[СОНИ]*[1]!РЕАЛИЗАЦИЯ[НАРХИ]</f>
        <v>1064700</v>
      </c>
      <c r="I14" s="11"/>
      <c r="J14" s="13">
        <v>19000</v>
      </c>
      <c r="K14" s="11">
        <f>[1]!РЕАЛИЗАЦИЯ[[#This Row],[СОНИ]]*[1]!РЕАЛИЗАЦИЯ[[#This Row],[ТАННАРХ]]</f>
        <v>0</v>
      </c>
      <c r="L14" s="14">
        <f>[1]!РЕАЛИЗАЦИЯ[[#This Row],[ЖАМИ]]-[1]!РЕАЛИЗАЦИЯ[[#This Row],[ЖАМИ2]]</f>
        <v>1064700</v>
      </c>
      <c r="O14" s="30">
        <v>46027</v>
      </c>
      <c r="P14" s="31" t="s">
        <v>174</v>
      </c>
      <c r="Q14" s="13">
        <v>2771800</v>
      </c>
      <c r="R14" s="13"/>
      <c r="S14" s="13"/>
      <c r="T14" s="32">
        <f>[1]!ПЛАТЕЖИ[[#This Row],[СЎМ]]+([1]!ПЛАТЕЖИ[[#This Row],[ВАЛЮТА]]*[1]!ПЛАТЕЖИ[[#This Row],[КУРС]])</f>
        <v>15000000</v>
      </c>
      <c r="U14" s="31"/>
      <c r="V14" s="31"/>
    </row>
    <row r="15" spans="2:23" x14ac:dyDescent="0.25">
      <c r="B15" s="1">
        <v>46027</v>
      </c>
      <c r="C15" s="2" t="s">
        <v>14</v>
      </c>
      <c r="D15" s="3" t="s">
        <v>1</v>
      </c>
      <c r="E15" s="3" t="s">
        <v>2</v>
      </c>
      <c r="F15" s="4">
        <v>147.19999999999999</v>
      </c>
      <c r="G15" s="4">
        <v>20000</v>
      </c>
      <c r="H15" s="5">
        <f>[1]!РЕАЛИЗАЦИЯ[СОНИ]*[1]!РЕАЛИЗАЦИЯ[НАРХИ]</f>
        <v>1266300</v>
      </c>
      <c r="I15" s="4"/>
      <c r="J15" s="6">
        <v>19000</v>
      </c>
      <c r="K15" s="4">
        <f>[1]!РЕАЛИЗАЦИЯ[[#This Row],[СОНИ]]*[1]!РЕАЛИЗАЦИЯ[[#This Row],[ТАННАРХ]]</f>
        <v>0</v>
      </c>
      <c r="L15" s="7">
        <f>[1]!РЕАЛИЗАЦИЯ[[#This Row],[ЖАМИ]]-[1]!РЕАЛИЗАЦИЯ[[#This Row],[ЖАМИ2]]</f>
        <v>1266300</v>
      </c>
      <c r="O15" s="27">
        <v>46027</v>
      </c>
      <c r="P15" s="28" t="s">
        <v>173</v>
      </c>
      <c r="Q15" s="6">
        <v>500000</v>
      </c>
      <c r="R15" s="6"/>
      <c r="S15" s="6"/>
      <c r="T15" s="29">
        <f>[1]!ПЛАТЕЖИ[[#This Row],[СЎМ]]+([1]!ПЛАТЕЖИ[[#This Row],[ВАЛЮТА]]*[1]!ПЛАТЕЖИ[[#This Row],[КУРС]])</f>
        <v>3119500</v>
      </c>
      <c r="U15" s="28"/>
      <c r="V15" s="28" t="s">
        <v>275</v>
      </c>
    </row>
    <row r="16" spans="2:23" x14ac:dyDescent="0.25">
      <c r="B16" s="8">
        <v>46028</v>
      </c>
      <c r="C16" s="9" t="s">
        <v>15</v>
      </c>
      <c r="D16" s="10" t="s">
        <v>16</v>
      </c>
      <c r="E16" s="10" t="s">
        <v>2</v>
      </c>
      <c r="F16" s="11">
        <v>224.8</v>
      </c>
      <c r="G16" s="11">
        <v>23000</v>
      </c>
      <c r="H16" s="12">
        <f>[1]!РЕАЛИЗАЦИЯ[СОНИ]*[1]!РЕАЛИЗАЦИЯ[НАРХИ]</f>
        <v>2100000</v>
      </c>
      <c r="I16" s="11"/>
      <c r="J16" s="13">
        <v>21000</v>
      </c>
      <c r="K16" s="11">
        <f>[1]!РЕАЛИЗАЦИЯ[[#This Row],[СОНИ]]*[1]!РЕАЛИЗАЦИЯ[[#This Row],[ТАННАРХ]]</f>
        <v>0</v>
      </c>
      <c r="L16" s="14">
        <f>[1]!РЕАЛИЗАЦИЯ[[#This Row],[ЖАМИ]]-[1]!РЕАЛИЗАЦИЯ[[#This Row],[ЖАМИ2]]</f>
        <v>2100000</v>
      </c>
      <c r="O16" s="30">
        <v>46028</v>
      </c>
      <c r="P16" s="31" t="s">
        <v>278</v>
      </c>
      <c r="Q16" s="13">
        <v>1000000</v>
      </c>
      <c r="R16" s="13"/>
      <c r="S16" s="13"/>
      <c r="T16" s="32">
        <f>[1]!ПЛАТЕЖИ[[#This Row],[СЎМ]]+([1]!ПЛАТЕЖИ[[#This Row],[ВАЛЮТА]]*[1]!ПЛАТЕЖИ[[#This Row],[КУРС]])</f>
        <v>11547900</v>
      </c>
      <c r="U16" s="31"/>
      <c r="V16" s="31"/>
    </row>
    <row r="17" spans="2:22" x14ac:dyDescent="0.25">
      <c r="B17" s="1">
        <v>46028</v>
      </c>
      <c r="C17" s="2" t="s">
        <v>17</v>
      </c>
      <c r="D17" s="3" t="s">
        <v>1</v>
      </c>
      <c r="E17" s="3" t="s">
        <v>2</v>
      </c>
      <c r="F17" s="4">
        <v>50.5</v>
      </c>
      <c r="G17" s="4">
        <v>21000</v>
      </c>
      <c r="H17" s="5">
        <f>[1]!РЕАЛИЗАЦИЯ[СОНИ]*[1]!РЕАЛИЗАЦИЯ[НАРХИ]</f>
        <v>1159200</v>
      </c>
      <c r="I17" s="4"/>
      <c r="J17" s="6">
        <v>19000</v>
      </c>
      <c r="K17" s="4">
        <f>[1]!РЕАЛИЗАЦИЯ[[#This Row],[СОНИ]]*[1]!РЕАЛИЗАЦИЯ[[#This Row],[ТАННАРХ]]</f>
        <v>0</v>
      </c>
      <c r="L17" s="7">
        <f>[1]!РЕАЛИЗАЦИЯ[[#This Row],[ЖАМИ]]-[1]!РЕАЛИЗАЦИЯ[[#This Row],[ЖАМИ2]]</f>
        <v>1159200</v>
      </c>
      <c r="O17" s="27">
        <v>46028</v>
      </c>
      <c r="P17" s="28" t="s">
        <v>107</v>
      </c>
      <c r="Q17" s="6">
        <v>2026500</v>
      </c>
      <c r="R17" s="6"/>
      <c r="S17" s="6"/>
      <c r="T17" s="29">
        <f>[1]!ПЛАТЕЖИ[[#This Row],[СЎМ]]+([1]!ПЛАТЕЖИ[[#This Row],[ВАЛЮТА]]*[1]!ПЛАТЕЖИ[[#This Row],[КУРС]])</f>
        <v>6088500</v>
      </c>
      <c r="U17" s="28"/>
      <c r="V17" s="28" t="s">
        <v>279</v>
      </c>
    </row>
    <row r="18" spans="2:22" x14ac:dyDescent="0.25">
      <c r="B18" s="8">
        <v>46028</v>
      </c>
      <c r="C18" s="9" t="s">
        <v>18</v>
      </c>
      <c r="D18" s="10" t="s">
        <v>1</v>
      </c>
      <c r="E18" s="10" t="s">
        <v>2</v>
      </c>
      <c r="F18" s="11">
        <v>152.19999999999999</v>
      </c>
      <c r="G18" s="11">
        <v>20500</v>
      </c>
      <c r="H18" s="12">
        <f>[1]!РЕАЛИЗАЦИЯ[СОНИ]*[1]!РЕАЛИЗАЦИЯ[НАРХИ]</f>
        <v>2062200</v>
      </c>
      <c r="I18" s="11"/>
      <c r="J18" s="13">
        <v>19000</v>
      </c>
      <c r="K18" s="11">
        <f>[1]!РЕАЛИЗАЦИЯ[[#This Row],[СОНИ]]*[1]!РЕАЛИЗАЦИЯ[[#This Row],[ТАННАРХ]]</f>
        <v>0</v>
      </c>
      <c r="L18" s="14">
        <f>[1]!РЕАЛИЗАЦИЯ[[#This Row],[ЖАМИ]]-[1]!РЕАЛИЗАЦИЯ[[#This Row],[ЖАМИ2]]</f>
        <v>2062200</v>
      </c>
      <c r="O18" s="30">
        <v>46028</v>
      </c>
      <c r="P18" s="31" t="s">
        <v>22</v>
      </c>
      <c r="Q18" s="13">
        <v>871400</v>
      </c>
      <c r="R18" s="13"/>
      <c r="S18" s="13"/>
      <c r="T18" s="32">
        <f>[1]!ПЛАТЕЖИ[[#This Row],[СЎМ]]+([1]!ПЛАТЕЖИ[[#This Row],[ВАЛЮТА]]*[1]!ПЛАТЕЖИ[[#This Row],[КУРС]])</f>
        <v>1427500</v>
      </c>
      <c r="U18" s="31"/>
      <c r="V18" s="31"/>
    </row>
    <row r="19" spans="2:22" x14ac:dyDescent="0.25">
      <c r="B19" s="1">
        <v>46028</v>
      </c>
      <c r="C19" s="2" t="s">
        <v>19</v>
      </c>
      <c r="D19" s="3" t="s">
        <v>1</v>
      </c>
      <c r="E19" s="3" t="s">
        <v>2</v>
      </c>
      <c r="F19" s="4">
        <v>51.6</v>
      </c>
      <c r="G19" s="4">
        <v>21000</v>
      </c>
      <c r="H19" s="5">
        <f>[1]!РЕАЛИЗАЦИЯ[СОНИ]*[1]!РЕАЛИЗАЦИЯ[НАРХИ]</f>
        <v>1281000</v>
      </c>
      <c r="I19" s="4"/>
      <c r="J19" s="6">
        <v>19000</v>
      </c>
      <c r="K19" s="4">
        <f>[1]!РЕАЛИЗАЦИЯ[[#This Row],[СОНИ]]*[1]!РЕАЛИЗАЦИЯ[[#This Row],[ТАННАРХ]]</f>
        <v>0</v>
      </c>
      <c r="L19" s="7">
        <f>[1]!РЕАЛИЗАЦИЯ[[#This Row],[ЖАМИ]]-[1]!РЕАЛИЗАЦИЯ[[#This Row],[ЖАМИ2]]</f>
        <v>1281000</v>
      </c>
      <c r="O19" s="27">
        <v>46028</v>
      </c>
      <c r="P19" s="28" t="s">
        <v>26</v>
      </c>
      <c r="Q19" s="6">
        <v>2278700</v>
      </c>
      <c r="R19" s="6"/>
      <c r="S19" s="6"/>
      <c r="T19" s="29">
        <f>[1]!ПЛАТЕЖИ[[#This Row],[СЎМ]]+([1]!ПЛАТЕЖИ[[#This Row],[ВАЛЮТА]]*[1]!ПЛАТЕЖИ[[#This Row],[КУРС]])</f>
        <v>1000000</v>
      </c>
      <c r="U19" s="28"/>
      <c r="V19" s="28"/>
    </row>
    <row r="20" spans="2:22" x14ac:dyDescent="0.25">
      <c r="B20" s="8">
        <v>46028</v>
      </c>
      <c r="C20" s="9" t="s">
        <v>19</v>
      </c>
      <c r="D20" s="10" t="s">
        <v>10</v>
      </c>
      <c r="E20" s="10" t="s">
        <v>2</v>
      </c>
      <c r="F20" s="11">
        <v>48.9</v>
      </c>
      <c r="G20" s="11">
        <v>16000</v>
      </c>
      <c r="H20" s="12">
        <f>[1]!РЕАЛИЗАЦИЯ[СОНИ]*[1]!РЕАЛИЗАЦИЯ[НАРХИ]</f>
        <v>776000</v>
      </c>
      <c r="I20" s="11"/>
      <c r="J20" s="13">
        <v>13000</v>
      </c>
      <c r="K20" s="11">
        <f>[1]!РЕАЛИЗАЦИЯ[[#This Row],[СОНИ]]*[1]!РЕАЛИЗАЦИЯ[[#This Row],[ТАННАРХ]]</f>
        <v>0</v>
      </c>
      <c r="L20" s="14">
        <f>[1]!РЕАЛИЗАЦИЯ[[#This Row],[ЖАМИ]]-[1]!РЕАЛИЗАЦИЯ[[#This Row],[ЖАМИ2]]</f>
        <v>776000</v>
      </c>
      <c r="O20" s="30">
        <v>46029</v>
      </c>
      <c r="P20" s="31" t="s">
        <v>27</v>
      </c>
      <c r="Q20" s="13">
        <v>25715100</v>
      </c>
      <c r="R20" s="13"/>
      <c r="S20" s="13"/>
      <c r="T20" s="32">
        <f>[1]!ПЛАТЕЖИ[[#This Row],[СЎМ]]+([1]!ПЛАТЕЖИ[[#This Row],[ВАЛЮТА]]*[1]!ПЛАТЕЖИ[[#This Row],[КУРС]])</f>
        <v>1680000</v>
      </c>
      <c r="U20" s="31"/>
      <c r="V20" s="31" t="s">
        <v>279</v>
      </c>
    </row>
    <row r="21" spans="2:22" x14ac:dyDescent="0.25">
      <c r="B21" s="1">
        <v>46028</v>
      </c>
      <c r="C21" s="2" t="s">
        <v>20</v>
      </c>
      <c r="D21" s="3" t="s">
        <v>1</v>
      </c>
      <c r="E21" s="3" t="s">
        <v>2</v>
      </c>
      <c r="F21" s="4">
        <v>97.2</v>
      </c>
      <c r="G21" s="4">
        <v>21000</v>
      </c>
      <c r="H21" s="5">
        <f>[1]!РЕАЛИЗАЦИЯ[СОНИ]*[1]!РЕАЛИЗАЦИЯ[НАРХИ]</f>
        <v>4998330</v>
      </c>
      <c r="I21" s="4"/>
      <c r="J21" s="6">
        <v>19000</v>
      </c>
      <c r="K21" s="4">
        <f>[1]!РЕАЛИЗАЦИЯ[[#This Row],[СОНИ]]*[1]!РЕАЛИЗАЦИЯ[[#This Row],[ТАННАРХ]]</f>
        <v>1000773225</v>
      </c>
      <c r="L21" s="7">
        <f>[1]!РЕАЛИЗАЦИЯ[[#This Row],[ЖАМИ]]-[1]!РЕАЛИЗАЦИЯ[[#This Row],[ЖАМИ2]]</f>
        <v>4998119.0999999996</v>
      </c>
      <c r="O21" s="27">
        <v>46029</v>
      </c>
      <c r="P21" s="28" t="s">
        <v>280</v>
      </c>
      <c r="Q21" s="6">
        <v>400000</v>
      </c>
      <c r="R21" s="6"/>
      <c r="S21" s="6"/>
      <c r="T21" s="29">
        <f>[1]!ПЛАТЕЖИ[[#This Row],[СЎМ]]+([1]!ПЛАТЕЖИ[[#This Row],[ВАЛЮТА]]*[1]!ПЛАТЕЖИ[[#This Row],[КУРС]])</f>
        <v>1085000</v>
      </c>
      <c r="U21" s="28"/>
      <c r="V21" s="28" t="s">
        <v>275</v>
      </c>
    </row>
    <row r="22" spans="2:22" x14ac:dyDescent="0.25">
      <c r="B22" s="8">
        <v>46028</v>
      </c>
      <c r="C22" s="9" t="s">
        <v>21</v>
      </c>
      <c r="D22" s="10" t="s">
        <v>1</v>
      </c>
      <c r="E22" s="10" t="s">
        <v>2</v>
      </c>
      <c r="F22" s="11">
        <v>46.5</v>
      </c>
      <c r="G22" s="11">
        <v>21000</v>
      </c>
      <c r="H22" s="12">
        <f>[1]!РЕАЛИЗАЦИЯ[СОНИ]*[1]!РЕАЛИЗАЦИЯ[НАРХИ]</f>
        <v>1054200</v>
      </c>
      <c r="I22" s="11"/>
      <c r="J22" s="13">
        <v>19000</v>
      </c>
      <c r="K22" s="11">
        <f>[1]!РЕАЛИЗАЦИЯ[[#This Row],[СОНИ]]*[1]!РЕАЛИЗАЦИЯ[[#This Row],[ТАННАРХ]]</f>
        <v>0</v>
      </c>
      <c r="L22" s="14">
        <f>[1]!РЕАЛИЗАЦИЯ[[#This Row],[ЖАМИ]]-[1]!РЕАЛИЗАЦИЯ[[#This Row],[ЖАМИ2]]</f>
        <v>1054200</v>
      </c>
      <c r="O22" s="30">
        <v>46029</v>
      </c>
      <c r="P22" s="31" t="s">
        <v>162</v>
      </c>
      <c r="Q22" s="13">
        <v>977300</v>
      </c>
      <c r="R22" s="13"/>
      <c r="S22" s="13"/>
      <c r="T22" s="32">
        <f>[1]!ПЛАТЕЖИ[[#This Row],[СЎМ]]+([1]!ПЛАТЕЖИ[[#This Row],[ВАЛЮТА]]*[1]!ПЛАТЕЖИ[[#This Row],[КУРС]])</f>
        <v>1013000</v>
      </c>
      <c r="U22" s="31"/>
      <c r="V22" s="31" t="s">
        <v>275</v>
      </c>
    </row>
    <row r="23" spans="2:22" x14ac:dyDescent="0.25">
      <c r="B23" s="1">
        <v>46028</v>
      </c>
      <c r="C23" s="2" t="s">
        <v>22</v>
      </c>
      <c r="D23" s="3" t="s">
        <v>8</v>
      </c>
      <c r="E23" s="3" t="s">
        <v>2</v>
      </c>
      <c r="F23" s="4">
        <v>39.6</v>
      </c>
      <c r="G23" s="4">
        <v>22000</v>
      </c>
      <c r="H23" s="5">
        <f>[1]!РЕАЛИЗАЦИЯ[СОНИ]*[1]!РЕАЛИЗАЦИЯ[НАРХИ]</f>
        <v>622400</v>
      </c>
      <c r="I23" s="4"/>
      <c r="J23" s="6">
        <v>20000</v>
      </c>
      <c r="K23" s="4">
        <f>[1]!РЕАЛИЗАЦИЯ[[#This Row],[СОНИ]]*[1]!РЕАЛИЗАЦИЯ[[#This Row],[ТАННАРХ]]</f>
        <v>0</v>
      </c>
      <c r="L23" s="7">
        <f>[1]!РЕАЛИЗАЦИЯ[[#This Row],[ЖАМИ]]-[1]!РЕАЛИЗАЦИЯ[[#This Row],[ЖАМИ2]]</f>
        <v>622400</v>
      </c>
      <c r="O23" s="27">
        <v>46029</v>
      </c>
      <c r="P23" s="28" t="s">
        <v>281</v>
      </c>
      <c r="Q23" s="6">
        <v>500000</v>
      </c>
      <c r="R23" s="6"/>
      <c r="S23" s="6"/>
      <c r="T23" s="29">
        <f>[1]!ПЛАТЕЖИ[[#This Row],[СЎМ]]+([1]!ПЛАТЕЖИ[[#This Row],[ВАЛЮТА]]*[1]!ПЛАТЕЖИ[[#This Row],[КУРС]])</f>
        <v>1800000</v>
      </c>
      <c r="U23" s="28"/>
      <c r="V23" s="28" t="s">
        <v>275</v>
      </c>
    </row>
    <row r="24" spans="2:22" x14ac:dyDescent="0.25">
      <c r="B24" s="8">
        <v>46028</v>
      </c>
      <c r="C24" s="9" t="s">
        <v>23</v>
      </c>
      <c r="D24" s="10" t="s">
        <v>1</v>
      </c>
      <c r="E24" s="10" t="s">
        <v>2</v>
      </c>
      <c r="F24" s="11">
        <v>203.9</v>
      </c>
      <c r="G24" s="11">
        <v>20000</v>
      </c>
      <c r="H24" s="12">
        <f>[1]!РЕАЛИЗАЦИЯ[СОНИ]*[1]!РЕАЛИЗАЦИЯ[НАРХИ]</f>
        <v>1037400</v>
      </c>
      <c r="I24" s="11"/>
      <c r="J24" s="13">
        <v>19000</v>
      </c>
      <c r="K24" s="11">
        <f>[1]!РЕАЛИЗАЦИЯ[[#This Row],[СОНИ]]*[1]!РЕАЛИЗАЦИЯ[[#This Row],[ТАННАРХ]]</f>
        <v>0</v>
      </c>
      <c r="L24" s="14">
        <f>[1]!РЕАЛИЗАЦИЯ[[#This Row],[ЖАМИ]]-[1]!РЕАЛИЗАЦИЯ[[#This Row],[ЖАМИ2]]</f>
        <v>1037400</v>
      </c>
      <c r="O24" s="30">
        <v>46029</v>
      </c>
      <c r="P24" s="31" t="s">
        <v>261</v>
      </c>
      <c r="Q24" s="13">
        <v>200000</v>
      </c>
      <c r="R24" s="13"/>
      <c r="S24" s="13"/>
      <c r="T24" s="32">
        <f>[1]!ПЛАТЕЖИ[[#This Row],[СЎМ]]+([1]!ПЛАТЕЖИ[[#This Row],[ВАЛЮТА]]*[1]!ПЛАТЕЖИ[[#This Row],[КУРС]])</f>
        <v>1170000</v>
      </c>
      <c r="U24" s="31"/>
      <c r="V24" s="31" t="s">
        <v>275</v>
      </c>
    </row>
    <row r="25" spans="2:22" x14ac:dyDescent="0.25">
      <c r="B25" s="1">
        <v>46028</v>
      </c>
      <c r="C25" s="2" t="s">
        <v>24</v>
      </c>
      <c r="D25" s="3" t="s">
        <v>25</v>
      </c>
      <c r="E25" s="3" t="s">
        <v>2</v>
      </c>
      <c r="F25" s="4">
        <v>43.5</v>
      </c>
      <c r="G25" s="4">
        <v>26500</v>
      </c>
      <c r="H25" s="5">
        <f>[1]!РЕАЛИЗАЦИЯ[СОНИ]*[1]!РЕАЛИЗАЦИЯ[НАРХИ]</f>
        <v>940799.99999999988</v>
      </c>
      <c r="I25" s="4"/>
      <c r="J25" s="6">
        <v>23000</v>
      </c>
      <c r="K25" s="4">
        <f>[1]!РЕАЛИЗАЦИЯ[[#This Row],[СОНИ]]*[1]!РЕАЛИЗАЦИЯ[[#This Row],[ТАННАРХ]]</f>
        <v>0</v>
      </c>
      <c r="L25" s="7">
        <f>[1]!РЕАЛИЗАЦИЯ[[#This Row],[ЖАМИ]]-[1]!РЕАЛИЗАЦИЯ[[#This Row],[ЖАМИ2]]</f>
        <v>940799.99999999988</v>
      </c>
      <c r="O25" s="27">
        <v>46030</v>
      </c>
      <c r="P25" s="28" t="s">
        <v>28</v>
      </c>
      <c r="Q25" s="6">
        <v>1500000</v>
      </c>
      <c r="R25" s="6"/>
      <c r="S25" s="6"/>
      <c r="T25" s="29">
        <f>[1]!ПЛАТЕЖИ[[#This Row],[СЎМ]]+([1]!ПЛАТЕЖИ[[#This Row],[ВАЛЮТА]]*[1]!ПЛАТЕЖИ[[#This Row],[КУРС]])</f>
        <v>150000</v>
      </c>
      <c r="U25" s="28"/>
      <c r="V25" s="28"/>
    </row>
    <row r="26" spans="2:22" x14ac:dyDescent="0.25">
      <c r="B26" s="8">
        <v>46028</v>
      </c>
      <c r="C26" s="9" t="s">
        <v>26</v>
      </c>
      <c r="D26" s="10" t="s">
        <v>10</v>
      </c>
      <c r="E26" s="10" t="s">
        <v>2</v>
      </c>
      <c r="F26" s="11">
        <v>97.3</v>
      </c>
      <c r="G26" s="11">
        <v>14000</v>
      </c>
      <c r="H26" s="12">
        <f>[1]!РЕАЛИЗАЦИЯ[СОНИ]*[1]!РЕАЛИЗАЦИЯ[НАРХИ]</f>
        <v>952000</v>
      </c>
      <c r="I26" s="11"/>
      <c r="J26" s="13">
        <v>13000</v>
      </c>
      <c r="K26" s="11">
        <f>[1]!РЕАЛИЗАЦИЯ[[#This Row],[СОНИ]]*[1]!РЕАЛИЗАЦИЯ[[#This Row],[ТАННАРХ]]</f>
        <v>0</v>
      </c>
      <c r="L26" s="14">
        <f>[1]!РЕАЛИЗАЦИЯ[[#This Row],[ЖАМИ]]-[1]!РЕАЛИЗАЦИЯ[[#This Row],[ЖАМИ2]]</f>
        <v>952000</v>
      </c>
      <c r="O26" s="30">
        <v>46030</v>
      </c>
      <c r="P26" s="31" t="s">
        <v>65</v>
      </c>
      <c r="Q26" s="13">
        <v>15000000</v>
      </c>
      <c r="R26" s="13"/>
      <c r="S26" s="13"/>
      <c r="T26" s="32">
        <f>[1]!ПЛАТЕЖИ[[#This Row],[СЎМ]]+([1]!ПЛАТЕЖИ[[#This Row],[ВАЛЮТА]]*[1]!ПЛАТЕЖИ[[#This Row],[КУРС]])</f>
        <v>2185000</v>
      </c>
      <c r="U26" s="31"/>
      <c r="V26" s="31" t="s">
        <v>279</v>
      </c>
    </row>
    <row r="27" spans="2:22" x14ac:dyDescent="0.25">
      <c r="B27" s="1">
        <v>46028</v>
      </c>
      <c r="C27" s="2" t="s">
        <v>26</v>
      </c>
      <c r="D27" s="3" t="s">
        <v>1</v>
      </c>
      <c r="E27" s="3" t="s">
        <v>2</v>
      </c>
      <c r="F27" s="4">
        <v>47</v>
      </c>
      <c r="G27" s="4">
        <v>19500</v>
      </c>
      <c r="H27" s="5">
        <f>[1]!РЕАЛИЗАЦИЯ[СОНИ]*[1]!РЕАЛИЗАЦИЯ[НАРХИ]</f>
        <v>682500</v>
      </c>
      <c r="I27" s="4"/>
      <c r="J27" s="6">
        <v>19000</v>
      </c>
      <c r="K27" s="4">
        <f>[1]!РЕАЛИЗАЦИЯ[[#This Row],[СОНИ]]*[1]!РЕАЛИЗАЦИЯ[[#This Row],[ТАННАРХ]]</f>
        <v>0</v>
      </c>
      <c r="L27" s="7">
        <f>[1]!РЕАЛИЗАЦИЯ[[#This Row],[ЖАМИ]]-[1]!РЕАЛИЗАЦИЯ[[#This Row],[ЖАМИ2]]</f>
        <v>682500</v>
      </c>
      <c r="O27" s="27">
        <v>46030</v>
      </c>
      <c r="P27" s="28" t="s">
        <v>282</v>
      </c>
      <c r="Q27" s="6">
        <v>800100</v>
      </c>
      <c r="R27" s="6"/>
      <c r="S27" s="6"/>
      <c r="T27" s="29">
        <f>[1]!ПЛАТЕЖИ[[#This Row],[СЎМ]]+([1]!ПЛАТЕЖИ[[#This Row],[ВАЛЮТА]]*[1]!ПЛАТЕЖИ[[#This Row],[КУРС]])</f>
        <v>1000000</v>
      </c>
      <c r="U27" s="28"/>
      <c r="V27" s="28" t="s">
        <v>275</v>
      </c>
    </row>
    <row r="28" spans="2:22" x14ac:dyDescent="0.25">
      <c r="B28" s="8">
        <v>46029</v>
      </c>
      <c r="C28" s="9" t="s">
        <v>27</v>
      </c>
      <c r="D28" s="10" t="s">
        <v>1</v>
      </c>
      <c r="E28" s="10" t="s">
        <v>2</v>
      </c>
      <c r="F28" s="11">
        <v>862.5</v>
      </c>
      <c r="G28" s="11">
        <v>20500</v>
      </c>
      <c r="H28" s="12">
        <f>[1]!РЕАЛИЗАЦИЯ[СОНИ]*[1]!РЕАЛИЗАЦИЯ[НАРХИ]</f>
        <v>2062200</v>
      </c>
      <c r="I28" s="11"/>
      <c r="J28" s="13">
        <v>19000</v>
      </c>
      <c r="K28" s="11">
        <f>[1]!РЕАЛИЗАЦИЯ[[#This Row],[СОНИ]]*[1]!РЕАЛИЗАЦИЯ[[#This Row],[ТАННАРХ]]</f>
        <v>0</v>
      </c>
      <c r="L28" s="14">
        <f>[1]!РЕАЛИЗАЦИЯ[[#This Row],[ЖАМИ]]-[1]!РЕАЛИЗАЦИЯ[[#This Row],[ЖАМИ2]]</f>
        <v>2062200</v>
      </c>
      <c r="O28" s="30">
        <v>46030</v>
      </c>
      <c r="P28" s="31" t="s">
        <v>38</v>
      </c>
      <c r="Q28" s="13">
        <v>1965600</v>
      </c>
      <c r="R28" s="13"/>
      <c r="S28" s="13"/>
      <c r="T28" s="32">
        <f>[1]!ПЛАТЕЖИ[[#This Row],[СЎМ]]+([1]!ПЛАТЕЖИ[[#This Row],[ВАЛЮТА]]*[1]!ПЛАТЕЖИ[[#This Row],[КУРС]])</f>
        <v>840000</v>
      </c>
      <c r="U28" s="31"/>
      <c r="V28" s="31"/>
    </row>
    <row r="29" spans="2:22" x14ac:dyDescent="0.25">
      <c r="B29" s="1">
        <v>46029</v>
      </c>
      <c r="C29" s="2" t="s">
        <v>27</v>
      </c>
      <c r="D29" s="3" t="s">
        <v>10</v>
      </c>
      <c r="E29" s="3" t="s">
        <v>2</v>
      </c>
      <c r="F29" s="4">
        <v>1363.3</v>
      </c>
      <c r="G29" s="4">
        <v>14500</v>
      </c>
      <c r="H29" s="5">
        <f>[1]!РЕАЛИЗАЦИЯ[СОНИ]*[1]!РЕАЛИЗАЦИЯ[НАРХИ]</f>
        <v>10831799.999999998</v>
      </c>
      <c r="I29" s="4"/>
      <c r="J29" s="6">
        <v>13000</v>
      </c>
      <c r="K29" s="4">
        <f>[1]!РЕАЛИЗАЦИЯ[[#This Row],[СОНИ]]*[1]!РЕАЛИЗАЦИЯ[[#This Row],[ТАННАРХ]]</f>
        <v>0</v>
      </c>
      <c r="L29" s="7">
        <f>[1]!РЕАЛИЗАЦИЯ[[#This Row],[ЖАМИ]]-[1]!РЕАЛИЗАЦИЯ[[#This Row],[ЖАМИ2]]</f>
        <v>10831799.999999998</v>
      </c>
      <c r="O29" s="27">
        <v>46030</v>
      </c>
      <c r="P29" s="28" t="s">
        <v>37</v>
      </c>
      <c r="Q29" s="6">
        <v>2911900</v>
      </c>
      <c r="R29" s="6"/>
      <c r="S29" s="6"/>
      <c r="T29" s="29">
        <f>[1]!ПЛАТЕЖИ[[#This Row],[СЎМ]]+([1]!ПЛАТЕЖИ[[#This Row],[ВАЛЮТА]]*[1]!ПЛАТЕЖИ[[#This Row],[КУРС]])</f>
        <v>4160000</v>
      </c>
      <c r="U29" s="28"/>
      <c r="V29" s="28"/>
    </row>
    <row r="30" spans="2:22" x14ac:dyDescent="0.25">
      <c r="B30" s="8">
        <v>46029</v>
      </c>
      <c r="C30" s="9" t="s">
        <v>28</v>
      </c>
      <c r="D30" s="10" t="s">
        <v>10</v>
      </c>
      <c r="E30" s="10" t="s">
        <v>2</v>
      </c>
      <c r="F30" s="11">
        <v>51.7</v>
      </c>
      <c r="G30" s="11">
        <v>16000</v>
      </c>
      <c r="H30" s="12">
        <f>[1]!РЕАЛИЗАЦИЯ[СОНИ]*[1]!РЕАЛИЗАЦИЯ[НАРХИ]</f>
        <v>6228800</v>
      </c>
      <c r="I30" s="11"/>
      <c r="J30" s="13">
        <v>13000</v>
      </c>
      <c r="K30" s="11">
        <f>[1]!РЕАЛИЗАЦИЯ[[#This Row],[СОНИ]]*[1]!РЕАЛИЗАЦИЯ[[#This Row],[ТАННАРХ]]</f>
        <v>0</v>
      </c>
      <c r="L30" s="14">
        <f>[1]!РЕАЛИЗАЦИЯ[[#This Row],[ЖАМИ]]-[1]!РЕАЛИЗАЦИЯ[[#This Row],[ЖАМИ2]]</f>
        <v>6228800</v>
      </c>
      <c r="O30" s="30">
        <v>46030</v>
      </c>
      <c r="P30" s="31" t="s">
        <v>21</v>
      </c>
      <c r="Q30" s="13">
        <v>376500</v>
      </c>
      <c r="R30" s="13"/>
      <c r="S30" s="13"/>
      <c r="T30" s="32">
        <f>[1]!ПЛАТЕЖИ[[#This Row],[СЎМ]]+([1]!ПЛАТЕЖИ[[#This Row],[ВАЛЮТА]]*[1]!ПЛАТЕЖИ[[#This Row],[КУРС]])</f>
        <v>1757000</v>
      </c>
      <c r="U30" s="31"/>
      <c r="V30" s="31" t="s">
        <v>275</v>
      </c>
    </row>
    <row r="31" spans="2:22" x14ac:dyDescent="0.25">
      <c r="B31" s="1">
        <v>46029</v>
      </c>
      <c r="C31" s="2" t="s">
        <v>28</v>
      </c>
      <c r="D31" s="3" t="s">
        <v>1</v>
      </c>
      <c r="E31" s="3" t="s">
        <v>2</v>
      </c>
      <c r="F31" s="4">
        <v>136.9</v>
      </c>
      <c r="G31" s="4">
        <v>21000</v>
      </c>
      <c r="H31" s="5">
        <f>[1]!РЕАЛИЗАЦИЯ[СОНИ]*[1]!РЕАЛИЗАЦИЯ[НАРХИ]</f>
        <v>1066800</v>
      </c>
      <c r="I31" s="4"/>
      <c r="J31" s="6">
        <v>19000</v>
      </c>
      <c r="K31" s="4">
        <f>[1]!РЕАЛИЗАЦИЯ[[#This Row],[СОНИ]]*[1]!РЕАЛИЗАЦИЯ[[#This Row],[ТАННАРХ]]</f>
        <v>0</v>
      </c>
      <c r="L31" s="7">
        <f>[1]!РЕАЛИЗАЦИЯ[[#This Row],[ЖАМИ]]-[1]!РЕАЛИЗАЦИЯ[[#This Row],[ЖАМИ2]]</f>
        <v>1066800</v>
      </c>
      <c r="O31" s="27">
        <v>46030</v>
      </c>
      <c r="P31" s="28" t="s">
        <v>283</v>
      </c>
      <c r="Q31" s="6">
        <v>1000000</v>
      </c>
      <c r="R31" s="6"/>
      <c r="S31" s="6"/>
      <c r="T31" s="29">
        <f>[1]!ПЛАТЕЖИ[[#This Row],[СЎМ]]+([1]!ПЛАТЕЖИ[[#This Row],[ВАЛЮТА]]*[1]!ПЛАТЕЖИ[[#This Row],[КУРС]])</f>
        <v>900000</v>
      </c>
      <c r="U31" s="28"/>
      <c r="V31" s="28" t="s">
        <v>279</v>
      </c>
    </row>
    <row r="32" spans="2:22" x14ac:dyDescent="0.25">
      <c r="B32" s="8">
        <v>46029</v>
      </c>
      <c r="C32" s="9" t="s">
        <v>28</v>
      </c>
      <c r="D32" s="10" t="s">
        <v>29</v>
      </c>
      <c r="E32" s="10" t="s">
        <v>2</v>
      </c>
      <c r="F32" s="11">
        <v>48.2</v>
      </c>
      <c r="G32" s="11">
        <v>18000</v>
      </c>
      <c r="H32" s="12">
        <f>[1]!РЕАЛИЗАЦИЯ[СОНИ]*[1]!РЕАЛИЗАЦИЯ[НАРХИ]</f>
        <v>787200</v>
      </c>
      <c r="I32" s="11"/>
      <c r="J32" s="13">
        <v>16000</v>
      </c>
      <c r="K32" s="11">
        <f>[1]!РЕАЛИЗАЦИЯ[[#This Row],[СОНИ]]*[1]!РЕАЛИЗАЦИЯ[[#This Row],[ТАННАРХ]]</f>
        <v>0</v>
      </c>
      <c r="L32" s="14">
        <f>[1]!РЕАЛИЗАЦИЯ[[#This Row],[ЖАМИ]]-[1]!РЕАЛИЗАЦИЯ[[#This Row],[ЖАМИ2]]</f>
        <v>787200</v>
      </c>
      <c r="O32" s="30">
        <v>46031</v>
      </c>
      <c r="P32" s="31" t="s">
        <v>14</v>
      </c>
      <c r="Q32" s="13">
        <v>370000</v>
      </c>
      <c r="R32" s="13">
        <v>400</v>
      </c>
      <c r="S32" s="13">
        <v>12100</v>
      </c>
      <c r="T32" s="32">
        <f>[1]!ПЛАТЕЖИ[[#This Row],[СЎМ]]+([1]!ПЛАТЕЖИ[[#This Row],[ВАЛЮТА]]*[1]!ПЛАТЕЖИ[[#This Row],[КУРС]])</f>
        <v>400000</v>
      </c>
      <c r="U32" s="31"/>
      <c r="V32" s="31"/>
    </row>
    <row r="33" spans="2:22" x14ac:dyDescent="0.25">
      <c r="B33" s="1">
        <v>46029</v>
      </c>
      <c r="C33" s="2" t="s">
        <v>30</v>
      </c>
      <c r="D33" s="3" t="s">
        <v>1</v>
      </c>
      <c r="E33" s="3" t="s">
        <v>2</v>
      </c>
      <c r="F33" s="4">
        <v>57.2</v>
      </c>
      <c r="G33" s="4">
        <v>21000</v>
      </c>
      <c r="H33" s="5">
        <f>[1]!РЕАЛИЗАЦИЯ[СОНИ]*[1]!РЕАЛИЗАЦИЯ[НАРХИ]</f>
        <v>1247400</v>
      </c>
      <c r="I33" s="4"/>
      <c r="J33" s="6">
        <v>19000</v>
      </c>
      <c r="K33" s="4">
        <f>[1]!РЕАЛИЗАЦИЯ[[#This Row],[СОНИ]]*[1]!РЕАЛИЗАЦИЯ[[#This Row],[ТАННАРХ]]</f>
        <v>0</v>
      </c>
      <c r="L33" s="7">
        <f>[1]!РЕАЛИЗАЦИЯ[[#This Row],[ЖАМИ]]-[1]!РЕАЛИЗАЦИЯ[[#This Row],[ЖАМИ2]]</f>
        <v>1247400</v>
      </c>
      <c r="O33" s="27">
        <v>46031</v>
      </c>
      <c r="P33" s="28" t="s">
        <v>68</v>
      </c>
      <c r="Q33" s="6">
        <v>20000000</v>
      </c>
      <c r="R33" s="6"/>
      <c r="S33" s="6"/>
      <c r="T33" s="29">
        <f>[1]!ПЛАТЕЖИ[[#This Row],[СЎМ]]+([1]!ПЛАТЕЖИ[[#This Row],[ВАЛЮТА]]*[1]!ПЛАТЕЖИ[[#This Row],[КУРС]])</f>
        <v>2062200</v>
      </c>
      <c r="U33" s="28"/>
      <c r="V33" s="28" t="s">
        <v>279</v>
      </c>
    </row>
    <row r="34" spans="2:22" x14ac:dyDescent="0.25">
      <c r="B34" s="8">
        <v>46029</v>
      </c>
      <c r="C34" s="9" t="s">
        <v>31</v>
      </c>
      <c r="D34" s="10" t="s">
        <v>1</v>
      </c>
      <c r="E34" s="10" t="s">
        <v>2</v>
      </c>
      <c r="F34" s="11">
        <v>47.8</v>
      </c>
      <c r="G34" s="11">
        <v>21000</v>
      </c>
      <c r="H34" s="12">
        <f>[1]!РЕАЛИЗАЦИЯ[СОНИ]*[1]!РЕАЛИЗАЦИЯ[НАРХИ]</f>
        <v>2952600</v>
      </c>
      <c r="I34" s="11"/>
      <c r="J34" s="13">
        <v>19000</v>
      </c>
      <c r="K34" s="11">
        <f>[1]!РЕАЛИЗАЦИЯ[[#This Row],[СОНИ]]*[1]!РЕАЛИЗАЦИЯ[[#This Row],[ТАННАРХ]]</f>
        <v>0</v>
      </c>
      <c r="L34" s="14">
        <f>[1]!РЕАЛИЗАЦИЯ[[#This Row],[ЖАМИ]]-[1]!РЕАЛИЗАЦИЯ[[#This Row],[ЖАМИ2]]</f>
        <v>2952600</v>
      </c>
      <c r="O34" s="30">
        <v>46031</v>
      </c>
      <c r="P34" s="31" t="s">
        <v>41</v>
      </c>
      <c r="Q34" s="13">
        <v>800000</v>
      </c>
      <c r="R34" s="13"/>
      <c r="S34" s="13"/>
      <c r="T34" s="32">
        <f>[1]!ПЛАТЕЖИ[[#This Row],[СЎМ]]+([1]!ПЛАТЕЖИ[[#This Row],[ВАЛЮТА]]*[1]!ПЛАТЕЖИ[[#This Row],[КУРС]])</f>
        <v>3376800</v>
      </c>
      <c r="U34" s="31"/>
      <c r="V34" s="31"/>
    </row>
    <row r="35" spans="2:22" x14ac:dyDescent="0.25">
      <c r="B35" s="1">
        <v>46030</v>
      </c>
      <c r="C35" s="2" t="s">
        <v>32</v>
      </c>
      <c r="D35" s="3" t="s">
        <v>1</v>
      </c>
      <c r="E35" s="3" t="s">
        <v>2</v>
      </c>
      <c r="F35" s="4">
        <v>131.6</v>
      </c>
      <c r="G35" s="4">
        <v>20000</v>
      </c>
      <c r="H35" s="5">
        <f>[1]!РЕАЛИЗАЦИЯ[СОНИ]*[1]!РЕАЛИЗАЦИЯ[НАРХИ]</f>
        <v>814400</v>
      </c>
      <c r="I35" s="4"/>
      <c r="J35" s="6">
        <v>19000</v>
      </c>
      <c r="K35" s="4">
        <f>[1]!РЕАЛИЗАЦИЯ[[#This Row],[СОНИ]]*[1]!РЕАЛИЗАЦИЯ[[#This Row],[ТАННАРХ]]</f>
        <v>0</v>
      </c>
      <c r="L35" s="7">
        <f>[1]!РЕАЛИЗАЦИЯ[[#This Row],[ЖАМИ]]-[1]!РЕАЛИЗАЦИЯ[[#This Row],[ЖАМИ2]]</f>
        <v>814400</v>
      </c>
      <c r="O35" s="27">
        <v>46031</v>
      </c>
      <c r="P35" s="28" t="s">
        <v>71</v>
      </c>
      <c r="Q35" s="6"/>
      <c r="R35" s="6">
        <v>100</v>
      </c>
      <c r="S35" s="6">
        <v>12000</v>
      </c>
      <c r="T35" s="29">
        <f>[1]!ПЛАТЕЖИ[[#This Row],[СЎМ]]+([1]!ПЛАТЕЖИ[[#This Row],[ВАЛЮТА]]*[1]!ПЛАТЕЖИ[[#This Row],[КУРС]])</f>
        <v>2540000</v>
      </c>
      <c r="U35" s="28"/>
      <c r="V35" s="28"/>
    </row>
    <row r="36" spans="2:22" x14ac:dyDescent="0.25">
      <c r="B36" s="8">
        <v>46030</v>
      </c>
      <c r="C36" s="9" t="s">
        <v>33</v>
      </c>
      <c r="D36" s="10" t="s">
        <v>1</v>
      </c>
      <c r="E36" s="10" t="s">
        <v>2</v>
      </c>
      <c r="F36" s="11">
        <v>204.4</v>
      </c>
      <c r="G36" s="11">
        <v>20500</v>
      </c>
      <c r="H36" s="12">
        <f>[1]!РЕАЛИЗАЦИЯ[СОНИ]*[1]!РЕАЛИЗАЦИЯ[НАРХИ]</f>
        <v>1576000</v>
      </c>
      <c r="I36" s="11"/>
      <c r="J36" s="13">
        <v>19000</v>
      </c>
      <c r="K36" s="11">
        <f>[1]!РЕАЛИЗАЦИЯ[[#This Row],[СОНИ]]*[1]!РЕАЛИЗАЦИЯ[[#This Row],[ТАННАРХ]]</f>
        <v>0</v>
      </c>
      <c r="L36" s="14">
        <f>[1]!РЕАЛИЗАЦИЯ[[#This Row],[ЖАМИ]]-[1]!РЕАЛИЗАЦИЯ[[#This Row],[ЖАМИ2]]</f>
        <v>1576000</v>
      </c>
      <c r="O36" s="30">
        <v>46031</v>
      </c>
      <c r="P36" s="31" t="s">
        <v>49</v>
      </c>
      <c r="Q36" s="13">
        <v>1012200</v>
      </c>
      <c r="R36" s="13"/>
      <c r="S36" s="13"/>
      <c r="T36" s="32">
        <f>[1]!ПЛАТЕЖИ[[#This Row],[СЎМ]]+([1]!ПЛАТЕЖИ[[#This Row],[ВАЛЮТА]]*[1]!ПЛАТЕЖИ[[#This Row],[КУРС]])</f>
        <v>2033000</v>
      </c>
      <c r="U36" s="31"/>
      <c r="V36" s="31"/>
    </row>
    <row r="37" spans="2:22" x14ac:dyDescent="0.25">
      <c r="B37" s="1">
        <v>46030</v>
      </c>
      <c r="C37" s="2" t="s">
        <v>33</v>
      </c>
      <c r="D37" s="3" t="s">
        <v>10</v>
      </c>
      <c r="E37" s="3" t="s">
        <v>2</v>
      </c>
      <c r="F37" s="4">
        <v>499.4</v>
      </c>
      <c r="G37" s="4">
        <v>14500</v>
      </c>
      <c r="H37" s="5">
        <f>[1]!РЕАЛИЗАЦИЯ[СОНИ]*[1]!РЕАЛИЗАЦИЯ[НАРХИ]</f>
        <v>2142400</v>
      </c>
      <c r="I37" s="4"/>
      <c r="J37" s="6">
        <v>13000</v>
      </c>
      <c r="K37" s="4">
        <f>[1]!РЕАЛИЗАЦИЯ[[#This Row],[СОНИ]]*[1]!РЕАЛИЗАЦИЯ[[#This Row],[ТАННАРХ]]</f>
        <v>0</v>
      </c>
      <c r="L37" s="7">
        <f>[1]!РЕАЛИЗАЦИЯ[[#This Row],[ЖАМИ]]-[1]!РЕАЛИЗАЦИЯ[[#This Row],[ЖАМИ2]]</f>
        <v>2142400</v>
      </c>
      <c r="O37" s="27">
        <v>46031</v>
      </c>
      <c r="P37" s="28" t="s">
        <v>111</v>
      </c>
      <c r="Q37" s="6">
        <v>2000000</v>
      </c>
      <c r="R37" s="6"/>
      <c r="S37" s="6"/>
      <c r="T37" s="29">
        <f>[1]!ПЛАТЕЖИ[[#This Row],[СЎМ]]+([1]!ПЛАТЕЖИ[[#This Row],[ВАЛЮТА]]*[1]!ПЛАТЕЖИ[[#This Row],[КУРС]])</f>
        <v>2158200</v>
      </c>
      <c r="U37" s="28"/>
      <c r="V37" s="28"/>
    </row>
    <row r="38" spans="2:22" x14ac:dyDescent="0.25">
      <c r="B38" s="8">
        <v>46030</v>
      </c>
      <c r="C38" s="9" t="s">
        <v>34</v>
      </c>
      <c r="D38" s="10" t="s">
        <v>1</v>
      </c>
      <c r="E38" s="10" t="s">
        <v>2</v>
      </c>
      <c r="F38" s="11">
        <v>249</v>
      </c>
      <c r="G38" s="11">
        <v>21600</v>
      </c>
      <c r="H38" s="12">
        <f>[1]!РЕАЛИЗАЦИЯ[СОНИ]*[1]!РЕАЛИЗАЦИЯ[НАРХИ]</f>
        <v>951299.99999999988</v>
      </c>
      <c r="I38" s="11" t="s">
        <v>35</v>
      </c>
      <c r="J38" s="13">
        <v>19000</v>
      </c>
      <c r="K38" s="11">
        <f>[1]!РЕАЛИЗАЦИЯ[[#This Row],[СОНИ]]*[1]!РЕАЛИЗАЦИЯ[[#This Row],[ТАННАРХ]]</f>
        <v>0</v>
      </c>
      <c r="L38" s="14">
        <f>[1]!РЕАЛИЗАЦИЯ[[#This Row],[ЖАМИ]]-[1]!РЕАЛИЗАЦИЯ[[#This Row],[ЖАМИ2]]</f>
        <v>951299.99999999988</v>
      </c>
      <c r="O38" s="30">
        <v>46031</v>
      </c>
      <c r="P38" s="31" t="s">
        <v>45</v>
      </c>
      <c r="Q38" s="13"/>
      <c r="R38" s="13">
        <v>100</v>
      </c>
      <c r="S38" s="13">
        <v>12050</v>
      </c>
      <c r="T38" s="32">
        <f>[1]!ПЛАТЕЖИ[[#This Row],[СЎМ]]+([1]!ПЛАТЕЖИ[[#This Row],[ВАЛЮТА]]*[1]!ПЛАТЕЖИ[[#This Row],[КУРС]])</f>
        <v>1039500</v>
      </c>
      <c r="U38" s="31"/>
      <c r="V38" s="31"/>
    </row>
    <row r="39" spans="2:22" x14ac:dyDescent="0.25">
      <c r="B39" s="1">
        <v>46030</v>
      </c>
      <c r="C39" s="2" t="s">
        <v>34</v>
      </c>
      <c r="D39" s="3" t="s">
        <v>36</v>
      </c>
      <c r="E39" s="3" t="s">
        <v>2</v>
      </c>
      <c r="F39" s="4">
        <v>53.6</v>
      </c>
      <c r="G39" s="4">
        <v>18540</v>
      </c>
      <c r="H39" s="5">
        <f>[1]!РЕАЛИЗАЦИЯ[СОНИ]*[1]!РЕАЛИЗАЦИЯ[НАРХИ]</f>
        <v>1035299.9999999999</v>
      </c>
      <c r="I39" s="4" t="s">
        <v>35</v>
      </c>
      <c r="J39" s="6">
        <v>16000</v>
      </c>
      <c r="K39" s="4">
        <f>[1]!РЕАЛИЗАЦИЯ[[#This Row],[СОНИ]]*[1]!РЕАЛИЗАЦИЯ[[#This Row],[ТАННАРХ]]</f>
        <v>0</v>
      </c>
      <c r="L39" s="7">
        <f>[1]!РЕАЛИЗАЦИЯ[[#This Row],[ЖАМИ]]-[1]!РЕАЛИЗАЦИЯ[[#This Row],[ЖАМИ2]]</f>
        <v>1035299.9999999999</v>
      </c>
      <c r="O39" s="27">
        <v>46031</v>
      </c>
      <c r="P39" s="28" t="s">
        <v>144</v>
      </c>
      <c r="Q39" s="6">
        <v>500000</v>
      </c>
      <c r="R39" s="6"/>
      <c r="S39" s="6"/>
      <c r="T39" s="29">
        <f>[1]!ПЛАТЕЖИ[[#This Row],[СЎМ]]+([1]!ПЛАТЕЖИ[[#This Row],[ВАЛЮТА]]*[1]!ПЛАТЕЖИ[[#This Row],[КУРС]])</f>
        <v>500000</v>
      </c>
      <c r="U39" s="28"/>
      <c r="V39" s="28" t="s">
        <v>275</v>
      </c>
    </row>
    <row r="40" spans="2:22" x14ac:dyDescent="0.25">
      <c r="B40" s="8">
        <v>46030</v>
      </c>
      <c r="C40" s="9" t="s">
        <v>37</v>
      </c>
      <c r="D40" s="10" t="s">
        <v>10</v>
      </c>
      <c r="E40" s="10" t="s">
        <v>2</v>
      </c>
      <c r="F40" s="11">
        <v>53.5</v>
      </c>
      <c r="G40" s="11">
        <v>16000</v>
      </c>
      <c r="H40" s="12">
        <f>[1]!РЕАЛИЗАЦИЯ[СОНИ]*[1]!РЕАЛИЗАЦИЯ[НАРХИ]</f>
        <v>3252900</v>
      </c>
      <c r="I40" s="11"/>
      <c r="J40" s="13">
        <v>13000</v>
      </c>
      <c r="K40" s="11">
        <f>[1]!РЕАЛИЗАЦИЯ[[#This Row],[СОНИ]]*[1]!РЕАЛИЗАЦИЯ[[#This Row],[ТАННАРХ]]</f>
        <v>0</v>
      </c>
      <c r="L40" s="14">
        <f>[1]!РЕАЛИЗАЦИЯ[[#This Row],[ЖАМИ]]-[1]!РЕАЛИЗАЦИЯ[[#This Row],[ЖАМИ2]]</f>
        <v>3252900</v>
      </c>
      <c r="O40" s="30">
        <v>46031</v>
      </c>
      <c r="P40" s="31" t="s">
        <v>280</v>
      </c>
      <c r="Q40" s="13">
        <v>300000</v>
      </c>
      <c r="R40" s="13"/>
      <c r="S40" s="13"/>
      <c r="T40" s="32">
        <f>[1]!ПЛАТЕЖИ[[#This Row],[СЎМ]]+([1]!ПЛАТЕЖИ[[#This Row],[ВАЛЮТА]]*[1]!ПЛАТЕЖИ[[#This Row],[КУРС]])</f>
        <v>888300</v>
      </c>
      <c r="U40" s="31"/>
      <c r="V40" s="31"/>
    </row>
    <row r="41" spans="2:22" x14ac:dyDescent="0.25">
      <c r="B41" s="1">
        <v>46030</v>
      </c>
      <c r="C41" s="2" t="s">
        <v>37</v>
      </c>
      <c r="D41" s="3" t="s">
        <v>1</v>
      </c>
      <c r="E41" s="3" t="s">
        <v>2</v>
      </c>
      <c r="F41" s="4">
        <v>97.9</v>
      </c>
      <c r="G41" s="4">
        <v>21000</v>
      </c>
      <c r="H41" s="5">
        <f>[1]!РЕАЛИЗАЦИЯ[СОНИ]*[1]!РЕАЛИЗАЦИЯ[НАРХИ]</f>
        <v>812800</v>
      </c>
      <c r="I41" s="4"/>
      <c r="J41" s="6">
        <v>19000</v>
      </c>
      <c r="K41" s="4">
        <f>[1]!РЕАЛИЗАЦИЯ[[#This Row],[СОНИ]]*[1]!РЕАЛИЗАЦИЯ[[#This Row],[ТАННАРХ]]</f>
        <v>0</v>
      </c>
      <c r="L41" s="7">
        <f>[1]!РЕАЛИЗАЦИЯ[[#This Row],[ЖАМИ]]-[1]!РЕАЛИЗАЦИЯ[[#This Row],[ЖАМИ2]]</f>
        <v>812800</v>
      </c>
      <c r="O41" s="27">
        <v>46031</v>
      </c>
      <c r="P41" s="28" t="s">
        <v>93</v>
      </c>
      <c r="Q41" s="6">
        <v>5172300</v>
      </c>
      <c r="R41" s="6"/>
      <c r="S41" s="6"/>
      <c r="T41" s="29">
        <f>[1]!ПЛАТЕЖИ[[#This Row],[СЎМ]]+([1]!ПЛАТЕЖИ[[#This Row],[ВАЛЮТА]]*[1]!ПЛАТЕЖИ[[#This Row],[КУРС]])</f>
        <v>1000000</v>
      </c>
      <c r="U41" s="28"/>
      <c r="V41" s="28"/>
    </row>
    <row r="42" spans="2:22" x14ac:dyDescent="0.25">
      <c r="B42" s="8">
        <v>46030</v>
      </c>
      <c r="C42" s="9" t="s">
        <v>38</v>
      </c>
      <c r="D42" s="10" t="s">
        <v>1</v>
      </c>
      <c r="E42" s="10" t="s">
        <v>2</v>
      </c>
      <c r="F42" s="11">
        <v>93.6</v>
      </c>
      <c r="G42" s="11">
        <v>21000</v>
      </c>
      <c r="H42" s="12">
        <f>[1]!РЕАЛИЗАЦИЯ[СОНИ]*[1]!РЕАЛИЗАЦИЯ[НАРХИ]</f>
        <v>1924000</v>
      </c>
      <c r="I42" s="11"/>
      <c r="J42" s="13">
        <v>19000</v>
      </c>
      <c r="K42" s="11">
        <f>[1]!РЕАЛИЗАЦИЯ[[#This Row],[СОНИ]]*[1]!РЕАЛИЗАЦИЯ[[#This Row],[ТАННАРХ]]</f>
        <v>0</v>
      </c>
      <c r="L42" s="14">
        <f>[1]!РЕАЛИЗАЦИЯ[[#This Row],[ЖАМИ]]-[1]!РЕАЛИЗАЦИЯ[[#This Row],[ЖАМИ2]]</f>
        <v>1924000</v>
      </c>
      <c r="O42" s="30">
        <v>46031</v>
      </c>
      <c r="P42" s="31" t="s">
        <v>30</v>
      </c>
      <c r="Q42" s="13">
        <v>1201200</v>
      </c>
      <c r="R42" s="13"/>
      <c r="S42" s="13"/>
      <c r="T42" s="32">
        <f>[1]!ПЛАТЕЖИ[[#This Row],[СЎМ]]+([1]!ПЛАТЕЖИ[[#This Row],[ВАЛЮТА]]*[1]!ПЛАТЕЖИ[[#This Row],[КУРС]])</f>
        <v>770000</v>
      </c>
      <c r="U42" s="31"/>
      <c r="V42" s="31"/>
    </row>
    <row r="43" spans="2:22" x14ac:dyDescent="0.25">
      <c r="B43" s="1">
        <v>46031</v>
      </c>
      <c r="C43" s="2" t="s">
        <v>39</v>
      </c>
      <c r="D43" s="3" t="s">
        <v>40</v>
      </c>
      <c r="E43" s="3" t="s">
        <v>2</v>
      </c>
      <c r="F43" s="4">
        <v>1104.0999999999999</v>
      </c>
      <c r="G43" s="4">
        <v>20000</v>
      </c>
      <c r="H43" s="5">
        <f>[1]!РЕАЛИЗАЦИЯ[СОНИ]*[1]!РЕАЛИЗАЦИЯ[НАРХИ]</f>
        <v>722100</v>
      </c>
      <c r="I43" s="4"/>
      <c r="J43" s="6">
        <v>19500</v>
      </c>
      <c r="K43" s="4">
        <f>[1]!РЕАЛИЗАЦИЯ[[#This Row],[СОНИ]]*[1]!РЕАЛИЗАЦИЯ[[#This Row],[ТАННАРХ]]</f>
        <v>0</v>
      </c>
      <c r="L43" s="7">
        <f>[1]!РЕАЛИЗАЦИЯ[[#This Row],[ЖАМИ]]-[1]!РЕАЛИЗАЦИЯ[[#This Row],[ЖАМИ2]]</f>
        <v>722100</v>
      </c>
      <c r="O43" s="27">
        <v>46031</v>
      </c>
      <c r="P43" s="28" t="s">
        <v>284</v>
      </c>
      <c r="Q43" s="6">
        <v>1000000</v>
      </c>
      <c r="R43" s="6"/>
      <c r="S43" s="6"/>
      <c r="T43" s="29">
        <f>[1]!ПЛАТЕЖИ[[#This Row],[СЎМ]]+([1]!ПЛАТЕЖИ[[#This Row],[ВАЛЮТА]]*[1]!ПЛАТЕЖИ[[#This Row],[КУРС]])</f>
        <v>697000</v>
      </c>
      <c r="U43" s="28"/>
      <c r="V43" s="28" t="s">
        <v>275</v>
      </c>
    </row>
    <row r="44" spans="2:22" x14ac:dyDescent="0.25">
      <c r="B44" s="8">
        <v>46031</v>
      </c>
      <c r="C44" s="9" t="s">
        <v>33</v>
      </c>
      <c r="D44" s="10" t="s">
        <v>10</v>
      </c>
      <c r="E44" s="10" t="s">
        <v>2</v>
      </c>
      <c r="F44" s="11">
        <v>756</v>
      </c>
      <c r="G44" s="11">
        <v>14500</v>
      </c>
      <c r="H44" s="12">
        <f>[1]!РЕАЛИЗАЦИЯ[СОНИ]*[1]!РЕАЛИЗАЦИЯ[НАРХИ]</f>
        <v>3553809.0000000005</v>
      </c>
      <c r="I44" s="11"/>
      <c r="J44" s="13">
        <v>13000</v>
      </c>
      <c r="K44" s="11">
        <f>[1]!РЕАЛИЗАЦИЯ[[#This Row],[СОНИ]]*[1]!РЕАЛИЗАЦИЯ[[#This Row],[ТАННАРХ]]</f>
        <v>0</v>
      </c>
      <c r="L44" s="14">
        <f>[1]!РЕАЛИЗАЦИЯ[[#This Row],[ЖАМИ]]-[1]!РЕАЛИЗАЦИЯ[[#This Row],[ЖАМИ2]]</f>
        <v>3553809.0000000005</v>
      </c>
      <c r="O44" s="30">
        <v>46031</v>
      </c>
      <c r="P44" s="31" t="s">
        <v>284</v>
      </c>
      <c r="Q44" s="13">
        <v>644000</v>
      </c>
      <c r="R44" s="13"/>
      <c r="S44" s="13"/>
      <c r="T44" s="32">
        <f>[1]!ПЛАТЕЖИ[[#This Row],[СЎМ]]+([1]!ПЛАТЕЖИ[[#This Row],[ВАЛЮТА]]*[1]!ПЛАТЕЖИ[[#This Row],[КУРС]])</f>
        <v>1659800</v>
      </c>
      <c r="U44" s="31"/>
      <c r="V44" s="31"/>
    </row>
    <row r="45" spans="2:22" x14ac:dyDescent="0.25">
      <c r="B45" s="1">
        <v>46031</v>
      </c>
      <c r="C45" s="2" t="s">
        <v>33</v>
      </c>
      <c r="D45" s="3" t="s">
        <v>1</v>
      </c>
      <c r="E45" s="3" t="s">
        <v>2</v>
      </c>
      <c r="F45" s="4">
        <v>151.30000000000001</v>
      </c>
      <c r="G45" s="4">
        <v>20500</v>
      </c>
      <c r="H45" s="5">
        <f>[1]!РЕАЛИЗАЦИЯ[СОНИ]*[1]!РЕАЛИЗАЦИЯ[НАРХИ]</f>
        <v>870144</v>
      </c>
      <c r="I45" s="4"/>
      <c r="J45" s="6">
        <v>19000</v>
      </c>
      <c r="K45" s="4">
        <f>[1]!РЕАЛИЗАЦИЯ[[#This Row],[СОНИ]]*[1]!РЕАЛИЗАЦИЯ[[#This Row],[ТАННАРХ]]</f>
        <v>0</v>
      </c>
      <c r="L45" s="7">
        <f>[1]!РЕАЛИЗАЦИЯ[[#This Row],[ЖАМИ]]-[1]!РЕАЛИЗАЦИЯ[[#This Row],[ЖАМИ2]]</f>
        <v>870144</v>
      </c>
      <c r="O45" s="27">
        <v>46031</v>
      </c>
      <c r="P45" s="28" t="s">
        <v>285</v>
      </c>
      <c r="Q45" s="6">
        <v>400000</v>
      </c>
      <c r="R45" s="6"/>
      <c r="S45" s="6"/>
      <c r="T45" s="29">
        <f>[1]!ПЛАТЕЖИ[[#This Row],[СЎМ]]+([1]!ПЛАТЕЖИ[[#This Row],[ВАЛЮТА]]*[1]!ПЛАТЕЖИ[[#This Row],[КУРС]])</f>
        <v>1145000</v>
      </c>
      <c r="U45" s="28"/>
      <c r="V45" s="28" t="s">
        <v>275</v>
      </c>
    </row>
    <row r="46" spans="2:22" x14ac:dyDescent="0.25">
      <c r="B46" s="8">
        <v>46031</v>
      </c>
      <c r="C46" s="9" t="s">
        <v>41</v>
      </c>
      <c r="D46" s="10" t="s">
        <v>10</v>
      </c>
      <c r="E46" s="10" t="s">
        <v>2</v>
      </c>
      <c r="F46" s="11">
        <v>50</v>
      </c>
      <c r="G46" s="11">
        <v>16000</v>
      </c>
      <c r="H46" s="12">
        <f>[1]!РЕАЛИЗАЦИЯ[СОНИ]*[1]!РЕАЛИЗАЦИЯ[НАРХИ]</f>
        <v>2045400.0000000002</v>
      </c>
      <c r="I46" s="11"/>
      <c r="J46" s="13">
        <v>13000</v>
      </c>
      <c r="K46" s="11">
        <f>[1]!РЕАЛИЗАЦИЯ[[#This Row],[СОНИ]]*[1]!РЕАЛИЗАЦИЯ[[#This Row],[ТАННАРХ]]</f>
        <v>0</v>
      </c>
      <c r="L46" s="14">
        <f>[1]!РЕАЛИЗАЦИЯ[[#This Row],[ЖАМИ]]-[1]!РЕАЛИЗАЦИЯ[[#This Row],[ЖАМИ2]]</f>
        <v>2045400.0000000002</v>
      </c>
      <c r="O46" s="30">
        <v>46032</v>
      </c>
      <c r="P46" s="31" t="s">
        <v>125</v>
      </c>
      <c r="Q46" s="13">
        <v>1726000</v>
      </c>
      <c r="R46" s="13"/>
      <c r="S46" s="13"/>
      <c r="T46" s="32">
        <f>[1]!ПЛАТЕЖИ[[#This Row],[СЎМ]]+([1]!ПЛАТЕЖИ[[#This Row],[ВАЛЮТА]]*[1]!ПЛАТЕЖИ[[#This Row],[КУРС]])</f>
        <v>1635000</v>
      </c>
      <c r="U46" s="31"/>
      <c r="V46" s="31"/>
    </row>
    <row r="47" spans="2:22" x14ac:dyDescent="0.25">
      <c r="B47" s="1">
        <v>46031</v>
      </c>
      <c r="C47" s="2" t="s">
        <v>42</v>
      </c>
      <c r="D47" s="3" t="s">
        <v>1</v>
      </c>
      <c r="E47" s="3" t="s">
        <v>2</v>
      </c>
      <c r="F47" s="4">
        <v>192.3</v>
      </c>
      <c r="G47" s="4">
        <v>21000</v>
      </c>
      <c r="H47" s="5">
        <f>[1]!РЕАЛИЗАЦИЯ[СОНИ]*[1]!РЕАЛИЗАЦИЯ[НАРХИ]</f>
        <v>731200</v>
      </c>
      <c r="I47" s="4"/>
      <c r="J47" s="6">
        <v>19000</v>
      </c>
      <c r="K47" s="4">
        <f>[1]!РЕАЛИЗАЦИЯ[[#This Row],[СОНИ]]*[1]!РЕАЛИЗАЦИЯ[[#This Row],[ТАННАРХ]]</f>
        <v>0</v>
      </c>
      <c r="L47" s="7">
        <f>[1]!РЕАЛИЗАЦИЯ[[#This Row],[ЖАМИ]]-[1]!РЕАЛИЗАЦИЯ[[#This Row],[ЖАМИ2]]</f>
        <v>731200</v>
      </c>
      <c r="O47" s="27">
        <v>46032</v>
      </c>
      <c r="P47" s="28" t="s">
        <v>230</v>
      </c>
      <c r="Q47" s="6">
        <v>2974000</v>
      </c>
      <c r="R47" s="6"/>
      <c r="S47" s="6"/>
      <c r="T47" s="29">
        <f>[1]!ПЛАТЕЖИ[[#This Row],[СЎМ]]+([1]!ПЛАТЕЖИ[[#This Row],[ВАЛЮТА]]*[1]!ПЛАТЕЖИ[[#This Row],[КУРС]])</f>
        <v>650000</v>
      </c>
      <c r="U47" s="28"/>
      <c r="V47" s="28"/>
    </row>
    <row r="48" spans="2:22" x14ac:dyDescent="0.25">
      <c r="B48" s="8">
        <v>46031</v>
      </c>
      <c r="C48" s="9" t="s">
        <v>43</v>
      </c>
      <c r="D48" s="10" t="s">
        <v>1</v>
      </c>
      <c r="E48" s="10" t="s">
        <v>2</v>
      </c>
      <c r="F48" s="11">
        <v>50.8</v>
      </c>
      <c r="G48" s="11">
        <v>20600</v>
      </c>
      <c r="H48" s="12">
        <f>[1]!РЕАЛИЗАЦИЯ[СОНИ]*[1]!РЕАЛИЗАЦИЯ[НАРХИ]</f>
        <v>1932000</v>
      </c>
      <c r="I48" s="11"/>
      <c r="J48" s="13">
        <v>19000</v>
      </c>
      <c r="K48" s="11">
        <f>[1]!РЕАЛИЗАЦИЯ[[#This Row],[СОНИ]]*[1]!РЕАЛИЗАЦИЯ[[#This Row],[ТАННАРХ]]</f>
        <v>0</v>
      </c>
      <c r="L48" s="14">
        <f>[1]!РЕАЛИЗАЦИЯ[[#This Row],[ЖАМИ]]-[1]!РЕАЛИЗАЦИЯ[[#This Row],[ЖАМИ2]]</f>
        <v>1932000</v>
      </c>
      <c r="O48" s="30">
        <v>46032</v>
      </c>
      <c r="P48" s="31" t="s">
        <v>286</v>
      </c>
      <c r="Q48" s="13">
        <v>3000000</v>
      </c>
      <c r="R48" s="13"/>
      <c r="S48" s="13"/>
      <c r="T48" s="32">
        <f>[1]!ПЛАТЕЖИ[[#This Row],[СЎМ]]+([1]!ПЛАТЕЖИ[[#This Row],[ВАЛЮТА]]*[1]!ПЛАТЕЖИ[[#This Row],[КУРС]])</f>
        <v>17060000</v>
      </c>
      <c r="U48" s="31"/>
      <c r="V48" s="31"/>
    </row>
    <row r="49" spans="2:22" x14ac:dyDescent="0.25">
      <c r="B49" s="1">
        <v>46031</v>
      </c>
      <c r="C49" s="2" t="s">
        <v>14</v>
      </c>
      <c r="D49" s="3" t="s">
        <v>1</v>
      </c>
      <c r="E49" s="3" t="s">
        <v>2</v>
      </c>
      <c r="F49" s="4">
        <v>146.1</v>
      </c>
      <c r="G49" s="4">
        <v>20000</v>
      </c>
      <c r="H49" s="5">
        <f>[1]!РЕАЛИЗАЦИЯ[СОНИ]*[1]!РЕАЛИЗАЦИЯ[НАРХИ]</f>
        <v>3066000</v>
      </c>
      <c r="I49" s="4"/>
      <c r="J49" s="6">
        <v>19000</v>
      </c>
      <c r="K49" s="4">
        <f>[1]!РЕАЛИЗАЦИЯ[[#This Row],[СОНИ]]*[1]!РЕАЛИЗАЦИЯ[[#This Row],[ТАННАРХ]]</f>
        <v>0</v>
      </c>
      <c r="L49" s="7">
        <f>[1]!РЕАЛИЗАЦИЯ[[#This Row],[ЖАМИ]]-[1]!РЕАЛИЗАЦИЯ[[#This Row],[ЖАМИ2]]</f>
        <v>3066000</v>
      </c>
      <c r="O49" s="27">
        <v>46032</v>
      </c>
      <c r="P49" s="28" t="s">
        <v>54</v>
      </c>
      <c r="Q49" s="6">
        <v>1199900</v>
      </c>
      <c r="R49" s="6"/>
      <c r="S49" s="6"/>
      <c r="T49" s="29">
        <f>[1]!ПЛАТЕЖИ[[#This Row],[СЎМ]]+([1]!ПЛАТЕЖИ[[#This Row],[ВАЛЮТА]]*[1]!ПЛАТЕЖИ[[#This Row],[КУРС]])</f>
        <v>41832000</v>
      </c>
      <c r="U49" s="28"/>
      <c r="V49" s="28"/>
    </row>
    <row r="50" spans="2:22" x14ac:dyDescent="0.25">
      <c r="B50" s="8">
        <v>46032</v>
      </c>
      <c r="C50" s="9" t="s">
        <v>44</v>
      </c>
      <c r="D50" s="10" t="s">
        <v>25</v>
      </c>
      <c r="E50" s="10" t="s">
        <v>2</v>
      </c>
      <c r="F50" s="11">
        <v>201.6</v>
      </c>
      <c r="G50" s="11">
        <v>25000</v>
      </c>
      <c r="H50" s="12">
        <f>[1]!РЕАЛИЗАЦИЯ[СОНИ]*[1]!РЕАЛИЗАЦИЯ[НАРХИ]</f>
        <v>2753940</v>
      </c>
      <c r="I50" s="11"/>
      <c r="J50" s="13">
        <v>23000</v>
      </c>
      <c r="K50" s="11">
        <f>[1]!РЕАЛИЗАЦИЯ[[#This Row],[СОНИ]]*[1]!РЕАЛИЗАЦИЯ[[#This Row],[ТАННАРХ]]</f>
        <v>303804900</v>
      </c>
      <c r="L50" s="14">
        <f>[1]!РЕАЛИЗАЦИЯ[[#This Row],[ЖАМИ]]-[1]!РЕАЛИЗАЦИЯ[[#This Row],[ЖАМИ2]]</f>
        <v>2753823.8</v>
      </c>
      <c r="O50" s="30">
        <v>46032</v>
      </c>
      <c r="P50" s="31" t="s">
        <v>249</v>
      </c>
      <c r="Q50" s="13"/>
      <c r="R50" s="13">
        <v>300</v>
      </c>
      <c r="S50" s="13">
        <v>12100</v>
      </c>
      <c r="T50" s="32">
        <f>[1]!ПЛАТЕЖИ[[#This Row],[СЎМ]]+([1]!ПЛАТЕЖИ[[#This Row],[ВАЛЮТА]]*[1]!ПЛАТЕЖИ[[#This Row],[КУРС]])</f>
        <v>3500000</v>
      </c>
      <c r="U50" s="31"/>
      <c r="V50" s="31"/>
    </row>
    <row r="51" spans="2:22" x14ac:dyDescent="0.25">
      <c r="B51" s="1">
        <v>46032</v>
      </c>
      <c r="C51" s="2" t="s">
        <v>9</v>
      </c>
      <c r="D51" s="3" t="s">
        <v>25</v>
      </c>
      <c r="E51" s="3" t="s">
        <v>2</v>
      </c>
      <c r="F51" s="4">
        <v>403.8</v>
      </c>
      <c r="G51" s="4">
        <v>25700</v>
      </c>
      <c r="H51" s="5">
        <f>[1]!РЕАЛИЗАЦИЯ[СОНИ]*[1]!РЕАЛИЗАЦИЯ[НАРХИ]</f>
        <v>640200</v>
      </c>
      <c r="I51" s="4"/>
      <c r="J51" s="6">
        <v>23000</v>
      </c>
      <c r="K51" s="4">
        <f>[1]!РЕАЛИЗАЦИЯ[[#This Row],[СОНИ]]*[1]!РЕАЛИЗАЦИЯ[[#This Row],[ТАННАРХ]]</f>
        <v>0</v>
      </c>
      <c r="L51" s="7">
        <f>[1]!РЕАЛИЗАЦИЯ[[#This Row],[ЖАМИ]]-[1]!РЕАЛИЗАЦИЯ[[#This Row],[ЖАМИ2]]</f>
        <v>640200</v>
      </c>
      <c r="O51" s="27">
        <v>46032</v>
      </c>
      <c r="P51" s="28" t="s">
        <v>121</v>
      </c>
      <c r="Q51" s="6">
        <v>457000</v>
      </c>
      <c r="R51" s="6"/>
      <c r="S51" s="6"/>
      <c r="T51" s="29">
        <f>[1]!ПЛАТЕЖИ[[#This Row],[СЎМ]]+([1]!ПЛАТЕЖИ[[#This Row],[ВАЛЮТА]]*[1]!ПЛАТЕЖИ[[#This Row],[КУРС]])</f>
        <v>1782800</v>
      </c>
      <c r="U51" s="28"/>
      <c r="V51" s="28"/>
    </row>
    <row r="52" spans="2:22" x14ac:dyDescent="0.25">
      <c r="B52" s="8">
        <v>46032</v>
      </c>
      <c r="C52" s="9" t="s">
        <v>45</v>
      </c>
      <c r="D52" s="10" t="s">
        <v>1</v>
      </c>
      <c r="E52" s="10" t="s">
        <v>2</v>
      </c>
      <c r="F52" s="11">
        <v>98.5</v>
      </c>
      <c r="G52" s="11">
        <v>21000</v>
      </c>
      <c r="H52" s="12">
        <f>[1]!РЕАЛИЗАЦИЯ[СОНИ]*[1]!РЕАЛИЗАЦИЯ[НАРХИ]</f>
        <v>558900</v>
      </c>
      <c r="I52" s="11"/>
      <c r="J52" s="13">
        <v>19000</v>
      </c>
      <c r="K52" s="11">
        <f>[1]!РЕАЛИЗАЦИЯ[[#This Row],[СОНИ]]*[1]!РЕАЛИЗАЦИЯ[[#This Row],[ТАННАРХ]]</f>
        <v>12105045</v>
      </c>
      <c r="L52" s="14">
        <f>[1]!РЕАЛИЗАЦИЯ[[#This Row],[ЖАМИ]]-[1]!РЕАЛИЗАЦИЯ[[#This Row],[ЖАМИ2]]</f>
        <v>558875.69999999995</v>
      </c>
      <c r="O52" s="30">
        <v>46032</v>
      </c>
      <c r="P52" s="31" t="s">
        <v>160</v>
      </c>
      <c r="Q52" s="13">
        <v>941100</v>
      </c>
      <c r="R52" s="13"/>
      <c r="S52" s="13"/>
      <c r="T52" s="32">
        <f>[1]!ПЛАТЕЖИ[[#This Row],[СЎМ]]+([1]!ПЛАТЕЖИ[[#This Row],[ВАЛЮТА]]*[1]!ПЛАТЕЖИ[[#This Row],[КУРС]])</f>
        <v>4000000</v>
      </c>
      <c r="U52" s="31"/>
      <c r="V52" s="31"/>
    </row>
    <row r="53" spans="2:22" x14ac:dyDescent="0.25">
      <c r="B53" s="1">
        <v>46032</v>
      </c>
      <c r="C53" s="2" t="s">
        <v>46</v>
      </c>
      <c r="D53" s="3" t="s">
        <v>10</v>
      </c>
      <c r="E53" s="3" t="s">
        <v>2</v>
      </c>
      <c r="F53" s="4">
        <v>49</v>
      </c>
      <c r="G53" s="4">
        <v>16000</v>
      </c>
      <c r="H53" s="5">
        <f>[1]!РЕАЛИЗАЦИЯ[СОНИ]*[1]!РЕАЛИЗАЦИЯ[НАРХИ]</f>
        <v>1058400</v>
      </c>
      <c r="I53" s="4"/>
      <c r="J53" s="6">
        <v>13000</v>
      </c>
      <c r="K53" s="4">
        <f>[1]!РЕАЛИЗАЦИЯ[[#This Row],[СОНИ]]*[1]!РЕАЛИЗАЦИЯ[[#This Row],[ТАННАРХ]]</f>
        <v>0</v>
      </c>
      <c r="L53" s="7">
        <f>[1]!РЕАЛИЗАЦИЯ[[#This Row],[ЖАМИ]]-[1]!РЕАЛИЗАЦИЯ[[#This Row],[ЖАМИ2]]</f>
        <v>1058400</v>
      </c>
      <c r="O53" s="27">
        <v>46032</v>
      </c>
      <c r="P53" s="28" t="s">
        <v>146</v>
      </c>
      <c r="Q53" s="6">
        <v>1091500</v>
      </c>
      <c r="R53" s="6"/>
      <c r="S53" s="6"/>
      <c r="T53" s="29">
        <f>[1]!ПЛАТЕЖИ[[#This Row],[СЎМ]]+([1]!ПЛАТЕЖИ[[#This Row],[ВАЛЮТА]]*[1]!ПЛАТЕЖИ[[#This Row],[КУРС]])</f>
        <v>2062200</v>
      </c>
      <c r="U53" s="28"/>
      <c r="V53" s="28"/>
    </row>
    <row r="54" spans="2:22" x14ac:dyDescent="0.25">
      <c r="B54" s="8">
        <v>46032</v>
      </c>
      <c r="C54" s="9" t="s">
        <v>46</v>
      </c>
      <c r="D54" s="10" t="s">
        <v>1</v>
      </c>
      <c r="E54" s="10" t="s">
        <v>2</v>
      </c>
      <c r="F54" s="11">
        <v>90.2</v>
      </c>
      <c r="G54" s="11">
        <v>21000</v>
      </c>
      <c r="H54" s="12">
        <f>[1]!РЕАЛИЗАЦИЯ[СОНИ]*[1]!РЕАЛИЗАЦИЯ[НАРХИ]</f>
        <v>6125000</v>
      </c>
      <c r="I54" s="11"/>
      <c r="J54" s="13">
        <v>19000</v>
      </c>
      <c r="K54" s="11">
        <f>[1]!РЕАЛИЗАЦИЯ[[#This Row],[СОНИ]]*[1]!РЕАЛИЗАЦИЯ[[#This Row],[ТАННАРХ]]</f>
        <v>1350562500</v>
      </c>
      <c r="L54" s="14">
        <f>[1]!РЕАЛИЗАЦИЯ[[#This Row],[ЖАМИ]]-[1]!РЕАЛИЗАЦИЯ[[#This Row],[ЖАМИ2]]</f>
        <v>6124755</v>
      </c>
      <c r="O54" s="30">
        <v>46032</v>
      </c>
      <c r="P54" s="31" t="s">
        <v>33</v>
      </c>
      <c r="Q54" s="13">
        <v>50000000</v>
      </c>
      <c r="R54" s="13"/>
      <c r="S54" s="13"/>
      <c r="T54" s="32">
        <f>[1]!ПЛАТЕЖИ[[#This Row],[СЎМ]]+([1]!ПЛАТЕЖИ[[#This Row],[ВАЛЮТА]]*[1]!ПЛАТЕЖИ[[#This Row],[КУРС]])</f>
        <v>728800</v>
      </c>
      <c r="U54" s="31"/>
      <c r="V54" s="31" t="s">
        <v>287</v>
      </c>
    </row>
    <row r="55" spans="2:22" x14ac:dyDescent="0.25">
      <c r="B55" s="1">
        <v>46032</v>
      </c>
      <c r="C55" s="2" t="s">
        <v>47</v>
      </c>
      <c r="D55" s="3" t="s">
        <v>1</v>
      </c>
      <c r="E55" s="3" t="s">
        <v>2</v>
      </c>
      <c r="F55" s="4">
        <v>209.3</v>
      </c>
      <c r="G55" s="4">
        <v>21000</v>
      </c>
      <c r="H55" s="5">
        <f>[1]!РЕАЛИЗАЦИЯ[СОНИ]*[1]!РЕАЛИЗАЦИЯ[НАРХИ]</f>
        <v>2043300</v>
      </c>
      <c r="I55" s="4"/>
      <c r="J55" s="6">
        <v>19000</v>
      </c>
      <c r="K55" s="4">
        <f>[1]!РЕАЛИЗАЦИЯ[[#This Row],[СОНИ]]*[1]!РЕАЛИЗАЦИЯ[[#This Row],[ТАННАРХ]]</f>
        <v>0</v>
      </c>
      <c r="L55" s="7">
        <f>[1]!РЕАЛИЗАЦИЯ[[#This Row],[ЖАМИ]]-[1]!РЕАЛИЗАЦИЯ[[#This Row],[ЖАМИ2]]</f>
        <v>2043300</v>
      </c>
      <c r="O55" s="27">
        <v>46032</v>
      </c>
      <c r="P55" s="28" t="s">
        <v>44</v>
      </c>
      <c r="Q55" s="6">
        <v>5040000</v>
      </c>
      <c r="R55" s="6"/>
      <c r="S55" s="6"/>
      <c r="T55" s="29">
        <f>[1]!ПЛАТЕЖИ[[#This Row],[СЎМ]]+([1]!ПЛАТЕЖИ[[#This Row],[ВАЛЮТА]]*[1]!ПЛАТЕЖИ[[#This Row],[КУРС]])</f>
        <v>2667000</v>
      </c>
      <c r="U55" s="28"/>
      <c r="V55" s="28" t="s">
        <v>275</v>
      </c>
    </row>
    <row r="56" spans="2:22" x14ac:dyDescent="0.25">
      <c r="B56" s="8">
        <v>46032</v>
      </c>
      <c r="C56" s="9" t="s">
        <v>48</v>
      </c>
      <c r="D56" s="10" t="s">
        <v>8</v>
      </c>
      <c r="E56" s="10" t="s">
        <v>2</v>
      </c>
      <c r="F56" s="11">
        <v>307</v>
      </c>
      <c r="G56" s="11">
        <v>21000</v>
      </c>
      <c r="H56" s="12">
        <f>[1]!РЕАЛИЗАЦИЯ[СОНИ]*[1]!РЕАЛИЗАЦИЯ[НАРХИ]</f>
        <v>1640000</v>
      </c>
      <c r="I56" s="11"/>
      <c r="J56" s="13">
        <v>20000</v>
      </c>
      <c r="K56" s="11">
        <f>[1]!РЕАЛИЗАЦИЯ[[#This Row],[СОНИ]]*[1]!РЕАЛИЗАЦИЯ[[#This Row],[ТАННАРХ]]</f>
        <v>0</v>
      </c>
      <c r="L56" s="14">
        <f>[1]!РЕАЛИЗАЦИЯ[[#This Row],[ЖАМИ]]-[1]!РЕАЛИЗАЦИЯ[[#This Row],[ЖАМИ2]]</f>
        <v>1640000</v>
      </c>
      <c r="O56" s="30">
        <v>46032</v>
      </c>
      <c r="P56" s="31" t="s">
        <v>261</v>
      </c>
      <c r="Q56" s="13">
        <v>200000</v>
      </c>
      <c r="R56" s="13"/>
      <c r="S56" s="13"/>
      <c r="T56" s="32">
        <f>[1]!ПЛАТЕЖИ[[#This Row],[СЎМ]]+([1]!ПЛАТЕЖИ[[#This Row],[ВАЛЮТА]]*[1]!ПЛАТЕЖИ[[#This Row],[КУРС]])</f>
        <v>2035000</v>
      </c>
      <c r="U56" s="31"/>
      <c r="V56" s="31" t="s">
        <v>275</v>
      </c>
    </row>
    <row r="57" spans="2:22" x14ac:dyDescent="0.25">
      <c r="B57" s="1">
        <v>46032</v>
      </c>
      <c r="C57" s="2" t="s">
        <v>49</v>
      </c>
      <c r="D57" s="3" t="s">
        <v>1</v>
      </c>
      <c r="E57" s="3" t="s">
        <v>2</v>
      </c>
      <c r="F57" s="4">
        <v>48.2</v>
      </c>
      <c r="G57" s="4">
        <v>21000</v>
      </c>
      <c r="H57" s="5">
        <f>[1]!РЕАЛИЗАЦИЯ[СОНИ]*[1]!РЕАЛИЗАЦИЯ[НАРХИ]</f>
        <v>1031100</v>
      </c>
      <c r="I57" s="4"/>
      <c r="J57" s="6">
        <v>19000</v>
      </c>
      <c r="K57" s="4">
        <f>[1]!РЕАЛИЗАЦИЯ[[#This Row],[СОНИ]]*[1]!РЕАЛИЗАЦИЯ[[#This Row],[ТАННАРХ]]</f>
        <v>0</v>
      </c>
      <c r="L57" s="7">
        <f>[1]!РЕАЛИЗАЦИЯ[[#This Row],[ЖАМИ]]-[1]!РЕАЛИЗАЦИЯ[[#This Row],[ЖАМИ2]]</f>
        <v>1031100</v>
      </c>
      <c r="O57" s="27">
        <v>46032</v>
      </c>
      <c r="P57" s="28" t="s">
        <v>276</v>
      </c>
      <c r="Q57" s="6">
        <v>200000</v>
      </c>
      <c r="R57" s="6"/>
      <c r="S57" s="6"/>
      <c r="T57" s="29">
        <f>[1]!ПЛАТЕЖИ[[#This Row],[СЎМ]]+([1]!ПЛАТЕЖИ[[#This Row],[ВАЛЮТА]]*[1]!ПЛАТЕЖИ[[#This Row],[КУРС]])</f>
        <v>951200</v>
      </c>
      <c r="U57" s="28"/>
      <c r="V57" s="28" t="s">
        <v>275</v>
      </c>
    </row>
    <row r="58" spans="2:22" x14ac:dyDescent="0.25">
      <c r="B58" s="8">
        <v>46033</v>
      </c>
      <c r="C58" s="9" t="s">
        <v>17</v>
      </c>
      <c r="D58" s="10" t="s">
        <v>1</v>
      </c>
      <c r="E58" s="10" t="s">
        <v>2</v>
      </c>
      <c r="F58" s="11">
        <v>95.8</v>
      </c>
      <c r="G58" s="11">
        <v>21000</v>
      </c>
      <c r="H58" s="12">
        <f>[1]!РЕАЛИЗАЦИЯ[СОНИ]*[1]!РЕАЛИЗАЦИЯ[НАРХИ]</f>
        <v>2602800</v>
      </c>
      <c r="I58" s="11"/>
      <c r="J58" s="13">
        <v>19000</v>
      </c>
      <c r="K58" s="11">
        <f>[1]!РЕАЛИЗАЦИЯ[[#This Row],[СОНИ]]*[1]!РЕАЛИЗАЦИЯ[[#This Row],[ТАННАРХ]]</f>
        <v>0</v>
      </c>
      <c r="L58" s="14">
        <f>[1]!РЕАЛИЗАЦИЯ[[#This Row],[ЖАМИ]]-[1]!РЕАЛИЗАЦИЯ[[#This Row],[ЖАМИ2]]</f>
        <v>2602800</v>
      </c>
      <c r="O58" s="30">
        <v>46032</v>
      </c>
      <c r="P58" s="31" t="s">
        <v>48</v>
      </c>
      <c r="Q58" s="13">
        <v>7000000</v>
      </c>
      <c r="R58" s="13"/>
      <c r="S58" s="13"/>
      <c r="T58" s="32">
        <f>[1]!ПЛАТЕЖИ[[#This Row],[СЎМ]]+([1]!ПЛАТЕЖИ[[#This Row],[ВАЛЮТА]]*[1]!ПЛАТЕЖИ[[#This Row],[КУРС]])</f>
        <v>2142400</v>
      </c>
      <c r="U58" s="31"/>
      <c r="V58" s="31" t="s">
        <v>275</v>
      </c>
    </row>
    <row r="59" spans="2:22" x14ac:dyDescent="0.25">
      <c r="B59" s="1">
        <v>46033</v>
      </c>
      <c r="C59" s="2" t="s">
        <v>17</v>
      </c>
      <c r="D59" s="3" t="s">
        <v>10</v>
      </c>
      <c r="E59" s="3" t="s">
        <v>2</v>
      </c>
      <c r="F59" s="4">
        <v>50.6</v>
      </c>
      <c r="G59" s="4">
        <v>16000</v>
      </c>
      <c r="H59" s="5">
        <f>[1]!РЕАЛИЗАЦИЯ[СОНИ]*[1]!РЕАЛИЗАЦИЯ[НАРХИ]</f>
        <v>3113600</v>
      </c>
      <c r="I59" s="4"/>
      <c r="J59" s="6">
        <v>13000</v>
      </c>
      <c r="K59" s="4">
        <f>[1]!РЕАЛИЗАЦИЯ[[#This Row],[СОНИ]]*[1]!РЕАЛИЗАЦИЯ[[#This Row],[ТАННАРХ]]</f>
        <v>0</v>
      </c>
      <c r="L59" s="7">
        <f>[1]!РЕАЛИЗАЦИЯ[[#This Row],[ЖАМИ]]-[1]!РЕАЛИЗАЦИЯ[[#This Row],[ЖАМИ2]]</f>
        <v>3113600</v>
      </c>
      <c r="O59" s="27">
        <v>46033</v>
      </c>
      <c r="P59" s="28" t="s">
        <v>58</v>
      </c>
      <c r="Q59" s="6">
        <v>682000</v>
      </c>
      <c r="R59" s="6"/>
      <c r="S59" s="6"/>
      <c r="T59" s="29">
        <f>[1]!ПЛАТЕЖИ[[#This Row],[СЎМ]]+([1]!ПЛАТЕЖИ[[#This Row],[ВАЛЮТА]]*[1]!ПЛАТЕЖИ[[#This Row],[КУРС]])</f>
        <v>951300</v>
      </c>
      <c r="U59" s="28"/>
      <c r="V59" s="28"/>
    </row>
    <row r="60" spans="2:22" x14ac:dyDescent="0.25">
      <c r="B60" s="8">
        <v>46033</v>
      </c>
      <c r="C60" s="9" t="s">
        <v>15</v>
      </c>
      <c r="D60" s="10" t="s">
        <v>16</v>
      </c>
      <c r="E60" s="10" t="s">
        <v>2</v>
      </c>
      <c r="F60" s="11">
        <v>291.39999999999998</v>
      </c>
      <c r="G60" s="11">
        <v>23000</v>
      </c>
      <c r="H60" s="12">
        <f>[1]!РЕАЛИЗАЦИЯ[СОНИ]*[1]!РЕАЛИЗАЦИЯ[НАРХИ]</f>
        <v>1684000</v>
      </c>
      <c r="I60" s="11"/>
      <c r="J60" s="13">
        <v>21000</v>
      </c>
      <c r="K60" s="11">
        <f>[1]!РЕАЛИЗАЦИЯ[[#This Row],[СОНИ]]*[1]!РЕАЛИЗАЦИЯ[[#This Row],[ТАННАРХ]]</f>
        <v>0</v>
      </c>
      <c r="L60" s="14">
        <f>[1]!РЕАЛИЗАЦИЯ[[#This Row],[ЖАМИ]]-[1]!РЕАЛИЗАЦИЯ[[#This Row],[ЖАМИ2]]</f>
        <v>1684000</v>
      </c>
      <c r="O60" s="30">
        <v>46033</v>
      </c>
      <c r="P60" s="31" t="s">
        <v>221</v>
      </c>
      <c r="Q60" s="13">
        <v>600000</v>
      </c>
      <c r="R60" s="13"/>
      <c r="S60" s="13"/>
      <c r="T60" s="32">
        <f>[1]!ПЛАТЕЖИ[[#This Row],[СЎМ]]+([1]!ПЛАТЕЖИ[[#This Row],[ВАЛЮТА]]*[1]!ПЛАТЕЖИ[[#This Row],[КУРС]])</f>
        <v>3066000</v>
      </c>
      <c r="U60" s="31"/>
      <c r="V60" s="31" t="s">
        <v>275</v>
      </c>
    </row>
    <row r="61" spans="2:22" x14ac:dyDescent="0.25">
      <c r="B61" s="1">
        <v>46033</v>
      </c>
      <c r="C61" s="2" t="s">
        <v>14</v>
      </c>
      <c r="D61" s="3" t="s">
        <v>1</v>
      </c>
      <c r="E61" s="3" t="s">
        <v>2</v>
      </c>
      <c r="F61" s="4">
        <v>103.3</v>
      </c>
      <c r="G61" s="4">
        <v>20000</v>
      </c>
      <c r="H61" s="5">
        <f>[1]!РЕАЛИЗАЦИЯ[СОНИ]*[1]!РЕАЛИЗАЦИЯ[НАРХИ]</f>
        <v>1087800</v>
      </c>
      <c r="I61" s="4"/>
      <c r="J61" s="6">
        <v>19000</v>
      </c>
      <c r="K61" s="4">
        <f>[1]!РЕАЛИЗАЦИЯ[[#This Row],[СОНИ]]*[1]!РЕАЛИЗАЦИЯ[[#This Row],[ТАННАРХ]]</f>
        <v>0</v>
      </c>
      <c r="L61" s="7">
        <f>[1]!РЕАЛИЗАЦИЯ[[#This Row],[ЖАМИ]]-[1]!РЕАЛИЗАЦИЯ[[#This Row],[ЖАМИ2]]</f>
        <v>1087800</v>
      </c>
      <c r="O61" s="27">
        <v>46033</v>
      </c>
      <c r="P61" s="28" t="s">
        <v>288</v>
      </c>
      <c r="Q61" s="6">
        <v>427800</v>
      </c>
      <c r="R61" s="6"/>
      <c r="S61" s="6"/>
      <c r="T61" s="29">
        <f>[1]!ПЛАТЕЖИ[[#This Row],[СЎМ]]+([1]!ПЛАТЕЖИ[[#This Row],[ВАЛЮТА]]*[1]!ПЛАТЕЖИ[[#This Row],[КУРС]])</f>
        <v>2646100</v>
      </c>
      <c r="U61" s="28"/>
      <c r="V61" s="28" t="s">
        <v>275</v>
      </c>
    </row>
    <row r="62" spans="2:22" x14ac:dyDescent="0.25">
      <c r="B62" s="8">
        <v>46033</v>
      </c>
      <c r="C62" s="9" t="s">
        <v>50</v>
      </c>
      <c r="D62" s="10" t="s">
        <v>1</v>
      </c>
      <c r="E62" s="10" t="s">
        <v>2</v>
      </c>
      <c r="F62" s="11">
        <v>145.19999999999999</v>
      </c>
      <c r="G62" s="11">
        <v>20000</v>
      </c>
      <c r="H62" s="12">
        <f>[1]!РЕАЛИЗАЦИЯ[СОНИ]*[1]!РЕАЛИЗАЦИЯ[НАРХИ]</f>
        <v>835200</v>
      </c>
      <c r="I62" s="11"/>
      <c r="J62" s="13">
        <v>19000</v>
      </c>
      <c r="K62" s="11">
        <f>[1]!РЕАЛИЗАЦИЯ[[#This Row],[СОНИ]]*[1]!РЕАЛИЗАЦИЯ[[#This Row],[ТАННАРХ]]</f>
        <v>0</v>
      </c>
      <c r="L62" s="14">
        <f>[1]!РЕАЛИЗАЦИЯ[[#This Row],[ЖАМИ]]-[1]!РЕАЛИЗАЦИЯ[[#This Row],[ЖАМИ2]]</f>
        <v>835200</v>
      </c>
      <c r="O62" s="30">
        <v>46034</v>
      </c>
      <c r="P62" s="31" t="s">
        <v>68</v>
      </c>
      <c r="Q62" s="13">
        <v>20000000</v>
      </c>
      <c r="R62" s="13"/>
      <c r="S62" s="13"/>
      <c r="T62" s="32">
        <f>[1]!ПЛАТЕЖИ[[#This Row],[СЎМ]]+([1]!ПЛАТЕЖИ[[#This Row],[ВАЛЮТА]]*[1]!ПЛАТЕЖИ[[#This Row],[КУРС]])</f>
        <v>936000</v>
      </c>
      <c r="U62" s="31"/>
      <c r="V62" s="31" t="s">
        <v>279</v>
      </c>
    </row>
    <row r="63" spans="2:22" x14ac:dyDescent="0.25">
      <c r="B63" s="1">
        <v>46033</v>
      </c>
      <c r="C63" s="2" t="s">
        <v>50</v>
      </c>
      <c r="D63" s="3" t="s">
        <v>10</v>
      </c>
      <c r="E63" s="3" t="s">
        <v>2</v>
      </c>
      <c r="F63" s="4">
        <v>111.9</v>
      </c>
      <c r="G63" s="4">
        <v>15000</v>
      </c>
      <c r="H63" s="5">
        <f>[1]!РЕАЛИЗАЦИЯ[СОНИ]*[1]!РЕАЛИЗАЦИЯ[НАРХИ]</f>
        <v>782400</v>
      </c>
      <c r="I63" s="4"/>
      <c r="J63" s="6">
        <v>13000</v>
      </c>
      <c r="K63" s="4">
        <f>[1]!РЕАЛИЗАЦИЯ[[#This Row],[СОНИ]]*[1]!РЕАЛИЗАЦИЯ[[#This Row],[ТАННАРХ]]</f>
        <v>0</v>
      </c>
      <c r="L63" s="7">
        <f>[1]!РЕАЛИЗАЦИЯ[[#This Row],[ЖАМИ]]-[1]!РЕАЛИЗАЦИЯ[[#This Row],[ЖАМИ2]]</f>
        <v>782400</v>
      </c>
      <c r="O63" s="27">
        <v>46033</v>
      </c>
      <c r="P63" s="28" t="s">
        <v>20</v>
      </c>
      <c r="Q63" s="6">
        <v>2041200</v>
      </c>
      <c r="R63" s="6"/>
      <c r="S63" s="6"/>
      <c r="T63" s="29">
        <f>[1]!ПЛАТЕЖИ[[#This Row],[СЎМ]]+([1]!ПЛАТЕЖИ[[#This Row],[ВАЛЮТА]]*[1]!ПЛАТЕЖИ[[#This Row],[КУРС]])</f>
        <v>5600000</v>
      </c>
      <c r="U63" s="28"/>
      <c r="V63" s="28" t="s">
        <v>275</v>
      </c>
    </row>
    <row r="64" spans="2:22" x14ac:dyDescent="0.25">
      <c r="B64" s="8">
        <v>46033</v>
      </c>
      <c r="C64" s="9" t="s">
        <v>14</v>
      </c>
      <c r="D64" s="10" t="s">
        <v>1</v>
      </c>
      <c r="E64" s="10" t="s">
        <v>2</v>
      </c>
      <c r="F64" s="11">
        <v>-89.4</v>
      </c>
      <c r="G64" s="11">
        <v>20000</v>
      </c>
      <c r="H64" s="12">
        <f>[1]!РЕАЛИЗАЦИЯ[СОНИ]*[1]!РЕАЛИЗАЦИЯ[НАРХИ]</f>
        <v>1814400.0000000002</v>
      </c>
      <c r="I64" s="11"/>
      <c r="J64" s="13">
        <v>19000</v>
      </c>
      <c r="K64" s="11">
        <f>[1]!РЕАЛИЗАЦИЯ[[#This Row],[СОНИ]]*[1]!РЕАЛИЗАЦИЯ[[#This Row],[ТАННАРХ]]</f>
        <v>0</v>
      </c>
      <c r="L64" s="14">
        <f>[1]!РЕАЛИЗАЦИЯ[[#This Row],[ЖАМИ]]-[1]!РЕАЛИЗАЦИЯ[[#This Row],[ЖАМИ2]]</f>
        <v>1814400.0000000002</v>
      </c>
      <c r="O64" s="30">
        <v>46033</v>
      </c>
      <c r="P64" s="31" t="s">
        <v>143</v>
      </c>
      <c r="Q64" s="13">
        <v>3508650</v>
      </c>
      <c r="R64" s="13"/>
      <c r="S64" s="13"/>
      <c r="T64" s="32">
        <f>[1]!ПЛАТЕЖИ[[#This Row],[СЎМ]]+([1]!ПЛАТЕЖИ[[#This Row],[ВАЛЮТА]]*[1]!ПЛАТЕЖИ[[#This Row],[КУРС]])</f>
        <v>5716400</v>
      </c>
      <c r="U64" s="31"/>
      <c r="V64" s="31" t="s">
        <v>275</v>
      </c>
    </row>
    <row r="65" spans="2:22" x14ac:dyDescent="0.25">
      <c r="B65" s="1">
        <v>46033</v>
      </c>
      <c r="C65" s="2" t="s">
        <v>50</v>
      </c>
      <c r="D65" s="3" t="s">
        <v>1</v>
      </c>
      <c r="E65" s="3" t="s">
        <v>2</v>
      </c>
      <c r="F65" s="4">
        <v>-40.1</v>
      </c>
      <c r="G65" s="4">
        <v>20000</v>
      </c>
      <c r="H65" s="5">
        <f>[1]!РЕАЛИЗАЦИЯ[СОНИ]*[1]!РЕАЛИЗАЦИЯ[НАРХИ]</f>
        <v>1224300</v>
      </c>
      <c r="I65" s="4"/>
      <c r="J65" s="6">
        <v>19000</v>
      </c>
      <c r="K65" s="4">
        <f>[1]!РЕАЛИЗАЦИЯ[[#This Row],[СОНИ]]*[1]!РЕАЛИЗАЦИЯ[[#This Row],[ТАННАРХ]]</f>
        <v>0</v>
      </c>
      <c r="L65" s="7">
        <f>[1]!РЕАЛИЗАЦИЯ[[#This Row],[ЖАМИ]]-[1]!РЕАЛИЗАЦИЯ[[#This Row],[ЖАМИ2]]</f>
        <v>1224300</v>
      </c>
      <c r="O65" s="27">
        <v>46033</v>
      </c>
      <c r="P65" s="28" t="s">
        <v>289</v>
      </c>
      <c r="Q65" s="6">
        <v>1000000</v>
      </c>
      <c r="R65" s="6"/>
      <c r="S65" s="6"/>
      <c r="T65" s="29">
        <f>[1]!ПЛАТЕЖИ[[#This Row],[СЎМ]]+([1]!ПЛАТЕЖИ[[#This Row],[ВАЛЮТА]]*[1]!ПЛАТЕЖИ[[#This Row],[КУРС]])</f>
        <v>968400</v>
      </c>
      <c r="U65" s="28"/>
      <c r="V65" s="28" t="s">
        <v>275</v>
      </c>
    </row>
    <row r="66" spans="2:22" x14ac:dyDescent="0.25">
      <c r="B66" s="8">
        <v>46034</v>
      </c>
      <c r="C66" s="9" t="s">
        <v>51</v>
      </c>
      <c r="D66" s="10" t="s">
        <v>1</v>
      </c>
      <c r="E66" s="10" t="s">
        <v>2</v>
      </c>
      <c r="F66" s="11">
        <v>50.6</v>
      </c>
      <c r="G66" s="11">
        <v>21000</v>
      </c>
      <c r="H66" s="12">
        <f>[1]!РЕАЛИЗАЦИЯ[СОНИ]*[1]!РЕАЛИЗАЦИЯ[НАРХИ]</f>
        <v>283500</v>
      </c>
      <c r="I66" s="11"/>
      <c r="J66" s="13">
        <v>19000</v>
      </c>
      <c r="K66" s="11">
        <f>[1]!РЕАЛИЗАЦИЯ[[#This Row],[СОНИ]]*[1]!РЕАЛИЗАЦИЯ[[#This Row],[ТАННАРХ]]</f>
        <v>0</v>
      </c>
      <c r="L66" s="14">
        <f>[1]!РЕАЛИЗАЦИЯ[[#This Row],[ЖАМИ]]-[1]!РЕАЛИЗАЦИЯ[[#This Row],[ЖАМИ2]]</f>
        <v>283500</v>
      </c>
      <c r="O66" s="30">
        <v>46033</v>
      </c>
      <c r="P66" s="31" t="s">
        <v>244</v>
      </c>
      <c r="Q66" s="13">
        <v>300700</v>
      </c>
      <c r="R66" s="13"/>
      <c r="S66" s="13"/>
      <c r="T66" s="32">
        <f>[1]!ПЛАТЕЖИ[[#This Row],[СЎМ]]+([1]!ПЛАТЕЖИ[[#This Row],[ВАЛЮТА]]*[1]!ПЛАТЕЖИ[[#This Row],[КУРС]])</f>
        <v>4752000</v>
      </c>
      <c r="U66" s="31"/>
      <c r="V66" s="31" t="s">
        <v>275</v>
      </c>
    </row>
    <row r="67" spans="2:22" x14ac:dyDescent="0.25">
      <c r="B67" s="1">
        <v>46034</v>
      </c>
      <c r="C67" s="2" t="s">
        <v>52</v>
      </c>
      <c r="D67" s="3" t="s">
        <v>1</v>
      </c>
      <c r="E67" s="3" t="s">
        <v>2</v>
      </c>
      <c r="F67" s="4">
        <v>145.19999999999999</v>
      </c>
      <c r="G67" s="4">
        <v>21000</v>
      </c>
      <c r="H67" s="5">
        <f>[1]!РЕАЛИЗАЦИЯ[СОНИ]*[1]!РЕАЛИЗАЦИЯ[НАРХИ]</f>
        <v>372600</v>
      </c>
      <c r="I67" s="4"/>
      <c r="J67" s="6">
        <v>19000</v>
      </c>
      <c r="K67" s="4">
        <f>[1]!РЕАЛИЗАЦИЯ[[#This Row],[СОНИ]]*[1]!РЕАЛИЗАЦИЯ[[#This Row],[ТАННАРХ]]</f>
        <v>0</v>
      </c>
      <c r="L67" s="7">
        <f>[1]!РЕАЛИЗАЦИЯ[[#This Row],[ЖАМИ]]-[1]!РЕАЛИЗАЦИЯ[[#This Row],[ЖАМИ2]]</f>
        <v>372600</v>
      </c>
      <c r="O67" s="27">
        <v>46034</v>
      </c>
      <c r="P67" s="28" t="s">
        <v>52</v>
      </c>
      <c r="Q67" s="6">
        <v>1000000</v>
      </c>
      <c r="R67" s="6"/>
      <c r="S67" s="6"/>
      <c r="T67" s="29">
        <f>[1]!ПЛАТЕЖИ[[#This Row],[СЎМ]]+([1]!ПЛАТЕЖИ[[#This Row],[ВАЛЮТА]]*[1]!ПЛАТЕЖИ[[#This Row],[КУРС]])</f>
        <v>7412500</v>
      </c>
      <c r="U67" s="28"/>
      <c r="V67" s="28"/>
    </row>
    <row r="68" spans="2:22" x14ac:dyDescent="0.25">
      <c r="B68" s="8">
        <v>46034</v>
      </c>
      <c r="C68" s="9" t="s">
        <v>53</v>
      </c>
      <c r="D68" s="10" t="s">
        <v>40</v>
      </c>
      <c r="E68" s="10" t="s">
        <v>2</v>
      </c>
      <c r="F68" s="11">
        <v>1011.7</v>
      </c>
      <c r="G68" s="11">
        <v>20500</v>
      </c>
      <c r="H68" s="12">
        <f>[1]!РЕАЛИЗАЦИЯ[СОНИ]*[1]!РЕАЛИЗАЦИЯ[НАРХИ]</f>
        <v>1519500</v>
      </c>
      <c r="I68" s="11"/>
      <c r="J68" s="13">
        <v>19500</v>
      </c>
      <c r="K68" s="11">
        <f>[1]!РЕАЛИЗАЦИЯ[[#This Row],[СОНИ]]*[1]!РЕАЛИЗАЦИЯ[[#This Row],[ТАННАРХ]]</f>
        <v>0</v>
      </c>
      <c r="L68" s="14">
        <f>[1]!РЕАЛИЗАЦИЯ[[#This Row],[ЖАМИ]]-[1]!РЕАЛИЗАЦИЯ[[#This Row],[ЖАМИ2]]</f>
        <v>1519500</v>
      </c>
      <c r="O68" s="30">
        <v>46034</v>
      </c>
      <c r="P68" s="31" t="s">
        <v>42</v>
      </c>
      <c r="Q68" s="13">
        <v>2000000</v>
      </c>
      <c r="R68" s="13"/>
      <c r="S68" s="13"/>
      <c r="T68" s="32">
        <f>[1]!ПЛАТЕЖИ[[#This Row],[СЎМ]]+([1]!ПЛАТЕЖИ[[#This Row],[ВАЛЮТА]]*[1]!ПЛАТЕЖИ[[#This Row],[КУРС]])</f>
        <v>1016400</v>
      </c>
      <c r="U68" s="31"/>
      <c r="V68" s="31"/>
    </row>
    <row r="69" spans="2:22" x14ac:dyDescent="0.25">
      <c r="B69" s="1">
        <v>46034</v>
      </c>
      <c r="C69" s="2" t="s">
        <v>53</v>
      </c>
      <c r="D69" s="3" t="s">
        <v>8</v>
      </c>
      <c r="E69" s="3" t="s">
        <v>2</v>
      </c>
      <c r="F69" s="4">
        <v>68.2</v>
      </c>
      <c r="G69" s="4">
        <v>22000</v>
      </c>
      <c r="H69" s="5">
        <f>[1]!РЕАЛИЗАЦИЯ[СОНИ]*[1]!РЕАЛИЗАЦИЯ[НАРХИ]</f>
        <v>872000</v>
      </c>
      <c r="I69" s="4"/>
      <c r="J69" s="6">
        <v>20000</v>
      </c>
      <c r="K69" s="4">
        <f>[1]!РЕАЛИЗАЦИЯ[[#This Row],[СОНИ]]*[1]!РЕАЛИЗАЦИЯ[[#This Row],[ТАННАРХ]]</f>
        <v>0</v>
      </c>
      <c r="L69" s="7">
        <f>[1]!РЕАЛИЗАЦИЯ[[#This Row],[ЖАМИ]]-[1]!РЕАЛИЗАЦИЯ[[#This Row],[ЖАМИ2]]</f>
        <v>872000</v>
      </c>
      <c r="O69" s="27">
        <v>46034</v>
      </c>
      <c r="P69" s="28" t="s">
        <v>55</v>
      </c>
      <c r="Q69" s="6">
        <v>1015000</v>
      </c>
      <c r="R69" s="6"/>
      <c r="S69" s="6"/>
      <c r="T69" s="29">
        <f>[1]!ПЛАТЕЖИ[[#This Row],[СЎМ]]+([1]!ПЛАТЕЖИ[[#This Row],[ВАЛЮТА]]*[1]!ПЛАТЕЖИ[[#This Row],[КУРС]])</f>
        <v>1463000</v>
      </c>
      <c r="U69" s="28"/>
      <c r="V69" s="28"/>
    </row>
    <row r="70" spans="2:22" x14ac:dyDescent="0.25">
      <c r="B70" s="8">
        <v>46034</v>
      </c>
      <c r="C70" s="9" t="s">
        <v>54</v>
      </c>
      <c r="D70" s="10" t="s">
        <v>1</v>
      </c>
      <c r="E70" s="10" t="s">
        <v>2</v>
      </c>
      <c r="F70" s="11">
        <v>91.6</v>
      </c>
      <c r="G70" s="11">
        <v>21000</v>
      </c>
      <c r="H70" s="12">
        <f>[1]!РЕАЛИЗАЦИЯ[СОНИ]*[1]!РЕАЛИЗАЦИЯ[НАРХИ]</f>
        <v>1848600</v>
      </c>
      <c r="I70" s="11"/>
      <c r="J70" s="13">
        <v>19000</v>
      </c>
      <c r="K70" s="11">
        <f>[1]!РЕАЛИЗАЦИЯ[[#This Row],[СОНИ]]*[1]!РЕАЛИЗАЦИЯ[[#This Row],[ТАННАРХ]]</f>
        <v>0</v>
      </c>
      <c r="L70" s="14">
        <f>[1]!РЕАЛИЗАЦИЯ[[#This Row],[ЖАМИ]]-[1]!РЕАЛИЗАЦИЯ[[#This Row],[ЖАМИ2]]</f>
        <v>1848600</v>
      </c>
      <c r="O70" s="30">
        <v>46034</v>
      </c>
      <c r="P70" s="31" t="s">
        <v>290</v>
      </c>
      <c r="Q70" s="13">
        <v>1200000</v>
      </c>
      <c r="R70" s="13"/>
      <c r="S70" s="13"/>
      <c r="T70" s="32">
        <f>[1]!ПЛАТЕЖИ[[#This Row],[СЎМ]]+([1]!ПЛАТЕЖИ[[#This Row],[ВАЛЮТА]]*[1]!ПЛАТЕЖИ[[#This Row],[КУРС]])</f>
        <v>1923000</v>
      </c>
      <c r="U70" s="31"/>
      <c r="V70" s="31"/>
    </row>
    <row r="71" spans="2:22" x14ac:dyDescent="0.25">
      <c r="B71" s="1">
        <v>46034</v>
      </c>
      <c r="C71" s="2" t="s">
        <v>54</v>
      </c>
      <c r="D71" s="3" t="s">
        <v>10</v>
      </c>
      <c r="E71" s="3" t="s">
        <v>2</v>
      </c>
      <c r="F71" s="4">
        <v>51.7</v>
      </c>
      <c r="G71" s="4">
        <v>16000</v>
      </c>
      <c r="H71" s="5">
        <f>[1]!РЕАЛИЗАЦИЯ[СОНИ]*[1]!РЕАЛИЗАЦИЯ[НАРХИ]</f>
        <v>22027100</v>
      </c>
      <c r="I71" s="4"/>
      <c r="J71" s="6">
        <v>13000</v>
      </c>
      <c r="K71" s="4">
        <f>[1]!РЕАЛИЗАЦИЯ[[#This Row],[СОНИ]]*[1]!РЕАЛИЗАЦИЯ[[#This Row],[ТАННАРХ]]</f>
        <v>18343785800</v>
      </c>
      <c r="L71" s="7">
        <f>[1]!РЕАЛИЗАЦИЯ[[#This Row],[ЖАМИ]]-[1]!РЕАЛИЗАЦИЯ[[#This Row],[ЖАМИ2]]</f>
        <v>22026142.300000001</v>
      </c>
      <c r="O71" s="27">
        <v>46034</v>
      </c>
      <c r="P71" s="28" t="s">
        <v>168</v>
      </c>
      <c r="Q71" s="6">
        <v>2002700</v>
      </c>
      <c r="R71" s="6"/>
      <c r="S71" s="6"/>
      <c r="T71" s="29">
        <f>[1]!ПЛАТЕЖИ[[#This Row],[СЎМ]]+([1]!ПЛАТЕЖИ[[#This Row],[ВАЛЮТА]]*[1]!ПЛАТЕЖИ[[#This Row],[КУРС]])</f>
        <v>1030000</v>
      </c>
      <c r="U71" s="28"/>
      <c r="V71" s="28"/>
    </row>
    <row r="72" spans="2:22" x14ac:dyDescent="0.25">
      <c r="B72" s="8">
        <v>46034</v>
      </c>
      <c r="C72" s="9" t="s">
        <v>55</v>
      </c>
      <c r="D72" s="10" t="s">
        <v>1</v>
      </c>
      <c r="E72" s="10" t="s">
        <v>2</v>
      </c>
      <c r="F72" s="11">
        <v>143.6</v>
      </c>
      <c r="G72" s="11">
        <v>21000</v>
      </c>
      <c r="H72" s="12">
        <f>[1]!РЕАЛИЗАЦИЯ[СОНИ]*[1]!РЕАЛИЗАЦИЯ[НАРХИ]</f>
        <v>0</v>
      </c>
      <c r="I72" s="11"/>
      <c r="J72" s="13">
        <v>19000</v>
      </c>
      <c r="K72" s="11">
        <f>[1]!РЕАЛИЗАЦИЯ[[#This Row],[СОНИ]]*[1]!РЕАЛИЗАЦИЯ[[#This Row],[ТАННАРХ]]</f>
        <v>0</v>
      </c>
      <c r="L72" s="14">
        <f>[1]!РЕАЛИЗАЦИЯ[[#This Row],[ЖАМИ]]-[1]!РЕАЛИЗАЦИЯ[[#This Row],[ЖАМИ2]]</f>
        <v>0</v>
      </c>
      <c r="O72" s="30">
        <v>46034</v>
      </c>
      <c r="P72" s="31" t="s">
        <v>12</v>
      </c>
      <c r="Q72" s="13">
        <v>49003200</v>
      </c>
      <c r="R72" s="13"/>
      <c r="S72" s="13"/>
      <c r="T72" s="32">
        <f>[1]!ПЛАТЕЖИ[[#This Row],[СЎМ]]+([1]!ПЛАТЕЖИ[[#This Row],[ВАЛЮТА]]*[1]!ПЛАТЕЖИ[[#This Row],[КУРС]])</f>
        <v>1035300</v>
      </c>
      <c r="U72" s="31"/>
      <c r="V72" s="31" t="s">
        <v>279</v>
      </c>
    </row>
    <row r="73" spans="2:22" x14ac:dyDescent="0.25">
      <c r="B73" s="1">
        <v>46034</v>
      </c>
      <c r="C73" s="2" t="s">
        <v>56</v>
      </c>
      <c r="D73" s="3" t="s">
        <v>10</v>
      </c>
      <c r="E73" s="3" t="s">
        <v>2</v>
      </c>
      <c r="F73" s="4">
        <v>52.7</v>
      </c>
      <c r="G73" s="4">
        <v>16000</v>
      </c>
      <c r="H73" s="5">
        <f>[1]!РЕАЛИЗАЦИЯ[СОНИ]*[1]!РЕАЛИЗАЦИЯ[НАРХИ]</f>
        <v>1016400</v>
      </c>
      <c r="I73" s="4"/>
      <c r="J73" s="6">
        <v>13000</v>
      </c>
      <c r="K73" s="4">
        <f>[1]!РЕАЛИЗАЦИЯ[[#This Row],[СОНИ]]*[1]!РЕАЛИЗАЦИЯ[[#This Row],[ТАННАРХ]]</f>
        <v>0</v>
      </c>
      <c r="L73" s="7">
        <f>[1]!РЕАЛИЗАЦИЯ[[#This Row],[ЖАМИ]]-[1]!РЕАЛИЗАЦИЯ[[#This Row],[ЖАМИ2]]</f>
        <v>1016400</v>
      </c>
      <c r="O73" s="27">
        <v>46035</v>
      </c>
      <c r="P73" s="28" t="s">
        <v>57</v>
      </c>
      <c r="Q73" s="6">
        <v>1016400</v>
      </c>
      <c r="R73" s="6"/>
      <c r="S73" s="6"/>
      <c r="T73" s="29">
        <f>[1]!ПЛАТЕЖИ[[#This Row],[СЎМ]]+([1]!ПЛАТЕЖИ[[#This Row],[ВАЛЮТА]]*[1]!ПЛАТЕЖИ[[#This Row],[КУРС]])</f>
        <v>1224300</v>
      </c>
      <c r="U73" s="28"/>
      <c r="V73" s="28" t="s">
        <v>279</v>
      </c>
    </row>
    <row r="74" spans="2:22" x14ac:dyDescent="0.25">
      <c r="B74" s="8">
        <v>46035</v>
      </c>
      <c r="C74" s="9" t="s">
        <v>57</v>
      </c>
      <c r="D74" s="10" t="s">
        <v>1</v>
      </c>
      <c r="E74" s="10" t="s">
        <v>2</v>
      </c>
      <c r="F74" s="11">
        <v>48.4</v>
      </c>
      <c r="G74" s="11">
        <v>21000</v>
      </c>
      <c r="H74" s="12">
        <f>[1]!РЕАЛИЗАЦИЯ[СОНИ]*[1]!РЕАЛИЗАЦИЯ[НАРХИ]</f>
        <v>1100400</v>
      </c>
      <c r="I74" s="11"/>
      <c r="J74" s="13">
        <v>19000</v>
      </c>
      <c r="K74" s="11">
        <f>[1]!РЕАЛИЗАЦИЯ[[#This Row],[СОНИ]]*[1]!РЕАЛИЗАЦИЯ[[#This Row],[ТАННАРХ]]</f>
        <v>0</v>
      </c>
      <c r="L74" s="14">
        <f>[1]!РЕАЛИЗАЦИЯ[[#This Row],[ЖАМИ]]-[1]!РЕАЛИЗАЦИЯ[[#This Row],[ЖАМИ2]]</f>
        <v>1100400</v>
      </c>
      <c r="O74" s="30">
        <v>46035</v>
      </c>
      <c r="P74" s="31" t="s">
        <v>281</v>
      </c>
      <c r="Q74" s="13">
        <v>500500</v>
      </c>
      <c r="R74" s="13"/>
      <c r="S74" s="13"/>
      <c r="T74" s="32">
        <f>[1]!ПЛАТЕЖИ[[#This Row],[СЎМ]]+([1]!ПЛАТЕЖИ[[#This Row],[ВАЛЮТА]]*[1]!ПЛАТЕЖИ[[#This Row],[КУРС]])</f>
        <v>3000000</v>
      </c>
      <c r="U74" s="31"/>
      <c r="V74" s="31"/>
    </row>
    <row r="75" spans="2:22" x14ac:dyDescent="0.25">
      <c r="B75" s="1">
        <v>46035</v>
      </c>
      <c r="C75" s="2" t="s">
        <v>58</v>
      </c>
      <c r="D75" s="3" t="s">
        <v>10</v>
      </c>
      <c r="E75" s="3" t="s">
        <v>2</v>
      </c>
      <c r="F75" s="4">
        <v>47.4</v>
      </c>
      <c r="G75" s="4">
        <v>16000</v>
      </c>
      <c r="H75" s="5">
        <f>[1]!РЕАЛИЗАЦИЯ[СОНИ]*[1]!РЕАЛИЗАЦИЯ[НАРХИ]</f>
        <v>1092000</v>
      </c>
      <c r="I75" s="4"/>
      <c r="J75" s="6">
        <v>13000</v>
      </c>
      <c r="K75" s="4">
        <f>[1]!РЕАЛИЗАЦИЯ[[#This Row],[СОНИ]]*[1]!РЕАЛИЗАЦИЯ[[#This Row],[ТАННАРХ]]</f>
        <v>0</v>
      </c>
      <c r="L75" s="7">
        <f>[1]!РЕАЛИЗАЦИЯ[[#This Row],[ЖАМИ]]-[1]!РЕАЛИЗАЦИЯ[[#This Row],[ЖАМИ2]]</f>
        <v>1092000</v>
      </c>
      <c r="O75" s="27">
        <v>46035</v>
      </c>
      <c r="P75" s="28" t="s">
        <v>96</v>
      </c>
      <c r="Q75" s="6">
        <v>1000000</v>
      </c>
      <c r="R75" s="6"/>
      <c r="S75" s="6"/>
      <c r="T75" s="29">
        <f>[1]!ПЛАТЕЖИ[[#This Row],[СЎМ]]+([1]!ПЛАТЕЖИ[[#This Row],[ВАЛЮТА]]*[1]!ПЛАТЕЖИ[[#This Row],[КУРС]])</f>
        <v>574000</v>
      </c>
      <c r="U75" s="28"/>
      <c r="V75" s="28"/>
    </row>
    <row r="76" spans="2:22" x14ac:dyDescent="0.25">
      <c r="B76" s="8">
        <v>46035</v>
      </c>
      <c r="C76" s="9" t="s">
        <v>59</v>
      </c>
      <c r="D76" s="10" t="s">
        <v>1</v>
      </c>
      <c r="E76" s="10" t="s">
        <v>2</v>
      </c>
      <c r="F76" s="11">
        <v>146.6</v>
      </c>
      <c r="G76" s="11">
        <v>21000</v>
      </c>
      <c r="H76" s="12">
        <f>[1]!РЕАЛИЗАЦИЯ[СОНИ]*[1]!РЕАЛИЗАЦИЯ[НАРХИ]</f>
        <v>1667400.0000000002</v>
      </c>
      <c r="I76" s="11"/>
      <c r="J76" s="13">
        <v>19000</v>
      </c>
      <c r="K76" s="11">
        <f>[1]!РЕАЛИЗАЦИЯ[[#This Row],[СОНИ]]*[1]!РЕАЛИЗАЦИЯ[[#This Row],[ТАННАРХ]]</f>
        <v>0</v>
      </c>
      <c r="L76" s="14">
        <f>[1]!РЕАЛИЗАЦИЯ[[#This Row],[ЖАМИ]]-[1]!РЕАЛИЗАЦИЯ[[#This Row],[ЖАМИ2]]</f>
        <v>1667400.0000000002</v>
      </c>
      <c r="O76" s="30">
        <v>46035</v>
      </c>
      <c r="P76" s="31" t="s">
        <v>150</v>
      </c>
      <c r="Q76" s="13">
        <v>500000</v>
      </c>
      <c r="R76" s="13"/>
      <c r="S76" s="13"/>
      <c r="T76" s="32">
        <f>[1]!ПЛАТЕЖИ[[#This Row],[СЎМ]]+([1]!ПЛАТЕЖИ[[#This Row],[ВАЛЮТА]]*[1]!ПЛАТЕЖИ[[#This Row],[КУРС]])</f>
        <v>500000</v>
      </c>
      <c r="U76" s="31"/>
      <c r="V76" s="31" t="s">
        <v>275</v>
      </c>
    </row>
    <row r="77" spans="2:22" x14ac:dyDescent="0.25">
      <c r="B77" s="1">
        <v>46035</v>
      </c>
      <c r="C77" s="2" t="s">
        <v>60</v>
      </c>
      <c r="D77" s="3" t="s">
        <v>1</v>
      </c>
      <c r="E77" s="3" t="s">
        <v>2</v>
      </c>
      <c r="F77" s="4">
        <v>296.3</v>
      </c>
      <c r="G77" s="4">
        <v>20500</v>
      </c>
      <c r="H77" s="5">
        <f>[1]!РЕАЛИЗАЦИЯ[СОНИ]*[1]!РЕАЛИЗАЦИЯ[НАРХИ]</f>
        <v>1064700</v>
      </c>
      <c r="I77" s="4"/>
      <c r="J77" s="6">
        <v>19000</v>
      </c>
      <c r="K77" s="4">
        <f>[1]!РЕАЛИЗАЦИЯ[[#This Row],[СОНИ]]*[1]!РЕАЛИЗАЦИЯ[[#This Row],[ТАННАРХ]]</f>
        <v>0</v>
      </c>
      <c r="L77" s="7">
        <f>[1]!РЕАЛИЗАЦИЯ[[#This Row],[ЖАМИ]]-[1]!РЕАЛИЗАЦИЯ[[#This Row],[ЖАМИ2]]</f>
        <v>1064700</v>
      </c>
      <c r="O77" s="27">
        <v>46035</v>
      </c>
      <c r="P77" s="28" t="s">
        <v>43</v>
      </c>
      <c r="Q77" s="6">
        <v>1046480</v>
      </c>
      <c r="R77" s="6"/>
      <c r="S77" s="6"/>
      <c r="T77" s="29">
        <f>[1]!ПЛАТЕЖИ[[#This Row],[СЎМ]]+([1]!ПЛАТЕЖИ[[#This Row],[ВАЛЮТА]]*[1]!ПЛАТЕЖИ[[#This Row],[КУРС]])</f>
        <v>2796900</v>
      </c>
      <c r="U77" s="28"/>
      <c r="V77" s="28" t="s">
        <v>279</v>
      </c>
    </row>
    <row r="78" spans="2:22" x14ac:dyDescent="0.25">
      <c r="B78" s="8">
        <v>46035</v>
      </c>
      <c r="C78" s="9" t="s">
        <v>61</v>
      </c>
      <c r="D78" s="10" t="s">
        <v>1</v>
      </c>
      <c r="E78" s="10" t="s">
        <v>2</v>
      </c>
      <c r="F78" s="11">
        <v>530.1</v>
      </c>
      <c r="G78" s="11">
        <v>21000</v>
      </c>
      <c r="H78" s="12">
        <f>[1]!РЕАЛИЗАЦИЯ[СОНИ]*[1]!РЕАЛИЗАЦИЯ[НАРХИ]</f>
        <v>772800</v>
      </c>
      <c r="I78" s="11"/>
      <c r="J78" s="13">
        <v>19000</v>
      </c>
      <c r="K78" s="11">
        <f>[1]!РЕАЛИЗАЦИЯ[[#This Row],[СОНИ]]*[1]!РЕАЛИЗАЦИЯ[[#This Row],[ТАННАРХ]]</f>
        <v>0</v>
      </c>
      <c r="L78" s="14">
        <f>[1]!РЕАЛИЗАЦИЯ[[#This Row],[ЖАМИ]]-[1]!РЕАЛИЗАЦИЯ[[#This Row],[ЖАМИ2]]</f>
        <v>772800</v>
      </c>
      <c r="O78" s="30">
        <v>46035</v>
      </c>
      <c r="P78" s="31" t="s">
        <v>9</v>
      </c>
      <c r="Q78" s="13">
        <v>1861100</v>
      </c>
      <c r="R78" s="13"/>
      <c r="S78" s="13"/>
      <c r="T78" s="32">
        <f>[1]!ПЛАТЕЖИ[[#This Row],[СЎМ]]+([1]!ПЛАТЕЖИ[[#This Row],[ВАЛЮТА]]*[1]!ПЛАТЕЖИ[[#This Row],[КУРС]])</f>
        <v>1100400</v>
      </c>
      <c r="U78" s="31"/>
      <c r="V78" s="31" t="s">
        <v>279</v>
      </c>
    </row>
    <row r="79" spans="2:22" x14ac:dyDescent="0.25">
      <c r="B79" s="1">
        <v>46035</v>
      </c>
      <c r="C79" s="2" t="s">
        <v>61</v>
      </c>
      <c r="D79" s="3" t="s">
        <v>36</v>
      </c>
      <c r="E79" s="3" t="s">
        <v>2</v>
      </c>
      <c r="F79" s="4">
        <v>200.4</v>
      </c>
      <c r="G79" s="4">
        <v>18000</v>
      </c>
      <c r="H79" s="5">
        <f>[1]!РЕАЛИЗАЦИЯ[СОНИ]*[1]!РЕАЛИЗАЦИЯ[НАРХИ]</f>
        <v>959400</v>
      </c>
      <c r="I79" s="4"/>
      <c r="J79" s="6">
        <v>16000</v>
      </c>
      <c r="K79" s="4">
        <f>[1]!РЕАЛИЗАЦИЯ[[#This Row],[СОНИ]]*[1]!РЕАЛИЗАЦИЯ[[#This Row],[ТАННАРХ]]</f>
        <v>0</v>
      </c>
      <c r="L79" s="7">
        <f>[1]!РЕАЛИЗАЦИЯ[[#This Row],[ЖАМИ]]-[1]!РЕАЛИЗАЦИЯ[[#This Row],[ЖАМИ2]]</f>
        <v>959400</v>
      </c>
      <c r="O79" s="27">
        <v>46035</v>
      </c>
      <c r="P79" s="28" t="s">
        <v>11</v>
      </c>
      <c r="Q79" s="6">
        <v>3908300</v>
      </c>
      <c r="R79" s="6"/>
      <c r="S79" s="6"/>
      <c r="T79" s="29">
        <f>[1]!ПЛАТЕЖИ[[#This Row],[СЎМ]]+([1]!ПЛАТЕЖИ[[#This Row],[ВАЛЮТА]]*[1]!ПЛАТЕЖИ[[#This Row],[КУРС]])</f>
        <v>1092000</v>
      </c>
      <c r="U79" s="28"/>
      <c r="V79" s="28" t="s">
        <v>279</v>
      </c>
    </row>
    <row r="80" spans="2:22" x14ac:dyDescent="0.25">
      <c r="B80" s="8">
        <v>46035</v>
      </c>
      <c r="C80" s="9" t="s">
        <v>61</v>
      </c>
      <c r="D80" s="10" t="s">
        <v>10</v>
      </c>
      <c r="E80" s="10" t="s">
        <v>2</v>
      </c>
      <c r="F80" s="11">
        <v>599.29999999999995</v>
      </c>
      <c r="G80" s="11">
        <v>16000</v>
      </c>
      <c r="H80" s="12">
        <f>[1]!РЕАЛИЗАЦИЯ[СОНИ]*[1]!РЕАЛИЗАЦИЯ[НАРХИ]</f>
        <v>926100</v>
      </c>
      <c r="I80" s="11"/>
      <c r="J80" s="13">
        <v>13000</v>
      </c>
      <c r="K80" s="11">
        <f>[1]!РЕАЛИЗАЦИЯ[[#This Row],[СОНИ]]*[1]!РЕАЛИЗАЦИЯ[[#This Row],[ТАННАРХ]]</f>
        <v>0</v>
      </c>
      <c r="L80" s="14">
        <f>[1]!РЕАЛИЗАЦИЯ[[#This Row],[ЖАМИ]]-[1]!РЕАЛИЗАЦИЯ[[#This Row],[ЖАМИ2]]</f>
        <v>926100</v>
      </c>
      <c r="O80" s="30">
        <v>46036</v>
      </c>
      <c r="P80" s="31" t="s">
        <v>71</v>
      </c>
      <c r="Q80" s="13">
        <v>2000000</v>
      </c>
      <c r="R80" s="13"/>
      <c r="S80" s="13"/>
      <c r="T80" s="32">
        <f>[1]!ПЛАТЕЖИ[[#This Row],[СЎМ]]+([1]!ПЛАТЕЖИ[[#This Row],[ВАЛЮТА]]*[1]!ПЛАТЕЖИ[[#This Row],[КУРС]])</f>
        <v>1667400</v>
      </c>
      <c r="U80" s="31"/>
      <c r="V80" s="31" t="s">
        <v>279</v>
      </c>
    </row>
    <row r="81" spans="2:22" x14ac:dyDescent="0.25">
      <c r="B81" s="1">
        <v>46035</v>
      </c>
      <c r="C81" s="2" t="s">
        <v>62</v>
      </c>
      <c r="D81" s="3" t="s">
        <v>1</v>
      </c>
      <c r="E81" s="3" t="s">
        <v>2</v>
      </c>
      <c r="F81" s="4">
        <v>47.2</v>
      </c>
      <c r="G81" s="4">
        <v>20000</v>
      </c>
      <c r="H81" s="5">
        <f>[1]!РЕАЛИЗАЦИЯ[СОНИ]*[1]!РЕАЛИЗАЦИЯ[НАРХИ]</f>
        <v>2100000</v>
      </c>
      <c r="I81" s="4"/>
      <c r="J81" s="6">
        <v>19000</v>
      </c>
      <c r="K81" s="4">
        <f>[1]!РЕАЛИЗАЦИЯ[[#This Row],[СОНИ]]*[1]!РЕАЛИЗАЦИЯ[[#This Row],[ТАННАРХ]]</f>
        <v>0</v>
      </c>
      <c r="L81" s="7">
        <f>[1]!РЕАЛИЗАЦИЯ[[#This Row],[ЖАМИ]]-[1]!РЕАЛИЗАЦИЯ[[#This Row],[ЖАМИ2]]</f>
        <v>2100000</v>
      </c>
      <c r="O81" s="27">
        <v>46036</v>
      </c>
      <c r="P81" s="28" t="s">
        <v>190</v>
      </c>
      <c r="Q81" s="6">
        <v>1000000</v>
      </c>
      <c r="R81" s="6"/>
      <c r="S81" s="6"/>
      <c r="T81" s="29">
        <f>[1]!ПЛАТЕЖИ[[#This Row],[СЎМ]]+([1]!ПЛАТЕЖИ[[#This Row],[ВАЛЮТА]]*[1]!ПЛАТЕЖИ[[#This Row],[КУРС]])</f>
        <v>1031100</v>
      </c>
      <c r="U81" s="28"/>
      <c r="V81" s="28"/>
    </row>
    <row r="82" spans="2:22" x14ac:dyDescent="0.25">
      <c r="B82" s="8">
        <v>46035</v>
      </c>
      <c r="C82" s="9" t="s">
        <v>63</v>
      </c>
      <c r="D82" s="10" t="s">
        <v>1</v>
      </c>
      <c r="E82" s="10" t="s">
        <v>2</v>
      </c>
      <c r="F82" s="11">
        <v>47.2</v>
      </c>
      <c r="G82" s="11">
        <v>21000</v>
      </c>
      <c r="H82" s="12">
        <f>[1]!РЕАЛИЗАЦИЯ[СОНИ]*[1]!РЕАЛИЗАЦИЯ[НАРХИ]</f>
        <v>1587200</v>
      </c>
      <c r="I82" s="11"/>
      <c r="J82" s="13">
        <v>19000</v>
      </c>
      <c r="K82" s="11">
        <f>[1]!РЕАЛИЗАЦИЯ[[#This Row],[СОНИ]]*[1]!РЕАЛИЗАЦИЯ[[#This Row],[ТАННАРХ]]</f>
        <v>0</v>
      </c>
      <c r="L82" s="14">
        <f>[1]!РЕАЛИЗАЦИЯ[[#This Row],[ЖАМИ]]-[1]!РЕАЛИЗАЦИЯ[[#This Row],[ЖАМИ2]]</f>
        <v>1587200</v>
      </c>
      <c r="O82" s="30">
        <v>46036</v>
      </c>
      <c r="P82" s="31" t="s">
        <v>5</v>
      </c>
      <c r="Q82" s="13">
        <v>1000000</v>
      </c>
      <c r="R82" s="13"/>
      <c r="S82" s="13"/>
      <c r="T82" s="32">
        <f>[1]!ПЛАТЕЖИ[[#This Row],[СЎМ]]+([1]!ПЛАТЕЖИ[[#This Row],[ВАЛЮТА]]*[1]!ПЛАТЕЖИ[[#This Row],[КУРС]])</f>
        <v>800000</v>
      </c>
      <c r="U82" s="31"/>
      <c r="V82" s="31"/>
    </row>
    <row r="83" spans="2:22" x14ac:dyDescent="0.25">
      <c r="B83" s="1">
        <v>46035</v>
      </c>
      <c r="C83" s="2" t="s">
        <v>64</v>
      </c>
      <c r="D83" s="3" t="s">
        <v>1</v>
      </c>
      <c r="E83" s="3" t="s">
        <v>2</v>
      </c>
      <c r="F83" s="4">
        <v>46.2</v>
      </c>
      <c r="G83" s="4">
        <v>21000</v>
      </c>
      <c r="H83" s="5">
        <f>[1]!РЕАЛИЗАЦИЯ[СОНИ]*[1]!РЕАЛИЗАЦИЯ[НАРХИ]</f>
        <v>756800</v>
      </c>
      <c r="I83" s="4"/>
      <c r="J83" s="6">
        <v>19000</v>
      </c>
      <c r="K83" s="4">
        <f>[1]!РЕАЛИЗАЦИЯ[[#This Row],[СОНИ]]*[1]!РЕАЛИЗАЦИЯ[[#This Row],[ТАННАРХ]]</f>
        <v>0</v>
      </c>
      <c r="L83" s="7">
        <f>[1]!РЕАЛИЗАЦИЯ[[#This Row],[ЖАМИ]]-[1]!РЕАЛИЗАЦИЯ[[#This Row],[ЖАМИ2]]</f>
        <v>756800</v>
      </c>
      <c r="O83" s="27">
        <v>46036</v>
      </c>
      <c r="P83" s="28" t="s">
        <v>63</v>
      </c>
      <c r="Q83" s="6">
        <v>992000</v>
      </c>
      <c r="R83" s="6"/>
      <c r="S83" s="6"/>
      <c r="T83" s="29">
        <f>[1]!ПЛАТЕЖИ[[#This Row],[СЎМ]]+([1]!ПЛАТЕЖИ[[#This Row],[ВАЛЮТА]]*[1]!ПЛАТЕЖИ[[#This Row],[КУРС]])</f>
        <v>6417800</v>
      </c>
      <c r="U83" s="28"/>
      <c r="V83" s="28"/>
    </row>
    <row r="84" spans="2:22" x14ac:dyDescent="0.25">
      <c r="B84" s="8">
        <v>46035</v>
      </c>
      <c r="C84" s="9" t="s">
        <v>65</v>
      </c>
      <c r="D84" s="10" t="s">
        <v>8</v>
      </c>
      <c r="E84" s="10" t="s">
        <v>2</v>
      </c>
      <c r="F84" s="11">
        <v>1447.9</v>
      </c>
      <c r="G84" s="11">
        <v>22500</v>
      </c>
      <c r="H84" s="12">
        <f>[1]!РЕАЛИЗАЦИЯ[СОНИ]*[1]!РЕАЛИЗАЦИЯ[НАРХИ]</f>
        <v>857600</v>
      </c>
      <c r="I84" s="11" t="s">
        <v>66</v>
      </c>
      <c r="J84" s="13">
        <v>20000</v>
      </c>
      <c r="K84" s="11">
        <f>[1]!РЕАЛИЗАЦИЯ[[#This Row],[СОНИ]]*[1]!РЕАЛИЗАЦИЯ[[#This Row],[ТАННАРХ]]</f>
        <v>0</v>
      </c>
      <c r="L84" s="14">
        <f>[1]!РЕАЛИЗАЦИЯ[[#This Row],[ЖАМИ]]-[1]!РЕАЛИЗАЦИЯ[[#This Row],[ЖАМИ2]]</f>
        <v>857600</v>
      </c>
      <c r="O84" s="30">
        <v>46036</v>
      </c>
      <c r="P84" s="31" t="s">
        <v>78</v>
      </c>
      <c r="Q84" s="13">
        <v>6000000</v>
      </c>
      <c r="R84" s="13"/>
      <c r="S84" s="13"/>
      <c r="T84" s="32">
        <f>[1]!ПЛАТЕЖИ[[#This Row],[СЎМ]]+([1]!ПЛАТЕЖИ[[#This Row],[ВАЛЮТА]]*[1]!ПЛАТЕЖИ[[#This Row],[КУРС]])</f>
        <v>1520000</v>
      </c>
      <c r="U84" s="31"/>
      <c r="V84" s="31"/>
    </row>
    <row r="85" spans="2:22" x14ac:dyDescent="0.25">
      <c r="B85" s="1">
        <v>46035</v>
      </c>
      <c r="C85" s="2" t="s">
        <v>67</v>
      </c>
      <c r="D85" s="3" t="s">
        <v>1</v>
      </c>
      <c r="E85" s="3" t="s">
        <v>2</v>
      </c>
      <c r="F85" s="4">
        <v>91</v>
      </c>
      <c r="G85" s="4">
        <v>21000</v>
      </c>
      <c r="H85" s="5">
        <f>[1]!РЕАЛИЗАЦИЯ[СОНИ]*[1]!РЕАЛИЗАЦИЯ[НАРХИ]</f>
        <v>993299.99999999988</v>
      </c>
      <c r="I85" s="4"/>
      <c r="J85" s="6">
        <v>19000</v>
      </c>
      <c r="K85" s="4">
        <f>[1]!РЕАЛИЗАЦИЯ[[#This Row],[СОНИ]]*[1]!РЕАЛИЗАЦИЯ[[#This Row],[ТАННАРХ]]</f>
        <v>0</v>
      </c>
      <c r="L85" s="7">
        <f>[1]!РЕАЛИЗАЦИЯ[[#This Row],[ЖАМИ]]-[1]!РЕАЛИЗАЦИЯ[[#This Row],[ЖАМИ2]]</f>
        <v>993299.99999999988</v>
      </c>
      <c r="O85" s="27">
        <v>46036</v>
      </c>
      <c r="P85" s="28" t="s">
        <v>136</v>
      </c>
      <c r="Q85" s="6">
        <v>970200</v>
      </c>
      <c r="R85" s="6"/>
      <c r="S85" s="6"/>
      <c r="T85" s="29">
        <f>[1]!ПЛАТЕЖИ[[#This Row],[СЎМ]]+([1]!ПЛАТЕЖИ[[#This Row],[ВАЛЮТА]]*[1]!ПЛАТЕЖИ[[#This Row],[КУРС]])</f>
        <v>8000000</v>
      </c>
      <c r="U85" s="28"/>
      <c r="V85" s="28"/>
    </row>
    <row r="86" spans="2:22" x14ac:dyDescent="0.25">
      <c r="B86" s="8">
        <v>46036</v>
      </c>
      <c r="C86" s="9" t="s">
        <v>68</v>
      </c>
      <c r="D86" s="10" t="s">
        <v>36</v>
      </c>
      <c r="E86" s="10" t="s">
        <v>2</v>
      </c>
      <c r="F86" s="11">
        <v>1524.8</v>
      </c>
      <c r="G86" s="11">
        <v>18000</v>
      </c>
      <c r="H86" s="12">
        <f>[1]!РЕАЛИЗАЦИЯ[СОНИ]*[1]!РЕАЛИЗАЦИЯ[НАРХИ]</f>
        <v>822400</v>
      </c>
      <c r="I86" s="11"/>
      <c r="J86" s="13">
        <v>16000</v>
      </c>
      <c r="K86" s="11">
        <f>[1]!РЕАЛИЗАЦИЯ[[#This Row],[СОНИ]]*[1]!РЕАЛИЗАЦИЯ[[#This Row],[ТАННАРХ]]</f>
        <v>0</v>
      </c>
      <c r="L86" s="14">
        <f>[1]!РЕАЛИЗАЦИЯ[[#This Row],[ЖАМИ]]-[1]!РЕАЛИЗАЦИЯ[[#This Row],[ЖАМИ2]]</f>
        <v>822400</v>
      </c>
      <c r="O86" s="30">
        <v>46036</v>
      </c>
      <c r="P86" s="31" t="s">
        <v>6</v>
      </c>
      <c r="Q86" s="13">
        <v>1952900</v>
      </c>
      <c r="R86" s="13"/>
      <c r="S86" s="13"/>
      <c r="T86" s="32">
        <f>[1]!ПЛАТЕЖИ[[#This Row],[СЎМ]]+([1]!ПЛАТЕЖИ[[#This Row],[ВАЛЮТА]]*[1]!ПЛАТЕЖИ[[#This Row],[КУРС]])</f>
        <v>872000</v>
      </c>
      <c r="U86" s="31"/>
      <c r="V86" s="31"/>
    </row>
    <row r="87" spans="2:22" x14ac:dyDescent="0.25">
      <c r="B87" s="1">
        <v>46036</v>
      </c>
      <c r="C87" s="2" t="s">
        <v>69</v>
      </c>
      <c r="D87" s="3" t="s">
        <v>1</v>
      </c>
      <c r="E87" s="3" t="s">
        <v>2</v>
      </c>
      <c r="F87" s="4">
        <v>490.9</v>
      </c>
      <c r="G87" s="4">
        <v>20500</v>
      </c>
      <c r="H87" s="5">
        <f>[1]!РЕАЛИЗАЦИЯ[СОНИ]*[1]!РЕАЛИЗАЦИЯ[НАРХИ]</f>
        <v>844600.00000000012</v>
      </c>
      <c r="I87" s="4"/>
      <c r="J87" s="6">
        <v>19000</v>
      </c>
      <c r="K87" s="4">
        <f>[1]!РЕАЛИЗАЦИЯ[[#This Row],[СОНИ]]*[1]!РЕАЛИЗАЦИЯ[[#This Row],[ТАННАРХ]]</f>
        <v>0</v>
      </c>
      <c r="L87" s="7">
        <f>[1]!РЕАЛИЗАЦИЯ[[#This Row],[ЖАМИ]]-[1]!РЕАЛИЗАЦИЯ[[#This Row],[ЖАМИ2]]</f>
        <v>844600.00000000012</v>
      </c>
      <c r="O87" s="27">
        <v>46036</v>
      </c>
      <c r="P87" s="28" t="s">
        <v>28</v>
      </c>
      <c r="Q87" s="6"/>
      <c r="R87" s="6">
        <v>100</v>
      </c>
      <c r="S87" s="6">
        <v>12000</v>
      </c>
      <c r="T87" s="29">
        <f>[1]!ПЛАТЕЖИ[[#This Row],[СЎМ]]+([1]!ПЛАТЕЖИ[[#This Row],[ВАЛЮТА]]*[1]!ПЛАТЕЖИ[[#This Row],[КУРС]])</f>
        <v>23000000</v>
      </c>
      <c r="U87" s="28"/>
      <c r="V87" s="28"/>
    </row>
    <row r="88" spans="2:22" x14ac:dyDescent="0.25">
      <c r="B88" s="8">
        <v>46036</v>
      </c>
      <c r="C88" s="9" t="s">
        <v>70</v>
      </c>
      <c r="D88" s="10" t="s">
        <v>1</v>
      </c>
      <c r="E88" s="10" t="s">
        <v>2</v>
      </c>
      <c r="F88" s="11">
        <v>37.5</v>
      </c>
      <c r="G88" s="11">
        <v>21000</v>
      </c>
      <c r="H88" s="12">
        <f>[1]!РЕАЛИЗАЦИЯ[СОНИ]*[1]!РЕАЛИЗАЦИЯ[НАРХИ]</f>
        <v>792000</v>
      </c>
      <c r="I88" s="11"/>
      <c r="J88" s="13">
        <v>19000</v>
      </c>
      <c r="K88" s="11">
        <f>[1]!РЕАЛИЗАЦИЯ[[#This Row],[СОНИ]]*[1]!РЕАЛИЗАЦИЯ[[#This Row],[ТАННАРХ]]</f>
        <v>0</v>
      </c>
      <c r="L88" s="14">
        <f>[1]!РЕАЛИЗАЦИЯ[[#This Row],[ЖАМИ]]-[1]!РЕАЛИЗАЦИЯ[[#This Row],[ЖАМИ2]]</f>
        <v>792000</v>
      </c>
      <c r="O88" s="30">
        <v>46036</v>
      </c>
      <c r="P88" s="31" t="s">
        <v>74</v>
      </c>
      <c r="Q88" s="13">
        <v>1471000</v>
      </c>
      <c r="R88" s="13"/>
      <c r="S88" s="13"/>
      <c r="T88" s="32">
        <f>[1]!ПЛАТЕЖИ[[#This Row],[СЎМ]]+([1]!ПЛАТЕЖИ[[#This Row],[ВАЛЮТА]]*[1]!ПЛАТЕЖИ[[#This Row],[КУРС]])</f>
        <v>2000000</v>
      </c>
      <c r="U88" s="31"/>
      <c r="V88" s="31"/>
    </row>
    <row r="89" spans="2:22" x14ac:dyDescent="0.25">
      <c r="B89" s="1">
        <v>46036</v>
      </c>
      <c r="C89" s="2" t="s">
        <v>71</v>
      </c>
      <c r="D89" s="3" t="s">
        <v>1</v>
      </c>
      <c r="E89" s="3" t="s">
        <v>2</v>
      </c>
      <c r="F89" s="4">
        <v>145.9</v>
      </c>
      <c r="G89" s="4">
        <v>21000</v>
      </c>
      <c r="H89" s="5">
        <f>[1]!РЕАЛИЗАЦИЯ[СОНИ]*[1]!РЕАЛИЗАЦИЯ[НАРХИ]</f>
        <v>3564000</v>
      </c>
      <c r="I89" s="4"/>
      <c r="J89" s="6">
        <v>19000</v>
      </c>
      <c r="K89" s="4">
        <f>[1]!РЕАЛИЗАЦИЯ[[#This Row],[СОНИ]]*[1]!РЕАЛИЗАЦИЯ[[#This Row],[ТАННАРХ]]</f>
        <v>0</v>
      </c>
      <c r="L89" s="7">
        <f>[1]!РЕАЛИЗАЦИЯ[[#This Row],[ЖАМИ]]-[1]!РЕАЛИЗАЦИЯ[[#This Row],[ЖАМИ2]]</f>
        <v>3564000</v>
      </c>
      <c r="O89" s="27">
        <v>46036</v>
      </c>
      <c r="P89" s="28" t="s">
        <v>49</v>
      </c>
      <c r="Q89" s="6">
        <v>760000</v>
      </c>
      <c r="R89" s="6"/>
      <c r="S89" s="6"/>
      <c r="T89" s="29">
        <f>[1]!ПЛАТЕЖИ[[#This Row],[СЎМ]]+([1]!ПЛАТЕЖИ[[#This Row],[ВАЛЮТА]]*[1]!ПЛАТЕЖИ[[#This Row],[КУРС]])</f>
        <v>700000</v>
      </c>
      <c r="U89" s="28"/>
      <c r="V89" s="28"/>
    </row>
    <row r="90" spans="2:22" x14ac:dyDescent="0.25">
      <c r="B90" s="8">
        <v>46036</v>
      </c>
      <c r="C90" s="9" t="s">
        <v>72</v>
      </c>
      <c r="D90" s="10" t="s">
        <v>36</v>
      </c>
      <c r="E90" s="10" t="s">
        <v>2</v>
      </c>
      <c r="F90" s="11">
        <v>54.7</v>
      </c>
      <c r="G90" s="11">
        <v>18000</v>
      </c>
      <c r="H90" s="12">
        <f>[1]!РЕАЛИЗАЦИЯ[СОНИ]*[1]!РЕАЛИЗАЦИЯ[НАРХИ]</f>
        <v>1462500</v>
      </c>
      <c r="I90" s="11"/>
      <c r="J90" s="13">
        <v>16000</v>
      </c>
      <c r="K90" s="11">
        <f>[1]!РЕАЛИЗАЦИЯ[[#This Row],[СОНИ]]*[1]!РЕАЛИЗАЦИЯ[[#This Row],[ТАННАРХ]]</f>
        <v>0</v>
      </c>
      <c r="L90" s="14">
        <f>[1]!РЕАЛИЗАЦИЯ[[#This Row],[ЖАМИ]]-[1]!РЕАЛИЗАЦИЯ[[#This Row],[ЖАМИ2]]</f>
        <v>1462500</v>
      </c>
      <c r="O90" s="30">
        <v>46036</v>
      </c>
      <c r="P90" s="31" t="s">
        <v>75</v>
      </c>
      <c r="Q90" s="13">
        <v>2678600</v>
      </c>
      <c r="R90" s="13"/>
      <c r="S90" s="13"/>
      <c r="T90" s="32">
        <f>[1]!ПЛАТЕЖИ[[#This Row],[СЎМ]]+([1]!ПЛАТЕЖИ[[#This Row],[ВАЛЮТА]]*[1]!ПЛАТЕЖИ[[#This Row],[КУРС]])</f>
        <v>1700000</v>
      </c>
      <c r="U90" s="31"/>
      <c r="V90" s="31"/>
    </row>
    <row r="91" spans="2:22" x14ac:dyDescent="0.25">
      <c r="B91" s="1">
        <v>46036</v>
      </c>
      <c r="C91" s="2" t="s">
        <v>72</v>
      </c>
      <c r="D91" s="3" t="s">
        <v>1</v>
      </c>
      <c r="E91" s="3" t="s">
        <v>2</v>
      </c>
      <c r="F91" s="4">
        <v>243.8</v>
      </c>
      <c r="G91" s="4">
        <v>20000</v>
      </c>
      <c r="H91" s="5">
        <f>[1]!РЕАЛИЗАЦИЯ[СОНИ]*[1]!РЕАЛИЗАЦИЯ[НАРХИ]</f>
        <v>811200</v>
      </c>
      <c r="I91" s="4"/>
      <c r="J91" s="6">
        <v>19000</v>
      </c>
      <c r="K91" s="4">
        <f>[1]!РЕАЛИЗАЦИЯ[[#This Row],[СОНИ]]*[1]!РЕАЛИЗАЦИЯ[[#This Row],[ТАННАРХ]]</f>
        <v>0</v>
      </c>
      <c r="L91" s="7">
        <f>[1]!РЕАЛИЗАЦИЯ[[#This Row],[ЖАМИ]]-[1]!РЕАЛИЗАЦИЯ[[#This Row],[ЖАМИ2]]</f>
        <v>811200</v>
      </c>
      <c r="O91" s="27">
        <v>46036</v>
      </c>
      <c r="P91" s="28" t="s">
        <v>96</v>
      </c>
      <c r="Q91" s="6">
        <v>500000</v>
      </c>
      <c r="R91" s="6"/>
      <c r="S91" s="6"/>
      <c r="T91" s="29">
        <f>[1]!ПЛАТЕЖИ[[#This Row],[СЎМ]]+([1]!ПЛАТЕЖИ[[#This Row],[ВАЛЮТА]]*[1]!ПЛАТЕЖИ[[#This Row],[КУРС]])</f>
        <v>2000000</v>
      </c>
      <c r="U91" s="28"/>
      <c r="V91" s="28"/>
    </row>
    <row r="92" spans="2:22" x14ac:dyDescent="0.25">
      <c r="B92" s="8">
        <v>46036</v>
      </c>
      <c r="C92" s="9" t="s">
        <v>72</v>
      </c>
      <c r="D92" s="10" t="s">
        <v>10</v>
      </c>
      <c r="E92" s="10" t="s">
        <v>2</v>
      </c>
      <c r="F92" s="11">
        <v>51.2</v>
      </c>
      <c r="G92" s="11">
        <v>15000</v>
      </c>
      <c r="H92" s="12">
        <f>[1]!РЕАЛИЗАЦИЯ[СОНИ]*[1]!РЕАЛИЗАЦИЯ[НАРХИ]</f>
        <v>1243150</v>
      </c>
      <c r="I92" s="11"/>
      <c r="J92" s="13">
        <v>13000</v>
      </c>
      <c r="K92" s="11">
        <f>[1]!РЕАЛИЗАЦИЯ[[#This Row],[СОНИ]]*[1]!РЕАЛИЗАЦИЯ[[#This Row],[ТАННАРХ]]</f>
        <v>62964225</v>
      </c>
      <c r="L92" s="14">
        <f>[1]!РЕАЛИЗАЦИЯ[[#This Row],[ЖАМИ]]-[1]!РЕАЛИЗАЦИЯ[[#This Row],[ЖАМИ2]]</f>
        <v>1243097.1000000001</v>
      </c>
      <c r="O92" s="30">
        <v>46036</v>
      </c>
      <c r="P92" s="31" t="s">
        <v>52</v>
      </c>
      <c r="Q92" s="13">
        <v>854000</v>
      </c>
      <c r="R92" s="13"/>
      <c r="S92" s="13"/>
      <c r="T92" s="32">
        <f>[1]!ПЛАТЕЖИ[[#This Row],[СЎМ]]+([1]!ПЛАТЕЖИ[[#This Row],[ВАЛЮТА]]*[1]!ПЛАТЕЖИ[[#This Row],[КУРС]])</f>
        <v>2962200</v>
      </c>
      <c r="U92" s="31"/>
      <c r="V92" s="31"/>
    </row>
    <row r="93" spans="2:22" x14ac:dyDescent="0.25">
      <c r="B93" s="1">
        <v>46036</v>
      </c>
      <c r="C93" s="2" t="s">
        <v>73</v>
      </c>
      <c r="D93" s="3" t="s">
        <v>1</v>
      </c>
      <c r="E93" s="3" t="s">
        <v>2</v>
      </c>
      <c r="F93" s="4">
        <v>207.2</v>
      </c>
      <c r="G93" s="4">
        <v>21000</v>
      </c>
      <c r="H93" s="5">
        <f>[1]!РЕАЛИЗАЦИЯ[СОНИ]*[1]!РЕАЛИЗАЦИЯ[НАРХИ]</f>
        <v>1089900</v>
      </c>
      <c r="I93" s="4"/>
      <c r="J93" s="6">
        <v>19000</v>
      </c>
      <c r="K93" s="4">
        <f>[1]!РЕАЛИЗАЦИЯ[[#This Row],[СОНИ]]*[1]!РЕАЛИЗАЦИЯ[[#This Row],[ТАННАРХ]]</f>
        <v>0</v>
      </c>
      <c r="L93" s="7">
        <f>[1]!РЕАЛИЗАЦИЯ[[#This Row],[ЖАМИ]]-[1]!РЕАЛИЗАЦИЯ[[#This Row],[ЖАМИ2]]</f>
        <v>1089900</v>
      </c>
      <c r="O93" s="27">
        <v>46036</v>
      </c>
      <c r="P93" s="28" t="s">
        <v>173</v>
      </c>
      <c r="Q93" s="6">
        <v>579400</v>
      </c>
      <c r="R93" s="6"/>
      <c r="S93" s="6"/>
      <c r="T93" s="29">
        <f>[1]!ПЛАТЕЖИ[[#This Row],[СЎМ]]+([1]!ПЛАТЕЖИ[[#This Row],[ВАЛЮТА]]*[1]!ПЛАТЕЖИ[[#This Row],[КУРС]])</f>
        <v>857600</v>
      </c>
      <c r="U93" s="28"/>
      <c r="V93" s="28" t="s">
        <v>275</v>
      </c>
    </row>
    <row r="94" spans="2:22" x14ac:dyDescent="0.25">
      <c r="B94" s="8">
        <v>46036</v>
      </c>
      <c r="C94" s="9" t="s">
        <v>74</v>
      </c>
      <c r="D94" s="10" t="s">
        <v>10</v>
      </c>
      <c r="E94" s="10" t="s">
        <v>2</v>
      </c>
      <c r="F94" s="11">
        <v>96.6</v>
      </c>
      <c r="G94" s="11">
        <v>16000</v>
      </c>
      <c r="H94" s="12">
        <f>[1]!РЕАЛИЗАЦИЯ[СОНИ]*[1]!РЕАЛИЗАЦИЯ[НАРХИ]</f>
        <v>811200</v>
      </c>
      <c r="I94" s="11"/>
      <c r="J94" s="13">
        <v>13000</v>
      </c>
      <c r="K94" s="11">
        <f>[1]!РЕАЛИЗАЦИЯ[[#This Row],[СОНИ]]*[1]!РЕАЛИЗАЦИЯ[[#This Row],[ТАННАРХ]]</f>
        <v>0</v>
      </c>
      <c r="L94" s="14">
        <f>[1]!РЕАЛИЗАЦИЯ[[#This Row],[ЖАМИ]]-[1]!РЕАЛИЗАЦИЯ[[#This Row],[ЖАМИ2]]</f>
        <v>811200</v>
      </c>
      <c r="O94" s="30">
        <v>46036</v>
      </c>
      <c r="P94" s="31" t="s">
        <v>221</v>
      </c>
      <c r="Q94" s="13">
        <v>500000</v>
      </c>
      <c r="R94" s="13"/>
      <c r="S94" s="13"/>
      <c r="T94" s="32">
        <f>[1]!ПЛАТЕЖИ[[#This Row],[СЎМ]]+([1]!ПЛАТЕЖИ[[#This Row],[ВАЛЮТА]]*[1]!ПЛАТЕЖИ[[#This Row],[КУРС]])</f>
        <v>550000</v>
      </c>
      <c r="U94" s="31"/>
      <c r="V94" s="31" t="s">
        <v>275</v>
      </c>
    </row>
    <row r="95" spans="2:22" x14ac:dyDescent="0.25">
      <c r="B95" s="1">
        <v>46036</v>
      </c>
      <c r="C95" s="2" t="s">
        <v>74</v>
      </c>
      <c r="D95" s="3" t="s">
        <v>1</v>
      </c>
      <c r="E95" s="3" t="s">
        <v>2</v>
      </c>
      <c r="F95" s="4">
        <v>91.7</v>
      </c>
      <c r="G95" s="4">
        <v>21000</v>
      </c>
      <c r="H95" s="5">
        <f>[1]!РЕАЛИЗАЦИЯ[СОНИ]*[1]!РЕАЛИЗАЦИЯ[НАРХИ]</f>
        <v>924000</v>
      </c>
      <c r="I95" s="4"/>
      <c r="J95" s="6">
        <v>19000</v>
      </c>
      <c r="K95" s="4">
        <f>[1]!РЕАЛИЗАЦИЯ[[#This Row],[СОНИ]]*[1]!РЕАЛИЗАЦИЯ[[#This Row],[ТАННАРХ]]</f>
        <v>0</v>
      </c>
      <c r="L95" s="7">
        <f>[1]!РЕАЛИЗАЦИЯ[[#This Row],[ЖАМИ]]-[1]!РЕАЛИЗАЦИЯ[[#This Row],[ЖАМИ2]]</f>
        <v>924000</v>
      </c>
      <c r="O95" s="27">
        <v>46037</v>
      </c>
      <c r="P95" s="28" t="s">
        <v>80</v>
      </c>
      <c r="Q95" s="6">
        <v>1112000</v>
      </c>
      <c r="R95" s="6"/>
      <c r="S95" s="6"/>
      <c r="T95" s="29">
        <f>[1]!ПЛАТЕЖИ[[#This Row],[СЎМ]]+([1]!ПЛАТЕЖИ[[#This Row],[ВАЛЮТА]]*[1]!ПЛАТЕЖИ[[#This Row],[КУРС]])</f>
        <v>844600</v>
      </c>
      <c r="U95" s="28"/>
      <c r="V95" s="28"/>
    </row>
    <row r="96" spans="2:22" x14ac:dyDescent="0.25">
      <c r="B96" s="8">
        <v>46036</v>
      </c>
      <c r="C96" s="9" t="s">
        <v>75</v>
      </c>
      <c r="D96" s="10" t="s">
        <v>1</v>
      </c>
      <c r="E96" s="10" t="s">
        <v>2</v>
      </c>
      <c r="F96" s="11">
        <v>99.7</v>
      </c>
      <c r="G96" s="11">
        <v>20000</v>
      </c>
      <c r="H96" s="12">
        <f>[1]!РЕАЛИЗАЦИЯ[СОНИ]*[1]!РЕАЛИЗАЦИЯ[НАРХИ]</f>
        <v>1012000</v>
      </c>
      <c r="I96" s="11"/>
      <c r="J96" s="13">
        <v>19000</v>
      </c>
      <c r="K96" s="11">
        <f>[1]!РЕАЛИЗАЦИЯ[[#This Row],[СОНИ]]*[1]!РЕАЛИЗАЦИЯ[[#This Row],[ТАННАРХ]]</f>
        <v>0</v>
      </c>
      <c r="L96" s="14">
        <f>[1]!РЕАЛИЗАЦИЯ[[#This Row],[ЖАМИ]]-[1]!РЕАЛИЗАЦИЯ[[#This Row],[ЖАМИ2]]</f>
        <v>1012000</v>
      </c>
      <c r="O96" s="30">
        <v>46037</v>
      </c>
      <c r="P96" s="31" t="s">
        <v>26</v>
      </c>
      <c r="Q96" s="13">
        <v>2370450</v>
      </c>
      <c r="R96" s="13"/>
      <c r="S96" s="13"/>
      <c r="T96" s="32">
        <f>[1]!ПЛАТЕЖИ[[#This Row],[СЎМ]]+([1]!ПЛАТЕЖИ[[#This Row],[ВАЛЮТА]]*[1]!ПЛАТЕЖИ[[#This Row],[КУРС]])</f>
        <v>1031000</v>
      </c>
      <c r="U96" s="31"/>
      <c r="V96" s="31"/>
    </row>
    <row r="97" spans="2:22" x14ac:dyDescent="0.25">
      <c r="B97" s="1">
        <v>46036</v>
      </c>
      <c r="C97" s="2" t="s">
        <v>75</v>
      </c>
      <c r="D97" s="3" t="s">
        <v>10</v>
      </c>
      <c r="E97" s="3" t="s">
        <v>2</v>
      </c>
      <c r="F97" s="4">
        <v>48.9</v>
      </c>
      <c r="G97" s="4">
        <v>14000</v>
      </c>
      <c r="H97" s="5">
        <f>[1]!РЕАЛИЗАЦИЯ[СОНИ]*[1]!РЕАЛИЗАЦИЯ[НАРХИ]</f>
        <v>763500</v>
      </c>
      <c r="I97" s="4"/>
      <c r="J97" s="6">
        <v>13000</v>
      </c>
      <c r="K97" s="4">
        <f>[1]!РЕАЛИЗАЦИЯ[[#This Row],[СОНИ]]*[1]!РЕАЛИЗАЦИЯ[[#This Row],[ТАННАРХ]]</f>
        <v>0</v>
      </c>
      <c r="L97" s="7">
        <f>[1]!РЕАЛИЗАЦИЯ[[#This Row],[ЖАМИ]]-[1]!РЕАЛИЗАЦИЯ[[#This Row],[ЖАМИ2]]</f>
        <v>763500</v>
      </c>
      <c r="O97" s="27">
        <v>46037</v>
      </c>
      <c r="P97" s="28" t="s">
        <v>248</v>
      </c>
      <c r="Q97" s="6">
        <v>1000000</v>
      </c>
      <c r="R97" s="6"/>
      <c r="S97" s="6"/>
      <c r="T97" s="29">
        <f>[1]!ПЛАТЕЖИ[[#This Row],[СЎМ]]+([1]!ПЛАТЕЖИ[[#This Row],[ВАЛЮТА]]*[1]!ПЛАТЕЖИ[[#This Row],[КУРС]])</f>
        <v>792000</v>
      </c>
      <c r="U97" s="28"/>
      <c r="V97" s="28"/>
    </row>
    <row r="98" spans="2:22" x14ac:dyDescent="0.25">
      <c r="B98" s="8">
        <v>46036</v>
      </c>
      <c r="C98" s="9" t="s">
        <v>14</v>
      </c>
      <c r="D98" s="10" t="s">
        <v>1</v>
      </c>
      <c r="E98" s="10" t="s">
        <v>2</v>
      </c>
      <c r="F98" s="11">
        <v>103.6</v>
      </c>
      <c r="G98" s="11">
        <v>20000</v>
      </c>
      <c r="H98" s="12">
        <f>[1]!РЕАЛИЗАЦИЯ[СОНИ]*[1]!РЕАЛИЗАЦИЯ[НАРХИ]</f>
        <v>-1123500</v>
      </c>
      <c r="I98" s="11"/>
      <c r="J98" s="13">
        <v>19000</v>
      </c>
      <c r="K98" s="11">
        <f>[1]!РЕАЛИЗАЦИЯ[[#This Row],[СОНИ]]*[1]!РЕАЛИЗАЦИЯ[[#This Row],[ТАННАРХ]]</f>
        <v>0</v>
      </c>
      <c r="L98" s="14">
        <f>[1]!РЕАЛИЗАЦИЯ[[#This Row],[ЖАМИ]]-[1]!РЕАЛИЗАЦИЯ[[#This Row],[ЖАМИ2]]</f>
        <v>-1123500</v>
      </c>
      <c r="O98" s="30">
        <v>46037</v>
      </c>
      <c r="P98" s="31" t="s">
        <v>291</v>
      </c>
      <c r="Q98" s="13">
        <v>900000</v>
      </c>
      <c r="R98" s="13"/>
      <c r="S98" s="13"/>
      <c r="T98" s="32">
        <f>[1]!ПЛАТЕЖИ[[#This Row],[СЎМ]]+([1]!ПЛАТЕЖИ[[#This Row],[ВАЛЮТА]]*[1]!ПЛАТЕЖИ[[#This Row],[КУРС]])</f>
        <v>5026500</v>
      </c>
      <c r="U98" s="31"/>
      <c r="V98" s="31" t="s">
        <v>275</v>
      </c>
    </row>
    <row r="99" spans="2:22" x14ac:dyDescent="0.25">
      <c r="B99" s="1">
        <v>46036</v>
      </c>
      <c r="C99" s="2" t="s">
        <v>49</v>
      </c>
      <c r="D99" s="3" t="s">
        <v>10</v>
      </c>
      <c r="E99" s="3" t="s">
        <v>2</v>
      </c>
      <c r="F99" s="4">
        <v>48.9</v>
      </c>
      <c r="G99" s="4">
        <v>16000</v>
      </c>
      <c r="H99" s="5">
        <f>[1]!РЕАЛИЗАЦИЯ[СОНИ]*[1]!РЕАЛИЗАЦИЯ[НАРХИ]</f>
        <v>-747200</v>
      </c>
      <c r="I99" s="4"/>
      <c r="J99" s="6">
        <v>13000</v>
      </c>
      <c r="K99" s="4">
        <f>[1]!РЕАЛИЗАЦИЯ[[#This Row],[СОНИ]]*[1]!РЕАЛИЗАЦИЯ[[#This Row],[ТАННАРХ]]</f>
        <v>0</v>
      </c>
      <c r="L99" s="7">
        <f>[1]!РЕАЛИЗАЦИЯ[[#This Row],[ЖАМИ]]-[1]!РЕАЛИЗАЦИЯ[[#This Row],[ЖАМИ2]]</f>
        <v>-747200</v>
      </c>
      <c r="O99" s="27">
        <v>46037</v>
      </c>
      <c r="P99" s="28" t="s">
        <v>53</v>
      </c>
      <c r="Q99" s="6">
        <v>22240250</v>
      </c>
      <c r="R99" s="6"/>
      <c r="S99" s="6"/>
      <c r="T99" s="29">
        <f>[1]!ПЛАТЕЖИ[[#This Row],[СЎМ]]+([1]!ПЛАТЕЖИ[[#This Row],[ВАЛЮТА]]*[1]!ПЛАТЕЖИ[[#This Row],[КУРС]])</f>
        <v>930000</v>
      </c>
      <c r="U99" s="28"/>
      <c r="V99" s="28" t="s">
        <v>279</v>
      </c>
    </row>
    <row r="100" spans="2:22" x14ac:dyDescent="0.25">
      <c r="B100" s="8">
        <v>46036</v>
      </c>
      <c r="C100" s="9" t="s">
        <v>15</v>
      </c>
      <c r="D100" s="10" t="s">
        <v>16</v>
      </c>
      <c r="E100" s="10" t="s">
        <v>2</v>
      </c>
      <c r="F100" s="11">
        <v>446.6</v>
      </c>
      <c r="G100" s="11">
        <v>23000</v>
      </c>
      <c r="H100" s="12">
        <f>[1]!РЕАЛИЗАЦИЯ[СОНИ]*[1]!РЕАЛИЗАЦИЯ[НАРХИ]</f>
        <v>513558</v>
      </c>
      <c r="I100" s="11"/>
      <c r="J100" s="13">
        <v>21000</v>
      </c>
      <c r="K100" s="11">
        <f>[1]!РЕАЛИЗАЦИЯ[[#This Row],[СОНИ]]*[1]!РЕАЛИЗАЦИЯ[[#This Row],[ТАННАРХ]]</f>
        <v>13043930</v>
      </c>
      <c r="L100" s="14">
        <f>[1]!РЕАЛИЗАЦИЯ[[#This Row],[ЖАМИ]]-[1]!РЕАЛИЗАЦИЯ[[#This Row],[ЖАМИ2]]</f>
        <v>513530.3</v>
      </c>
      <c r="O100" s="30">
        <v>46037</v>
      </c>
      <c r="P100" s="31" t="s">
        <v>17</v>
      </c>
      <c r="Q100" s="13">
        <v>4033200</v>
      </c>
      <c r="R100" s="13"/>
      <c r="S100" s="13"/>
      <c r="T100" s="32">
        <f>[1]!ПЛАТЕЖИ[[#This Row],[СЎМ]]+([1]!ПЛАТЕЖИ[[#This Row],[ВАЛЮТА]]*[1]!ПЛАТЕЖИ[[#This Row],[КУРС]])</f>
        <v>3000000</v>
      </c>
      <c r="U100" s="31"/>
      <c r="V100" s="31" t="s">
        <v>279</v>
      </c>
    </row>
    <row r="101" spans="2:22" x14ac:dyDescent="0.25">
      <c r="B101" s="1">
        <v>46036</v>
      </c>
      <c r="C101" s="2" t="s">
        <v>15</v>
      </c>
      <c r="D101" s="3" t="s">
        <v>29</v>
      </c>
      <c r="E101" s="3" t="s">
        <v>2</v>
      </c>
      <c r="F101" s="4">
        <v>36.6</v>
      </c>
      <c r="G101" s="4">
        <v>19000</v>
      </c>
      <c r="H101" s="5">
        <f>[1]!РЕАЛИЗАЦИЯ[СОНИ]*[1]!РЕАЛИЗАЦИЯ[НАРХИ]</f>
        <v>4850400</v>
      </c>
      <c r="I101" s="4"/>
      <c r="J101" s="6">
        <v>16000</v>
      </c>
      <c r="K101" s="4">
        <f>[1]!РЕАЛИЗАЦИЯ[[#This Row],[СОНИ]]*[1]!РЕАЛИЗАЦИЯ[[#This Row],[ТАННАРХ]]</f>
        <v>958521600</v>
      </c>
      <c r="L101" s="7">
        <f>[1]!РЕАЛИЗАЦИЯ[[#This Row],[ЖАМИ]]-[1]!РЕАЛИЗАЦИЯ[[#This Row],[ЖАМИ2]]</f>
        <v>4850193.5999999996</v>
      </c>
      <c r="O101" s="27">
        <v>46037</v>
      </c>
      <c r="P101" s="28" t="s">
        <v>7</v>
      </c>
      <c r="Q101" s="6">
        <v>10289400</v>
      </c>
      <c r="R101" s="6"/>
      <c r="S101" s="6"/>
      <c r="T101" s="29">
        <f>[1]!ПЛАТЕЖИ[[#This Row],[СЎМ]]+([1]!ПЛАТЕЖИ[[#This Row],[ВАЛЮТА]]*[1]!ПЛАТЕЖИ[[#This Row],[КУРС]])</f>
        <v>1875000</v>
      </c>
      <c r="U101" s="28"/>
      <c r="V101" s="28" t="s">
        <v>279</v>
      </c>
    </row>
    <row r="102" spans="2:22" x14ac:dyDescent="0.25">
      <c r="B102" s="8">
        <v>46036</v>
      </c>
      <c r="C102" s="9" t="s">
        <v>12</v>
      </c>
      <c r="D102" s="10" t="s">
        <v>16</v>
      </c>
      <c r="E102" s="10" t="s">
        <v>2</v>
      </c>
      <c r="F102" s="11">
        <v>2024.2</v>
      </c>
      <c r="G102" s="11">
        <v>24000</v>
      </c>
      <c r="H102" s="12">
        <f>[1]!РЕАЛИЗАЦИЯ[СОНИ]*[1]!РЕАЛИЗАЦИЯ[НАРХИ]</f>
        <v>5932800</v>
      </c>
      <c r="I102" s="11">
        <v>6</v>
      </c>
      <c r="J102" s="13">
        <v>20000</v>
      </c>
      <c r="K102" s="11">
        <f>[1]!РЕАЛИЗАЦИЯ[[#This Row],[СОНИ]]*[1]!РЕАЛИЗАЦИЯ[[#This Row],[ТАННАРХ]]</f>
        <v>1846814720.0000002</v>
      </c>
      <c r="L102" s="14">
        <f>[1]!РЕАЛИЗАЦИЯ[[#This Row],[ЖАМИ]]-[1]!РЕАЛИЗАЦИЯ[[#This Row],[ЖАМИ2]]</f>
        <v>5932470.4000000004</v>
      </c>
      <c r="O102" s="30">
        <v>46037</v>
      </c>
      <c r="P102" s="31" t="s">
        <v>81</v>
      </c>
      <c r="Q102" s="13">
        <v>1000000</v>
      </c>
      <c r="R102" s="13"/>
      <c r="S102" s="13"/>
      <c r="T102" s="32">
        <f>[1]!ПЛАТЕЖИ[[#This Row],[СЎМ]]+([1]!ПЛАТЕЖИ[[#This Row],[ВАЛЮТА]]*[1]!ПЛАТЕЖИ[[#This Row],[КУРС]])</f>
        <v>5806850</v>
      </c>
      <c r="U102" s="31"/>
      <c r="V102" s="31"/>
    </row>
    <row r="103" spans="2:22" x14ac:dyDescent="0.25">
      <c r="B103" s="1">
        <v>46037</v>
      </c>
      <c r="C103" s="2" t="s">
        <v>60</v>
      </c>
      <c r="D103" s="3" t="s">
        <v>1</v>
      </c>
      <c r="E103" s="3" t="s">
        <v>2</v>
      </c>
      <c r="F103" s="4">
        <v>912.4</v>
      </c>
      <c r="G103" s="4">
        <v>20500</v>
      </c>
      <c r="H103" s="5">
        <f>[1]!РЕАЛИЗАЦИЯ[СОНИ]*[1]!РЕАЛИЗАЦИЯ[НАРХИ]</f>
        <v>1830799.9999999998</v>
      </c>
      <c r="I103" s="4"/>
      <c r="J103" s="6">
        <v>19000</v>
      </c>
      <c r="K103" s="4">
        <f>[1]!РЕАЛИЗАЦИЯ[[#This Row],[СОНИ]]*[1]!РЕАЛИЗАЦИЯ[[#This Row],[ТАННАРХ]]</f>
        <v>0</v>
      </c>
      <c r="L103" s="7">
        <f>[1]!РЕАЛИЗАЦИЯ[[#This Row],[ЖАМИ]]-[1]!РЕАЛИЗАЦИЯ[[#This Row],[ЖАМИ2]]</f>
        <v>1830799.9999999998</v>
      </c>
      <c r="O103" s="27">
        <v>46037</v>
      </c>
      <c r="P103" s="28" t="s">
        <v>292</v>
      </c>
      <c r="Q103" s="6">
        <v>1000000</v>
      </c>
      <c r="R103" s="6"/>
      <c r="S103" s="6"/>
      <c r="T103" s="29">
        <f>[1]!ПЛАТЕЖИ[[#This Row],[СЎМ]]+([1]!ПЛАТЕЖИ[[#This Row],[ВАЛЮТА]]*[1]!ПЛАТЕЖИ[[#This Row],[КУРС]])</f>
        <v>513558</v>
      </c>
      <c r="U103" s="28"/>
      <c r="V103" s="28"/>
    </row>
    <row r="104" spans="2:22" x14ac:dyDescent="0.25">
      <c r="B104" s="8">
        <v>46037</v>
      </c>
      <c r="C104" s="9" t="s">
        <v>76</v>
      </c>
      <c r="D104" s="10" t="s">
        <v>1</v>
      </c>
      <c r="E104" s="10" t="s">
        <v>2</v>
      </c>
      <c r="F104" s="11">
        <v>96.6</v>
      </c>
      <c r="G104" s="11">
        <v>21000</v>
      </c>
      <c r="H104" s="12">
        <f>[1]!РЕАЛИЗАЦИЯ[СОНИ]*[1]!РЕАЛИЗАЦИЯ[НАРХИ]</f>
        <v>2376000</v>
      </c>
      <c r="I104" s="11"/>
      <c r="J104" s="13">
        <v>19000</v>
      </c>
      <c r="K104" s="11">
        <f>[1]!РЕАЛИЗАЦИЯ[[#This Row],[СОНИ]]*[1]!РЕАЛИЗАЦИЯ[[#This Row],[ТАННАРХ]]</f>
        <v>0</v>
      </c>
      <c r="L104" s="14">
        <f>[1]!РЕАЛИЗАЦИЯ[[#This Row],[ЖАМИ]]-[1]!РЕАЛИЗАЦИЯ[[#This Row],[ЖАМИ2]]</f>
        <v>2376000</v>
      </c>
      <c r="O104" s="30">
        <v>46038</v>
      </c>
      <c r="P104" s="31" t="s">
        <v>69</v>
      </c>
      <c r="Q104" s="13">
        <v>10063450</v>
      </c>
      <c r="R104" s="13"/>
      <c r="S104" s="13"/>
      <c r="T104" s="32">
        <f>[1]!ПЛАТЕЖИ[[#This Row],[СЎМ]]+([1]!ПЛАТЕЖИ[[#This Row],[ВАЛЮТА]]*[1]!ПЛАТЕЖИ[[#This Row],[КУРС]])</f>
        <v>1243150</v>
      </c>
      <c r="U104" s="31"/>
      <c r="V104" s="31"/>
    </row>
    <row r="105" spans="2:22" x14ac:dyDescent="0.25">
      <c r="B105" s="1">
        <v>46037</v>
      </c>
      <c r="C105" s="2" t="s">
        <v>77</v>
      </c>
      <c r="D105" s="3" t="s">
        <v>1</v>
      </c>
      <c r="E105" s="3" t="s">
        <v>2</v>
      </c>
      <c r="F105" s="4">
        <v>50.2</v>
      </c>
      <c r="G105" s="4">
        <v>20000</v>
      </c>
      <c r="H105" s="5">
        <f>[1]!РЕАЛИЗАЦИЯ[СОНИ]*[1]!РЕАЛИЗАЦИЯ[НАРХИ]</f>
        <v>1047900</v>
      </c>
      <c r="I105" s="4"/>
      <c r="J105" s="6">
        <v>19000</v>
      </c>
      <c r="K105" s="4">
        <f>[1]!РЕАЛИЗАЦИЯ[[#This Row],[СОНИ]]*[1]!РЕАЛИЗАЦИЯ[[#This Row],[ТАННАРХ]]</f>
        <v>0</v>
      </c>
      <c r="L105" s="7">
        <f>[1]!РЕАЛИЗАЦИЯ[[#This Row],[ЖАМИ]]-[1]!РЕАЛИЗАЦИЯ[[#This Row],[ЖАМИ2]]</f>
        <v>1047900</v>
      </c>
      <c r="O105" s="27">
        <v>46038</v>
      </c>
      <c r="P105" s="28" t="s">
        <v>125</v>
      </c>
      <c r="Q105" s="6">
        <v>500000</v>
      </c>
      <c r="R105" s="6">
        <v>200</v>
      </c>
      <c r="S105" s="6">
        <v>12000</v>
      </c>
      <c r="T105" s="29">
        <f>[1]!ПЛАТЕЖИ[[#This Row],[СЎМ]]+([1]!ПЛАТЕЖИ[[#This Row],[ВАЛЮТА]]*[1]!ПЛАТЕЖИ[[#This Row],[КУРС]])</f>
        <v>3116000</v>
      </c>
      <c r="U105" s="28"/>
      <c r="V105" s="28"/>
    </row>
    <row r="106" spans="2:22" x14ac:dyDescent="0.25">
      <c r="B106" s="8">
        <v>46037</v>
      </c>
      <c r="C106" s="9" t="s">
        <v>78</v>
      </c>
      <c r="D106" s="10" t="s">
        <v>10</v>
      </c>
      <c r="E106" s="10" t="s">
        <v>2</v>
      </c>
      <c r="F106" s="11">
        <v>188</v>
      </c>
      <c r="G106" s="11">
        <v>15000</v>
      </c>
      <c r="H106" s="12">
        <f>[1]!РЕАЛИЗАЦИЯ[СОНИ]*[1]!РЕАЛИЗАЦИЯ[НАРХИ]</f>
        <v>766400</v>
      </c>
      <c r="I106" s="11"/>
      <c r="J106" s="13">
        <v>13000</v>
      </c>
      <c r="K106" s="11">
        <f>[1]!РЕАЛИЗАЦИЯ[[#This Row],[СОНИ]]*[1]!РЕАЛИЗАЦИЯ[[#This Row],[ТАННАРХ]]</f>
        <v>0</v>
      </c>
      <c r="L106" s="14">
        <f>[1]!РЕАЛИЗАЦИЯ[[#This Row],[ЖАМИ]]-[1]!РЕАЛИЗАЦИЯ[[#This Row],[ЖАМИ2]]</f>
        <v>766400</v>
      </c>
      <c r="O106" s="30">
        <v>46038</v>
      </c>
      <c r="P106" s="31" t="s">
        <v>146</v>
      </c>
      <c r="Q106" s="13">
        <v>1000000</v>
      </c>
      <c r="R106" s="13"/>
      <c r="S106" s="13"/>
      <c r="T106" s="32">
        <f>[1]!ПЛАТЕЖИ[[#This Row],[СЎМ]]+([1]!ПЛАТЕЖИ[[#This Row],[ВАЛЮТА]]*[1]!ПЛАТЕЖИ[[#This Row],[КУРС]])</f>
        <v>1766000</v>
      </c>
      <c r="U106" s="31"/>
      <c r="V106" s="31"/>
    </row>
    <row r="107" spans="2:22" x14ac:dyDescent="0.25">
      <c r="B107" s="1">
        <v>46037</v>
      </c>
      <c r="C107" s="2" t="s">
        <v>78</v>
      </c>
      <c r="D107" s="3" t="s">
        <v>29</v>
      </c>
      <c r="E107" s="3" t="s">
        <v>2</v>
      </c>
      <c r="F107" s="4">
        <v>99.2</v>
      </c>
      <c r="G107" s="4">
        <v>17500</v>
      </c>
      <c r="H107" s="5">
        <f>[1]!РЕАЛИЗАЦИЯ[СОНИ]*[1]!РЕАЛИЗАЦИЯ[НАРХИ]</f>
        <v>999600</v>
      </c>
      <c r="I107" s="4"/>
      <c r="J107" s="6">
        <v>16000</v>
      </c>
      <c r="K107" s="4">
        <f>[1]!РЕАЛИЗАЦИЯ[[#This Row],[СОНИ]]*[1]!РЕАЛИЗАЦИЯ[[#This Row],[ТАННАРХ]]</f>
        <v>0</v>
      </c>
      <c r="L107" s="7">
        <f>[1]!РЕАЛИЗАЦИЯ[[#This Row],[ЖАМИ]]-[1]!РЕАЛИЗАЦИЯ[[#This Row],[ЖАМИ2]]</f>
        <v>999600</v>
      </c>
      <c r="O107" s="27">
        <v>46038</v>
      </c>
      <c r="P107" s="28" t="s">
        <v>88</v>
      </c>
      <c r="Q107" s="6">
        <v>1014000</v>
      </c>
      <c r="R107" s="6"/>
      <c r="S107" s="6"/>
      <c r="T107" s="29">
        <f>[1]!ПЛАТЕЖИ[[#This Row],[СЎМ]]+([1]!ПЛАТЕЖИ[[#This Row],[ВАЛЮТА]]*[1]!ПЛАТЕЖИ[[#This Row],[КУРС]])</f>
        <v>10650000</v>
      </c>
      <c r="U107" s="28"/>
      <c r="V107" s="28"/>
    </row>
    <row r="108" spans="2:22" x14ac:dyDescent="0.25">
      <c r="B108" s="8">
        <v>46037</v>
      </c>
      <c r="C108" s="9" t="s">
        <v>79</v>
      </c>
      <c r="D108" s="10" t="s">
        <v>29</v>
      </c>
      <c r="E108" s="10" t="s">
        <v>2</v>
      </c>
      <c r="F108" s="11">
        <v>291</v>
      </c>
      <c r="G108" s="11">
        <v>18000</v>
      </c>
      <c r="H108" s="12">
        <f>[1]!РЕАЛИЗАЦИЯ[СОНИ]*[1]!РЕАЛИЗАЦИЯ[НАРХИ]</f>
        <v>961799.99999999988</v>
      </c>
      <c r="I108" s="11"/>
      <c r="J108" s="13">
        <v>16000</v>
      </c>
      <c r="K108" s="11">
        <f>[1]!РЕАЛИЗАЦИЯ[[#This Row],[СОНИ]]*[1]!РЕАЛИЗАЦИЯ[[#This Row],[ТАННАРХ]]</f>
        <v>0</v>
      </c>
      <c r="L108" s="14">
        <f>[1]!РЕАЛИЗАЦИЯ[[#This Row],[ЖАМИ]]-[1]!РЕАЛИЗАЦИЯ[[#This Row],[ЖАМИ2]]</f>
        <v>961799.99999999988</v>
      </c>
      <c r="O108" s="30">
        <v>46038</v>
      </c>
      <c r="P108" s="31" t="s">
        <v>23</v>
      </c>
      <c r="Q108" s="13">
        <v>42000</v>
      </c>
      <c r="R108" s="13">
        <v>200</v>
      </c>
      <c r="S108" s="13">
        <v>12100</v>
      </c>
      <c r="T108" s="32">
        <f>[1]!ПЛАТЕЖИ[[#This Row],[СЎМ]]+([1]!ПЛАТЕЖИ[[#This Row],[ВАЛЮТА]]*[1]!ПЛАТЕЖИ[[#This Row],[КУРС]])</f>
        <v>1421000</v>
      </c>
      <c r="U108" s="31"/>
      <c r="V108" s="31"/>
    </row>
    <row r="109" spans="2:22" x14ac:dyDescent="0.25">
      <c r="B109" s="1">
        <v>46037</v>
      </c>
      <c r="C109" s="2" t="s">
        <v>80</v>
      </c>
      <c r="D109" s="3" t="s">
        <v>1</v>
      </c>
      <c r="E109" s="3" t="s">
        <v>2</v>
      </c>
      <c r="F109" s="4">
        <v>55.6</v>
      </c>
      <c r="G109" s="4">
        <v>20000</v>
      </c>
      <c r="H109" s="5">
        <f>[1]!РЕАЛИЗАЦИЯ[СОНИ]*[1]!РЕАЛИЗАЦИЯ[НАРХИ]</f>
        <v>2131500</v>
      </c>
      <c r="I109" s="4"/>
      <c r="J109" s="6">
        <v>19000</v>
      </c>
      <c r="K109" s="4">
        <f>[1]!РЕАЛИЗАЦИЯ[[#This Row],[СОНИ]]*[1]!РЕАЛИЗАЦИЯ[[#This Row],[ТАННАРХ]]</f>
        <v>0</v>
      </c>
      <c r="L109" s="7">
        <f>[1]!РЕАЛИЗАЦИЯ[[#This Row],[ЖАМИ]]-[1]!РЕАЛИЗАЦИЯ[[#This Row],[ЖАМИ2]]</f>
        <v>2131500</v>
      </c>
      <c r="O109" s="27">
        <v>46039</v>
      </c>
      <c r="P109" s="28" t="s">
        <v>41</v>
      </c>
      <c r="Q109" s="6">
        <v>1062600</v>
      </c>
      <c r="R109" s="6"/>
      <c r="S109" s="6"/>
      <c r="T109" s="29">
        <f>[1]!ПЛАТЕЖИ[[#This Row],[СЎМ]]+([1]!ПЛАТЕЖИ[[#This Row],[ВАЛЮТА]]*[1]!ПЛАТЕЖИ[[#This Row],[КУРС]])</f>
        <v>600000</v>
      </c>
      <c r="U109" s="28"/>
      <c r="V109" s="28"/>
    </row>
    <row r="110" spans="2:22" x14ac:dyDescent="0.25">
      <c r="B110" s="8">
        <v>46037</v>
      </c>
      <c r="C110" s="9" t="s">
        <v>26</v>
      </c>
      <c r="D110" s="10" t="s">
        <v>10</v>
      </c>
      <c r="E110" s="10" t="s">
        <v>2</v>
      </c>
      <c r="F110" s="11">
        <v>94.8</v>
      </c>
      <c r="G110" s="11">
        <v>14000</v>
      </c>
      <c r="H110" s="12">
        <f>[1]!РЕАЛИЗАЦИЯ[СОНИ]*[1]!РЕАЛИЗАЦИЯ[НАРХИ]</f>
        <v>970200.00000000012</v>
      </c>
      <c r="I110" s="11"/>
      <c r="J110" s="13">
        <v>13000</v>
      </c>
      <c r="K110" s="11">
        <f>[1]!РЕАЛИЗАЦИЯ[[#This Row],[СОНИ]]*[1]!РЕАЛИЗАЦИЯ[[#This Row],[ТАННАРХ]]</f>
        <v>0</v>
      </c>
      <c r="L110" s="14">
        <f>[1]!РЕАЛИЗАЦИЯ[[#This Row],[ЖАМИ]]-[1]!РЕАЛИЗАЦИЯ[[#This Row],[ЖАМИ2]]</f>
        <v>970200.00000000012</v>
      </c>
      <c r="O110" s="30">
        <v>46039</v>
      </c>
      <c r="P110" s="31" t="s">
        <v>144</v>
      </c>
      <c r="Q110" s="13">
        <v>400000</v>
      </c>
      <c r="R110" s="13"/>
      <c r="S110" s="13"/>
      <c r="T110" s="32">
        <f>[1]!ПЛАТЕЖИ[[#This Row],[СЎМ]]+([1]!ПЛАТЕЖИ[[#This Row],[ВАЛЮТА]]*[1]!ПЛАТЕЖИ[[#This Row],[КУРС]])</f>
        <v>568000</v>
      </c>
      <c r="U110" s="31"/>
      <c r="V110" s="31"/>
    </row>
    <row r="111" spans="2:22" x14ac:dyDescent="0.25">
      <c r="B111" s="1">
        <v>46037</v>
      </c>
      <c r="C111" s="2" t="s">
        <v>26</v>
      </c>
      <c r="D111" s="3" t="s">
        <v>1</v>
      </c>
      <c r="E111" s="3" t="s">
        <v>2</v>
      </c>
      <c r="F111" s="4">
        <v>53.5</v>
      </c>
      <c r="G111" s="4">
        <v>19500</v>
      </c>
      <c r="H111" s="5">
        <f>[1]!РЕАЛИЗАЦИЯ[СОНИ]*[1]!РЕАЛИЗАЦИЯ[НАРХИ]</f>
        <v>2093700</v>
      </c>
      <c r="I111" s="4"/>
      <c r="J111" s="6">
        <v>19000</v>
      </c>
      <c r="K111" s="4">
        <f>[1]!РЕАЛИЗАЦИЯ[[#This Row],[СОНИ]]*[1]!РЕАЛИЗАЦИЯ[[#This Row],[ТАННАРХ]]</f>
        <v>0</v>
      </c>
      <c r="L111" s="7">
        <f>[1]!РЕАЛИЗАЦИЯ[[#This Row],[ЖАМИ]]-[1]!РЕАЛИЗАЦИЯ[[#This Row],[ЖАМИ2]]</f>
        <v>2093700</v>
      </c>
      <c r="O111" s="27">
        <v>46039</v>
      </c>
      <c r="P111" s="28" t="s">
        <v>33</v>
      </c>
      <c r="Q111" s="6">
        <v>50000000</v>
      </c>
      <c r="R111" s="6"/>
      <c r="S111" s="6"/>
      <c r="T111" s="29">
        <f>[1]!ПЛАТЕЖИ[[#This Row],[СЎМ]]+([1]!ПЛАТЕЖИ[[#This Row],[ВАЛЮТА]]*[1]!ПЛАТЕЖИ[[#This Row],[КУРС]])</f>
        <v>2901000</v>
      </c>
      <c r="U111" s="28"/>
      <c r="V111" s="28" t="s">
        <v>279</v>
      </c>
    </row>
    <row r="112" spans="2:22" x14ac:dyDescent="0.25">
      <c r="B112" s="8">
        <v>46038</v>
      </c>
      <c r="C112" s="9" t="s">
        <v>15</v>
      </c>
      <c r="D112" s="10" t="s">
        <v>16</v>
      </c>
      <c r="E112" s="10" t="s">
        <v>2</v>
      </c>
      <c r="F112" s="11">
        <v>303.89999999999998</v>
      </c>
      <c r="G112" s="11">
        <v>23000</v>
      </c>
      <c r="H112" s="12">
        <f>[1]!РЕАЛИЗАЦИЯ[СОНИ]*[1]!РЕАЛИЗАЦИЯ[НАРХИ]</f>
        <v>1807200</v>
      </c>
      <c r="I112" s="11"/>
      <c r="J112" s="13">
        <v>21000</v>
      </c>
      <c r="K112" s="11">
        <f>[1]!РЕАЛИЗАЦИЯ[[#This Row],[СОНИ]]*[1]!РЕАЛИЗАЦИЯ[[#This Row],[ТАННАРХ]]</f>
        <v>0</v>
      </c>
      <c r="L112" s="14">
        <f>[1]!РЕАЛИЗАЦИЯ[[#This Row],[ЖАМИ]]-[1]!РЕАЛИЗАЦИЯ[[#This Row],[ЖАМИ2]]</f>
        <v>1807200</v>
      </c>
      <c r="O112" s="30">
        <v>46039</v>
      </c>
      <c r="P112" s="31" t="s">
        <v>91</v>
      </c>
      <c r="Q112" s="13">
        <v>1888000</v>
      </c>
      <c r="R112" s="13"/>
      <c r="S112" s="13"/>
      <c r="T112" s="32">
        <f>[1]!ПЛАТЕЖИ[[#This Row],[СЎМ]]+([1]!ПЛАТЕЖИ[[#This Row],[ВАЛЮТА]]*[1]!ПЛАТЕЖИ[[#This Row],[КУРС]])</f>
        <v>909300</v>
      </c>
      <c r="U112" s="31"/>
      <c r="V112" s="31"/>
    </row>
    <row r="113" spans="2:22" x14ac:dyDescent="0.25">
      <c r="B113" s="1">
        <v>46038</v>
      </c>
      <c r="C113" s="2" t="s">
        <v>81</v>
      </c>
      <c r="D113" s="3" t="s">
        <v>36</v>
      </c>
      <c r="E113" s="3" t="s">
        <v>2</v>
      </c>
      <c r="F113" s="4">
        <v>51</v>
      </c>
      <c r="G113" s="4">
        <v>17000</v>
      </c>
      <c r="H113" s="5">
        <f>[1]!РЕАЛИЗАЦИЯ[СОНИ]*[1]!РЕАЛИЗАЦИЯ[НАРХИ]</f>
        <v>2371200</v>
      </c>
      <c r="I113" s="4"/>
      <c r="J113" s="6">
        <v>16000</v>
      </c>
      <c r="K113" s="4">
        <f>[1]!РЕАЛИЗАЦИЯ[[#This Row],[СОНИ]]*[1]!РЕАЛИЗАЦИЯ[[#This Row],[ТАННАРХ]]</f>
        <v>0</v>
      </c>
      <c r="L113" s="7">
        <f>[1]!РЕАЛИЗАЦИЯ[[#This Row],[ЖАМИ]]-[1]!РЕАЛИЗАЦИЯ[[#This Row],[ЖАМИ2]]</f>
        <v>2371200</v>
      </c>
      <c r="O113" s="27">
        <v>46039</v>
      </c>
      <c r="P113" s="28" t="s">
        <v>93</v>
      </c>
      <c r="Q113" s="6">
        <v>992200</v>
      </c>
      <c r="R113" s="6"/>
      <c r="S113" s="6"/>
      <c r="T113" s="29">
        <f>[1]!ПЛАТЕЖИ[[#This Row],[СЎМ]]+([1]!ПЛАТЕЖИ[[#This Row],[ВАЛЮТА]]*[1]!ПЛАТЕЖИ[[#This Row],[КУРС]])</f>
        <v>2540000</v>
      </c>
      <c r="U113" s="28"/>
      <c r="V113" s="28"/>
    </row>
    <row r="114" spans="2:22" x14ac:dyDescent="0.25">
      <c r="B114" s="8">
        <v>46038</v>
      </c>
      <c r="C114" s="9" t="s">
        <v>81</v>
      </c>
      <c r="D114" s="10" t="s">
        <v>1</v>
      </c>
      <c r="E114" s="10" t="s">
        <v>2</v>
      </c>
      <c r="F114" s="11">
        <v>100.2</v>
      </c>
      <c r="G114" s="11">
        <v>20000</v>
      </c>
      <c r="H114" s="12">
        <f>[1]!РЕАЛИЗАЦИЯ[СОНИ]*[1]!РЕАЛИЗАЦИЯ[НАРХИ]</f>
        <v>1077300</v>
      </c>
      <c r="I114" s="11"/>
      <c r="J114" s="13">
        <v>19000</v>
      </c>
      <c r="K114" s="11">
        <f>[1]!РЕАЛИЗАЦИЯ[[#This Row],[СОНИ]]*[1]!РЕАЛИЗАЦИЯ[[#This Row],[ТАННАРХ]]</f>
        <v>0</v>
      </c>
      <c r="L114" s="14">
        <f>[1]!РЕАЛИЗАЦИЯ[[#This Row],[ЖАМИ]]-[1]!РЕАЛИЗАЦИЯ[[#This Row],[ЖАМИ2]]</f>
        <v>1077300</v>
      </c>
      <c r="O114" s="30">
        <v>46041</v>
      </c>
      <c r="P114" s="31" t="s">
        <v>55</v>
      </c>
      <c r="Q114" s="13">
        <v>500000</v>
      </c>
      <c r="R114" s="13"/>
      <c r="S114" s="13"/>
      <c r="T114" s="32">
        <f>[1]!ПЛАТЕЖИ[[#This Row],[СЎМ]]+([1]!ПЛАТЕЖИ[[#This Row],[ВАЛЮТА]]*[1]!ПЛАТЕЖИ[[#This Row],[КУРС]])</f>
        <v>20565720</v>
      </c>
      <c r="U114" s="31"/>
      <c r="V114" s="31" t="s">
        <v>275</v>
      </c>
    </row>
    <row r="115" spans="2:22" x14ac:dyDescent="0.25">
      <c r="B115" s="1">
        <v>46038</v>
      </c>
      <c r="C115" s="2" t="s">
        <v>82</v>
      </c>
      <c r="D115" s="3" t="s">
        <v>1</v>
      </c>
      <c r="E115" s="3" t="s">
        <v>2</v>
      </c>
      <c r="F115" s="4">
        <v>87.3</v>
      </c>
      <c r="G115" s="4">
        <v>21000</v>
      </c>
      <c r="H115" s="5">
        <f>[1]!РЕАЛИЗАЦИЯ[СОНИ]*[1]!РЕАЛИЗАЦИЯ[НАРХИ]</f>
        <v>822400</v>
      </c>
      <c r="I115" s="4"/>
      <c r="J115" s="6">
        <v>19000</v>
      </c>
      <c r="K115" s="4">
        <f>[1]!РЕАЛИЗАЦИЯ[[#This Row],[СОНИ]]*[1]!РЕАЛИЗАЦИЯ[[#This Row],[ТАННАРХ]]</f>
        <v>0</v>
      </c>
      <c r="L115" s="7">
        <f>[1]!РЕАЛИЗАЦИЯ[[#This Row],[ЖАМИ]]-[1]!РЕАЛИЗАЦИЯ[[#This Row],[ЖАМИ2]]</f>
        <v>822400</v>
      </c>
      <c r="O115" s="27">
        <v>46041</v>
      </c>
      <c r="P115" s="28" t="s">
        <v>12</v>
      </c>
      <c r="Q115" s="6">
        <v>48580800</v>
      </c>
      <c r="R115" s="6"/>
      <c r="S115" s="6"/>
      <c r="T115" s="29">
        <f>[1]!ПЛАТЕЖИ[[#This Row],[СЎМ]]+([1]!ПЛАТЕЖИ[[#This Row],[ВАЛЮТА]]*[1]!ПЛАТЕЖИ[[#This Row],[КУРС]])</f>
        <v>1000000</v>
      </c>
      <c r="U115" s="28"/>
      <c r="V115" s="28" t="s">
        <v>279</v>
      </c>
    </row>
    <row r="116" spans="2:22" x14ac:dyDescent="0.25">
      <c r="B116" s="8">
        <v>46038</v>
      </c>
      <c r="C116" s="9" t="s">
        <v>34</v>
      </c>
      <c r="D116" s="10" t="s">
        <v>1</v>
      </c>
      <c r="E116" s="10" t="s">
        <v>2</v>
      </c>
      <c r="F116" s="11">
        <v>250.7</v>
      </c>
      <c r="G116" s="11">
        <v>21600</v>
      </c>
      <c r="H116" s="12">
        <f>[1]!РЕАЛИЗАЦИЯ[СОНИ]*[1]!РЕАЛИЗАЦИЯ[НАРХИ]</f>
        <v>3011400</v>
      </c>
      <c r="I116" s="11" t="s">
        <v>83</v>
      </c>
      <c r="J116" s="13">
        <v>19000</v>
      </c>
      <c r="K116" s="11">
        <f>[1]!РЕАЛИЗАЦИЯ[[#This Row],[СОНИ]]*[1]!РЕАЛИЗАЦИЯ[[#This Row],[ТАННАРХ]]</f>
        <v>0</v>
      </c>
      <c r="L116" s="14">
        <f>[1]!РЕАЛИЗАЦИЯ[[#This Row],[ЖАМИ]]-[1]!РЕАЛИЗАЦИЯ[[#This Row],[ЖАМИ2]]</f>
        <v>3011400</v>
      </c>
      <c r="O116" s="30">
        <v>46041</v>
      </c>
      <c r="P116" s="31" t="s">
        <v>71</v>
      </c>
      <c r="Q116" s="13">
        <v>2000000</v>
      </c>
      <c r="R116" s="13"/>
      <c r="S116" s="13"/>
      <c r="T116" s="32">
        <f>[1]!ПЛАТЕЖИ[[#This Row],[СЎМ]]+([1]!ПЛАТЕЖИ[[#This Row],[ВАЛЮТА]]*[1]!ПЛАТЕЖИ[[#This Row],[КУРС]])</f>
        <v>3661400</v>
      </c>
      <c r="U116" s="31"/>
      <c r="V116" s="31" t="s">
        <v>279</v>
      </c>
    </row>
    <row r="117" spans="2:22" x14ac:dyDescent="0.25">
      <c r="B117" s="1">
        <v>46038</v>
      </c>
      <c r="C117" s="2" t="s">
        <v>34</v>
      </c>
      <c r="D117" s="3" t="s">
        <v>10</v>
      </c>
      <c r="E117" s="3" t="s">
        <v>2</v>
      </c>
      <c r="F117" s="4">
        <v>155.80000000000001</v>
      </c>
      <c r="G117" s="4">
        <v>16450</v>
      </c>
      <c r="H117" s="5">
        <f>[1]!РЕАЛИЗАЦИЯ[СОНИ]*[1]!РЕАЛИЗАЦИЯ[НАРХИ]</f>
        <v>2020242.0000000002</v>
      </c>
      <c r="I117" s="4" t="s">
        <v>83</v>
      </c>
      <c r="J117" s="6">
        <v>13000</v>
      </c>
      <c r="K117" s="4">
        <f>[1]!РЕАЛИЗАЦИЯ[[#This Row],[СОНИ]]*[1]!РЕАЛИЗАЦИЯ[[#This Row],[ТАННАРХ]]</f>
        <v>0</v>
      </c>
      <c r="L117" s="7">
        <f>[1]!РЕАЛИЗАЦИЯ[[#This Row],[ЖАМИ]]-[1]!РЕАЛИЗАЦИЯ[[#This Row],[ЖАМИ2]]</f>
        <v>2020242.0000000002</v>
      </c>
      <c r="O117" s="27">
        <v>46041</v>
      </c>
      <c r="P117" s="28" t="s">
        <v>293</v>
      </c>
      <c r="Q117" s="6">
        <v>500000</v>
      </c>
      <c r="R117" s="6"/>
      <c r="S117" s="6"/>
      <c r="T117" s="29">
        <f>[1]!ПЛАТЕЖИ[[#This Row],[СЎМ]]+([1]!ПЛАТЕЖИ[[#This Row],[ВАЛЮТА]]*[1]!ПЛАТЕЖИ[[#This Row],[КУРС]])</f>
        <v>1270000</v>
      </c>
      <c r="U117" s="28"/>
      <c r="V117" s="28" t="s">
        <v>275</v>
      </c>
    </row>
    <row r="118" spans="2:22" x14ac:dyDescent="0.25">
      <c r="B118" s="8">
        <v>46038</v>
      </c>
      <c r="C118" s="9" t="s">
        <v>84</v>
      </c>
      <c r="D118" s="10" t="s">
        <v>1</v>
      </c>
      <c r="E118" s="10" t="s">
        <v>2</v>
      </c>
      <c r="F118" s="11">
        <v>51</v>
      </c>
      <c r="G118" s="11">
        <v>21000</v>
      </c>
      <c r="H118" s="12">
        <f>[1]!РЕАЛИЗАЦИЯ[СОНИ]*[1]!РЕАЛИЗАЦИЯ[НАРХИ]</f>
        <v>1521000</v>
      </c>
      <c r="I118" s="11"/>
      <c r="J118" s="13">
        <v>19000</v>
      </c>
      <c r="K118" s="11">
        <f>[1]!РЕАЛИЗАЦИЯ[[#This Row],[СОНИ]]*[1]!РЕАЛИЗАЦИЯ[[#This Row],[ТАННАРХ]]</f>
        <v>0</v>
      </c>
      <c r="L118" s="14">
        <f>[1]!РЕАЛИЗАЦИЯ[[#This Row],[ЖАМИ]]-[1]!РЕАЛИЗАЦИЯ[[#This Row],[ЖАМИ2]]</f>
        <v>1521000</v>
      </c>
      <c r="O118" s="30">
        <v>46041</v>
      </c>
      <c r="P118" s="31" t="s">
        <v>261</v>
      </c>
      <c r="Q118" s="13">
        <v>200000</v>
      </c>
      <c r="R118" s="13"/>
      <c r="S118" s="13"/>
      <c r="T118" s="32">
        <f>[1]!ПЛАТЕЖИ[[#This Row],[СЎМ]]+([1]!ПЛАТЕЖИ[[#This Row],[ВАЛЮТА]]*[1]!ПЛАТЕЖИ[[#This Row],[КУРС]])</f>
        <v>4072000</v>
      </c>
      <c r="U118" s="31"/>
      <c r="V118" s="31" t="s">
        <v>275</v>
      </c>
    </row>
    <row r="119" spans="2:22" x14ac:dyDescent="0.25">
      <c r="B119" s="1">
        <v>46038</v>
      </c>
      <c r="C119" s="2" t="s">
        <v>41</v>
      </c>
      <c r="D119" s="3" t="s">
        <v>1</v>
      </c>
      <c r="E119" s="3" t="s">
        <v>2</v>
      </c>
      <c r="F119" s="4">
        <v>50.6</v>
      </c>
      <c r="G119" s="4">
        <v>21000</v>
      </c>
      <c r="H119" s="5">
        <f>[1]!РЕАЛИЗАЦИЯ[СОНИ]*[1]!РЕАЛИЗАЦИЯ[НАРХИ]</f>
        <v>4403650</v>
      </c>
      <c r="I119" s="4"/>
      <c r="J119" s="6">
        <v>19000</v>
      </c>
      <c r="K119" s="4">
        <f>[1]!РЕАЛИЗАЦИЯ[[#This Row],[СОНИ]]*[1]!РЕАЛИЗАЦИЯ[[#This Row],[ТАННАРХ]]</f>
        <v>0</v>
      </c>
      <c r="L119" s="7">
        <f>[1]!РЕАЛИЗАЦИЯ[[#This Row],[ЖАМИ]]-[1]!РЕАЛИЗАЦИЯ[[#This Row],[ЖАМИ2]]</f>
        <v>4403650</v>
      </c>
      <c r="O119" s="27">
        <v>46041</v>
      </c>
      <c r="P119" s="28" t="s">
        <v>282</v>
      </c>
      <c r="Q119" s="6">
        <v>2000000</v>
      </c>
      <c r="R119" s="6"/>
      <c r="S119" s="6"/>
      <c r="T119" s="29">
        <f>[1]!ПЛАТЕЖИ[[#This Row],[СЎМ]]+([1]!ПЛАТЕЖИ[[#This Row],[ВАЛЮТА]]*[1]!ПЛАТЕЖИ[[#This Row],[КУРС]])</f>
        <v>3084900</v>
      </c>
      <c r="U119" s="28"/>
      <c r="V119" s="28" t="s">
        <v>275</v>
      </c>
    </row>
    <row r="120" spans="2:22" x14ac:dyDescent="0.25">
      <c r="B120" s="8">
        <v>46038</v>
      </c>
      <c r="C120" s="9" t="s">
        <v>85</v>
      </c>
      <c r="D120" s="10" t="s">
        <v>1</v>
      </c>
      <c r="E120" s="10" t="s">
        <v>2</v>
      </c>
      <c r="F120" s="11">
        <v>194.5</v>
      </c>
      <c r="G120" s="11">
        <v>21000</v>
      </c>
      <c r="H120" s="12">
        <f>[1]!РЕАЛИЗАЦИЯ[СОНИ]*[1]!РЕАЛИЗАЦИЯ[НАРХИ]</f>
        <v>2656800</v>
      </c>
      <c r="I120" s="11"/>
      <c r="J120" s="13">
        <v>19000</v>
      </c>
      <c r="K120" s="11">
        <f>[1]!РЕАЛИЗАЦИЯ[[#This Row],[СОНИ]]*[1]!РЕАЛИЗАЦИЯ[[#This Row],[ТАННАРХ]]</f>
        <v>0</v>
      </c>
      <c r="L120" s="14">
        <f>[1]!РЕАЛИЗАЦИЯ[[#This Row],[ЖАМИ]]-[1]!РЕАЛИЗАЦИЯ[[#This Row],[ЖАМИ2]]</f>
        <v>2656800</v>
      </c>
      <c r="O120" s="30">
        <v>46041</v>
      </c>
      <c r="P120" s="31" t="s">
        <v>94</v>
      </c>
      <c r="Q120" s="13">
        <v>1087800</v>
      </c>
      <c r="R120" s="13"/>
      <c r="S120" s="13"/>
      <c r="T120" s="32">
        <f>[1]!ПЛАТЕЖИ[[#This Row],[СЎМ]]+([1]!ПЛАТЕЖИ[[#This Row],[ВАЛЮТА]]*[1]!ПЛАТЕЖИ[[#This Row],[КУРС]])</f>
        <v>941000</v>
      </c>
      <c r="U120" s="31"/>
      <c r="V120" s="31"/>
    </row>
    <row r="121" spans="2:22" x14ac:dyDescent="0.25">
      <c r="B121" s="1">
        <v>46038</v>
      </c>
      <c r="C121" s="2" t="s">
        <v>86</v>
      </c>
      <c r="D121" s="3" t="s">
        <v>10</v>
      </c>
      <c r="E121" s="3" t="s">
        <v>2</v>
      </c>
      <c r="F121" s="4">
        <v>49</v>
      </c>
      <c r="G121" s="4">
        <v>15000</v>
      </c>
      <c r="H121" s="5">
        <f>[1]!РЕАЛИЗАЦИЯ[СОНИ]*[1]!РЕАЛИЗАЦИЯ[НАРХИ]</f>
        <v>2171400</v>
      </c>
      <c r="I121" s="4" t="s">
        <v>87</v>
      </c>
      <c r="J121" s="6">
        <v>13000</v>
      </c>
      <c r="K121" s="4">
        <f>[1]!РЕАЛИЗАЦИЯ[[#This Row],[СОНИ]]*[1]!РЕАЛИЗАЦИЯ[[#This Row],[ТАННАРХ]]</f>
        <v>0</v>
      </c>
      <c r="L121" s="7">
        <f>[1]!РЕАЛИЗАЦИЯ[[#This Row],[ЖАМИ]]-[1]!РЕАЛИЗАЦИЯ[[#This Row],[ЖАМИ2]]</f>
        <v>2171400</v>
      </c>
      <c r="O121" s="27">
        <v>46041</v>
      </c>
      <c r="P121" s="28" t="s">
        <v>95</v>
      </c>
      <c r="Q121" s="6">
        <v>737000</v>
      </c>
      <c r="R121" s="6"/>
      <c r="S121" s="6"/>
      <c r="T121" s="29">
        <f>[1]!ПЛАТЕЖИ[[#This Row],[СЎМ]]+([1]!ПЛАТЕЖИ[[#This Row],[ВАЛЮТА]]*[1]!ПЛАТЕЖИ[[#This Row],[КУРС]])</f>
        <v>1801400</v>
      </c>
      <c r="U121" s="28"/>
      <c r="V121" s="28"/>
    </row>
    <row r="122" spans="2:22" x14ac:dyDescent="0.25">
      <c r="B122" s="8">
        <v>46038</v>
      </c>
      <c r="C122" s="9" t="s">
        <v>86</v>
      </c>
      <c r="D122" s="10" t="s">
        <v>1</v>
      </c>
      <c r="E122" s="10" t="s">
        <v>2</v>
      </c>
      <c r="F122" s="11">
        <v>140.80000000000001</v>
      </c>
      <c r="G122" s="11">
        <v>20000</v>
      </c>
      <c r="H122" s="12">
        <f>[1]!РЕАЛИЗАЦИЯ[СОНИ]*[1]!РЕАЛИЗАЦИЯ[НАРХИ]</f>
        <v>729600</v>
      </c>
      <c r="I122" s="11" t="s">
        <v>87</v>
      </c>
      <c r="J122" s="13">
        <v>19000</v>
      </c>
      <c r="K122" s="11">
        <f>[1]!РЕАЛИЗАЦИЯ[[#This Row],[СОНИ]]*[1]!РЕАЛИЗАЦИЯ[[#This Row],[ТАННАРХ]]</f>
        <v>0</v>
      </c>
      <c r="L122" s="14">
        <f>[1]!РЕАЛИЗАЦИЯ[[#This Row],[ЖАМИ]]-[1]!РЕАЛИЗАЦИЯ[[#This Row],[ЖАМИ2]]</f>
        <v>729600</v>
      </c>
      <c r="O122" s="30">
        <v>46041</v>
      </c>
      <c r="P122" s="31" t="s">
        <v>86</v>
      </c>
      <c r="Q122" s="13">
        <v>4000000</v>
      </c>
      <c r="R122" s="13"/>
      <c r="S122" s="13"/>
      <c r="T122" s="32">
        <f>[1]!ПЛАТЕЖИ[[#This Row],[СЎМ]]+([1]!ПЛАТЕЖИ[[#This Row],[ВАЛЮТА]]*[1]!ПЛАТЕЖИ[[#This Row],[КУРС]])</f>
        <v>3050000</v>
      </c>
      <c r="U122" s="31"/>
      <c r="V122" s="31"/>
    </row>
    <row r="123" spans="2:22" x14ac:dyDescent="0.25">
      <c r="B123" s="1">
        <v>46038</v>
      </c>
      <c r="C123" s="2" t="s">
        <v>23</v>
      </c>
      <c r="D123" s="3" t="s">
        <v>10</v>
      </c>
      <c r="E123" s="3" t="s">
        <v>2</v>
      </c>
      <c r="F123" s="4">
        <v>98.4</v>
      </c>
      <c r="G123" s="4">
        <v>15000</v>
      </c>
      <c r="H123" s="5">
        <f>[1]!РЕАЛИЗАЦИЯ[СОНИ]*[1]!РЕАЛИЗАЦИЯ[НАРХИ]</f>
        <v>1239000</v>
      </c>
      <c r="I123" s="4"/>
      <c r="J123" s="6">
        <v>13000</v>
      </c>
      <c r="K123" s="4">
        <f>[1]!РЕАЛИЗАЦИЯ[[#This Row],[СОНИ]]*[1]!РЕАЛИЗАЦИЯ[[#This Row],[ТАННАРХ]]</f>
        <v>0</v>
      </c>
      <c r="L123" s="7">
        <f>[1]!РЕАЛИЗАЦИЯ[[#This Row],[ЖАМИ]]-[1]!РЕАЛИЗАЦИЯ[[#This Row],[ЖАМИ2]]</f>
        <v>1239000</v>
      </c>
      <c r="O123" s="27">
        <v>46041</v>
      </c>
      <c r="P123" s="28" t="s">
        <v>283</v>
      </c>
      <c r="Q123" s="6">
        <v>1120100</v>
      </c>
      <c r="R123" s="6"/>
      <c r="S123" s="6"/>
      <c r="T123" s="29">
        <f>[1]!ПЛАТЕЖИ[[#This Row],[СЎМ]]+([1]!ПЛАТЕЖИ[[#This Row],[ВАЛЮТА]]*[1]!ПЛАТЕЖИ[[#This Row],[КУРС]])</f>
        <v>760000</v>
      </c>
      <c r="U123" s="28"/>
      <c r="V123" s="28" t="s">
        <v>279</v>
      </c>
    </row>
    <row r="124" spans="2:22" x14ac:dyDescent="0.25">
      <c r="B124" s="8">
        <v>46038</v>
      </c>
      <c r="C124" s="9" t="s">
        <v>23</v>
      </c>
      <c r="D124" s="10" t="s">
        <v>1</v>
      </c>
      <c r="E124" s="10" t="s">
        <v>2</v>
      </c>
      <c r="F124" s="11">
        <v>49.3</v>
      </c>
      <c r="G124" s="11">
        <v>20000</v>
      </c>
      <c r="H124" s="12">
        <f>[1]!РЕАЛИЗАЦИЯ[СОНИ]*[1]!РЕАЛИЗАЦИЯ[НАРХИ]</f>
        <v>909299.99999999988</v>
      </c>
      <c r="I124" s="11"/>
      <c r="J124" s="13">
        <v>19000</v>
      </c>
      <c r="K124" s="11">
        <f>[1]!РЕАЛИЗАЦИЯ[[#This Row],[СОНИ]]*[1]!РЕАЛИЗАЦИЯ[[#This Row],[ТАННАРХ]]</f>
        <v>0</v>
      </c>
      <c r="L124" s="14">
        <f>[1]!РЕАЛИЗАЦИЯ[[#This Row],[ЖАМИ]]-[1]!РЕАЛИЗАЦИЯ[[#This Row],[ЖАМИ2]]</f>
        <v>909299.99999999988</v>
      </c>
      <c r="O124" s="30">
        <v>46042</v>
      </c>
      <c r="P124" s="31" t="s">
        <v>96</v>
      </c>
      <c r="Q124" s="13">
        <v>1500000</v>
      </c>
      <c r="R124" s="13"/>
      <c r="S124" s="13"/>
      <c r="T124" s="32">
        <f>[1]!ПЛАТЕЖИ[[#This Row],[СЎМ]]+([1]!ПЛАТЕЖИ[[#This Row],[ВАЛЮТА]]*[1]!ПЛАТЕЖИ[[#This Row],[КУРС]])</f>
        <v>1340000</v>
      </c>
      <c r="U124" s="31"/>
      <c r="V124" s="31"/>
    </row>
    <row r="125" spans="2:22" x14ac:dyDescent="0.25">
      <c r="B125" s="1">
        <v>46038</v>
      </c>
      <c r="C125" s="2" t="s">
        <v>27</v>
      </c>
      <c r="D125" s="3" t="s">
        <v>10</v>
      </c>
      <c r="E125" s="3" t="s">
        <v>2</v>
      </c>
      <c r="F125" s="4">
        <v>615.9</v>
      </c>
      <c r="G125" s="4">
        <v>14500</v>
      </c>
      <c r="H125" s="5">
        <f>[1]!РЕАЛИЗАЦИЯ[СОНИ]*[1]!РЕАЛИЗАЦИЯ[НАРХИ]</f>
        <v>1235200</v>
      </c>
      <c r="I125" s="4"/>
      <c r="J125" s="6">
        <v>13000</v>
      </c>
      <c r="K125" s="4">
        <f>[1]!РЕАЛИЗАЦИЯ[[#This Row],[СОНИ]]*[1]!РЕАЛИЗАЦИЯ[[#This Row],[ТАННАРХ]]</f>
        <v>0</v>
      </c>
      <c r="L125" s="7">
        <f>[1]!РЕАЛИЗАЦИЯ[[#This Row],[ЖАМИ]]-[1]!РЕАЛИЗАЦИЯ[[#This Row],[ЖАМИ2]]</f>
        <v>1235200</v>
      </c>
      <c r="O125" s="27">
        <v>46042</v>
      </c>
      <c r="P125" s="28" t="s">
        <v>286</v>
      </c>
      <c r="Q125" s="6">
        <v>1008000</v>
      </c>
      <c r="R125" s="6"/>
      <c r="S125" s="6"/>
      <c r="T125" s="29">
        <f>[1]!ПЛАТЕЖИ[[#This Row],[СЎМ]]+([1]!ПЛАТЕЖИ[[#This Row],[ВАЛЮТА]]*[1]!ПЛАТЕЖИ[[#This Row],[КУРС]])</f>
        <v>1814600</v>
      </c>
      <c r="U125" s="28"/>
      <c r="V125" s="28"/>
    </row>
    <row r="126" spans="2:22" x14ac:dyDescent="0.25">
      <c r="B126" s="8">
        <v>46038</v>
      </c>
      <c r="C126" s="9" t="s">
        <v>88</v>
      </c>
      <c r="D126" s="10" t="s">
        <v>1</v>
      </c>
      <c r="E126" s="10" t="s">
        <v>2</v>
      </c>
      <c r="F126" s="11">
        <v>50.7</v>
      </c>
      <c r="G126" s="11">
        <v>20000</v>
      </c>
      <c r="H126" s="12">
        <f>[1]!РЕАЛИЗАЦИЯ[СОНИ]*[1]!РЕАЛИЗАЦИЯ[НАРХИ]</f>
        <v>5970000</v>
      </c>
      <c r="I126" s="11"/>
      <c r="J126" s="13">
        <v>19000</v>
      </c>
      <c r="K126" s="11">
        <f>[1]!РЕАЛИЗАЦИЯ[[#This Row],[СОНИ]]*[1]!РЕАЛИЗАЦИЯ[[#This Row],[ТАННАРХ]]</f>
        <v>0</v>
      </c>
      <c r="L126" s="14">
        <f>[1]!РЕАЛИЗАЦИЯ[[#This Row],[ЖАМИ]]-[1]!РЕАЛИЗАЦИЯ[[#This Row],[ЖАМИ2]]</f>
        <v>5970000</v>
      </c>
      <c r="O126" s="30">
        <v>46042</v>
      </c>
      <c r="P126" s="31" t="s">
        <v>111</v>
      </c>
      <c r="Q126" s="13">
        <v>2344000</v>
      </c>
      <c r="R126" s="13"/>
      <c r="S126" s="13"/>
      <c r="T126" s="32">
        <f>[1]!ПЛАТЕЖИ[[#This Row],[СЎМ]]+([1]!ПЛАТЕЖИ[[#This Row],[ВАЛЮТА]]*[1]!ПЛАТЕЖИ[[#This Row],[КУРС]])</f>
        <v>2080000</v>
      </c>
      <c r="U126" s="31"/>
      <c r="V126" s="31"/>
    </row>
    <row r="127" spans="2:22" x14ac:dyDescent="0.25">
      <c r="B127" s="1">
        <v>46038</v>
      </c>
      <c r="C127" s="2" t="s">
        <v>89</v>
      </c>
      <c r="D127" s="3" t="s">
        <v>10</v>
      </c>
      <c r="E127" s="3" t="s">
        <v>2</v>
      </c>
      <c r="F127" s="4">
        <v>1721.1</v>
      </c>
      <c r="G127" s="4">
        <v>13000</v>
      </c>
      <c r="H127" s="5">
        <f>[1]!РЕАЛИЗАЦИЯ[СОНИ]*[1]!РЕАЛИЗАЦИЯ[НАРХИ]</f>
        <v>5310700</v>
      </c>
      <c r="I127" s="4"/>
      <c r="J127" s="6">
        <v>13000</v>
      </c>
      <c r="K127" s="4">
        <f>[1]!РЕАЛИЗАЦИЯ[[#This Row],[СОНИ]]*[1]!РЕАЛИЗАЦИЯ[[#This Row],[ТАННАРХ]]</f>
        <v>0</v>
      </c>
      <c r="L127" s="7">
        <f>[1]!РЕАЛИЗАЦИЯ[[#This Row],[ЖАМИ]]-[1]!РЕАЛИЗАЦИЯ[[#This Row],[ЖАМИ2]]</f>
        <v>5310700</v>
      </c>
      <c r="O127" s="27">
        <v>46042</v>
      </c>
      <c r="P127" s="28" t="s">
        <v>96</v>
      </c>
      <c r="Q127" s="6">
        <v>1038000</v>
      </c>
      <c r="R127" s="6"/>
      <c r="S127" s="6"/>
      <c r="T127" s="29">
        <f>[1]!ПЛАТЕЖИ[[#This Row],[СЎМ]]+([1]!ПЛАТЕЖИ[[#This Row],[ВАЛЮТА]]*[1]!ПЛАТЕЖИ[[#This Row],[КУРС]])</f>
        <v>5000000</v>
      </c>
      <c r="U127" s="28"/>
      <c r="V127" s="28"/>
    </row>
    <row r="128" spans="2:22" x14ac:dyDescent="0.25">
      <c r="B128" s="8">
        <v>46039</v>
      </c>
      <c r="C128" s="9" t="s">
        <v>90</v>
      </c>
      <c r="D128" s="10" t="s">
        <v>1</v>
      </c>
      <c r="E128" s="10" t="s">
        <v>2</v>
      </c>
      <c r="F128" s="11">
        <v>45.8</v>
      </c>
      <c r="G128" s="11">
        <v>21000</v>
      </c>
      <c r="H128" s="12">
        <f>[1]!РЕАЛИЗАЦИЯ[СОНИ]*[1]!РЕАЛИЗАЦИЯ[НАРХИ]</f>
        <v>-2371200</v>
      </c>
      <c r="I128" s="11"/>
      <c r="J128" s="13">
        <v>19000</v>
      </c>
      <c r="K128" s="11">
        <f>[1]!РЕАЛИЗАЦИЯ[[#This Row],[СОНИ]]*[1]!РЕАЛИЗАЦИЯ[[#This Row],[ТАННАРХ]]</f>
        <v>0</v>
      </c>
      <c r="L128" s="14">
        <f>[1]!РЕАЛИЗАЦИЯ[[#This Row],[ЖАМИ]]-[1]!РЕАЛИЗАЦИЯ[[#This Row],[ЖАМИ2]]</f>
        <v>-2371200</v>
      </c>
      <c r="O128" s="30">
        <v>46042</v>
      </c>
      <c r="P128" s="31" t="s">
        <v>48</v>
      </c>
      <c r="Q128" s="13">
        <v>12000000</v>
      </c>
      <c r="R128" s="13"/>
      <c r="S128" s="13"/>
      <c r="T128" s="32">
        <f>[1]!ПЛАТЕЖИ[[#This Row],[СЎМ]]+([1]!ПЛАТЕЖИ[[#This Row],[ВАЛЮТА]]*[1]!ПЛАТЕЖИ[[#This Row],[КУРС]])</f>
        <v>4423953</v>
      </c>
      <c r="U128" s="31"/>
      <c r="V128" s="31"/>
    </row>
    <row r="129" spans="2:22" x14ac:dyDescent="0.25">
      <c r="B129" s="1">
        <v>46039</v>
      </c>
      <c r="C129" s="2" t="s">
        <v>91</v>
      </c>
      <c r="D129" s="3" t="s">
        <v>1</v>
      </c>
      <c r="E129" s="3" t="s">
        <v>2</v>
      </c>
      <c r="F129" s="4">
        <v>94.4</v>
      </c>
      <c r="G129" s="4">
        <v>20000</v>
      </c>
      <c r="H129" s="5">
        <f>[1]!РЕАЛИЗАЦИЯ[СОНИ]*[1]!РЕАЛИЗАЦИЯ[НАРХИ]</f>
        <v>764400</v>
      </c>
      <c r="I129" s="4"/>
      <c r="J129" s="6">
        <v>19000</v>
      </c>
      <c r="K129" s="4">
        <f>[1]!РЕАЛИЗАЦИЯ[[#This Row],[СОНИ]]*[1]!РЕАЛИЗАЦИЯ[[#This Row],[ТАННАРХ]]</f>
        <v>0</v>
      </c>
      <c r="L129" s="7">
        <f>[1]!РЕАЛИЗАЦИЯ[[#This Row],[ЖАМИ]]-[1]!РЕАЛИЗАЦИЯ[[#This Row],[ЖАМИ2]]</f>
        <v>764400</v>
      </c>
      <c r="O129" s="27">
        <v>46042</v>
      </c>
      <c r="P129" s="28" t="s">
        <v>64</v>
      </c>
      <c r="Q129" s="6">
        <v>970200</v>
      </c>
      <c r="R129" s="6"/>
      <c r="S129" s="6"/>
      <c r="T129" s="29">
        <f>[1]!ПЛАТЕЖИ[[#This Row],[СЎМ]]+([1]!ПЛАТЕЖИ[[#This Row],[ВАЛЮТА]]*[1]!ПЛАТЕЖИ[[#This Row],[КУРС]])</f>
        <v>3335350</v>
      </c>
      <c r="U129" s="28"/>
      <c r="V129" s="28"/>
    </row>
    <row r="130" spans="2:22" x14ac:dyDescent="0.25">
      <c r="B130" s="8">
        <v>46039</v>
      </c>
      <c r="C130" s="9" t="s">
        <v>48</v>
      </c>
      <c r="D130" s="10" t="s">
        <v>8</v>
      </c>
      <c r="E130" s="10" t="s">
        <v>2</v>
      </c>
      <c r="F130" s="11">
        <v>235.8</v>
      </c>
      <c r="G130" s="11">
        <v>21000</v>
      </c>
      <c r="H130" s="12">
        <f>[1]!РЕАЛИЗАЦИЯ[СОНИ]*[1]!РЕАЛИЗАЦИЯ[НАРХИ]</f>
        <v>1710200</v>
      </c>
      <c r="I130" s="11"/>
      <c r="J130" s="13">
        <v>20000</v>
      </c>
      <c r="K130" s="11">
        <f>[1]!РЕАЛИЗАЦИЯ[[#This Row],[СОНИ]]*[1]!РЕАЛИЗАЦИЯ[[#This Row],[ТАННАРХ]]</f>
        <v>0</v>
      </c>
      <c r="L130" s="14">
        <f>[1]!РЕАЛИЗАЦИЯ[[#This Row],[ЖАМИ]]-[1]!РЕАЛИЗАЦИЯ[[#This Row],[ЖАМИ2]]</f>
        <v>1710200</v>
      </c>
      <c r="O130" s="30">
        <v>46042</v>
      </c>
      <c r="P130" s="31" t="s">
        <v>9</v>
      </c>
      <c r="Q130" s="13">
        <v>10377600</v>
      </c>
      <c r="R130" s="13"/>
      <c r="S130" s="13"/>
      <c r="T130" s="32">
        <f>[1]!ПЛАТЕЖИ[[#This Row],[СЎМ]]+([1]!ПЛАТЕЖИ[[#This Row],[ВАЛЮТА]]*[1]!ПЛАТЕЖИ[[#This Row],[КУРС]])</f>
        <v>1636500</v>
      </c>
      <c r="U130" s="31"/>
      <c r="V130" s="31" t="s">
        <v>279</v>
      </c>
    </row>
    <row r="131" spans="2:22" x14ac:dyDescent="0.25">
      <c r="B131" s="1">
        <v>46039</v>
      </c>
      <c r="C131" s="2" t="s">
        <v>92</v>
      </c>
      <c r="D131" s="3" t="s">
        <v>1</v>
      </c>
      <c r="E131" s="3" t="s">
        <v>2</v>
      </c>
      <c r="F131" s="4">
        <v>49.9</v>
      </c>
      <c r="G131" s="4">
        <v>21000</v>
      </c>
      <c r="H131" s="5">
        <f>[1]!РЕАЛИЗАЦИЯ[СОНИ]*[1]!РЕАЛИЗАЦИЯ[НАРХИ]</f>
        <v>1062600</v>
      </c>
      <c r="I131" s="4"/>
      <c r="J131" s="6">
        <v>19000</v>
      </c>
      <c r="K131" s="4">
        <f>[1]!РЕАЛИЗАЦИЯ[[#This Row],[СОНИ]]*[1]!РЕАЛИЗАЦИЯ[[#This Row],[ТАННАРХ]]</f>
        <v>0</v>
      </c>
      <c r="L131" s="7">
        <f>[1]!РЕАЛИЗАЦИЯ[[#This Row],[ЖАМИ]]-[1]!РЕАЛИЗАЦИЯ[[#This Row],[ЖАМИ2]]</f>
        <v>1062600</v>
      </c>
      <c r="O131" s="27">
        <v>46042</v>
      </c>
      <c r="P131" s="28" t="s">
        <v>45</v>
      </c>
      <c r="Q131" s="6">
        <v>300000</v>
      </c>
      <c r="R131" s="6"/>
      <c r="S131" s="6"/>
      <c r="T131" s="29">
        <f>[1]!ПЛАТЕЖИ[[#This Row],[СЎМ]]+([1]!ПЛАТЕЖИ[[#This Row],[ВАЛЮТА]]*[1]!ПЛАТЕЖИ[[#This Row],[КУРС]])</f>
        <v>1000000</v>
      </c>
      <c r="U131" s="28"/>
      <c r="V131" s="28" t="s">
        <v>275</v>
      </c>
    </row>
    <row r="132" spans="2:22" x14ac:dyDescent="0.25">
      <c r="B132" s="8">
        <v>46039</v>
      </c>
      <c r="C132" s="9" t="s">
        <v>93</v>
      </c>
      <c r="D132" s="10" t="s">
        <v>1</v>
      </c>
      <c r="E132" s="10" t="s">
        <v>2</v>
      </c>
      <c r="F132" s="11">
        <v>48.4</v>
      </c>
      <c r="G132" s="11">
        <v>20500</v>
      </c>
      <c r="H132" s="12">
        <f>[1]!РЕАЛИЗАЦИЯ[СОНИ]*[1]!РЕАЛИЗАЦИЯ[НАРХИ]</f>
        <v>752000</v>
      </c>
      <c r="I132" s="11"/>
      <c r="J132" s="13">
        <v>19000</v>
      </c>
      <c r="K132" s="11">
        <f>[1]!РЕАЛИЗАЦИЯ[[#This Row],[СОНИ]]*[1]!РЕАЛИЗАЦИЯ[[#This Row],[ТАННАРХ]]</f>
        <v>0</v>
      </c>
      <c r="L132" s="14">
        <f>[1]!РЕАЛИЗАЦИЯ[[#This Row],[ЖАМИ]]-[1]!РЕАЛИЗАЦИЯ[[#This Row],[ЖАМИ2]]</f>
        <v>752000</v>
      </c>
      <c r="O132" s="30">
        <v>46042</v>
      </c>
      <c r="P132" s="31" t="s">
        <v>26</v>
      </c>
      <c r="Q132" s="13">
        <v>2055200</v>
      </c>
      <c r="R132" s="13"/>
      <c r="S132" s="13"/>
      <c r="T132" s="32">
        <f>[1]!ПЛАТЕЖИ[[#This Row],[СЎМ]]+([1]!ПЛАТЕЖИ[[#This Row],[ВАЛЮТА]]*[1]!ПЛАТЕЖИ[[#This Row],[КУРС]])</f>
        <v>1163400</v>
      </c>
      <c r="U132" s="31"/>
      <c r="V132" s="31"/>
    </row>
    <row r="133" spans="2:22" x14ac:dyDescent="0.25">
      <c r="B133" s="1">
        <v>46039</v>
      </c>
      <c r="C133" s="2" t="s">
        <v>33</v>
      </c>
      <c r="D133" s="3" t="s">
        <v>1</v>
      </c>
      <c r="E133" s="3" t="s">
        <v>2</v>
      </c>
      <c r="F133" s="4">
        <v>754.3</v>
      </c>
      <c r="G133" s="4">
        <v>20500</v>
      </c>
      <c r="H133" s="5">
        <f>[1]!РЕАЛИЗАЦИЯ[СОНИ]*[1]!РЕАЛИЗАЦИЯ[НАРХИ]</f>
        <v>1020600</v>
      </c>
      <c r="I133" s="4"/>
      <c r="J133" s="6">
        <v>19000</v>
      </c>
      <c r="K133" s="4">
        <f>[1]!РЕАЛИЗАЦИЯ[[#This Row],[СОНИ]]*[1]!РЕАЛИЗАЦИЯ[[#This Row],[ТАННАРХ]]</f>
        <v>0</v>
      </c>
      <c r="L133" s="7">
        <f>[1]!РЕАЛИЗАЦИЯ[[#This Row],[ЖАМИ]]-[1]!РЕАЛИЗАЦИЯ[[#This Row],[ЖАМИ2]]</f>
        <v>1020600</v>
      </c>
      <c r="O133" s="27">
        <v>46042</v>
      </c>
      <c r="P133" s="28" t="s">
        <v>221</v>
      </c>
      <c r="Q133" s="6">
        <v>1000000</v>
      </c>
      <c r="R133" s="6"/>
      <c r="S133" s="6"/>
      <c r="T133" s="29">
        <f>[1]!ПЛАТЕЖИ[[#This Row],[СЎМ]]+([1]!ПЛАТЕЖИ[[#This Row],[ВАЛЮТА]]*[1]!ПЛАТЕЖИ[[#This Row],[КУРС]])</f>
        <v>1270000</v>
      </c>
      <c r="U133" s="28"/>
      <c r="V133" s="28" t="s">
        <v>275</v>
      </c>
    </row>
    <row r="134" spans="2:22" x14ac:dyDescent="0.25">
      <c r="B134" s="8">
        <v>46039</v>
      </c>
      <c r="C134" s="9" t="s">
        <v>33</v>
      </c>
      <c r="D134" s="10" t="s">
        <v>36</v>
      </c>
      <c r="E134" s="10" t="s">
        <v>2</v>
      </c>
      <c r="F134" s="11">
        <v>-518.5</v>
      </c>
      <c r="G134" s="11">
        <v>18000</v>
      </c>
      <c r="H134" s="12">
        <f>[1]!РЕАЛИЗАЦИЯ[СОНИ]*[1]!РЕАЛИЗАЦИЯ[НАРХИ]</f>
        <v>780800</v>
      </c>
      <c r="I134" s="11"/>
      <c r="J134" s="13">
        <v>16000</v>
      </c>
      <c r="K134" s="11">
        <f>[1]!РЕАЛИЗАЦИЯ[[#This Row],[СОНИ]]*[1]!РЕАЛИЗАЦИЯ[[#This Row],[ТАННАРХ]]</f>
        <v>0</v>
      </c>
      <c r="L134" s="14">
        <f>[1]!РЕАЛИЗАЦИЯ[[#This Row],[ЖАМИ]]-[1]!РЕАЛИЗАЦИЯ[[#This Row],[ЖАМИ2]]</f>
        <v>780800</v>
      </c>
      <c r="O134" s="30">
        <v>46042</v>
      </c>
      <c r="P134" s="31" t="s">
        <v>81</v>
      </c>
      <c r="Q134" s="13">
        <v>1000000</v>
      </c>
      <c r="R134" s="13"/>
      <c r="S134" s="13"/>
      <c r="T134" s="32">
        <f>[1]!ПЛАТЕЖИ[[#This Row],[СЎМ]]+([1]!ПЛАТЕЖИ[[#This Row],[ВАЛЮТА]]*[1]!ПЛАТЕЖИ[[#This Row],[КУРС]])</f>
        <v>910800</v>
      </c>
      <c r="U134" s="31"/>
      <c r="V134" s="31"/>
    </row>
    <row r="135" spans="2:22" x14ac:dyDescent="0.25">
      <c r="B135" s="1">
        <v>46039</v>
      </c>
      <c r="C135" s="2" t="s">
        <v>7</v>
      </c>
      <c r="D135" s="3" t="s">
        <v>8</v>
      </c>
      <c r="E135" s="3" t="s">
        <v>2</v>
      </c>
      <c r="F135" s="4">
        <v>231.4</v>
      </c>
      <c r="G135" s="4">
        <v>22000</v>
      </c>
      <c r="H135" s="5">
        <f>[1]!РЕАЛИЗАЦИЯ[СОНИ]*[1]!РЕАЛИЗАЦИЯ[НАРХИ]</f>
        <v>1115200</v>
      </c>
      <c r="I135" s="4"/>
      <c r="J135" s="6">
        <v>20000</v>
      </c>
      <c r="K135" s="4">
        <f>[1]!РЕАЛИЗАЦИЯ[[#This Row],[СОНИ]]*[1]!РЕАЛИЗАЦИЯ[[#This Row],[ТАННАРХ]]</f>
        <v>0</v>
      </c>
      <c r="L135" s="7">
        <f>[1]!РЕАЛИЗАЦИЯ[[#This Row],[ЖАМИ]]-[1]!РЕАЛИЗАЦИЯ[[#This Row],[ЖАМИ2]]</f>
        <v>1115200</v>
      </c>
      <c r="O135" s="27">
        <v>46045</v>
      </c>
      <c r="P135" s="28" t="s">
        <v>111</v>
      </c>
      <c r="Q135" s="6">
        <v>200000</v>
      </c>
      <c r="R135" s="6">
        <v>150</v>
      </c>
      <c r="S135" s="6">
        <v>12000</v>
      </c>
      <c r="T135" s="29">
        <f>[1]!ПЛАТЕЖИ[[#This Row],[СЎМ]]+([1]!ПЛАТЕЖИ[[#This Row],[ВАЛЮТА]]*[1]!ПЛАТЕЖИ[[#This Row],[КУРС]])</f>
        <v>3971100</v>
      </c>
      <c r="U135" s="28"/>
      <c r="V135" s="28"/>
    </row>
    <row r="136" spans="2:22" x14ac:dyDescent="0.25">
      <c r="B136" s="8">
        <v>46041</v>
      </c>
      <c r="C136" s="9" t="s">
        <v>94</v>
      </c>
      <c r="D136" s="10" t="s">
        <v>1</v>
      </c>
      <c r="E136" s="10" t="s">
        <v>2</v>
      </c>
      <c r="F136" s="11">
        <v>51.8</v>
      </c>
      <c r="G136" s="11">
        <v>21000</v>
      </c>
      <c r="H136" s="12">
        <f>[1]!РЕАЛИЗАЦИЯ[СОНИ]*[1]!РЕАЛИЗАЦИЯ[НАРХИ]</f>
        <v>785600</v>
      </c>
      <c r="I136" s="11"/>
      <c r="J136" s="13">
        <v>19000</v>
      </c>
      <c r="K136" s="11">
        <f>[1]!РЕАЛИЗАЦИЯ[[#This Row],[СОНИ]]*[1]!РЕАЛИЗАЦИЯ[[#This Row],[ТАННАРХ]]</f>
        <v>0</v>
      </c>
      <c r="L136" s="14">
        <f>[1]!РЕАЛИЗАЦИЯ[[#This Row],[ЖАМИ]]-[1]!РЕАЛИЗАЦИЯ[[#This Row],[ЖАМИ2]]</f>
        <v>785600</v>
      </c>
      <c r="O136" s="30">
        <v>46045</v>
      </c>
      <c r="P136" s="31" t="s">
        <v>110</v>
      </c>
      <c r="Q136" s="13">
        <v>500000</v>
      </c>
      <c r="R136" s="13"/>
      <c r="S136" s="13"/>
      <c r="T136" s="32">
        <f>[1]!ПЛАТЕЖИ[[#This Row],[СЎМ]]+([1]!ПЛАТЕЖИ[[#This Row],[ВАЛЮТА]]*[1]!ПЛАТЕЖИ[[#This Row],[КУРС]])</f>
        <v>4500200</v>
      </c>
      <c r="U136" s="31"/>
      <c r="V136" s="31"/>
    </row>
    <row r="137" spans="2:22" x14ac:dyDescent="0.25">
      <c r="B137" s="1">
        <v>46041</v>
      </c>
      <c r="C137" s="2" t="s">
        <v>95</v>
      </c>
      <c r="D137" s="3" t="s">
        <v>10</v>
      </c>
      <c r="E137" s="3" t="s">
        <v>2</v>
      </c>
      <c r="F137" s="4">
        <v>107</v>
      </c>
      <c r="G137" s="4">
        <v>14000</v>
      </c>
      <c r="H137" s="5">
        <f>[1]!РЕАЛИЗАЦИЯ[СОНИ]*[1]!РЕАЛИЗАЦИЯ[НАРХИ]</f>
        <v>10353000</v>
      </c>
      <c r="I137" s="4"/>
      <c r="J137" s="6">
        <v>13000</v>
      </c>
      <c r="K137" s="4">
        <f>[1]!РЕАЛИЗАЦИЯ[[#This Row],[СОНИ]]*[1]!РЕАЛИЗАЦИЯ[[#This Row],[ТАННАРХ]]</f>
        <v>4374882000</v>
      </c>
      <c r="L137" s="7">
        <f>[1]!РЕАЛИЗАЦИЯ[[#This Row],[ЖАМИ]]-[1]!РЕАЛИЗАЦИЯ[[#This Row],[ЖАМИ2]]</f>
        <v>10352507</v>
      </c>
      <c r="O137" s="27">
        <v>46045</v>
      </c>
      <c r="P137" s="28" t="s">
        <v>58</v>
      </c>
      <c r="Q137" s="6">
        <v>760000</v>
      </c>
      <c r="R137" s="6"/>
      <c r="S137" s="6"/>
      <c r="T137" s="29">
        <f>[1]!ПЛАТЕЖИ[[#This Row],[СЎМ]]+([1]!ПЛАТЕЖИ[[#This Row],[ВАЛЮТА]]*[1]!ПЛАТЕЖИ[[#This Row],[КУРС]])</f>
        <v>1054200</v>
      </c>
      <c r="U137" s="28"/>
      <c r="V137" s="28"/>
    </row>
    <row r="138" spans="2:22" x14ac:dyDescent="0.25">
      <c r="B138" s="8">
        <v>46041</v>
      </c>
      <c r="C138" s="9" t="s">
        <v>95</v>
      </c>
      <c r="D138" s="10" t="s">
        <v>10</v>
      </c>
      <c r="E138" s="10"/>
      <c r="F138" s="11">
        <v>-54.3</v>
      </c>
      <c r="G138" s="11">
        <v>14000</v>
      </c>
      <c r="H138" s="12">
        <f>[1]!РЕАЛИЗАЦИЯ[СОНИ]*[1]!РЕАЛИЗАЦИЯ[НАРХИ]</f>
        <v>1848600</v>
      </c>
      <c r="I138" s="11"/>
      <c r="J138" s="13">
        <v>13000</v>
      </c>
      <c r="K138" s="11">
        <f>[1]!РЕАЛИЗАЦИЯ[[#This Row],[СОНИ]]*[1]!РЕАЛИЗАЦИЯ[[#This Row],[ТАННАРХ]]</f>
        <v>0</v>
      </c>
      <c r="L138" s="14">
        <f>[1]!РЕАЛИЗАЦИЯ[[#This Row],[ЖАМИ]]-[1]!РЕАЛИЗАЦИЯ[[#This Row],[ЖАМИ2]]</f>
        <v>1848600</v>
      </c>
      <c r="O138" s="30">
        <v>46045</v>
      </c>
      <c r="P138" s="31" t="s">
        <v>144</v>
      </c>
      <c r="Q138" s="13">
        <v>335000</v>
      </c>
      <c r="R138" s="13"/>
      <c r="S138" s="13"/>
      <c r="T138" s="32">
        <f>[1]!ПЛАТЕЖИ[[#This Row],[СЎМ]]+([1]!ПЛАТЕЖИ[[#This Row],[ВАЛЮТА]]*[1]!ПЛАТЕЖИ[[#This Row],[КУРС]])</f>
        <v>1004700</v>
      </c>
      <c r="U138" s="31"/>
      <c r="V138" s="31"/>
    </row>
    <row r="139" spans="2:22" x14ac:dyDescent="0.25">
      <c r="B139" s="1">
        <v>46041</v>
      </c>
      <c r="C139" s="2" t="s">
        <v>14</v>
      </c>
      <c r="D139" s="3" t="s">
        <v>1</v>
      </c>
      <c r="E139" s="3" t="s">
        <v>2</v>
      </c>
      <c r="F139" s="4">
        <v>135.5</v>
      </c>
      <c r="G139" s="4">
        <v>20000</v>
      </c>
      <c r="H139" s="5">
        <f>[1]!РЕАЛИЗАЦИЯ[СОНИ]*[1]!РЕАЛИЗАЦИЯ[НАРХИ]</f>
        <v>4938450</v>
      </c>
      <c r="I139" s="4"/>
      <c r="J139" s="6">
        <v>19000</v>
      </c>
      <c r="K139" s="4">
        <f>[1]!РЕАЛИЗАЦИЯ[[#This Row],[СОНИ]]*[1]!РЕАЛИЗАЦИЯ[[#This Row],[ТАННАРХ]]</f>
        <v>0</v>
      </c>
      <c r="L139" s="7">
        <f>[1]!РЕАЛИЗАЦИЯ[[#This Row],[ЖАМИ]]-[1]!РЕАЛИЗАЦИЯ[[#This Row],[ЖАМИ2]]</f>
        <v>4938450</v>
      </c>
      <c r="O139" s="27">
        <v>46045</v>
      </c>
      <c r="P139" s="28" t="s">
        <v>0</v>
      </c>
      <c r="Q139" s="6">
        <v>790400</v>
      </c>
      <c r="R139" s="6"/>
      <c r="S139" s="6"/>
      <c r="T139" s="29">
        <f>[1]!ПЛАТЕЖИ[[#This Row],[СЎМ]]+([1]!ПЛАТЕЖИ[[#This Row],[ВАЛЮТА]]*[1]!ПЛАТЕЖИ[[#This Row],[КУРС]])</f>
        <v>7328000</v>
      </c>
      <c r="U139" s="28"/>
      <c r="V139" s="28"/>
    </row>
    <row r="140" spans="2:22" x14ac:dyDescent="0.25">
      <c r="B140" s="8">
        <v>46041</v>
      </c>
      <c r="C140" s="9" t="s">
        <v>96</v>
      </c>
      <c r="D140" s="10" t="s">
        <v>10</v>
      </c>
      <c r="E140" s="10" t="s">
        <v>2</v>
      </c>
      <c r="F140" s="11">
        <v>45.3</v>
      </c>
      <c r="G140" s="11">
        <v>16000</v>
      </c>
      <c r="H140" s="12">
        <f>[1]!РЕАЛИЗАЦИЯ[СОНИ]*[1]!РЕАЛИЗАЦИЯ[НАРХИ]</f>
        <v>48095300</v>
      </c>
      <c r="I140" s="11"/>
      <c r="J140" s="13">
        <v>13000</v>
      </c>
      <c r="K140" s="11">
        <f>[1]!РЕАЛИЗАЦИЯ[[#This Row],[СОНИ]]*[1]!РЕАЛИЗАЦИЯ[[#This Row],[ТАННАРХ]]</f>
        <v>87453984200</v>
      </c>
      <c r="L140" s="14">
        <f>[1]!РЕАЛИЗАЦИЯ[[#This Row],[ЖАМИ]]-[1]!РЕАЛИЗАЦИЯ[[#This Row],[ЖАМИ2]]</f>
        <v>48093208.899999999</v>
      </c>
      <c r="O140" s="30">
        <v>46045</v>
      </c>
      <c r="P140" s="31" t="s">
        <v>51</v>
      </c>
      <c r="Q140" s="13">
        <v>1789500</v>
      </c>
      <c r="R140" s="13"/>
      <c r="S140" s="13"/>
      <c r="T140" s="32">
        <f>[1]!ПЛАТЕЖИ[[#This Row],[СЎМ]]+([1]!ПЛАТЕЖИ[[#This Row],[ВАЛЮТА]]*[1]!ПЛАТЕЖИ[[#This Row],[КУРС]])</f>
        <v>1000000</v>
      </c>
      <c r="U140" s="31"/>
      <c r="V140" s="31" t="s">
        <v>275</v>
      </c>
    </row>
    <row r="141" spans="2:22" x14ac:dyDescent="0.25">
      <c r="B141" s="1">
        <v>46041</v>
      </c>
      <c r="C141" s="2" t="s">
        <v>86</v>
      </c>
      <c r="D141" s="3" t="s">
        <v>1</v>
      </c>
      <c r="E141" s="3" t="s">
        <v>2</v>
      </c>
      <c r="F141" s="4">
        <v>398.2</v>
      </c>
      <c r="G141" s="4">
        <v>20000</v>
      </c>
      <c r="H141" s="5">
        <f>[1]!РЕАЛИЗАЦИЯ[СОНИ]*[1]!РЕАЛИЗАЦИЯ[НАРХИ]</f>
        <v>852800</v>
      </c>
      <c r="I141" s="4" t="s">
        <v>97</v>
      </c>
      <c r="J141" s="6">
        <v>19000</v>
      </c>
      <c r="K141" s="4">
        <f>[1]!РЕАЛИЗАЦИЯ[[#This Row],[СОНИ]]*[1]!РЕАЛИЗАЦИЯ[[#This Row],[ТАННАРХ]]</f>
        <v>0</v>
      </c>
      <c r="L141" s="7">
        <f>[1]!РЕАЛИЗАЦИЯ[[#This Row],[ЖАМИ]]-[1]!РЕАЛИЗАЦИЯ[[#This Row],[ЖАМИ2]]</f>
        <v>852800</v>
      </c>
      <c r="O141" s="27">
        <v>46045</v>
      </c>
      <c r="P141" s="28" t="s">
        <v>51</v>
      </c>
      <c r="Q141" s="6">
        <v>1062600</v>
      </c>
      <c r="R141" s="6"/>
      <c r="S141" s="6"/>
      <c r="T141" s="29">
        <f>[1]!ПЛАТЕЖИ[[#This Row],[СЎМ]]+([1]!ПЛАТЕЖИ[[#This Row],[ВАЛЮТА]]*[1]!ПЛАТЕЖИ[[#This Row],[КУРС]])</f>
        <v>1859600</v>
      </c>
      <c r="U141" s="28"/>
      <c r="V141" s="28" t="s">
        <v>275</v>
      </c>
    </row>
    <row r="142" spans="2:22" x14ac:dyDescent="0.25">
      <c r="B142" s="8">
        <v>46041</v>
      </c>
      <c r="C142" s="9" t="s">
        <v>67</v>
      </c>
      <c r="D142" s="10" t="s">
        <v>29</v>
      </c>
      <c r="E142" s="10" t="s">
        <v>2</v>
      </c>
      <c r="F142" s="11">
        <v>631.20000000000005</v>
      </c>
      <c r="G142" s="11">
        <v>17500</v>
      </c>
      <c r="H142" s="12">
        <f>[1]!РЕАЛИЗАЦИЯ[СОНИ]*[1]!РЕАЛИЗАЦИЯ[НАРХИ]</f>
        <v>2068500</v>
      </c>
      <c r="I142" s="11"/>
      <c r="J142" s="13">
        <v>16000</v>
      </c>
      <c r="K142" s="11">
        <f>[1]!РЕАЛИЗАЦИЯ[[#This Row],[СОНИ]]*[1]!РЕАЛИЗАЦИЯ[[#This Row],[ТАННАРХ]]</f>
        <v>0</v>
      </c>
      <c r="L142" s="14">
        <f>[1]!РЕАЛИЗАЦИЯ[[#This Row],[ЖАМИ]]-[1]!РЕАЛИЗАЦИЯ[[#This Row],[ЖАМИ2]]</f>
        <v>2068500</v>
      </c>
      <c r="O142" s="30">
        <v>46045</v>
      </c>
      <c r="P142" s="31" t="s">
        <v>261</v>
      </c>
      <c r="Q142" s="13">
        <v>200000</v>
      </c>
      <c r="R142" s="13"/>
      <c r="S142" s="13"/>
      <c r="T142" s="32">
        <f>[1]!ПЛАТЕЖИ[[#This Row],[СЎМ]]+([1]!ПЛАТЕЖИ[[#This Row],[ВАЛЮТА]]*[1]!ПЛАТЕЖИ[[#This Row],[КУРС]])</f>
        <v>1281800</v>
      </c>
      <c r="U142" s="31"/>
      <c r="V142" s="31"/>
    </row>
    <row r="143" spans="2:22" x14ac:dyDescent="0.25">
      <c r="B143" s="1">
        <v>46042</v>
      </c>
      <c r="C143" s="2" t="s">
        <v>98</v>
      </c>
      <c r="D143" s="3" t="s">
        <v>1</v>
      </c>
      <c r="E143" s="3" t="s">
        <v>2</v>
      </c>
      <c r="F143" s="4">
        <v>188.1</v>
      </c>
      <c r="G143" s="4">
        <v>20000</v>
      </c>
      <c r="H143" s="5">
        <f>[1]!РЕАЛИЗАЦИЯ[СОНИ]*[1]!РЕАЛИЗАЦИЯ[НАРХИ]</f>
        <v>1898400.0000000002</v>
      </c>
      <c r="I143" s="4"/>
      <c r="J143" s="6">
        <v>19000</v>
      </c>
      <c r="K143" s="4">
        <f>[1]!РЕАЛИЗАЦИЯ[[#This Row],[СОНИ]]*[1]!РЕАЛИЗАЦИЯ[[#This Row],[ТАННАРХ]]</f>
        <v>0</v>
      </c>
      <c r="L143" s="7">
        <f>[1]!РЕАЛИЗАЦИЯ[[#This Row],[ЖАМИ]]-[1]!РЕАЛИЗАЦИЯ[[#This Row],[ЖАМИ2]]</f>
        <v>1898400.0000000002</v>
      </c>
      <c r="O143" s="27">
        <v>46045</v>
      </c>
      <c r="P143" s="28" t="s">
        <v>14</v>
      </c>
      <c r="Q143" s="6">
        <v>5785000</v>
      </c>
      <c r="R143" s="6"/>
      <c r="S143" s="6"/>
      <c r="T143" s="29">
        <f>[1]!ПЛАТЕЖИ[[#This Row],[СЎМ]]+([1]!ПЛАТЕЖИ[[#This Row],[ВАЛЮТА]]*[1]!ПЛАТЕЖИ[[#This Row],[КУРС]])</f>
        <v>1960000</v>
      </c>
      <c r="U143" s="28"/>
      <c r="V143" s="28" t="s">
        <v>275</v>
      </c>
    </row>
    <row r="144" spans="2:22" x14ac:dyDescent="0.25">
      <c r="B144" s="8">
        <v>46042</v>
      </c>
      <c r="C144" s="9" t="s">
        <v>99</v>
      </c>
      <c r="D144" s="10" t="s">
        <v>1</v>
      </c>
      <c r="E144" s="10" t="s">
        <v>2</v>
      </c>
      <c r="F144" s="11">
        <v>44.5</v>
      </c>
      <c r="G144" s="11">
        <v>21000</v>
      </c>
      <c r="H144" s="12">
        <f>[1]!РЕАЛИЗАЦИЯ[СОНИ]*[1]!РЕАЛИЗАЦИЯ[НАРХИ]</f>
        <v>959400</v>
      </c>
      <c r="I144" s="11"/>
      <c r="J144" s="13">
        <v>19000</v>
      </c>
      <c r="K144" s="11">
        <f>[1]!РЕАЛИЗАЦИЯ[[#This Row],[СОНИ]]*[1]!РЕАЛИЗАЦИЯ[[#This Row],[ТАННАРХ]]</f>
        <v>0</v>
      </c>
      <c r="L144" s="14">
        <f>[1]!РЕАЛИЗАЦИЯ[[#This Row],[ЖАМИ]]-[1]!РЕАЛИЗАЦИЯ[[#This Row],[ЖАМИ2]]</f>
        <v>959400</v>
      </c>
      <c r="O144" s="30">
        <v>46045</v>
      </c>
      <c r="P144" s="31" t="s">
        <v>294</v>
      </c>
      <c r="Q144" s="13">
        <v>1000000</v>
      </c>
      <c r="R144" s="13"/>
      <c r="S144" s="13"/>
      <c r="T144" s="32">
        <f>[1]!ПЛАТЕЖИ[[#This Row],[СЎМ]]+([1]!ПЛАТЕЖИ[[#This Row],[ВАЛЮТА]]*[1]!ПЛАТЕЖИ[[#This Row],[КУРС]])</f>
        <v>961800</v>
      </c>
      <c r="U144" s="31"/>
      <c r="V144" s="31"/>
    </row>
    <row r="145" spans="2:22" x14ac:dyDescent="0.25">
      <c r="B145" s="1">
        <v>46042</v>
      </c>
      <c r="C145" s="2" t="s">
        <v>62</v>
      </c>
      <c r="D145" s="3" t="s">
        <v>1</v>
      </c>
      <c r="E145" s="3" t="s">
        <v>2</v>
      </c>
      <c r="F145" s="4">
        <v>49</v>
      </c>
      <c r="G145" s="4">
        <v>21000</v>
      </c>
      <c r="H145" s="5">
        <f>[1]!РЕАЛИЗАЦИЯ[СОНИ]*[1]!РЕАЛИЗАЦИЯ[НАРХИ]</f>
        <v>3971100</v>
      </c>
      <c r="I145" s="4"/>
      <c r="J145" s="6">
        <v>19000</v>
      </c>
      <c r="K145" s="4">
        <f>[1]!РЕАЛИЗАЦИЯ[[#This Row],[СОНИ]]*[1]!РЕАЛИЗАЦИЯ[[#This Row],[ТАННАРХ]]</f>
        <v>0</v>
      </c>
      <c r="L145" s="7">
        <f>[1]!РЕАЛИЗАЦИЯ[[#This Row],[ЖАМИ]]-[1]!РЕАЛИЗАЦИЯ[[#This Row],[ЖАМИ2]]</f>
        <v>3971100</v>
      </c>
      <c r="O145" s="27">
        <v>46045</v>
      </c>
      <c r="P145" s="28" t="s">
        <v>4</v>
      </c>
      <c r="Q145" s="6">
        <v>394600</v>
      </c>
      <c r="R145" s="6"/>
      <c r="S145" s="6"/>
      <c r="T145" s="29">
        <f>[1]!ПЛАТЕЖИ[[#This Row],[СЎМ]]+([1]!ПЛАТЕЖИ[[#This Row],[ВАЛЮТА]]*[1]!ПЛАТЕЖИ[[#This Row],[КУРС]])</f>
        <v>1986000</v>
      </c>
      <c r="U145" s="28"/>
      <c r="V145" s="28"/>
    </row>
    <row r="146" spans="2:22" x14ac:dyDescent="0.25">
      <c r="B146" s="8">
        <v>46042</v>
      </c>
      <c r="C146" s="9" t="s">
        <v>100</v>
      </c>
      <c r="D146" s="10" t="s">
        <v>1</v>
      </c>
      <c r="E146" s="10" t="s">
        <v>2</v>
      </c>
      <c r="F146" s="11">
        <v>85.3</v>
      </c>
      <c r="G146" s="11">
        <v>21000</v>
      </c>
      <c r="H146" s="12">
        <f>[1]!РЕАЛИЗАЦИЯ[СОНИ]*[1]!РЕАЛИЗАЦИЯ[НАРХИ]</f>
        <v>910800</v>
      </c>
      <c r="I146" s="11"/>
      <c r="J146" s="13">
        <v>19000</v>
      </c>
      <c r="K146" s="11">
        <f>[1]!РЕАЛИЗАЦИЯ[[#This Row],[СОНИ]]*[1]!РЕАЛИЗАЦИЯ[[#This Row],[ТАННАРХ]]</f>
        <v>0</v>
      </c>
      <c r="L146" s="14">
        <f>[1]!РЕАЛИЗАЦИЯ[[#This Row],[ЖАМИ]]-[1]!РЕАЛИЗАЦИЯ[[#This Row],[ЖАМИ2]]</f>
        <v>910800</v>
      </c>
      <c r="O146" s="30">
        <v>46045</v>
      </c>
      <c r="P146" s="31" t="s">
        <v>115</v>
      </c>
      <c r="Q146" s="13">
        <v>4500000</v>
      </c>
      <c r="R146" s="13"/>
      <c r="S146" s="13"/>
      <c r="T146" s="32">
        <f>[1]!ПЛАТЕЖИ[[#This Row],[СЎМ]]+([1]!ПЛАТЕЖИ[[#This Row],[ВАЛЮТА]]*[1]!ПЛАТЕЖИ[[#This Row],[КУРС]])</f>
        <v>2000000</v>
      </c>
      <c r="U146" s="31"/>
      <c r="V146" s="31" t="s">
        <v>279</v>
      </c>
    </row>
    <row r="147" spans="2:22" x14ac:dyDescent="0.25">
      <c r="B147" s="1">
        <v>46042</v>
      </c>
      <c r="C147" s="2" t="s">
        <v>33</v>
      </c>
      <c r="D147" s="3" t="s">
        <v>10</v>
      </c>
      <c r="E147" s="3" t="s">
        <v>2</v>
      </c>
      <c r="F147" s="4">
        <v>198</v>
      </c>
      <c r="G147" s="4">
        <v>14500</v>
      </c>
      <c r="H147" s="5">
        <f>[1]!РЕАЛИЗАЦИЯ[СОНИ]*[1]!РЕАЛИЗАЦИЯ[НАРХИ]</f>
        <v>888000</v>
      </c>
      <c r="I147" s="4"/>
      <c r="J147" s="6">
        <v>13000</v>
      </c>
      <c r="K147" s="4">
        <f>[1]!РЕАЛИЗАЦИЯ[[#This Row],[СОНИ]]*[1]!РЕАЛИЗАЦИЯ[[#This Row],[ТАННАРХ]]</f>
        <v>0</v>
      </c>
      <c r="L147" s="7">
        <f>[1]!РЕАЛИЗАЦИЯ[[#This Row],[ЖАМИ]]-[1]!РЕАЛИЗАЦИЯ[[#This Row],[ЖАМИ2]]</f>
        <v>888000</v>
      </c>
      <c r="O147" s="27">
        <v>46045</v>
      </c>
      <c r="P147" s="28" t="s">
        <v>101</v>
      </c>
      <c r="Q147" s="6">
        <v>1664400</v>
      </c>
      <c r="R147" s="6"/>
      <c r="S147" s="6"/>
      <c r="T147" s="29">
        <f>[1]!ПЛАТЕЖИ[[#This Row],[СЎМ]]+([1]!ПЛАТЕЖИ[[#This Row],[ВАЛЮТА]]*[1]!ПЛАТЕЖИ[[#This Row],[КУРС]])</f>
        <v>970200</v>
      </c>
      <c r="U147" s="28"/>
      <c r="V147" s="28"/>
    </row>
    <row r="148" spans="2:22" x14ac:dyDescent="0.25">
      <c r="B148" s="8">
        <v>46042</v>
      </c>
      <c r="C148" s="9" t="s">
        <v>33</v>
      </c>
      <c r="D148" s="10" t="s">
        <v>1</v>
      </c>
      <c r="E148" s="10" t="s">
        <v>2</v>
      </c>
      <c r="F148" s="11">
        <v>88.6</v>
      </c>
      <c r="G148" s="11">
        <v>20500</v>
      </c>
      <c r="H148" s="12">
        <f>[1]!РЕАЛИЗАЦИЯ[СОНИ]*[1]!РЕАЛИЗАЦИЯ[НАРХИ]</f>
        <v>780000</v>
      </c>
      <c r="I148" s="11"/>
      <c r="J148" s="13">
        <v>19000</v>
      </c>
      <c r="K148" s="11">
        <f>[1]!РЕАЛИЗАЦИЯ[[#This Row],[СОНИ]]*[1]!РЕАЛИЗАЦИЯ[[#This Row],[ТАННАРХ]]</f>
        <v>0</v>
      </c>
      <c r="L148" s="14">
        <f>[1]!РЕАЛИЗАЦИЯ[[#This Row],[ЖАМИ]]-[1]!РЕАЛИЗАЦИЯ[[#This Row],[ЖАМИ2]]</f>
        <v>780000</v>
      </c>
      <c r="O148" s="30">
        <v>46046</v>
      </c>
      <c r="P148" s="31" t="s">
        <v>105</v>
      </c>
      <c r="Q148" s="13">
        <v>10430400</v>
      </c>
      <c r="R148" s="13"/>
      <c r="S148" s="13"/>
      <c r="T148" s="32">
        <f>[1]!ПЛАТЕЖИ[[#This Row],[СЎМ]]+([1]!ПЛАТЕЖИ[[#This Row],[ВАЛЮТА]]*[1]!ПЛАТЕЖИ[[#This Row],[КУРС]])</f>
        <v>998800</v>
      </c>
      <c r="U148" s="31"/>
      <c r="V148" s="31"/>
    </row>
    <row r="149" spans="2:22" x14ac:dyDescent="0.25">
      <c r="B149" s="1">
        <v>46042</v>
      </c>
      <c r="C149" s="2" t="s">
        <v>9</v>
      </c>
      <c r="D149" s="3" t="s">
        <v>10</v>
      </c>
      <c r="E149" s="3" t="s">
        <v>2</v>
      </c>
      <c r="F149" s="4">
        <v>207.6</v>
      </c>
      <c r="G149" s="4">
        <v>18500</v>
      </c>
      <c r="H149" s="5">
        <f>[1]!РЕАЛИЗАЦИЯ[СОНИ]*[1]!РЕАЛИЗАЦИЯ[НАРХИ]</f>
        <v>918000</v>
      </c>
      <c r="I149" s="4"/>
      <c r="J149" s="6">
        <v>13000</v>
      </c>
      <c r="K149" s="4">
        <f>[1]!РЕАЛИЗАЦИЯ[[#This Row],[СОНИ]]*[1]!РЕАЛИЗАЦИЯ[[#This Row],[ТАННАРХ]]</f>
        <v>0</v>
      </c>
      <c r="L149" s="7">
        <f>[1]!РЕАЛИЗАЦИЯ[[#This Row],[ЖАМИ]]-[1]!РЕАЛИЗАЦИЯ[[#This Row],[ЖАМИ2]]</f>
        <v>918000</v>
      </c>
      <c r="O149" s="27">
        <v>46046</v>
      </c>
      <c r="P149" s="28" t="s">
        <v>74</v>
      </c>
      <c r="Q149" s="6">
        <v>2000300</v>
      </c>
      <c r="R149" s="6"/>
      <c r="S149" s="6"/>
      <c r="T149" s="29">
        <f>[1]!ПЛАТЕЖИ[[#This Row],[СЎМ]]+([1]!ПЛАТЕЖИ[[#This Row],[ВАЛЮТА]]*[1]!ПЛАТЕЖИ[[#This Row],[КУРС]])</f>
        <v>2022300</v>
      </c>
      <c r="U149" s="28"/>
      <c r="V149" s="28"/>
    </row>
    <row r="150" spans="2:22" x14ac:dyDescent="0.25">
      <c r="B150" s="8">
        <v>46042</v>
      </c>
      <c r="C150" s="9" t="s">
        <v>101</v>
      </c>
      <c r="D150" s="10" t="s">
        <v>1</v>
      </c>
      <c r="E150" s="10" t="s">
        <v>2</v>
      </c>
      <c r="F150" s="11">
        <v>45.2</v>
      </c>
      <c r="G150" s="11">
        <v>21000</v>
      </c>
      <c r="H150" s="12">
        <f>[1]!РЕАЛИЗАЦИЯ[СОНИ]*[1]!РЕАЛИЗАЦИЯ[НАРХИ]</f>
        <v>724500</v>
      </c>
      <c r="I150" s="11"/>
      <c r="J150" s="13">
        <v>19000</v>
      </c>
      <c r="K150" s="11">
        <f>[1]!РЕАЛИЗАЦИЯ[[#This Row],[СОНИ]]*[1]!РЕАЛИЗАЦИЯ[[#This Row],[ТАННАРХ]]</f>
        <v>0</v>
      </c>
      <c r="L150" s="14">
        <f>[1]!РЕАЛИЗАЦИЯ[[#This Row],[ЖАМИ]]-[1]!РЕАЛИЗАЦИЯ[[#This Row],[ЖАМИ2]]</f>
        <v>724500</v>
      </c>
      <c r="O150" s="30">
        <v>46046</v>
      </c>
      <c r="P150" s="31" t="s">
        <v>33</v>
      </c>
      <c r="Q150" s="13">
        <v>25000000</v>
      </c>
      <c r="R150" s="13"/>
      <c r="S150" s="13"/>
      <c r="T150" s="32">
        <f>[1]!ПЛАТЕЖИ[[#This Row],[СЎМ]]+([1]!ПЛАТЕЖИ[[#This Row],[ВАЛЮТА]]*[1]!ПЛАТЕЖИ[[#This Row],[КУРС]])</f>
        <v>8204000</v>
      </c>
      <c r="U150" s="31"/>
      <c r="V150" s="31" t="s">
        <v>279</v>
      </c>
    </row>
    <row r="151" spans="2:22" x14ac:dyDescent="0.25">
      <c r="B151" s="1">
        <v>46042</v>
      </c>
      <c r="C151" s="2" t="s">
        <v>101</v>
      </c>
      <c r="D151" s="3" t="s">
        <v>10</v>
      </c>
      <c r="E151" s="3" t="s">
        <v>2</v>
      </c>
      <c r="F151" s="4">
        <v>44.7</v>
      </c>
      <c r="G151" s="4">
        <v>16000</v>
      </c>
      <c r="H151" s="5">
        <f>[1]!РЕАЛИЗАЦИЯ[СОНИ]*[1]!РЕАЛИЗАЦИЯ[НАРХИ]</f>
        <v>1163400</v>
      </c>
      <c r="I151" s="4"/>
      <c r="J151" s="6">
        <v>13000</v>
      </c>
      <c r="K151" s="4">
        <f>[1]!РЕАЛИЗАЦИЯ[[#This Row],[СОНИ]]*[1]!РЕАЛИЗАЦИЯ[[#This Row],[ТАННАРХ]]</f>
        <v>0</v>
      </c>
      <c r="L151" s="7">
        <f>[1]!РЕАЛИЗАЦИЯ[[#This Row],[ЖАМИ]]-[1]!РЕАЛИЗАЦИЯ[[#This Row],[ЖАМИ2]]</f>
        <v>1163400</v>
      </c>
      <c r="O151" s="27">
        <v>46046</v>
      </c>
      <c r="P151" s="28" t="s">
        <v>125</v>
      </c>
      <c r="Q151" s="6">
        <v>666100</v>
      </c>
      <c r="R151" s="6"/>
      <c r="S151" s="6"/>
      <c r="T151" s="29">
        <f>[1]!ПЛАТЕЖИ[[#This Row],[СЎМ]]+([1]!ПЛАТЕЖИ[[#This Row],[ВАЛЮТА]]*[1]!ПЛАТЕЖИ[[#This Row],[КУРС]])</f>
        <v>1911000</v>
      </c>
      <c r="U151" s="28"/>
      <c r="V151" s="28"/>
    </row>
    <row r="152" spans="2:22" x14ac:dyDescent="0.25">
      <c r="B152" s="8">
        <v>46042</v>
      </c>
      <c r="C152" s="9" t="s">
        <v>19</v>
      </c>
      <c r="D152" s="10" t="s">
        <v>1</v>
      </c>
      <c r="E152" s="10" t="s">
        <v>2</v>
      </c>
      <c r="F152" s="11">
        <v>51.9</v>
      </c>
      <c r="G152" s="11">
        <v>21000</v>
      </c>
      <c r="H152" s="12">
        <f>[1]!РЕАЛИЗАЦИЯ[СОНИ]*[1]!РЕАЛИЗАЦИЯ[НАРХИ]</f>
        <v>706500</v>
      </c>
      <c r="I152" s="11"/>
      <c r="J152" s="13">
        <v>19000</v>
      </c>
      <c r="K152" s="11">
        <f>[1]!РЕАЛИЗАЦИЯ[[#This Row],[СОНИ]]*[1]!РЕАЛИЗАЦИЯ[[#This Row],[ТАННАРХ]]</f>
        <v>0</v>
      </c>
      <c r="L152" s="14">
        <f>[1]!РЕАЛИЗАЦИЯ[[#This Row],[ЖАМИ]]-[1]!РЕАЛИЗАЦИЯ[[#This Row],[ЖАМИ2]]</f>
        <v>706500</v>
      </c>
      <c r="O152" s="30">
        <v>46046</v>
      </c>
      <c r="P152" s="31" t="s">
        <v>77</v>
      </c>
      <c r="Q152" s="13">
        <v>1004000</v>
      </c>
      <c r="R152" s="13"/>
      <c r="S152" s="13"/>
      <c r="T152" s="32">
        <f>[1]!ПЛАТЕЖИ[[#This Row],[СЎМ]]+([1]!ПЛАТЕЖИ[[#This Row],[ВАЛЮТА]]*[1]!ПЛАТЕЖИ[[#This Row],[КУРС]])</f>
        <v>1999600</v>
      </c>
      <c r="U152" s="31"/>
      <c r="V152" s="31"/>
    </row>
    <row r="153" spans="2:22" x14ac:dyDescent="0.25">
      <c r="B153" s="1">
        <v>46042</v>
      </c>
      <c r="C153" s="2" t="s">
        <v>102</v>
      </c>
      <c r="D153" s="3" t="s">
        <v>1</v>
      </c>
      <c r="E153" s="3" t="s">
        <v>2</v>
      </c>
      <c r="F153" s="4">
        <v>157.80000000000001</v>
      </c>
      <c r="G153" s="4">
        <v>21000</v>
      </c>
      <c r="H153" s="5">
        <f>[1]!РЕАЛИЗАЦИЯ[СОНИ]*[1]!РЕАЛИЗАЦИЯ[НАРХИ]</f>
        <v>930000</v>
      </c>
      <c r="I153" s="4"/>
      <c r="J153" s="6">
        <v>19000</v>
      </c>
      <c r="K153" s="4">
        <f>[1]!РЕАЛИЗАЦИЯ[[#This Row],[СОНИ]]*[1]!РЕАЛИЗАЦИЯ[[#This Row],[ТАННАРХ]]</f>
        <v>0</v>
      </c>
      <c r="L153" s="7">
        <f>[1]!РЕАЛИЗАЦИЯ[[#This Row],[ЖАМИ]]-[1]!РЕАЛИЗАЦИЯ[[#This Row],[ЖАМИ2]]</f>
        <v>930000</v>
      </c>
      <c r="O153" s="27">
        <v>46046</v>
      </c>
      <c r="P153" s="28" t="s">
        <v>114</v>
      </c>
      <c r="Q153" s="6">
        <v>3450300</v>
      </c>
      <c r="R153" s="6"/>
      <c r="S153" s="6"/>
      <c r="T153" s="29">
        <f>[1]!ПЛАТЕЖИ[[#This Row],[СЎМ]]+([1]!ПЛАТЕЖИ[[#This Row],[ВАЛЮТА]]*[1]!ПЛАТЕЖИ[[#This Row],[КУРС]])</f>
        <v>1178100</v>
      </c>
      <c r="U153" s="28"/>
      <c r="V153" s="28"/>
    </row>
    <row r="154" spans="2:22" x14ac:dyDescent="0.25">
      <c r="B154" s="8">
        <v>46042</v>
      </c>
      <c r="C154" s="9" t="s">
        <v>102</v>
      </c>
      <c r="D154" s="10" t="s">
        <v>10</v>
      </c>
      <c r="E154" s="10" t="s">
        <v>2</v>
      </c>
      <c r="F154" s="11">
        <v>105</v>
      </c>
      <c r="G154" s="11">
        <v>16000</v>
      </c>
      <c r="H154" s="12">
        <f>[1]!РЕАЛИЗАЦИЯ[СОНИ]*[1]!РЕАЛИЗАЦИЯ[НАРХИ]</f>
        <v>7328000</v>
      </c>
      <c r="I154" s="11"/>
      <c r="J154" s="13">
        <v>13000</v>
      </c>
      <c r="K154" s="11">
        <f>[1]!РЕАЛИЗАЦИЯ[[#This Row],[СОНИ]]*[1]!РЕАЛИЗАЦИЯ[[#This Row],[ТАННАРХ]]</f>
        <v>0</v>
      </c>
      <c r="L154" s="14">
        <f>[1]!РЕАЛИЗАЦИЯ[[#This Row],[ЖАМИ]]-[1]!РЕАЛИЗАЦИЯ[[#This Row],[ЖАМИ2]]</f>
        <v>7328000</v>
      </c>
      <c r="O154" s="30">
        <v>46046</v>
      </c>
      <c r="P154" s="31" t="s">
        <v>49</v>
      </c>
      <c r="Q154" s="13">
        <v>1145000</v>
      </c>
      <c r="R154" s="13"/>
      <c r="S154" s="13"/>
      <c r="T154" s="32">
        <f>[1]!ПЛАТЕЖИ[[#This Row],[СЎМ]]+([1]!ПЛАТЕЖИ[[#This Row],[ВАЛЮТА]]*[1]!ПЛАТЕЖИ[[#This Row],[КУРС]])</f>
        <v>1000000</v>
      </c>
      <c r="U154" s="31"/>
      <c r="V154" s="31"/>
    </row>
    <row r="155" spans="2:22" x14ac:dyDescent="0.25">
      <c r="B155" s="1">
        <v>46042</v>
      </c>
      <c r="C155" s="2" t="s">
        <v>103</v>
      </c>
      <c r="D155" s="3" t="s">
        <v>1</v>
      </c>
      <c r="E155" s="3" t="s">
        <v>2</v>
      </c>
      <c r="F155" s="4">
        <v>49.8</v>
      </c>
      <c r="G155" s="4">
        <v>21000</v>
      </c>
      <c r="H155" s="5">
        <f>[1]!РЕАЛИЗАЦИЯ[СОНИ]*[1]!РЕАЛИЗАЦИЯ[НАРХИ]</f>
        <v>1178100</v>
      </c>
      <c r="I155" s="4"/>
      <c r="J155" s="6">
        <v>19000</v>
      </c>
      <c r="K155" s="4">
        <f>[1]!РЕАЛИЗАЦИЯ[[#This Row],[СОНИ]]*[1]!РЕАЛИЗАЦИЯ[[#This Row],[ТАННАРХ]]</f>
        <v>0</v>
      </c>
      <c r="L155" s="7">
        <f>[1]!РЕАЛИЗАЦИЯ[[#This Row],[ЖАМИ]]-[1]!РЕАЛИЗАЦИЯ[[#This Row],[ЖАМИ2]]</f>
        <v>1178100</v>
      </c>
      <c r="O155" s="27">
        <v>46046</v>
      </c>
      <c r="P155" s="28" t="s">
        <v>76</v>
      </c>
      <c r="Q155" s="6">
        <v>2000000</v>
      </c>
      <c r="R155" s="6"/>
      <c r="S155" s="6"/>
      <c r="T155" s="29">
        <f>[1]!ПЛАТЕЖИ[[#This Row],[СЎМ]]+([1]!ПЛАТЕЖИ[[#This Row],[ВАЛЮТА]]*[1]!ПЛАТЕЖИ[[#This Row],[КУРС]])</f>
        <v>2000000</v>
      </c>
      <c r="U155" s="28"/>
      <c r="V155" s="28" t="s">
        <v>275</v>
      </c>
    </row>
    <row r="156" spans="2:22" x14ac:dyDescent="0.25">
      <c r="B156" s="8">
        <v>46042</v>
      </c>
      <c r="C156" s="9" t="s">
        <v>7</v>
      </c>
      <c r="D156" s="10" t="s">
        <v>8</v>
      </c>
      <c r="E156" s="10" t="s">
        <v>2</v>
      </c>
      <c r="F156" s="11">
        <v>301.3</v>
      </c>
      <c r="G156" s="11">
        <v>22000</v>
      </c>
      <c r="H156" s="12">
        <f>[1]!РЕАЛИЗАЦИЯ[СОНИ]*[1]!РЕАЛИЗАЦИЯ[НАРХИ]</f>
        <v>1094350</v>
      </c>
      <c r="I156" s="11"/>
      <c r="J156" s="13">
        <v>20000</v>
      </c>
      <c r="K156" s="11">
        <f>[1]!РЕАЛИЗАЦИЯ[[#This Row],[СОНИ]]*[1]!РЕАЛИЗАЦИЯ[[#This Row],[ТАННАРХ]]</f>
        <v>0</v>
      </c>
      <c r="L156" s="14">
        <f>[1]!РЕАЛИЗАЦИЯ[[#This Row],[ЖАМИ]]-[1]!РЕАЛИЗАЦИЯ[[#This Row],[ЖАМИ2]]</f>
        <v>1094350</v>
      </c>
      <c r="O156" s="30">
        <v>46047</v>
      </c>
      <c r="P156" s="31" t="s">
        <v>56</v>
      </c>
      <c r="Q156" s="13">
        <v>843200</v>
      </c>
      <c r="R156" s="13"/>
      <c r="S156" s="13"/>
      <c r="T156" s="32">
        <f>[1]!ПЛАТЕЖИ[[#This Row],[СЎМ]]+([1]!ПЛАТЕЖИ[[#This Row],[ВАЛЮТА]]*[1]!ПЛАТЕЖИ[[#This Row],[КУРС]])</f>
        <v>1928400</v>
      </c>
      <c r="U156" s="31"/>
      <c r="V156" s="31"/>
    </row>
    <row r="157" spans="2:22" x14ac:dyDescent="0.25">
      <c r="B157" s="1">
        <v>46042</v>
      </c>
      <c r="C157" s="2" t="s">
        <v>96</v>
      </c>
      <c r="D157" s="3" t="s">
        <v>1</v>
      </c>
      <c r="E157" s="3" t="s">
        <v>2</v>
      </c>
      <c r="F157" s="4">
        <v>45.6</v>
      </c>
      <c r="G157" s="4">
        <v>21000</v>
      </c>
      <c r="H157" s="5">
        <f>[1]!РЕАЛИЗАЦИЯ[СОНИ]*[1]!РЕАЛИЗАЦИЯ[НАРХИ]</f>
        <v>963600</v>
      </c>
      <c r="I157" s="4"/>
      <c r="J157" s="6">
        <v>19000</v>
      </c>
      <c r="K157" s="4">
        <f>[1]!РЕАЛИЗАЦИЯ[[#This Row],[СОНИ]]*[1]!РЕАЛИЗАЦИЯ[[#This Row],[ТАННАРХ]]</f>
        <v>0</v>
      </c>
      <c r="L157" s="7">
        <f>[1]!РЕАЛИЗАЦИЯ[[#This Row],[ЖАМИ]]-[1]!РЕАЛИЗАЦИЯ[[#This Row],[ЖАМИ2]]</f>
        <v>963600</v>
      </c>
      <c r="O157" s="27">
        <v>46047</v>
      </c>
      <c r="P157" s="28" t="s">
        <v>47</v>
      </c>
      <c r="Q157" s="6">
        <v>1395000</v>
      </c>
      <c r="R157" s="6"/>
      <c r="S157" s="6"/>
      <c r="T157" s="29">
        <f>[1]!ПЛАТЕЖИ[[#This Row],[СЎМ]]+([1]!ПЛАТЕЖИ[[#This Row],[ВАЛЮТА]]*[1]!ПЛАТЕЖИ[[#This Row],[КУРС]])</f>
        <v>500000000</v>
      </c>
      <c r="U157" s="28"/>
      <c r="V157" s="28"/>
    </row>
    <row r="158" spans="2:22" x14ac:dyDescent="0.25">
      <c r="B158" s="8">
        <v>46043</v>
      </c>
      <c r="C158" s="9" t="s">
        <v>86</v>
      </c>
      <c r="D158" s="10" t="s">
        <v>1</v>
      </c>
      <c r="E158" s="10" t="s">
        <v>2</v>
      </c>
      <c r="F158" s="11">
        <v>58</v>
      </c>
      <c r="G158" s="11">
        <v>20000</v>
      </c>
      <c r="H158" s="12">
        <f>[1]!РЕАЛИЗАЦИЯ[СОНИ]*[1]!РЕАЛИЗАЦИЯ[НАРХИ]</f>
        <v>2125200</v>
      </c>
      <c r="I158" s="11" t="s">
        <v>97</v>
      </c>
      <c r="J158" s="13">
        <v>19000</v>
      </c>
      <c r="K158" s="11">
        <f>[1]!РЕАЛИЗАЦИЯ[[#This Row],[СОНИ]]*[1]!РЕАЛИЗАЦИЯ[[#This Row],[ТАННАРХ]]</f>
        <v>0</v>
      </c>
      <c r="L158" s="14">
        <f>[1]!РЕАЛИЗАЦИЯ[[#This Row],[ЖАМИ]]-[1]!РЕАЛИЗАЦИЯ[[#This Row],[ЖАМИ2]]</f>
        <v>2125200</v>
      </c>
      <c r="O158" s="30">
        <v>46047</v>
      </c>
      <c r="P158" s="31" t="s">
        <v>19</v>
      </c>
      <c r="Q158" s="13">
        <v>1649200</v>
      </c>
      <c r="R158" s="13"/>
      <c r="S158" s="13"/>
      <c r="T158" s="32">
        <f>[1]!ПЛАТЕЖИ[[#This Row],[СЎМ]]+([1]!ПЛАТЕЖИ[[#This Row],[ВАЛЮТА]]*[1]!ПЛАТЕЖИ[[#This Row],[КУРС]])</f>
        <v>2194500</v>
      </c>
      <c r="U158" s="31"/>
      <c r="V158" s="31"/>
    </row>
    <row r="159" spans="2:22" x14ac:dyDescent="0.25">
      <c r="B159" s="1">
        <v>46043</v>
      </c>
      <c r="C159" s="2" t="s">
        <v>104</v>
      </c>
      <c r="D159" s="3" t="s">
        <v>1</v>
      </c>
      <c r="E159" s="3" t="s">
        <v>2</v>
      </c>
      <c r="F159" s="4">
        <v>495.5</v>
      </c>
      <c r="G159" s="4">
        <v>20500</v>
      </c>
      <c r="H159" s="5">
        <f>[1]!РЕАЛИЗАЦИЯ[СОНИ]*[1]!РЕАЛИЗАЦИЯ[НАРХИ]</f>
        <v>1003799.9999999999</v>
      </c>
      <c r="I159" s="4"/>
      <c r="J159" s="6">
        <v>19000</v>
      </c>
      <c r="K159" s="4">
        <f>[1]!РЕАЛИЗАЦИЯ[[#This Row],[СОНИ]]*[1]!РЕАЛИЗАЦИЯ[[#This Row],[ТАННАРХ]]</f>
        <v>0</v>
      </c>
      <c r="L159" s="7">
        <f>[1]!РЕАЛИЗАЦИЯ[[#This Row],[ЖАМИ]]-[1]!РЕАЛИЗАЦИЯ[[#This Row],[ЖАМИ2]]</f>
        <v>1003799.9999999999</v>
      </c>
      <c r="O159" s="27">
        <v>46047</v>
      </c>
      <c r="P159" s="28" t="s">
        <v>121</v>
      </c>
      <c r="Q159" s="6">
        <v>700000</v>
      </c>
      <c r="R159" s="6"/>
      <c r="S159" s="6"/>
      <c r="T159" s="29">
        <f>[1]!ПЛАТЕЖИ[[#This Row],[СЎМ]]+([1]!ПЛАТЕЖИ[[#This Row],[ВАЛЮТА]]*[1]!ПЛАТЕЖИ[[#This Row],[КУРС]])</f>
        <v>4403650</v>
      </c>
      <c r="U159" s="28"/>
      <c r="V159" s="28"/>
    </row>
    <row r="160" spans="2:22" x14ac:dyDescent="0.25">
      <c r="B160" s="8">
        <v>46043</v>
      </c>
      <c r="C160" s="9" t="s">
        <v>104</v>
      </c>
      <c r="D160" s="10" t="s">
        <v>1</v>
      </c>
      <c r="E160" s="10" t="s">
        <v>2</v>
      </c>
      <c r="F160" s="11">
        <v>303.3</v>
      </c>
      <c r="G160" s="11">
        <v>20500</v>
      </c>
      <c r="H160" s="12">
        <f>[1]!РЕАЛИЗАЦИЯ[СОНИ]*[1]!РЕАЛИЗАЦИЯ[НАРХИ]</f>
        <v>1911000</v>
      </c>
      <c r="I160" s="11"/>
      <c r="J160" s="13">
        <v>19000</v>
      </c>
      <c r="K160" s="11">
        <f>[1]!РЕАЛИЗАЦИЯ[[#This Row],[СОНИ]]*[1]!РЕАЛИЗАЦИЯ[[#This Row],[ТАННАРХ]]</f>
        <v>0</v>
      </c>
      <c r="L160" s="14">
        <f>[1]!РЕАЛИЗАЦИЯ[[#This Row],[ЖАМИ]]-[1]!РЕАЛИЗАЦИЯ[[#This Row],[ЖАМИ2]]</f>
        <v>1911000</v>
      </c>
      <c r="O160" s="30">
        <v>46048</v>
      </c>
      <c r="P160" s="31" t="s">
        <v>43</v>
      </c>
      <c r="Q160" s="13">
        <v>1946700</v>
      </c>
      <c r="R160" s="13"/>
      <c r="S160" s="13"/>
      <c r="T160" s="32">
        <f>[1]!ПЛАТЕЖИ[[#This Row],[СЎМ]]+([1]!ПЛАТЕЖИ[[#This Row],[ВАЛЮТА]]*[1]!ПЛАТЕЖИ[[#This Row],[КУРС]])</f>
        <v>869400</v>
      </c>
      <c r="U160" s="31"/>
      <c r="V160" s="31" t="s">
        <v>279</v>
      </c>
    </row>
    <row r="161" spans="2:22" x14ac:dyDescent="0.25">
      <c r="B161" s="1">
        <v>46043</v>
      </c>
      <c r="C161" s="2" t="s">
        <v>15</v>
      </c>
      <c r="D161" s="3" t="s">
        <v>16</v>
      </c>
      <c r="E161" s="3" t="s">
        <v>2</v>
      </c>
      <c r="F161" s="4">
        <v>157</v>
      </c>
      <c r="G161" s="4">
        <v>23000</v>
      </c>
      <c r="H161" s="5">
        <f>[1]!РЕАЛИЗАЦИЯ[СОНИ]*[1]!РЕАЛИЗАЦИЯ[НАРХИ]</f>
        <v>950400</v>
      </c>
      <c r="I161" s="4"/>
      <c r="J161" s="6">
        <v>21000</v>
      </c>
      <c r="K161" s="4">
        <f>[1]!РЕАЛИЗАЦИЯ[[#This Row],[СОНИ]]*[1]!РЕАЛИЗАЦИЯ[[#This Row],[ТАННАРХ]]</f>
        <v>0</v>
      </c>
      <c r="L161" s="7">
        <f>[1]!РЕАЛИЗАЦИЯ[[#This Row],[ЖАМИ]]-[1]!РЕАЛИЗАЦИЯ[[#This Row],[ЖАМИ2]]</f>
        <v>950400</v>
      </c>
      <c r="O161" s="27">
        <v>46048</v>
      </c>
      <c r="P161" s="28" t="s">
        <v>55</v>
      </c>
      <c r="Q161" s="6">
        <v>500000</v>
      </c>
      <c r="R161" s="6"/>
      <c r="S161" s="6"/>
      <c r="T161" s="29">
        <f>[1]!ПЛАТЕЖИ[[#This Row],[СЎМ]]+([1]!ПЛАТЕЖИ[[#This Row],[ВАЛЮТА]]*[1]!ПЛАТЕЖИ[[#This Row],[КУРС]])</f>
        <v>782400</v>
      </c>
      <c r="U161" s="28"/>
      <c r="V161" s="28" t="s">
        <v>275</v>
      </c>
    </row>
    <row r="162" spans="2:22" x14ac:dyDescent="0.25">
      <c r="B162" s="8">
        <v>46043</v>
      </c>
      <c r="C162" s="9" t="s">
        <v>26</v>
      </c>
      <c r="D162" s="10" t="s">
        <v>10</v>
      </c>
      <c r="E162" s="10" t="s">
        <v>2</v>
      </c>
      <c r="F162" s="11">
        <v>146.80000000000001</v>
      </c>
      <c r="G162" s="11">
        <v>14000</v>
      </c>
      <c r="H162" s="12">
        <f>[1]!РЕАЛИЗАЦИЯ[СОНИ]*[1]!РЕАЛИЗАЦИЯ[НАРХИ]</f>
        <v>-950400</v>
      </c>
      <c r="I162" s="11"/>
      <c r="J162" s="13">
        <v>13000</v>
      </c>
      <c r="K162" s="11">
        <f>[1]!РЕАЛИЗАЦИЯ[[#This Row],[СОНИ]]*[1]!РЕАЛИЗАЦИЯ[[#This Row],[ТАННАРХ]]</f>
        <v>0</v>
      </c>
      <c r="L162" s="14">
        <f>[1]!РЕАЛИЗАЦИЯ[[#This Row],[ЖАМИ]]-[1]!РЕАЛИЗАЦИЯ[[#This Row],[ЖАМИ2]]</f>
        <v>-950400</v>
      </c>
      <c r="O162" s="30">
        <v>46048</v>
      </c>
      <c r="P162" s="31" t="s">
        <v>283</v>
      </c>
      <c r="Q162" s="13">
        <v>1000100</v>
      </c>
      <c r="R162" s="13"/>
      <c r="S162" s="13"/>
      <c r="T162" s="32">
        <f>[1]!ПЛАТЕЖИ[[#This Row],[СЎМ]]+([1]!ПЛАТЕЖИ[[#This Row],[ВАЛЮТА]]*[1]!ПЛАТЕЖИ[[#This Row],[КУРС]])</f>
        <v>831600</v>
      </c>
      <c r="U162" s="31"/>
      <c r="V162" s="31" t="s">
        <v>279</v>
      </c>
    </row>
    <row r="163" spans="2:22" x14ac:dyDescent="0.25">
      <c r="B163" s="1">
        <v>46044</v>
      </c>
      <c r="C163" s="2" t="s">
        <v>15</v>
      </c>
      <c r="D163" s="3" t="s">
        <v>16</v>
      </c>
      <c r="E163" s="3" t="s">
        <v>2</v>
      </c>
      <c r="F163" s="4">
        <v>870</v>
      </c>
      <c r="G163" s="4">
        <v>23000</v>
      </c>
      <c r="H163" s="5">
        <f>[1]!РЕАЛИЗАЦИЯ[СОНИ]*[1]!РЕАЛИЗАЦИЯ[НАРХИ]</f>
        <v>856000</v>
      </c>
      <c r="I163" s="4"/>
      <c r="J163" s="6">
        <v>21000</v>
      </c>
      <c r="K163" s="4">
        <f>[1]!РЕАЛИЗАЦИЯ[[#This Row],[СОНИ]]*[1]!РЕАЛИЗАЦИЯ[[#This Row],[ТАННАРХ]]</f>
        <v>0</v>
      </c>
      <c r="L163" s="7">
        <f>[1]!РЕАЛИЗАЦИЯ[[#This Row],[ЖАМИ]]-[1]!РЕАЛИЗАЦИЯ[[#This Row],[ЖАМИ2]]</f>
        <v>856000</v>
      </c>
      <c r="O163" s="27">
        <v>46048</v>
      </c>
      <c r="P163" s="28" t="s">
        <v>62</v>
      </c>
      <c r="Q163" s="6">
        <v>944000</v>
      </c>
      <c r="R163" s="6"/>
      <c r="S163" s="6"/>
      <c r="T163" s="29">
        <f>[1]!ПЛАТЕЖИ[[#This Row],[СЎМ]]+([1]!ПЛАТЕЖИ[[#This Row],[ВАЛЮТА]]*[1]!ПЛАТЕЖИ[[#This Row],[КУРС]])</f>
        <v>1795000</v>
      </c>
      <c r="U163" s="28"/>
      <c r="V163" s="28" t="s">
        <v>275</v>
      </c>
    </row>
    <row r="164" spans="2:22" x14ac:dyDescent="0.25">
      <c r="B164" s="8">
        <v>46044</v>
      </c>
      <c r="C164" s="9" t="s">
        <v>0</v>
      </c>
      <c r="D164" s="10" t="s">
        <v>1</v>
      </c>
      <c r="E164" s="10" t="s">
        <v>2</v>
      </c>
      <c r="F164" s="11">
        <v>49.4</v>
      </c>
      <c r="G164" s="11">
        <v>16000</v>
      </c>
      <c r="H164" s="12">
        <f>[1]!РЕАЛИЗАЦИЯ[СОНИ]*[1]!РЕАЛИЗАЦИЯ[НАРХИ]</f>
        <v>1125600</v>
      </c>
      <c r="I164" s="11"/>
      <c r="J164" s="13">
        <v>19000</v>
      </c>
      <c r="K164" s="11">
        <f>[1]!РЕАЛИЗАЦИЯ[[#This Row],[СОНИ]]*[1]!РЕАЛИЗАЦИЯ[[#This Row],[ТАННАРХ]]</f>
        <v>0</v>
      </c>
      <c r="L164" s="14">
        <f>[1]!РЕАЛИЗАЦИЯ[[#This Row],[ЖАМИ]]-[1]!РЕАЛИЗАЦИЯ[[#This Row],[ЖАМИ2]]</f>
        <v>1125600</v>
      </c>
      <c r="O164" s="30">
        <v>46048</v>
      </c>
      <c r="P164" s="31" t="s">
        <v>31</v>
      </c>
      <c r="Q164" s="13">
        <v>403800</v>
      </c>
      <c r="R164" s="13"/>
      <c r="S164" s="13"/>
      <c r="T164" s="32">
        <f>[1]!ПЛАТЕЖИ[[#This Row],[СЎМ]]+([1]!ПЛАТЕЖИ[[#This Row],[ВАЛЮТА]]*[1]!ПЛАТЕЖИ[[#This Row],[КУРС]])</f>
        <v>750000</v>
      </c>
      <c r="U164" s="31"/>
      <c r="V164" s="31" t="s">
        <v>275</v>
      </c>
    </row>
    <row r="165" spans="2:22" x14ac:dyDescent="0.25">
      <c r="B165" s="1">
        <v>46044</v>
      </c>
      <c r="C165" s="2" t="s">
        <v>33</v>
      </c>
      <c r="D165" s="3" t="s">
        <v>1</v>
      </c>
      <c r="E165" s="3" t="s">
        <v>2</v>
      </c>
      <c r="F165" s="4">
        <v>101.9</v>
      </c>
      <c r="G165" s="4">
        <v>20500</v>
      </c>
      <c r="H165" s="5">
        <f>[1]!РЕАЛИЗАЦИЯ[СОНИ]*[1]!РЕАЛИЗАЦИЯ[НАРХИ]</f>
        <v>8204000</v>
      </c>
      <c r="I165" s="4"/>
      <c r="J165" s="6">
        <v>19000</v>
      </c>
      <c r="K165" s="4">
        <f>[1]!РЕАЛИЗАЦИЯ[[#This Row],[СОНИ]]*[1]!РЕАЛИЗАЦИЯ[[#This Row],[ТАННАРХ]]</f>
        <v>0</v>
      </c>
      <c r="L165" s="7">
        <f>[1]!РЕАЛИЗАЦИЯ[[#This Row],[ЖАМИ]]-[1]!РЕАЛИЗАЦИЯ[[#This Row],[ЖАМИ2]]</f>
        <v>8204000</v>
      </c>
      <c r="O165" s="27">
        <v>46048</v>
      </c>
      <c r="P165" s="28" t="s">
        <v>45</v>
      </c>
      <c r="Q165" s="6">
        <v>563500</v>
      </c>
      <c r="R165" s="6"/>
      <c r="S165" s="6"/>
      <c r="T165" s="29">
        <f>[1]!ПЛАТЕЖИ[[#This Row],[СЎМ]]+([1]!ПЛАТЕЖИ[[#This Row],[ВАЛЮТА]]*[1]!ПЛАТЕЖИ[[#This Row],[КУРС]])</f>
        <v>1830000</v>
      </c>
      <c r="U165" s="28"/>
      <c r="V165" s="28" t="s">
        <v>275</v>
      </c>
    </row>
    <row r="166" spans="2:22" x14ac:dyDescent="0.25">
      <c r="B166" s="8">
        <v>46045</v>
      </c>
      <c r="C166" s="9" t="s">
        <v>105</v>
      </c>
      <c r="D166" s="10" t="s">
        <v>29</v>
      </c>
      <c r="E166" s="10" t="s">
        <v>2</v>
      </c>
      <c r="F166" s="11">
        <v>651.9</v>
      </c>
      <c r="G166" s="11">
        <v>16000</v>
      </c>
      <c r="H166" s="12">
        <f>[1]!РЕАЛИЗАЦИЯ[СОНИ]*[1]!РЕАЛИЗАЦИЯ[НАРХИ]</f>
        <v>2194500</v>
      </c>
      <c r="I166" s="11"/>
      <c r="J166" s="13">
        <v>16000</v>
      </c>
      <c r="K166" s="11">
        <f>[1]!РЕАЛИЗАЦИЯ[[#This Row],[СОНИ]]*[1]!РЕАЛИЗАЦИЯ[[#This Row],[ТАННАРХ]]</f>
        <v>0</v>
      </c>
      <c r="L166" s="14">
        <f>[1]!РЕАЛИЗАЦИЯ[[#This Row],[ЖАМИ]]-[1]!РЕАЛИЗАЦИЯ[[#This Row],[ЖАМИ2]]</f>
        <v>2194500</v>
      </c>
      <c r="O166" s="30">
        <v>46048</v>
      </c>
      <c r="P166" s="31" t="s">
        <v>58</v>
      </c>
      <c r="Q166" s="13">
        <v>920000</v>
      </c>
      <c r="R166" s="13"/>
      <c r="S166" s="13"/>
      <c r="T166" s="32">
        <f>[1]!ПЛАТЕЖИ[[#This Row],[СЎМ]]+([1]!ПЛАТЕЖИ[[#This Row],[ВАЛЮТА]]*[1]!ПЛАТЕЖИ[[#This Row],[КУРС]])</f>
        <v>2000000</v>
      </c>
      <c r="U166" s="31"/>
      <c r="V166" s="31"/>
    </row>
    <row r="167" spans="2:22" x14ac:dyDescent="0.25">
      <c r="B167" s="1">
        <v>46045</v>
      </c>
      <c r="C167" s="2" t="s">
        <v>106</v>
      </c>
      <c r="D167" s="3" t="s">
        <v>1</v>
      </c>
      <c r="E167" s="3" t="s">
        <v>2</v>
      </c>
      <c r="F167" s="4">
        <v>204.8</v>
      </c>
      <c r="G167" s="4">
        <v>20000</v>
      </c>
      <c r="H167" s="5">
        <f>[1]!РЕАЛИЗАЦИЯ[СОНИ]*[1]!РЕАЛИЗАЦИЯ[НАРХИ]</f>
        <v>5028000</v>
      </c>
      <c r="I167" s="4"/>
      <c r="J167" s="6">
        <v>19000</v>
      </c>
      <c r="K167" s="4">
        <f>[1]!РЕАЛИЗАЦИЯ[[#This Row],[СОНИ]]*[1]!РЕАЛИЗАЦИЯ[[#This Row],[ТАННАРХ]]</f>
        <v>0</v>
      </c>
      <c r="L167" s="7">
        <f>[1]!РЕАЛИЗАЦИЯ[[#This Row],[ЖАМИ]]-[1]!РЕАЛИЗАЦИЯ[[#This Row],[ЖАМИ2]]</f>
        <v>5028000</v>
      </c>
      <c r="O167" s="27">
        <v>46049</v>
      </c>
      <c r="P167" s="28" t="s">
        <v>90</v>
      </c>
      <c r="Q167" s="6">
        <v>961800</v>
      </c>
      <c r="R167" s="6"/>
      <c r="S167" s="6"/>
      <c r="T167" s="29">
        <f>[1]!ПЛАТЕЖИ[[#This Row],[СЎМ]]+([1]!ПЛАТЕЖИ[[#This Row],[ВАЛЮТА]]*[1]!ПЛАТЕЖИ[[#This Row],[КУРС]])</f>
        <v>1981600</v>
      </c>
      <c r="U167" s="28"/>
      <c r="V167" s="28" t="s">
        <v>275</v>
      </c>
    </row>
    <row r="168" spans="2:22" x14ac:dyDescent="0.25">
      <c r="B168" s="8">
        <v>46045</v>
      </c>
      <c r="C168" s="9" t="s">
        <v>106</v>
      </c>
      <c r="D168" s="10" t="s">
        <v>10</v>
      </c>
      <c r="E168" s="10" t="s">
        <v>2</v>
      </c>
      <c r="F168" s="11">
        <v>45.4</v>
      </c>
      <c r="G168" s="11">
        <v>15000</v>
      </c>
      <c r="H168" s="12">
        <f>[1]!РЕАЛИЗАЦИЯ[СОНИ]*[1]!РЕАЛИЗАЦИЯ[НАРХИ]</f>
        <v>1429500</v>
      </c>
      <c r="I168" s="11"/>
      <c r="J168" s="13">
        <v>13000</v>
      </c>
      <c r="K168" s="11">
        <f>[1]!РЕАЛИЗАЦИЯ[[#This Row],[СОНИ]]*[1]!РЕАЛИЗАЦИЯ[[#This Row],[ТАННАРХ]]</f>
        <v>0</v>
      </c>
      <c r="L168" s="14">
        <f>[1]!РЕАЛИЗАЦИЯ[[#This Row],[ЖАМИ]]-[1]!РЕАЛИЗАЦИЯ[[#This Row],[ЖАМИ2]]</f>
        <v>1429500</v>
      </c>
      <c r="O168" s="30">
        <v>46049</v>
      </c>
      <c r="P168" s="31" t="s">
        <v>71</v>
      </c>
      <c r="Q168" s="13"/>
      <c r="R168" s="13">
        <v>100</v>
      </c>
      <c r="S168" s="13">
        <v>12000</v>
      </c>
      <c r="T168" s="32">
        <f>[1]!ПЛАТЕЖИ[[#This Row],[СЎМ]]+([1]!ПЛАТЕЖИ[[#This Row],[ВАЛЮТА]]*[1]!ПЛАТЕЖИ[[#This Row],[КУРС]])</f>
        <v>1854000</v>
      </c>
      <c r="U168" s="31"/>
      <c r="V168" s="31"/>
    </row>
    <row r="169" spans="2:22" x14ac:dyDescent="0.25">
      <c r="B169" s="1">
        <v>46045</v>
      </c>
      <c r="C169" s="2" t="s">
        <v>107</v>
      </c>
      <c r="D169" s="3" t="s">
        <v>1</v>
      </c>
      <c r="E169" s="3" t="s">
        <v>2</v>
      </c>
      <c r="F169" s="4">
        <v>49.4</v>
      </c>
      <c r="G169" s="4">
        <v>21000</v>
      </c>
      <c r="H169" s="5">
        <f>[1]!РЕАЛИЗАЦИЯ[СОНИ]*[1]!РЕАЛИЗАЦИЯ[НАРХИ]</f>
        <v>782400</v>
      </c>
      <c r="I169" s="4"/>
      <c r="J169" s="6">
        <v>19000</v>
      </c>
      <c r="K169" s="4">
        <f>[1]!РЕАЛИЗАЦИЯ[[#This Row],[СОНИ]]*[1]!РЕАЛИЗАЦИЯ[[#This Row],[ТАННАРХ]]</f>
        <v>0</v>
      </c>
      <c r="L169" s="7">
        <f>[1]!РЕАЛИЗАЦИЯ[[#This Row],[ЖАМИ]]-[1]!РЕАЛИЗАЦИЯ[[#This Row],[ЖАМИ2]]</f>
        <v>782400</v>
      </c>
      <c r="O169" s="27">
        <v>46049</v>
      </c>
      <c r="P169" s="28" t="s">
        <v>82</v>
      </c>
      <c r="Q169" s="6">
        <v>1833300</v>
      </c>
      <c r="R169" s="6"/>
      <c r="S169" s="6"/>
      <c r="T169" s="29">
        <f>[1]!ПЛАТЕЖИ[[#This Row],[СЎМ]]+([1]!ПЛАТЕЖИ[[#This Row],[ВАЛЮТА]]*[1]!ПЛАТЕЖИ[[#This Row],[КУРС]])</f>
        <v>2262000</v>
      </c>
      <c r="U169" s="28"/>
      <c r="V169" s="28"/>
    </row>
    <row r="170" spans="2:22" x14ac:dyDescent="0.25">
      <c r="B170" s="8">
        <v>46045</v>
      </c>
      <c r="C170" s="9" t="s">
        <v>107</v>
      </c>
      <c r="D170" s="10" t="s">
        <v>10</v>
      </c>
      <c r="E170" s="10" t="s">
        <v>2</v>
      </c>
      <c r="F170" s="11">
        <v>39</v>
      </c>
      <c r="G170" s="11">
        <v>16000</v>
      </c>
      <c r="H170" s="12">
        <f>[1]!РЕАЛИЗАЦИЯ[СОНИ]*[1]!РЕАЛИЗАЦИЯ[НАРХИ]</f>
        <v>831600</v>
      </c>
      <c r="I170" s="11"/>
      <c r="J170" s="13">
        <v>13000</v>
      </c>
      <c r="K170" s="11">
        <f>[1]!РЕАЛИЗАЦИЯ[[#This Row],[СОНИ]]*[1]!РЕАЛИЗАЦИЯ[[#This Row],[ТАННАРХ]]</f>
        <v>0</v>
      </c>
      <c r="L170" s="14">
        <f>[1]!РЕАЛИЗАЦИЯ[[#This Row],[ЖАМИ]]-[1]!РЕАЛИЗАЦИЯ[[#This Row],[ЖАМИ2]]</f>
        <v>831600</v>
      </c>
      <c r="O170" s="30">
        <v>46049</v>
      </c>
      <c r="P170" s="31" t="s">
        <v>46</v>
      </c>
      <c r="Q170" s="13">
        <v>1280000</v>
      </c>
      <c r="R170" s="13"/>
      <c r="S170" s="13"/>
      <c r="T170" s="32">
        <f>[1]!ПЛАТЕЖИ[[#This Row],[СЎМ]]+([1]!ПЛАТЕЖИ[[#This Row],[ВАЛЮТА]]*[1]!ПЛАТЕЖИ[[#This Row],[КУРС]])</f>
        <v>757000</v>
      </c>
      <c r="U170" s="31"/>
      <c r="V170" s="31"/>
    </row>
    <row r="171" spans="2:22" x14ac:dyDescent="0.25">
      <c r="B171" s="1">
        <v>46045</v>
      </c>
      <c r="C171" s="2" t="s">
        <v>78</v>
      </c>
      <c r="D171" s="3" t="s">
        <v>29</v>
      </c>
      <c r="E171" s="3" t="s">
        <v>2</v>
      </c>
      <c r="F171" s="4">
        <v>247.5</v>
      </c>
      <c r="G171" s="4">
        <v>17500</v>
      </c>
      <c r="H171" s="5">
        <f>[1]!РЕАЛИЗАЦИЯ[СОНИ]*[1]!РЕАЛИЗАЦИЯ[НАРХИ]</f>
        <v>2640400.0000000005</v>
      </c>
      <c r="I171" s="4"/>
      <c r="J171" s="6">
        <v>16000</v>
      </c>
      <c r="K171" s="4">
        <f>[1]!РЕАЛИЗАЦИЯ[[#This Row],[СОНИ]]*[1]!РЕАЛИЗАЦИЯ[[#This Row],[ТАННАРХ]]</f>
        <v>0</v>
      </c>
      <c r="L171" s="7">
        <f>[1]!РЕАЛИЗАЦИЯ[[#This Row],[ЖАМИ]]-[1]!РЕАЛИЗАЦИЯ[[#This Row],[ЖАМИ2]]</f>
        <v>2640400.0000000005</v>
      </c>
      <c r="O171" s="27">
        <v>46049</v>
      </c>
      <c r="P171" s="28" t="s">
        <v>290</v>
      </c>
      <c r="Q171" s="6">
        <v>500000</v>
      </c>
      <c r="R171" s="6"/>
      <c r="S171" s="6"/>
      <c r="T171" s="29">
        <f>[1]!ПЛАТЕЖИ[[#This Row],[СЎМ]]+([1]!ПЛАТЕЖИ[[#This Row],[ВАЛЮТА]]*[1]!ПЛАТЕЖИ[[#This Row],[КУРС]])</f>
        <v>1182300</v>
      </c>
      <c r="U171" s="28"/>
      <c r="V171" s="28"/>
    </row>
    <row r="172" spans="2:22" x14ac:dyDescent="0.25">
      <c r="B172" s="8">
        <v>46045</v>
      </c>
      <c r="C172" s="9" t="s">
        <v>78</v>
      </c>
      <c r="D172" s="10" t="s">
        <v>10</v>
      </c>
      <c r="E172" s="10" t="s">
        <v>2</v>
      </c>
      <c r="F172" s="11">
        <v>240</v>
      </c>
      <c r="G172" s="11">
        <v>15000</v>
      </c>
      <c r="H172" s="12">
        <f>[1]!РЕАЛИЗАЦИЯ[СОНИ]*[1]!РЕАЛИЗАЦИЯ[НАРХИ]</f>
        <v>2797150</v>
      </c>
      <c r="I172" s="11"/>
      <c r="J172" s="13">
        <v>13000</v>
      </c>
      <c r="K172" s="11">
        <f>[1]!РЕАЛИЗАЦИЯ[[#This Row],[СОНИ]]*[1]!РЕАЛИЗАЦИЯ[[#This Row],[ТАННАРХ]]</f>
        <v>338520200</v>
      </c>
      <c r="L172" s="14">
        <f>[1]!РЕАЛИЗАЦИЯ[[#This Row],[ЖАМИ]]-[1]!РЕАЛИЗАЦИЯ[[#This Row],[ЖАМИ2]]</f>
        <v>2797019.9</v>
      </c>
      <c r="O172" s="30">
        <v>46049</v>
      </c>
      <c r="P172" s="31" t="s">
        <v>100</v>
      </c>
      <c r="Q172" s="13">
        <v>1791300</v>
      </c>
      <c r="R172" s="13"/>
      <c r="S172" s="13"/>
      <c r="T172" s="32">
        <f>[1]!ПЛАТЕЖИ[[#This Row],[СЎМ]]+([1]!ПЛАТЕЖИ[[#This Row],[ВАЛЮТА]]*[1]!ПЛАТЕЖИ[[#This Row],[КУРС]])</f>
        <v>796000</v>
      </c>
      <c r="U172" s="31"/>
      <c r="V172" s="31"/>
    </row>
    <row r="173" spans="2:22" x14ac:dyDescent="0.25">
      <c r="B173" s="1">
        <v>46045</v>
      </c>
      <c r="C173" s="2" t="s">
        <v>108</v>
      </c>
      <c r="D173" s="3" t="s">
        <v>1</v>
      </c>
      <c r="E173" s="3" t="s">
        <v>2</v>
      </c>
      <c r="F173" s="4">
        <v>104.5</v>
      </c>
      <c r="G173" s="4">
        <v>21000</v>
      </c>
      <c r="H173" s="5">
        <f>[1]!РЕАЛИЗАЦИЯ[СОНИ]*[1]!РЕАЛИЗАЦИЯ[НАРХИ]</f>
        <v>869399.99999999988</v>
      </c>
      <c r="I173" s="4"/>
      <c r="J173" s="6">
        <v>19000</v>
      </c>
      <c r="K173" s="4">
        <f>[1]!РЕАЛИЗАЦИЯ[[#This Row],[СОНИ]]*[1]!РЕАЛИЗАЦИЯ[[#This Row],[ТАННАРХ]]</f>
        <v>32148899.999999996</v>
      </c>
      <c r="L173" s="7">
        <f>[1]!РЕАЛИЗАЦИЯ[[#This Row],[ЖАМИ]]-[1]!РЕАЛИЗАЦИЯ[[#This Row],[ЖАМИ2]]</f>
        <v>869362.19999999984</v>
      </c>
      <c r="O173" s="27">
        <v>46049</v>
      </c>
      <c r="P173" s="28" t="s">
        <v>59</v>
      </c>
      <c r="Q173" s="6">
        <v>3078600</v>
      </c>
      <c r="R173" s="6"/>
      <c r="S173" s="6"/>
      <c r="T173" s="29">
        <f>[1]!ПЛАТЕЖИ[[#This Row],[СЎМ]]+([1]!ПЛАТЕЖИ[[#This Row],[ВАЛЮТА]]*[1]!ПЛАТЕЖИ[[#This Row],[КУРС]])</f>
        <v>2796000</v>
      </c>
      <c r="U173" s="28"/>
      <c r="V173" s="28"/>
    </row>
    <row r="174" spans="2:22" x14ac:dyDescent="0.25">
      <c r="B174" s="8">
        <v>46045</v>
      </c>
      <c r="C174" s="9" t="s">
        <v>51</v>
      </c>
      <c r="D174" s="10" t="s">
        <v>10</v>
      </c>
      <c r="E174" s="10" t="s">
        <v>2</v>
      </c>
      <c r="F174" s="11">
        <v>45.3</v>
      </c>
      <c r="G174" s="11">
        <v>16000</v>
      </c>
      <c r="H174" s="12">
        <f>[1]!РЕАЛИЗАЦИЯ[СОНИ]*[1]!РЕАЛИЗАЦИЯ[НАРХИ]</f>
        <v>47083300</v>
      </c>
      <c r="I174" s="11"/>
      <c r="J174" s="13">
        <v>13000</v>
      </c>
      <c r="K174" s="11">
        <f>[1]!РЕАЛИЗАЦИЯ[[#This Row],[СОНИ]]*[1]!РЕАЛИЗАЦИЯ[[#This Row],[ТАННАРХ]]</f>
        <v>83812368200</v>
      </c>
      <c r="L174" s="14">
        <f>[1]!РЕАЛИЗАЦИЯ[[#This Row],[ЖАМИ]]-[1]!РЕАЛИЗАЦИЯ[[#This Row],[ЖАМИ2]]</f>
        <v>47081252.899999999</v>
      </c>
      <c r="O174" s="30">
        <v>46049</v>
      </c>
      <c r="P174" s="31" t="s">
        <v>221</v>
      </c>
      <c r="Q174" s="13">
        <v>900000</v>
      </c>
      <c r="R174" s="13"/>
      <c r="S174" s="13"/>
      <c r="T174" s="32">
        <f>[1]!ПЛАТЕЖИ[[#This Row],[СЎМ]]+([1]!ПЛАТЕЖИ[[#This Row],[ВАЛЮТА]]*[1]!ПЛАТЕЖИ[[#This Row],[КУРС]])</f>
        <v>11233950</v>
      </c>
      <c r="U174" s="31"/>
      <c r="V174" s="31" t="s">
        <v>275</v>
      </c>
    </row>
    <row r="175" spans="2:22" x14ac:dyDescent="0.25">
      <c r="B175" s="1">
        <v>46045</v>
      </c>
      <c r="C175" s="2" t="s">
        <v>51</v>
      </c>
      <c r="D175" s="3" t="s">
        <v>1</v>
      </c>
      <c r="E175" s="3" t="s">
        <v>2</v>
      </c>
      <c r="F175" s="4">
        <v>50.7</v>
      </c>
      <c r="G175" s="4">
        <v>21000</v>
      </c>
      <c r="H175" s="5">
        <f>[1]!РЕАЛИЗАЦИЯ[СОНИ]*[1]!РЕАЛИЗАЦИЯ[НАРХИ]</f>
        <v>750000</v>
      </c>
      <c r="I175" s="4"/>
      <c r="J175" s="6">
        <v>19000</v>
      </c>
      <c r="K175" s="4">
        <f>[1]!РЕАЛИЗАЦИЯ[[#This Row],[СОНИ]]*[1]!РЕАЛИЗАЦИЯ[[#This Row],[ТАННАРХ]]</f>
        <v>0</v>
      </c>
      <c r="L175" s="7">
        <f>[1]!РЕАЛИЗАЦИЯ[[#This Row],[ЖАМИ]]-[1]!РЕАЛИЗАЦИЯ[[#This Row],[ЖАМИ2]]</f>
        <v>750000</v>
      </c>
      <c r="O175" s="27">
        <v>46049</v>
      </c>
      <c r="P175" s="28" t="s">
        <v>62</v>
      </c>
      <c r="Q175" s="6">
        <v>400000</v>
      </c>
      <c r="R175" s="6"/>
      <c r="S175" s="6"/>
      <c r="T175" s="29">
        <f>[1]!ПЛАТЕЖИ[[#This Row],[СЎМ]]+([1]!ПЛАТЕЖИ[[#This Row],[ВАЛЮТА]]*[1]!ПЛАТЕЖИ[[#This Row],[КУРС]])</f>
        <v>500000</v>
      </c>
      <c r="U175" s="28"/>
      <c r="V175" s="28" t="s">
        <v>275</v>
      </c>
    </row>
    <row r="176" spans="2:22" x14ac:dyDescent="0.25">
      <c r="B176" s="8">
        <v>46045</v>
      </c>
      <c r="C176" s="9" t="s">
        <v>43</v>
      </c>
      <c r="D176" s="10" t="s">
        <v>1</v>
      </c>
      <c r="E176" s="10" t="s">
        <v>2</v>
      </c>
      <c r="F176" s="11">
        <v>94.5</v>
      </c>
      <c r="G176" s="11">
        <v>20600</v>
      </c>
      <c r="H176" s="12">
        <f>[1]!РЕАЛИЗАЦИЯ[СОНИ]*[1]!РЕАЛИЗАЦИЯ[НАРХИ]</f>
        <v>789000</v>
      </c>
      <c r="I176" s="11"/>
      <c r="J176" s="13">
        <v>19000</v>
      </c>
      <c r="K176" s="11">
        <f>[1]!РЕАЛИЗАЦИЯ[[#This Row],[СОНИ]]*[1]!РЕАЛИЗАЦИЯ[[#This Row],[ТАННАРХ]]</f>
        <v>0</v>
      </c>
      <c r="L176" s="14">
        <f>[1]!РЕАЛИЗАЦИЯ[[#This Row],[ЖАМИ]]-[1]!РЕАЛИЗАЦИЯ[[#This Row],[ЖАМИ2]]</f>
        <v>789000</v>
      </c>
      <c r="O176" s="30">
        <v>46049</v>
      </c>
      <c r="P176" s="31" t="s">
        <v>62</v>
      </c>
      <c r="Q176" s="13">
        <v>629000</v>
      </c>
      <c r="R176" s="13"/>
      <c r="S176" s="13"/>
      <c r="T176" s="32">
        <f>[1]!ПЛАТЕЖИ[[#This Row],[СЎМ]]+([1]!ПЛАТЕЖИ[[#This Row],[ВАЛЮТА]]*[1]!ПЛАТЕЖИ[[#This Row],[КУРС]])</f>
        <v>3224000</v>
      </c>
      <c r="U176" s="31"/>
      <c r="V176" s="31"/>
    </row>
    <row r="177" spans="2:22" x14ac:dyDescent="0.25">
      <c r="B177" s="1">
        <v>46045</v>
      </c>
      <c r="C177" s="2" t="s">
        <v>109</v>
      </c>
      <c r="D177" s="3" t="s">
        <v>1</v>
      </c>
      <c r="E177" s="3" t="s">
        <v>2</v>
      </c>
      <c r="F177" s="4">
        <v>97.7</v>
      </c>
      <c r="G177" s="4">
        <v>21000</v>
      </c>
      <c r="H177" s="5">
        <f>[1]!РЕАЛИЗАЦИЯ[СОНИ]*[1]!РЕАЛИЗАЦИЯ[НАРХИ]</f>
        <v>1006000</v>
      </c>
      <c r="I177" s="4"/>
      <c r="J177" s="6">
        <v>19000</v>
      </c>
      <c r="K177" s="4">
        <f>[1]!РЕАЛИЗАЦИЯ[[#This Row],[СОНИ]]*[1]!РЕАЛИЗАЦИЯ[[#This Row],[ТАННАРХ]]</f>
        <v>0</v>
      </c>
      <c r="L177" s="7">
        <f>[1]!РЕАЛИЗАЦИЯ[[#This Row],[ЖАМИ]]-[1]!РЕАЛИЗАЦИЯ[[#This Row],[ЖАМИ2]]</f>
        <v>1006000</v>
      </c>
      <c r="O177" s="27">
        <v>46049</v>
      </c>
      <c r="P177" s="28" t="s">
        <v>120</v>
      </c>
      <c r="Q177" s="6">
        <v>2910000</v>
      </c>
      <c r="R177" s="6"/>
      <c r="S177" s="6"/>
      <c r="T177" s="29">
        <f>[1]!ПЛАТЕЖИ[[#This Row],[СЎМ]]+([1]!ПЛАТЕЖИ[[#This Row],[ВАЛЮТА]]*[1]!ПЛАТЕЖИ[[#This Row],[КУРС]])</f>
        <v>1826700</v>
      </c>
      <c r="U177" s="28"/>
      <c r="V177" s="28"/>
    </row>
    <row r="178" spans="2:22" x14ac:dyDescent="0.25">
      <c r="B178" s="8">
        <v>46045</v>
      </c>
      <c r="C178" s="9" t="s">
        <v>110</v>
      </c>
      <c r="D178" s="10" t="s">
        <v>1</v>
      </c>
      <c r="E178" s="10" t="s">
        <v>2</v>
      </c>
      <c r="F178" s="11">
        <v>95.8</v>
      </c>
      <c r="G178" s="11">
        <v>21000</v>
      </c>
      <c r="H178" s="12">
        <f>[1]!РЕАЛИЗАЦИЯ[СОНИ]*[1]!РЕАЛИЗАЦИЯ[НАРХИ]</f>
        <v>710400</v>
      </c>
      <c r="I178" s="11"/>
      <c r="J178" s="13">
        <v>19000</v>
      </c>
      <c r="K178" s="11">
        <f>[1]!РЕАЛИЗАЦИЯ[[#This Row],[СОНИ]]*[1]!РЕАЛИЗАЦИЯ[[#This Row],[ТАННАРХ]]</f>
        <v>0</v>
      </c>
      <c r="L178" s="14">
        <f>[1]!РЕАЛИЗАЦИЯ[[#This Row],[ЖАМИ]]-[1]!РЕАЛИЗАЦИЯ[[#This Row],[ЖАМИ2]]</f>
        <v>710400</v>
      </c>
      <c r="O178" s="30">
        <v>46049</v>
      </c>
      <c r="P178" s="31" t="s">
        <v>254</v>
      </c>
      <c r="Q178" s="13">
        <v>200000</v>
      </c>
      <c r="R178" s="13"/>
      <c r="S178" s="13"/>
      <c r="T178" s="32">
        <f>[1]!ПЛАТЕЖИ[[#This Row],[СЎМ]]+([1]!ПЛАТЕЖИ[[#This Row],[ВАЛЮТА]]*[1]!ПЛАТЕЖИ[[#This Row],[КУРС]])</f>
        <v>3347200</v>
      </c>
      <c r="U178" s="31"/>
      <c r="V178" s="31"/>
    </row>
    <row r="179" spans="2:22" x14ac:dyDescent="0.25">
      <c r="B179" s="1">
        <v>46045</v>
      </c>
      <c r="C179" s="2" t="s">
        <v>111</v>
      </c>
      <c r="D179" s="3" t="s">
        <v>10</v>
      </c>
      <c r="E179" s="3" t="s">
        <v>2</v>
      </c>
      <c r="F179" s="4">
        <v>50.3</v>
      </c>
      <c r="G179" s="4">
        <v>18000</v>
      </c>
      <c r="H179" s="5">
        <f>[1]!РЕАЛИЗАЦИЯ[СОНИ]*[1]!РЕАЛИЗАЦИЯ[НАРХИ]</f>
        <v>1182300</v>
      </c>
      <c r="I179" s="4"/>
      <c r="J179" s="6">
        <v>13000</v>
      </c>
      <c r="K179" s="4">
        <f>[1]!РЕАЛИЗАЦИЯ[[#This Row],[СОНИ]]*[1]!РЕАЛИЗАЦИЯ[[#This Row],[ТАННАРХ]]</f>
        <v>0</v>
      </c>
      <c r="L179" s="7">
        <f>[1]!РЕАЛИЗАЦИЯ[[#This Row],[ЖАМИ]]-[1]!РЕАЛИЗАЦИЯ[[#This Row],[ЖАМИ2]]</f>
        <v>1182300</v>
      </c>
      <c r="O179" s="27">
        <v>46050</v>
      </c>
      <c r="P179" s="28" t="s">
        <v>12</v>
      </c>
      <c r="Q179" s="6">
        <v>48158400</v>
      </c>
      <c r="R179" s="6"/>
      <c r="S179" s="6"/>
      <c r="T179" s="29">
        <f>[1]!ПЛАТЕЖИ[[#This Row],[СЎМ]]+([1]!ПЛАТЕЖИ[[#This Row],[ВАЛЮТА]]*[1]!ПЛАТЕЖИ[[#This Row],[КУРС]])</f>
        <v>954000</v>
      </c>
      <c r="U179" s="28"/>
      <c r="V179" s="28" t="s">
        <v>279</v>
      </c>
    </row>
    <row r="180" spans="2:22" x14ac:dyDescent="0.25">
      <c r="B180" s="8">
        <v>46046</v>
      </c>
      <c r="C180" s="9" t="s">
        <v>112</v>
      </c>
      <c r="D180" s="10" t="s">
        <v>1</v>
      </c>
      <c r="E180" s="10" t="s">
        <v>2</v>
      </c>
      <c r="F180" s="11">
        <v>302.2</v>
      </c>
      <c r="G180" s="11">
        <v>21000</v>
      </c>
      <c r="H180" s="12">
        <f>[1]!РЕАЛИЗАЦИЯ[СОНИ]*[1]!РЕАЛИЗАЦИЯ[НАРХИ]</f>
        <v>2262000</v>
      </c>
      <c r="I180" s="11"/>
      <c r="J180" s="13">
        <v>19000</v>
      </c>
      <c r="K180" s="11">
        <f>[1]!РЕАЛИЗАЦИЯ[[#This Row],[СОНИ]]*[1]!РЕАЛИЗАЦИЯ[[#This Row],[ТАННАРХ]]</f>
        <v>0</v>
      </c>
      <c r="L180" s="14">
        <f>[1]!РЕАЛИЗАЦИЯ[[#This Row],[ЖАМИ]]-[1]!РЕАЛИЗАЦИЯ[[#This Row],[ЖАМИ2]]</f>
        <v>2262000</v>
      </c>
      <c r="O180" s="30">
        <v>46050</v>
      </c>
      <c r="P180" s="31" t="s">
        <v>84</v>
      </c>
      <c r="Q180" s="13">
        <v>1071000</v>
      </c>
      <c r="R180" s="13"/>
      <c r="S180" s="13"/>
      <c r="T180" s="32">
        <f>[1]!ПЛАТЕЖИ[[#This Row],[СЎМ]]+([1]!ПЛАТЕЖИ[[#This Row],[ВАЛЮТА]]*[1]!ПЛАТЕЖИ[[#This Row],[КУРС]])</f>
        <v>3085000</v>
      </c>
      <c r="U180" s="31"/>
      <c r="V180" s="31" t="s">
        <v>279</v>
      </c>
    </row>
    <row r="181" spans="2:22" x14ac:dyDescent="0.25">
      <c r="B181" s="1">
        <v>46046</v>
      </c>
      <c r="C181" s="2" t="s">
        <v>112</v>
      </c>
      <c r="D181" s="3" t="s">
        <v>10</v>
      </c>
      <c r="E181" s="3" t="s">
        <v>2</v>
      </c>
      <c r="F181" s="4">
        <v>97</v>
      </c>
      <c r="G181" s="4">
        <v>16000</v>
      </c>
      <c r="H181" s="5">
        <f>[1]!РЕАЛИЗАЦИЯ[СОНИ]*[1]!РЕАЛИЗАЦИЯ[НАРХИ]</f>
        <v>1085700</v>
      </c>
      <c r="I181" s="4"/>
      <c r="J181" s="6">
        <v>13000</v>
      </c>
      <c r="K181" s="4">
        <f>[1]!РЕАЛИЗАЦИЯ[[#This Row],[СОНИ]]*[1]!РЕАЛИЗАЦИЯ[[#This Row],[ТАННАРХ]]</f>
        <v>0</v>
      </c>
      <c r="L181" s="7">
        <f>[1]!РЕАЛИЗАЦИЯ[[#This Row],[ЖАМИ]]-[1]!РЕАЛИЗАЦИЯ[[#This Row],[ЖАМИ2]]</f>
        <v>1085700</v>
      </c>
      <c r="O181" s="27">
        <v>46050</v>
      </c>
      <c r="P181" s="28" t="s">
        <v>122</v>
      </c>
      <c r="Q181" s="6"/>
      <c r="R181" s="6">
        <v>550</v>
      </c>
      <c r="S181" s="6">
        <v>12000</v>
      </c>
      <c r="T181" s="29">
        <f>[1]!ПЛАТЕЖИ[[#This Row],[СЎМ]]+([1]!ПЛАТЕЖИ[[#This Row],[ВАЛЮТА]]*[1]!ПЛАТЕЖИ[[#This Row],[КУРС]])</f>
        <v>2100000</v>
      </c>
      <c r="U181" s="28"/>
      <c r="V181" s="28"/>
    </row>
    <row r="182" spans="2:22" x14ac:dyDescent="0.25">
      <c r="B182" s="8">
        <v>46046</v>
      </c>
      <c r="C182" s="9" t="s">
        <v>113</v>
      </c>
      <c r="D182" s="10" t="s">
        <v>1</v>
      </c>
      <c r="E182" s="10" t="s">
        <v>2</v>
      </c>
      <c r="F182" s="11">
        <v>218.7</v>
      </c>
      <c r="G182" s="11">
        <v>21000</v>
      </c>
      <c r="H182" s="12">
        <f>[1]!РЕАЛИЗАЦИЯ[СОНИ]*[1]!РЕАЛИЗАЦИЯ[НАРХИ]</f>
        <v>1660800</v>
      </c>
      <c r="I182" s="11"/>
      <c r="J182" s="13">
        <v>19000</v>
      </c>
      <c r="K182" s="11">
        <f>[1]!РЕАЛИЗАЦИЯ[[#This Row],[СОНИ]]*[1]!РЕАЛИЗАЦИЯ[[#This Row],[ТАННАРХ]]</f>
        <v>0</v>
      </c>
      <c r="L182" s="14">
        <f>[1]!РЕАЛИЗАЦИЯ[[#This Row],[ЖАМИ]]-[1]!РЕАЛИЗАЦИЯ[[#This Row],[ЖАМИ2]]</f>
        <v>1660800</v>
      </c>
      <c r="O182" s="30">
        <v>46050</v>
      </c>
      <c r="P182" s="31" t="s">
        <v>123</v>
      </c>
      <c r="Q182" s="13">
        <v>934000</v>
      </c>
      <c r="R182" s="13"/>
      <c r="S182" s="13"/>
      <c r="T182" s="32">
        <f>[1]!ПЛАТЕЖИ[[#This Row],[СЎМ]]+([1]!ПЛАТЕЖИ[[#This Row],[ВАЛЮТА]]*[1]!ПЛАТЕЖИ[[#This Row],[КУРС]])</f>
        <v>1990000</v>
      </c>
      <c r="U182" s="31"/>
      <c r="V182" s="31"/>
    </row>
    <row r="183" spans="2:22" x14ac:dyDescent="0.25">
      <c r="B183" s="1">
        <v>46046</v>
      </c>
      <c r="C183" s="2" t="s">
        <v>53</v>
      </c>
      <c r="D183" s="3" t="s">
        <v>40</v>
      </c>
      <c r="E183" s="3" t="s">
        <v>2</v>
      </c>
      <c r="F183" s="4">
        <v>360.5</v>
      </c>
      <c r="G183" s="4">
        <v>20500</v>
      </c>
      <c r="H183" s="5">
        <f>[1]!РЕАЛИЗАЦИЯ[СОНИ]*[1]!РЕАЛИЗАЦИЯ[НАРХИ]</f>
        <v>1043700.0000000001</v>
      </c>
      <c r="I183" s="4"/>
      <c r="J183" s="6">
        <v>19500</v>
      </c>
      <c r="K183" s="4">
        <f>[1]!РЕАЛИЗАЦИЯ[[#This Row],[СОНИ]]*[1]!РЕАЛИЗАЦИЯ[[#This Row],[ТАННАРХ]]</f>
        <v>0</v>
      </c>
      <c r="L183" s="7">
        <f>[1]!РЕАЛИЗАЦИЯ[[#This Row],[ЖАМИ]]-[1]!РЕАЛИЗАЦИЯ[[#This Row],[ЖАМИ2]]</f>
        <v>1043700.0000000001</v>
      </c>
      <c r="O183" s="27">
        <v>46051</v>
      </c>
      <c r="P183" s="28" t="s">
        <v>134</v>
      </c>
      <c r="Q183" s="6">
        <v>9000000</v>
      </c>
      <c r="R183" s="6"/>
      <c r="S183" s="6"/>
      <c r="T183" s="29">
        <f>[1]!ПЛАТЕЖИ[[#This Row],[СЎМ]]+([1]!ПЛАТЕЖИ[[#This Row],[ВАЛЮТА]]*[1]!ПЛАТЕЖИ[[#This Row],[КУРС]])</f>
        <v>668000</v>
      </c>
      <c r="U183" s="28"/>
      <c r="V183" s="28" t="s">
        <v>275</v>
      </c>
    </row>
    <row r="184" spans="2:22" x14ac:dyDescent="0.25">
      <c r="B184" s="8">
        <v>46046</v>
      </c>
      <c r="C184" s="9" t="s">
        <v>114</v>
      </c>
      <c r="D184" s="10" t="s">
        <v>1</v>
      </c>
      <c r="E184" s="10" t="s">
        <v>2</v>
      </c>
      <c r="F184" s="11">
        <v>164.3</v>
      </c>
      <c r="G184" s="11">
        <v>21000</v>
      </c>
      <c r="H184" s="12">
        <f>[1]!РЕАЛИЗАЦИЯ[СОНИ]*[1]!РЕАЛИЗАЦИЯ[НАРХИ]</f>
        <v>1180200</v>
      </c>
      <c r="I184" s="11"/>
      <c r="J184" s="13">
        <v>19000</v>
      </c>
      <c r="K184" s="11">
        <f>[1]!РЕАЛИЗАЦИЯ[[#This Row],[СОНИ]]*[1]!РЕАЛИЗАЦИЯ[[#This Row],[ТАННАРХ]]</f>
        <v>0</v>
      </c>
      <c r="L184" s="14">
        <f>[1]!РЕАЛИЗАЦИЯ[[#This Row],[ЖАМИ]]-[1]!РЕАЛИЗАЦИЯ[[#This Row],[ЖАМИ2]]</f>
        <v>1180200</v>
      </c>
      <c r="O184" s="30">
        <v>46051</v>
      </c>
      <c r="P184" s="31" t="s">
        <v>32</v>
      </c>
      <c r="Q184" s="13">
        <v>500000</v>
      </c>
      <c r="R184" s="13"/>
      <c r="S184" s="13"/>
      <c r="T184" s="32">
        <f>[1]!ПЛАТЕЖИ[[#This Row],[СЎМ]]+([1]!ПЛАТЕЖИ[[#This Row],[ВАЛЮТА]]*[1]!ПЛАТЕЖИ[[#This Row],[КУРС]])</f>
        <v>2000000</v>
      </c>
      <c r="U184" s="31"/>
      <c r="V184" s="31" t="s">
        <v>275</v>
      </c>
    </row>
    <row r="185" spans="2:22" x14ac:dyDescent="0.25">
      <c r="B185" s="1">
        <v>46046</v>
      </c>
      <c r="C185" s="2" t="s">
        <v>115</v>
      </c>
      <c r="D185" s="3" t="s">
        <v>8</v>
      </c>
      <c r="E185" s="3" t="s">
        <v>2</v>
      </c>
      <c r="F185" s="4">
        <v>146.4</v>
      </c>
      <c r="G185" s="4">
        <v>22500</v>
      </c>
      <c r="H185" s="5">
        <f>[1]!РЕАЛИЗАЦИЯ[СОНИ]*[1]!РЕАЛИЗАЦИЯ[НАРХИ]</f>
        <v>1524000</v>
      </c>
      <c r="I185" s="4"/>
      <c r="J185" s="6">
        <v>20000</v>
      </c>
      <c r="K185" s="4">
        <f>[1]!РЕАЛИЗАЦИЯ[[#This Row],[СОНИ]]*[1]!РЕАЛИЗАЦИЯ[[#This Row],[ТАННАРХ]]</f>
        <v>0</v>
      </c>
      <c r="L185" s="7">
        <f>[1]!РЕАЛИЗАЦИЯ[[#This Row],[ЖАМИ]]-[1]!РЕАЛИЗАЦИЯ[[#This Row],[ЖАМИ2]]</f>
        <v>1524000</v>
      </c>
      <c r="O185" s="27">
        <v>46051</v>
      </c>
      <c r="P185" s="28" t="s">
        <v>33</v>
      </c>
      <c r="Q185" s="6">
        <v>10000000</v>
      </c>
      <c r="R185" s="6"/>
      <c r="S185" s="6"/>
      <c r="T185" s="29">
        <f>[1]!ПЛАТЕЖИ[[#This Row],[СЎМ]]+([1]!ПЛАТЕЖИ[[#This Row],[ВАЛЮТА]]*[1]!ПЛАТЕЖИ[[#This Row],[КУРС]])</f>
        <v>3012000</v>
      </c>
      <c r="U185" s="28"/>
      <c r="V185" s="28" t="s">
        <v>279</v>
      </c>
    </row>
    <row r="186" spans="2:22" x14ac:dyDescent="0.25">
      <c r="B186" s="8">
        <v>46046</v>
      </c>
      <c r="C186" s="9" t="s">
        <v>49</v>
      </c>
      <c r="D186" s="10" t="s">
        <v>1</v>
      </c>
      <c r="E186" s="10" t="s">
        <v>2</v>
      </c>
      <c r="F186" s="11">
        <v>54.5</v>
      </c>
      <c r="G186" s="11">
        <v>21000</v>
      </c>
      <c r="H186" s="12">
        <f>[1]!РЕАЛИЗАЦИЯ[СОНИ]*[1]!РЕАЛИЗАЦИЯ[НАРХИ]</f>
        <v>905100</v>
      </c>
      <c r="I186" s="11"/>
      <c r="J186" s="13">
        <v>19000</v>
      </c>
      <c r="K186" s="11">
        <f>[1]!РЕАЛИЗАЦИЯ[[#This Row],[СОНИ]]*[1]!РЕАЛИЗАЦИЯ[[#This Row],[ТАННАРХ]]</f>
        <v>0</v>
      </c>
      <c r="L186" s="14">
        <f>[1]!РЕАЛИЗАЦИЯ[[#This Row],[ЖАМИ]]-[1]!РЕАЛИЗАЦИЯ[[#This Row],[ЖАМИ2]]</f>
        <v>905100</v>
      </c>
      <c r="O186" s="30">
        <v>46051</v>
      </c>
      <c r="P186" s="31" t="s">
        <v>283</v>
      </c>
      <c r="Q186" s="13">
        <v>1000000</v>
      </c>
      <c r="R186" s="13"/>
      <c r="S186" s="13"/>
      <c r="T186" s="32">
        <f>[1]!ПЛАТЕЖИ[[#This Row],[СЎМ]]+([1]!ПЛАТЕЖИ[[#This Row],[ВАЛЮТА]]*[1]!ПЛАТЕЖИ[[#This Row],[КУРС]])</f>
        <v>5375000</v>
      </c>
      <c r="U186" s="31"/>
      <c r="V186" s="31" t="s">
        <v>279</v>
      </c>
    </row>
    <row r="187" spans="2:22" x14ac:dyDescent="0.25">
      <c r="B187" s="1">
        <v>46046</v>
      </c>
      <c r="C187" s="2" t="s">
        <v>116</v>
      </c>
      <c r="D187" s="3" t="s">
        <v>29</v>
      </c>
      <c r="E187" s="3" t="s">
        <v>2</v>
      </c>
      <c r="F187" s="4">
        <v>100.2</v>
      </c>
      <c r="G187" s="4">
        <v>18000</v>
      </c>
      <c r="H187" s="5">
        <f>[1]!РЕАЛИЗАЦИЯ[СОНИ]*[1]!РЕАЛИЗАЦИЯ[НАРХИ]</f>
        <v>7409250</v>
      </c>
      <c r="I187" s="4"/>
      <c r="J187" s="6">
        <v>16000</v>
      </c>
      <c r="K187" s="4">
        <f>[1]!РЕАЛИЗАЦИЯ[[#This Row],[СОНИ]]*[1]!РЕАЛИЗАЦИЯ[[#This Row],[ТАННАРХ]]</f>
        <v>2726804250</v>
      </c>
      <c r="L187" s="7">
        <f>[1]!РЕАЛИЗАЦИЯ[[#This Row],[ЖАМИ]]-[1]!РЕАЛИЗАЦИЯ[[#This Row],[ЖАМИ2]]</f>
        <v>7408849.5</v>
      </c>
      <c r="O187" s="27">
        <v>46051</v>
      </c>
      <c r="P187" s="28" t="s">
        <v>39</v>
      </c>
      <c r="Q187" s="6">
        <v>12082000</v>
      </c>
      <c r="R187" s="6"/>
      <c r="S187" s="6"/>
      <c r="T187" s="29">
        <f>[1]!ПЛАТЕЖИ[[#This Row],[СЎМ]]+([1]!ПЛАТЕЖИ[[#This Row],[ВАЛЮТА]]*[1]!ПЛАТЕЖИ[[#This Row],[КУРС]])</f>
        <v>460000</v>
      </c>
      <c r="U187" s="28"/>
      <c r="V187" s="28"/>
    </row>
    <row r="188" spans="2:22" x14ac:dyDescent="0.25">
      <c r="B188" s="8">
        <v>46046</v>
      </c>
      <c r="C188" s="9" t="s">
        <v>116</v>
      </c>
      <c r="D188" s="10" t="s">
        <v>1</v>
      </c>
      <c r="E188" s="10" t="s">
        <v>2</v>
      </c>
      <c r="F188" s="11">
        <v>393.4</v>
      </c>
      <c r="G188" s="11">
        <v>21000</v>
      </c>
      <c r="H188" s="12">
        <f>[1]!РЕАЛИЗАЦИЯ[СОНИ]*[1]!РЕАЛИЗАЦИЯ[НАРХИ]</f>
        <v>2251200</v>
      </c>
      <c r="I188" s="11"/>
      <c r="J188" s="13">
        <v>19000</v>
      </c>
      <c r="K188" s="11">
        <f>[1]!РЕАЛИЗАЦИЯ[[#This Row],[СОНИ]]*[1]!РЕАЛИЗАЦИЯ[[#This Row],[ТАННАРХ]]</f>
        <v>0</v>
      </c>
      <c r="L188" s="14">
        <f>[1]!РЕАЛИЗАЦИЯ[[#This Row],[ЖАМИ]]-[1]!РЕАЛИЗАЦИЯ[[#This Row],[ЖАМИ2]]</f>
        <v>2251200</v>
      </c>
      <c r="O188" s="30">
        <v>46051</v>
      </c>
      <c r="P188" s="31" t="s">
        <v>124</v>
      </c>
      <c r="Q188" s="13">
        <v>736500</v>
      </c>
      <c r="R188" s="13"/>
      <c r="S188" s="13"/>
      <c r="T188" s="32">
        <f>[1]!ПЛАТЕЖИ[[#This Row],[СЎМ]]+([1]!ПЛАТЕЖИ[[#This Row],[ВАЛЮТА]]*[1]!ПЛАТЕЖИ[[#This Row],[КУРС]])</f>
        <v>1902500</v>
      </c>
      <c r="U188" s="31"/>
      <c r="V188" s="31"/>
    </row>
    <row r="189" spans="2:22" x14ac:dyDescent="0.25">
      <c r="B189" s="1">
        <v>46046</v>
      </c>
      <c r="C189" s="2" t="s">
        <v>116</v>
      </c>
      <c r="D189" s="3" t="s">
        <v>10</v>
      </c>
      <c r="E189" s="3" t="s">
        <v>2</v>
      </c>
      <c r="F189" s="4">
        <v>198.7</v>
      </c>
      <c r="G189" s="4">
        <v>16000</v>
      </c>
      <c r="H189" s="5">
        <f>[1]!РЕАЛИЗАЦИЯ[СОНИ]*[1]!РЕАЛИЗАЦИЯ[НАРХИ]</f>
        <v>-117599.99999999999</v>
      </c>
      <c r="I189" s="4"/>
      <c r="J189" s="6">
        <v>13000</v>
      </c>
      <c r="K189" s="4">
        <f>[1]!РЕАЛИЗАЦИЯ[[#This Row],[СОНИ]]*[1]!РЕАЛИЗАЦИЯ[[#This Row],[ТАННАРХ]]</f>
        <v>0</v>
      </c>
      <c r="L189" s="7">
        <f>[1]!РЕАЛИЗАЦИЯ[[#This Row],[ЖАМИ]]-[1]!РЕАЛИЗАЦИЯ[[#This Row],[ЖАМИ2]]</f>
        <v>-117599.99999999999</v>
      </c>
      <c r="O189" s="27">
        <v>46051</v>
      </c>
      <c r="P189" s="28" t="s">
        <v>41</v>
      </c>
      <c r="Q189" s="6">
        <v>2004300</v>
      </c>
      <c r="R189" s="6"/>
      <c r="S189" s="6"/>
      <c r="T189" s="29">
        <f>[1]!ПЛАТЕЖИ[[#This Row],[СЎМ]]+([1]!ПЛАТЕЖИ[[#This Row],[ВАЛЮТА]]*[1]!ПЛАТЕЖИ[[#This Row],[КУРС]])</f>
        <v>11246300</v>
      </c>
      <c r="U189" s="28"/>
      <c r="V189" s="28"/>
    </row>
    <row r="190" spans="2:22" x14ac:dyDescent="0.25">
      <c r="B190" s="8">
        <v>46047</v>
      </c>
      <c r="C190" s="9" t="s">
        <v>19</v>
      </c>
      <c r="D190" s="10" t="s">
        <v>10</v>
      </c>
      <c r="E190" s="10" t="s">
        <v>2</v>
      </c>
      <c r="F190" s="11">
        <v>50.2</v>
      </c>
      <c r="G190" s="11">
        <v>15000</v>
      </c>
      <c r="H190" s="12">
        <f>[1]!РЕАЛИЗАЦИЯ[СОНИ]*[1]!РЕАЛИЗАЦИЯ[НАРХИ]</f>
        <v>2364600</v>
      </c>
      <c r="I190" s="11"/>
      <c r="J190" s="13">
        <v>13000</v>
      </c>
      <c r="K190" s="11">
        <f>[1]!РЕАЛИЗАЦИЯ[[#This Row],[СОНИ]]*[1]!РЕАЛИЗАЦИЯ[[#This Row],[ТАННАРХ]]</f>
        <v>0</v>
      </c>
      <c r="L190" s="14">
        <f>[1]!РЕАЛИЗАЦИЯ[[#This Row],[ЖАМИ]]-[1]!РЕАЛИЗАЦИЯ[[#This Row],[ЖАМИ2]]</f>
        <v>2364600</v>
      </c>
      <c r="O190" s="30">
        <v>46051</v>
      </c>
      <c r="P190" s="31" t="s">
        <v>75</v>
      </c>
      <c r="Q190" s="13">
        <v>684600</v>
      </c>
      <c r="R190" s="13"/>
      <c r="S190" s="13"/>
      <c r="T190" s="32">
        <f>[1]!ПЛАТЕЖИ[[#This Row],[СЎМ]]+([1]!ПЛАТЕЖИ[[#This Row],[ВАЛЮТА]]*[1]!ПЛАТЕЖИ[[#This Row],[КУРС]])</f>
        <v>1148700</v>
      </c>
      <c r="U190" s="31"/>
      <c r="V190" s="31"/>
    </row>
    <row r="191" spans="2:22" x14ac:dyDescent="0.25">
      <c r="B191" s="1">
        <v>46047</v>
      </c>
      <c r="C191" s="15" t="s">
        <v>19</v>
      </c>
      <c r="D191" s="3" t="s">
        <v>1</v>
      </c>
      <c r="E191" s="3" t="s">
        <v>2</v>
      </c>
      <c r="F191" s="4">
        <v>56.5</v>
      </c>
      <c r="G191" s="4">
        <v>20000</v>
      </c>
      <c r="H191" s="5">
        <f>[1]!РЕАЛИЗАЦИЯ[СОНИ]*[1]!РЕАЛИЗАЦИЯ[НАРХИ]</f>
        <v>798400</v>
      </c>
      <c r="I191" s="4"/>
      <c r="J191" s="6">
        <v>19000</v>
      </c>
      <c r="K191" s="4">
        <f>[1]!РЕАЛИЗАЦИЯ[[#This Row],[СОНИ]]*[1]!РЕАЛИЗАЦИЯ[[#This Row],[ТАННАРХ]]</f>
        <v>0</v>
      </c>
      <c r="L191" s="7">
        <f>[1]!РЕАЛИЗАЦИЯ[[#This Row],[ЖАМИ]]-[1]!РЕАЛИЗАЦИЯ[[#This Row],[ЖАМИ2]]</f>
        <v>798400</v>
      </c>
      <c r="O191" s="27">
        <v>46052</v>
      </c>
      <c r="P191" s="28" t="s">
        <v>22</v>
      </c>
      <c r="Q191" s="6">
        <v>1832600</v>
      </c>
      <c r="R191" s="6"/>
      <c r="S191" s="6"/>
      <c r="T191" s="29">
        <f>[1]!ПЛАТЕЖИ[[#This Row],[СЎМ]]+([1]!ПЛАТЕЖИ[[#This Row],[ВАЛЮТА]]*[1]!ПЛАТЕЖИ[[#This Row],[КУРС]])</f>
        <v>1824900</v>
      </c>
      <c r="U191" s="28"/>
      <c r="V191" s="28"/>
    </row>
    <row r="192" spans="2:22" x14ac:dyDescent="0.25">
      <c r="B192" s="8">
        <v>46048</v>
      </c>
      <c r="C192" s="9" t="s">
        <v>68</v>
      </c>
      <c r="D192" s="10" t="s">
        <v>36</v>
      </c>
      <c r="E192" s="10" t="s">
        <v>2</v>
      </c>
      <c r="F192" s="11">
        <v>107.4</v>
      </c>
      <c r="G192" s="11">
        <v>18000</v>
      </c>
      <c r="H192" s="12">
        <f>[1]!РЕАЛИЗАЦИЯ[СОНИ]*[1]!РЕАЛИЗАЦИЯ[НАРХИ]</f>
        <v>3372000</v>
      </c>
      <c r="I192" s="11"/>
      <c r="J192" s="13">
        <v>16000</v>
      </c>
      <c r="K192" s="11">
        <f>[1]!РЕАЛИЗАЦИЯ[[#This Row],[СОНИ]]*[1]!РЕАЛИЗАЦИЯ[[#This Row],[ТАННАРХ]]</f>
        <v>0</v>
      </c>
      <c r="L192" s="14">
        <f>[1]!РЕАЛИЗАЦИЯ[[#This Row],[ЖАМИ]]-[1]!РЕАЛИЗАЦИЯ[[#This Row],[ЖАМИ2]]</f>
        <v>3372000</v>
      </c>
      <c r="O192" s="30">
        <v>46052</v>
      </c>
      <c r="P192" s="31" t="s">
        <v>129</v>
      </c>
      <c r="Q192" s="13">
        <v>3697750</v>
      </c>
      <c r="R192" s="13"/>
      <c r="S192" s="13"/>
      <c r="T192" s="32">
        <f>[1]!ПЛАТЕЖИ[[#This Row],[СЎМ]]+([1]!ПЛАТЕЖИ[[#This Row],[ВАЛЮТА]]*[1]!ПЛАТЕЖИ[[#This Row],[КУРС]])</f>
        <v>1824200</v>
      </c>
      <c r="U192" s="31"/>
      <c r="V192" s="31"/>
    </row>
    <row r="193" spans="2:22" x14ac:dyDescent="0.25">
      <c r="B193" s="1">
        <v>46048</v>
      </c>
      <c r="C193" s="2" t="s">
        <v>68</v>
      </c>
      <c r="D193" s="3" t="s">
        <v>1</v>
      </c>
      <c r="E193" s="3" t="s">
        <v>2</v>
      </c>
      <c r="F193" s="4">
        <v>50.8</v>
      </c>
      <c r="G193" s="4">
        <v>21000</v>
      </c>
      <c r="H193" s="5">
        <f>[1]!РЕАЛИЗАЦИЯ[СОНИ]*[1]!РЕАЛИЗАЦИЯ[НАРХИ]</f>
        <v>2127300</v>
      </c>
      <c r="I193" s="4"/>
      <c r="J193" s="6">
        <v>19000</v>
      </c>
      <c r="K193" s="4">
        <f>[1]!РЕАЛИЗАЦИЯ[[#This Row],[СОНИ]]*[1]!РЕАЛИЗАЦИЯ[[#This Row],[ТАННАРХ]]</f>
        <v>0</v>
      </c>
      <c r="L193" s="7">
        <f>[1]!РЕАЛИЗАЦИЯ[[#This Row],[ЖАМИ]]-[1]!РЕАЛИЗАЦИЯ[[#This Row],[ЖАМИ2]]</f>
        <v>2127300</v>
      </c>
      <c r="O193" s="27">
        <v>46052</v>
      </c>
      <c r="P193" s="28" t="s">
        <v>130</v>
      </c>
      <c r="Q193" s="6">
        <v>2000000</v>
      </c>
      <c r="R193" s="6"/>
      <c r="S193" s="6"/>
      <c r="T193" s="29">
        <f>[1]!ПЛАТЕЖИ[[#This Row],[СЎМ]]+([1]!ПЛАТЕЖИ[[#This Row],[ВАЛЮТА]]*[1]!ПЛАТЕЖИ[[#This Row],[КУРС]])</f>
        <v>4000000</v>
      </c>
      <c r="U193" s="28"/>
      <c r="V193" s="28"/>
    </row>
    <row r="194" spans="2:22" x14ac:dyDescent="0.25">
      <c r="B194" s="8">
        <v>46048</v>
      </c>
      <c r="C194" s="9" t="s">
        <v>53</v>
      </c>
      <c r="D194" s="10" t="s">
        <v>1</v>
      </c>
      <c r="E194" s="10" t="s">
        <v>2</v>
      </c>
      <c r="F194" s="11">
        <v>547.29999999999995</v>
      </c>
      <c r="G194" s="11">
        <v>20000</v>
      </c>
      <c r="H194" s="12">
        <f>[1]!РЕАЛИЗАЦИЯ[СОНИ]*[1]!РЕАЛИЗАЦИЯ[НАРХИ]</f>
        <v>780800</v>
      </c>
      <c r="I194" s="11"/>
      <c r="J194" s="13">
        <v>19000</v>
      </c>
      <c r="K194" s="11">
        <f>[1]!РЕАЛИЗАЦИЯ[[#This Row],[СОНИ]]*[1]!РЕАЛИЗАЦИЯ[[#This Row],[ТАННАРХ]]</f>
        <v>0</v>
      </c>
      <c r="L194" s="14">
        <f>[1]!РЕАЛИЗАЦИЯ[[#This Row],[ЖАМИ]]-[1]!РЕАЛИЗАЦИЯ[[#This Row],[ЖАМИ2]]</f>
        <v>780800</v>
      </c>
      <c r="O194" s="30">
        <v>46052</v>
      </c>
      <c r="P194" s="31" t="s">
        <v>53</v>
      </c>
      <c r="Q194" s="13">
        <v>20000000</v>
      </c>
      <c r="R194" s="13"/>
      <c r="S194" s="13"/>
      <c r="T194" s="32">
        <f>[1]!ПЛАТЕЖИ[[#This Row],[СЎМ]]+([1]!ПЛАТЕЖИ[[#This Row],[ВАЛЮТА]]*[1]!ПЛАТЕЖИ[[#This Row],[КУРС]])</f>
        <v>3106000</v>
      </c>
      <c r="U194" s="31"/>
      <c r="V194" s="31" t="s">
        <v>279</v>
      </c>
    </row>
    <row r="195" spans="2:22" x14ac:dyDescent="0.25">
      <c r="B195" s="1">
        <v>46048</v>
      </c>
      <c r="C195" s="2" t="s">
        <v>12</v>
      </c>
      <c r="D195" s="3" t="s">
        <v>16</v>
      </c>
      <c r="E195" s="3" t="s">
        <v>2</v>
      </c>
      <c r="F195" s="4">
        <v>2006.6</v>
      </c>
      <c r="G195" s="4">
        <v>24000</v>
      </c>
      <c r="H195" s="5">
        <f>[1]!РЕАЛИЗАЦИЯ[СОНИ]*[1]!РЕАЛИЗАЦИЯ[НАРХИ]</f>
        <v>1245300</v>
      </c>
      <c r="I195" s="4">
        <v>6</v>
      </c>
      <c r="J195" s="6">
        <v>20000</v>
      </c>
      <c r="K195" s="4">
        <f>[1]!РЕАЛИЗАЦИЯ[[#This Row],[СОНИ]]*[1]!РЕАЛИЗАЦИЯ[[#This Row],[ТАННАРХ]]</f>
        <v>0</v>
      </c>
      <c r="L195" s="7">
        <f>[1]!РЕАЛИЗАЦИЯ[[#This Row],[ЖАМИ]]-[1]!РЕАЛИЗАЦИЯ[[#This Row],[ЖАМИ2]]</f>
        <v>1245300</v>
      </c>
      <c r="O195" s="27">
        <v>46052</v>
      </c>
      <c r="P195" s="28" t="s">
        <v>65</v>
      </c>
      <c r="Q195" s="6">
        <v>10000000</v>
      </c>
      <c r="R195" s="6"/>
      <c r="S195" s="6"/>
      <c r="T195" s="29">
        <f>[1]!ПЛАТЕЖИ[[#This Row],[СЎМ]]+([1]!ПЛАТЕЖИ[[#This Row],[ВАЛЮТА]]*[1]!ПЛАТЕЖИ[[#This Row],[КУРС]])</f>
        <v>1906800</v>
      </c>
      <c r="U195" s="28"/>
      <c r="V195" s="28" t="s">
        <v>279</v>
      </c>
    </row>
    <row r="196" spans="2:22" x14ac:dyDescent="0.25">
      <c r="B196" s="8">
        <v>46048</v>
      </c>
      <c r="C196" s="9" t="s">
        <v>117</v>
      </c>
      <c r="D196" s="10" t="s">
        <v>1</v>
      </c>
      <c r="E196" s="10" t="s">
        <v>2</v>
      </c>
      <c r="F196" s="11">
        <v>144.80000000000001</v>
      </c>
      <c r="G196" s="11">
        <v>21000</v>
      </c>
      <c r="H196" s="12">
        <f>[1]!РЕАЛИЗАЦИЯ[СОНИ]*[1]!РЕАЛИЗАЦИЯ[НАРХИ]</f>
        <v>3347200</v>
      </c>
      <c r="I196" s="11"/>
      <c r="J196" s="13">
        <v>19000</v>
      </c>
      <c r="K196" s="11">
        <f>[1]!РЕАЛИЗАЦИЯ[[#This Row],[СОНИ]]*[1]!РЕАЛИЗАЦИЯ[[#This Row],[ТАННАРХ]]</f>
        <v>0</v>
      </c>
      <c r="L196" s="14">
        <f>[1]!РЕАЛИЗАЦИЯ[[#This Row],[ЖАМИ]]-[1]!РЕАЛИЗАЦИЯ[[#This Row],[ЖАМИ2]]</f>
        <v>3347200</v>
      </c>
      <c r="O196" s="30">
        <v>46052</v>
      </c>
      <c r="P196" s="31" t="s">
        <v>276</v>
      </c>
      <c r="Q196" s="13">
        <v>300000</v>
      </c>
      <c r="R196" s="13"/>
      <c r="S196" s="13"/>
      <c r="T196" s="32">
        <f>[1]!ПЛАТЕЖИ[[#This Row],[СЎМ]]+([1]!ПЛАТЕЖИ[[#This Row],[ВАЛЮТА]]*[1]!ПЛАТЕЖИ[[#This Row],[КУРС]])</f>
        <v>987000</v>
      </c>
      <c r="U196" s="31"/>
      <c r="V196" s="31" t="s">
        <v>275</v>
      </c>
    </row>
    <row r="197" spans="2:22" x14ac:dyDescent="0.25">
      <c r="B197" s="1">
        <v>46048</v>
      </c>
      <c r="C197" s="2" t="s">
        <v>7</v>
      </c>
      <c r="D197" s="3" t="s">
        <v>8</v>
      </c>
      <c r="E197" s="3" t="s">
        <v>2</v>
      </c>
      <c r="F197" s="4">
        <v>883.3</v>
      </c>
      <c r="G197" s="4">
        <v>22000</v>
      </c>
      <c r="H197" s="5">
        <f>[1]!РЕАЛИЗАЦИЯ[СОНИ]*[1]!РЕАЛИЗАЦИЯ[НАРХИ]</f>
        <v>1073100</v>
      </c>
      <c r="I197" s="4"/>
      <c r="J197" s="6">
        <v>20000</v>
      </c>
      <c r="K197" s="4">
        <f>[1]!РЕАЛИЗАЦИЯ[[#This Row],[СОНИ]]*[1]!РЕАЛИЗАЦИЯ[[#This Row],[ТАННАРХ]]</f>
        <v>0</v>
      </c>
      <c r="L197" s="7">
        <f>[1]!РЕАЛИЗАЦИЯ[[#This Row],[ЖАМИ]]-[1]!РЕАЛИЗАЦИЯ[[#This Row],[ЖАМИ2]]</f>
        <v>1073100</v>
      </c>
      <c r="O197" s="27">
        <v>46053</v>
      </c>
      <c r="P197" s="28" t="s">
        <v>60</v>
      </c>
      <c r="Q197" s="6">
        <v>10000000</v>
      </c>
      <c r="R197" s="6"/>
      <c r="S197" s="6"/>
      <c r="T197" s="29">
        <f>[1]!ПЛАТЕЖИ[[#This Row],[СЎМ]]+([1]!ПЛАТЕЖИ[[#This Row],[ВАЛЮТА]]*[1]!ПЛАТЕЖИ[[#This Row],[КУРС]])</f>
        <v>810900</v>
      </c>
      <c r="U197" s="28"/>
      <c r="V197" s="28" t="s">
        <v>275</v>
      </c>
    </row>
    <row r="198" spans="2:22" x14ac:dyDescent="0.25">
      <c r="B198" s="8">
        <v>46048</v>
      </c>
      <c r="C198" s="9" t="s">
        <v>58</v>
      </c>
      <c r="D198" s="10" t="s">
        <v>1</v>
      </c>
      <c r="E198" s="10" t="s">
        <v>2</v>
      </c>
      <c r="F198" s="11">
        <v>43.8</v>
      </c>
      <c r="G198" s="11">
        <v>21000</v>
      </c>
      <c r="H198" s="12">
        <f>[1]!РЕАЛИЗАЦИЯ[СОНИ]*[1]!РЕАЛИЗАЦИЯ[НАРХИ]</f>
        <v>1148700</v>
      </c>
      <c r="I198" s="11"/>
      <c r="J198" s="13">
        <v>19000</v>
      </c>
      <c r="K198" s="11">
        <f>[1]!РЕАЛИЗАЦИЯ[[#This Row],[СОНИ]]*[1]!РЕАЛИЗАЦИЯ[[#This Row],[ТАННАРХ]]</f>
        <v>0</v>
      </c>
      <c r="L198" s="14">
        <f>[1]!РЕАЛИЗАЦИЯ[[#This Row],[ЖАМИ]]-[1]!РЕАЛИЗАЦИЯ[[#This Row],[ЖАМИ2]]</f>
        <v>1148700</v>
      </c>
      <c r="O198" s="30">
        <v>46053</v>
      </c>
      <c r="P198" s="31" t="s">
        <v>205</v>
      </c>
      <c r="Q198" s="13">
        <v>1124000</v>
      </c>
      <c r="R198" s="13"/>
      <c r="S198" s="13"/>
      <c r="T198" s="32">
        <f>[1]!ПЛАТЕЖИ[[#This Row],[СЎМ]]+([1]!ПЛАТЕЖИ[[#This Row],[ВАЛЮТА]]*[1]!ПЛАТЕЖИ[[#This Row],[КУРС]])</f>
        <v>3150000</v>
      </c>
      <c r="U198" s="31"/>
      <c r="V198" s="31" t="s">
        <v>295</v>
      </c>
    </row>
    <row r="199" spans="2:22" x14ac:dyDescent="0.25">
      <c r="B199" s="1">
        <v>46048</v>
      </c>
      <c r="C199" s="2" t="s">
        <v>79</v>
      </c>
      <c r="D199" s="3" t="s">
        <v>29</v>
      </c>
      <c r="E199" s="3" t="s">
        <v>2</v>
      </c>
      <c r="F199" s="4">
        <v>514.1</v>
      </c>
      <c r="G199" s="4">
        <v>18000</v>
      </c>
      <c r="H199" s="5">
        <f>[1]!РЕАЛИЗАЦИЯ[СОНИ]*[1]!РЕАЛИЗАЦИЯ[НАРХИ]</f>
        <v>753600</v>
      </c>
      <c r="I199" s="4"/>
      <c r="J199" s="6">
        <v>16000</v>
      </c>
      <c r="K199" s="4">
        <f>[1]!РЕАЛИЗАЦИЯ[[#This Row],[СОНИ]]*[1]!РЕАЛИЗАЦИЯ[[#This Row],[ТАННАРХ]]</f>
        <v>0</v>
      </c>
      <c r="L199" s="7">
        <f>[1]!РЕАЛИЗАЦИЯ[[#This Row],[ЖАМИ]]-[1]!РЕАЛИЗАЦИЯ[[#This Row],[ЖАМИ2]]</f>
        <v>753600</v>
      </c>
      <c r="O199" s="27">
        <v>46053</v>
      </c>
      <c r="P199" s="28" t="s">
        <v>80</v>
      </c>
      <c r="Q199" s="6">
        <v>1038000</v>
      </c>
      <c r="R199" s="6"/>
      <c r="S199" s="6"/>
      <c r="T199" s="29">
        <f>[1]!ПЛАТЕЖИ[[#This Row],[СЎМ]]+([1]!ПЛАТЕЖИ[[#This Row],[ВАЛЮТА]]*[1]!ПЛАТЕЖИ[[#This Row],[КУРС]])</f>
        <v>2000000</v>
      </c>
      <c r="U199" s="28"/>
      <c r="V199" s="28"/>
    </row>
    <row r="200" spans="2:22" x14ac:dyDescent="0.25">
      <c r="B200" s="8">
        <v>46049</v>
      </c>
      <c r="C200" s="9" t="s">
        <v>118</v>
      </c>
      <c r="D200" s="10" t="s">
        <v>1</v>
      </c>
      <c r="E200" s="10" t="s">
        <v>2</v>
      </c>
      <c r="F200" s="11">
        <v>407.7</v>
      </c>
      <c r="G200" s="11">
        <v>20000</v>
      </c>
      <c r="H200" s="12">
        <f>[1]!РЕАЛИЗАЦИЯ[СОНИ]*[1]!РЕАЛИЗАЦИЯ[НАРХИ]</f>
        <v>11233950</v>
      </c>
      <c r="I200" s="11"/>
      <c r="J200" s="13">
        <v>19000</v>
      </c>
      <c r="K200" s="11">
        <f>[1]!РЕАЛИЗАЦИЯ[[#This Row],[СОНИ]]*[1]!РЕАЛИЗАЦИЯ[[#This Row],[ТАННАРХ]]</f>
        <v>0</v>
      </c>
      <c r="L200" s="14">
        <f>[1]!РЕАЛИЗАЦИЯ[[#This Row],[ЖАМИ]]-[1]!РЕАЛИЗАЦИЯ[[#This Row],[ЖАМИ2]]</f>
        <v>11233950</v>
      </c>
      <c r="O200" s="30">
        <v>46053</v>
      </c>
      <c r="P200" s="31" t="s">
        <v>132</v>
      </c>
      <c r="Q200" s="13">
        <v>3100000</v>
      </c>
      <c r="R200" s="13"/>
      <c r="S200" s="13"/>
      <c r="T200" s="32">
        <f>[1]!ПЛАТЕЖИ[[#This Row],[СЎМ]]+([1]!ПЛАТЕЖИ[[#This Row],[ВАЛЮТА]]*[1]!ПЛАТЕЖИ[[#This Row],[КУРС]])</f>
        <v>1815700</v>
      </c>
      <c r="U200" s="31"/>
      <c r="V200" s="31"/>
    </row>
    <row r="201" spans="2:22" x14ac:dyDescent="0.25">
      <c r="B201" s="1">
        <v>46049</v>
      </c>
      <c r="C201" s="2" t="s">
        <v>118</v>
      </c>
      <c r="D201" s="3" t="s">
        <v>10</v>
      </c>
      <c r="E201" s="3" t="s">
        <v>2</v>
      </c>
      <c r="F201" s="4">
        <v>191</v>
      </c>
      <c r="G201" s="4">
        <v>14000</v>
      </c>
      <c r="H201" s="5">
        <f>[1]!РЕАЛИЗАЦИЯ[СОНИ]*[1]!РЕАЛИЗАЦИЯ[НАРХИ]</f>
        <v>2868250</v>
      </c>
      <c r="I201" s="4"/>
      <c r="J201" s="6">
        <v>13000</v>
      </c>
      <c r="K201" s="4">
        <f>[1]!РЕАЛИЗАЦИЯ[[#This Row],[СОНИ]]*[1]!РЕАЛИЗАЦИЯ[[#This Row],[ТАННАРХ]]</f>
        <v>0</v>
      </c>
      <c r="L201" s="7">
        <f>[1]!РЕАЛИЗАЦИЯ[[#This Row],[ЖАМИ]]-[1]!РЕАЛИЗАЦИЯ[[#This Row],[ЖАМИ2]]</f>
        <v>2868250</v>
      </c>
      <c r="O201" s="27">
        <v>46053</v>
      </c>
      <c r="P201" s="28" t="s">
        <v>39</v>
      </c>
      <c r="Q201" s="6">
        <v>10000000</v>
      </c>
      <c r="R201" s="6"/>
      <c r="S201" s="6"/>
      <c r="T201" s="29">
        <f>[1]!ПЛАТЕЖИ[[#This Row],[СЎМ]]+([1]!ПЛАТЕЖИ[[#This Row],[ВАЛЮТА]]*[1]!ПЛАТЕЖИ[[#This Row],[КУРС]])</f>
        <v>3362600</v>
      </c>
      <c r="U201" s="28"/>
      <c r="V201" s="28"/>
    </row>
    <row r="202" spans="2:22" x14ac:dyDescent="0.25">
      <c r="B202" s="8">
        <v>46049</v>
      </c>
      <c r="C202" s="9" t="s">
        <v>118</v>
      </c>
      <c r="D202" s="10" t="s">
        <v>36</v>
      </c>
      <c r="E202" s="10" t="s">
        <v>2</v>
      </c>
      <c r="F202" s="11">
        <v>222.6</v>
      </c>
      <c r="G202" s="11">
        <v>17000</v>
      </c>
      <c r="H202" s="12">
        <f>[1]!РЕАЛИЗАЦИЯ[СОНИ]*[1]!РЕАЛИЗАЦИЯ[НАРХИ]</f>
        <v>796000</v>
      </c>
      <c r="I202" s="11"/>
      <c r="J202" s="13">
        <v>16000</v>
      </c>
      <c r="K202" s="11">
        <f>[1]!РЕАЛИЗАЦИЯ[[#This Row],[СОНИ]]*[1]!РЕАЛИЗАЦИЯ[[#This Row],[ТАННАРХ]]</f>
        <v>0</v>
      </c>
      <c r="L202" s="14">
        <f>[1]!РЕАЛИЗАЦИЯ[[#This Row],[ЖАМИ]]-[1]!РЕАЛИЗАЦИЯ[[#This Row],[ЖАМИ2]]</f>
        <v>796000</v>
      </c>
      <c r="O202" s="30">
        <v>46053</v>
      </c>
      <c r="P202" s="31" t="s">
        <v>108</v>
      </c>
      <c r="Q202" s="13">
        <v>635000</v>
      </c>
      <c r="R202" s="13"/>
      <c r="S202" s="13"/>
      <c r="T202" s="32">
        <f>[1]!ПЛАТЕЖИ[[#This Row],[СЎМ]]+([1]!ПЛАТЕЖИ[[#This Row],[ВАЛЮТА]]*[1]!ПЛАТЕЖИ[[#This Row],[КУРС]])</f>
        <v>1536000</v>
      </c>
      <c r="U202" s="31"/>
      <c r="V202" s="31" t="s">
        <v>275</v>
      </c>
    </row>
    <row r="203" spans="2:22" x14ac:dyDescent="0.25">
      <c r="B203" s="1">
        <v>46049</v>
      </c>
      <c r="C203" s="2" t="s">
        <v>118</v>
      </c>
      <c r="D203" s="3" t="s">
        <v>1</v>
      </c>
      <c r="E203" s="3" t="s">
        <v>2</v>
      </c>
      <c r="F203" s="4">
        <v>50.2</v>
      </c>
      <c r="G203" s="4">
        <v>20000</v>
      </c>
      <c r="H203" s="5">
        <f>[1]!РЕАЛИЗАЦИЯ[СОНИ]*[1]!РЕАЛИЗАЦИЯ[НАРХИ]</f>
        <v>-924000</v>
      </c>
      <c r="I203" s="4" t="s">
        <v>119</v>
      </c>
      <c r="J203" s="6">
        <v>19000</v>
      </c>
      <c r="K203" s="4">
        <f>[1]!РЕАЛИЗАЦИЯ[[#This Row],[СОНИ]]*[1]!РЕАЛИЗАЦИЯ[[#This Row],[ТАННАРХ]]</f>
        <v>0</v>
      </c>
      <c r="L203" s="7">
        <f>[1]!РЕАЛИЗАЦИЯ[[#This Row],[ЖАМИ]]-[1]!РЕАЛИЗАЦИЯ[[#This Row],[ЖАМИ2]]</f>
        <v>-924000</v>
      </c>
      <c r="O203" s="27">
        <v>46053</v>
      </c>
      <c r="P203" s="28" t="s">
        <v>175</v>
      </c>
      <c r="Q203" s="6">
        <v>3000000</v>
      </c>
      <c r="R203" s="6"/>
      <c r="S203" s="6"/>
      <c r="T203" s="29">
        <f>[1]!ПЛАТЕЖИ[[#This Row],[СЎМ]]+([1]!ПЛАТЕЖИ[[#This Row],[ВАЛЮТА]]*[1]!ПЛАТЕЖИ[[#This Row],[КУРС]])</f>
        <v>1000000</v>
      </c>
      <c r="U203" s="28"/>
      <c r="V203" s="28" t="s">
        <v>275</v>
      </c>
    </row>
    <row r="204" spans="2:22" x14ac:dyDescent="0.25">
      <c r="B204" s="8">
        <v>46049</v>
      </c>
      <c r="C204" s="9" t="s">
        <v>120</v>
      </c>
      <c r="D204" s="10" t="s">
        <v>36</v>
      </c>
      <c r="E204" s="10" t="s">
        <v>2</v>
      </c>
      <c r="F204" s="11">
        <v>217.2</v>
      </c>
      <c r="G204" s="11">
        <v>18000</v>
      </c>
      <c r="H204" s="12">
        <f>[1]!РЕАЛИЗАЦИЯ[СОНИ]*[1]!РЕАЛИЗАЦИЯ[НАРХИ]</f>
        <v>2796000</v>
      </c>
      <c r="I204" s="11"/>
      <c r="J204" s="13">
        <v>16000</v>
      </c>
      <c r="K204" s="11">
        <f>[1]!РЕАЛИЗАЦИЯ[[#This Row],[СОНИ]]*[1]!РЕАЛИЗАЦИЯ[[#This Row],[ТАННАРХ]]</f>
        <v>0</v>
      </c>
      <c r="L204" s="14">
        <f>[1]!РЕАЛИЗАЦИЯ[[#This Row],[ЖАМИ]]-[1]!РЕАЛИЗАЦИЯ[[#This Row],[ЖАМИ2]]</f>
        <v>2796000</v>
      </c>
      <c r="O204" s="30">
        <v>46053</v>
      </c>
      <c r="P204" s="31" t="s">
        <v>63</v>
      </c>
      <c r="Q204" s="13">
        <v>1150000</v>
      </c>
      <c r="R204" s="13"/>
      <c r="S204" s="13"/>
      <c r="T204" s="32">
        <f>[1]!ПЛАТЕЖИ[[#This Row],[СЎМ]]+([1]!ПЛАТЕЖИ[[#This Row],[ВАЛЮТА]]*[1]!ПЛАТЕЖИ[[#This Row],[КУРС]])</f>
        <v>2064300</v>
      </c>
      <c r="U204" s="31"/>
      <c r="V204" s="31"/>
    </row>
    <row r="205" spans="2:22" x14ac:dyDescent="0.25">
      <c r="B205" s="1">
        <v>46049</v>
      </c>
      <c r="C205" s="2" t="s">
        <v>7</v>
      </c>
      <c r="D205" s="3" t="s">
        <v>8</v>
      </c>
      <c r="E205" s="3" t="s">
        <v>2</v>
      </c>
      <c r="F205" s="4">
        <v>685.5</v>
      </c>
      <c r="G205" s="4">
        <v>22000</v>
      </c>
      <c r="H205" s="5">
        <f>[1]!РЕАЛИЗАЦИЯ[СОНИ]*[1]!РЕАЛИЗАЦИЯ[НАРХИ]</f>
        <v>1148700</v>
      </c>
      <c r="I205" s="4"/>
      <c r="J205" s="6">
        <v>20000</v>
      </c>
      <c r="K205" s="4">
        <f>[1]!РЕАЛИЗАЦИЯ[[#This Row],[СОНИ]]*[1]!РЕАЛИЗАЦИЯ[[#This Row],[ТАННАРХ]]</f>
        <v>0</v>
      </c>
      <c r="L205" s="7">
        <f>[1]!РЕАЛИЗАЦИЯ[[#This Row],[ЖАМИ]]-[1]!РЕАЛИЗАЦИЯ[[#This Row],[ЖАМИ2]]</f>
        <v>1148700</v>
      </c>
      <c r="O205" s="27">
        <v>46055</v>
      </c>
      <c r="P205" s="28" t="s">
        <v>89</v>
      </c>
      <c r="Q205" s="6">
        <v>22374300</v>
      </c>
      <c r="R205" s="6"/>
      <c r="S205" s="6"/>
      <c r="T205" s="29">
        <f>[1]!ПЛАТЕЖИ[[#This Row],[СЎМ]]+([1]!ПЛАТЕЖИ[[#This Row],[ВАЛЮТА]]*[1]!ПЛАТЕЖИ[[#This Row],[КУРС]])</f>
        <v>989100</v>
      </c>
      <c r="U205" s="28"/>
      <c r="V205" s="28" t="s">
        <v>275</v>
      </c>
    </row>
    <row r="206" spans="2:22" x14ac:dyDescent="0.25">
      <c r="B206" s="8">
        <v>46049</v>
      </c>
      <c r="C206" s="9" t="s">
        <v>116</v>
      </c>
      <c r="D206" s="10" t="s">
        <v>29</v>
      </c>
      <c r="E206" s="10" t="s">
        <v>2</v>
      </c>
      <c r="F206" s="11">
        <v>96.33</v>
      </c>
      <c r="G206" s="11">
        <v>18000</v>
      </c>
      <c r="H206" s="12">
        <f>[1]!РЕАЛИЗАЦИЯ[СОНИ]*[1]!РЕАЛИЗАЦИЯ[НАРХИ]</f>
        <v>1824900.0000000002</v>
      </c>
      <c r="I206" s="11"/>
      <c r="J206" s="13">
        <v>16000</v>
      </c>
      <c r="K206" s="11">
        <f>[1]!РЕАЛИЗАЦИЯ[[#This Row],[СОНИ]]*[1]!РЕАЛИЗАЦИЯ[[#This Row],[ТАННАРХ]]</f>
        <v>0</v>
      </c>
      <c r="L206" s="14">
        <f>[1]!РЕАЛИЗАЦИЯ[[#This Row],[ЖАМИ]]-[1]!РЕАЛИЗАЦИЯ[[#This Row],[ЖАМИ2]]</f>
        <v>1824900.0000000002</v>
      </c>
      <c r="O206" s="30">
        <v>46055</v>
      </c>
      <c r="P206" s="31" t="s">
        <v>27</v>
      </c>
      <c r="Q206" s="13">
        <v>22400000</v>
      </c>
      <c r="R206" s="13"/>
      <c r="S206" s="13"/>
      <c r="T206" s="32">
        <f>[1]!ПЛАТЕЖИ[[#This Row],[СЎМ]]+([1]!ПЛАТЕЖИ[[#This Row],[ВАЛЮТА]]*[1]!ПЛАТЕЖИ[[#This Row],[КУРС]])</f>
        <v>2265000</v>
      </c>
      <c r="U206" s="31"/>
      <c r="V206" s="31" t="s">
        <v>279</v>
      </c>
    </row>
    <row r="207" spans="2:22" x14ac:dyDescent="0.25">
      <c r="B207" s="1">
        <v>46049</v>
      </c>
      <c r="C207" s="2" t="s">
        <v>68</v>
      </c>
      <c r="D207" s="3" t="s">
        <v>36</v>
      </c>
      <c r="E207" s="3" t="s">
        <v>2</v>
      </c>
      <c r="F207" s="4">
        <v>471.1</v>
      </c>
      <c r="G207" s="4">
        <v>18000</v>
      </c>
      <c r="H207" s="5">
        <f>[1]!РЕАЛИЗАЦИЯ[СОНИ]*[1]!РЕАЛИЗАЦИЯ[НАРХИ]</f>
        <v>3594000</v>
      </c>
      <c r="I207" s="4"/>
      <c r="J207" s="6">
        <v>16000</v>
      </c>
      <c r="K207" s="4">
        <f>[1]!РЕАЛИЗАЦИЯ[[#This Row],[СОНИ]]*[1]!РЕАЛИЗАЦИЯ[[#This Row],[ТАННАРХ]]</f>
        <v>0</v>
      </c>
      <c r="L207" s="7">
        <f>[1]!РЕАЛИЗАЦИЯ[[#This Row],[ЖАМИ]]-[1]!РЕАЛИЗАЦИЯ[[#This Row],[ЖАМИ2]]</f>
        <v>3594000</v>
      </c>
      <c r="O207" s="27">
        <v>46055</v>
      </c>
      <c r="P207" s="28" t="s">
        <v>15</v>
      </c>
      <c r="Q207" s="6">
        <v>55983100</v>
      </c>
      <c r="R207" s="6"/>
      <c r="S207" s="6"/>
      <c r="T207" s="29">
        <f>[1]!ПЛАТЕЖИ[[#This Row],[СЎМ]]+([1]!ПЛАТЕЖИ[[#This Row],[ВАЛЮТА]]*[1]!ПЛАТЕЖИ[[#This Row],[КУРС]])</f>
        <v>1470000</v>
      </c>
      <c r="U207" s="28"/>
      <c r="V207" s="28" t="s">
        <v>279</v>
      </c>
    </row>
    <row r="208" spans="2:22" x14ac:dyDescent="0.25">
      <c r="B208" s="8">
        <v>46049</v>
      </c>
      <c r="C208" s="9" t="s">
        <v>121</v>
      </c>
      <c r="D208" s="10" t="s">
        <v>1</v>
      </c>
      <c r="E208" s="10" t="s">
        <v>2</v>
      </c>
      <c r="F208" s="11">
        <v>50.5</v>
      </c>
      <c r="G208" s="11">
        <v>21000</v>
      </c>
      <c r="H208" s="12">
        <f>[1]!РЕАЛИЗАЦИЯ[СОНИ]*[1]!РЕАЛИЗАЦИЯ[НАРХИ]</f>
        <v>1492800</v>
      </c>
      <c r="I208" s="11"/>
      <c r="J208" s="13">
        <v>19000</v>
      </c>
      <c r="K208" s="11">
        <f>[1]!РЕАЛИЗАЦИЯ[[#This Row],[СОНИ]]*[1]!РЕАЛИЗАЦИЯ[[#This Row],[ТАННАРХ]]</f>
        <v>0</v>
      </c>
      <c r="L208" s="14">
        <f>[1]!РЕАЛИЗАЦИЯ[[#This Row],[ЖАМИ]]-[1]!РЕАЛИЗАЦИЯ[[#This Row],[ЖАМИ2]]</f>
        <v>1492800</v>
      </c>
      <c r="O208" s="30">
        <v>46055</v>
      </c>
      <c r="P208" s="31" t="s">
        <v>71</v>
      </c>
      <c r="Q208" s="13">
        <v>1000000</v>
      </c>
      <c r="R208" s="13"/>
      <c r="S208" s="13"/>
      <c r="T208" s="32">
        <f>[1]!ПЛАТЕЖИ[[#This Row],[СЎМ]]+([1]!ПЛАТЕЖИ[[#This Row],[ВАЛЮТА]]*[1]!ПЛАТЕЖИ[[#This Row],[КУРС]])</f>
        <v>12750000</v>
      </c>
      <c r="U208" s="31"/>
      <c r="V208" s="31" t="s">
        <v>279</v>
      </c>
    </row>
    <row r="209" spans="2:22" x14ac:dyDescent="0.25">
      <c r="B209" s="1">
        <v>46049</v>
      </c>
      <c r="C209" s="2" t="s">
        <v>27</v>
      </c>
      <c r="D209" s="3" t="s">
        <v>10</v>
      </c>
      <c r="E209" s="3" t="s">
        <v>2</v>
      </c>
      <c r="F209" s="4">
        <v>1487.8</v>
      </c>
      <c r="G209" s="4">
        <v>14500</v>
      </c>
      <c r="H209" s="5">
        <f>[1]!РЕАЛИЗАЦИЯ[СОНИ]*[1]!РЕАЛИЗАЦИЯ[НАРХИ]</f>
        <v>5316000</v>
      </c>
      <c r="I209" s="4"/>
      <c r="J209" s="6">
        <v>13000</v>
      </c>
      <c r="K209" s="4">
        <f>[1]!РЕАЛИЗАЦИЯ[[#This Row],[СОНИ]]*[1]!РЕАЛИЗАЦИЯ[[#This Row],[ТАННАРХ]]</f>
        <v>0</v>
      </c>
      <c r="L209" s="7">
        <f>[1]!РЕАЛИЗАЦИЯ[[#This Row],[ЖАМИ]]-[1]!РЕАЛИЗАЦИЯ[[#This Row],[ЖАМИ2]]</f>
        <v>5316000</v>
      </c>
      <c r="O209" s="27">
        <v>46055</v>
      </c>
      <c r="P209" s="28" t="s">
        <v>127</v>
      </c>
      <c r="Q209" s="6">
        <v>1819200</v>
      </c>
      <c r="R209" s="6"/>
      <c r="S209" s="6"/>
      <c r="T209" s="29">
        <f>[1]!ПЛАТЕЖИ[[#This Row],[СЎМ]]+([1]!ПЛАТЕЖИ[[#This Row],[ВАЛЮТА]]*[1]!ПЛАТЕЖИ[[#This Row],[КУРС]])</f>
        <v>510000</v>
      </c>
      <c r="U209" s="28"/>
      <c r="V209" s="28" t="s">
        <v>279</v>
      </c>
    </row>
    <row r="210" spans="2:22" x14ac:dyDescent="0.25">
      <c r="B210" s="8">
        <v>46050</v>
      </c>
      <c r="C210" s="9" t="s">
        <v>122</v>
      </c>
      <c r="D210" s="10" t="s">
        <v>1</v>
      </c>
      <c r="E210" s="10" t="s">
        <v>2</v>
      </c>
      <c r="F210" s="11">
        <v>317.3</v>
      </c>
      <c r="G210" s="11">
        <v>20500</v>
      </c>
      <c r="H210" s="12">
        <f>[1]!РЕАЛИЗАЦИЯ[СОНИ]*[1]!РЕАЛИЗАЦИЯ[НАРХИ]</f>
        <v>2343000</v>
      </c>
      <c r="I210" s="11"/>
      <c r="J210" s="13">
        <v>19000</v>
      </c>
      <c r="K210" s="11">
        <f>[1]!РЕАЛИЗАЦИЯ[[#This Row],[СОНИ]]*[1]!РЕАЛИЗАЦИЯ[[#This Row],[ТАННАРХ]]</f>
        <v>0</v>
      </c>
      <c r="L210" s="14">
        <f>[1]!РЕАЛИЗАЦИЯ[[#This Row],[ЖАМИ]]-[1]!РЕАЛИЗАЦИЯ[[#This Row],[ЖАМИ2]]</f>
        <v>2343000</v>
      </c>
      <c r="O210" s="30">
        <v>46055</v>
      </c>
      <c r="P210" s="31" t="s">
        <v>26</v>
      </c>
      <c r="Q210" s="13">
        <v>2483900</v>
      </c>
      <c r="R210" s="13"/>
      <c r="S210" s="13"/>
      <c r="T210" s="32">
        <f>[1]!ПЛАТЕЖИ[[#This Row],[СЎМ]]+([1]!ПЛАТЕЖИ[[#This Row],[ВАЛЮТА]]*[1]!ПЛАТЕЖИ[[#This Row],[КУРС]])</f>
        <v>1363000</v>
      </c>
      <c r="U210" s="31"/>
      <c r="V210" s="31"/>
    </row>
    <row r="211" spans="2:22" x14ac:dyDescent="0.25">
      <c r="B211" s="1">
        <v>46050</v>
      </c>
      <c r="C211" s="2" t="s">
        <v>123</v>
      </c>
      <c r="D211" s="3" t="s">
        <v>1</v>
      </c>
      <c r="E211" s="3" t="s">
        <v>2</v>
      </c>
      <c r="F211" s="4">
        <v>46.7</v>
      </c>
      <c r="G211" s="4">
        <v>20000</v>
      </c>
      <c r="H211" s="5">
        <f>[1]!РЕАЛИЗАЦИЯ[СОНИ]*[1]!РЕАЛИЗАЦИЯ[НАРХИ]</f>
        <v>1974000</v>
      </c>
      <c r="I211" s="4"/>
      <c r="J211" s="6">
        <v>19000</v>
      </c>
      <c r="K211" s="4">
        <f>[1]!РЕАЛИЗАЦИЯ[[#This Row],[СОНИ]]*[1]!РЕАЛИЗАЦИЯ[[#This Row],[ТАННАРХ]]</f>
        <v>0</v>
      </c>
      <c r="L211" s="7">
        <f>[1]!РЕАЛИЗАЦИЯ[[#This Row],[ЖАМИ]]-[1]!РЕАЛИЗАЦИЯ[[#This Row],[ЖАМИ2]]</f>
        <v>1974000</v>
      </c>
      <c r="O211" s="27">
        <v>46055</v>
      </c>
      <c r="P211" s="28" t="s">
        <v>58</v>
      </c>
      <c r="Q211" s="6">
        <v>500000</v>
      </c>
      <c r="R211" s="6"/>
      <c r="S211" s="6"/>
      <c r="T211" s="29">
        <f>[1]!ПЛАТЕЖИ[[#This Row],[СЎМ]]+([1]!ПЛАТЕЖИ[[#This Row],[ВАЛЮТА]]*[1]!ПЛАТЕЖИ[[#This Row],[КУРС]])</f>
        <v>7014800</v>
      </c>
      <c r="U211" s="28"/>
      <c r="V211" s="28"/>
    </row>
    <row r="212" spans="2:22" x14ac:dyDescent="0.25">
      <c r="B212" s="8">
        <v>46050</v>
      </c>
      <c r="C212" s="9" t="s">
        <v>33</v>
      </c>
      <c r="D212" s="10" t="s">
        <v>10</v>
      </c>
      <c r="E212" s="10" t="s">
        <v>2</v>
      </c>
      <c r="F212" s="11">
        <v>965.8</v>
      </c>
      <c r="G212" s="11">
        <v>14500</v>
      </c>
      <c r="H212" s="12">
        <f>[1]!РЕАЛИЗАЦИЯ[СОНИ]*[1]!РЕАЛИЗАЦИЯ[НАРХИ]</f>
        <v>1220100</v>
      </c>
      <c r="I212" s="11"/>
      <c r="J212" s="13">
        <v>13000</v>
      </c>
      <c r="K212" s="11">
        <f>[1]!РЕАЛИЗАЦИЯ[[#This Row],[СОНИ]]*[1]!РЕАЛИЗАЦИЯ[[#This Row],[ТАННАРХ]]</f>
        <v>0</v>
      </c>
      <c r="L212" s="14">
        <f>[1]!РЕАЛИЗАЦИЯ[[#This Row],[ЖАМИ]]-[1]!РЕАЛИЗАЦИЯ[[#This Row],[ЖАМИ2]]</f>
        <v>1220100</v>
      </c>
      <c r="O212" s="30">
        <v>46055</v>
      </c>
      <c r="P212" s="31" t="s">
        <v>296</v>
      </c>
      <c r="Q212" s="13">
        <v>-2267500</v>
      </c>
      <c r="R212" s="13"/>
      <c r="S212" s="13"/>
      <c r="T212" s="32">
        <f>[1]!ПЛАТЕЖИ[[#This Row],[СЎМ]]+([1]!ПЛАТЕЖИ[[#This Row],[ВАЛЮТА]]*[1]!ПЛАТЕЖИ[[#This Row],[КУРС]])</f>
        <v>1814900</v>
      </c>
      <c r="U212" s="31"/>
      <c r="V212" s="31"/>
    </row>
    <row r="213" spans="2:22" x14ac:dyDescent="0.25">
      <c r="B213" s="1">
        <v>46050</v>
      </c>
      <c r="C213" s="2" t="s">
        <v>33</v>
      </c>
      <c r="D213" s="3" t="s">
        <v>1</v>
      </c>
      <c r="E213" s="3" t="s">
        <v>2</v>
      </c>
      <c r="F213" s="4">
        <v>93.7</v>
      </c>
      <c r="G213" s="4">
        <v>20500</v>
      </c>
      <c r="H213" s="5">
        <f>[1]!РЕАЛИЗАЦИЯ[СОНИ]*[1]!РЕАЛИЗАЦИЯ[НАРХИ]</f>
        <v>737600</v>
      </c>
      <c r="I213" s="4"/>
      <c r="J213" s="6">
        <v>19000</v>
      </c>
      <c r="K213" s="4">
        <f>[1]!РЕАЛИЗАЦИЯ[[#This Row],[СОНИ]]*[1]!РЕАЛИЗАЦИЯ[[#This Row],[ТАННАРХ]]</f>
        <v>0</v>
      </c>
      <c r="L213" s="7">
        <f>[1]!РЕАЛИЗАЦИЯ[[#This Row],[ЖАМИ]]-[1]!РЕАЛИЗАЦИЯ[[#This Row],[ЖАМИ2]]</f>
        <v>737600</v>
      </c>
      <c r="O213" s="27">
        <v>46055</v>
      </c>
      <c r="P213" s="28" t="s">
        <v>27</v>
      </c>
      <c r="Q213" s="6">
        <v>22400000</v>
      </c>
      <c r="R213" s="6"/>
      <c r="S213" s="6"/>
      <c r="T213" s="29">
        <f>[1]!ПЛАТЕЖИ[[#This Row],[СЎМ]]+([1]!ПЛАТЕЖИ[[#This Row],[ВАЛЮТА]]*[1]!ПЛАТЕЖИ[[#This Row],[КУРС]])</f>
        <v>324500</v>
      </c>
      <c r="U213" s="28"/>
      <c r="V213" s="28"/>
    </row>
    <row r="214" spans="2:22" x14ac:dyDescent="0.25">
      <c r="B214" s="8">
        <v>46051</v>
      </c>
      <c r="C214" s="9" t="s">
        <v>9</v>
      </c>
      <c r="D214" s="10" t="s">
        <v>25</v>
      </c>
      <c r="E214" s="10" t="s">
        <v>2</v>
      </c>
      <c r="F214" s="11">
        <v>204.6</v>
      </c>
      <c r="G214" s="11">
        <v>25700</v>
      </c>
      <c r="H214" s="12">
        <f>[1]!РЕАЛИЗАЦИЯ[СОНИ]*[1]!РЕАЛИЗАЦИЯ[НАРХИ]</f>
        <v>1124000</v>
      </c>
      <c r="I214" s="11"/>
      <c r="J214" s="13">
        <v>23000</v>
      </c>
      <c r="K214" s="11">
        <f>[1]!РЕАЛИЗАЦИЯ[[#This Row],[СОНИ]]*[1]!РЕАЛИЗАЦИЯ[[#This Row],[ТАННАРХ]]</f>
        <v>0</v>
      </c>
      <c r="L214" s="14">
        <f>[1]!РЕАЛИЗАЦИЯ[[#This Row],[ЖАМИ]]-[1]!РЕАЛИЗАЦИЯ[[#This Row],[ЖАМИ2]]</f>
        <v>1124000</v>
      </c>
      <c r="O214" s="30">
        <v>46055</v>
      </c>
      <c r="P214" s="31" t="s">
        <v>19</v>
      </c>
      <c r="Q214" s="13">
        <v>1000000</v>
      </c>
      <c r="R214" s="13"/>
      <c r="S214" s="13"/>
      <c r="T214" s="32">
        <f>[1]!ПЛАТЕЖИ[[#This Row],[СЎМ]]+([1]!ПЛАТЕЖИ[[#This Row],[ВАЛЮТА]]*[1]!ПЛАТЕЖИ[[#This Row],[КУРС]])</f>
        <v>5000000</v>
      </c>
      <c r="U214" s="31"/>
      <c r="V214" s="31"/>
    </row>
    <row r="215" spans="2:22" x14ac:dyDescent="0.25">
      <c r="B215" s="1">
        <v>46051</v>
      </c>
      <c r="C215" s="2" t="s">
        <v>124</v>
      </c>
      <c r="D215" s="3" t="s">
        <v>10</v>
      </c>
      <c r="E215" s="3" t="s">
        <v>2</v>
      </c>
      <c r="F215" s="4">
        <v>49.1</v>
      </c>
      <c r="G215" s="4">
        <v>15000</v>
      </c>
      <c r="H215" s="5">
        <f>[1]!РЕАЛИЗАЦИЯ[СОНИ]*[1]!РЕАЛИЗАЦИЯ[НАРХИ]</f>
        <v>778500</v>
      </c>
      <c r="I215" s="4"/>
      <c r="J215" s="6">
        <v>13000</v>
      </c>
      <c r="K215" s="4">
        <f>[1]!РЕАЛИЗАЦИЯ[[#This Row],[СОНИ]]*[1]!РЕАЛИЗАЦИЯ[[#This Row],[ТАННАРХ]]</f>
        <v>0</v>
      </c>
      <c r="L215" s="7">
        <f>[1]!РЕАЛИЗАЦИЯ[[#This Row],[ЖАМИ]]-[1]!РЕАЛИЗАЦИЯ[[#This Row],[ЖАМИ2]]</f>
        <v>778500</v>
      </c>
      <c r="O215" s="27">
        <v>46055</v>
      </c>
      <c r="P215" s="28" t="s">
        <v>47</v>
      </c>
      <c r="Q215" s="6">
        <v>3000300</v>
      </c>
      <c r="R215" s="6"/>
      <c r="S215" s="6"/>
      <c r="T215" s="29">
        <f>[1]!ПЛАТЕЖИ[[#This Row],[СЎМ]]+([1]!ПЛАТЕЖИ[[#This Row],[ВАЛЮТА]]*[1]!ПЛАТЕЖИ[[#This Row],[КУРС]])</f>
        <v>1717000</v>
      </c>
      <c r="U215" s="28"/>
      <c r="V215" s="28"/>
    </row>
    <row r="216" spans="2:22" x14ac:dyDescent="0.25">
      <c r="B216" s="8">
        <v>46051</v>
      </c>
      <c r="C216" s="9" t="s">
        <v>41</v>
      </c>
      <c r="D216" s="10" t="s">
        <v>36</v>
      </c>
      <c r="E216" s="10" t="s">
        <v>2</v>
      </c>
      <c r="F216" s="11">
        <v>56.4</v>
      </c>
      <c r="G216" s="11">
        <v>18000</v>
      </c>
      <c r="H216" s="12">
        <f>[1]!РЕАЛИЗАЦИЯ[СОНИ]*[1]!РЕАЛИЗАЦИЯ[НАРХИ]</f>
        <v>11246300</v>
      </c>
      <c r="I216" s="11"/>
      <c r="J216" s="13">
        <v>16000</v>
      </c>
      <c r="K216" s="11">
        <f>[1]!РЕАЛИЗАЦИЯ[[#This Row],[СОНИ]]*[1]!РЕАЛИЗАЦИЯ[[#This Row],[ТАННАРХ]]</f>
        <v>9354975125</v>
      </c>
      <c r="L216" s="14">
        <f>[1]!РЕАЛИЗАЦИЯ[[#This Row],[ЖАМИ]]-[1]!РЕАЛИЗАЦИЯ[[#This Row],[ЖАМИ2]]</f>
        <v>11245434.9</v>
      </c>
      <c r="O216" s="30">
        <v>46055</v>
      </c>
      <c r="P216" s="31" t="s">
        <v>31</v>
      </c>
      <c r="Q216" s="13">
        <v>150000</v>
      </c>
      <c r="R216" s="13"/>
      <c r="S216" s="13"/>
      <c r="T216" s="32">
        <f>[1]!ПЛАТЕЖИ[[#This Row],[СЎМ]]+([1]!ПЛАТЕЖИ[[#This Row],[ВАЛЮТА]]*[1]!ПЛАТЕЖИ[[#This Row],[КУРС]])</f>
        <v>5368550</v>
      </c>
      <c r="U216" s="31"/>
      <c r="V216" s="31" t="s">
        <v>275</v>
      </c>
    </row>
    <row r="217" spans="2:22" x14ac:dyDescent="0.25">
      <c r="B217" s="1">
        <v>46051</v>
      </c>
      <c r="C217" s="2" t="s">
        <v>41</v>
      </c>
      <c r="D217" s="3" t="s">
        <v>1</v>
      </c>
      <c r="E217" s="3" t="s">
        <v>2</v>
      </c>
      <c r="F217" s="4">
        <v>47.1</v>
      </c>
      <c r="G217" s="4">
        <v>21000</v>
      </c>
      <c r="H217" s="5">
        <f>[1]!РЕАЛИЗАЦИЯ[СОНИ]*[1]!РЕАЛИЗАЦИЯ[НАРХИ]</f>
        <v>43930000</v>
      </c>
      <c r="I217" s="4"/>
      <c r="J217" s="6">
        <v>19000</v>
      </c>
      <c r="K217" s="4">
        <f>[1]!РЕАЛИЗАЦИЯ[[#This Row],[СОНИ]]*[1]!РЕАЛИЗАЦИЯ[[#This Row],[ТАННАРХ]]</f>
        <v>72962000000</v>
      </c>
      <c r="L217" s="7">
        <f>[1]!РЕАЛИЗАЦИЯ[[#This Row],[ЖАМИ]]-[1]!РЕАЛИЗАЦИЯ[[#This Row],[ЖАМИ2]]</f>
        <v>43928090</v>
      </c>
      <c r="O217" s="27">
        <v>46056</v>
      </c>
      <c r="P217" s="28" t="s">
        <v>132</v>
      </c>
      <c r="Q217" s="6">
        <v>420000</v>
      </c>
      <c r="R217" s="6"/>
      <c r="S217" s="6"/>
      <c r="T217" s="29">
        <f>[1]!ПЛАТЕЖИ[[#This Row],[СЎМ]]+([1]!ПЛАТЕЖИ[[#This Row],[ВАЛЮТА]]*[1]!ПЛАТЕЖИ[[#This Row],[КУРС]])</f>
        <v>1710000</v>
      </c>
      <c r="U217" s="28"/>
      <c r="V217" s="28" t="s">
        <v>275</v>
      </c>
    </row>
    <row r="218" spans="2:22" x14ac:dyDescent="0.25">
      <c r="B218" s="8">
        <v>46051</v>
      </c>
      <c r="C218" s="9" t="s">
        <v>71</v>
      </c>
      <c r="D218" s="10" t="s">
        <v>1</v>
      </c>
      <c r="E218" s="10" t="s">
        <v>2</v>
      </c>
      <c r="F218" s="11">
        <v>145.69999999999999</v>
      </c>
      <c r="G218" s="11">
        <v>21000</v>
      </c>
      <c r="H218" s="12">
        <f>[1]!РЕАЛИЗАЦИЯ[СОНИ]*[1]!РЕАЛИЗАЦИЯ[НАРХИ]</f>
        <v>3106000</v>
      </c>
      <c r="I218" s="11"/>
      <c r="J218" s="13">
        <v>19000</v>
      </c>
      <c r="K218" s="11">
        <f>[1]!РЕАЛИЗАЦИЯ[[#This Row],[СОНИ]]*[1]!РЕАЛИЗАЦИЯ[[#This Row],[ТАННАРХ]]</f>
        <v>0</v>
      </c>
      <c r="L218" s="14">
        <f>[1]!РЕАЛИЗАЦИЯ[[#This Row],[ЖАМИ]]-[1]!РЕАЛИЗАЦИЯ[[#This Row],[ЖАМИ2]]</f>
        <v>3106000</v>
      </c>
      <c r="O218" s="30">
        <v>46056</v>
      </c>
      <c r="P218" s="31" t="s">
        <v>286</v>
      </c>
      <c r="Q218" s="13">
        <v>1000000</v>
      </c>
      <c r="R218" s="13"/>
      <c r="S218" s="13"/>
      <c r="T218" s="32">
        <f>[1]!ПЛАТЕЖИ[[#This Row],[СЎМ]]+([1]!ПЛАТЕЖИ[[#This Row],[ВАЛЮТА]]*[1]!ПЛАТЕЖИ[[#This Row],[КУРС]])</f>
        <v>2803800</v>
      </c>
      <c r="U218" s="31"/>
      <c r="V218" s="31" t="s">
        <v>275</v>
      </c>
    </row>
    <row r="219" spans="2:22" x14ac:dyDescent="0.25">
      <c r="B219" s="1">
        <v>46051</v>
      </c>
      <c r="C219" s="2" t="s">
        <v>60</v>
      </c>
      <c r="D219" s="3" t="s">
        <v>1</v>
      </c>
      <c r="E219" s="3" t="s">
        <v>2</v>
      </c>
      <c r="F219" s="4">
        <v>197.9</v>
      </c>
      <c r="G219" s="4">
        <v>20500</v>
      </c>
      <c r="H219" s="5">
        <f>[1]!РЕАЛИЗАЦИЯ[СОНИ]*[1]!РЕАЛИЗАЦИЯ[НАРХИ]</f>
        <v>1906800</v>
      </c>
      <c r="I219" s="4"/>
      <c r="J219" s="6">
        <v>19000</v>
      </c>
      <c r="K219" s="4">
        <f>[1]!РЕАЛИЗАЦИЯ[[#This Row],[СОНИ]]*[1]!РЕАЛИЗАЦИЯ[[#This Row],[ТАННАРХ]]</f>
        <v>0</v>
      </c>
      <c r="L219" s="7">
        <f>[1]!РЕАЛИЗАЦИЯ[[#This Row],[ЖАМИ]]-[1]!РЕАЛИЗАЦИЯ[[#This Row],[ЖАМИ2]]</f>
        <v>1906800</v>
      </c>
      <c r="O219" s="27">
        <v>46056</v>
      </c>
      <c r="P219" s="28" t="s">
        <v>31</v>
      </c>
      <c r="Q219" s="6">
        <v>450000</v>
      </c>
      <c r="R219" s="6"/>
      <c r="S219" s="6"/>
      <c r="T219" s="29">
        <f>[1]!ПЛАТЕЖИ[[#This Row],[СЎМ]]+([1]!ПЛАТЕЖИ[[#This Row],[ВАЛЮТА]]*[1]!ПЛАТЕЖИ[[#This Row],[КУРС]])</f>
        <v>1780000</v>
      </c>
      <c r="U219" s="28"/>
      <c r="V219" s="28"/>
    </row>
    <row r="220" spans="2:22" x14ac:dyDescent="0.25">
      <c r="B220" s="8">
        <v>46051</v>
      </c>
      <c r="C220" s="9" t="s">
        <v>39</v>
      </c>
      <c r="D220" s="10" t="s">
        <v>40</v>
      </c>
      <c r="E220" s="10" t="s">
        <v>2</v>
      </c>
      <c r="F220" s="11">
        <v>222.4</v>
      </c>
      <c r="G220" s="11">
        <v>20000</v>
      </c>
      <c r="H220" s="12">
        <f>[1]!РЕАЛИЗАЦИЯ[СОНИ]*[1]!РЕАЛИЗАЦИЯ[НАРХИ]</f>
        <v>1066359</v>
      </c>
      <c r="I220" s="11"/>
      <c r="J220" s="13">
        <v>19500</v>
      </c>
      <c r="K220" s="11">
        <f>[1]!РЕАЛИЗАЦИЯ[[#This Row],[СОНИ]]*[1]!РЕАЛИЗАЦИЯ[[#This Row],[ТАННАРХ]]</f>
        <v>0</v>
      </c>
      <c r="L220" s="14">
        <f>[1]!РЕАЛИЗАЦИЯ[[#This Row],[ЖАМИ]]-[1]!РЕАЛИЗАЦИЯ[[#This Row],[ЖАМИ2]]</f>
        <v>1066359</v>
      </c>
      <c r="O220" s="30">
        <v>46056</v>
      </c>
      <c r="P220" s="31" t="s">
        <v>70</v>
      </c>
      <c r="Q220" s="13">
        <v>300000</v>
      </c>
      <c r="R220" s="13"/>
      <c r="S220" s="13"/>
      <c r="T220" s="32">
        <f>[1]!ПЛАТЕЖИ[[#This Row],[СЎМ]]+([1]!ПЛАТЕЖИ[[#This Row],[ВАЛЮТА]]*[1]!ПЛАТЕЖИ[[#This Row],[КУРС]])</f>
        <v>1587000</v>
      </c>
      <c r="U220" s="31"/>
      <c r="V220" s="31" t="s">
        <v>275</v>
      </c>
    </row>
    <row r="221" spans="2:22" x14ac:dyDescent="0.25">
      <c r="B221" s="1">
        <v>46051</v>
      </c>
      <c r="C221" s="2" t="s">
        <v>75</v>
      </c>
      <c r="D221" s="3" t="s">
        <v>10</v>
      </c>
      <c r="E221" s="3" t="s">
        <v>2</v>
      </c>
      <c r="F221" s="4">
        <v>48.9</v>
      </c>
      <c r="G221" s="4">
        <v>14000</v>
      </c>
      <c r="H221" s="5">
        <f>[1]!РЕАЛИЗАЦИЯ[СОНИ]*[1]!РЕАЛИЗАЦИЯ[НАРХИ]</f>
        <v>991200.00000000012</v>
      </c>
      <c r="I221" s="4"/>
      <c r="J221" s="6">
        <v>13000</v>
      </c>
      <c r="K221" s="4">
        <f>[1]!РЕАЛИЗАЦИЯ[[#This Row],[СОНИ]]*[1]!РЕАЛИЗАЦИЯ[[#This Row],[ТАННАРХ]]</f>
        <v>0</v>
      </c>
      <c r="L221" s="7">
        <f>[1]!РЕАЛИЗАЦИЯ[[#This Row],[ЖАМИ]]-[1]!РЕАЛИЗАЦИЯ[[#This Row],[ЖАМИ2]]</f>
        <v>991200.00000000012</v>
      </c>
      <c r="O221" s="27">
        <v>46056</v>
      </c>
      <c r="P221" s="28" t="s">
        <v>78</v>
      </c>
      <c r="Q221" s="6">
        <v>8000000</v>
      </c>
      <c r="R221" s="6"/>
      <c r="S221" s="6"/>
      <c r="T221" s="29">
        <f>[1]!ПЛАТЕЖИ[[#This Row],[СЎМ]]+([1]!ПЛАТЕЖИ[[#This Row],[ВАЛЮТА]]*[1]!ПЛАТЕЖИ[[#This Row],[КУРС]])</f>
        <v>1129000</v>
      </c>
      <c r="U221" s="28"/>
      <c r="V221" s="28"/>
    </row>
    <row r="222" spans="2:22" x14ac:dyDescent="0.25">
      <c r="B222" s="8">
        <v>46051</v>
      </c>
      <c r="C222" s="9" t="s">
        <v>125</v>
      </c>
      <c r="D222" s="10" t="s">
        <v>1</v>
      </c>
      <c r="E222" s="10" t="s">
        <v>2</v>
      </c>
      <c r="F222" s="11">
        <v>150.6</v>
      </c>
      <c r="G222" s="11">
        <v>20000</v>
      </c>
      <c r="H222" s="12">
        <f>[1]!РЕАЛИЗАЦИЯ[СОНИ]*[1]!РЕАЛИЗАЦИЯ[НАРХИ]</f>
        <v>987000</v>
      </c>
      <c r="I222" s="11"/>
      <c r="J222" s="13">
        <v>19000</v>
      </c>
      <c r="K222" s="11">
        <f>[1]!РЕАЛИЗАЦИЯ[[#This Row],[СОНИ]]*[1]!РЕАЛИЗАЦИЯ[[#This Row],[ТАННАРХ]]</f>
        <v>0</v>
      </c>
      <c r="L222" s="14">
        <f>[1]!РЕАЛИЗАЦИЯ[[#This Row],[ЖАМИ]]-[1]!РЕАЛИЗАЦИЯ[[#This Row],[ЖАМИ2]]</f>
        <v>987000</v>
      </c>
      <c r="O222" s="30">
        <v>46056</v>
      </c>
      <c r="P222" s="31" t="s">
        <v>108</v>
      </c>
      <c r="Q222" s="13">
        <v>458000</v>
      </c>
      <c r="R222" s="13"/>
      <c r="S222" s="13"/>
      <c r="T222" s="32">
        <f>[1]!ПЛАТЕЖИ[[#This Row],[СЎМ]]+([1]!ПЛАТЕЖИ[[#This Row],[ВАЛЮТА]]*[1]!ПЛАТЕЖИ[[#This Row],[КУРС]])</f>
        <v>1240000</v>
      </c>
      <c r="U222" s="31"/>
      <c r="V222" s="31"/>
    </row>
    <row r="223" spans="2:22" x14ac:dyDescent="0.25">
      <c r="B223" s="1">
        <v>46051</v>
      </c>
      <c r="C223" s="2" t="s">
        <v>125</v>
      </c>
      <c r="D223" s="3" t="s">
        <v>10</v>
      </c>
      <c r="E223" s="3" t="s">
        <v>2</v>
      </c>
      <c r="F223" s="4">
        <v>49.3</v>
      </c>
      <c r="G223" s="4">
        <v>15000</v>
      </c>
      <c r="H223" s="5">
        <f>[1]!РЕАЛИЗАЦИЯ[СОНИ]*[1]!РЕАЛИЗАЦИЯ[НАРХИ]</f>
        <v>5552000</v>
      </c>
      <c r="I223" s="4"/>
      <c r="J223" s="6">
        <v>13000</v>
      </c>
      <c r="K223" s="4">
        <f>[1]!РЕАЛИЗАЦИЯ[[#This Row],[СОНИ]]*[1]!РЕАЛИЗАЦИЯ[[#This Row],[ТАННАРХ]]</f>
        <v>0</v>
      </c>
      <c r="L223" s="7">
        <f>[1]!РЕАЛИЗАЦИЯ[[#This Row],[ЖАМИ]]-[1]!РЕАЛИЗАЦИЯ[[#This Row],[ЖАМИ2]]</f>
        <v>5552000</v>
      </c>
      <c r="O223" s="27">
        <v>46057</v>
      </c>
      <c r="P223" s="28" t="s">
        <v>96</v>
      </c>
      <c r="Q223" s="6">
        <v>1000000</v>
      </c>
      <c r="R223" s="6"/>
      <c r="S223" s="6"/>
      <c r="T223" s="29">
        <f>[1]!ПЛАТЕЖИ[[#This Row],[СЎМ]]+([1]!ПЛАТЕЖИ[[#This Row],[ВАЛЮТА]]*[1]!ПЛАТЕЖИ[[#This Row],[КУРС]])</f>
        <v>792000</v>
      </c>
      <c r="U223" s="28"/>
      <c r="V223" s="28"/>
    </row>
    <row r="224" spans="2:22" x14ac:dyDescent="0.25">
      <c r="B224" s="8">
        <v>46052</v>
      </c>
      <c r="C224" s="9" t="s">
        <v>79</v>
      </c>
      <c r="D224" s="10" t="s">
        <v>29</v>
      </c>
      <c r="E224" s="10" t="s">
        <v>2</v>
      </c>
      <c r="F224" s="11">
        <v>361.7</v>
      </c>
      <c r="G224" s="11">
        <v>18000</v>
      </c>
      <c r="H224" s="12">
        <f>[1]!РЕАЛИЗАЦИЯ[СОНИ]*[1]!РЕАЛИЗАЦИЯ[НАРХИ]</f>
        <v>2756250</v>
      </c>
      <c r="I224" s="11"/>
      <c r="J224" s="13">
        <v>16000</v>
      </c>
      <c r="K224" s="11">
        <f>[1]!РЕАЛИЗАЦИЯ[[#This Row],[СОНИ]]*[1]!РЕАЛИЗАЦИЯ[[#This Row],[ТАННАРХ]]</f>
        <v>0</v>
      </c>
      <c r="L224" s="14">
        <f>[1]!РЕАЛИЗАЦИЯ[[#This Row],[ЖАМИ]]-[1]!РЕАЛИЗАЦИЯ[[#This Row],[ЖАМИ2]]</f>
        <v>2756250</v>
      </c>
      <c r="O224" s="30">
        <v>46057</v>
      </c>
      <c r="P224" s="31" t="s">
        <v>120</v>
      </c>
      <c r="Q224" s="13">
        <v>999600</v>
      </c>
      <c r="R224" s="13"/>
      <c r="S224" s="13"/>
      <c r="T224" s="32">
        <f>[1]!ПЛАТЕЖИ[[#This Row],[СЎМ]]+([1]!ПЛАТЕЖИ[[#This Row],[ВАЛЮТА]]*[1]!ПЛАТЕЖИ[[#This Row],[КУРС]])</f>
        <v>1330000</v>
      </c>
      <c r="U224" s="31"/>
      <c r="V224" s="31"/>
    </row>
    <row r="225" spans="2:22" x14ac:dyDescent="0.25">
      <c r="B225" s="1">
        <v>46052</v>
      </c>
      <c r="C225" s="2" t="s">
        <v>126</v>
      </c>
      <c r="D225" s="3" t="s">
        <v>25</v>
      </c>
      <c r="E225" s="3" t="s">
        <v>2</v>
      </c>
      <c r="F225" s="4">
        <v>370.9</v>
      </c>
      <c r="G225" s="4">
        <v>25000</v>
      </c>
      <c r="H225" s="5">
        <f>[1]!РЕАЛИЗАЦИЯ[СОНИ]*[1]!РЕАЛИЗАЦИЯ[НАРХИ]</f>
        <v>1539000</v>
      </c>
      <c r="I225" s="4"/>
      <c r="J225" s="6">
        <v>23000</v>
      </c>
      <c r="K225" s="4">
        <f>[1]!РЕАЛИЗАЦИЯ[[#This Row],[СОНИ]]*[1]!РЕАЛИЗАЦИЯ[[#This Row],[ТАННАРХ]]</f>
        <v>0</v>
      </c>
      <c r="L225" s="7">
        <f>[1]!РЕАЛИЗАЦИЯ[[#This Row],[ЖАМИ]]-[1]!РЕАЛИЗАЦИЯ[[#This Row],[ЖАМИ2]]</f>
        <v>1539000</v>
      </c>
      <c r="O225" s="27">
        <v>46057</v>
      </c>
      <c r="P225" s="28" t="s">
        <v>49</v>
      </c>
      <c r="Q225" s="6">
        <v>600000</v>
      </c>
      <c r="R225" s="6"/>
      <c r="S225" s="6"/>
      <c r="T225" s="29">
        <f>[1]!ПЛАТЕЖИ[[#This Row],[СЎМ]]+([1]!ПЛАТЕЖИ[[#This Row],[ВАЛЮТА]]*[1]!ПЛАТЕЖИ[[#This Row],[КУРС]])</f>
        <v>7494000</v>
      </c>
      <c r="U225" s="28"/>
      <c r="V225" s="28"/>
    </row>
    <row r="226" spans="2:22" x14ac:dyDescent="0.25">
      <c r="B226" s="8">
        <v>46052</v>
      </c>
      <c r="C226" s="9" t="s">
        <v>127</v>
      </c>
      <c r="D226" s="10" t="s">
        <v>10</v>
      </c>
      <c r="E226" s="10" t="s">
        <v>2</v>
      </c>
      <c r="F226" s="11">
        <v>52.8</v>
      </c>
      <c r="G226" s="11">
        <v>16000</v>
      </c>
      <c r="H226" s="12">
        <f>[1]!РЕАЛИЗАЦИЯ[СОНИ]*[1]!РЕАЛИЗАЦИЯ[НАРХИ]</f>
        <v>3362600</v>
      </c>
      <c r="I226" s="11"/>
      <c r="J226" s="13">
        <v>13000</v>
      </c>
      <c r="K226" s="11">
        <f>[1]!РЕАЛИЗАЦИЯ[[#This Row],[СОНИ]]*[1]!РЕАЛИЗАЦИЯ[[#This Row],[ТАННАРХ]]</f>
        <v>0</v>
      </c>
      <c r="L226" s="14">
        <f>[1]!РЕАЛИЗАЦИЯ[[#This Row],[ЖАМИ]]-[1]!РЕАЛИЗАЦИЯ[[#This Row],[ЖАМИ2]]</f>
        <v>3362600</v>
      </c>
      <c r="O226" s="30">
        <v>46057</v>
      </c>
      <c r="P226" s="31" t="s">
        <v>60</v>
      </c>
      <c r="Q226" s="13">
        <v>15000000</v>
      </c>
      <c r="R226" s="13"/>
      <c r="S226" s="13"/>
      <c r="T226" s="32">
        <f>[1]!ПЛАТЕЖИ[[#This Row],[СЎМ]]+([1]!ПЛАТЕЖИ[[#This Row],[ВАЛЮТА]]*[1]!ПЛАТЕЖИ[[#This Row],[КУРС]])</f>
        <v>1260600</v>
      </c>
      <c r="U226" s="31"/>
      <c r="V226" s="31" t="s">
        <v>279</v>
      </c>
    </row>
    <row r="227" spans="2:22" x14ac:dyDescent="0.25">
      <c r="B227" s="1">
        <v>46052</v>
      </c>
      <c r="C227" s="2" t="s">
        <v>127</v>
      </c>
      <c r="D227" s="3" t="s">
        <v>1</v>
      </c>
      <c r="E227" s="3" t="s">
        <v>2</v>
      </c>
      <c r="F227" s="4">
        <v>46.4</v>
      </c>
      <c r="G227" s="4">
        <v>21000</v>
      </c>
      <c r="H227" s="5">
        <f>[1]!РЕАЛИЗАЦИЯ[СОНИ]*[1]!РЕАЛИЗАЦИЯ[НАРХИ]</f>
        <v>1536000</v>
      </c>
      <c r="I227" s="4"/>
      <c r="J227" s="6">
        <v>19000</v>
      </c>
      <c r="K227" s="4">
        <f>[1]!РЕАЛИЗАЦИЯ[[#This Row],[СОНИ]]*[1]!РЕАЛИЗАЦИЯ[[#This Row],[ТАННАРХ]]</f>
        <v>0</v>
      </c>
      <c r="L227" s="7">
        <f>[1]!РЕАЛИЗАЦИЯ[[#This Row],[ЖАМИ]]-[1]!РЕАЛИЗАЦИЯ[[#This Row],[ЖАМИ2]]</f>
        <v>1536000</v>
      </c>
      <c r="O227" s="27">
        <v>46057</v>
      </c>
      <c r="P227" s="28" t="s">
        <v>108</v>
      </c>
      <c r="Q227" s="6">
        <v>710000</v>
      </c>
      <c r="R227" s="6"/>
      <c r="S227" s="6"/>
      <c r="T227" s="29">
        <f>[1]!ПЛАТЕЖИ[[#This Row],[СЎМ]]+([1]!ПЛАТЕЖИ[[#This Row],[ВАЛЮТА]]*[1]!ПЛАТЕЖИ[[#This Row],[КУРС]])</f>
        <v>4407000</v>
      </c>
      <c r="U227" s="28"/>
      <c r="V227" s="28" t="s">
        <v>275</v>
      </c>
    </row>
    <row r="228" spans="2:22" x14ac:dyDescent="0.25">
      <c r="B228" s="8">
        <v>46052</v>
      </c>
      <c r="C228" s="9" t="s">
        <v>68</v>
      </c>
      <c r="D228" s="10" t="s">
        <v>36</v>
      </c>
      <c r="E228" s="10" t="s">
        <v>2</v>
      </c>
      <c r="F228" s="11">
        <v>537.20000000000005</v>
      </c>
      <c r="G228" s="11">
        <v>18000</v>
      </c>
      <c r="H228" s="12">
        <f>[1]!РЕАЛИЗАЦИЯ[СОНИ]*[1]!РЕАЛИЗАЦИЯ[НАРХИ]</f>
        <v>10223350</v>
      </c>
      <c r="I228" s="11"/>
      <c r="J228" s="13">
        <v>16000</v>
      </c>
      <c r="K228" s="11">
        <f>[1]!РЕАЛИЗАЦИЯ[[#This Row],[СОНИ]]*[1]!РЕАЛИЗАЦИЯ[[#This Row],[ТАННАРХ]]</f>
        <v>0</v>
      </c>
      <c r="L228" s="14">
        <f>[1]!РЕАЛИЗАЦИЯ[[#This Row],[ЖАМИ]]-[1]!РЕАЛИЗАЦИЯ[[#This Row],[ЖАМИ2]]</f>
        <v>10223350</v>
      </c>
      <c r="O228" s="30">
        <v>46057</v>
      </c>
      <c r="P228" s="31" t="s">
        <v>7</v>
      </c>
      <c r="Q228" s="13">
        <v>46233000</v>
      </c>
      <c r="R228" s="13"/>
      <c r="S228" s="13"/>
      <c r="T228" s="32">
        <f>[1]!ПЛАТЕЖИ[[#This Row],[СЎМ]]+([1]!ПЛАТЕЖИ[[#This Row],[ВАЛЮТА]]*[1]!ПЛАТЕЖИ[[#This Row],[КУРС]])</f>
        <v>940000</v>
      </c>
      <c r="U228" s="31"/>
      <c r="V228" s="31" t="s">
        <v>279</v>
      </c>
    </row>
    <row r="229" spans="2:22" x14ac:dyDescent="0.25">
      <c r="B229" s="1">
        <v>46052</v>
      </c>
      <c r="C229" s="2" t="s">
        <v>48</v>
      </c>
      <c r="D229" s="3" t="s">
        <v>8</v>
      </c>
      <c r="E229" s="3" t="s">
        <v>2</v>
      </c>
      <c r="F229" s="4">
        <v>237.8</v>
      </c>
      <c r="G229" s="4">
        <v>21000</v>
      </c>
      <c r="H229" s="5">
        <f>[1]!РЕАЛИЗАЦИЯ[СОНИ]*[1]!РЕАЛИЗАЦИЯ[НАРХИ]</f>
        <v>989100</v>
      </c>
      <c r="I229" s="4"/>
      <c r="J229" s="6">
        <v>20000</v>
      </c>
      <c r="K229" s="4">
        <f>[1]!РЕАЛИЗАЦИЯ[[#This Row],[СОНИ]]*[1]!РЕАЛИЗАЦИЯ[[#This Row],[ТАННАРХ]]</f>
        <v>0</v>
      </c>
      <c r="L229" s="7">
        <f>[1]!РЕАЛИЗАЦИЯ[[#This Row],[ЖАМИ]]-[1]!РЕАЛИЗАЦИЯ[[#This Row],[ЖАМИ2]]</f>
        <v>989100</v>
      </c>
      <c r="O229" s="27">
        <v>46057</v>
      </c>
      <c r="P229" s="28" t="s">
        <v>50</v>
      </c>
      <c r="Q229" s="6">
        <v>10000000</v>
      </c>
      <c r="R229" s="6"/>
      <c r="S229" s="6"/>
      <c r="T229" s="29">
        <f>[1]!ПЛАТЕЖИ[[#This Row],[СЎМ]]+([1]!ПЛАТЕЖИ[[#This Row],[ВАЛЮТА]]*[1]!ПЛАТЕЖИ[[#This Row],[КУРС]])</f>
        <v>708800</v>
      </c>
      <c r="U229" s="28"/>
      <c r="V229" s="28" t="s">
        <v>279</v>
      </c>
    </row>
    <row r="230" spans="2:22" x14ac:dyDescent="0.25">
      <c r="B230" s="8">
        <v>46052</v>
      </c>
      <c r="C230" s="9" t="s">
        <v>128</v>
      </c>
      <c r="D230" s="10" t="s">
        <v>1</v>
      </c>
      <c r="E230" s="10" t="s">
        <v>2</v>
      </c>
      <c r="F230" s="11">
        <v>51.7</v>
      </c>
      <c r="G230" s="11">
        <v>21000</v>
      </c>
      <c r="H230" s="12">
        <f>[1]!РЕАЛИЗАЦИЯ[СОНИ]*[1]!РЕАЛИЗАЦИЯ[НАРХИ]</f>
        <v>745600</v>
      </c>
      <c r="I230" s="11"/>
      <c r="J230" s="13">
        <v>19000</v>
      </c>
      <c r="K230" s="11">
        <f>[1]!РЕАЛИЗАЦИЯ[[#This Row],[СОНИ]]*[1]!РЕАЛИЗАЦИЯ[[#This Row],[ТАННАРХ]]</f>
        <v>0</v>
      </c>
      <c r="L230" s="14">
        <f>[1]!РЕАЛИЗАЦИЯ[[#This Row],[ЖАМИ]]-[1]!РЕАЛИЗАЦИЯ[[#This Row],[ЖАМИ2]]</f>
        <v>745600</v>
      </c>
      <c r="O230" s="30">
        <v>46057</v>
      </c>
      <c r="P230" s="31" t="s">
        <v>68</v>
      </c>
      <c r="Q230" s="13">
        <v>20000000</v>
      </c>
      <c r="R230" s="13"/>
      <c r="S230" s="13"/>
      <c r="T230" s="32">
        <f>[1]!ПЛАТЕЖИ[[#This Row],[СЎМ]]+([1]!ПЛАТЕЖИ[[#This Row],[ВАЛЮТА]]*[1]!ПЛАТЕЖИ[[#This Row],[КУРС]])</f>
        <v>3011400</v>
      </c>
      <c r="U230" s="31"/>
      <c r="V230" s="31" t="s">
        <v>279</v>
      </c>
    </row>
    <row r="231" spans="2:22" x14ac:dyDescent="0.25">
      <c r="B231" s="1">
        <v>46054</v>
      </c>
      <c r="C231" s="2" t="s">
        <v>15</v>
      </c>
      <c r="D231" s="3" t="s">
        <v>16</v>
      </c>
      <c r="E231" s="3" t="s">
        <v>2</v>
      </c>
      <c r="F231" s="4">
        <v>462.6</v>
      </c>
      <c r="G231" s="4">
        <v>23000</v>
      </c>
      <c r="H231" s="5">
        <f>[1]!РЕАЛИЗАЦИЯ[СОНИ]*[1]!РЕАЛИЗАЦИЯ[НАРХИ]</f>
        <v>2064300</v>
      </c>
      <c r="I231" s="4"/>
      <c r="J231" s="6">
        <v>21000</v>
      </c>
      <c r="K231" s="4">
        <f>[1]!РЕАЛИЗАЦИЯ[[#This Row],[СОНИ]]*[1]!РЕАЛИЗАЦИЯ[[#This Row],[ТАННАРХ]]</f>
        <v>0</v>
      </c>
      <c r="L231" s="7">
        <f>[1]!РЕАЛИЗАЦИЯ[[#This Row],[ЖАМИ]]-[1]!РЕАЛИЗАЦИЯ[[#This Row],[ЖАМИ2]]</f>
        <v>2064300</v>
      </c>
      <c r="O231" s="27">
        <v>46058</v>
      </c>
      <c r="P231" s="28" t="s">
        <v>135</v>
      </c>
      <c r="Q231" s="6">
        <v>1074000</v>
      </c>
      <c r="R231" s="6"/>
      <c r="S231" s="6"/>
      <c r="T231" s="29">
        <f>[1]!ПЛАТЕЖИ[[#This Row],[СЎМ]]+([1]!ПЛАТЕЖИ[[#This Row],[ВАЛЮТА]]*[1]!ПЛАТЕЖИ[[#This Row],[КУРС]])</f>
        <v>10000000</v>
      </c>
      <c r="U231" s="28"/>
      <c r="V231" s="28"/>
    </row>
    <row r="232" spans="2:22" x14ac:dyDescent="0.25">
      <c r="B232" s="8">
        <v>46052</v>
      </c>
      <c r="C232" s="9" t="s">
        <v>129</v>
      </c>
      <c r="D232" s="10" t="s">
        <v>36</v>
      </c>
      <c r="E232" s="10" t="s">
        <v>2</v>
      </c>
      <c r="F232" s="11">
        <v>211.3</v>
      </c>
      <c r="G232" s="11">
        <v>17500</v>
      </c>
      <c r="H232" s="12">
        <f>[1]!РЕАЛИЗАЦИЯ[СОНИ]*[1]!РЕАЛИЗАЦИЯ[НАРХИ]</f>
        <v>3523800.0000000005</v>
      </c>
      <c r="I232" s="11"/>
      <c r="J232" s="13">
        <v>16000</v>
      </c>
      <c r="K232" s="11">
        <f>[1]!РЕАЛИЗАЦИЯ[[#This Row],[СОНИ]]*[1]!РЕАЛИЗАЦИЯ[[#This Row],[ТАННАРХ]]</f>
        <v>0</v>
      </c>
      <c r="L232" s="14">
        <f>[1]!РЕАЛИЗАЦИЯ[[#This Row],[ЖАМИ]]-[1]!РЕАЛИЗАЦИЯ[[#This Row],[ЖАМИ2]]</f>
        <v>3523800.0000000005</v>
      </c>
      <c r="O232" s="30">
        <v>46058</v>
      </c>
      <c r="P232" s="31" t="s">
        <v>108</v>
      </c>
      <c r="Q232" s="13">
        <v>441300</v>
      </c>
      <c r="R232" s="13"/>
      <c r="S232" s="13"/>
      <c r="T232" s="32">
        <f>[1]!ПЛАТЕЖИ[[#This Row],[СЎМ]]+([1]!ПЛАТЕЖИ[[#This Row],[ВАЛЮТА]]*[1]!ПЛАТЕЖИ[[#This Row],[КУРС]])</f>
        <v>1904000</v>
      </c>
      <c r="U232" s="31"/>
      <c r="V232" s="31" t="s">
        <v>275</v>
      </c>
    </row>
    <row r="233" spans="2:22" x14ac:dyDescent="0.25">
      <c r="B233" s="1">
        <v>46052</v>
      </c>
      <c r="C233" s="2" t="s">
        <v>22</v>
      </c>
      <c r="D233" s="3" t="s">
        <v>8</v>
      </c>
      <c r="E233" s="3" t="s">
        <v>2</v>
      </c>
      <c r="F233" s="4">
        <v>83.3</v>
      </c>
      <c r="G233" s="4">
        <v>22000</v>
      </c>
      <c r="H233" s="5">
        <f>[1]!РЕАЛИЗАЦИЯ[СОНИ]*[1]!РЕАЛИЗАЦИЯ[НАРХИ]</f>
        <v>17058300</v>
      </c>
      <c r="I233" s="4"/>
      <c r="J233" s="6">
        <v>20000</v>
      </c>
      <c r="K233" s="4">
        <f>[1]!РЕАЛИЗАЦИЯ[[#This Row],[СОНИ]]*[1]!РЕАЛИЗАЦИЯ[[#This Row],[ТАННАРХ]]</f>
        <v>0</v>
      </c>
      <c r="L233" s="7">
        <f>[1]!РЕАЛИЗАЦИЯ[[#This Row],[ЖАМИ]]-[1]!РЕАЛИЗАЦИЯ[[#This Row],[ЖАМИ2]]</f>
        <v>17058300</v>
      </c>
      <c r="O233" s="27">
        <v>46058</v>
      </c>
      <c r="P233" s="28" t="s">
        <v>130</v>
      </c>
      <c r="Q233" s="6">
        <v>792575</v>
      </c>
      <c r="R233" s="6"/>
      <c r="S233" s="6"/>
      <c r="T233" s="29">
        <f>[1]!ПЛАТЕЖИ[[#This Row],[СЎМ]]+([1]!ПЛАТЕЖИ[[#This Row],[ВАЛЮТА]]*[1]!ПЛАТЕЖИ[[#This Row],[КУРС]])</f>
        <v>1003800</v>
      </c>
      <c r="U233" s="28"/>
      <c r="V233" s="28"/>
    </row>
    <row r="234" spans="2:22" x14ac:dyDescent="0.25">
      <c r="B234" s="8">
        <v>46052</v>
      </c>
      <c r="C234" s="9" t="s">
        <v>130</v>
      </c>
      <c r="D234" s="10" t="s">
        <v>25</v>
      </c>
      <c r="E234" s="10" t="s">
        <v>2</v>
      </c>
      <c r="F234" s="11">
        <v>-109</v>
      </c>
      <c r="G234" s="11">
        <v>24250</v>
      </c>
      <c r="H234" s="12">
        <f>[1]!РЕАЛИЗАЦИЯ[СОНИ]*[1]!РЕАЛИЗАЦИЯ[НАРХИ]</f>
        <v>24880850</v>
      </c>
      <c r="I234" s="11"/>
      <c r="J234" s="13">
        <v>23000</v>
      </c>
      <c r="K234" s="11">
        <f>[1]!РЕАЛИЗАЦИЯ[[#This Row],[СОНИ]]*[1]!РЕАЛИЗАЦИЯ[[#This Row],[ТАННАРХ]]</f>
        <v>0</v>
      </c>
      <c r="L234" s="14">
        <f>[1]!РЕАЛИЗАЦИЯ[[#This Row],[ЖАМИ]]-[1]!РЕАЛИЗАЦИЯ[[#This Row],[ЖАМИ2]]</f>
        <v>24880850</v>
      </c>
      <c r="O234" s="30">
        <v>46059</v>
      </c>
      <c r="P234" s="31" t="s">
        <v>43</v>
      </c>
      <c r="Q234" s="13">
        <v>783000</v>
      </c>
      <c r="R234" s="13"/>
      <c r="S234" s="13"/>
      <c r="T234" s="32">
        <f>[1]!ПЛАТЕЖИ[[#This Row],[СЎМ]]+([1]!ПЛАТЕЖИ[[#This Row],[ВАЛЮТА]]*[1]!ПЛАТЕЖИ[[#This Row],[КУРС]])</f>
        <v>914600</v>
      </c>
      <c r="U234" s="31"/>
      <c r="V234" s="31" t="s">
        <v>279</v>
      </c>
    </row>
    <row r="235" spans="2:22" x14ac:dyDescent="0.25">
      <c r="B235" s="1">
        <v>46053</v>
      </c>
      <c r="C235" s="2" t="s">
        <v>33</v>
      </c>
      <c r="D235" s="3" t="s">
        <v>10</v>
      </c>
      <c r="E235" s="3" t="s">
        <v>2</v>
      </c>
      <c r="F235" s="4">
        <v>200.6</v>
      </c>
      <c r="G235" s="4">
        <v>14500</v>
      </c>
      <c r="H235" s="5">
        <f>[1]!РЕАЛИЗАЦИЯ[СОНИ]*[1]!РЕАЛИЗАЦИЯ[НАРХИ]</f>
        <v>3850000</v>
      </c>
      <c r="I235" s="4"/>
      <c r="J235" s="6">
        <v>13000</v>
      </c>
      <c r="K235" s="4">
        <f>[1]!РЕАЛИЗАЦИЯ[[#This Row],[СОНИ]]*[1]!РЕАЛИЗАЦИЯ[[#This Row],[ТАННАРХ]]</f>
        <v>667012500</v>
      </c>
      <c r="L235" s="7">
        <f>[1]!РЕАЛИЗАЦИЯ[[#This Row],[ЖАМИ]]-[1]!РЕАЛИЗАЦИЯ[[#This Row],[ЖАМИ2]]</f>
        <v>3849807.5</v>
      </c>
      <c r="O235" s="27">
        <v>46059</v>
      </c>
      <c r="P235" s="28" t="s">
        <v>221</v>
      </c>
      <c r="Q235" s="6">
        <v>1073000</v>
      </c>
      <c r="R235" s="6"/>
      <c r="S235" s="6"/>
      <c r="T235" s="29">
        <f>[1]!ПЛАТЕЖИ[[#This Row],[СЎМ]]+([1]!ПЛАТЕЖИ[[#This Row],[ВАЛЮТА]]*[1]!ПЛАТЕЖИ[[#This Row],[КУРС]])</f>
        <v>1500400</v>
      </c>
      <c r="U235" s="28"/>
      <c r="V235" s="28" t="s">
        <v>279</v>
      </c>
    </row>
    <row r="236" spans="2:22" x14ac:dyDescent="0.25">
      <c r="B236" s="8">
        <v>46053</v>
      </c>
      <c r="C236" s="9" t="s">
        <v>33</v>
      </c>
      <c r="D236" s="10" t="s">
        <v>1</v>
      </c>
      <c r="E236" s="10" t="s">
        <v>2</v>
      </c>
      <c r="F236" s="11">
        <v>359</v>
      </c>
      <c r="G236" s="11">
        <v>20500</v>
      </c>
      <c r="H236" s="12">
        <f>[1]!РЕАЛИЗАЦИЯ[СОНИ]*[1]!РЕАЛИЗАЦИЯ[НАРХИ]</f>
        <v>1470000</v>
      </c>
      <c r="I236" s="11"/>
      <c r="J236" s="13">
        <v>19000</v>
      </c>
      <c r="K236" s="11">
        <f>[1]!РЕАЛИЗАЦИЯ[[#This Row],[СОНИ]]*[1]!РЕАЛИЗАЦИЯ[[#This Row],[ТАННАРХ]]</f>
        <v>0</v>
      </c>
      <c r="L236" s="14">
        <f>[1]!РЕАЛИЗАЦИЯ[[#This Row],[ЖАМИ]]-[1]!РЕАЛИЗАЦИЯ[[#This Row],[ЖАМИ2]]</f>
        <v>1470000</v>
      </c>
      <c r="O236" s="30">
        <v>46059</v>
      </c>
      <c r="P236" s="31" t="s">
        <v>285</v>
      </c>
      <c r="Q236" s="13">
        <v>300000</v>
      </c>
      <c r="R236" s="13"/>
      <c r="S236" s="13"/>
      <c r="T236" s="32">
        <f>[1]!ПЛАТЕЖИ[[#This Row],[СЎМ]]+([1]!ПЛАТЕЖИ[[#This Row],[ВАЛЮТА]]*[1]!ПЛАТЕЖИ[[#This Row],[КУРС]])</f>
        <v>7500000</v>
      </c>
      <c r="U236" s="31"/>
      <c r="V236" s="31" t="s">
        <v>275</v>
      </c>
    </row>
    <row r="237" spans="2:22" x14ac:dyDescent="0.25">
      <c r="B237" s="1">
        <v>46053</v>
      </c>
      <c r="C237" s="2" t="s">
        <v>77</v>
      </c>
      <c r="D237" s="3" t="s">
        <v>1</v>
      </c>
      <c r="E237" s="3" t="s">
        <v>2</v>
      </c>
      <c r="F237" s="4">
        <v>51.7</v>
      </c>
      <c r="G237" s="4">
        <v>20000</v>
      </c>
      <c r="H237" s="5">
        <f>[1]!РЕАЛИЗАЦИЯ[СОНИ]*[1]!РЕАЛИЗАЦИЯ[НАРХИ]</f>
        <v>612560</v>
      </c>
      <c r="I237" s="4"/>
      <c r="J237" s="6">
        <v>19000</v>
      </c>
      <c r="K237" s="4">
        <f>[1]!РЕАЛИЗАЦИЯ[[#This Row],[СОНИ]]*[1]!РЕАЛИЗАЦИЯ[[#This Row],[ТАННАРХ]]</f>
        <v>13838400</v>
      </c>
      <c r="L237" s="7">
        <f>[1]!РЕАЛИЗАЦИЯ[[#This Row],[ЖАМИ]]-[1]!РЕАЛИЗАЦИЯ[[#This Row],[ЖАМИ2]]</f>
        <v>612535.19999999995</v>
      </c>
      <c r="O237" s="27">
        <v>46059</v>
      </c>
      <c r="P237" s="28" t="s">
        <v>131</v>
      </c>
      <c r="Q237" s="6">
        <v>11000000</v>
      </c>
      <c r="R237" s="6"/>
      <c r="S237" s="6"/>
      <c r="T237" s="29">
        <f>[1]!ПЛАТЕЖИ[[#This Row],[СЎМ]]+([1]!ПЛАТЕЖИ[[#This Row],[ВАЛЮТА]]*[1]!ПЛАТЕЖИ[[#This Row],[КУРС]])</f>
        <v>2661600</v>
      </c>
      <c r="U237" s="28"/>
      <c r="V237" s="28" t="s">
        <v>275</v>
      </c>
    </row>
    <row r="238" spans="2:22" x14ac:dyDescent="0.25">
      <c r="B238" s="8">
        <v>46053</v>
      </c>
      <c r="C238" s="9" t="s">
        <v>17</v>
      </c>
      <c r="D238" s="10" t="s">
        <v>1</v>
      </c>
      <c r="E238" s="10" t="s">
        <v>2</v>
      </c>
      <c r="F238" s="11">
        <v>49.2</v>
      </c>
      <c r="G238" s="11">
        <v>21000</v>
      </c>
      <c r="H238" s="12">
        <f>[1]!РЕАЛИЗАЦИЯ[СОНИ]*[1]!РЕАЛИЗАЦИЯ[НАРХИ]</f>
        <v>1113000</v>
      </c>
      <c r="I238" s="11"/>
      <c r="J238" s="13">
        <v>19000</v>
      </c>
      <c r="K238" s="11">
        <f>[1]!РЕАЛИЗАЦИЯ[[#This Row],[СОНИ]]*[1]!РЕАЛИЗАЦИЯ[[#This Row],[ТАННАРХ]]</f>
        <v>0</v>
      </c>
      <c r="L238" s="14">
        <f>[1]!РЕАЛИЗАЦИЯ[[#This Row],[ЖАМИ]]-[1]!РЕАЛИЗАЦИЯ[[#This Row],[ЖАМИ2]]</f>
        <v>1113000</v>
      </c>
      <c r="O238" s="30">
        <v>46059</v>
      </c>
      <c r="P238" s="31" t="s">
        <v>9</v>
      </c>
      <c r="Q238" s="13">
        <v>5258220</v>
      </c>
      <c r="R238" s="13"/>
      <c r="S238" s="13"/>
      <c r="T238" s="32">
        <f>[1]!ПЛАТЕЖИ[[#This Row],[СЎМ]]+([1]!ПЛАТЕЖИ[[#This Row],[ВАЛЮТА]]*[1]!ПЛАТЕЖИ[[#This Row],[КУРС]])</f>
        <v>1000000</v>
      </c>
      <c r="U238" s="31"/>
      <c r="V238" s="31" t="s">
        <v>279</v>
      </c>
    </row>
    <row r="239" spans="2:22" x14ac:dyDescent="0.25">
      <c r="B239" s="1">
        <v>46053</v>
      </c>
      <c r="C239" s="2" t="s">
        <v>17</v>
      </c>
      <c r="D239" s="3" t="s">
        <v>10</v>
      </c>
      <c r="E239" s="3" t="s">
        <v>2</v>
      </c>
      <c r="F239" s="4">
        <v>54.4</v>
      </c>
      <c r="G239" s="4">
        <v>16000</v>
      </c>
      <c r="H239" s="5">
        <f>[1]!РЕАЛИЗАЦИЯ[СОНИ]*[1]!РЕАЛИЗАЦИЯ[НАРХИ]</f>
        <v>3131100</v>
      </c>
      <c r="I239" s="4"/>
      <c r="J239" s="6">
        <v>13000</v>
      </c>
      <c r="K239" s="4">
        <f>[1]!РЕАЛИЗАЦИЯ[[#This Row],[СОНИ]]*[1]!РЕАЛИЗАЦИЯ[[#This Row],[ТАННАРХ]]</f>
        <v>0</v>
      </c>
      <c r="L239" s="7">
        <f>[1]!РЕАЛИЗАЦИЯ[[#This Row],[ЖАМИ]]-[1]!РЕАЛИЗАЦИЯ[[#This Row],[ЖАМИ2]]</f>
        <v>3131100</v>
      </c>
      <c r="O239" s="27">
        <v>46059</v>
      </c>
      <c r="P239" s="28" t="s">
        <v>140</v>
      </c>
      <c r="Q239" s="6">
        <v>756000</v>
      </c>
      <c r="R239" s="6"/>
      <c r="S239" s="6"/>
      <c r="T239" s="29">
        <f>[1]!ПЛАТЕЖИ[[#This Row],[СЎМ]]+([1]!ПЛАТЕЖИ[[#This Row],[ВАЛЮТА]]*[1]!ПЛАТЕЖИ[[#This Row],[КУРС]])</f>
        <v>600500</v>
      </c>
      <c r="U239" s="28"/>
      <c r="V239" s="28"/>
    </row>
    <row r="240" spans="2:22" x14ac:dyDescent="0.25">
      <c r="B240" s="8">
        <v>46053</v>
      </c>
      <c r="C240" s="9" t="s">
        <v>60</v>
      </c>
      <c r="D240" s="10" t="s">
        <v>1</v>
      </c>
      <c r="E240" s="10" t="s">
        <v>2</v>
      </c>
      <c r="F240" s="11">
        <v>202.8</v>
      </c>
      <c r="G240" s="11">
        <v>20500</v>
      </c>
      <c r="H240" s="12">
        <f>[1]!РЕАЛИЗАЦИЯ[СОНИ]*[1]!РЕАЛИЗАЦИЯ[НАРХИ]</f>
        <v>1595200</v>
      </c>
      <c r="I240" s="11"/>
      <c r="J240" s="13">
        <v>19000</v>
      </c>
      <c r="K240" s="11">
        <f>[1]!РЕАЛИЗАЦИЯ[[#This Row],[СОНИ]]*[1]!РЕАЛИЗАЦИЯ[[#This Row],[ТАННАРХ]]</f>
        <v>0</v>
      </c>
      <c r="L240" s="14">
        <f>[1]!РЕАЛИЗАЦИЯ[[#This Row],[ЖАМИ]]-[1]!РЕАЛИЗАЦИЯ[[#This Row],[ЖАМИ2]]</f>
        <v>1595200</v>
      </c>
      <c r="O240" s="30">
        <v>46059</v>
      </c>
      <c r="P240" s="31" t="s">
        <v>5</v>
      </c>
      <c r="Q240" s="13">
        <v>1066400</v>
      </c>
      <c r="R240" s="13"/>
      <c r="S240" s="13"/>
      <c r="T240" s="32">
        <f>[1]!ПЛАТЕЖИ[[#This Row],[СЎМ]]+([1]!ПЛАТЕЖИ[[#This Row],[ВАЛЮТА]]*[1]!ПЛАТЕЖИ[[#This Row],[КУРС]])</f>
        <v>3105000</v>
      </c>
      <c r="U240" s="31"/>
      <c r="V240" s="31"/>
    </row>
    <row r="241" spans="2:22" x14ac:dyDescent="0.25">
      <c r="B241" s="1">
        <v>46053</v>
      </c>
      <c r="C241" s="2" t="s">
        <v>80</v>
      </c>
      <c r="D241" s="3" t="s">
        <v>1</v>
      </c>
      <c r="E241" s="3" t="s">
        <v>2</v>
      </c>
      <c r="F241" s="4">
        <v>51.9</v>
      </c>
      <c r="G241" s="4">
        <v>20000</v>
      </c>
      <c r="H241" s="5">
        <f>[1]!РЕАЛИЗАЦИЯ[СОНИ]*[1]!РЕАЛИЗАЦИЯ[НАРХИ]</f>
        <v>2389800</v>
      </c>
      <c r="I241" s="4"/>
      <c r="J241" s="6">
        <v>19000</v>
      </c>
      <c r="K241" s="4">
        <f>[1]!РЕАЛИЗАЦИЯ[[#This Row],[СОНИ]]*[1]!РЕАЛИЗАЦИЯ[[#This Row],[ТАННАРХ]]</f>
        <v>0</v>
      </c>
      <c r="L241" s="7">
        <f>[1]!РЕАЛИЗАЦИЯ[[#This Row],[ЖАМИ]]-[1]!РЕАЛИЗАЦИЯ[[#This Row],[ЖАМИ2]]</f>
        <v>2389800</v>
      </c>
      <c r="O241" s="27">
        <v>46059</v>
      </c>
      <c r="P241" s="28" t="s">
        <v>42</v>
      </c>
      <c r="Q241" s="6">
        <v>1000000</v>
      </c>
      <c r="R241" s="6"/>
      <c r="S241" s="6"/>
      <c r="T241" s="29">
        <f>[1]!ПЛАТЕЖИ[[#This Row],[СЎМ]]+([1]!ПЛАТЕЖИ[[#This Row],[ВАЛЮТА]]*[1]!ПЛАТЕЖИ[[#This Row],[КУРС]])</f>
        <v>1005900</v>
      </c>
      <c r="U241" s="28"/>
      <c r="V241" s="28"/>
    </row>
    <row r="242" spans="2:22" x14ac:dyDescent="0.25">
      <c r="B242" s="8"/>
      <c r="C242" s="9"/>
      <c r="D242" s="10"/>
      <c r="E242" s="10" t="s">
        <v>2</v>
      </c>
      <c r="F242" s="11"/>
      <c r="G242" s="11"/>
      <c r="H242" s="12">
        <f>[1]!РЕАЛИЗАЦИЯ[СОНИ]*[1]!РЕАЛИЗАЦИЯ[НАРХИ]</f>
        <v>771200</v>
      </c>
      <c r="I242" s="11"/>
      <c r="J242" s="13"/>
      <c r="K242" s="11">
        <f>[1]!РЕАЛИЗАЦИЯ[[#This Row],[СОНИ]]*[1]!РЕАЛИЗАЦИЯ[[#This Row],[ТАННАРХ]]</f>
        <v>0</v>
      </c>
      <c r="L242" s="14">
        <f>[1]!РЕАЛИЗАЦИЯ[[#This Row],[ЖАМИ]]-[1]!РЕАЛИЗАЦИЯ[[#This Row],[ЖАМИ2]]</f>
        <v>771200</v>
      </c>
      <c r="O242" s="30">
        <v>46059</v>
      </c>
      <c r="P242" s="31" t="s">
        <v>73</v>
      </c>
      <c r="Q242" s="13">
        <v>2352000</v>
      </c>
      <c r="R242" s="13"/>
      <c r="S242" s="13"/>
      <c r="T242" s="32">
        <f>[1]!ПЛАТЕЖИ[[#This Row],[СЎМ]]+([1]!ПЛАТЕЖИ[[#This Row],[ВАЛЮТА]]*[1]!ПЛАТЕЖИ[[#This Row],[КУРС]])</f>
        <v>6088800</v>
      </c>
      <c r="U242" s="31"/>
      <c r="V242" s="31"/>
    </row>
    <row r="243" spans="2:22" x14ac:dyDescent="0.25">
      <c r="B243" s="1"/>
      <c r="C243" s="2"/>
      <c r="D243" s="3"/>
      <c r="E243" s="3" t="s">
        <v>2</v>
      </c>
      <c r="F243" s="4"/>
      <c r="G243" s="4"/>
      <c r="H243" s="5">
        <f>[1]!РЕАЛИЗАЦИЯ[СОНИ]*[1]!РЕАЛИЗАЦИЯ[НАРХИ]</f>
        <v>7014800</v>
      </c>
      <c r="I243" s="4"/>
      <c r="J243" s="6"/>
      <c r="K243" s="4">
        <f>[1]!РЕАЛИЗАЦИЯ[[#This Row],[СОНИ]]*[1]!РЕАЛИЗАЦИЯ[[#This Row],[ТАННАРХ]]</f>
        <v>1819872000</v>
      </c>
      <c r="L243" s="7">
        <f>[1]!РЕАЛИЗАЦИЯ[[#This Row],[ЖАМИ]]-[1]!РЕАЛИЗАЦИЯ[[#This Row],[ЖАМИ2]]</f>
        <v>7014515.2000000002</v>
      </c>
      <c r="O243" s="27">
        <v>46059</v>
      </c>
      <c r="P243" s="28" t="s">
        <v>81</v>
      </c>
      <c r="Q243" s="6">
        <v>2871000</v>
      </c>
      <c r="R243" s="6"/>
      <c r="S243" s="6"/>
      <c r="T243" s="29">
        <f>[1]!ПЛАТЕЖИ[[#This Row],[СЎМ]]+([1]!ПЛАТЕЖИ[[#This Row],[ВАЛЮТА]]*[1]!ПЛАТЕЖИ[[#This Row],[КУРС]])</f>
        <v>746000</v>
      </c>
      <c r="U243" s="28"/>
      <c r="V243" s="28"/>
    </row>
    <row r="244" spans="2:22" x14ac:dyDescent="0.25">
      <c r="B244" s="8"/>
      <c r="C244" s="9"/>
      <c r="D244" s="10"/>
      <c r="E244" s="10" t="s">
        <v>2</v>
      </c>
      <c r="F244" s="11"/>
      <c r="G244" s="11"/>
      <c r="H244" s="12">
        <f>[1]!РЕАЛИЗАЦИЯ[СОНИ]*[1]!РЕАЛИЗАЦИЯ[НАРХИ]</f>
        <v>671400</v>
      </c>
      <c r="I244" s="11"/>
      <c r="J244" s="13"/>
      <c r="K244" s="11">
        <f>[1]!РЕАЛИЗАЦИЯ[[#This Row],[СОНИ]]*[1]!РЕАЛИЗАЦИЯ[[#This Row],[ТАННАРХ]]</f>
        <v>0</v>
      </c>
      <c r="L244" s="14">
        <f>[1]!РЕАЛИЗАЦИЯ[[#This Row],[ЖАМИ]]-[1]!РЕАЛИЗАЦИЯ[[#This Row],[ЖАМИ2]]</f>
        <v>671400</v>
      </c>
      <c r="O244" s="30">
        <v>46059</v>
      </c>
      <c r="P244" s="31" t="s">
        <v>9</v>
      </c>
      <c r="Q244" s="13">
        <v>3840600</v>
      </c>
      <c r="R244" s="13"/>
      <c r="S244" s="13"/>
      <c r="T244" s="32">
        <f>[1]!ПЛАТЕЖИ[[#This Row],[СЎМ]]+([1]!ПЛАТЕЖИ[[#This Row],[ВАЛЮТА]]*[1]!ПЛАТЕЖИ[[#This Row],[КУРС]])</f>
        <v>2600000</v>
      </c>
      <c r="U244" s="31"/>
      <c r="V244" s="31" t="s">
        <v>279</v>
      </c>
    </row>
    <row r="245" spans="2:22" x14ac:dyDescent="0.25">
      <c r="B245" s="1">
        <v>46054</v>
      </c>
      <c r="C245" s="2" t="s">
        <v>131</v>
      </c>
      <c r="D245" s="3" t="s">
        <v>16</v>
      </c>
      <c r="E245" s="3" t="s">
        <v>2</v>
      </c>
      <c r="F245" s="4">
        <v>74.8</v>
      </c>
      <c r="G245" s="4">
        <v>20000</v>
      </c>
      <c r="H245" s="5">
        <f>[1]!РЕАЛИЗАЦИЯ[СОНИ]*[1]!РЕАЛИЗАЦИЯ[НАРХИ]</f>
        <v>1077300</v>
      </c>
      <c r="I245" s="4"/>
      <c r="J245" s="6">
        <v>20000</v>
      </c>
      <c r="K245" s="4">
        <f>[1]!РЕАЛИЗАЦИЯ[[#This Row],[СОНИ]]*[1]!РЕАЛИЗАЦИЯ[[#This Row],[ТАННАРХ]]</f>
        <v>0</v>
      </c>
      <c r="L245" s="7">
        <f>[1]!РЕАЛИЗАЦИЯ[[#This Row],[ЖАМИ]]-[1]!РЕАЛИЗАЦИЯ[[#This Row],[ЖАМИ2]]</f>
        <v>1077300</v>
      </c>
      <c r="O245" s="27">
        <v>46059</v>
      </c>
      <c r="P245" s="28" t="s">
        <v>132</v>
      </c>
      <c r="Q245" s="6">
        <v>2987800</v>
      </c>
      <c r="R245" s="6"/>
      <c r="S245" s="6"/>
      <c r="T245" s="29">
        <f>[1]!ПЛАТЕЖИ[[#This Row],[СЎМ]]+([1]!ПЛАТЕЖИ[[#This Row],[ВАЛЮТА]]*[1]!ПЛАТЕЖИ[[#This Row],[КУРС]])</f>
        <v>891000</v>
      </c>
      <c r="U245" s="28"/>
      <c r="V245" s="28"/>
    </row>
    <row r="246" spans="2:22" x14ac:dyDescent="0.25">
      <c r="B246" s="8">
        <v>46054</v>
      </c>
      <c r="C246" s="9" t="s">
        <v>132</v>
      </c>
      <c r="D246" s="10" t="s">
        <v>10</v>
      </c>
      <c r="E246" s="10" t="s">
        <v>2</v>
      </c>
      <c r="F246" s="11">
        <v>500.6</v>
      </c>
      <c r="G246" s="11">
        <v>13000</v>
      </c>
      <c r="H246" s="12">
        <f>[1]!РЕАЛИЗАЦИЯ[СОНИ]*[1]!РЕАЛИЗАЦИЯ[НАРХИ]</f>
        <v>6536400</v>
      </c>
      <c r="I246" s="11"/>
      <c r="J246" s="13">
        <v>13000</v>
      </c>
      <c r="K246" s="11">
        <f>[1]!РЕАЛИЗАЦИЯ[[#This Row],[СОНИ]]*[1]!РЕАЛИЗАЦИЯ[[#This Row],[ТАННАРХ]]</f>
        <v>1422044100</v>
      </c>
      <c r="L246" s="14">
        <f>[1]!РЕАЛИЗАЦИЯ[[#This Row],[ЖАМИ]]-[1]!РЕАЛИЗАЦИЯ[[#This Row],[ЖАМИ2]]</f>
        <v>6536148.5999999996</v>
      </c>
      <c r="O246" s="30">
        <v>46060</v>
      </c>
      <c r="P246" s="31" t="s">
        <v>106</v>
      </c>
      <c r="Q246" s="13">
        <v>4777000</v>
      </c>
      <c r="R246" s="13"/>
      <c r="S246" s="13"/>
      <c r="T246" s="32">
        <f>[1]!ПЛАТЕЖИ[[#This Row],[СЎМ]]+([1]!ПЛАТЕЖИ[[#This Row],[ВАЛЮТА]]*[1]!ПЛАТЕЖИ[[#This Row],[КУРС]])</f>
        <v>1420500</v>
      </c>
      <c r="U246" s="31"/>
      <c r="V246" s="31"/>
    </row>
    <row r="247" spans="2:22" x14ac:dyDescent="0.25">
      <c r="B247" s="1">
        <v>46055</v>
      </c>
      <c r="C247" s="2" t="s">
        <v>133</v>
      </c>
      <c r="D247" s="3" t="s">
        <v>1</v>
      </c>
      <c r="E247" s="3" t="s">
        <v>2</v>
      </c>
      <c r="F247" s="4">
        <v>252.8</v>
      </c>
      <c r="G247" s="4">
        <v>20000</v>
      </c>
      <c r="H247" s="5">
        <f>[1]!РЕАЛИЗАЦИЯ[СОНИ]*[1]!РЕАЛИЗАЦИЯ[НАРХИ]</f>
        <v>19874300</v>
      </c>
      <c r="I247" s="4"/>
      <c r="J247" s="6">
        <v>19000</v>
      </c>
      <c r="K247" s="4">
        <f>[1]!РЕАЛИЗАЦИЯ[[#This Row],[СОНИ]]*[1]!РЕАЛИЗАЦИЯ[[#This Row],[ТАННАРХ]]</f>
        <v>14933376200</v>
      </c>
      <c r="L247" s="7">
        <f>[1]!РЕАЛИЗАЦИЯ[[#This Row],[ЖАМИ]]-[1]!РЕАЛИЗАЦИЯ[[#This Row],[ЖАМИ2]]</f>
        <v>19873435.899999999</v>
      </c>
      <c r="O247" s="27">
        <v>46060</v>
      </c>
      <c r="P247" s="28" t="s">
        <v>46</v>
      </c>
      <c r="Q247" s="6">
        <v>500000</v>
      </c>
      <c r="R247" s="6"/>
      <c r="S247" s="6"/>
      <c r="T247" s="29">
        <f>[1]!ПЛАТЕЖИ[[#This Row],[СЎМ]]+([1]!ПЛАТЕЖИ[[#This Row],[ВАЛЮТА]]*[1]!ПЛАТЕЖИ[[#This Row],[КУРС]])</f>
        <v>962000</v>
      </c>
      <c r="U247" s="28"/>
      <c r="V247" s="28"/>
    </row>
    <row r="248" spans="2:22" x14ac:dyDescent="0.25">
      <c r="B248" s="8">
        <v>46055</v>
      </c>
      <c r="C248" s="9" t="s">
        <v>133</v>
      </c>
      <c r="D248" s="10" t="s">
        <v>10</v>
      </c>
      <c r="E248" s="10" t="s">
        <v>2</v>
      </c>
      <c r="F248" s="11">
        <v>100.1</v>
      </c>
      <c r="G248" s="11">
        <v>15000</v>
      </c>
      <c r="H248" s="12">
        <f>[1]!РЕАЛИЗАЦИЯ[СОНИ]*[1]!РЕАЛИЗАЦИЯ[НАРХИ]</f>
        <v>939200</v>
      </c>
      <c r="I248" s="11"/>
      <c r="J248" s="13">
        <v>13000</v>
      </c>
      <c r="K248" s="11">
        <f>[1]!РЕАЛИЗАЦИЯ[[#This Row],[СОНИ]]*[1]!РЕАЛИЗАЦИЯ[[#This Row],[ТАННАРХ]]</f>
        <v>0</v>
      </c>
      <c r="L248" s="14">
        <f>[1]!РЕАЛИЗАЦИЯ[[#This Row],[ЖАМИ]]-[1]!РЕАЛИЗАЦИЯ[[#This Row],[ЖАМИ2]]</f>
        <v>939200</v>
      </c>
      <c r="O248" s="30">
        <v>46060</v>
      </c>
      <c r="P248" s="31" t="s">
        <v>290</v>
      </c>
      <c r="Q248" s="13">
        <v>1310000</v>
      </c>
      <c r="R248" s="13"/>
      <c r="S248" s="13"/>
      <c r="T248" s="32">
        <f>[1]!ПЛАТЕЖИ[[#This Row],[СЎМ]]+([1]!ПЛАТЕЖИ[[#This Row],[ВАЛЮТА]]*[1]!ПЛАТЕЖИ[[#This Row],[КУРС]])</f>
        <v>6285000</v>
      </c>
      <c r="U248" s="31"/>
      <c r="V248" s="31"/>
    </row>
    <row r="249" spans="2:22" x14ac:dyDescent="0.25">
      <c r="B249" s="1">
        <v>46055</v>
      </c>
      <c r="C249" s="2" t="s">
        <v>78</v>
      </c>
      <c r="D249" s="3" t="s">
        <v>29</v>
      </c>
      <c r="E249" s="3" t="s">
        <v>2</v>
      </c>
      <c r="F249" s="4">
        <v>228.7</v>
      </c>
      <c r="G249" s="4">
        <v>17500</v>
      </c>
      <c r="H249" s="5">
        <f>[1]!РЕАЛИЗАЦИЯ[СОНИ]*[1]!РЕАЛИЗАЦИЯ[НАРХИ]</f>
        <v>924000</v>
      </c>
      <c r="I249" s="4"/>
      <c r="J249" s="6">
        <v>16000</v>
      </c>
      <c r="K249" s="4">
        <f>[1]!РЕАЛИЗАЦИЯ[[#This Row],[СОНИ]]*[1]!РЕАЛИЗАЦИЯ[[#This Row],[ТАННАРХ]]</f>
        <v>0</v>
      </c>
      <c r="L249" s="7">
        <f>[1]!РЕАЛИЗАЦИЯ[[#This Row],[ЖАМИ]]-[1]!РЕАЛИЗАЦИЯ[[#This Row],[ЖАМИ2]]</f>
        <v>924000</v>
      </c>
      <c r="O249" s="27">
        <v>46061</v>
      </c>
      <c r="P249" s="28" t="s">
        <v>110</v>
      </c>
      <c r="Q249" s="6">
        <v>1511800</v>
      </c>
      <c r="R249" s="6"/>
      <c r="S249" s="6"/>
      <c r="T249" s="29">
        <f>[1]!ПЛАТЕЖИ[[#This Row],[СЎМ]]+([1]!ПЛАТЕЖИ[[#This Row],[ВАЛЮТА]]*[1]!ПЛАТЕЖИ[[#This Row],[КУРС]])</f>
        <v>2067200</v>
      </c>
      <c r="U249" s="28"/>
      <c r="V249" s="28" t="s">
        <v>275</v>
      </c>
    </row>
    <row r="250" spans="2:22" x14ac:dyDescent="0.25">
      <c r="B250" s="8">
        <v>46055</v>
      </c>
      <c r="C250" s="9" t="s">
        <v>9</v>
      </c>
      <c r="D250" s="10" t="s">
        <v>25</v>
      </c>
      <c r="E250" s="10" t="s">
        <v>2</v>
      </c>
      <c r="F250" s="11">
        <v>395.9</v>
      </c>
      <c r="G250" s="11">
        <v>25700</v>
      </c>
      <c r="H250" s="12">
        <f>[1]!РЕАЛИЗАЦИЯ[СОНИ]*[1]!РЕАЛИЗАЦИЯ[НАРХИ]</f>
        <v>1856400.0000000002</v>
      </c>
      <c r="I250" s="11"/>
      <c r="J250" s="13">
        <v>23000</v>
      </c>
      <c r="K250" s="11">
        <f>[1]!РЕАЛИЗАЦИЯ[[#This Row],[СОНИ]]*[1]!РЕАЛИЗАЦИЯ[[#This Row],[ТАННАРХ]]</f>
        <v>0</v>
      </c>
      <c r="L250" s="14">
        <f>[1]!РЕАЛИЗАЦИЯ[[#This Row],[ЖАМИ]]-[1]!РЕАЛИЗАЦИЯ[[#This Row],[ЖАМИ2]]</f>
        <v>1856400.0000000002</v>
      </c>
      <c r="O250" s="30">
        <v>46061</v>
      </c>
      <c r="P250" s="31" t="s">
        <v>150</v>
      </c>
      <c r="Q250" s="13">
        <v>880000</v>
      </c>
      <c r="R250" s="13"/>
      <c r="S250" s="13"/>
      <c r="T250" s="32">
        <f>[1]!ПЛАТЕЖИ[[#This Row],[СЎМ]]+([1]!ПЛАТЕЖИ[[#This Row],[ВАЛЮТА]]*[1]!ПЛАТЕЖИ[[#This Row],[КУРС]])</f>
        <v>500000</v>
      </c>
      <c r="U250" s="31"/>
      <c r="V250" s="31" t="s">
        <v>275</v>
      </c>
    </row>
    <row r="251" spans="2:22" x14ac:dyDescent="0.25">
      <c r="B251" s="1">
        <v>46055</v>
      </c>
      <c r="C251" s="2" t="s">
        <v>15</v>
      </c>
      <c r="D251" s="3" t="s">
        <v>16</v>
      </c>
      <c r="E251" s="3" t="s">
        <v>2</v>
      </c>
      <c r="F251" s="4">
        <v>285.60000000000002</v>
      </c>
      <c r="G251" s="4">
        <v>23000</v>
      </c>
      <c r="H251" s="5">
        <f>[1]!РЕАЛИЗАЦИЯ[СОНИ]*[1]!РЕАЛИЗАЦИЯ[НАРХИ]</f>
        <v>966600</v>
      </c>
      <c r="I251" s="4"/>
      <c r="J251" s="6">
        <v>21000</v>
      </c>
      <c r="K251" s="4">
        <f>[1]!РЕАЛИЗАЦИЯ[[#This Row],[СОНИ]]*[1]!РЕАЛИЗАЦИЯ[[#This Row],[ТАННАРХ]]</f>
        <v>0</v>
      </c>
      <c r="L251" s="7">
        <f>[1]!РЕАЛИЗАЦИЯ[[#This Row],[ЖАМИ]]-[1]!РЕАЛИЗАЦИЯ[[#This Row],[ЖАМИ2]]</f>
        <v>966600</v>
      </c>
      <c r="O251" s="27">
        <v>46061</v>
      </c>
      <c r="P251" s="28" t="s">
        <v>13</v>
      </c>
      <c r="Q251" s="6">
        <v>1004000</v>
      </c>
      <c r="R251" s="6"/>
      <c r="S251" s="6"/>
      <c r="T251" s="29">
        <f>[1]!ПЛАТЕЖИ[[#This Row],[СЎМ]]+([1]!ПЛАТЕЖИ[[#This Row],[ВАЛЮТА]]*[1]!ПЛАТЕЖИ[[#This Row],[КУРС]])</f>
        <v>2550000</v>
      </c>
      <c r="U251" s="28"/>
      <c r="V251" s="28"/>
    </row>
    <row r="252" spans="2:22" x14ac:dyDescent="0.25">
      <c r="B252" s="8">
        <v>46055</v>
      </c>
      <c r="C252" s="9" t="s">
        <v>134</v>
      </c>
      <c r="D252" s="10" t="s">
        <v>1</v>
      </c>
      <c r="E252" s="10" t="s">
        <v>2</v>
      </c>
      <c r="F252" s="11">
        <v>516.1</v>
      </c>
      <c r="G252" s="11">
        <v>22000</v>
      </c>
      <c r="H252" s="12">
        <f>[1]!РЕАЛИЗАЦИЯ[СОНИ]*[1]!РЕАЛИЗАЦИЯ[НАРХИ]</f>
        <v>2226000</v>
      </c>
      <c r="I252" s="11"/>
      <c r="J252" s="13">
        <v>19000</v>
      </c>
      <c r="K252" s="11">
        <f>[1]!РЕАЛИЗАЦИЯ[[#This Row],[СОНИ]]*[1]!РЕАЛИЗАЦИЯ[[#This Row],[ТАННАРХ]]</f>
        <v>0</v>
      </c>
      <c r="L252" s="14">
        <f>[1]!РЕАЛИЗАЦИЯ[[#This Row],[ЖАМИ]]-[1]!РЕАЛИЗАЦИЯ[[#This Row],[ЖАМИ2]]</f>
        <v>2226000</v>
      </c>
      <c r="O252" s="30">
        <v>46061</v>
      </c>
      <c r="P252" s="31" t="s">
        <v>148</v>
      </c>
      <c r="Q252" s="13">
        <v>1006000</v>
      </c>
      <c r="R252" s="13"/>
      <c r="S252" s="13"/>
      <c r="T252" s="32">
        <f>[1]!ПЛАТЕЖИ[[#This Row],[СЎМ]]+([1]!ПЛАТЕЖИ[[#This Row],[ВАЛЮТА]]*[1]!ПЛАТЕЖИ[[#This Row],[КУРС]])</f>
        <v>7019450</v>
      </c>
      <c r="U252" s="31"/>
      <c r="V252" s="31"/>
    </row>
    <row r="253" spans="2:22" x14ac:dyDescent="0.25">
      <c r="B253" s="1">
        <v>46055</v>
      </c>
      <c r="C253" s="2" t="s">
        <v>19</v>
      </c>
      <c r="D253" s="3" t="s">
        <v>1</v>
      </c>
      <c r="E253" s="3" t="s">
        <v>2</v>
      </c>
      <c r="F253" s="4">
        <v>44</v>
      </c>
      <c r="G253" s="4">
        <v>20000</v>
      </c>
      <c r="H253" s="5">
        <f>[1]!РЕАЛИЗАЦИЯ[СОНИ]*[1]!РЕАЛИЗАЦИЯ[НАРХИ]</f>
        <v>2129400</v>
      </c>
      <c r="I253" s="4"/>
      <c r="J253" s="6">
        <v>19000</v>
      </c>
      <c r="K253" s="4">
        <f>[1]!РЕАЛИЗАЦИЯ[[#This Row],[СОНИ]]*[1]!РЕАЛИЗАЦИЯ[[#This Row],[ТАННАРХ]]</f>
        <v>0</v>
      </c>
      <c r="L253" s="7">
        <f>[1]!РЕАЛИЗАЦИЯ[[#This Row],[ЖАМИ]]-[1]!РЕАЛИЗАЦИЯ[[#This Row],[ЖАМИ2]]</f>
        <v>2129400</v>
      </c>
      <c r="O253" s="27">
        <v>46061</v>
      </c>
      <c r="P253" s="28" t="s">
        <v>12</v>
      </c>
      <c r="Q253" s="6">
        <v>48830400</v>
      </c>
      <c r="R253" s="6"/>
      <c r="S253" s="6"/>
      <c r="T253" s="29">
        <f>[1]!ПЛАТЕЖИ[[#This Row],[СЎМ]]+([1]!ПЛАТЕЖИ[[#This Row],[ВАЛЮТА]]*[1]!ПЛАТЕЖИ[[#This Row],[КУРС]])</f>
        <v>1106700</v>
      </c>
      <c r="U253" s="28"/>
      <c r="V253" s="28" t="s">
        <v>279</v>
      </c>
    </row>
    <row r="254" spans="2:22" x14ac:dyDescent="0.25">
      <c r="B254" s="8">
        <v>46055</v>
      </c>
      <c r="C254" s="9" t="s">
        <v>116</v>
      </c>
      <c r="D254" s="10" t="s">
        <v>29</v>
      </c>
      <c r="E254" s="10" t="s">
        <v>2</v>
      </c>
      <c r="F254" s="11">
        <v>47</v>
      </c>
      <c r="G254" s="11">
        <v>18000</v>
      </c>
      <c r="H254" s="12">
        <f>[1]!РЕАЛИЗАЦИЯ[СОНИ]*[1]!РЕАЛИЗАЦИЯ[НАРХИ]</f>
        <v>2184000</v>
      </c>
      <c r="I254" s="11"/>
      <c r="J254" s="13">
        <v>16000</v>
      </c>
      <c r="K254" s="11">
        <f>[1]!РЕАЛИЗАЦИЯ[[#This Row],[СОНИ]]*[1]!РЕАЛИЗАЦИЯ[[#This Row],[ТАННАРХ]]</f>
        <v>0</v>
      </c>
      <c r="L254" s="14">
        <f>[1]!РЕАЛИЗАЦИЯ[[#This Row],[ЖАМИ]]-[1]!РЕАЛИЗАЦИЯ[[#This Row],[ЖАМИ2]]</f>
        <v>2184000</v>
      </c>
      <c r="O254" s="30">
        <v>46061</v>
      </c>
      <c r="P254" s="31" t="s">
        <v>112</v>
      </c>
      <c r="Q254" s="13">
        <v>3900000</v>
      </c>
      <c r="R254" s="13"/>
      <c r="S254" s="13"/>
      <c r="T254" s="32">
        <f>[1]!ПЛАТЕЖИ[[#This Row],[СЎМ]]+([1]!ПЛАТЕЖИ[[#This Row],[ВАЛЮТА]]*[1]!ПЛАТЕЖИ[[#This Row],[КУРС]])</f>
        <v>2921300</v>
      </c>
      <c r="U254" s="31"/>
      <c r="V254" s="31"/>
    </row>
    <row r="255" spans="2:22" x14ac:dyDescent="0.25">
      <c r="B255" s="1">
        <v>46055</v>
      </c>
      <c r="C255" s="2" t="s">
        <v>26</v>
      </c>
      <c r="D255" s="3" t="s">
        <v>10</v>
      </c>
      <c r="E255" s="3" t="s">
        <v>2</v>
      </c>
      <c r="F255" s="4">
        <v>103.6</v>
      </c>
      <c r="G255" s="4">
        <v>14000</v>
      </c>
      <c r="H255" s="5">
        <f>[1]!РЕАЛИЗАЦИЯ[СОНИ]*[1]!РЕАЛИЗАЦИЯ[НАРХИ]</f>
        <v>792000</v>
      </c>
      <c r="I255" s="4"/>
      <c r="J255" s="6">
        <v>13000</v>
      </c>
      <c r="K255" s="4">
        <f>[1]!РЕАЛИЗАЦИЯ[[#This Row],[СОНИ]]*[1]!РЕАЛИЗАЦИЯ[[#This Row],[ТАННАРХ]]</f>
        <v>0</v>
      </c>
      <c r="L255" s="7">
        <f>[1]!РЕАЛИЗАЦИЯ[[#This Row],[ЖАМИ]]-[1]!РЕАЛИЗАЦИЯ[[#This Row],[ЖАМИ2]]</f>
        <v>792000</v>
      </c>
      <c r="O255" s="27">
        <v>46061</v>
      </c>
      <c r="P255" s="28" t="s">
        <v>138</v>
      </c>
      <c r="Q255" s="6">
        <v>3880800</v>
      </c>
      <c r="R255" s="6"/>
      <c r="S255" s="6"/>
      <c r="T255" s="29">
        <f>[1]!ПЛАТЕЖИ[[#This Row],[СЎМ]]+([1]!ПЛАТЕЖИ[[#This Row],[ВАЛЮТА]]*[1]!ПЛАТЕЖИ[[#This Row],[КУРС]])</f>
        <v>1150800</v>
      </c>
      <c r="U255" s="28"/>
      <c r="V255" s="28"/>
    </row>
    <row r="256" spans="2:22" x14ac:dyDescent="0.25">
      <c r="B256" s="8">
        <v>46055</v>
      </c>
      <c r="C256" s="9" t="s">
        <v>26</v>
      </c>
      <c r="D256" s="10" t="s">
        <v>1</v>
      </c>
      <c r="E256" s="10" t="s">
        <v>2</v>
      </c>
      <c r="F256" s="11">
        <v>53</v>
      </c>
      <c r="G256" s="11">
        <v>19500</v>
      </c>
      <c r="H256" s="12">
        <f>[1]!РЕАЛИЗАЦИЯ[СОНИ]*[1]!РЕАЛИЗАЦИЯ[НАРХИ]</f>
        <v>2979900</v>
      </c>
      <c r="I256" s="11"/>
      <c r="J256" s="13">
        <v>19000</v>
      </c>
      <c r="K256" s="11">
        <f>[1]!РЕАЛИЗАЦИЯ[[#This Row],[СОНИ]]*[1]!РЕАЛИЗАЦИЯ[[#This Row],[ТАННАРХ]]</f>
        <v>0</v>
      </c>
      <c r="L256" s="14">
        <f>[1]!РЕАЛИЗАЦИЯ[[#This Row],[ЖАМИ]]-[1]!РЕАЛИЗАЦИЯ[[#This Row],[ЖАМИ2]]</f>
        <v>2979900</v>
      </c>
      <c r="O256" s="30">
        <v>46061</v>
      </c>
      <c r="P256" s="31" t="s">
        <v>126</v>
      </c>
      <c r="Q256" s="13">
        <v>9300000</v>
      </c>
      <c r="R256" s="13"/>
      <c r="S256" s="13"/>
      <c r="T256" s="32">
        <f>[1]!ПЛАТЕЖИ[[#This Row],[СЎМ]]+([1]!ПЛАТЕЖИ[[#This Row],[ВАЛЮТА]]*[1]!ПЛАТЕЖИ[[#This Row],[КУРС]])</f>
        <v>1148700</v>
      </c>
      <c r="U256" s="31"/>
      <c r="V256" s="31"/>
    </row>
    <row r="257" spans="2:22" x14ac:dyDescent="0.25">
      <c r="B257" s="1">
        <v>46056</v>
      </c>
      <c r="C257" s="2" t="s">
        <v>43</v>
      </c>
      <c r="D257" s="3" t="s">
        <v>10</v>
      </c>
      <c r="E257" s="3" t="s">
        <v>2</v>
      </c>
      <c r="F257" s="4">
        <v>52.2</v>
      </c>
      <c r="G257" s="4">
        <v>15000</v>
      </c>
      <c r="H257" s="5">
        <f>[1]!РЕАЛИЗАЦИЯ[СОНИ]*[1]!РЕАЛИЗАЦИЯ[НАРХИ]</f>
        <v>1542400</v>
      </c>
      <c r="I257" s="4"/>
      <c r="J257" s="6">
        <v>13000</v>
      </c>
      <c r="K257" s="4">
        <f>[1]!РЕАЛИЗАЦИЯ[[#This Row],[СОНИ]]*[1]!РЕАЛИЗАЦИЯ[[#This Row],[ТАННАРХ]]</f>
        <v>0</v>
      </c>
      <c r="L257" s="7">
        <f>[1]!РЕАЛИЗАЦИЯ[[#This Row],[ЖАМИ]]-[1]!РЕАЛИЗАЦИЯ[[#This Row],[ЖАМИ2]]</f>
        <v>1542400</v>
      </c>
      <c r="O257" s="27">
        <v>46063</v>
      </c>
      <c r="P257" s="28" t="s">
        <v>101</v>
      </c>
      <c r="Q257" s="6">
        <v>999600</v>
      </c>
      <c r="R257" s="6"/>
      <c r="S257" s="6"/>
      <c r="T257" s="29">
        <f>[1]!ПЛАТЕЖИ[[#This Row],[СЎМ]]+([1]!ПЛАТЕЖИ[[#This Row],[ВАЛЮТА]]*[1]!ПЛАТЕЖИ[[#This Row],[КУРС]])</f>
        <v>830400</v>
      </c>
      <c r="U257" s="28"/>
      <c r="V257" s="28" t="s">
        <v>279</v>
      </c>
    </row>
    <row r="258" spans="2:22" x14ac:dyDescent="0.25">
      <c r="B258" s="8">
        <v>46056</v>
      </c>
      <c r="C258" s="9" t="s">
        <v>18</v>
      </c>
      <c r="D258" s="10" t="s">
        <v>10</v>
      </c>
      <c r="E258" s="10" t="s">
        <v>2</v>
      </c>
      <c r="F258" s="11">
        <v>53.8</v>
      </c>
      <c r="G258" s="11">
        <v>14500</v>
      </c>
      <c r="H258" s="12">
        <f>[1]!РЕАЛИЗАЦИЯ[СОНИ]*[1]!РЕАЛИЗАЦИЯ[НАРХИ]</f>
        <v>1699200</v>
      </c>
      <c r="I258" s="11"/>
      <c r="J258" s="13">
        <v>13000</v>
      </c>
      <c r="K258" s="11">
        <f>[1]!РЕАЛИЗАЦИЯ[[#This Row],[СОНИ]]*[1]!РЕАЛИЗАЦИЯ[[#This Row],[ТАННАРХ]]</f>
        <v>0</v>
      </c>
      <c r="L258" s="14">
        <f>[1]!РЕАЛИЗАЦИЯ[[#This Row],[ЖАМИ]]-[1]!РЕАЛИЗАЦИЯ[[#This Row],[ЖАМИ2]]</f>
        <v>1699200</v>
      </c>
      <c r="O258" s="30">
        <v>46063</v>
      </c>
      <c r="P258" s="31" t="s">
        <v>249</v>
      </c>
      <c r="Q258" s="13">
        <v>5000000</v>
      </c>
      <c r="R258" s="13"/>
      <c r="S258" s="13"/>
      <c r="T258" s="32">
        <f>[1]!ПЛАТЕЖИ[[#This Row],[СЎМ]]+([1]!ПЛАТЕЖИ[[#This Row],[ВАЛЮТА]]*[1]!ПЛАТЕЖИ[[#This Row],[КУРС]])</f>
        <v>2026000</v>
      </c>
      <c r="U258" s="31"/>
      <c r="V258" s="31" t="s">
        <v>279</v>
      </c>
    </row>
    <row r="259" spans="2:22" x14ac:dyDescent="0.25">
      <c r="B259" s="1">
        <v>46056</v>
      </c>
      <c r="C259" s="2" t="s">
        <v>130</v>
      </c>
      <c r="D259" s="3" t="s">
        <v>25</v>
      </c>
      <c r="E259" s="3" t="s">
        <v>2</v>
      </c>
      <c r="F259" s="4">
        <v>211.1</v>
      </c>
      <c r="G259" s="4">
        <v>25750</v>
      </c>
      <c r="H259" s="5">
        <f>[1]!РЕАЛИЗАЦИЯ[СОНИ]*[1]!РЕАЛИЗАЦИЯ[НАРХИ]</f>
        <v>1104600</v>
      </c>
      <c r="I259" s="4"/>
      <c r="J259" s="6">
        <v>23000</v>
      </c>
      <c r="K259" s="4">
        <f>[1]!РЕАЛИЗАЦИЯ[[#This Row],[СОНИ]]*[1]!РЕАЛИЗАЦИЯ[[#This Row],[ТАННАРХ]]</f>
        <v>0</v>
      </c>
      <c r="L259" s="7">
        <f>[1]!РЕАЛИЗАЦИЯ[[#This Row],[ЖАМИ]]-[1]!РЕАЛИЗАЦИЯ[[#This Row],[ЖАМИ2]]</f>
        <v>1104600</v>
      </c>
      <c r="O259" s="27">
        <v>46063</v>
      </c>
      <c r="P259" s="28" t="s">
        <v>107</v>
      </c>
      <c r="Q259" s="6">
        <v>1661400</v>
      </c>
      <c r="R259" s="6"/>
      <c r="S259" s="6"/>
      <c r="T259" s="29">
        <f>[1]!ПЛАТЕЖИ[[#This Row],[СЎМ]]+([1]!ПЛАТЕЖИ[[#This Row],[ВАЛЮТА]]*[1]!ПЛАТЕЖИ[[#This Row],[КУРС]])</f>
        <v>500000</v>
      </c>
      <c r="U259" s="28"/>
      <c r="V259" s="28" t="s">
        <v>279</v>
      </c>
    </row>
    <row r="260" spans="2:22" x14ac:dyDescent="0.25">
      <c r="B260" s="8">
        <v>46056</v>
      </c>
      <c r="C260" s="9" t="s">
        <v>135</v>
      </c>
      <c r="D260" s="10" t="s">
        <v>1</v>
      </c>
      <c r="E260" s="10" t="s">
        <v>2</v>
      </c>
      <c r="F260" s="11">
        <v>53.7</v>
      </c>
      <c r="G260" s="11">
        <v>20000</v>
      </c>
      <c r="H260" s="12">
        <f>[1]!РЕАЛИЗАЦИЯ[СОНИ]*[1]!РЕАЛИЗАЦИЯ[НАРХИ]</f>
        <v>1575900</v>
      </c>
      <c r="I260" s="11"/>
      <c r="J260" s="13">
        <v>19000</v>
      </c>
      <c r="K260" s="11">
        <f>[1]!РЕАЛИЗАЦИЯ[[#This Row],[СОНИ]]*[1]!РЕАЛИЗАЦИЯ[[#This Row],[ТАННАРХ]]</f>
        <v>0</v>
      </c>
      <c r="L260" s="14">
        <f>[1]!РЕАЛИЗАЦИЯ[[#This Row],[ЖАМИ]]-[1]!РЕАЛИЗАЦИЯ[[#This Row],[ЖАМИ2]]</f>
        <v>1575900</v>
      </c>
      <c r="O260" s="30">
        <v>46063</v>
      </c>
      <c r="P260" s="31" t="s">
        <v>104</v>
      </c>
      <c r="Q260" s="13">
        <v>16375400</v>
      </c>
      <c r="R260" s="13"/>
      <c r="S260" s="13"/>
      <c r="T260" s="32">
        <f>[1]!ПЛАТЕЖИ[[#This Row],[СЎМ]]+([1]!ПЛАТЕЖИ[[#This Row],[ВАЛЮТА]]*[1]!ПЛАТЕЖИ[[#This Row],[КУРС]])</f>
        <v>3315900</v>
      </c>
      <c r="U260" s="31"/>
      <c r="V260" s="31"/>
    </row>
    <row r="261" spans="2:22" x14ac:dyDescent="0.25">
      <c r="B261" s="1">
        <v>46057</v>
      </c>
      <c r="C261" s="2" t="s">
        <v>136</v>
      </c>
      <c r="D261" s="3" t="s">
        <v>1</v>
      </c>
      <c r="E261" s="3" t="s">
        <v>2</v>
      </c>
      <c r="F261" s="4">
        <v>37.700000000000003</v>
      </c>
      <c r="G261" s="4">
        <v>21000</v>
      </c>
      <c r="H261" s="5">
        <f>[1]!РЕАЛИЗАЦИЯ[СОНИ]*[1]!РЕАЛИЗАЦИЯ[НАРХИ]</f>
        <v>726400</v>
      </c>
      <c r="I261" s="4"/>
      <c r="J261" s="6">
        <v>19000</v>
      </c>
      <c r="K261" s="4">
        <f>[1]!РЕАЛИЗАЦИЯ[[#This Row],[СОНИ]]*[1]!РЕАЛИЗАЦИЯ[[#This Row],[ТАННАРХ]]</f>
        <v>0</v>
      </c>
      <c r="L261" s="7">
        <f>[1]!РЕАЛИЗАЦИЯ[[#This Row],[ЖАМИ]]-[1]!РЕАЛИЗАЦИЯ[[#This Row],[ЖАМИ2]]</f>
        <v>726400</v>
      </c>
      <c r="O261" s="27">
        <v>46064</v>
      </c>
      <c r="P261" s="28" t="s">
        <v>150</v>
      </c>
      <c r="Q261" s="6">
        <v>600000</v>
      </c>
      <c r="R261" s="6"/>
      <c r="S261" s="6"/>
      <c r="T261" s="29">
        <f>[1]!ПЛАТЕЖИ[[#This Row],[СЎМ]]+([1]!ПЛАТЕЖИ[[#This Row],[ВАЛЮТА]]*[1]!ПЛАТЕЖИ[[#This Row],[КУРС]])</f>
        <v>920000</v>
      </c>
      <c r="U261" s="28"/>
      <c r="V261" s="28"/>
    </row>
    <row r="262" spans="2:22" x14ac:dyDescent="0.25">
      <c r="B262" s="8">
        <v>46057</v>
      </c>
      <c r="C262" s="9" t="s">
        <v>137</v>
      </c>
      <c r="D262" s="10" t="s">
        <v>10</v>
      </c>
      <c r="E262" s="10" t="s">
        <v>2</v>
      </c>
      <c r="F262" s="11">
        <v>46.9</v>
      </c>
      <c r="G262" s="11">
        <v>14500</v>
      </c>
      <c r="H262" s="12">
        <f>[1]!РЕАЛИЗАЦИЯ[СОНИ]*[1]!РЕАЛИЗАЦИЯ[НАРХИ]</f>
        <v>1054200</v>
      </c>
      <c r="I262" s="11"/>
      <c r="J262" s="13">
        <v>13000</v>
      </c>
      <c r="K262" s="11">
        <f>[1]!РЕАЛИЗАЦИЯ[[#This Row],[СОНИ]]*[1]!РЕАЛИЗАЦИЯ[[#This Row],[ТАННАРХ]]</f>
        <v>0</v>
      </c>
      <c r="L262" s="14">
        <f>[1]!РЕАЛИЗАЦИЯ[[#This Row],[ЖАМИ]]-[1]!РЕАЛИЗАЦИЯ[[#This Row],[ЖАМИ2]]</f>
        <v>1054200</v>
      </c>
      <c r="O262" s="30">
        <v>46064</v>
      </c>
      <c r="P262" s="31" t="s">
        <v>86</v>
      </c>
      <c r="Q262" s="13">
        <v>3552000</v>
      </c>
      <c r="R262" s="13"/>
      <c r="S262" s="13"/>
      <c r="T262" s="32">
        <f>[1]!ПЛАТЕЖИ[[#This Row],[СЎМ]]+([1]!ПЛАТЕЖИ[[#This Row],[ВАЛЮТА]]*[1]!ПЛАТЕЖИ[[#This Row],[КУРС]])</f>
        <v>3000000</v>
      </c>
      <c r="U262" s="31"/>
      <c r="V262" s="31"/>
    </row>
    <row r="263" spans="2:22" x14ac:dyDescent="0.25">
      <c r="B263" s="1">
        <v>46058</v>
      </c>
      <c r="C263" s="2" t="s">
        <v>131</v>
      </c>
      <c r="D263" s="3" t="s">
        <v>1</v>
      </c>
      <c r="E263" s="3" t="s">
        <v>2</v>
      </c>
      <c r="F263" s="4">
        <v>515.4</v>
      </c>
      <c r="G263" s="4">
        <v>20000</v>
      </c>
      <c r="H263" s="5">
        <f>[1]!РЕАЛИЗАЦИЯ[СОНИ]*[1]!РЕАЛИЗАЦИЯ[НАРХИ]</f>
        <v>1325100</v>
      </c>
      <c r="I263" s="4"/>
      <c r="J263" s="6">
        <v>19000</v>
      </c>
      <c r="K263" s="4">
        <f>[1]!РЕАЛИЗАЦИЯ[[#This Row],[СОНИ]]*[1]!РЕАЛИЗАЦИЯ[[#This Row],[ТАННАРХ]]</f>
        <v>0</v>
      </c>
      <c r="L263" s="7">
        <f>[1]!РЕАЛИЗАЦИЯ[[#This Row],[ЖАМИ]]-[1]!РЕАЛИЗАЦИЯ[[#This Row],[ЖАМИ2]]</f>
        <v>1325100</v>
      </c>
      <c r="O263" s="27">
        <v>46064</v>
      </c>
      <c r="P263" s="28" t="s">
        <v>103</v>
      </c>
      <c r="Q263" s="6">
        <v>1045800</v>
      </c>
      <c r="R263" s="6"/>
      <c r="S263" s="6"/>
      <c r="T263" s="29">
        <f>[1]!ПЛАТЕЖИ[[#This Row],[СЎМ]]+([1]!ПЛАТЕЖИ[[#This Row],[ВАЛЮТА]]*[1]!ПЛАТЕЖИ[[#This Row],[КУРС]])</f>
        <v>450000</v>
      </c>
      <c r="U263" s="28"/>
      <c r="V263" s="28"/>
    </row>
    <row r="264" spans="2:22" x14ac:dyDescent="0.25">
      <c r="B264" s="8">
        <v>46058</v>
      </c>
      <c r="C264" s="9" t="s">
        <v>138</v>
      </c>
      <c r="D264" s="10" t="s">
        <v>8</v>
      </c>
      <c r="E264" s="10" t="s">
        <v>2</v>
      </c>
      <c r="F264" s="11">
        <v>176.4</v>
      </c>
      <c r="G264" s="11">
        <v>22000</v>
      </c>
      <c r="H264" s="12">
        <f>[1]!РЕАЛИЗАЦИЯ[СОНИ]*[1]!РЕАЛИЗАЦИЯ[НАРХИ]</f>
        <v>2660200</v>
      </c>
      <c r="I264" s="11"/>
      <c r="J264" s="13">
        <v>20000</v>
      </c>
      <c r="K264" s="11">
        <f>[1]!РЕАЛИЗАЦИЯ[[#This Row],[СОНИ]]*[1]!РЕАЛИЗАЦИЯ[[#This Row],[ТАННАРХ]]</f>
        <v>288320400</v>
      </c>
      <c r="L264" s="14">
        <f>[1]!РЕАЛИЗАЦИЯ[[#This Row],[ЖАМИ]]-[1]!РЕАЛИЗАЦИЯ[[#This Row],[ЖАМИ2]]</f>
        <v>2660086.7999999998</v>
      </c>
      <c r="O264" s="30">
        <v>46064</v>
      </c>
      <c r="P264" s="31" t="s">
        <v>128</v>
      </c>
      <c r="Q264" s="13">
        <v>585000</v>
      </c>
      <c r="R264" s="13"/>
      <c r="S264" s="13"/>
      <c r="T264" s="32">
        <f>[1]!ПЛАТЕЖИ[[#This Row],[СЎМ]]+([1]!ПЛАТЕЖИ[[#This Row],[ВАЛЮТА]]*[1]!ПЛАТЕЖИ[[#This Row],[КУРС]])</f>
        <v>2300000</v>
      </c>
      <c r="U264" s="31"/>
      <c r="V264" s="31"/>
    </row>
    <row r="265" spans="2:22" x14ac:dyDescent="0.25">
      <c r="B265" s="1">
        <v>46058</v>
      </c>
      <c r="C265" s="2" t="s">
        <v>7</v>
      </c>
      <c r="D265" s="3" t="s">
        <v>8</v>
      </c>
      <c r="E265" s="3" t="s">
        <v>2</v>
      </c>
      <c r="F265" s="4">
        <v>1427.9</v>
      </c>
      <c r="G265" s="4">
        <v>22000</v>
      </c>
      <c r="H265" s="5">
        <f>[1]!РЕАЛИЗАЦИЯ[СОНИ]*[1]!РЕАЛИЗАЦИЯ[НАРХИ]</f>
        <v>1042000</v>
      </c>
      <c r="I265" s="4"/>
      <c r="J265" s="6">
        <v>20000</v>
      </c>
      <c r="K265" s="4">
        <f>[1]!РЕАЛИЗАЦИЯ[[#This Row],[СОНИ]]*[1]!РЕАЛИЗАЦИЯ[[#This Row],[ТАННАРХ]]</f>
        <v>0</v>
      </c>
      <c r="L265" s="7">
        <f>[1]!РЕАЛИЗАЦИЯ[[#This Row],[ЖАМИ]]-[1]!РЕАЛИЗАЦИЯ[[#This Row],[ЖАМИ2]]</f>
        <v>1042000</v>
      </c>
      <c r="O265" s="27">
        <v>46064</v>
      </c>
      <c r="P265" s="28" t="s">
        <v>102</v>
      </c>
      <c r="Q265" s="6">
        <v>4000000</v>
      </c>
      <c r="R265" s="6"/>
      <c r="S265" s="6"/>
      <c r="T265" s="29">
        <f>[1]!ПЛАТЕЖИ[[#This Row],[СЎМ]]+([1]!ПЛАТЕЖИ[[#This Row],[ВАЛЮТА]]*[1]!ПЛАТЕЖИ[[#This Row],[КУРС]])</f>
        <v>8461400</v>
      </c>
      <c r="U265" s="28"/>
      <c r="V265" s="28" t="s">
        <v>279</v>
      </c>
    </row>
    <row r="266" spans="2:22" x14ac:dyDescent="0.25">
      <c r="B266" s="8">
        <v>46058</v>
      </c>
      <c r="C266" s="9" t="s">
        <v>12</v>
      </c>
      <c r="D266" s="10" t="s">
        <v>16</v>
      </c>
      <c r="E266" s="10" t="s">
        <v>2</v>
      </c>
      <c r="F266" s="11">
        <v>2034.6</v>
      </c>
      <c r="G266" s="11">
        <v>24000</v>
      </c>
      <c r="H266" s="12">
        <f>[1]!РЕАЛИЗАЦИЯ[СОНИ]*[1]!РЕАЛИЗАЦИЯ[НАРХИ]</f>
        <v>675000</v>
      </c>
      <c r="I266" s="11">
        <v>6</v>
      </c>
      <c r="J266" s="13">
        <v>20000</v>
      </c>
      <c r="K266" s="11">
        <f>[1]!РЕАЛИЗАЦИЯ[[#This Row],[СОНИ]]*[1]!РЕАЛИЗАЦИЯ[[#This Row],[ТАННАРХ]]</f>
        <v>0</v>
      </c>
      <c r="L266" s="14">
        <f>[1]!РЕАЛИЗАЦИЯ[[#This Row],[ЖАМИ]]-[1]!РЕАЛИЗАЦИЯ[[#This Row],[ЖАМИ2]]</f>
        <v>675000</v>
      </c>
      <c r="O266" s="30">
        <v>46064</v>
      </c>
      <c r="P266" s="31" t="s">
        <v>89</v>
      </c>
      <c r="Q266" s="13">
        <v>23819900</v>
      </c>
      <c r="R266" s="13"/>
      <c r="S266" s="13"/>
      <c r="T266" s="32">
        <f>[1]!ПЛАТЕЖИ[[#This Row],[СЎМ]]+([1]!ПЛАТЕЖИ[[#This Row],[ВАЛЮТА]]*[1]!ПЛАТЕЖИ[[#This Row],[КУРС]])</f>
        <v>3890000</v>
      </c>
      <c r="U266" s="31"/>
      <c r="V266" s="31"/>
    </row>
    <row r="267" spans="2:22" x14ac:dyDescent="0.25">
      <c r="B267" s="1">
        <v>46058</v>
      </c>
      <c r="C267" s="2" t="s">
        <v>139</v>
      </c>
      <c r="D267" s="3" t="s">
        <v>1</v>
      </c>
      <c r="E267" s="3" t="s">
        <v>2</v>
      </c>
      <c r="F267" s="4">
        <v>47.8</v>
      </c>
      <c r="G267" s="4">
        <v>21000</v>
      </c>
      <c r="H267" s="5">
        <f>[1]!РЕАЛИЗАЦИЯ[СОНИ]*[1]!РЕАЛИЗАЦИЯ[НАРХИ]</f>
        <v>1860599.9999999998</v>
      </c>
      <c r="I267" s="4"/>
      <c r="J267" s="6">
        <v>19000</v>
      </c>
      <c r="K267" s="4">
        <f>[1]!РЕАЛИЗАЦИЯ[[#This Row],[СОНИ]]*[1]!РЕАЛИЗАЦИЯ[[#This Row],[ТАННАРХ]]</f>
        <v>0</v>
      </c>
      <c r="L267" s="7">
        <f>[1]!РЕАЛИЗАЦИЯ[[#This Row],[ЖАМИ]]-[1]!РЕАЛИЗАЦИЯ[[#This Row],[ЖАМИ2]]</f>
        <v>1860599.9999999998</v>
      </c>
      <c r="O267" s="27">
        <v>46065</v>
      </c>
      <c r="P267" s="28" t="s">
        <v>52</v>
      </c>
      <c r="Q267" s="6">
        <v>1195200</v>
      </c>
      <c r="R267" s="6"/>
      <c r="S267" s="6"/>
      <c r="T267" s="29">
        <f>[1]!ПЛАТЕЖИ[[#This Row],[СЎМ]]+([1]!ПЛАТЕЖИ[[#This Row],[ВАЛЮТА]]*[1]!ПЛАТЕЖИ[[#This Row],[КУРС]])</f>
        <v>1000000</v>
      </c>
      <c r="U267" s="28"/>
      <c r="V267" s="28"/>
    </row>
    <row r="268" spans="2:22" x14ac:dyDescent="0.25">
      <c r="B268" s="8">
        <v>46058</v>
      </c>
      <c r="C268" s="9" t="s">
        <v>140</v>
      </c>
      <c r="D268" s="10" t="s">
        <v>10</v>
      </c>
      <c r="E268" s="10" t="s">
        <v>2</v>
      </c>
      <c r="F268" s="11">
        <v>50.4</v>
      </c>
      <c r="G268" s="11">
        <v>15000</v>
      </c>
      <c r="H268" s="12">
        <f>[1]!РЕАЛИЗАЦИЯ[СОНИ]*[1]!РЕАЛИЗАЦИЯ[НАРХИ]</f>
        <v>649600</v>
      </c>
      <c r="I268" s="11"/>
      <c r="J268" s="13">
        <v>13000</v>
      </c>
      <c r="K268" s="11">
        <f>[1]!РЕАЛИЗАЦИЯ[[#This Row],[СОНИ]]*[1]!РЕАЛИЗАЦИЯ[[#This Row],[ТАННАРХ]]</f>
        <v>0</v>
      </c>
      <c r="L268" s="14">
        <f>[1]!РЕАЛИЗАЦИЯ[[#This Row],[ЖАМИ]]-[1]!РЕАЛИЗАЦИЯ[[#This Row],[ЖАМИ2]]</f>
        <v>649600</v>
      </c>
      <c r="O268" s="30">
        <v>46065</v>
      </c>
      <c r="P268" s="31" t="s">
        <v>55</v>
      </c>
      <c r="Q268" s="13">
        <v>500000</v>
      </c>
      <c r="R268" s="13"/>
      <c r="S268" s="13"/>
      <c r="T268" s="32">
        <f>[1]!ПЛАТЕЖИ[[#This Row],[СЎМ]]+([1]!ПЛАТЕЖИ[[#This Row],[ВАЛЮТА]]*[1]!ПЛАТЕЖИ[[#This Row],[КУРС]])</f>
        <v>1235200</v>
      </c>
      <c r="U268" s="31"/>
      <c r="V268" s="31"/>
    </row>
    <row r="269" spans="2:22" x14ac:dyDescent="0.25">
      <c r="B269" s="1">
        <v>46059</v>
      </c>
      <c r="C269" s="2" t="s">
        <v>141</v>
      </c>
      <c r="D269" s="3" t="s">
        <v>10</v>
      </c>
      <c r="E269" s="3" t="s">
        <v>2</v>
      </c>
      <c r="F269" s="4">
        <v>50.1</v>
      </c>
      <c r="G269" s="4">
        <v>15000</v>
      </c>
      <c r="H269" s="5">
        <f>[1]!РЕАЛИЗАЦИЯ[СОНИ]*[1]!РЕАЛИЗАЦИЯ[НАРХИ]</f>
        <v>1003799.9999999999</v>
      </c>
      <c r="I269" s="4"/>
      <c r="J269" s="6">
        <v>13000</v>
      </c>
      <c r="K269" s="4">
        <f>[1]!РЕАЛИЗАЦИЯ[[#This Row],[СОНИ]]*[1]!РЕАЛИЗАЦИЯ[[#This Row],[ТАННАРХ]]</f>
        <v>0</v>
      </c>
      <c r="L269" s="7">
        <f>[1]!РЕАЛИЗАЦИЯ[[#This Row],[ЖАМИ]]-[1]!РЕАЛИЗАЦИЯ[[#This Row],[ЖАМИ2]]</f>
        <v>1003799.9999999999</v>
      </c>
      <c r="O269" s="27">
        <v>46065</v>
      </c>
      <c r="P269" s="28" t="s">
        <v>14</v>
      </c>
      <c r="Q269" s="6">
        <v>230000</v>
      </c>
      <c r="R269" s="6">
        <v>200</v>
      </c>
      <c r="S269" s="6">
        <v>12250</v>
      </c>
      <c r="T269" s="29">
        <f>[1]!ПЛАТЕЖИ[[#This Row],[СЎМ]]+([1]!ПЛАТЕЖИ[[#This Row],[ВАЛЮТА]]*[1]!ПЛАТЕЖИ[[#This Row],[КУРС]])</f>
        <v>3001800</v>
      </c>
      <c r="U269" s="28"/>
      <c r="V269" s="28"/>
    </row>
    <row r="270" spans="2:22" x14ac:dyDescent="0.25">
      <c r="B270" s="8">
        <v>46059</v>
      </c>
      <c r="C270" s="9" t="s">
        <v>99</v>
      </c>
      <c r="D270" s="10" t="s">
        <v>10</v>
      </c>
      <c r="E270" s="10" t="s">
        <v>2</v>
      </c>
      <c r="F270" s="11">
        <v>45.2</v>
      </c>
      <c r="G270" s="11">
        <v>16000</v>
      </c>
      <c r="H270" s="12">
        <f>[1]!РЕАЛИЗАЦИЯ[СОНИ]*[1]!РЕАЛИЗАЦИЯ[НАРХИ]</f>
        <v>1108800</v>
      </c>
      <c r="I270" s="11"/>
      <c r="J270" s="13">
        <v>13000</v>
      </c>
      <c r="K270" s="11">
        <f>[1]!РЕАЛИЗАЦИЯ[[#This Row],[СОНИ]]*[1]!РЕАЛИЗАЦИЯ[[#This Row],[ТАННАРХ]]</f>
        <v>0</v>
      </c>
      <c r="L270" s="14">
        <f>[1]!РЕАЛИЗАЦИЯ[[#This Row],[ЖАМИ]]-[1]!РЕАЛИЗАЦИЯ[[#This Row],[ЖАМИ2]]</f>
        <v>1108800</v>
      </c>
      <c r="O270" s="30">
        <v>46065</v>
      </c>
      <c r="P270" s="31" t="s">
        <v>73</v>
      </c>
      <c r="Q270" s="13">
        <v>1999200</v>
      </c>
      <c r="R270" s="13"/>
      <c r="S270" s="13"/>
      <c r="T270" s="32">
        <f>[1]!ПЛАТЕЖИ[[#This Row],[СЎМ]]+([1]!ПЛАТЕЖИ[[#This Row],[ВАЛЮТА]]*[1]!ПЛАТЕЖИ[[#This Row],[КУРС]])</f>
        <v>2200000</v>
      </c>
      <c r="U270" s="31"/>
      <c r="V270" s="31"/>
    </row>
    <row r="271" spans="2:22" x14ac:dyDescent="0.25">
      <c r="B271" s="1">
        <v>46059</v>
      </c>
      <c r="C271" s="2" t="s">
        <v>101</v>
      </c>
      <c r="D271" s="3" t="s">
        <v>1</v>
      </c>
      <c r="E271" s="3" t="s">
        <v>2</v>
      </c>
      <c r="F271" s="4">
        <v>47.6</v>
      </c>
      <c r="G271" s="4">
        <v>21000</v>
      </c>
      <c r="H271" s="5">
        <f>[1]!РЕАЛИЗАЦИЯ[СОНИ]*[1]!РЕАЛИЗАЦИЯ[НАРХИ]</f>
        <v>795200</v>
      </c>
      <c r="I271" s="4"/>
      <c r="J271" s="6">
        <v>19000</v>
      </c>
      <c r="K271" s="4">
        <f>[1]!РЕАЛИЗАЦИЯ[[#This Row],[СОНИ]]*[1]!РЕАЛИЗАЦИЯ[[#This Row],[ТАННАРХ]]</f>
        <v>0</v>
      </c>
      <c r="L271" s="7">
        <f>[1]!РЕАЛИЗАЦИЯ[[#This Row],[ЖАМИ]]-[1]!РЕАЛИЗАЦИЯ[[#This Row],[ЖАМИ2]]</f>
        <v>795200</v>
      </c>
      <c r="O271" s="27">
        <v>46065</v>
      </c>
      <c r="P271" s="28" t="s">
        <v>122</v>
      </c>
      <c r="Q271" s="6">
        <v>6394950</v>
      </c>
      <c r="R271" s="6"/>
      <c r="S271" s="6"/>
      <c r="T271" s="29">
        <f>[1]!ПЛАТЕЖИ[[#This Row],[СЎМ]]+([1]!ПЛАТЕЖИ[[#This Row],[ВАЛЮТА]]*[1]!ПЛАТЕЖИ[[#This Row],[КУРС]])</f>
        <v>1068050</v>
      </c>
      <c r="U271" s="28"/>
      <c r="V271" s="28"/>
    </row>
    <row r="272" spans="2:22" x14ac:dyDescent="0.25">
      <c r="B272" s="8">
        <v>46059</v>
      </c>
      <c r="C272" s="9" t="s">
        <v>89</v>
      </c>
      <c r="D272" s="10" t="s">
        <v>10</v>
      </c>
      <c r="E272" s="10" t="s">
        <v>2</v>
      </c>
      <c r="F272" s="11">
        <v>1832.3</v>
      </c>
      <c r="G272" s="11">
        <v>13000</v>
      </c>
      <c r="H272" s="12">
        <f>[1]!РЕАЛИЗАЦИЯ[СОНИ]*[1]!РЕАЛИЗАЦИЯ[НАРХИ]</f>
        <v>814400</v>
      </c>
      <c r="I272" s="11"/>
      <c r="J272" s="13">
        <v>13000</v>
      </c>
      <c r="K272" s="11">
        <f>[1]!РЕАЛИЗАЦИЯ[[#This Row],[СОНИ]]*[1]!РЕАЛИЗАЦИЯ[[#This Row],[ТАННАРХ]]</f>
        <v>0</v>
      </c>
      <c r="L272" s="14">
        <f>[1]!РЕАЛИЗАЦИЯ[[#This Row],[ЖАМИ]]-[1]!РЕАЛИЗАЦИЯ[[#This Row],[ЖАМИ2]]</f>
        <v>814400</v>
      </c>
      <c r="O272" s="30">
        <v>46066</v>
      </c>
      <c r="P272" s="31" t="s">
        <v>98</v>
      </c>
      <c r="Q272" s="13">
        <v>1162000</v>
      </c>
      <c r="R272" s="13"/>
      <c r="S272" s="13"/>
      <c r="T272" s="32">
        <f>[1]!ПЛАТЕЖИ[[#This Row],[СЎМ]]+([1]!ПЛАТЕЖИ[[#This Row],[ВАЛЮТА]]*[1]!ПЛАТЕЖИ[[#This Row],[КУРС]])</f>
        <v>2443984</v>
      </c>
      <c r="U272" s="31"/>
      <c r="V272" s="31"/>
    </row>
    <row r="273" spans="2:22" x14ac:dyDescent="0.25">
      <c r="B273" s="1">
        <v>46059</v>
      </c>
      <c r="C273" s="2" t="s">
        <v>142</v>
      </c>
      <c r="D273" s="3" t="s">
        <v>1</v>
      </c>
      <c r="E273" s="3" t="s">
        <v>2</v>
      </c>
      <c r="F273" s="4">
        <v>45.8</v>
      </c>
      <c r="G273" s="4">
        <v>21000</v>
      </c>
      <c r="H273" s="5">
        <f>[1]!РЕАЛИЗАЦИЯ[СОНИ]*[1]!РЕАЛИЗАЦИЯ[НАРХИ]</f>
        <v>708800</v>
      </c>
      <c r="I273" s="4"/>
      <c r="J273" s="6">
        <v>19000</v>
      </c>
      <c r="K273" s="4">
        <f>[1]!РЕАЛИЗАЦИЯ[[#This Row],[СОНИ]]*[1]!РЕАЛИЗАЦИЯ[[#This Row],[ТАННАРХ]]</f>
        <v>0</v>
      </c>
      <c r="L273" s="7">
        <f>[1]!РЕАЛИЗАЦИЯ[[#This Row],[ЖАМИ]]-[1]!РЕАЛИЗАЦИЯ[[#This Row],[ЖАМИ2]]</f>
        <v>708800</v>
      </c>
      <c r="O273" s="27">
        <v>46066</v>
      </c>
      <c r="P273" s="28" t="s">
        <v>111</v>
      </c>
      <c r="Q273" s="6">
        <v>905000</v>
      </c>
      <c r="R273" s="6"/>
      <c r="S273" s="6"/>
      <c r="T273" s="29">
        <f>[1]!ПЛАТЕЖИ[[#This Row],[СЎМ]]+([1]!ПЛАТЕЖИ[[#This Row],[ВАЛЮТА]]*[1]!ПЛАТЕЖИ[[#This Row],[КУРС]])</f>
        <v>2698400</v>
      </c>
      <c r="U273" s="28"/>
      <c r="V273" s="28"/>
    </row>
    <row r="274" spans="2:22" x14ac:dyDescent="0.25">
      <c r="B274" s="8">
        <v>46059</v>
      </c>
      <c r="C274" s="9" t="s">
        <v>143</v>
      </c>
      <c r="D274" s="10" t="s">
        <v>1</v>
      </c>
      <c r="E274" s="10" t="s">
        <v>2</v>
      </c>
      <c r="F274" s="11">
        <v>351.9</v>
      </c>
      <c r="G274" s="11">
        <v>21000</v>
      </c>
      <c r="H274" s="12">
        <f>[1]!РЕАЛИЗАЦИЯ[СОНИ]*[1]!РЕАЛИЗАЦИЯ[НАРХИ]</f>
        <v>2207100</v>
      </c>
      <c r="I274" s="11"/>
      <c r="J274" s="13">
        <v>19000</v>
      </c>
      <c r="K274" s="11">
        <f>[1]!РЕАЛИЗАЦИЯ[[#This Row],[СОНИ]]*[1]!РЕАЛИЗАЦИЯ[[#This Row],[ТАННАРХ]]</f>
        <v>0</v>
      </c>
      <c r="L274" s="14">
        <f>[1]!РЕАЛИЗАЦИЯ[[#This Row],[ЖАМИ]]-[1]!РЕАЛИЗАЦИЯ[[#This Row],[ЖАМИ2]]</f>
        <v>2207100</v>
      </c>
      <c r="O274" s="30">
        <v>46066</v>
      </c>
      <c r="P274" s="31" t="s">
        <v>78</v>
      </c>
      <c r="Q274" s="13"/>
      <c r="R274" s="13">
        <v>500</v>
      </c>
      <c r="S274" s="13">
        <v>12250</v>
      </c>
      <c r="T274" s="32">
        <f>[1]!ПЛАТЕЖИ[[#This Row],[СЎМ]]+([1]!ПЛАТЕЖИ[[#This Row],[ВАЛЮТА]]*[1]!ПЛАТЕЖИ[[#This Row],[КУРС]])</f>
        <v>5544000</v>
      </c>
      <c r="U274" s="31"/>
      <c r="V274" s="31"/>
    </row>
    <row r="275" spans="2:22" x14ac:dyDescent="0.25">
      <c r="B275" s="1">
        <v>46059</v>
      </c>
      <c r="C275" s="2" t="s">
        <v>144</v>
      </c>
      <c r="D275" s="3" t="s">
        <v>10</v>
      </c>
      <c r="E275" s="3" t="s">
        <v>2</v>
      </c>
      <c r="F275" s="4">
        <v>146.9</v>
      </c>
      <c r="G275" s="4">
        <v>16000</v>
      </c>
      <c r="H275" s="5">
        <f>[1]!РЕАЛИЗАЦИЯ[СОНИ]*[1]!РЕАЛИЗАЦИЯ[НАРХИ]</f>
        <v>8202000</v>
      </c>
      <c r="I275" s="4"/>
      <c r="J275" s="6">
        <v>13000</v>
      </c>
      <c r="K275" s="4">
        <f>[1]!РЕАЛИЗАЦИЯ[[#This Row],[СОНИ]]*[1]!РЕАЛИЗАЦИЯ[[#This Row],[ТАННАРХ]]</f>
        <v>0</v>
      </c>
      <c r="L275" s="7">
        <f>[1]!РЕАЛИЗАЦИЯ[[#This Row],[ЖАМИ]]-[1]!РЕАЛИЗАЦИЯ[[#This Row],[ЖАМИ2]]</f>
        <v>8202000</v>
      </c>
      <c r="O275" s="27">
        <v>46066</v>
      </c>
      <c r="P275" s="28" t="s">
        <v>125</v>
      </c>
      <c r="Q275" s="6">
        <v>1250000</v>
      </c>
      <c r="R275" s="6"/>
      <c r="S275" s="6"/>
      <c r="T275" s="29">
        <f>[1]!ПЛАТЕЖИ[[#This Row],[СЎМ]]+([1]!ПЛАТЕЖИ[[#This Row],[ВАЛЮТА]]*[1]!ПЛАТЕЖИ[[#This Row],[КУРС]])</f>
        <v>2546000</v>
      </c>
      <c r="U275" s="28"/>
      <c r="V275" s="28"/>
    </row>
    <row r="276" spans="2:22" x14ac:dyDescent="0.25">
      <c r="B276" s="8">
        <v>46059</v>
      </c>
      <c r="C276" s="9" t="s">
        <v>144</v>
      </c>
      <c r="D276" s="10" t="s">
        <v>1</v>
      </c>
      <c r="E276" s="10" t="s">
        <v>2</v>
      </c>
      <c r="F276" s="11">
        <v>98.4</v>
      </c>
      <c r="G276" s="11">
        <v>21000</v>
      </c>
      <c r="H276" s="12">
        <f>[1]!РЕАЛИЗАЦИЯ[СОНИ]*[1]!РЕАЛИЗАЦИЯ[НАРХИ]</f>
        <v>27761400</v>
      </c>
      <c r="I276" s="11"/>
      <c r="J276" s="13">
        <v>19000</v>
      </c>
      <c r="K276" s="11">
        <f>[1]!РЕАЛИЗАЦИЯ[[#This Row],[СОНИ]]*[1]!РЕАЛИЗАЦИЯ[[#This Row],[ТАННАРХ]]</f>
        <v>0</v>
      </c>
      <c r="L276" s="14">
        <f>[1]!РЕАЛИЗАЦИЯ[[#This Row],[ЖАМИ]]-[1]!РЕАЛИЗАЦИЯ[[#This Row],[ЖАМИ2]]</f>
        <v>27761400</v>
      </c>
      <c r="O276" s="30">
        <v>46066</v>
      </c>
      <c r="P276" s="31" t="s">
        <v>23</v>
      </c>
      <c r="Q276" s="13">
        <v>5347000</v>
      </c>
      <c r="R276" s="13"/>
      <c r="S276" s="13"/>
      <c r="T276" s="32">
        <f>[1]!ПЛАТЕЖИ[[#This Row],[СЎМ]]+([1]!ПЛАТЕЖИ[[#This Row],[ВАЛЮТА]]*[1]!ПЛАТЕЖИ[[#This Row],[КУРС]])</f>
        <v>1071000</v>
      </c>
      <c r="U276" s="31"/>
      <c r="V276" s="31"/>
    </row>
    <row r="277" spans="2:22" x14ac:dyDescent="0.25">
      <c r="B277" s="1">
        <v>46060</v>
      </c>
      <c r="C277" s="2" t="s">
        <v>33</v>
      </c>
      <c r="D277" s="3" t="s">
        <v>10</v>
      </c>
      <c r="E277" s="3" t="s">
        <v>2</v>
      </c>
      <c r="F277" s="4">
        <v>1538.5</v>
      </c>
      <c r="G277" s="4">
        <v>14500</v>
      </c>
      <c r="H277" s="5">
        <f>[1]!РЕАЛИЗАЦИЯ[СОНИ]*[1]!РЕАЛИЗАЦИЯ[НАРХИ]</f>
        <v>1260000</v>
      </c>
      <c r="I277" s="4"/>
      <c r="J277" s="6">
        <v>13000</v>
      </c>
      <c r="K277" s="4">
        <f>[1]!РЕАЛИЗАЦИЯ[[#This Row],[СОНИ]]*[1]!РЕАЛИЗАЦИЯ[[#This Row],[ТАННАРХ]]</f>
        <v>0</v>
      </c>
      <c r="L277" s="7">
        <f>[1]!РЕАЛИЗАЦИЯ[[#This Row],[ЖАМИ]]-[1]!РЕАЛИЗАЦИЯ[[#This Row],[ЖАМИ2]]</f>
        <v>1260000</v>
      </c>
      <c r="O277" s="27">
        <v>46066</v>
      </c>
      <c r="P277" s="28" t="s">
        <v>65</v>
      </c>
      <c r="Q277" s="6">
        <v>10000000</v>
      </c>
      <c r="R277" s="6"/>
      <c r="S277" s="6"/>
      <c r="T277" s="29">
        <f>[1]!ПЛАТЕЖИ[[#This Row],[СЎМ]]+([1]!ПЛАТЕЖИ[[#This Row],[ВАЛЮТА]]*[1]!ПЛАТЕЖИ[[#This Row],[КУРС]])</f>
        <v>1064700</v>
      </c>
      <c r="U277" s="28"/>
      <c r="V277" s="28" t="s">
        <v>287</v>
      </c>
    </row>
    <row r="278" spans="2:22" x14ac:dyDescent="0.25">
      <c r="B278" s="8">
        <v>46060</v>
      </c>
      <c r="C278" s="9" t="s">
        <v>9</v>
      </c>
      <c r="D278" s="10" t="s">
        <v>25</v>
      </c>
      <c r="E278" s="10" t="s">
        <v>2</v>
      </c>
      <c r="F278" s="11">
        <v>129.4</v>
      </c>
      <c r="G278" s="11">
        <v>25700</v>
      </c>
      <c r="H278" s="12">
        <f>[1]!РЕАЛИЗАЦИЯ[СОНИ]*[1]!РЕАЛИЗАЦИЯ[НАРХИ]</f>
        <v>9301800</v>
      </c>
      <c r="I278" s="11"/>
      <c r="J278" s="13">
        <v>23000</v>
      </c>
      <c r="K278" s="11">
        <f>[1]!РЕАЛИЗАЦИЯ[[#This Row],[СОНИ]]*[1]!РЕАЛИЗАЦИЯ[[#This Row],[ТАННАРХ]]</f>
        <v>4297733280</v>
      </c>
      <c r="L278" s="14">
        <f>[1]!РЕАЛИЗАЦИЯ[[#This Row],[ЖАМИ]]-[1]!РЕАЛИЗАЦИЯ[[#This Row],[ЖАМИ2]]</f>
        <v>9301297.1999999993</v>
      </c>
      <c r="O278" s="30">
        <v>46066</v>
      </c>
      <c r="P278" s="31" t="s">
        <v>99</v>
      </c>
      <c r="Q278" s="13">
        <v>787500</v>
      </c>
      <c r="R278" s="13"/>
      <c r="S278" s="13"/>
      <c r="T278" s="32">
        <f>[1]!ПЛАТЕЖИ[[#This Row],[СЎМ]]+([1]!ПЛАТЕЖИ[[#This Row],[ВАЛЮТА]]*[1]!ПЛАТЕЖИ[[#This Row],[КУРС]])</f>
        <v>5080000</v>
      </c>
      <c r="U278" s="31"/>
      <c r="V278" s="31" t="s">
        <v>275</v>
      </c>
    </row>
    <row r="279" spans="2:22" x14ac:dyDescent="0.25">
      <c r="B279" s="1">
        <v>46060</v>
      </c>
      <c r="C279" s="2" t="s">
        <v>39</v>
      </c>
      <c r="D279" s="3" t="s">
        <v>40</v>
      </c>
      <c r="E279" s="3" t="s">
        <v>2</v>
      </c>
      <c r="F279" s="4">
        <v>1251.7</v>
      </c>
      <c r="G279" s="4">
        <v>20000</v>
      </c>
      <c r="H279" s="5">
        <f>[1]!РЕАЛИЗАЦИЯ[СОНИ]*[1]!РЕАЛИЗАЦИЯ[НАРХИ]</f>
        <v>1500400</v>
      </c>
      <c r="I279" s="4"/>
      <c r="J279" s="6">
        <v>19500</v>
      </c>
      <c r="K279" s="4">
        <f>[1]!РЕАЛИЗАЦИЯ[[#This Row],[СОНИ]]*[1]!РЕАЛИЗАЦИЯ[[#This Row],[ТАННАРХ]]</f>
        <v>0</v>
      </c>
      <c r="L279" s="7">
        <f>[1]!РЕАЛИЗАЦИЯ[[#This Row],[ЖАМИ]]-[1]!РЕАЛИЗАЦИЯ[[#This Row],[ЖАМИ2]]</f>
        <v>1500400</v>
      </c>
      <c r="O279" s="27">
        <v>46069</v>
      </c>
      <c r="P279" s="28" t="s">
        <v>95</v>
      </c>
      <c r="Q279" s="6">
        <v>1703000</v>
      </c>
      <c r="R279" s="6"/>
      <c r="S279" s="6"/>
      <c r="T279" s="29">
        <f>[1]!ПЛАТЕЖИ[[#This Row],[СЎМ]]+([1]!ПЛАТЕЖИ[[#This Row],[ВАЛЮТА]]*[1]!ПЛАТЕЖИ[[#This Row],[КУРС]])</f>
        <v>3338500</v>
      </c>
      <c r="U279" s="28"/>
      <c r="V279" s="28"/>
    </row>
    <row r="280" spans="2:22" x14ac:dyDescent="0.25">
      <c r="B280" s="8">
        <v>46061</v>
      </c>
      <c r="C280" s="9" t="s">
        <v>145</v>
      </c>
      <c r="D280" s="10" t="s">
        <v>1</v>
      </c>
      <c r="E280" s="10" t="s">
        <v>2</v>
      </c>
      <c r="F280" s="11">
        <v>85.1</v>
      </c>
      <c r="G280" s="11">
        <v>21000</v>
      </c>
      <c r="H280" s="12">
        <f>[1]!РЕАЛИЗАЦИЯ[СОНИ]*[1]!РЕАЛИЗАЦИЯ[НАРХИ]</f>
        <v>5721300</v>
      </c>
      <c r="I280" s="11"/>
      <c r="J280" s="13">
        <v>19000</v>
      </c>
      <c r="K280" s="11">
        <f>[1]!РЕАЛИЗАЦИЯ[[#This Row],[СОНИ]]*[1]!РЕАЛИЗАЦИЯ[[#This Row],[ТАННАРХ]]</f>
        <v>0</v>
      </c>
      <c r="L280" s="14">
        <f>[1]!РЕАЛИЗАЦИЯ[[#This Row],[ЖАМИ]]-[1]!РЕАЛИЗАЦИЯ[[#This Row],[ЖАМИ2]]</f>
        <v>5721300</v>
      </c>
      <c r="O280" s="30">
        <v>46069</v>
      </c>
      <c r="P280" s="31" t="s">
        <v>92</v>
      </c>
      <c r="Q280" s="13">
        <v>1047900</v>
      </c>
      <c r="R280" s="13"/>
      <c r="S280" s="13"/>
      <c r="T280" s="32">
        <f>[1]!ПЛАТЕЖИ[[#This Row],[СЎМ]]+([1]!ПЛАТЕЖИ[[#This Row],[ВАЛЮТА]]*[1]!ПЛАТЕЖИ[[#This Row],[КУРС]])</f>
        <v>843200</v>
      </c>
      <c r="U280" s="31"/>
      <c r="V280" s="31"/>
    </row>
    <row r="281" spans="2:22" x14ac:dyDescent="0.25">
      <c r="B281" s="1">
        <v>46061</v>
      </c>
      <c r="C281" s="2" t="s">
        <v>146</v>
      </c>
      <c r="D281" s="3" t="s">
        <v>1</v>
      </c>
      <c r="E281" s="3" t="s">
        <v>2</v>
      </c>
      <c r="F281" s="4">
        <v>49.4</v>
      </c>
      <c r="G281" s="4">
        <v>21000</v>
      </c>
      <c r="H281" s="5">
        <f>[1]!РЕАЛИЗАЦИЯ[СОНИ]*[1]!РЕАЛИЗАЦИЯ[НАРХИ]</f>
        <v>1558500</v>
      </c>
      <c r="I281" s="4"/>
      <c r="J281" s="6">
        <v>19000</v>
      </c>
      <c r="K281" s="4">
        <f>[1]!РЕАЛИЗАЦИЯ[[#This Row],[СОНИ]]*[1]!РЕАЛИЗАЦИЯ[[#This Row],[ТАННАРХ]]</f>
        <v>0</v>
      </c>
      <c r="L281" s="7">
        <f>[1]!РЕАЛИЗАЦИЯ[[#This Row],[ЖАМИ]]-[1]!РЕАЛИЗАЦИЯ[[#This Row],[ЖАМИ2]]</f>
        <v>1558500</v>
      </c>
      <c r="O281" s="27">
        <v>46069</v>
      </c>
      <c r="P281" s="28" t="s">
        <v>278</v>
      </c>
      <c r="Q281" s="6">
        <v>3000000</v>
      </c>
      <c r="R281" s="6"/>
      <c r="S281" s="6"/>
      <c r="T281" s="29">
        <f>[1]!ПЛАТЕЖИ[[#This Row],[СЎМ]]+([1]!ПЛАТЕЖИ[[#This Row],[ВАЛЮТА]]*[1]!ПЛАТЕЖИ[[#This Row],[КУРС]])</f>
        <v>4973400</v>
      </c>
      <c r="U281" s="28"/>
      <c r="V281" s="28"/>
    </row>
    <row r="282" spans="2:22" x14ac:dyDescent="0.25">
      <c r="B282" s="8">
        <v>46061</v>
      </c>
      <c r="C282" s="9" t="s">
        <v>147</v>
      </c>
      <c r="D282" s="10" t="s">
        <v>1</v>
      </c>
      <c r="E282" s="10" t="s">
        <v>2</v>
      </c>
      <c r="F282" s="11">
        <v>43.1</v>
      </c>
      <c r="G282" s="11">
        <v>21000</v>
      </c>
      <c r="H282" s="12">
        <f>[1]!РЕАЛИЗАЦИЯ[СОНИ]*[1]!РЕАЛИЗАЦИЯ[НАРХИ]</f>
        <v>914600</v>
      </c>
      <c r="I282" s="11"/>
      <c r="J282" s="13">
        <v>19000</v>
      </c>
      <c r="K282" s="11">
        <f>[1]!РЕАЛИЗАЦИЯ[[#This Row],[СОНИ]]*[1]!РЕАЛИЗАЦИЯ[[#This Row],[ТАННАРХ]]</f>
        <v>0</v>
      </c>
      <c r="L282" s="14">
        <f>[1]!РЕАЛИЗАЦИЯ[[#This Row],[ЖАМИ]]-[1]!РЕАЛИЗАЦИЯ[[#This Row],[ЖАМИ2]]</f>
        <v>914600</v>
      </c>
      <c r="O282" s="30">
        <v>46069</v>
      </c>
      <c r="P282" s="31" t="s">
        <v>147</v>
      </c>
      <c r="Q282" s="13">
        <v>905000</v>
      </c>
      <c r="R282" s="13"/>
      <c r="S282" s="13"/>
      <c r="T282" s="32">
        <f>[1]!ПЛАТЕЖИ[[#This Row],[СЎМ]]+([1]!ПЛАТЕЖИ[[#This Row],[ВАЛЮТА]]*[1]!ПЛАТЕЖИ[[#This Row],[КУРС]])</f>
        <v>4000000</v>
      </c>
      <c r="U282" s="31"/>
      <c r="V282" s="31"/>
    </row>
    <row r="283" spans="2:22" x14ac:dyDescent="0.25">
      <c r="B283" s="1">
        <v>46062</v>
      </c>
      <c r="C283" s="2" t="s">
        <v>148</v>
      </c>
      <c r="D283" s="3" t="s">
        <v>1</v>
      </c>
      <c r="E283" s="3" t="s">
        <v>2</v>
      </c>
      <c r="F283" s="4">
        <v>50.3</v>
      </c>
      <c r="G283" s="4">
        <v>20000</v>
      </c>
      <c r="H283" s="5">
        <f>[1]!РЕАЛИЗАЦИЯ[СОНИ]*[1]!РЕАЛИЗАЦИЯ[НАРХИ]</f>
        <v>763500</v>
      </c>
      <c r="I283" s="4"/>
      <c r="J283" s="6">
        <v>19000</v>
      </c>
      <c r="K283" s="4">
        <f>[1]!РЕАЛИЗАЦИЯ[[#This Row],[СОНИ]]*[1]!РЕАЛИЗАЦИЯ[[#This Row],[ТАННАРХ]]</f>
        <v>0</v>
      </c>
      <c r="L283" s="7">
        <f>[1]!РЕАЛИЗАЦИЯ[[#This Row],[ЖАМИ]]-[1]!РЕАЛИЗАЦИЯ[[#This Row],[ЖАМИ2]]</f>
        <v>763500</v>
      </c>
      <c r="O283" s="27">
        <v>46069</v>
      </c>
      <c r="P283" s="28" t="s">
        <v>276</v>
      </c>
      <c r="Q283" s="6">
        <v>300000</v>
      </c>
      <c r="R283" s="6"/>
      <c r="S283" s="6"/>
      <c r="T283" s="29">
        <f>[1]!ПЛАТЕЖИ[[#This Row],[СЎМ]]+([1]!ПЛАТЕЖИ[[#This Row],[ВАЛЮТА]]*[1]!ПЛАТЕЖИ[[#This Row],[КУРС]])</f>
        <v>5926000</v>
      </c>
      <c r="U283" s="28"/>
      <c r="V283" s="28" t="s">
        <v>275</v>
      </c>
    </row>
    <row r="284" spans="2:22" x14ac:dyDescent="0.25">
      <c r="B284" s="8">
        <v>46062</v>
      </c>
      <c r="C284" s="9" t="s">
        <v>100</v>
      </c>
      <c r="D284" s="10" t="s">
        <v>10</v>
      </c>
      <c r="E284" s="10" t="s">
        <v>2</v>
      </c>
      <c r="F284" s="11">
        <v>43.7</v>
      </c>
      <c r="G284" s="11">
        <v>16000</v>
      </c>
      <c r="H284" s="12">
        <f>[1]!РЕАЛИЗАЦИЯ[СОНИ]*[1]!РЕАЛИЗАЦИЯ[НАРХИ]</f>
        <v>712300</v>
      </c>
      <c r="I284" s="11"/>
      <c r="J284" s="13">
        <v>13000</v>
      </c>
      <c r="K284" s="11">
        <f>[1]!РЕАЛИЗАЦИЯ[[#This Row],[СОНИ]]*[1]!РЕАЛИЗАЦИЯ[[#This Row],[ТАННАРХ]]</f>
        <v>0</v>
      </c>
      <c r="L284" s="14">
        <f>[1]!РЕАЛИЗАЦИЯ[[#This Row],[ЖАМИ]]-[1]!РЕАЛИЗАЦИЯ[[#This Row],[ЖАМИ2]]</f>
        <v>712300</v>
      </c>
      <c r="O284" s="30">
        <v>46069</v>
      </c>
      <c r="P284" s="31" t="s">
        <v>293</v>
      </c>
      <c r="Q284" s="13">
        <v>250000</v>
      </c>
      <c r="R284" s="13"/>
      <c r="S284" s="13"/>
      <c r="T284" s="32">
        <f>[1]!ПЛАТЕЖИ[[#This Row],[СЎМ]]+([1]!ПЛАТЕЖИ[[#This Row],[ВАЛЮТА]]*[1]!ПЛАТЕЖИ[[#This Row],[КУРС]])</f>
        <v>4264000</v>
      </c>
      <c r="U284" s="31"/>
      <c r="V284" s="31" t="s">
        <v>275</v>
      </c>
    </row>
    <row r="285" spans="2:22" x14ac:dyDescent="0.25">
      <c r="B285" s="1">
        <v>46062</v>
      </c>
      <c r="C285" s="2" t="s">
        <v>48</v>
      </c>
      <c r="D285" s="3" t="s">
        <v>8</v>
      </c>
      <c r="E285" s="3" t="s">
        <v>2</v>
      </c>
      <c r="F285" s="4">
        <v>323.10000000000002</v>
      </c>
      <c r="G285" s="4">
        <v>21000</v>
      </c>
      <c r="H285" s="5">
        <f>[1]!РЕАЛИЗАЦИЯ[СОНИ]*[1]!РЕАЛИЗАЦИЯ[НАРХИ]</f>
        <v>6148800</v>
      </c>
      <c r="I285" s="4"/>
      <c r="J285" s="6">
        <v>20000</v>
      </c>
      <c r="K285" s="4">
        <f>[1]!РЕАЛИЗАЦИЯ[[#This Row],[СОНИ]]*[1]!РЕАЛИЗАЦИЯ[[#This Row],[ТАННАРХ]]</f>
        <v>0</v>
      </c>
      <c r="L285" s="7">
        <f>[1]!РЕАЛИЗАЦИЯ[[#This Row],[ЖАМИ]]-[1]!РЕАЛИЗАЦИЯ[[#This Row],[ЖАМИ2]]</f>
        <v>6148800</v>
      </c>
      <c r="O285" s="27">
        <v>46069</v>
      </c>
      <c r="P285" s="28" t="s">
        <v>153</v>
      </c>
      <c r="Q285" s="6">
        <v>1731200</v>
      </c>
      <c r="R285" s="6"/>
      <c r="S285" s="6"/>
      <c r="T285" s="29">
        <f>[1]!ПЛАТЕЖИ[[#This Row],[СЎМ]]+([1]!ПЛАТЕЖИ[[#This Row],[ВАЛЮТА]]*[1]!ПЛАТЕЖИ[[#This Row],[КУРС]])</f>
        <v>1710000</v>
      </c>
      <c r="U285" s="28"/>
      <c r="V285" s="28"/>
    </row>
    <row r="286" spans="2:22" x14ac:dyDescent="0.25">
      <c r="B286" s="8">
        <v>46062</v>
      </c>
      <c r="C286" s="9" t="s">
        <v>34</v>
      </c>
      <c r="D286" s="10" t="s">
        <v>1</v>
      </c>
      <c r="E286" s="10" t="s">
        <v>2</v>
      </c>
      <c r="F286" s="11">
        <v>323.60000000000002</v>
      </c>
      <c r="G286" s="11">
        <v>21600</v>
      </c>
      <c r="H286" s="12">
        <f>[1]!РЕАЛИЗАЦИЯ[СОНИ]*[1]!РЕАЛИЗАЦИЯ[НАРХИ]</f>
        <v>891000</v>
      </c>
      <c r="I286" s="11" t="s">
        <v>149</v>
      </c>
      <c r="J286" s="13">
        <v>19000</v>
      </c>
      <c r="K286" s="11">
        <f>[1]!РЕАЛИЗАЦИЯ[[#This Row],[СОНИ]]*[1]!РЕАЛИЗАЦИЯ[[#This Row],[ТАННАРХ]]</f>
        <v>0</v>
      </c>
      <c r="L286" s="14">
        <f>[1]!РЕАЛИЗАЦИЯ[[#This Row],[ЖАМИ]]-[1]!РЕАЛИЗАЦИЯ[[#This Row],[ЖАМИ2]]</f>
        <v>891000</v>
      </c>
      <c r="O286" s="30">
        <v>46070</v>
      </c>
      <c r="P286" s="31" t="s">
        <v>32</v>
      </c>
      <c r="Q286" s="13">
        <v>632000</v>
      </c>
      <c r="R286" s="13"/>
      <c r="S286" s="13"/>
      <c r="T286" s="32">
        <f>[1]!ПЛАТЕЖИ[[#This Row],[СЎМ]]+([1]!ПЛАТЕЖИ[[#This Row],[ВАЛЮТА]]*[1]!ПЛАТЕЖИ[[#This Row],[КУРС]])</f>
        <v>132000</v>
      </c>
      <c r="U286" s="31"/>
      <c r="V286" s="31" t="s">
        <v>275</v>
      </c>
    </row>
    <row r="287" spans="2:22" x14ac:dyDescent="0.25">
      <c r="B287" s="1">
        <v>46062</v>
      </c>
      <c r="C287" s="2" t="s">
        <v>33</v>
      </c>
      <c r="D287" s="3" t="s">
        <v>10</v>
      </c>
      <c r="E287" s="3" t="s">
        <v>2</v>
      </c>
      <c r="F287" s="4">
        <v>707.7</v>
      </c>
      <c r="G287" s="4">
        <v>14500</v>
      </c>
      <c r="H287" s="5">
        <f>[1]!РЕАЛИЗАЦИЯ[СОНИ]*[1]!РЕАЛИЗАЦИЯ[НАРХИ]</f>
        <v>3221400</v>
      </c>
      <c r="I287" s="4"/>
      <c r="J287" s="6">
        <v>13000</v>
      </c>
      <c r="K287" s="4">
        <f>[1]!РЕАЛИЗАЦИЯ[[#This Row],[СОНИ]]*[1]!РЕАЛИЗАЦИЯ[[#This Row],[ТАННАРХ]]</f>
        <v>0</v>
      </c>
      <c r="L287" s="7">
        <f>[1]!РЕАЛИЗАЦИЯ[[#This Row],[ЖАМИ]]-[1]!РЕАЛИЗАЦИЯ[[#This Row],[ЖАМИ2]]</f>
        <v>3221400</v>
      </c>
      <c r="O287" s="27">
        <v>46070</v>
      </c>
      <c r="P287" s="28" t="s">
        <v>46</v>
      </c>
      <c r="Q287" s="6">
        <v>898200</v>
      </c>
      <c r="R287" s="6"/>
      <c r="S287" s="6"/>
      <c r="T287" s="29">
        <f>[1]!ПЛАТЕЖИ[[#This Row],[СЎМ]]+([1]!ПЛАТЕЖИ[[#This Row],[ВАЛЮТА]]*[1]!ПЛАТЕЖИ[[#This Row],[КУРС]])</f>
        <v>500000</v>
      </c>
      <c r="U287" s="28"/>
      <c r="V287" s="28"/>
    </row>
    <row r="288" spans="2:22" x14ac:dyDescent="0.25">
      <c r="B288" s="8">
        <v>46062</v>
      </c>
      <c r="C288" s="9" t="s">
        <v>33</v>
      </c>
      <c r="D288" s="10" t="s">
        <v>1</v>
      </c>
      <c r="E288" s="10" t="s">
        <v>2</v>
      </c>
      <c r="F288" s="11">
        <v>387.2</v>
      </c>
      <c r="G288" s="11">
        <v>20500</v>
      </c>
      <c r="H288" s="12">
        <f>[1]!РЕАЛИЗАЦИЯ[СОНИ]*[1]!РЕАЛИЗАЦИЯ[НАРХИ]</f>
        <v>2288000</v>
      </c>
      <c r="I288" s="11"/>
      <c r="J288" s="13">
        <v>19000</v>
      </c>
      <c r="K288" s="11">
        <f>[1]!РЕАЛИЗАЦИЯ[[#This Row],[СОНИ]]*[1]!РЕАЛИЗАЦИЯ[[#This Row],[ТАННАРХ]]</f>
        <v>0</v>
      </c>
      <c r="L288" s="14">
        <f>[1]!РЕАЛИЗАЦИЯ[[#This Row],[ЖАМИ]]-[1]!РЕАЛИЗАЦИЯ[[#This Row],[ЖАМИ2]]</f>
        <v>2288000</v>
      </c>
      <c r="O288" s="30">
        <v>46070</v>
      </c>
      <c r="P288" s="31" t="s">
        <v>125</v>
      </c>
      <c r="Q288" s="13">
        <v>2501500</v>
      </c>
      <c r="R288" s="13"/>
      <c r="S288" s="13"/>
      <c r="T288" s="32">
        <f>[1]!ПЛАТЕЖИ[[#This Row],[СЎМ]]+([1]!ПЛАТЕЖИ[[#This Row],[ВАЛЮТА]]*[1]!ПЛАТЕЖИ[[#This Row],[КУРС]])</f>
        <v>500000</v>
      </c>
      <c r="U288" s="31"/>
      <c r="V288" s="31"/>
    </row>
    <row r="289" spans="2:22" x14ac:dyDescent="0.25">
      <c r="B289" s="1">
        <v>46063</v>
      </c>
      <c r="C289" s="2" t="s">
        <v>60</v>
      </c>
      <c r="D289" s="3" t="s">
        <v>1</v>
      </c>
      <c r="E289" s="3" t="s">
        <v>2</v>
      </c>
      <c r="F289" s="4">
        <v>1017.9</v>
      </c>
      <c r="G289" s="4">
        <v>20500</v>
      </c>
      <c r="H289" s="5">
        <f>[1]!РЕАЛИЗАЦИЯ[СОНИ]*[1]!РЕАЛИЗАЦИЯ[НАРХИ]</f>
        <v>750000</v>
      </c>
      <c r="I289" s="4"/>
      <c r="J289" s="6">
        <v>19000</v>
      </c>
      <c r="K289" s="4">
        <f>[1]!РЕАЛИЗАЦИЯ[[#This Row],[СОНИ]]*[1]!РЕАЛИЗАЦИЯ[[#This Row],[ТАННАРХ]]</f>
        <v>0</v>
      </c>
      <c r="L289" s="7">
        <f>[1]!РЕАЛИЗАЦИЯ[[#This Row],[ЖАМИ]]-[1]!РЕАЛИЗАЦИЯ[[#This Row],[ЖАМИ2]]</f>
        <v>750000</v>
      </c>
      <c r="O289" s="27">
        <v>46070</v>
      </c>
      <c r="P289" s="28" t="s">
        <v>96</v>
      </c>
      <c r="Q289" s="6">
        <v>682100</v>
      </c>
      <c r="R289" s="6"/>
      <c r="S289" s="6"/>
      <c r="T289" s="29">
        <f>[1]!ПЛАТЕЖИ[[#This Row],[СЎМ]]+([1]!ПЛАТЕЖИ[[#This Row],[ВАЛЮТА]]*[1]!ПЛАТЕЖИ[[#This Row],[КУРС]])</f>
        <v>911750</v>
      </c>
      <c r="U289" s="28"/>
      <c r="V289" s="28"/>
    </row>
    <row r="290" spans="2:22" x14ac:dyDescent="0.25">
      <c r="B290" s="8">
        <v>46063</v>
      </c>
      <c r="C290" s="9" t="s">
        <v>137</v>
      </c>
      <c r="D290" s="10" t="s">
        <v>10</v>
      </c>
      <c r="E290" s="10" t="s">
        <v>2</v>
      </c>
      <c r="F290" s="11">
        <v>207.1</v>
      </c>
      <c r="G290" s="11">
        <v>14500</v>
      </c>
      <c r="H290" s="12">
        <f>[1]!РЕАЛИЗАЦИЯ[СОНИ]*[1]!РЕАЛИЗАЦИЯ[НАРХИ]</f>
        <v>2076000</v>
      </c>
      <c r="I290" s="11"/>
      <c r="J290" s="13">
        <v>13000</v>
      </c>
      <c r="K290" s="11">
        <f>[1]!РЕАЛИЗАЦИЯ[[#This Row],[СОНИ]]*[1]!РЕАЛИЗАЦИЯ[[#This Row],[ТАННАРХ]]</f>
        <v>0</v>
      </c>
      <c r="L290" s="14">
        <f>[1]!РЕАЛИЗАЦИЯ[[#This Row],[ЖАМИ]]-[1]!РЕАЛИЗАЦИЯ[[#This Row],[ЖАМИ2]]</f>
        <v>2076000</v>
      </c>
      <c r="O290" s="30">
        <v>46070</v>
      </c>
      <c r="P290" s="31" t="s">
        <v>71</v>
      </c>
      <c r="Q290" s="13">
        <v>2000000</v>
      </c>
      <c r="R290" s="13"/>
      <c r="S290" s="13"/>
      <c r="T290" s="32">
        <f>[1]!ПЛАТЕЖИ[[#This Row],[СЎМ]]+([1]!ПЛАТЕЖИ[[#This Row],[ВАЛЮТА]]*[1]!ПЛАТЕЖИ[[#This Row],[КУРС]])</f>
        <v>1758000</v>
      </c>
      <c r="U290" s="31"/>
      <c r="V290" s="31" t="s">
        <v>279</v>
      </c>
    </row>
    <row r="291" spans="2:22" x14ac:dyDescent="0.25">
      <c r="B291" s="1">
        <v>46063</v>
      </c>
      <c r="C291" s="2" t="s">
        <v>9</v>
      </c>
      <c r="D291" s="3" t="s">
        <v>25</v>
      </c>
      <c r="E291" s="3" t="s">
        <v>2</v>
      </c>
      <c r="F291" s="4">
        <v>236.3</v>
      </c>
      <c r="G291" s="4">
        <v>25700</v>
      </c>
      <c r="H291" s="5">
        <f>[1]!РЕАЛИЗАЦИЯ[СОНИ]*[1]!РЕАЛИЗАЦИЯ[НАРХИ]</f>
        <v>1192800</v>
      </c>
      <c r="I291" s="4"/>
      <c r="J291" s="6">
        <v>23000</v>
      </c>
      <c r="K291" s="4">
        <f>[1]!РЕАЛИЗАЦИЯ[[#This Row],[СОНИ]]*[1]!РЕАЛИЗАЦИЯ[[#This Row],[ТАННАРХ]]</f>
        <v>0</v>
      </c>
      <c r="L291" s="7">
        <f>[1]!РЕАЛИЗАЦИЯ[[#This Row],[ЖАМИ]]-[1]!РЕАЛИЗАЦИЯ[[#This Row],[ЖАМИ2]]</f>
        <v>1192800</v>
      </c>
      <c r="O291" s="27">
        <v>46070</v>
      </c>
      <c r="P291" s="28" t="s">
        <v>71</v>
      </c>
      <c r="Q291" s="6">
        <v>1024000</v>
      </c>
      <c r="R291" s="6"/>
      <c r="S291" s="6"/>
      <c r="T291" s="29">
        <f>[1]!ПЛАТЕЖИ[[#This Row],[СЎМ]]+([1]!ПЛАТЕЖИ[[#This Row],[ВАЛЮТА]]*[1]!ПЛАТЕЖИ[[#This Row],[КУРС]])</f>
        <v>1068900</v>
      </c>
      <c r="U291" s="28"/>
      <c r="V291" s="28"/>
    </row>
    <row r="292" spans="2:22" x14ac:dyDescent="0.25">
      <c r="B292" s="8">
        <v>46063</v>
      </c>
      <c r="C292" s="9" t="s">
        <v>150</v>
      </c>
      <c r="D292" s="10" t="s">
        <v>10</v>
      </c>
      <c r="E292" s="10" t="s">
        <v>2</v>
      </c>
      <c r="F292" s="11">
        <v>47.8</v>
      </c>
      <c r="G292" s="11">
        <v>16000</v>
      </c>
      <c r="H292" s="12">
        <f>[1]!РЕАЛИЗАЦИЯ[СОНИ]*[1]!РЕАЛИЗАЦИЯ[НАРХИ]</f>
        <v>1005900</v>
      </c>
      <c r="I292" s="11"/>
      <c r="J292" s="13">
        <v>13000</v>
      </c>
      <c r="K292" s="11">
        <f>[1]!РЕАЛИЗАЦИЯ[[#This Row],[СОНИ]]*[1]!РЕАЛИЗАЦИЯ[[#This Row],[ТАННАРХ]]</f>
        <v>0</v>
      </c>
      <c r="L292" s="14">
        <f>[1]!РЕАЛИЗАЦИЯ[[#This Row],[ЖАМИ]]-[1]!РЕАЛИЗАЦИЯ[[#This Row],[ЖАМИ2]]</f>
        <v>1005900</v>
      </c>
      <c r="O292" s="30">
        <v>46070</v>
      </c>
      <c r="P292" s="31" t="s">
        <v>27</v>
      </c>
      <c r="Q292" s="13">
        <v>23152750</v>
      </c>
      <c r="R292" s="13"/>
      <c r="S292" s="13"/>
      <c r="T292" s="32">
        <f>[1]!ПЛАТЕЖИ[[#This Row],[СЎМ]]+([1]!ПЛАТЕЖИ[[#This Row],[ВАЛЮТА]]*[1]!ПЛАТЕЖИ[[#This Row],[КУРС]])</f>
        <v>3785000</v>
      </c>
      <c r="U292" s="31"/>
      <c r="V292" s="31" t="s">
        <v>279</v>
      </c>
    </row>
    <row r="293" spans="2:22" x14ac:dyDescent="0.25">
      <c r="B293" s="1">
        <v>46063</v>
      </c>
      <c r="C293" s="2" t="s">
        <v>150</v>
      </c>
      <c r="D293" s="3" t="s">
        <v>29</v>
      </c>
      <c r="E293" s="3" t="s">
        <v>2</v>
      </c>
      <c r="F293" s="4">
        <v>52.2</v>
      </c>
      <c r="G293" s="4">
        <v>18000</v>
      </c>
      <c r="H293" s="5">
        <f>[1]!РЕАЛИЗАЦИЯ[СОНИ]*[1]!РЕАЛИЗАЦИЯ[НАРХИ]</f>
        <v>782400</v>
      </c>
      <c r="I293" s="4"/>
      <c r="J293" s="6">
        <v>16000</v>
      </c>
      <c r="K293" s="4">
        <f>[1]!РЕАЛИЗАЦИЯ[[#This Row],[СОНИ]]*[1]!РЕАЛИЗАЦИЯ[[#This Row],[ТАННАРХ]]</f>
        <v>0</v>
      </c>
      <c r="L293" s="7">
        <f>[1]!РЕАЛИЗАЦИЯ[[#This Row],[ЖАМИ]]-[1]!РЕАЛИЗАЦИЯ[[#This Row],[ЖАМИ2]]</f>
        <v>782400</v>
      </c>
      <c r="O293" s="27">
        <v>46070</v>
      </c>
      <c r="P293" s="28" t="s">
        <v>291</v>
      </c>
      <c r="Q293" s="6"/>
      <c r="R293" s="6">
        <v>100</v>
      </c>
      <c r="S293" s="6">
        <v>12100</v>
      </c>
      <c r="T293" s="29">
        <f>[1]!ПЛАТЕЖИ[[#This Row],[СЎМ]]+([1]!ПЛАТЕЖИ[[#This Row],[ВАЛЮТА]]*[1]!ПЛАТЕЖИ[[#This Row],[КУРС]])</f>
        <v>1087000</v>
      </c>
      <c r="U293" s="28"/>
      <c r="V293" s="28"/>
    </row>
    <row r="294" spans="2:22" x14ac:dyDescent="0.25">
      <c r="B294" s="8">
        <v>46063</v>
      </c>
      <c r="C294" s="9" t="s">
        <v>150</v>
      </c>
      <c r="D294" s="10" t="s">
        <v>1</v>
      </c>
      <c r="E294" s="10" t="s">
        <v>2</v>
      </c>
      <c r="F294" s="11">
        <v>52.5</v>
      </c>
      <c r="G294" s="11">
        <v>21000</v>
      </c>
      <c r="H294" s="12">
        <f>[1]!РЕАЛИЗАЦИЯ[СОНИ]*[1]!РЕАЛИЗАЦИЯ[НАРХИ]</f>
        <v>945000</v>
      </c>
      <c r="I294" s="11"/>
      <c r="J294" s="13">
        <v>19000</v>
      </c>
      <c r="K294" s="11">
        <f>[1]!РЕАЛИЗАЦИЯ[[#This Row],[СОНИ]]*[1]!РЕАЛИЗАЦИЯ[[#This Row],[ТАННАРХ]]</f>
        <v>0</v>
      </c>
      <c r="L294" s="14">
        <f>[1]!РЕАЛИЗАЦИЯ[[#This Row],[ЖАМИ]]-[1]!РЕАЛИЗАЦИЯ[[#This Row],[ЖАМИ2]]</f>
        <v>945000</v>
      </c>
      <c r="O294" s="30">
        <v>46070</v>
      </c>
      <c r="P294" s="31" t="s">
        <v>155</v>
      </c>
      <c r="Q294" s="13">
        <v>1934000</v>
      </c>
      <c r="R294" s="13"/>
      <c r="S294" s="13"/>
      <c r="T294" s="32">
        <f>[1]!ПЛАТЕЖИ[[#This Row],[СЎМ]]+([1]!ПЛАТЕЖИ[[#This Row],[ВАЛЮТА]]*[1]!ПЛАТЕЖИ[[#This Row],[КУРС]])</f>
        <v>1500000</v>
      </c>
      <c r="U294" s="31"/>
      <c r="V294" s="31"/>
    </row>
    <row r="295" spans="2:22" x14ac:dyDescent="0.25">
      <c r="B295" s="1">
        <v>46063</v>
      </c>
      <c r="C295" s="2" t="s">
        <v>86</v>
      </c>
      <c r="D295" s="3" t="s">
        <v>1</v>
      </c>
      <c r="E295" s="3" t="s">
        <v>2</v>
      </c>
      <c r="F295" s="4">
        <v>204.6</v>
      </c>
      <c r="G295" s="4">
        <v>20000</v>
      </c>
      <c r="H295" s="5">
        <f>[1]!РЕАЛИЗАЦИЯ[СОНИ]*[1]!РЕАЛИЗАЦИЯ[НАРХИ]</f>
        <v>2661600</v>
      </c>
      <c r="I295" s="4" t="s">
        <v>97</v>
      </c>
      <c r="J295" s="6">
        <v>19000</v>
      </c>
      <c r="K295" s="4">
        <f>[1]!РЕАЛИЗАЦИЯ[[#This Row],[СОНИ]]*[1]!РЕАЛИЗАЦИЯ[[#This Row],[ТАННАРХ]]</f>
        <v>276723225</v>
      </c>
      <c r="L295" s="7">
        <f>[1]!РЕАЛИЗАЦИЯ[[#This Row],[ЖАМИ]]-[1]!РЕАЛИЗАЦИЯ[[#This Row],[ЖАМИ2]]</f>
        <v>2661489.1</v>
      </c>
      <c r="O295" s="27">
        <v>46070</v>
      </c>
      <c r="P295" s="28" t="s">
        <v>19</v>
      </c>
      <c r="Q295" s="6">
        <v>1010000</v>
      </c>
      <c r="R295" s="6"/>
      <c r="S295" s="6"/>
      <c r="T295" s="29">
        <f>[1]!ПЛАТЕЖИ[[#This Row],[СЎМ]]+([1]!ПЛАТЕЖИ[[#This Row],[ВАЛЮТА]]*[1]!ПЛАТЕЖИ[[#This Row],[КУРС]])</f>
        <v>1000000</v>
      </c>
      <c r="U295" s="28"/>
      <c r="V295" s="28"/>
    </row>
    <row r="296" spans="2:22" x14ac:dyDescent="0.25">
      <c r="B296" s="8">
        <v>46063</v>
      </c>
      <c r="C296" s="9" t="s">
        <v>9</v>
      </c>
      <c r="D296" s="10" t="s">
        <v>25</v>
      </c>
      <c r="E296" s="10" t="s">
        <v>2</v>
      </c>
      <c r="F296" s="11">
        <v>-190.2</v>
      </c>
      <c r="G296" s="11">
        <v>25700</v>
      </c>
      <c r="H296" s="12">
        <f>[1]!РЕАЛИЗАЦИЯ[СОНИ]*[1]!РЕАЛИЗАЦИЯ[НАРХИ]</f>
        <v>4128949.9999999995</v>
      </c>
      <c r="I296" s="11"/>
      <c r="J296" s="13">
        <v>23000</v>
      </c>
      <c r="K296" s="11">
        <f>[1]!РЕАЛИЗАЦИЯ[[#This Row],[СОНИ]]*[1]!РЕАЛИЗАЦИЯ[[#This Row],[ТАННАРХ]]</f>
        <v>694586025</v>
      </c>
      <c r="L296" s="14">
        <f>[1]!РЕАЛИЗАЦИЯ[[#This Row],[ЖАМИ]]-[1]!РЕАЛИЗАЦИЯ[[#This Row],[ЖАМИ2]]</f>
        <v>4128774.2999999993</v>
      </c>
      <c r="O296" s="30">
        <v>46070</v>
      </c>
      <c r="P296" s="31" t="s">
        <v>154</v>
      </c>
      <c r="Q296" s="13">
        <v>835200</v>
      </c>
      <c r="R296" s="13"/>
      <c r="S296" s="13"/>
      <c r="T296" s="32">
        <f>[1]!ПЛАТЕЖИ[[#This Row],[СЎМ]]+([1]!ПЛАТЕЖИ[[#This Row],[ВАЛЮТА]]*[1]!ПЛАТЕЖИ[[#This Row],[КУРС]])</f>
        <v>1275000</v>
      </c>
      <c r="U296" s="31"/>
      <c r="V296" s="31"/>
    </row>
    <row r="297" spans="2:22" x14ac:dyDescent="0.25">
      <c r="B297" s="1">
        <v>46064</v>
      </c>
      <c r="C297" s="2" t="s">
        <v>86</v>
      </c>
      <c r="D297" s="3" t="s">
        <v>1</v>
      </c>
      <c r="E297" s="3" t="s">
        <v>2</v>
      </c>
      <c r="F297" s="4">
        <v>110.3</v>
      </c>
      <c r="G297" s="4">
        <v>20000</v>
      </c>
      <c r="H297" s="5">
        <f>[1]!РЕАЛИЗАЦИЯ[СОНИ]*[1]!РЕАЛИЗАЦИЯ[НАРХИ]</f>
        <v>962000</v>
      </c>
      <c r="I297" s="4" t="s">
        <v>87</v>
      </c>
      <c r="J297" s="6">
        <v>19000</v>
      </c>
      <c r="K297" s="4">
        <f>[1]!РЕАЛИЗАЦИЯ[[#This Row],[СОНИ]]*[1]!РЕАЛИЗАЦИЯ[[#This Row],[ТАННАРХ]]</f>
        <v>33540500</v>
      </c>
      <c r="L297" s="7">
        <f>[1]!РЕАЛИЗАЦИЯ[[#This Row],[ЖАМИ]]-[1]!РЕАЛИЗАЦИЯ[[#This Row],[ЖАМИ2]]</f>
        <v>961963</v>
      </c>
      <c r="O297" s="27">
        <v>46070</v>
      </c>
      <c r="P297" s="28" t="s">
        <v>128</v>
      </c>
      <c r="Q297" s="6">
        <v>500700</v>
      </c>
      <c r="R297" s="6"/>
      <c r="S297" s="6"/>
      <c r="T297" s="29">
        <f>[1]!ПЛАТЕЖИ[[#This Row],[СЎМ]]+([1]!ПЛАТЕЖИ[[#This Row],[ВАЛЮТА]]*[1]!ПЛАТЕЖИ[[#This Row],[КУРС]])</f>
        <v>1113000</v>
      </c>
      <c r="U297" s="28"/>
      <c r="V297" s="28"/>
    </row>
    <row r="298" spans="2:22" x14ac:dyDescent="0.25">
      <c r="B298" s="8">
        <v>46065</v>
      </c>
      <c r="C298" s="9" t="s">
        <v>122</v>
      </c>
      <c r="D298" s="10" t="s">
        <v>1</v>
      </c>
      <c r="E298" s="10" t="s">
        <v>2</v>
      </c>
      <c r="F298" s="11">
        <v>316.60000000000002</v>
      </c>
      <c r="G298" s="11">
        <v>20500</v>
      </c>
      <c r="H298" s="12">
        <f>[1]!РЕАЛИЗАЦИЯ[СОНИ]*[1]!РЕАЛИЗАЦИЯ[НАРХИ]</f>
        <v>1330000</v>
      </c>
      <c r="I298" s="11"/>
      <c r="J298" s="13">
        <v>19000</v>
      </c>
      <c r="K298" s="11">
        <f>[1]!РЕАЛИЗАЦИЯ[[#This Row],[СОНИ]]*[1]!РЕАЛИЗАЦИЯ[[#This Row],[ТАННАРХ]]</f>
        <v>0</v>
      </c>
      <c r="L298" s="14">
        <f>[1]!РЕАЛИЗАЦИЯ[[#This Row],[ЖАМИ]]-[1]!РЕАЛИЗАЦИЯ[[#This Row],[ЖАМИ2]]</f>
        <v>1330000</v>
      </c>
      <c r="O298" s="30">
        <v>46070</v>
      </c>
      <c r="P298" s="31" t="s">
        <v>142</v>
      </c>
      <c r="Q298" s="13">
        <v>631100</v>
      </c>
      <c r="R298" s="13"/>
      <c r="S298" s="13"/>
      <c r="T298" s="32">
        <f>[1]!ПЛАТЕЖИ[[#This Row],[СЎМ]]+([1]!ПЛАТЕЖИ[[#This Row],[ВАЛЮТА]]*[1]!ПЛАТЕЖИ[[#This Row],[КУРС]])</f>
        <v>3239000</v>
      </c>
      <c r="U298" s="31"/>
      <c r="V298" s="31"/>
    </row>
    <row r="299" spans="2:22" x14ac:dyDescent="0.25">
      <c r="B299" s="1">
        <v>46065</v>
      </c>
      <c r="C299" s="2" t="s">
        <v>62</v>
      </c>
      <c r="D299" s="3" t="s">
        <v>1</v>
      </c>
      <c r="E299" s="3" t="s">
        <v>2</v>
      </c>
      <c r="F299" s="4">
        <v>47.3</v>
      </c>
      <c r="G299" s="4">
        <v>20000</v>
      </c>
      <c r="H299" s="5">
        <f>[1]!РЕАЛИЗАЦИЯ[СОНИ]*[1]!РЕАЛИЗАЦИЯ[НАРХИ]</f>
        <v>2089500</v>
      </c>
      <c r="I299" s="4"/>
      <c r="J299" s="6">
        <v>19000</v>
      </c>
      <c r="K299" s="4">
        <f>[1]!РЕАЛИЗАЦИЯ[[#This Row],[СОНИ]]*[1]!РЕАЛИЗАЦИЯ[[#This Row],[ТАННАРХ]]</f>
        <v>0</v>
      </c>
      <c r="L299" s="7">
        <f>[1]!РЕАЛИЗАЦИЯ[[#This Row],[ЖАМИ]]-[1]!РЕАЛИЗАЦИЯ[[#This Row],[ЖАМИ2]]</f>
        <v>2089500</v>
      </c>
      <c r="O299" s="27">
        <v>46070</v>
      </c>
      <c r="P299" s="28" t="s">
        <v>156</v>
      </c>
      <c r="Q299" s="6">
        <v>500000</v>
      </c>
      <c r="R299" s="6"/>
      <c r="S299" s="6"/>
      <c r="T299" s="29">
        <f>[1]!ПЛАТЕЖИ[[#This Row],[СЎМ]]+([1]!ПЛАТЕЖИ[[#This Row],[ВАЛЮТА]]*[1]!ПЛАТЕЖИ[[#This Row],[КУРС]])</f>
        <v>1360000</v>
      </c>
      <c r="U299" s="28"/>
      <c r="V299" s="28"/>
    </row>
    <row r="300" spans="2:22" x14ac:dyDescent="0.25">
      <c r="B300" s="8">
        <v>46065</v>
      </c>
      <c r="C300" s="9" t="s">
        <v>78</v>
      </c>
      <c r="D300" s="10" t="s">
        <v>29</v>
      </c>
      <c r="E300" s="10" t="s">
        <v>2</v>
      </c>
      <c r="F300" s="11">
        <v>299.10000000000002</v>
      </c>
      <c r="G300" s="11">
        <v>17500</v>
      </c>
      <c r="H300" s="12">
        <f>[1]!РЕАЛИЗАЦИЯ[СОНИ]*[1]!РЕАЛИЗАЦИЯ[НАРХИ]</f>
        <v>1606400</v>
      </c>
      <c r="I300" s="11"/>
      <c r="J300" s="13">
        <v>16000</v>
      </c>
      <c r="K300" s="11">
        <f>[1]!РЕАЛИЗАЦИЯ[[#This Row],[СОНИ]]*[1]!РЕАЛИЗАЦИЯ[[#This Row],[ТАННАРХ]]</f>
        <v>0</v>
      </c>
      <c r="L300" s="14">
        <f>[1]!РЕАЛИЗАЦИЯ[[#This Row],[ЖАМИ]]-[1]!РЕАЛИЗАЦИЯ[[#This Row],[ЖАМИ2]]</f>
        <v>1606400</v>
      </c>
      <c r="O300" s="30">
        <v>46070</v>
      </c>
      <c r="P300" s="31" t="s">
        <v>145</v>
      </c>
      <c r="Q300" s="13">
        <v>1000000</v>
      </c>
      <c r="R300" s="13"/>
      <c r="S300" s="13"/>
      <c r="T300" s="32">
        <f>[1]!ПЛАТЕЖИ[[#This Row],[СЎМ]]+([1]!ПЛАТЕЖИ[[#This Row],[ВАЛЮТА]]*[1]!ПЛАТЕЖИ[[#This Row],[КУРС]])</f>
        <v>2129950</v>
      </c>
      <c r="U300" s="31"/>
      <c r="V300" s="31" t="s">
        <v>275</v>
      </c>
    </row>
    <row r="301" spans="2:22" x14ac:dyDescent="0.25">
      <c r="B301" s="1">
        <v>46065</v>
      </c>
      <c r="C301" s="2" t="s">
        <v>48</v>
      </c>
      <c r="D301" s="3" t="s">
        <v>25</v>
      </c>
      <c r="E301" s="3" t="s">
        <v>2</v>
      </c>
      <c r="F301" s="4">
        <v>100</v>
      </c>
      <c r="G301" s="4">
        <v>25000</v>
      </c>
      <c r="H301" s="5">
        <f>[1]!РЕАЛИЗАЦИЯ[СОНИ]*[1]!РЕАЛИЗАЦИЯ[НАРХИ]</f>
        <v>3498049.9999999995</v>
      </c>
      <c r="I301" s="4"/>
      <c r="J301" s="6">
        <v>23000</v>
      </c>
      <c r="K301" s="4">
        <f>[1]!РЕАЛИЗАЦИЯ[[#This Row],[СОНИ]]*[1]!РЕАЛИЗАЦИЯ[[#This Row],[ТАННАРХ]]</f>
        <v>0</v>
      </c>
      <c r="L301" s="7">
        <f>[1]!РЕАЛИЗАЦИЯ[[#This Row],[ЖАМИ]]-[1]!РЕАЛИЗАЦИЯ[[#This Row],[ЖАМИ2]]</f>
        <v>3498049.9999999995</v>
      </c>
      <c r="O301" s="27">
        <v>46071</v>
      </c>
      <c r="P301" s="28" t="s">
        <v>17</v>
      </c>
      <c r="Q301" s="6">
        <v>2820000</v>
      </c>
      <c r="R301" s="6"/>
      <c r="S301" s="6"/>
      <c r="T301" s="29">
        <f>[1]!ПЛАТЕЖИ[[#This Row],[СЎМ]]+([1]!ПЛАТЕЖИ[[#This Row],[ВАЛЮТА]]*[1]!ПЛАТЕЖИ[[#This Row],[КУРС]])</f>
        <v>500000</v>
      </c>
      <c r="U301" s="28"/>
      <c r="V301" s="28" t="s">
        <v>279</v>
      </c>
    </row>
    <row r="302" spans="2:22" x14ac:dyDescent="0.25">
      <c r="B302" s="8">
        <v>46066</v>
      </c>
      <c r="C302" s="9" t="s">
        <v>79</v>
      </c>
      <c r="D302" s="10" t="s">
        <v>10</v>
      </c>
      <c r="E302" s="10" t="s">
        <v>2</v>
      </c>
      <c r="F302" s="11">
        <v>99</v>
      </c>
      <c r="G302" s="11">
        <v>16000</v>
      </c>
      <c r="H302" s="12">
        <f>[1]!РЕАЛИЗАЦИЯ[СОНИ]*[1]!РЕАЛИЗАЦИЯ[НАРХИ]</f>
        <v>2786850</v>
      </c>
      <c r="I302" s="11"/>
      <c r="J302" s="13">
        <v>13000</v>
      </c>
      <c r="K302" s="11">
        <f>[1]!РЕАЛИЗАЦИЯ[[#This Row],[СОНИ]]*[1]!РЕАЛИЗАЦИЯ[[#This Row],[ТАННАРХ]]</f>
        <v>0</v>
      </c>
      <c r="L302" s="14">
        <f>[1]!РЕАЛИЗАЦИЯ[[#This Row],[ЖАМИ]]-[1]!РЕАЛИЗАЦИЯ[[#This Row],[ЖАМИ2]]</f>
        <v>2786850</v>
      </c>
      <c r="O302" s="30">
        <v>46071</v>
      </c>
      <c r="P302" s="31" t="s">
        <v>113</v>
      </c>
      <c r="Q302" s="13">
        <v>5000000</v>
      </c>
      <c r="R302" s="13"/>
      <c r="S302" s="13"/>
      <c r="T302" s="32">
        <f>[1]!ПЛАТЕЖИ[[#This Row],[СЎМ]]+([1]!ПЛАТЕЖИ[[#This Row],[ВАЛЮТА]]*[1]!ПЛАТЕЖИ[[#This Row],[КУРС]])</f>
        <v>2112600</v>
      </c>
      <c r="U302" s="31"/>
      <c r="V302" s="31" t="s">
        <v>279</v>
      </c>
    </row>
    <row r="303" spans="2:22" x14ac:dyDescent="0.25">
      <c r="B303" s="1">
        <v>46066</v>
      </c>
      <c r="C303" s="2" t="s">
        <v>23</v>
      </c>
      <c r="D303" s="3" t="s">
        <v>10</v>
      </c>
      <c r="E303" s="3" t="s">
        <v>2</v>
      </c>
      <c r="F303" s="4">
        <v>94.6</v>
      </c>
      <c r="G303" s="4">
        <v>15000</v>
      </c>
      <c r="H303" s="5">
        <f>[1]!РЕАЛИЗАЦИЯ[СОНИ]*[1]!РЕАЛИЗАЦИЯ[НАРХИ]</f>
        <v>744000</v>
      </c>
      <c r="I303" s="4"/>
      <c r="J303" s="6">
        <v>13000</v>
      </c>
      <c r="K303" s="4">
        <f>[1]!РЕАЛИЗАЦИЯ[[#This Row],[СОНИ]]*[1]!РЕАЛИЗАЦИЯ[[#This Row],[ТАННАРХ]]</f>
        <v>0</v>
      </c>
      <c r="L303" s="7">
        <f>[1]!РЕАЛИЗАЦИЯ[[#This Row],[ЖАМИ]]-[1]!РЕАЛИЗАЦИЯ[[#This Row],[ЖАМИ2]]</f>
        <v>744000</v>
      </c>
      <c r="O303" s="27">
        <v>46071</v>
      </c>
      <c r="P303" s="28" t="s">
        <v>276</v>
      </c>
      <c r="Q303" s="6">
        <v>200000</v>
      </c>
      <c r="R303" s="6"/>
      <c r="S303" s="6"/>
      <c r="T303" s="29">
        <f>[1]!ПЛАТЕЖИ[[#This Row],[СЎМ]]+([1]!ПЛАТЕЖИ[[#This Row],[ВАЛЮТА]]*[1]!ПЛАТЕЖИ[[#This Row],[КУРС]])</f>
        <v>300000</v>
      </c>
      <c r="U303" s="28"/>
      <c r="V303" s="28" t="s">
        <v>275</v>
      </c>
    </row>
    <row r="304" spans="2:22" x14ac:dyDescent="0.25">
      <c r="B304" s="8">
        <v>46066</v>
      </c>
      <c r="C304" s="9" t="s">
        <v>23</v>
      </c>
      <c r="D304" s="10" t="s">
        <v>1</v>
      </c>
      <c r="E304" s="10" t="s">
        <v>2</v>
      </c>
      <c r="F304" s="11">
        <v>196.4</v>
      </c>
      <c r="G304" s="11">
        <v>20000</v>
      </c>
      <c r="H304" s="12">
        <f>[1]!РЕАЛИЗАЦИЯ[СОНИ]*[1]!РЕАЛИЗАЦИЯ[НАРХИ]</f>
        <v>3011400</v>
      </c>
      <c r="I304" s="11"/>
      <c r="J304" s="13">
        <v>19000</v>
      </c>
      <c r="K304" s="11">
        <f>[1]!РЕАЛИЗАЦИЯ[[#This Row],[СОНИ]]*[1]!РЕАЛИЗАЦИЯ[[#This Row],[ТАННАРХ]]</f>
        <v>0</v>
      </c>
      <c r="L304" s="14">
        <f>[1]!РЕАЛИЗАЦИЯ[[#This Row],[ЖАМИ]]-[1]!РЕАЛИЗАЦИЯ[[#This Row],[ЖАМИ2]]</f>
        <v>3011400</v>
      </c>
      <c r="O304" s="30">
        <v>46071</v>
      </c>
      <c r="P304" s="31" t="s">
        <v>284</v>
      </c>
      <c r="Q304" s="13">
        <v>515000</v>
      </c>
      <c r="R304" s="13"/>
      <c r="S304" s="13"/>
      <c r="T304" s="32">
        <f>[1]!ПЛАТЕЖИ[[#This Row],[СЎМ]]+([1]!ПЛАТЕЖИ[[#This Row],[ВАЛЮТА]]*[1]!ПЛАТЕЖИ[[#This Row],[КУРС]])</f>
        <v>500000</v>
      </c>
      <c r="U304" s="31"/>
      <c r="V304" s="31" t="s">
        <v>275</v>
      </c>
    </row>
    <row r="305" spans="2:22" x14ac:dyDescent="0.25">
      <c r="B305" s="1">
        <v>46066</v>
      </c>
      <c r="C305" s="2" t="s">
        <v>151</v>
      </c>
      <c r="D305" s="3" t="s">
        <v>1</v>
      </c>
      <c r="E305" s="3" t="s">
        <v>2</v>
      </c>
      <c r="F305" s="4">
        <v>86.2</v>
      </c>
      <c r="G305" s="4">
        <v>20000</v>
      </c>
      <c r="H305" s="5">
        <f>[1]!РЕАЛИЗАЦИЯ[СОНИ]*[1]!РЕАЛИЗАЦИЯ[НАРХИ]</f>
        <v>1066800</v>
      </c>
      <c r="I305" s="4"/>
      <c r="J305" s="6">
        <v>19000</v>
      </c>
      <c r="K305" s="4">
        <f>[1]!РЕАЛИЗАЦИЯ[[#This Row],[СОНИ]]*[1]!РЕАЛИЗАЦИЯ[[#This Row],[ТАННАРХ]]</f>
        <v>0</v>
      </c>
      <c r="L305" s="7">
        <f>[1]!РЕАЛИЗАЦИЯ[[#This Row],[ЖАМИ]]-[1]!РЕАЛИЗАЦИЯ[[#This Row],[ЖАМИ2]]</f>
        <v>1066800</v>
      </c>
      <c r="O305" s="27">
        <v>46071</v>
      </c>
      <c r="P305" s="28" t="s">
        <v>158</v>
      </c>
      <c r="Q305" s="6">
        <v>7616700</v>
      </c>
      <c r="R305" s="6"/>
      <c r="S305" s="6"/>
      <c r="T305" s="29">
        <f>[1]!ПЛАТЕЖИ[[#This Row],[СЎМ]]+([1]!ПЛАТЕЖИ[[#This Row],[ВАЛЮТА]]*[1]!ПЛАТЕЖИ[[#This Row],[КУРС]])</f>
        <v>951300</v>
      </c>
      <c r="U305" s="28"/>
      <c r="V305" s="28"/>
    </row>
    <row r="306" spans="2:22" x14ac:dyDescent="0.25">
      <c r="B306" s="8">
        <v>46066</v>
      </c>
      <c r="C306" s="9" t="s">
        <v>111</v>
      </c>
      <c r="D306" s="10" t="s">
        <v>1</v>
      </c>
      <c r="E306" s="10" t="s">
        <v>2</v>
      </c>
      <c r="F306" s="11">
        <v>99.1</v>
      </c>
      <c r="G306" s="11">
        <v>19000</v>
      </c>
      <c r="H306" s="12">
        <f>[1]!РЕАЛИЗАЦИЯ[СОНИ]*[1]!РЕАЛИЗАЦИЯ[НАРХИ]</f>
        <v>1648000</v>
      </c>
      <c r="I306" s="11"/>
      <c r="J306" s="13">
        <v>19000</v>
      </c>
      <c r="K306" s="11">
        <f>[1]!РЕАЛИЗАЦИЯ[[#This Row],[СОНИ]]*[1]!РЕАЛИЗАЦИЯ[[#This Row],[ТАННАРХ]]</f>
        <v>0</v>
      </c>
      <c r="L306" s="14">
        <f>[1]!РЕАЛИЗАЦИЯ[[#This Row],[ЖАМИ]]-[1]!РЕАЛИЗАЦИЯ[[#This Row],[ЖАМИ2]]</f>
        <v>1648000</v>
      </c>
      <c r="O306" s="30">
        <v>46072</v>
      </c>
      <c r="P306" s="31" t="s">
        <v>12</v>
      </c>
      <c r="Q306" s="13">
        <v>49795200</v>
      </c>
      <c r="R306" s="13"/>
      <c r="S306" s="13"/>
      <c r="T306" s="32">
        <f>[1]!ПЛАТЕЖИ[[#This Row],[СЎМ]]+([1]!ПЛАТЕЖИ[[#This Row],[ВАЛЮТА]]*[1]!ПЛАТЕЖИ[[#This Row],[КУРС]])</f>
        <v>1270000</v>
      </c>
      <c r="U306" s="31"/>
      <c r="V306" s="31" t="s">
        <v>279</v>
      </c>
    </row>
    <row r="307" spans="2:22" x14ac:dyDescent="0.25">
      <c r="B307" s="1">
        <v>46066</v>
      </c>
      <c r="C307" s="2" t="s">
        <v>111</v>
      </c>
      <c r="D307" s="3" t="s">
        <v>10</v>
      </c>
      <c r="E307" s="3" t="s">
        <v>2</v>
      </c>
      <c r="F307" s="4">
        <v>48.1</v>
      </c>
      <c r="G307" s="4">
        <v>14000</v>
      </c>
      <c r="H307" s="5">
        <f>[1]!РЕАЛИЗАЦИЯ[СОНИ]*[1]!РЕАЛИЗАЦИЯ[НАРХИ]</f>
        <v>10577700</v>
      </c>
      <c r="I307" s="4"/>
      <c r="J307" s="6">
        <v>13000</v>
      </c>
      <c r="K307" s="4">
        <f>[1]!РЕАЛИЗАЦИЯ[[#This Row],[СОНИ]]*[1]!РЕАЛИЗАЦИЯ[[#This Row],[ТАННАРХ]]</f>
        <v>4566846420</v>
      </c>
      <c r="L307" s="7">
        <f>[1]!РЕАЛИЗАЦИЯ[[#This Row],[ЖАМИ]]-[1]!РЕАЛИЗАЦИЯ[[#This Row],[ЖАМИ2]]</f>
        <v>10577196.300000001</v>
      </c>
      <c r="O307" s="27">
        <v>46072</v>
      </c>
      <c r="P307" s="28" t="s">
        <v>7</v>
      </c>
      <c r="Q307" s="6">
        <v>15000000</v>
      </c>
      <c r="R307" s="6"/>
      <c r="S307" s="6"/>
      <c r="T307" s="29">
        <f>[1]!ПЛАТЕЖИ[[#This Row],[СЎМ]]+([1]!ПЛАТЕЖИ[[#This Row],[ВАЛЮТА]]*[1]!ПЛАТЕЖИ[[#This Row],[КУРС]])</f>
        <v>1000000</v>
      </c>
      <c r="U307" s="28"/>
      <c r="V307" s="28" t="s">
        <v>279</v>
      </c>
    </row>
    <row r="308" spans="2:22" x14ac:dyDescent="0.25">
      <c r="B308" s="8">
        <v>46066</v>
      </c>
      <c r="C308" s="9" t="s">
        <v>152</v>
      </c>
      <c r="D308" s="10" t="s">
        <v>1</v>
      </c>
      <c r="E308" s="10" t="s">
        <v>2</v>
      </c>
      <c r="F308" s="11">
        <v>49</v>
      </c>
      <c r="G308" s="11">
        <v>21000</v>
      </c>
      <c r="H308" s="12">
        <f>[1]!РЕАЛИЗАЦИЯ[СОНИ]*[1]!РЕАЛИЗАЦИЯ[НАРХИ]</f>
        <v>6941400</v>
      </c>
      <c r="I308" s="11"/>
      <c r="J308" s="13">
        <v>19000</v>
      </c>
      <c r="K308" s="11">
        <f>[1]!РЕАЛИЗАЦИЯ[[#This Row],[СОНИ]]*[1]!РЕАЛИЗАЦИЯ[[#This Row],[ТАННАРХ]]</f>
        <v>1867206420</v>
      </c>
      <c r="L308" s="14">
        <f>[1]!РЕАЛИЗАЦИЯ[[#This Row],[ЖАМИ]]-[1]!РЕАЛИЗАЦИЯ[[#This Row],[ЖАМИ2]]</f>
        <v>6941098.2000000002</v>
      </c>
      <c r="O308" s="30">
        <v>46072</v>
      </c>
      <c r="P308" s="31" t="s">
        <v>141</v>
      </c>
      <c r="Q308" s="13">
        <v>641700</v>
      </c>
      <c r="R308" s="13"/>
      <c r="S308" s="13"/>
      <c r="T308" s="32">
        <f>[1]!ПЛАТЕЖИ[[#This Row],[СЎМ]]+([1]!ПЛАТЕЖИ[[#This Row],[ВАЛЮТА]]*[1]!ПЛАТЕЖИ[[#This Row],[КУРС]])</f>
        <v>905100</v>
      </c>
      <c r="U308" s="31"/>
      <c r="V308" s="31" t="s">
        <v>275</v>
      </c>
    </row>
    <row r="309" spans="2:22" x14ac:dyDescent="0.25">
      <c r="B309" s="1">
        <v>46066</v>
      </c>
      <c r="C309" s="2" t="s">
        <v>27</v>
      </c>
      <c r="D309" s="3" t="s">
        <v>10</v>
      </c>
      <c r="E309" s="3" t="s">
        <v>2</v>
      </c>
      <c r="F309" s="4">
        <v>1734.5</v>
      </c>
      <c r="G309" s="4">
        <v>14500</v>
      </c>
      <c r="H309" s="5">
        <f>[1]!РЕАЛИЗАЦИЯ[СОНИ]*[1]!РЕАЛИЗАЦИЯ[НАРХИ]</f>
        <v>1420500</v>
      </c>
      <c r="I309" s="4"/>
      <c r="J309" s="6">
        <v>13000</v>
      </c>
      <c r="K309" s="4">
        <f>[1]!РЕАЛИЗАЦИЯ[[#This Row],[СОНИ]]*[1]!РЕАЛИЗАЦИЯ[[#This Row],[ТАННАРХ]]</f>
        <v>0</v>
      </c>
      <c r="L309" s="7">
        <f>[1]!РЕАЛИЗАЦИЯ[[#This Row],[ЖАМИ]]-[1]!РЕАЛИЗАЦИЯ[[#This Row],[ЖАМИ2]]</f>
        <v>1420500</v>
      </c>
      <c r="O309" s="27">
        <v>46072</v>
      </c>
      <c r="P309" s="28" t="s">
        <v>112</v>
      </c>
      <c r="Q309" s="6">
        <v>1000000</v>
      </c>
      <c r="R309" s="6"/>
      <c r="S309" s="6"/>
      <c r="T309" s="29">
        <f>[1]!ПЛАТЕЖИ[[#This Row],[СЎМ]]+([1]!ПЛАТЕЖИ[[#This Row],[ВАЛЮТА]]*[1]!ПЛАТЕЖИ[[#This Row],[КУРС]])</f>
        <v>2125200</v>
      </c>
      <c r="U309" s="28"/>
      <c r="V309" s="28" t="s">
        <v>275</v>
      </c>
    </row>
    <row r="310" spans="2:22" x14ac:dyDescent="0.25">
      <c r="B310" s="8">
        <v>46067</v>
      </c>
      <c r="C310" s="9" t="s">
        <v>68</v>
      </c>
      <c r="D310" s="10" t="s">
        <v>36</v>
      </c>
      <c r="E310" s="10" t="s">
        <v>2</v>
      </c>
      <c r="F310" s="11">
        <v>1099</v>
      </c>
      <c r="G310" s="11">
        <v>18000</v>
      </c>
      <c r="H310" s="12">
        <f>[1]!РЕАЛИЗАЦИЯ[СОНИ]*[1]!РЕАЛИЗАЦИЯ[НАРХИ]</f>
        <v>2217600</v>
      </c>
      <c r="I310" s="11"/>
      <c r="J310" s="13">
        <v>16000</v>
      </c>
      <c r="K310" s="11">
        <f>[1]!РЕАЛИЗАЦИЯ[[#This Row],[СОНИ]]*[1]!РЕАЛИЗАЦИЯ[[#This Row],[ТАННАРХ]]</f>
        <v>0</v>
      </c>
      <c r="L310" s="14">
        <f>[1]!РЕАЛИЗАЦИЯ[[#This Row],[ЖАМИ]]-[1]!РЕАЛИЗАЦИЯ[[#This Row],[ЖАМИ2]]</f>
        <v>2217600</v>
      </c>
      <c r="O310" s="30">
        <v>46072</v>
      </c>
      <c r="P310" s="31" t="s">
        <v>26</v>
      </c>
      <c r="Q310" s="13">
        <v>2009000</v>
      </c>
      <c r="R310" s="13"/>
      <c r="S310" s="13"/>
      <c r="T310" s="32">
        <f>[1]!ПЛАТЕЖИ[[#This Row],[СЎМ]]+([1]!ПЛАТЕЖИ[[#This Row],[ВАЛЮТА]]*[1]!ПЛАТЕЖИ[[#This Row],[КУРС]])</f>
        <v>1000000</v>
      </c>
      <c r="U310" s="31"/>
      <c r="V310" s="31"/>
    </row>
    <row r="311" spans="2:22" x14ac:dyDescent="0.25">
      <c r="B311" s="1">
        <v>46067</v>
      </c>
      <c r="C311" s="2" t="s">
        <v>95</v>
      </c>
      <c r="D311" s="3" t="s">
        <v>1</v>
      </c>
      <c r="E311" s="3" t="s">
        <v>2</v>
      </c>
      <c r="F311" s="4">
        <v>50.6</v>
      </c>
      <c r="G311" s="4">
        <v>20000</v>
      </c>
      <c r="H311" s="5">
        <f>[1]!РЕАЛИЗАЦИЯ[СОНИ]*[1]!РЕАЛИЗАЦИЯ[НАРХИ]</f>
        <v>0</v>
      </c>
      <c r="I311" s="4"/>
      <c r="J311" s="6">
        <v>19000</v>
      </c>
      <c r="K311" s="4">
        <f>[1]!РЕАЛИЗАЦИЯ[[#This Row],[СОНИ]]*[1]!РЕАЛИЗАЦИЯ[[#This Row],[ТАННАРХ]]</f>
        <v>0</v>
      </c>
      <c r="L311" s="7">
        <f>[1]!РЕАЛИЗАЦИЯ[[#This Row],[ЖАМИ]]-[1]!РЕАЛИЗАЦИЯ[[#This Row],[ЖАМИ2]]</f>
        <v>0</v>
      </c>
      <c r="O311" s="27">
        <v>46074</v>
      </c>
      <c r="P311" s="28" t="s">
        <v>98</v>
      </c>
      <c r="Q311" s="6">
        <v>1100000</v>
      </c>
      <c r="R311" s="6"/>
      <c r="S311" s="6"/>
      <c r="T311" s="29">
        <f>[1]!ПЛАТЕЖИ[[#This Row],[СЎМ]]+([1]!ПЛАТЕЖИ[[#This Row],[ВАЛЮТА]]*[1]!ПЛАТЕЖИ[[#This Row],[КУРС]])</f>
        <v>14051590</v>
      </c>
      <c r="U311" s="28"/>
      <c r="V311" s="28"/>
    </row>
    <row r="312" spans="2:22" x14ac:dyDescent="0.25">
      <c r="B312" s="8">
        <v>46067</v>
      </c>
      <c r="C312" s="9" t="s">
        <v>95</v>
      </c>
      <c r="D312" s="10" t="s">
        <v>10</v>
      </c>
      <c r="E312" s="10" t="s">
        <v>2</v>
      </c>
      <c r="F312" s="11">
        <v>49.3</v>
      </c>
      <c r="G312" s="11">
        <v>14000</v>
      </c>
      <c r="H312" s="12">
        <f>[1]!РЕАЛИЗАЦИЯ[СОНИ]*[1]!РЕАЛИЗАЦИЯ[НАРХИ]</f>
        <v>0</v>
      </c>
      <c r="I312" s="11"/>
      <c r="J312" s="13">
        <v>13000</v>
      </c>
      <c r="K312" s="11">
        <f>[1]!РЕАЛИЗАЦИЯ[[#This Row],[СОНИ]]*[1]!РЕАЛИЗАЦИЯ[[#This Row],[ТАННАРХ]]</f>
        <v>0</v>
      </c>
      <c r="L312" s="14">
        <f>[1]!РЕАЛИЗАЦИЯ[[#This Row],[ЖАМИ]]-[1]!РЕАЛИЗАЦИЯ[[#This Row],[ЖАМИ2]]</f>
        <v>0</v>
      </c>
      <c r="O312" s="30">
        <v>46074</v>
      </c>
      <c r="P312" s="31" t="s">
        <v>89</v>
      </c>
      <c r="Q312" s="13">
        <v>14937150</v>
      </c>
      <c r="R312" s="13"/>
      <c r="S312" s="13"/>
      <c r="T312" s="32">
        <f>[1]!ПЛАТЕЖИ[[#This Row],[СЎМ]]+([1]!ПЛАТЕЖИ[[#This Row],[ВАЛЮТА]]*[1]!ПЛАТЕЖИ[[#This Row],[КУРС]])</f>
        <v>1863400</v>
      </c>
      <c r="U312" s="31"/>
      <c r="V312" s="31"/>
    </row>
    <row r="313" spans="2:22" x14ac:dyDescent="0.25">
      <c r="B313" s="1">
        <v>46069</v>
      </c>
      <c r="C313" s="2" t="s">
        <v>153</v>
      </c>
      <c r="D313" s="3" t="s">
        <v>29</v>
      </c>
      <c r="E313" s="3" t="s">
        <v>2</v>
      </c>
      <c r="F313" s="4">
        <v>108.2</v>
      </c>
      <c r="G313" s="4">
        <v>16000</v>
      </c>
      <c r="H313" s="5">
        <f>[1]!РЕАЛИЗАЦИЯ[СОНИ]*[1]!РЕАЛИЗАЦИЯ[НАРХИ]</f>
        <v>1087800</v>
      </c>
      <c r="I313" s="4"/>
      <c r="J313" s="6">
        <v>16000</v>
      </c>
      <c r="K313" s="4">
        <f>[1]!РЕАЛИЗАЦИЯ[[#This Row],[СОНИ]]*[1]!РЕАЛИЗАЦИЯ[[#This Row],[ТАННАРХ]]</f>
        <v>0</v>
      </c>
      <c r="L313" s="7">
        <f>[1]!РЕАЛИЗАЦИЯ[[#This Row],[ЖАМИ]]-[1]!РЕАЛИЗАЦИЯ[[#This Row],[ЖАМИ2]]</f>
        <v>1087800</v>
      </c>
      <c r="O313" s="27">
        <v>46074</v>
      </c>
      <c r="P313" s="28" t="s">
        <v>143</v>
      </c>
      <c r="Q313" s="6">
        <v>3000000</v>
      </c>
      <c r="R313" s="6"/>
      <c r="S313" s="6"/>
      <c r="T313" s="29">
        <f>[1]!ПЛАТЕЖИ[[#This Row],[СЎМ]]+([1]!ПЛАТЕЖИ[[#This Row],[ВАЛЮТА]]*[1]!ПЛАТЕЖИ[[#This Row],[КУРС]])</f>
        <v>2980000</v>
      </c>
      <c r="U313" s="28"/>
      <c r="V313" s="28" t="s">
        <v>275</v>
      </c>
    </row>
    <row r="314" spans="2:22" x14ac:dyDescent="0.25">
      <c r="B314" s="8">
        <v>46069</v>
      </c>
      <c r="C314" s="9" t="s">
        <v>65</v>
      </c>
      <c r="D314" s="10" t="s">
        <v>8</v>
      </c>
      <c r="E314" s="10" t="s">
        <v>2</v>
      </c>
      <c r="F314" s="11">
        <v>1113.4000000000001</v>
      </c>
      <c r="G314" s="11">
        <v>22500</v>
      </c>
      <c r="H314" s="12">
        <f>[1]!РЕАЛИЗАЦИЯ[СОНИ]*[1]!РЕАЛИЗАЦИЯ[НАРХИ]</f>
        <v>1106700</v>
      </c>
      <c r="I314" s="11"/>
      <c r="J314" s="13">
        <v>20000</v>
      </c>
      <c r="K314" s="11">
        <f>[1]!РЕАЛИЗАЦИЯ[[#This Row],[СОНИ]]*[1]!РЕАЛИЗАЦИЯ[[#This Row],[ТАННАРХ]]</f>
        <v>0</v>
      </c>
      <c r="L314" s="14">
        <f>[1]!РЕАЛИЗАЦИЯ[[#This Row],[ЖАМИ]]-[1]!РЕАЛИЗАЦИЯ[[#This Row],[ЖАМИ2]]</f>
        <v>1106700</v>
      </c>
      <c r="O314" s="30">
        <v>46074</v>
      </c>
      <c r="P314" s="31" t="s">
        <v>131</v>
      </c>
      <c r="Q314" s="13">
        <v>500000</v>
      </c>
      <c r="R314" s="13"/>
      <c r="S314" s="13"/>
      <c r="T314" s="32">
        <f>[1]!ПЛАТЕЖИ[[#This Row],[СЎМ]]+([1]!ПЛАТЕЖИ[[#This Row],[ВАЛЮТА]]*[1]!ПЛАТЕЖИ[[#This Row],[КУРС]])</f>
        <v>1855400</v>
      </c>
      <c r="U314" s="31"/>
      <c r="V314" s="31" t="s">
        <v>275</v>
      </c>
    </row>
    <row r="315" spans="2:22" x14ac:dyDescent="0.25">
      <c r="B315" s="1">
        <v>46069</v>
      </c>
      <c r="C315" s="2" t="s">
        <v>147</v>
      </c>
      <c r="D315" s="3" t="s">
        <v>1</v>
      </c>
      <c r="E315" s="3" t="s">
        <v>2</v>
      </c>
      <c r="F315" s="4">
        <v>52</v>
      </c>
      <c r="G315" s="4">
        <v>21000</v>
      </c>
      <c r="H315" s="5">
        <f>[1]!РЕАЛИЗАЦИЯ[СОНИ]*[1]!РЕАЛИЗАЦИЯ[НАРХИ]</f>
        <v>1150800</v>
      </c>
      <c r="I315" s="4"/>
      <c r="J315" s="6">
        <v>19000</v>
      </c>
      <c r="K315" s="4">
        <f>[1]!РЕАЛИЗАЦИЯ[[#This Row],[СОНИ]]*[1]!РЕАЛИЗАЦИЯ[[#This Row],[ТАННАРХ]]</f>
        <v>0</v>
      </c>
      <c r="L315" s="7">
        <f>[1]!РЕАЛИЗАЦИЯ[[#This Row],[ЖАМИ]]-[1]!РЕАЛИЗАЦИЯ[[#This Row],[ЖАМИ2]]</f>
        <v>1150800</v>
      </c>
      <c r="O315" s="27">
        <v>46074</v>
      </c>
      <c r="P315" s="28" t="s">
        <v>65</v>
      </c>
      <c r="Q315" s="6">
        <v>20000000</v>
      </c>
      <c r="R315" s="6"/>
      <c r="S315" s="6"/>
      <c r="T315" s="29">
        <f>[1]!ПЛАТЕЖИ[[#This Row],[СЎМ]]+([1]!ПЛАТЕЖИ[[#This Row],[ВАЛЮТА]]*[1]!ПЛАТЕЖИ[[#This Row],[КУРС]])</f>
        <v>1073400</v>
      </c>
      <c r="U315" s="28"/>
      <c r="V315" s="28" t="s">
        <v>279</v>
      </c>
    </row>
    <row r="316" spans="2:22" x14ac:dyDescent="0.25">
      <c r="B316" s="8">
        <v>46069</v>
      </c>
      <c r="C316" s="9" t="s">
        <v>15</v>
      </c>
      <c r="D316" s="10" t="s">
        <v>16</v>
      </c>
      <c r="E316" s="10" t="s">
        <v>2</v>
      </c>
      <c r="F316" s="11">
        <v>216.8</v>
      </c>
      <c r="G316" s="11">
        <v>23000</v>
      </c>
      <c r="H316" s="12">
        <f>[1]!РЕАЛИЗАЦИЯ[СОНИ]*[1]!РЕАЛИЗАЦИЯ[НАРХИ]</f>
        <v>1148700</v>
      </c>
      <c r="I316" s="11"/>
      <c r="J316" s="13">
        <v>21000</v>
      </c>
      <c r="K316" s="11">
        <f>[1]!РЕАЛИЗАЦИЯ[[#This Row],[СОНИ]]*[1]!РЕАЛИЗАЦИЯ[[#This Row],[ТАННАРХ]]</f>
        <v>0</v>
      </c>
      <c r="L316" s="14">
        <f>[1]!РЕАЛИЗАЦИЯ[[#This Row],[ЖАМИ]]-[1]!РЕАЛИЗАЦИЯ[[#This Row],[ЖАМИ2]]</f>
        <v>1148700</v>
      </c>
      <c r="O316" s="30">
        <v>46074</v>
      </c>
      <c r="P316" s="31" t="s">
        <v>9</v>
      </c>
      <c r="Q316" s="13">
        <v>5286490</v>
      </c>
      <c r="R316" s="13"/>
      <c r="S316" s="13"/>
      <c r="T316" s="32">
        <f>[1]!ПЛАТЕЖИ[[#This Row],[СЎМ]]+([1]!ПЛАТЕЖИ[[#This Row],[ВАЛЮТА]]*[1]!ПЛАТЕЖИ[[#This Row],[КУРС]])</f>
        <v>785000</v>
      </c>
      <c r="U316" s="31"/>
      <c r="V316" s="31" t="s">
        <v>279</v>
      </c>
    </row>
    <row r="317" spans="2:22" x14ac:dyDescent="0.25">
      <c r="B317" s="1">
        <v>46070</v>
      </c>
      <c r="C317" s="2" t="s">
        <v>154</v>
      </c>
      <c r="D317" s="3" t="s">
        <v>10</v>
      </c>
      <c r="E317" s="3" t="s">
        <v>2</v>
      </c>
      <c r="F317" s="4">
        <v>52.2</v>
      </c>
      <c r="G317" s="4">
        <v>16000</v>
      </c>
      <c r="H317" s="5">
        <f>[1]!РЕАЛИЗАЦИЯ[СОНИ]*[1]!РЕАЛИЗАЦИЯ[НАРХИ]</f>
        <v>830400</v>
      </c>
      <c r="I317" s="4"/>
      <c r="J317" s="6">
        <v>13000</v>
      </c>
      <c r="K317" s="4">
        <f>[1]!РЕАЛИЗАЦИЯ[[#This Row],[СОНИ]]*[1]!РЕАЛИЗАЦИЯ[[#This Row],[ТАННАРХ]]</f>
        <v>0</v>
      </c>
      <c r="L317" s="7">
        <f>[1]!РЕАЛИЗАЦИЯ[[#This Row],[ЖАМИ]]-[1]!РЕАЛИЗАЦИЯ[[#This Row],[ЖАМИ2]]</f>
        <v>830400</v>
      </c>
      <c r="O317" s="27">
        <v>46074</v>
      </c>
      <c r="P317" s="28" t="s">
        <v>9</v>
      </c>
      <c r="Q317" s="6">
        <v>6072910</v>
      </c>
      <c r="R317" s="6"/>
      <c r="S317" s="6"/>
      <c r="T317" s="29">
        <f>[1]!ПЛАТЕЖИ[[#This Row],[СЎМ]]+([1]!ПЛАТЕЖИ[[#This Row],[ВАЛЮТА]]*[1]!ПЛАТЕЖИ[[#This Row],[КУРС]])</f>
        <v>1767000</v>
      </c>
      <c r="U317" s="28"/>
      <c r="V317" s="28" t="s">
        <v>279</v>
      </c>
    </row>
    <row r="318" spans="2:22" x14ac:dyDescent="0.25">
      <c r="B318" s="8">
        <v>46070</v>
      </c>
      <c r="C318" s="9" t="s">
        <v>155</v>
      </c>
      <c r="D318" s="10" t="s">
        <v>1</v>
      </c>
      <c r="E318" s="10" t="s">
        <v>2</v>
      </c>
      <c r="F318" s="11">
        <v>96.7</v>
      </c>
      <c r="G318" s="11">
        <v>20000</v>
      </c>
      <c r="H318" s="12">
        <f>[1]!РЕАЛИЗАЦИЯ[СОНИ]*[1]!РЕАЛИЗАЦИЯ[НАРХИ]</f>
        <v>4279800</v>
      </c>
      <c r="I318" s="11"/>
      <c r="J318" s="13">
        <v>19000</v>
      </c>
      <c r="K318" s="11">
        <f>[1]!РЕАЛИЗАЦИЯ[[#This Row],[СОНИ]]*[1]!РЕАЛИЗАЦИЯ[[#This Row],[ТАННАРХ]]</f>
        <v>0</v>
      </c>
      <c r="L318" s="14">
        <f>[1]!РЕАЛИЗАЦИЯ[[#This Row],[ЖАМИ]]-[1]!РЕАЛИЗАЦИЯ[[#This Row],[ЖАМИ2]]</f>
        <v>4279800</v>
      </c>
      <c r="O318" s="30">
        <v>46074</v>
      </c>
      <c r="P318" s="31" t="s">
        <v>9</v>
      </c>
      <c r="Q318" s="13">
        <v>3325580</v>
      </c>
      <c r="R318" s="13"/>
      <c r="S318" s="13"/>
      <c r="T318" s="32">
        <f>[1]!ПЛАТЕЖИ[[#This Row],[СЎМ]]+([1]!ПЛАТЕЖИ[[#This Row],[ВАЛЮТА]]*[1]!ПЛАТЕЖИ[[#This Row],[КУРС]])</f>
        <v>1100000</v>
      </c>
      <c r="U318" s="31"/>
      <c r="V318" s="31" t="s">
        <v>279</v>
      </c>
    </row>
    <row r="319" spans="2:22" x14ac:dyDescent="0.25">
      <c r="B319" s="1">
        <v>46070</v>
      </c>
      <c r="C319" s="2" t="s">
        <v>19</v>
      </c>
      <c r="D319" s="3" t="s">
        <v>10</v>
      </c>
      <c r="E319" s="3" t="s">
        <v>2</v>
      </c>
      <c r="F319" s="4">
        <v>49.4</v>
      </c>
      <c r="G319" s="4">
        <v>15000</v>
      </c>
      <c r="H319" s="5">
        <f>[1]!РЕАЛИЗАЦИЯ[СОНИ]*[1]!РЕАЛИЗАЦИЯ[НАРХИ]</f>
        <v>970200</v>
      </c>
      <c r="I319" s="4"/>
      <c r="J319" s="6">
        <v>13000</v>
      </c>
      <c r="K319" s="4">
        <f>[1]!РЕАЛИЗАЦИЯ[[#This Row],[СОНИ]]*[1]!РЕАЛИЗАЦИЯ[[#This Row],[ТАННАРХ]]</f>
        <v>0</v>
      </c>
      <c r="L319" s="7">
        <f>[1]!РЕАЛИЗАЦИЯ[[#This Row],[ЖАМИ]]-[1]!РЕАЛИЗАЦИЯ[[#This Row],[ЖАМИ2]]</f>
        <v>970200</v>
      </c>
      <c r="O319" s="27">
        <v>46074</v>
      </c>
      <c r="P319" s="28" t="s">
        <v>139</v>
      </c>
      <c r="Q319" s="6">
        <v>1003800</v>
      </c>
      <c r="R319" s="6"/>
      <c r="S319" s="6"/>
      <c r="T319" s="29">
        <f>[1]!ПЛАТЕЖИ[[#This Row],[СЎМ]]+([1]!ПЛАТЕЖИ[[#This Row],[ВАЛЮТА]]*[1]!ПЛАТЕЖИ[[#This Row],[КУРС]])</f>
        <v>1197000</v>
      </c>
      <c r="U319" s="28"/>
      <c r="V319" s="28" t="s">
        <v>275</v>
      </c>
    </row>
    <row r="320" spans="2:22" x14ac:dyDescent="0.25">
      <c r="B320" s="8">
        <v>46070</v>
      </c>
      <c r="C320" s="9" t="s">
        <v>156</v>
      </c>
      <c r="D320" s="10" t="s">
        <v>1</v>
      </c>
      <c r="E320" s="10" t="s">
        <v>2</v>
      </c>
      <c r="F320" s="11">
        <v>103</v>
      </c>
      <c r="G320" s="11">
        <v>21000</v>
      </c>
      <c r="H320" s="12">
        <f>[1]!РЕАЛИЗАЦИЯ[СОНИ]*[1]!РЕАЛИЗАЦИЯ[НАРХИ]</f>
        <v>9372800</v>
      </c>
      <c r="I320" s="11"/>
      <c r="J320" s="13">
        <v>19000</v>
      </c>
      <c r="K320" s="11">
        <f>[1]!РЕАЛИЗАЦИЯ[[#This Row],[СОНИ]]*[1]!РЕАЛИЗАЦИЯ[[#This Row],[ТАННАРХ]]</f>
        <v>0</v>
      </c>
      <c r="L320" s="14">
        <f>[1]!РЕАЛИЗАЦИЯ[[#This Row],[ЖАМИ]]-[1]!РЕАЛИЗАЦИЯ[[#This Row],[ЖАМИ2]]</f>
        <v>9372800</v>
      </c>
      <c r="O320" s="30">
        <v>46074</v>
      </c>
      <c r="P320" s="31" t="s">
        <v>219</v>
      </c>
      <c r="Q320" s="13">
        <v>1406300</v>
      </c>
      <c r="R320" s="13"/>
      <c r="S320" s="13"/>
      <c r="T320" s="32">
        <f>[1]!ПЛАТЕЖИ[[#This Row],[СЎМ]]+([1]!ПЛАТЕЖИ[[#This Row],[ВАЛЮТА]]*[1]!ПЛАТЕЖИ[[#This Row],[КУРС]])</f>
        <v>5000000</v>
      </c>
      <c r="U320" s="31"/>
      <c r="V320" s="31" t="s">
        <v>275</v>
      </c>
    </row>
    <row r="321" spans="2:22" x14ac:dyDescent="0.25">
      <c r="B321" s="1">
        <v>46070</v>
      </c>
      <c r="C321" s="2" t="s">
        <v>156</v>
      </c>
      <c r="D321" s="3" t="s">
        <v>10</v>
      </c>
      <c r="E321" s="3" t="s">
        <v>2</v>
      </c>
      <c r="F321" s="4">
        <v>48.9</v>
      </c>
      <c r="G321" s="4">
        <v>16000</v>
      </c>
      <c r="H321" s="5">
        <f>[1]!РЕАЛИЗАЦИЯ[СОНИ]*[1]!РЕАЛИЗАЦИЯ[НАРХИ]</f>
        <v>6367200</v>
      </c>
      <c r="I321" s="4"/>
      <c r="J321" s="6">
        <v>13000</v>
      </c>
      <c r="K321" s="4">
        <f>[1]!РЕАЛИЗАЦИЯ[[#This Row],[СОНИ]]*[1]!РЕАЛИЗАЦИЯ[[#This Row],[ТАННАРХ]]</f>
        <v>0</v>
      </c>
      <c r="L321" s="7">
        <f>[1]!РЕАЛИЗАЦИЯ[[#This Row],[ЖАМИ]]-[1]!РЕАЛИЗАЦИЯ[[#This Row],[ЖАМИ2]]</f>
        <v>6367200</v>
      </c>
      <c r="O321" s="27">
        <v>46074</v>
      </c>
      <c r="P321" s="28" t="s">
        <v>112</v>
      </c>
      <c r="Q321" s="6">
        <v>1000000</v>
      </c>
      <c r="R321" s="6"/>
      <c r="S321" s="6"/>
      <c r="T321" s="29">
        <f>[1]!ПЛАТЕЖИ[[#This Row],[СЎМ]]+([1]!ПЛАТЕЖИ[[#This Row],[ВАЛЮТА]]*[1]!ПЛАТЕЖИ[[#This Row],[КУРС]])</f>
        <v>1200000</v>
      </c>
      <c r="U321" s="28"/>
      <c r="V321" s="28" t="s">
        <v>275</v>
      </c>
    </row>
    <row r="322" spans="2:22" x14ac:dyDescent="0.25">
      <c r="B322" s="8">
        <v>46070</v>
      </c>
      <c r="C322" s="9" t="s">
        <v>33</v>
      </c>
      <c r="D322" s="10" t="s">
        <v>10</v>
      </c>
      <c r="E322" s="10" t="s">
        <v>2</v>
      </c>
      <c r="F322" s="11">
        <v>425.6</v>
      </c>
      <c r="G322" s="11">
        <v>14500</v>
      </c>
      <c r="H322" s="12">
        <f>[1]!РЕАЛИЗАЦИЯ[СОНИ]*[1]!РЕАЛИЗАЦИЯ[НАРХИ]</f>
        <v>3315900</v>
      </c>
      <c r="I322" s="11"/>
      <c r="J322" s="13">
        <v>13000</v>
      </c>
      <c r="K322" s="11">
        <f>[1]!РЕАЛИЗАЦИЯ[[#This Row],[СОНИ]]*[1]!РЕАЛИЗАЦИЯ[[#This Row],[ТАННАРХ]]</f>
        <v>0</v>
      </c>
      <c r="L322" s="14">
        <f>[1]!РЕАЛИЗАЦИЯ[[#This Row],[ЖАМИ]]-[1]!РЕАЛИЗАЦИЯ[[#This Row],[ЖАМИ2]]</f>
        <v>3315900</v>
      </c>
      <c r="O322" s="30">
        <v>46075</v>
      </c>
      <c r="P322" s="31" t="s">
        <v>156</v>
      </c>
      <c r="Q322" s="13">
        <v>1145000</v>
      </c>
      <c r="R322" s="13"/>
      <c r="S322" s="13"/>
      <c r="T322" s="32">
        <f>[1]!ПЛАТЕЖИ[[#This Row],[СЎМ]]+([1]!ПЛАТЕЖИ[[#This Row],[ВАЛЮТА]]*[1]!ПЛАТЕЖИ[[#This Row],[КУРС]])</f>
        <v>1859600</v>
      </c>
      <c r="U322" s="31"/>
      <c r="V322" s="31"/>
    </row>
    <row r="323" spans="2:22" x14ac:dyDescent="0.25">
      <c r="B323" s="1">
        <v>46070</v>
      </c>
      <c r="C323" s="2" t="s">
        <v>33</v>
      </c>
      <c r="D323" s="3" t="s">
        <v>1</v>
      </c>
      <c r="E323" s="3" t="s">
        <v>2</v>
      </c>
      <c r="F323" s="4">
        <v>249.8</v>
      </c>
      <c r="G323" s="4">
        <v>20500</v>
      </c>
      <c r="H323" s="5">
        <f>[1]!РЕАЛИЗАЦИЯ[СОНИ]*[1]!РЕАЛИЗАЦИЯ[НАРХИ]</f>
        <v>920000</v>
      </c>
      <c r="I323" s="4"/>
      <c r="J323" s="6">
        <v>19000</v>
      </c>
      <c r="K323" s="4">
        <f>[1]!РЕАЛИЗАЦИЯ[[#This Row],[СОНИ]]*[1]!РЕАЛИЗАЦИЯ[[#This Row],[ТАННАРХ]]</f>
        <v>0</v>
      </c>
      <c r="L323" s="7">
        <f>[1]!РЕАЛИЗАЦИЯ[[#This Row],[ЖАМИ]]-[1]!РЕАЛИЗАЦИЯ[[#This Row],[ЖАМИ2]]</f>
        <v>920000</v>
      </c>
      <c r="O323" s="27">
        <v>46075</v>
      </c>
      <c r="P323" s="28" t="s">
        <v>163</v>
      </c>
      <c r="Q323" s="6">
        <v>1040000</v>
      </c>
      <c r="R323" s="6"/>
      <c r="S323" s="6"/>
      <c r="T323" s="29">
        <f>[1]!ПЛАТЕЖИ[[#This Row],[СЎМ]]+([1]!ПЛАТЕЖИ[[#This Row],[ВАЛЮТА]]*[1]!ПЛАТЕЖИ[[#This Row],[КУРС]])</f>
        <v>1575000</v>
      </c>
      <c r="U323" s="28"/>
      <c r="V323" s="28"/>
    </row>
    <row r="324" spans="2:22" x14ac:dyDescent="0.25">
      <c r="B324" s="8">
        <v>46071</v>
      </c>
      <c r="C324" s="9" t="s">
        <v>12</v>
      </c>
      <c r="D324" s="10" t="s">
        <v>16</v>
      </c>
      <c r="E324" s="10" t="s">
        <v>2</v>
      </c>
      <c r="F324" s="11">
        <v>2074.8000000000002</v>
      </c>
      <c r="G324" s="11">
        <v>24000</v>
      </c>
      <c r="H324" s="12">
        <f>[1]!РЕАЛИЗАЦИЯ[СОНИ]*[1]!РЕАЛИЗАЦИЯ[НАРХИ]</f>
        <v>1096200</v>
      </c>
      <c r="I324" s="11">
        <v>6</v>
      </c>
      <c r="J324" s="13">
        <v>20000</v>
      </c>
      <c r="K324" s="11">
        <f>[1]!РЕАЛИЗАЦИЯ[[#This Row],[СОНИ]]*[1]!РЕАЛИЗАЦИЯ[[#This Row],[ТАННАРХ]]</f>
        <v>0</v>
      </c>
      <c r="L324" s="14">
        <f>[1]!РЕАЛИЗАЦИЯ[[#This Row],[ЖАМИ]]-[1]!РЕАЛИЗАЦИЯ[[#This Row],[ЖАМИ2]]</f>
        <v>1096200</v>
      </c>
      <c r="O324" s="30">
        <v>46075</v>
      </c>
      <c r="P324" s="31" t="s">
        <v>0</v>
      </c>
      <c r="Q324" s="13">
        <v>1056300</v>
      </c>
      <c r="R324" s="13"/>
      <c r="S324" s="13"/>
      <c r="T324" s="32">
        <f>[1]!ПЛАТЕЖИ[[#This Row],[СЎМ]]+([1]!ПЛАТЕЖИ[[#This Row],[ВАЛЮТА]]*[1]!ПЛАТЕЖИ[[#This Row],[КУРС]])</f>
        <v>959700</v>
      </c>
      <c r="U324" s="31"/>
      <c r="V324" s="31"/>
    </row>
    <row r="325" spans="2:22" x14ac:dyDescent="0.25">
      <c r="B325" s="1">
        <v>46071</v>
      </c>
      <c r="C325" s="2" t="s">
        <v>157</v>
      </c>
      <c r="D325" s="3" t="s">
        <v>1</v>
      </c>
      <c r="E325" s="3" t="s">
        <v>2</v>
      </c>
      <c r="F325" s="4">
        <v>50.3</v>
      </c>
      <c r="G325" s="4">
        <v>21000</v>
      </c>
      <c r="H325" s="5">
        <f>[1]!РЕАЛИЗАЦИЯ[СОНИ]*[1]!РЕАЛИЗАЦИЯ[НАРХИ]</f>
        <v>3116400</v>
      </c>
      <c r="I325" s="4"/>
      <c r="J325" s="6">
        <v>19000</v>
      </c>
      <c r="K325" s="4">
        <f>[1]!РЕАЛИЗАЦИЯ[[#This Row],[СОНИ]]*[1]!РЕАЛИЗАЦИЯ[[#This Row],[ТАННАРХ]]</f>
        <v>0</v>
      </c>
      <c r="L325" s="7">
        <f>[1]!РЕАЛИЗАЦИЯ[[#This Row],[ЖАМИ]]-[1]!РЕАЛИЗАЦИЯ[[#This Row],[ЖАМИ2]]</f>
        <v>3116400</v>
      </c>
      <c r="O325" s="27">
        <v>46075</v>
      </c>
      <c r="P325" s="28" t="s">
        <v>117</v>
      </c>
      <c r="Q325" s="6">
        <v>1500000</v>
      </c>
      <c r="R325" s="6"/>
      <c r="S325" s="6"/>
      <c r="T325" s="29">
        <f>[1]!ПЛАТЕЖИ[[#This Row],[СЎМ]]+([1]!ПЛАТЕЖИ[[#This Row],[ВАЛЮТА]]*[1]!ПЛАТЕЖИ[[#This Row],[КУРС]])</f>
        <v>2270000</v>
      </c>
      <c r="U325" s="28"/>
      <c r="V325" s="28" t="s">
        <v>279</v>
      </c>
    </row>
    <row r="326" spans="2:22" x14ac:dyDescent="0.25">
      <c r="B326" s="8">
        <v>46072</v>
      </c>
      <c r="C326" s="9" t="s">
        <v>158</v>
      </c>
      <c r="D326" s="10" t="s">
        <v>1</v>
      </c>
      <c r="E326" s="10" t="s">
        <v>2</v>
      </c>
      <c r="F326" s="11">
        <v>390.6</v>
      </c>
      <c r="G326" s="11">
        <v>19500</v>
      </c>
      <c r="H326" s="12">
        <f>[1]!РЕАЛИЗАЦИЯ[СОНИ]*[1]!РЕАЛИЗАЦИЯ[НАРХИ]</f>
        <v>1950900.0000000002</v>
      </c>
      <c r="I326" s="11"/>
      <c r="J326" s="13">
        <v>19000</v>
      </c>
      <c r="K326" s="11">
        <f>[1]!РЕАЛИЗАЦИЯ[[#This Row],[СОНИ]]*[1]!РЕАЛИЗАЦИЯ[[#This Row],[ТАННАРХ]]</f>
        <v>0</v>
      </c>
      <c r="L326" s="14">
        <f>[1]!РЕАЛИЗАЦИЯ[[#This Row],[ЖАМИ]]-[1]!РЕАЛИЗАЦИЯ[[#This Row],[ЖАМИ2]]</f>
        <v>1950900.0000000002</v>
      </c>
      <c r="O326" s="30">
        <v>46075</v>
      </c>
      <c r="P326" s="31" t="s">
        <v>61</v>
      </c>
      <c r="Q326" s="13">
        <v>15000000</v>
      </c>
      <c r="R326" s="13"/>
      <c r="S326" s="13"/>
      <c r="T326" s="32">
        <f>[1]!ПЛАТЕЖИ[[#This Row],[СЎМ]]+([1]!ПЛАТЕЖИ[[#This Row],[ВАЛЮТА]]*[1]!ПЛАТЕЖИ[[#This Row],[КУРС]])</f>
        <v>500000</v>
      </c>
      <c r="U326" s="31"/>
      <c r="V326" s="31" t="s">
        <v>279</v>
      </c>
    </row>
    <row r="327" spans="2:22" x14ac:dyDescent="0.25">
      <c r="B327" s="1">
        <v>46072</v>
      </c>
      <c r="C327" s="2" t="s">
        <v>26</v>
      </c>
      <c r="D327" s="3" t="s">
        <v>10</v>
      </c>
      <c r="E327" s="3" t="s">
        <v>2</v>
      </c>
      <c r="F327" s="4">
        <v>143.5</v>
      </c>
      <c r="G327" s="4">
        <v>14000</v>
      </c>
      <c r="H327" s="5">
        <f>[1]!РЕАЛИЗАЦИЯ[СОНИ]*[1]!РЕАЛИЗАЦИЯ[НАРХИ]</f>
        <v>2890500</v>
      </c>
      <c r="I327" s="4"/>
      <c r="J327" s="6">
        <v>13000</v>
      </c>
      <c r="K327" s="4">
        <f>[1]!РЕАЛИЗАЦИЯ[[#This Row],[СОНИ]]*[1]!РЕАЛИЗАЦИЯ[[#This Row],[ТАННАРХ]]</f>
        <v>340402500</v>
      </c>
      <c r="L327" s="7">
        <f>[1]!РЕАЛИЗАЦИЯ[[#This Row],[ЖАМИ]]-[1]!РЕАЛИЗАЦИЯ[[#This Row],[ЖАМИ2]]</f>
        <v>2890377</v>
      </c>
      <c r="O327" s="27">
        <v>46077</v>
      </c>
      <c r="P327" s="28" t="s">
        <v>23</v>
      </c>
      <c r="Q327" s="6">
        <v>1190000</v>
      </c>
      <c r="R327" s="6"/>
      <c r="S327" s="6"/>
      <c r="T327" s="29">
        <f>[1]!ПЛАТЕЖИ[[#This Row],[СЎМ]]+([1]!ПЛАТЕЖИ[[#This Row],[ВАЛЮТА]]*[1]!ПЛАТЕЖИ[[#This Row],[КУРС]])</f>
        <v>1792150</v>
      </c>
      <c r="U327" s="28"/>
      <c r="V327" s="28"/>
    </row>
    <row r="328" spans="2:22" x14ac:dyDescent="0.25">
      <c r="B328" s="8">
        <v>46072</v>
      </c>
      <c r="C328" s="9" t="s">
        <v>108</v>
      </c>
      <c r="D328" s="10" t="s">
        <v>1</v>
      </c>
      <c r="E328" s="10" t="s">
        <v>2</v>
      </c>
      <c r="F328" s="11">
        <v>49.1</v>
      </c>
      <c r="G328" s="11">
        <v>21000</v>
      </c>
      <c r="H328" s="12">
        <f>[1]!РЕАЛИЗАЦИЯ[СОНИ]*[1]!РЕАЛИЗАЦИЯ[НАРХИ]</f>
        <v>753600</v>
      </c>
      <c r="I328" s="11"/>
      <c r="J328" s="13">
        <v>19000</v>
      </c>
      <c r="K328" s="11">
        <f>[1]!РЕАЛИЗАЦИЯ[[#This Row],[СОНИ]]*[1]!РЕАЛИЗАЦИЯ[[#This Row],[ТАННАРХ]]</f>
        <v>0</v>
      </c>
      <c r="L328" s="14">
        <f>[1]!РЕАЛИЗАЦИЯ[[#This Row],[ЖАМИ]]-[1]!РЕАЛИЗАЦИЯ[[#This Row],[ЖАМИ2]]</f>
        <v>753600</v>
      </c>
      <c r="O328" s="30">
        <v>46077</v>
      </c>
      <c r="P328" s="31" t="s">
        <v>152</v>
      </c>
      <c r="Q328" s="13">
        <v>1029000</v>
      </c>
      <c r="R328" s="13"/>
      <c r="S328" s="13"/>
      <c r="T328" s="32">
        <f>[1]!ПЛАТЕЖИ[[#This Row],[СЎМ]]+([1]!ПЛАТЕЖИ[[#This Row],[ВАЛЮТА]]*[1]!ПЛАТЕЖИ[[#This Row],[КУРС]])</f>
        <v>1135500</v>
      </c>
      <c r="U328" s="31"/>
      <c r="V328" s="31"/>
    </row>
    <row r="329" spans="2:22" x14ac:dyDescent="0.25">
      <c r="B329" s="1">
        <v>46072</v>
      </c>
      <c r="C329" s="2" t="s">
        <v>108</v>
      </c>
      <c r="D329" s="3" t="s">
        <v>10</v>
      </c>
      <c r="E329" s="3" t="s">
        <v>2</v>
      </c>
      <c r="F329" s="4">
        <v>51.6</v>
      </c>
      <c r="G329" s="4">
        <v>16000</v>
      </c>
      <c r="H329" s="5">
        <f>[1]!РЕАЛИЗАЦИЯ[СОНИ]*[1]!РЕАЛИЗАЦИЯ[НАРХИ]</f>
        <v>1389000</v>
      </c>
      <c r="I329" s="4"/>
      <c r="J329" s="6">
        <v>13000</v>
      </c>
      <c r="K329" s="4">
        <f>[1]!РЕАЛИЗАЦИЯ[[#This Row],[СОНИ]]*[1]!РЕАЛИЗАЦИЯ[[#This Row],[ТАННАРХ]]</f>
        <v>0</v>
      </c>
      <c r="L329" s="7">
        <f>[1]!РЕАЛИЗАЦИЯ[[#This Row],[ЖАМИ]]-[1]!РЕАЛИЗАЦИЯ[[#This Row],[ЖАМИ2]]</f>
        <v>1389000</v>
      </c>
      <c r="O329" s="27">
        <v>46077</v>
      </c>
      <c r="P329" s="28" t="s">
        <v>136</v>
      </c>
      <c r="Q329" s="6">
        <v>791700</v>
      </c>
      <c r="R329" s="6"/>
      <c r="S329" s="6"/>
      <c r="T329" s="29">
        <f>[1]!ПЛАТЕЖИ[[#This Row],[СЎМ]]+([1]!ПЛАТЕЖИ[[#This Row],[ВАЛЮТА]]*[1]!ПЛАТЕЖИ[[#This Row],[КУРС]])</f>
        <v>7628850</v>
      </c>
      <c r="U329" s="28"/>
      <c r="V329" s="28"/>
    </row>
    <row r="330" spans="2:22" x14ac:dyDescent="0.25">
      <c r="B330" s="8">
        <v>46072</v>
      </c>
      <c r="C330" s="9" t="s">
        <v>159</v>
      </c>
      <c r="D330" s="10" t="s">
        <v>10</v>
      </c>
      <c r="E330" s="10" t="s">
        <v>2</v>
      </c>
      <c r="F330" s="11">
        <v>46.7</v>
      </c>
      <c r="G330" s="11">
        <v>16000</v>
      </c>
      <c r="H330" s="12">
        <f>[1]!РЕАЛИЗАЦИЯ[СОНИ]*[1]!РЕАЛИЗАЦИЯ[НАРХИ]</f>
        <v>1108000</v>
      </c>
      <c r="I330" s="11"/>
      <c r="J330" s="13">
        <v>13000</v>
      </c>
      <c r="K330" s="11">
        <f>[1]!РЕАЛИЗАЦИЯ[[#This Row],[СОНИ]]*[1]!РЕАЛИЗАЦИЯ[[#This Row],[ТАННАРХ]]</f>
        <v>0</v>
      </c>
      <c r="L330" s="14">
        <f>[1]!РЕАЛИЗАЦИЯ[[#This Row],[ЖАМИ]]-[1]!РЕАЛИЗАЦИЯ[[#This Row],[ЖАМИ2]]</f>
        <v>1108000</v>
      </c>
      <c r="O330" s="30">
        <v>46077</v>
      </c>
      <c r="P330" s="31" t="s">
        <v>60</v>
      </c>
      <c r="Q330" s="13">
        <v>15000000</v>
      </c>
      <c r="R330" s="13"/>
      <c r="S330" s="13"/>
      <c r="T330" s="32">
        <f>[1]!ПЛАТЕЖИ[[#This Row],[СЎМ]]+([1]!ПЛАТЕЖИ[[#This Row],[ВАЛЮТА]]*[1]!ПЛАТЕЖИ[[#This Row],[КУРС]])</f>
        <v>2339100</v>
      </c>
      <c r="U330" s="31"/>
      <c r="V330" s="31"/>
    </row>
    <row r="331" spans="2:22" x14ac:dyDescent="0.25">
      <c r="B331" s="1">
        <v>46072</v>
      </c>
      <c r="C331" s="2" t="s">
        <v>159</v>
      </c>
      <c r="D331" s="3" t="s">
        <v>1</v>
      </c>
      <c r="E331" s="3" t="s">
        <v>2</v>
      </c>
      <c r="F331" s="4">
        <v>99.3</v>
      </c>
      <c r="G331" s="4">
        <v>21000</v>
      </c>
      <c r="H331" s="5">
        <f>[1]!РЕАЛИЗАЦИЯ[СОНИ]*[1]!РЕАЛИЗАЦИЯ[НАРХИ]</f>
        <v>5822250</v>
      </c>
      <c r="I331" s="4"/>
      <c r="J331" s="6">
        <v>19000</v>
      </c>
      <c r="K331" s="4">
        <f>[1]!РЕАЛИЗАЦИЯ[[#This Row],[СОНИ]]*[1]!РЕАЛИЗАЦИЯ[[#This Row],[ТАННАРХ]]</f>
        <v>0</v>
      </c>
      <c r="L331" s="7">
        <f>[1]!РЕАЛИЗАЦИЯ[[#This Row],[ЖАМИ]]-[1]!РЕАЛИЗАЦИЯ[[#This Row],[ЖАМИ2]]</f>
        <v>5822250</v>
      </c>
      <c r="O331" s="27">
        <v>46077</v>
      </c>
      <c r="P331" s="28" t="s">
        <v>137</v>
      </c>
      <c r="Q331" s="6">
        <v>3683000</v>
      </c>
      <c r="R331" s="6"/>
      <c r="S331" s="6"/>
      <c r="T331" s="29">
        <f>[1]!ПЛАТЕЖИ[[#This Row],[СЎМ]]+([1]!ПЛАТЕЖИ[[#This Row],[ВАЛЮТА]]*[1]!ПЛАТЕЖИ[[#This Row],[КУРС]])</f>
        <v>6562000</v>
      </c>
      <c r="U331" s="28"/>
      <c r="V331" s="28" t="s">
        <v>279</v>
      </c>
    </row>
    <row r="332" spans="2:22" x14ac:dyDescent="0.25">
      <c r="B332" s="8">
        <v>46072</v>
      </c>
      <c r="C332" s="9" t="s">
        <v>160</v>
      </c>
      <c r="D332" s="10" t="s">
        <v>1</v>
      </c>
      <c r="E332" s="10" t="s">
        <v>2</v>
      </c>
      <c r="F332" s="11">
        <v>99.5</v>
      </c>
      <c r="G332" s="11">
        <v>21000</v>
      </c>
      <c r="H332" s="12">
        <f>[1]!РЕАЛИЗАЦИЯ[СОНИ]*[1]!РЕАЛИЗАЦИЯ[НАРХИ]</f>
        <v>5717400</v>
      </c>
      <c r="I332" s="11"/>
      <c r="J332" s="13">
        <v>19000</v>
      </c>
      <c r="K332" s="11">
        <f>[1]!РЕАЛИЗАЦИЯ[[#This Row],[СОНИ]]*[1]!РЕАЛИЗАЦИЯ[[#This Row],[ТАННАРХ]]</f>
        <v>0</v>
      </c>
      <c r="L332" s="14">
        <f>[1]!РЕАЛИЗАЦИЯ[[#This Row],[ЖАМИ]]-[1]!РЕАЛИЗАЦИЯ[[#This Row],[ЖАМИ2]]</f>
        <v>5717400</v>
      </c>
      <c r="O332" s="30">
        <v>46077</v>
      </c>
      <c r="P332" s="31" t="s">
        <v>79</v>
      </c>
      <c r="Q332" s="13">
        <v>26497800</v>
      </c>
      <c r="R332" s="13"/>
      <c r="S332" s="13"/>
      <c r="T332" s="32">
        <f>[1]!ПЛАТЕЖИ[[#This Row],[СЎМ]]+([1]!ПЛАТЕЖИ[[#This Row],[ВАЛЮТА]]*[1]!ПЛАТЕЖИ[[#This Row],[КУРС]])</f>
        <v>2115600</v>
      </c>
      <c r="U332" s="31"/>
      <c r="V332" s="31" t="s">
        <v>279</v>
      </c>
    </row>
    <row r="333" spans="2:22" x14ac:dyDescent="0.25">
      <c r="B333" s="1">
        <v>46072</v>
      </c>
      <c r="C333" s="2" t="s">
        <v>33</v>
      </c>
      <c r="D333" s="3" t="s">
        <v>10</v>
      </c>
      <c r="E333" s="3" t="s">
        <v>2</v>
      </c>
      <c r="F333" s="4">
        <v>618.79999999999995</v>
      </c>
      <c r="G333" s="4">
        <v>14500</v>
      </c>
      <c r="H333" s="5">
        <f>[1]!РЕАЛИЗАЦИЯ[СОНИ]*[1]!РЕАЛИЗАЦИЯ[НАРХИ]</f>
        <v>2744000</v>
      </c>
      <c r="I333" s="4"/>
      <c r="J333" s="6">
        <v>13000</v>
      </c>
      <c r="K333" s="4">
        <f>[1]!РЕАЛИЗАЦИЯ[[#This Row],[СОНИ]]*[1]!РЕАЛИЗАЦИЯ[[#This Row],[ТАННАРХ]]</f>
        <v>0</v>
      </c>
      <c r="L333" s="7">
        <f>[1]!РЕАЛИЗАЦИЯ[[#This Row],[ЖАМИ]]-[1]!РЕАЛИЗАЦИЯ[[#This Row],[ЖАМИ2]]</f>
        <v>2744000</v>
      </c>
      <c r="O333" s="27">
        <v>46077</v>
      </c>
      <c r="P333" s="28" t="s">
        <v>7</v>
      </c>
      <c r="Q333" s="6">
        <v>16413800</v>
      </c>
      <c r="R333" s="6"/>
      <c r="S333" s="6"/>
      <c r="T333" s="29">
        <f>[1]!ПЛАТЕЖИ[[#This Row],[СЎМ]]+([1]!ПЛАТЕЖИ[[#This Row],[ВАЛЮТА]]*[1]!ПЛАТЕЖИ[[#This Row],[КУРС]])</f>
        <v>999000</v>
      </c>
      <c r="U333" s="28"/>
      <c r="V333" s="28" t="s">
        <v>279</v>
      </c>
    </row>
    <row r="334" spans="2:22" x14ac:dyDescent="0.25">
      <c r="B334" s="8">
        <v>46072</v>
      </c>
      <c r="C334" s="9" t="s">
        <v>33</v>
      </c>
      <c r="D334" s="10" t="s">
        <v>1</v>
      </c>
      <c r="E334" s="10" t="s">
        <v>2</v>
      </c>
      <c r="F334" s="11">
        <v>196.6</v>
      </c>
      <c r="G334" s="11">
        <v>20500</v>
      </c>
      <c r="H334" s="12">
        <f>[1]!РЕАЛИЗАЦИЯ[СОНИ]*[1]!РЕАЛИЗАЦИЯ[НАРХИ]</f>
        <v>4231500</v>
      </c>
      <c r="I334" s="11"/>
      <c r="J334" s="13">
        <v>19000</v>
      </c>
      <c r="K334" s="11">
        <f>[1]!РЕАЛИЗАЦИЯ[[#This Row],[СОНИ]]*[1]!РЕАЛИЗАЦИЯ[[#This Row],[ТАННАРХ]]</f>
        <v>0</v>
      </c>
      <c r="L334" s="14">
        <f>[1]!РЕАЛИЗАЦИЯ[[#This Row],[ЖАМИ]]-[1]!РЕАЛИЗАЦИЯ[[#This Row],[ЖАМИ2]]</f>
        <v>4231500</v>
      </c>
      <c r="O334" s="30">
        <v>46077</v>
      </c>
      <c r="P334" s="31" t="s">
        <v>23</v>
      </c>
      <c r="Q334" s="13">
        <v>1002000</v>
      </c>
      <c r="R334" s="13"/>
      <c r="S334" s="13"/>
      <c r="T334" s="32">
        <f>[1]!ПЛАТЕЖИ[[#This Row],[СЎМ]]+([1]!ПЛАТЕЖИ[[#This Row],[ВАЛЮТА]]*[1]!ПЛАТЕЖИ[[#This Row],[КУРС]])</f>
        <v>997200</v>
      </c>
      <c r="U334" s="31"/>
      <c r="V334" s="31"/>
    </row>
    <row r="335" spans="2:22" x14ac:dyDescent="0.25">
      <c r="B335" s="1">
        <v>46074</v>
      </c>
      <c r="C335" s="2" t="s">
        <v>15</v>
      </c>
      <c r="D335" s="3" t="s">
        <v>16</v>
      </c>
      <c r="E335" s="3" t="s">
        <v>2</v>
      </c>
      <c r="F335" s="4">
        <v>304</v>
      </c>
      <c r="G335" s="4">
        <v>23000</v>
      </c>
      <c r="H335" s="5">
        <f>[1]!РЕАЛИЗАЦИЯ[СОНИ]*[1]!РЕАЛИЗАЦИЯ[НАРХИ]</f>
        <v>2278400</v>
      </c>
      <c r="I335" s="4"/>
      <c r="J335" s="6">
        <v>21000</v>
      </c>
      <c r="K335" s="4">
        <f>[1]!РЕАЛИЗАЦИЯ[[#This Row],[СОНИ]]*[1]!РЕАЛИЗАЦИЯ[[#This Row],[ТАННАРХ]]</f>
        <v>0</v>
      </c>
      <c r="L335" s="7">
        <f>[1]!РЕАЛИЗАЦИЯ[[#This Row],[ЖАМИ]]-[1]!РЕАЛИЗАЦИЯ[[#This Row],[ЖАМИ2]]</f>
        <v>2278400</v>
      </c>
      <c r="O335" s="27">
        <v>46078</v>
      </c>
      <c r="P335" s="28" t="s">
        <v>112</v>
      </c>
      <c r="Q335" s="6">
        <v>1998200</v>
      </c>
      <c r="R335" s="6"/>
      <c r="S335" s="6"/>
      <c r="T335" s="29">
        <f>[1]!ПЛАТЕЖИ[[#This Row],[СЎМ]]+([1]!ПЛАТЕЖИ[[#This Row],[ВАЛЮТА]]*[1]!ПЛАТЕЖИ[[#This Row],[КУРС]])</f>
        <v>1000000</v>
      </c>
      <c r="U335" s="28"/>
      <c r="V335" s="28" t="s">
        <v>275</v>
      </c>
    </row>
    <row r="336" spans="2:22" x14ac:dyDescent="0.25">
      <c r="B336" s="8">
        <v>46074</v>
      </c>
      <c r="C336" s="9" t="s">
        <v>15</v>
      </c>
      <c r="D336" s="10" t="s">
        <v>29</v>
      </c>
      <c r="E336" s="10" t="s">
        <v>2</v>
      </c>
      <c r="F336" s="11">
        <v>209.9</v>
      </c>
      <c r="G336" s="11">
        <v>19000</v>
      </c>
      <c r="H336" s="12">
        <f>[1]!РЕАЛИЗАЦИЯ[СОНИ]*[1]!РЕАЛИЗАЦИЯ[НАРХИ]</f>
        <v>2238600</v>
      </c>
      <c r="I336" s="11"/>
      <c r="J336" s="13">
        <v>16000</v>
      </c>
      <c r="K336" s="11">
        <f>[1]!РЕАЛИЗАЦИЯ[[#This Row],[СОНИ]]*[1]!РЕАЛИЗАЦИЯ[[#This Row],[ТАННАРХ]]</f>
        <v>0</v>
      </c>
      <c r="L336" s="14">
        <f>[1]!РЕАЛИЗАЦИЯ[[#This Row],[ЖАМИ]]-[1]!РЕАЛИЗАЦИЯ[[#This Row],[ЖАМИ2]]</f>
        <v>2238600</v>
      </c>
      <c r="O336" s="30">
        <v>46078</v>
      </c>
      <c r="P336" s="31" t="s">
        <v>164</v>
      </c>
      <c r="Q336" s="13">
        <v>1000000</v>
      </c>
      <c r="R336" s="13"/>
      <c r="S336" s="13"/>
      <c r="T336" s="32">
        <f>[1]!ПЛАТЕЖИ[[#This Row],[СЎМ]]+([1]!ПЛАТЕЖИ[[#This Row],[ВАЛЮТА]]*[1]!ПЛАТЕЖИ[[#This Row],[КУРС]])</f>
        <v>2667500</v>
      </c>
      <c r="U336" s="31"/>
      <c r="V336" s="31"/>
    </row>
    <row r="337" spans="2:22" x14ac:dyDescent="0.25">
      <c r="B337" s="1">
        <v>46074</v>
      </c>
      <c r="C337" s="2" t="s">
        <v>64</v>
      </c>
      <c r="D337" s="3" t="s">
        <v>1</v>
      </c>
      <c r="E337" s="3" t="s">
        <v>2</v>
      </c>
      <c r="F337" s="4">
        <v>108.1</v>
      </c>
      <c r="G337" s="4">
        <v>21000</v>
      </c>
      <c r="H337" s="5">
        <f>[1]!РЕАЛИЗАЦИЯ[СОНИ]*[1]!РЕАЛИЗАЦИЯ[НАРХИ]</f>
        <v>763200</v>
      </c>
      <c r="I337" s="4"/>
      <c r="J337" s="6">
        <v>19000</v>
      </c>
      <c r="K337" s="4">
        <f>[1]!РЕАЛИЗАЦИЯ[[#This Row],[СОНИ]]*[1]!РЕАЛИЗАЦИЯ[[#This Row],[ТАННАРХ]]</f>
        <v>0</v>
      </c>
      <c r="L337" s="7">
        <f>[1]!РЕАЛИЗАЦИЯ[[#This Row],[ЖАМИ]]-[1]!РЕАЛИЗАЦИЯ[[#This Row],[ЖАМИ2]]</f>
        <v>763200</v>
      </c>
      <c r="O337" s="27">
        <v>46078</v>
      </c>
      <c r="P337" s="28" t="s">
        <v>78</v>
      </c>
      <c r="Q337" s="6">
        <v>8540000</v>
      </c>
      <c r="R337" s="6"/>
      <c r="S337" s="6"/>
      <c r="T337" s="29">
        <f>[1]!ПЛАТЕЖИ[[#This Row],[СЎМ]]+([1]!ПЛАТЕЖИ[[#This Row],[ВАЛЮТА]]*[1]!ПЛАТЕЖИ[[#This Row],[КУРС]])</f>
        <v>10000000</v>
      </c>
      <c r="U337" s="28"/>
      <c r="V337" s="28"/>
    </row>
    <row r="338" spans="2:22" x14ac:dyDescent="0.25">
      <c r="B338" s="8">
        <v>46074</v>
      </c>
      <c r="C338" s="9" t="s">
        <v>161</v>
      </c>
      <c r="D338" s="10" t="s">
        <v>1</v>
      </c>
      <c r="E338" s="10" t="s">
        <v>2</v>
      </c>
      <c r="F338" s="11">
        <v>51.8</v>
      </c>
      <c r="G338" s="11">
        <v>21000</v>
      </c>
      <c r="H338" s="12">
        <f>[1]!РЕАЛИЗАЦИЯ[СОНИ]*[1]!РЕАЛИЗАЦИЯ[НАРХИ]</f>
        <v>865600</v>
      </c>
      <c r="I338" s="11"/>
      <c r="J338" s="13">
        <v>19000</v>
      </c>
      <c r="K338" s="11">
        <f>[1]!РЕАЛИЗАЦИЯ[[#This Row],[СОНИ]]*[1]!РЕАЛИЗАЦИЯ[[#This Row],[ТАННАРХ]]</f>
        <v>0</v>
      </c>
      <c r="L338" s="14">
        <f>[1]!РЕАЛИЗАЦИЯ[[#This Row],[ЖАМИ]]-[1]!РЕАЛИЗАЦИЯ[[#This Row],[ЖАМИ2]]</f>
        <v>865600</v>
      </c>
      <c r="O338" s="30">
        <v>46078</v>
      </c>
      <c r="P338" s="31" t="s">
        <v>39</v>
      </c>
      <c r="Q338" s="13">
        <v>5082000</v>
      </c>
      <c r="R338" s="13"/>
      <c r="S338" s="13"/>
      <c r="T338" s="32">
        <f>[1]!ПЛАТЕЖИ[[#This Row],[СЎМ]]+([1]!ПЛАТЕЖИ[[#This Row],[ВАЛЮТА]]*[1]!ПЛАТЕЖИ[[#This Row],[КУРС]])</f>
        <v>500200</v>
      </c>
      <c r="U338" s="31"/>
      <c r="V338" s="31"/>
    </row>
    <row r="339" spans="2:22" x14ac:dyDescent="0.25">
      <c r="B339" s="1">
        <v>46074</v>
      </c>
      <c r="C339" s="2" t="s">
        <v>162</v>
      </c>
      <c r="D339" s="3" t="s">
        <v>1</v>
      </c>
      <c r="E339" s="3" t="s">
        <v>2</v>
      </c>
      <c r="F339" s="4">
        <v>53.2</v>
      </c>
      <c r="G339" s="4">
        <v>21000</v>
      </c>
      <c r="H339" s="5">
        <f>[1]!РЕАЛИЗАЦИЯ[СОНИ]*[1]!РЕАЛИЗАЦИЯ[НАРХИ]</f>
        <v>1012200.0000000001</v>
      </c>
      <c r="I339" s="4"/>
      <c r="J339" s="6">
        <v>19000</v>
      </c>
      <c r="K339" s="4">
        <f>[1]!РЕАЛИЗАЦИЯ[[#This Row],[СОНИ]]*[1]!РЕАЛИЗАЦИЯ[[#This Row],[ТАННАРХ]]</f>
        <v>0</v>
      </c>
      <c r="L339" s="7">
        <f>[1]!РЕАЛИЗАЦИЯ[[#This Row],[ЖАМИ]]-[1]!РЕАЛИЗАЦИЯ[[#This Row],[ЖАМИ2]]</f>
        <v>1012200.0000000001</v>
      </c>
      <c r="O339" s="27">
        <v>46078</v>
      </c>
      <c r="P339" s="28" t="s">
        <v>48</v>
      </c>
      <c r="Q339" s="6">
        <v>10000000</v>
      </c>
      <c r="R339" s="6"/>
      <c r="S339" s="6"/>
      <c r="T339" s="29">
        <f>[1]!ПЛАТЕЖИ[[#This Row],[СЎМ]]+([1]!ПЛАТЕЖИ[[#This Row],[ВАЛЮТА]]*[1]!ПЛАТЕЖИ[[#This Row],[КУРС]])</f>
        <v>616000</v>
      </c>
      <c r="U339" s="28"/>
      <c r="V339" s="28"/>
    </row>
    <row r="340" spans="2:22" x14ac:dyDescent="0.25">
      <c r="B340" s="8">
        <v>46074</v>
      </c>
      <c r="C340" s="9" t="s">
        <v>89</v>
      </c>
      <c r="D340" s="10" t="s">
        <v>10</v>
      </c>
      <c r="E340" s="10" t="s">
        <v>2</v>
      </c>
      <c r="F340" s="11">
        <v>1918.9</v>
      </c>
      <c r="G340" s="11">
        <v>13000</v>
      </c>
      <c r="H340" s="12">
        <f>[1]!РЕАЛИЗАЦИЯ[СОНИ]*[1]!РЕАЛИЗАЦИЯ[НАРХИ]</f>
        <v>-982799.99999999988</v>
      </c>
      <c r="I340" s="11"/>
      <c r="J340" s="13">
        <v>13000</v>
      </c>
      <c r="K340" s="11">
        <f>[1]!РЕАЛИЗАЦИЯ[[#This Row],[СОНИ]]*[1]!РЕАЛИЗАЦИЯ[[#This Row],[ТАННАРХ]]</f>
        <v>0</v>
      </c>
      <c r="L340" s="14">
        <f>[1]!РЕАЛИЗАЦИЯ[[#This Row],[ЖАМИ]]-[1]!РЕАЛИЗАЦИЯ[[#This Row],[ЖАМИ2]]</f>
        <v>-982799.99999999988</v>
      </c>
      <c r="O340" s="30">
        <v>46079</v>
      </c>
      <c r="P340" s="31" t="s">
        <v>63</v>
      </c>
      <c r="Q340" s="13">
        <v>1073100</v>
      </c>
      <c r="R340" s="13"/>
      <c r="S340" s="13"/>
      <c r="T340" s="32">
        <f>[1]!ПЛАТЕЖИ[[#This Row],[СЎМ]]+([1]!ПЛАТЕЖИ[[#This Row],[ВАЛЮТА]]*[1]!ПЛАТЕЖИ[[#This Row],[КУРС]])</f>
        <v>2230000</v>
      </c>
      <c r="U340" s="31"/>
      <c r="V340" s="31"/>
    </row>
    <row r="341" spans="2:22" x14ac:dyDescent="0.25">
      <c r="B341" s="1">
        <v>46075</v>
      </c>
      <c r="C341" s="2" t="s">
        <v>163</v>
      </c>
      <c r="D341" s="3" t="s">
        <v>29</v>
      </c>
      <c r="E341" s="3" t="s">
        <v>2</v>
      </c>
      <c r="F341" s="4">
        <v>65</v>
      </c>
      <c r="G341" s="4">
        <v>16000</v>
      </c>
      <c r="H341" s="5">
        <f>[1]!РЕАЛИЗАЦИЯ[СОНИ]*[1]!РЕАЛИЗАЦИЯ[НАРХИ]</f>
        <v>0</v>
      </c>
      <c r="I341" s="4"/>
      <c r="J341" s="6">
        <v>16000</v>
      </c>
      <c r="K341" s="4">
        <f>[1]!РЕАЛИЗАЦИЯ[[#This Row],[СОНИ]]*[1]!РЕАЛИЗАЦИЯ[[#This Row],[ТАННАРХ]]</f>
        <v>0</v>
      </c>
      <c r="L341" s="7">
        <f>[1]!РЕАЛИЗАЦИЯ[[#This Row],[ЖАМИ]]-[1]!РЕАЛИЗАЦИЯ[[#This Row],[ЖАМИ2]]</f>
        <v>0</v>
      </c>
      <c r="O341" s="27">
        <v>46079</v>
      </c>
      <c r="P341" s="28" t="s">
        <v>117</v>
      </c>
      <c r="Q341" s="6">
        <v>1000000</v>
      </c>
      <c r="R341" s="6"/>
      <c r="S341" s="6"/>
      <c r="T341" s="29">
        <f>[1]!ПЛАТЕЖИ[[#This Row],[СЎМ]]+([1]!ПЛАТЕЖИ[[#This Row],[ВАЛЮТА]]*[1]!ПЛАТЕЖИ[[#This Row],[КУРС]])</f>
        <v>2469600</v>
      </c>
      <c r="U341" s="28"/>
      <c r="V341" s="28" t="s">
        <v>279</v>
      </c>
    </row>
    <row r="342" spans="2:22" x14ac:dyDescent="0.25">
      <c r="B342" s="8">
        <v>46075</v>
      </c>
      <c r="C342" s="9" t="s">
        <v>141</v>
      </c>
      <c r="D342" s="10" t="s">
        <v>1</v>
      </c>
      <c r="E342" s="10" t="s">
        <v>2</v>
      </c>
      <c r="F342" s="11">
        <v>108.9</v>
      </c>
      <c r="G342" s="11">
        <v>20000</v>
      </c>
      <c r="H342" s="12">
        <f>[1]!РЕАЛИЗАЦИЯ[СОНИ]*[1]!РЕАЛИЗАЦИЯ[НАРХИ]</f>
        <v>1230000</v>
      </c>
      <c r="I342" s="11"/>
      <c r="J342" s="13">
        <v>19000</v>
      </c>
      <c r="K342" s="11">
        <f>[1]!РЕАЛИЗАЦИЯ[[#This Row],[СОНИ]]*[1]!РЕАЛИЗАЦИЯ[[#This Row],[ТАННАРХ]]</f>
        <v>68080500</v>
      </c>
      <c r="L342" s="14">
        <f>[1]!РЕАЛИЗАЦИЯ[[#This Row],[ЖАМИ]]-[1]!РЕАЛИЗАЦИЯ[[#This Row],[ЖАМИ2]]</f>
        <v>1229938.5</v>
      </c>
      <c r="O342" s="30">
        <v>46079</v>
      </c>
      <c r="P342" s="31" t="s">
        <v>15</v>
      </c>
      <c r="Q342" s="13">
        <v>57918200</v>
      </c>
      <c r="R342" s="13"/>
      <c r="S342" s="13"/>
      <c r="T342" s="32">
        <f>[1]!ПЛАТЕЖИ[[#This Row],[СЎМ]]+([1]!ПЛАТЕЖИ[[#This Row],[ВАЛЮТА]]*[1]!ПЛАТЕЖИ[[#This Row],[КУРС]])</f>
        <v>9005500</v>
      </c>
      <c r="U342" s="31"/>
      <c r="V342" s="31" t="s">
        <v>279</v>
      </c>
    </row>
    <row r="343" spans="2:22" x14ac:dyDescent="0.25">
      <c r="B343" s="1">
        <v>46075</v>
      </c>
      <c r="C343" s="2" t="s">
        <v>164</v>
      </c>
      <c r="D343" s="3" t="s">
        <v>1</v>
      </c>
      <c r="E343" s="3" t="s">
        <v>2</v>
      </c>
      <c r="F343" s="4">
        <v>146.5</v>
      </c>
      <c r="G343" s="4">
        <v>20000</v>
      </c>
      <c r="H343" s="5">
        <f>[1]!РЕАЛИЗАЦИЯ[СОНИ]*[1]!РЕАЛИЗАЦИЯ[НАРХИ]</f>
        <v>4812600</v>
      </c>
      <c r="I343" s="4"/>
      <c r="J343" s="6">
        <v>19000</v>
      </c>
      <c r="K343" s="4">
        <f>[1]!РЕАЛИЗАЦИЯ[[#This Row],[СОНИ]]*[1]!РЕАЛИЗАЦИЯ[[#This Row],[ТАННАРХ]]</f>
        <v>0</v>
      </c>
      <c r="L343" s="7">
        <f>[1]!РЕАЛИЗАЦИЯ[[#This Row],[ЖАМИ]]-[1]!РЕАЛИЗАЦИЯ[[#This Row],[ЖАМИ2]]</f>
        <v>4812600</v>
      </c>
      <c r="O343" s="27">
        <v>46079</v>
      </c>
      <c r="P343" s="28" t="s">
        <v>12</v>
      </c>
      <c r="Q343" s="6">
        <v>48472800</v>
      </c>
      <c r="R343" s="6"/>
      <c r="S343" s="6"/>
      <c r="T343" s="29">
        <f>[1]!ПЛАТЕЖИ[[#This Row],[СЎМ]]+([1]!ПЛАТЕЖИ[[#This Row],[ВАЛЮТА]]*[1]!ПЛАТЕЖИ[[#This Row],[КУРС]])</f>
        <v>2478000</v>
      </c>
      <c r="U343" s="28"/>
      <c r="V343" s="28" t="s">
        <v>279</v>
      </c>
    </row>
    <row r="344" spans="2:22" x14ac:dyDescent="0.25">
      <c r="B344" s="8">
        <v>46075</v>
      </c>
      <c r="C344" s="9" t="s">
        <v>164</v>
      </c>
      <c r="D344" s="10" t="s">
        <v>10</v>
      </c>
      <c r="E344" s="10" t="s">
        <v>2</v>
      </c>
      <c r="F344" s="11">
        <v>46.7</v>
      </c>
      <c r="G344" s="11">
        <v>15000</v>
      </c>
      <c r="H344" s="12">
        <f>[1]!РЕАЛИЗАЦИЯ[СОНИ]*[1]!РЕАЛИЗАЦИЯ[НАРХИ]</f>
        <v>4104750</v>
      </c>
      <c r="I344" s="11"/>
      <c r="J344" s="13">
        <v>13000</v>
      </c>
      <c r="K344" s="11">
        <f>[1]!РЕАЛИЗАЦИЯ[[#This Row],[СОНИ]]*[1]!РЕАЛИЗАЦИЯ[[#This Row],[ТАННАРХ]]</f>
        <v>0</v>
      </c>
      <c r="L344" s="14">
        <f>[1]!РЕАЛИЗАЦИЯ[[#This Row],[ЖАМИ]]-[1]!РЕАЛИЗАЦИЯ[[#This Row],[ЖАМИ2]]</f>
        <v>4104750</v>
      </c>
      <c r="O344" s="30">
        <v>46079</v>
      </c>
      <c r="P344" s="31" t="s">
        <v>22</v>
      </c>
      <c r="Q344" s="13">
        <v>897600</v>
      </c>
      <c r="R344" s="13"/>
      <c r="S344" s="13"/>
      <c r="T344" s="32">
        <f>[1]!ПЛАТЕЖИ[[#This Row],[СЎМ]]+([1]!ПЛАТЕЖИ[[#This Row],[ВАЛЮТА]]*[1]!ПЛАТЕЖИ[[#This Row],[КУРС]])</f>
        <v>3365400</v>
      </c>
      <c r="U344" s="31"/>
      <c r="V344" s="31"/>
    </row>
    <row r="345" spans="2:22" x14ac:dyDescent="0.25">
      <c r="B345" s="1">
        <v>46075</v>
      </c>
      <c r="C345" s="2" t="s">
        <v>78</v>
      </c>
      <c r="D345" s="3" t="s">
        <v>29</v>
      </c>
      <c r="E345" s="3" t="s">
        <v>2</v>
      </c>
      <c r="F345" s="4">
        <v>302.39999999999998</v>
      </c>
      <c r="G345" s="4">
        <v>17500</v>
      </c>
      <c r="H345" s="5">
        <f>[1]!РЕАЛИЗАЦИЯ[СОНИ]*[1]!РЕАЛИЗАЦИЯ[НАРХИ]</f>
        <v>1985200.0000000002</v>
      </c>
      <c r="I345" s="4"/>
      <c r="J345" s="6">
        <v>16000</v>
      </c>
      <c r="K345" s="4">
        <f>[1]!РЕАЛИЗАЦИЯ[[#This Row],[СОНИ]]*[1]!РЕАЛИЗАЦИЯ[[#This Row],[ТАННАРХ]]</f>
        <v>0</v>
      </c>
      <c r="L345" s="7">
        <f>[1]!РЕАЛИЗАЦИЯ[[#This Row],[ЖАМИ]]-[1]!РЕАЛИЗАЦИЯ[[#This Row],[ЖАМИ2]]</f>
        <v>1985200.0000000002</v>
      </c>
      <c r="O345" s="27">
        <v>46079</v>
      </c>
      <c r="P345" s="28" t="s">
        <v>99</v>
      </c>
      <c r="Q345" s="6">
        <v>693000</v>
      </c>
      <c r="R345" s="6"/>
      <c r="S345" s="6"/>
      <c r="T345" s="29">
        <f>[1]!ПЛАТЕЖИ[[#This Row],[СЎМ]]+([1]!ПЛАТЕЖИ[[#This Row],[ВАЛЮТА]]*[1]!ПЛАТЕЖИ[[#This Row],[КУРС]])</f>
        <v>1054200</v>
      </c>
      <c r="U345" s="28"/>
      <c r="V345" s="28"/>
    </row>
    <row r="346" spans="2:22" x14ac:dyDescent="0.25">
      <c r="B346" s="8">
        <v>46076</v>
      </c>
      <c r="C346" s="9" t="s">
        <v>0</v>
      </c>
      <c r="D346" s="10" t="s">
        <v>1</v>
      </c>
      <c r="E346" s="10" t="s">
        <v>2</v>
      </c>
      <c r="F346" s="11">
        <v>50.3</v>
      </c>
      <c r="G346" s="11">
        <v>21000</v>
      </c>
      <c r="H346" s="12">
        <f>[1]!РЕАЛИЗАЦИЯ[СОНИ]*[1]!РЕАЛИЗАЦИЯ[НАРХИ]</f>
        <v>13226600.000000002</v>
      </c>
      <c r="I346" s="11"/>
      <c r="J346" s="13">
        <v>19000</v>
      </c>
      <c r="K346" s="11">
        <f>[1]!РЕАЛИЗАЦИЯ[[#This Row],[СОНИ]]*[1]!РЕАЛИЗАЦИЯ[[#This Row],[ТАННАРХ]]</f>
        <v>0</v>
      </c>
      <c r="L346" s="14">
        <f>[1]!РЕАЛИЗАЦИЯ[[#This Row],[ЖАМИ]]-[1]!РЕАЛИЗАЦИЯ[[#This Row],[ЖАМИ2]]</f>
        <v>13226600.000000002</v>
      </c>
      <c r="O346" s="30">
        <v>46080</v>
      </c>
      <c r="P346" s="31" t="s">
        <v>169</v>
      </c>
      <c r="Q346" s="13">
        <v>4875800</v>
      </c>
      <c r="R346" s="13"/>
      <c r="S346" s="13"/>
      <c r="T346" s="32">
        <f>[1]!ПЛАТЕЖИ[[#This Row],[СЎМ]]+([1]!ПЛАТЕЖИ[[#This Row],[ВАЛЮТА]]*[1]!ПЛАТЕЖИ[[#This Row],[КУРС]])</f>
        <v>474000</v>
      </c>
      <c r="U346" s="31"/>
      <c r="V346" s="31"/>
    </row>
    <row r="347" spans="2:22" x14ac:dyDescent="0.25">
      <c r="B347" s="1">
        <v>46076</v>
      </c>
      <c r="C347" s="2" t="s">
        <v>79</v>
      </c>
      <c r="D347" s="3" t="s">
        <v>29</v>
      </c>
      <c r="E347" s="3" t="s">
        <v>2</v>
      </c>
      <c r="F347" s="4">
        <v>217.3</v>
      </c>
      <c r="G347" s="4">
        <v>18000</v>
      </c>
      <c r="H347" s="5">
        <f>[1]!РЕАЛИЗАЦИЯ[СОНИ]*[1]!РЕАЛИЗАЦИЯ[НАРХИ]</f>
        <v>1068050</v>
      </c>
      <c r="I347" s="4"/>
      <c r="J347" s="6">
        <v>16000</v>
      </c>
      <c r="K347" s="4">
        <f>[1]!РЕАЛИЗАЦИЯ[[#This Row],[СОНИ]]*[1]!РЕАЛИЗАЦИЯ[[#This Row],[ТАННАРХ]]</f>
        <v>0</v>
      </c>
      <c r="L347" s="7">
        <f>[1]!РЕАЛИЗАЦИЯ[[#This Row],[ЖАМИ]]-[1]!РЕАЛИЗАЦИЯ[[#This Row],[ЖАМИ2]]</f>
        <v>1068050</v>
      </c>
      <c r="O347" s="27">
        <v>46080</v>
      </c>
      <c r="P347" s="28" t="s">
        <v>17</v>
      </c>
      <c r="Q347" s="6">
        <v>1905000</v>
      </c>
      <c r="R347" s="6"/>
      <c r="S347" s="6"/>
      <c r="T347" s="29">
        <f>[1]!ПЛАТЕЖИ[[#This Row],[СЎМ]]+([1]!ПЛАТЕЖИ[[#This Row],[ВАЛЮТА]]*[1]!ПЛАТЕЖИ[[#This Row],[КУРС]])</f>
        <v>811200</v>
      </c>
      <c r="U347" s="28"/>
      <c r="V347" s="28" t="s">
        <v>279</v>
      </c>
    </row>
    <row r="348" spans="2:22" x14ac:dyDescent="0.25">
      <c r="B348" s="8">
        <v>46076</v>
      </c>
      <c r="C348" s="9" t="s">
        <v>86</v>
      </c>
      <c r="D348" s="10" t="s">
        <v>1</v>
      </c>
      <c r="E348" s="10" t="s">
        <v>2</v>
      </c>
      <c r="F348" s="11">
        <v>-205.8</v>
      </c>
      <c r="G348" s="11">
        <v>20000</v>
      </c>
      <c r="H348" s="12">
        <f>[1]!РЕАЛИЗАЦИЯ[СОНИ]*[1]!РЕАЛИЗАЦИЯ[НАРХИ]</f>
        <v>778800</v>
      </c>
      <c r="I348" s="11" t="s">
        <v>97</v>
      </c>
      <c r="J348" s="13">
        <v>19000</v>
      </c>
      <c r="K348" s="11">
        <f>[1]!РЕАЛИЗАЦИЯ[[#This Row],[СОНИ]]*[1]!РЕАЛИЗАЦИЯ[[#This Row],[ТАННАРХ]]</f>
        <v>0</v>
      </c>
      <c r="L348" s="14">
        <f>[1]!РЕАЛИЗАЦИЯ[[#This Row],[ЖАМИ]]-[1]!РЕАЛИЗАЦИЯ[[#This Row],[ЖАМИ2]]</f>
        <v>778800</v>
      </c>
      <c r="O348" s="30">
        <v>46080</v>
      </c>
      <c r="P348" s="31" t="s">
        <v>65</v>
      </c>
      <c r="Q348" s="13">
        <v>10000000</v>
      </c>
      <c r="R348" s="13"/>
      <c r="S348" s="13"/>
      <c r="T348" s="32">
        <f>[1]!ПЛАТЕЖИ[[#This Row],[СЎМ]]+([1]!ПЛАТЕЖИ[[#This Row],[ВАЛЮТА]]*[1]!ПЛАТЕЖИ[[#This Row],[КУРС]])</f>
        <v>187500</v>
      </c>
      <c r="U348" s="31"/>
      <c r="V348" s="31" t="s">
        <v>279</v>
      </c>
    </row>
    <row r="349" spans="2:22" x14ac:dyDescent="0.25">
      <c r="B349" s="1">
        <v>46076</v>
      </c>
      <c r="C349" s="2" t="s">
        <v>12</v>
      </c>
      <c r="D349" s="3" t="s">
        <v>16</v>
      </c>
      <c r="E349" s="3" t="s">
        <v>2</v>
      </c>
      <c r="F349" s="4">
        <v>2019.7</v>
      </c>
      <c r="G349" s="4">
        <v>24000</v>
      </c>
      <c r="H349" s="5">
        <f>[1]!РЕАЛИЗАЦИЯ[СОНИ]*[1]!РЕАЛИЗАЦИЯ[НАРХИ]</f>
        <v>1085750</v>
      </c>
      <c r="I349" s="4">
        <v>6</v>
      </c>
      <c r="J349" s="6">
        <v>20000</v>
      </c>
      <c r="K349" s="4">
        <f>[1]!РЕАЛИЗАЦИЯ[[#This Row],[СОНИ]]*[1]!РЕАЛИЗАЦИЯ[[#This Row],[ТАННАРХ]]</f>
        <v>0</v>
      </c>
      <c r="L349" s="7">
        <f>[1]!РЕАЛИЗАЦИЯ[[#This Row],[ЖАМИ]]-[1]!РЕАЛИЗАЦИЯ[[#This Row],[ЖАМИ2]]</f>
        <v>1085750</v>
      </c>
      <c r="O349" s="27">
        <v>46080</v>
      </c>
      <c r="P349" s="28" t="s">
        <v>53</v>
      </c>
      <c r="Q349" s="6">
        <v>20000000</v>
      </c>
      <c r="R349" s="6"/>
      <c r="S349" s="6"/>
      <c r="T349" s="29">
        <f>[1]!ПЛАТЕЖИ[[#This Row],[СЎМ]]+([1]!ПЛАТЕЖИ[[#This Row],[ВАЛЮТА]]*[1]!ПЛАТЕЖИ[[#This Row],[КУРС]])</f>
        <v>746000</v>
      </c>
      <c r="U349" s="28"/>
      <c r="V349" s="28" t="s">
        <v>279</v>
      </c>
    </row>
    <row r="350" spans="2:22" x14ac:dyDescent="0.25">
      <c r="B350" s="8">
        <v>46076</v>
      </c>
      <c r="C350" s="9" t="s">
        <v>23</v>
      </c>
      <c r="D350" s="10" t="s">
        <v>1</v>
      </c>
      <c r="E350" s="10" t="s">
        <v>2</v>
      </c>
      <c r="F350" s="11">
        <v>49.9</v>
      </c>
      <c r="G350" s="11">
        <v>20000</v>
      </c>
      <c r="H350" s="12">
        <f>[1]!РЕАЛИЗАЦИЯ[СОНИ]*[1]!РЕАЛИЗАЦИЯ[НАРХИ]</f>
        <v>966000</v>
      </c>
      <c r="I350" s="11"/>
      <c r="J350" s="13">
        <v>19000</v>
      </c>
      <c r="K350" s="11">
        <f>[1]!РЕАЛИЗАЦИЯ[[#This Row],[СОНИ]]*[1]!РЕАЛИЗАЦИЯ[[#This Row],[ТАННАРХ]]</f>
        <v>0</v>
      </c>
      <c r="L350" s="14">
        <f>[1]!РЕАЛИЗАЦИЯ[[#This Row],[ЖАМИ]]-[1]!РЕАЛИЗАЦИЯ[[#This Row],[ЖАМИ2]]</f>
        <v>966000</v>
      </c>
      <c r="O350" s="30">
        <v>46080</v>
      </c>
      <c r="P350" s="31" t="s">
        <v>53</v>
      </c>
      <c r="Q350" s="13">
        <v>10000000</v>
      </c>
      <c r="R350" s="13"/>
      <c r="S350" s="13"/>
      <c r="T350" s="32">
        <f>[1]!ПЛАТЕЖИ[[#This Row],[СЎМ]]+([1]!ПЛАТЕЖИ[[#This Row],[ВАЛЮТА]]*[1]!ПЛАТЕЖИ[[#This Row],[КУРС]])</f>
        <v>6393000</v>
      </c>
      <c r="U350" s="31"/>
      <c r="V350" s="31" t="s">
        <v>279</v>
      </c>
    </row>
    <row r="351" spans="2:22" x14ac:dyDescent="0.25">
      <c r="B351" s="1">
        <v>46076</v>
      </c>
      <c r="C351" s="2" t="s">
        <v>165</v>
      </c>
      <c r="D351" s="3" t="s">
        <v>1</v>
      </c>
      <c r="E351" s="3" t="s">
        <v>2</v>
      </c>
      <c r="F351" s="4">
        <v>50</v>
      </c>
      <c r="G351" s="4">
        <v>20000</v>
      </c>
      <c r="H351" s="5">
        <f>[1]!РЕАЛИЗАЦИЯ[СОНИ]*[1]!РЕАЛИЗАЦИЯ[НАРХИ]</f>
        <v>1071000</v>
      </c>
      <c r="I351" s="4"/>
      <c r="J351" s="6">
        <v>19000</v>
      </c>
      <c r="K351" s="4">
        <f>[1]!РЕАЛИЗАЦИЯ[[#This Row],[СОНИ]]*[1]!РЕАЛИЗАЦИЯ[[#This Row],[ТАННАРХ]]</f>
        <v>0</v>
      </c>
      <c r="L351" s="7">
        <f>[1]!РЕАЛИЗАЦИЯ[[#This Row],[ЖАМИ]]-[1]!РЕАЛИЗАЦИЯ[[#This Row],[ЖАМИ2]]</f>
        <v>1071000</v>
      </c>
      <c r="O351" s="27">
        <v>46080</v>
      </c>
      <c r="P351" s="28" t="s">
        <v>34</v>
      </c>
      <c r="Q351" s="6">
        <v>6372801</v>
      </c>
      <c r="R351" s="6"/>
      <c r="S351" s="6"/>
      <c r="T351" s="29">
        <f>[1]!ПЛАТЕЖИ[[#This Row],[СЎМ]]+([1]!ПЛАТЕЖИ[[#This Row],[ВАЛЮТА]]*[1]!ПЛАТЕЖИ[[#This Row],[КУРС]])</f>
        <v>1150800</v>
      </c>
      <c r="U351" s="28"/>
      <c r="V351" s="28" t="s">
        <v>279</v>
      </c>
    </row>
    <row r="352" spans="2:22" x14ac:dyDescent="0.25">
      <c r="B352" s="8">
        <v>46077</v>
      </c>
      <c r="C352" s="9" t="s">
        <v>166</v>
      </c>
      <c r="D352" s="10" t="s">
        <v>25</v>
      </c>
      <c r="E352" s="10" t="s">
        <v>2</v>
      </c>
      <c r="F352" s="11">
        <v>451.9</v>
      </c>
      <c r="G352" s="11">
        <v>24500</v>
      </c>
      <c r="H352" s="12">
        <f>[1]!РЕАЛИЗАЦИЯ[СОНИ]*[1]!РЕАЛИЗАЦИЯ[НАРХИ]</f>
        <v>2175600</v>
      </c>
      <c r="I352" s="11"/>
      <c r="J352" s="13">
        <v>23000</v>
      </c>
      <c r="K352" s="11">
        <f>[1]!РЕАЛИЗАЦИЯ[[#This Row],[СОНИ]]*[1]!РЕАЛИЗАЦИЯ[[#This Row],[ТАННАРХ]]</f>
        <v>0</v>
      </c>
      <c r="L352" s="14">
        <f>[1]!РЕАЛИЗАЦИЯ[[#This Row],[ЖАМИ]]-[1]!РЕАЛИЗАЦИЯ[[#This Row],[ЖАМИ2]]</f>
        <v>2175600</v>
      </c>
      <c r="O352" s="30">
        <v>46081</v>
      </c>
      <c r="P352" s="31" t="s">
        <v>221</v>
      </c>
      <c r="Q352" s="13">
        <v>1000600</v>
      </c>
      <c r="R352" s="13"/>
      <c r="S352" s="13"/>
      <c r="T352" s="32">
        <f>[1]!ПЛАТЕЖИ[[#This Row],[СЎМ]]+([1]!ПЛАТЕЖИ[[#This Row],[ВАЛЮТА]]*[1]!ПЛАТЕЖИ[[#This Row],[КУРС]])</f>
        <v>777000</v>
      </c>
      <c r="U352" s="31"/>
      <c r="V352" s="31" t="s">
        <v>279</v>
      </c>
    </row>
    <row r="353" spans="2:22" x14ac:dyDescent="0.25">
      <c r="B353" s="1">
        <v>46077</v>
      </c>
      <c r="C353" s="2" t="s">
        <v>167</v>
      </c>
      <c r="D353" s="3" t="s">
        <v>1</v>
      </c>
      <c r="E353" s="3" t="s">
        <v>2</v>
      </c>
      <c r="F353" s="4">
        <v>46.2</v>
      </c>
      <c r="G353" s="4">
        <v>20500</v>
      </c>
      <c r="H353" s="5">
        <f>[1]!РЕАЛИЗАЦИЯ[СОНИ]*[1]!РЕАЛИЗАЦИЯ[НАРХИ]</f>
        <v>1064700</v>
      </c>
      <c r="I353" s="4" t="s">
        <v>119</v>
      </c>
      <c r="J353" s="6">
        <v>19000</v>
      </c>
      <c r="K353" s="4">
        <f>[1]!РЕАЛИЗАЦИЯ[[#This Row],[СОНИ]]*[1]!РЕАЛИЗАЦИЯ[[#This Row],[ТАННАРХ]]</f>
        <v>0</v>
      </c>
      <c r="L353" s="7">
        <f>[1]!РЕАЛИЗАЦИЯ[[#This Row],[ЖАМИ]]-[1]!РЕАЛИЗАЦИЯ[[#This Row],[ЖАМИ2]]</f>
        <v>1064700</v>
      </c>
      <c r="O353" s="27">
        <v>46080</v>
      </c>
      <c r="P353" s="28" t="s">
        <v>68</v>
      </c>
      <c r="Q353" s="6">
        <v>10000000</v>
      </c>
      <c r="R353" s="6"/>
      <c r="S353" s="6"/>
      <c r="T353" s="29">
        <f>[1]!ПЛАТЕЖИ[[#This Row],[СЎМ]]+([1]!ПЛАТЕЖИ[[#This Row],[ВАЛЮТА]]*[1]!ПЛАТЕЖИ[[#This Row],[КУРС]])</f>
        <v>24243450</v>
      </c>
      <c r="U353" s="28"/>
      <c r="V353" s="28" t="s">
        <v>279</v>
      </c>
    </row>
    <row r="354" spans="2:22" x14ac:dyDescent="0.25">
      <c r="B354" s="8">
        <v>46077</v>
      </c>
      <c r="C354" s="9" t="s">
        <v>19</v>
      </c>
      <c r="D354" s="10" t="s">
        <v>1</v>
      </c>
      <c r="E354" s="10" t="s">
        <v>2</v>
      </c>
      <c r="F354" s="11">
        <v>50.6</v>
      </c>
      <c r="G354" s="11">
        <v>20000</v>
      </c>
      <c r="H354" s="12">
        <f>[1]!РЕАЛИЗАЦИЯ[СОНИ]*[1]!РЕАЛИЗАЦИЯ[НАРХИ]</f>
        <v>1819800</v>
      </c>
      <c r="I354" s="11"/>
      <c r="J354" s="13">
        <v>19000</v>
      </c>
      <c r="K354" s="11">
        <f>[1]!РЕАЛИЗАЦИЯ[[#This Row],[СОНИ]]*[1]!РЕАЛИЗАЦИЯ[[#This Row],[ТАННАРХ]]</f>
        <v>0</v>
      </c>
      <c r="L354" s="14">
        <f>[1]!РЕАЛИЗАЦИЯ[[#This Row],[ЖАМИ]]-[1]!РЕАЛИЗАЦИЯ[[#This Row],[ЖАМИ2]]</f>
        <v>1819800</v>
      </c>
      <c r="O354" s="30">
        <v>46081</v>
      </c>
      <c r="P354" s="31" t="s">
        <v>12</v>
      </c>
      <c r="Q354" s="13">
        <v>47700000</v>
      </c>
      <c r="R354" s="13"/>
      <c r="S354" s="13"/>
      <c r="T354" s="32">
        <f>[1]!ПЛАТЕЖИ[[#This Row],[СЎМ]]+([1]!ПЛАТЕЖИ[[#This Row],[ВАЛЮТА]]*[1]!ПЛАТЕЖИ[[#This Row],[КУРС]])</f>
        <v>1900000</v>
      </c>
      <c r="U354" s="31"/>
      <c r="V354" s="31" t="s">
        <v>279</v>
      </c>
    </row>
    <row r="355" spans="2:22" x14ac:dyDescent="0.25">
      <c r="B355" s="1">
        <v>46077</v>
      </c>
      <c r="C355" s="2" t="s">
        <v>23</v>
      </c>
      <c r="D355" s="3" t="s">
        <v>1</v>
      </c>
      <c r="E355" s="3" t="s">
        <v>2</v>
      </c>
      <c r="F355" s="4">
        <v>59.7</v>
      </c>
      <c r="G355" s="4">
        <v>20000</v>
      </c>
      <c r="H355" s="5">
        <f>[1]!РЕАЛИЗАЦИЯ[СОНИ]*[1]!РЕАЛИЗАЦИЯ[НАРХИ]</f>
        <v>1545600</v>
      </c>
      <c r="I355" s="4"/>
      <c r="J355" s="6">
        <v>19000</v>
      </c>
      <c r="K355" s="4">
        <f>[1]!РЕАЛИЗАЦИЯ[[#This Row],[СОНИ]]*[1]!РЕАЛИЗАЦИЯ[[#This Row],[ТАННАРХ]]</f>
        <v>0</v>
      </c>
      <c r="L355" s="7">
        <f>[1]!РЕАЛИЗАЦИЯ[[#This Row],[ЖАМИ]]-[1]!РЕАЛИЗАЦИЯ[[#This Row],[ЖАМИ2]]</f>
        <v>1545600</v>
      </c>
      <c r="O355" s="27">
        <v>46081</v>
      </c>
      <c r="P355" s="28" t="s">
        <v>145</v>
      </c>
      <c r="Q355" s="6">
        <v>787100</v>
      </c>
      <c r="R355" s="6"/>
      <c r="S355" s="6"/>
      <c r="T355" s="29">
        <f>[1]!ПЛАТЕЖИ[[#This Row],[СЎМ]]+([1]!ПЛАТЕЖИ[[#This Row],[ВАЛЮТА]]*[1]!ПЛАТЕЖИ[[#This Row],[КУРС]])</f>
        <v>500000</v>
      </c>
      <c r="U355" s="28"/>
      <c r="V355" s="28"/>
    </row>
    <row r="356" spans="2:22" x14ac:dyDescent="0.25">
      <c r="B356" s="8">
        <v>46077</v>
      </c>
      <c r="C356" s="9" t="s">
        <v>34</v>
      </c>
      <c r="D356" s="10" t="s">
        <v>1</v>
      </c>
      <c r="E356" s="10" t="s">
        <v>2</v>
      </c>
      <c r="F356" s="11">
        <v>407.5</v>
      </c>
      <c r="G356" s="11">
        <v>21600</v>
      </c>
      <c r="H356" s="12">
        <f>[1]!РЕАЛИЗАЦИЯ[СОНИ]*[1]!РЕАЛИЗАЦИЯ[НАРХИ]</f>
        <v>1155000</v>
      </c>
      <c r="I356" s="11" t="s">
        <v>35</v>
      </c>
      <c r="J356" s="13">
        <v>19000</v>
      </c>
      <c r="K356" s="11">
        <f>[1]!РЕАЛИЗАЦИЯ[[#This Row],[СОНИ]]*[1]!РЕАЛИЗАЦИЯ[[#This Row],[ТАННАРХ]]</f>
        <v>0</v>
      </c>
      <c r="L356" s="14">
        <f>[1]!РЕАЛИЗАЦИЯ[[#This Row],[ЖАМИ]]-[1]!РЕАЛИЗАЦИЯ[[#This Row],[ЖАМИ2]]</f>
        <v>1155000</v>
      </c>
      <c r="O356" s="30">
        <v>46081</v>
      </c>
      <c r="P356" s="31" t="s">
        <v>32</v>
      </c>
      <c r="Q356" s="13">
        <v>1500000</v>
      </c>
      <c r="R356" s="13"/>
      <c r="S356" s="13"/>
      <c r="T356" s="32">
        <f>[1]!ПЛАТЕЖИ[[#This Row],[СЎМ]]+([1]!ПЛАТЕЖИ[[#This Row],[ВАЛЮТА]]*[1]!ПЛАТЕЖИ[[#This Row],[КУРС]])</f>
        <v>4212000</v>
      </c>
      <c r="U356" s="31"/>
      <c r="V356" s="31" t="s">
        <v>275</v>
      </c>
    </row>
    <row r="357" spans="2:22" x14ac:dyDescent="0.25">
      <c r="B357" s="1">
        <v>46077</v>
      </c>
      <c r="C357" s="2" t="s">
        <v>34</v>
      </c>
      <c r="D357" s="3" t="s">
        <v>10</v>
      </c>
      <c r="E357" s="3" t="s">
        <v>2</v>
      </c>
      <c r="F357" s="4">
        <v>197.4</v>
      </c>
      <c r="G357" s="4">
        <v>16450</v>
      </c>
      <c r="H357" s="5">
        <f>[1]!РЕАЛИЗАЦИЯ[СОНИ]*[1]!РЕАЛИЗАЦИЯ[НАРХИ]</f>
        <v>2176200</v>
      </c>
      <c r="I357" s="4" t="s">
        <v>35</v>
      </c>
      <c r="J357" s="6">
        <v>13000</v>
      </c>
      <c r="K357" s="4">
        <f>[1]!РЕАЛИЗАЦИЯ[[#This Row],[СОНИ]]*[1]!РЕАЛИЗАЦИЯ[[#This Row],[ТАННАРХ]]</f>
        <v>0</v>
      </c>
      <c r="L357" s="7">
        <f>[1]!РЕАЛИЗАЦИЯ[[#This Row],[ЖАМИ]]-[1]!РЕАЛИЗАЦИЯ[[#This Row],[ЖАМИ2]]</f>
        <v>2176200</v>
      </c>
      <c r="O357" s="27">
        <v>46081</v>
      </c>
      <c r="P357" s="28" t="s">
        <v>62</v>
      </c>
      <c r="Q357" s="6">
        <v>946000</v>
      </c>
      <c r="R357" s="6"/>
      <c r="S357" s="6"/>
      <c r="T357" s="29">
        <f>[1]!ПЛАТЕЖИ[[#This Row],[СЎМ]]+([1]!ПЛАТЕЖИ[[#This Row],[ВАЛЮТА]]*[1]!ПЛАТЕЖИ[[#This Row],[КУРС]])</f>
        <v>525000</v>
      </c>
      <c r="U357" s="28"/>
      <c r="V357" s="28"/>
    </row>
    <row r="358" spans="2:22" x14ac:dyDescent="0.25">
      <c r="B358" s="8">
        <v>46077</v>
      </c>
      <c r="C358" s="9" t="s">
        <v>168</v>
      </c>
      <c r="D358" s="10" t="s">
        <v>1</v>
      </c>
      <c r="E358" s="10" t="s">
        <v>2</v>
      </c>
      <c r="F358" s="11">
        <v>145.69999999999999</v>
      </c>
      <c r="G358" s="11">
        <v>21000</v>
      </c>
      <c r="H358" s="12">
        <f>[1]!РЕАЛИЗАЦИЯ[СОНИ]*[1]!РЕАЛИЗАЦИЯ[НАРХИ]</f>
        <v>1108800</v>
      </c>
      <c r="I358" s="11"/>
      <c r="J358" s="13">
        <v>19000</v>
      </c>
      <c r="K358" s="11">
        <f>[1]!РЕАЛИЗАЦИЯ[[#This Row],[СОНИ]]*[1]!РЕАЛИЗАЦИЯ[[#This Row],[ТАННАРХ]]</f>
        <v>0</v>
      </c>
      <c r="L358" s="14">
        <f>[1]!РЕАЛИЗАЦИЯ[[#This Row],[ЖАМИ]]-[1]!РЕАЛИЗАЦИЯ[[#This Row],[ЖАМИ2]]</f>
        <v>1108800</v>
      </c>
      <c r="O358" s="30">
        <v>46081</v>
      </c>
      <c r="P358" s="31" t="s">
        <v>166</v>
      </c>
      <c r="Q358" s="13">
        <v>5000000</v>
      </c>
      <c r="R358" s="13"/>
      <c r="S358" s="13"/>
      <c r="T358" s="32">
        <f>[1]!ПЛАТЕЖИ[[#This Row],[СЎМ]]+([1]!ПЛАТЕЖИ[[#This Row],[ВАЛЮТА]]*[1]!ПЛАТЕЖИ[[#This Row],[КУРС]])</f>
        <v>500000</v>
      </c>
      <c r="U358" s="31"/>
      <c r="V358" s="31"/>
    </row>
    <row r="359" spans="2:22" x14ac:dyDescent="0.25">
      <c r="B359" s="1">
        <v>46077</v>
      </c>
      <c r="C359" s="2" t="s">
        <v>168</v>
      </c>
      <c r="D359" s="3" t="s">
        <v>10</v>
      </c>
      <c r="E359" s="3" t="s">
        <v>2</v>
      </c>
      <c r="F359" s="4">
        <v>49.2</v>
      </c>
      <c r="G359" s="4">
        <v>16000</v>
      </c>
      <c r="H359" s="5">
        <f>[1]!РЕАЛИЗАЦИЯ[СОНИ]*[1]!РЕАЛИЗАЦИЯ[НАРХИ]</f>
        <v>1345750</v>
      </c>
      <c r="I359" s="4"/>
      <c r="J359" s="6">
        <v>13000</v>
      </c>
      <c r="K359" s="4">
        <f>[1]!РЕАЛИЗАЦИЯ[[#This Row],[СОНИ]]*[1]!РЕАЛИЗАЦИЯ[[#This Row],[ТАННАРХ]]</f>
        <v>0</v>
      </c>
      <c r="L359" s="7">
        <f>[1]!РЕАЛИЗАЦИЯ[[#This Row],[ЖАМИ]]-[1]!РЕАЛИЗАЦИЯ[[#This Row],[ЖАМИ2]]</f>
        <v>1345750</v>
      </c>
      <c r="O359" s="27">
        <v>46081</v>
      </c>
      <c r="P359" s="28" t="s">
        <v>118</v>
      </c>
      <c r="Q359" s="6">
        <v>2000000</v>
      </c>
      <c r="R359" s="6"/>
      <c r="S359" s="6"/>
      <c r="T359" s="29">
        <f>[1]!ПЛАТЕЖИ[[#This Row],[СЎМ]]+([1]!ПЛАТЕЖИ[[#This Row],[ВАЛЮТА]]*[1]!ПЛАТЕЖИ[[#This Row],[КУРС]])</f>
        <v>500000</v>
      </c>
      <c r="U359" s="28"/>
      <c r="V359" s="28" t="s">
        <v>275</v>
      </c>
    </row>
    <row r="360" spans="2:22" x14ac:dyDescent="0.25">
      <c r="B360" s="8">
        <v>46078</v>
      </c>
      <c r="C360" s="9" t="s">
        <v>63</v>
      </c>
      <c r="D360" s="10" t="s">
        <v>1</v>
      </c>
      <c r="E360" s="10" t="s">
        <v>2</v>
      </c>
      <c r="F360" s="11">
        <v>51.1</v>
      </c>
      <c r="G360" s="11">
        <v>21000</v>
      </c>
      <c r="H360" s="12">
        <f>[1]!РЕАЛИЗАЦИЯ[СОНИ]*[1]!РЕАЛИЗАЦИЯ[НАРХИ]</f>
        <v>3338400</v>
      </c>
      <c r="I360" s="11"/>
      <c r="J360" s="13">
        <v>19000</v>
      </c>
      <c r="K360" s="11">
        <f>[1]!РЕАЛИЗАЦИЯ[[#This Row],[СОНИ]]*[1]!РЕАЛИЗАЦИЯ[[#This Row],[ТАННАРХ]]</f>
        <v>824328000</v>
      </c>
      <c r="L360" s="14">
        <f>[1]!РЕАЛИЗАЦИЯ[[#This Row],[ЖАМИ]]-[1]!РЕАЛИЗАЦИЯ[[#This Row],[ЖАМИ2]]</f>
        <v>3338143.2</v>
      </c>
      <c r="O360" s="30">
        <v>46081</v>
      </c>
      <c r="P360" s="31" t="s">
        <v>292</v>
      </c>
      <c r="Q360" s="13">
        <v>998000</v>
      </c>
      <c r="R360" s="13"/>
      <c r="S360" s="13"/>
      <c r="T360" s="32">
        <f>[1]!ПЛАТЕЖИ[[#This Row],[СЎМ]]+([1]!ПЛАТЕЖИ[[#This Row],[ВАЛЮТА]]*[1]!ПЛАТЕЖИ[[#This Row],[КУРС]])</f>
        <v>1944200</v>
      </c>
      <c r="U360" s="31"/>
      <c r="V360" s="31"/>
    </row>
    <row r="361" spans="2:22" x14ac:dyDescent="0.25">
      <c r="B361" s="1">
        <v>46078</v>
      </c>
      <c r="C361" s="2" t="s">
        <v>33</v>
      </c>
      <c r="D361" s="3" t="s">
        <v>1</v>
      </c>
      <c r="E361" s="3" t="s">
        <v>2</v>
      </c>
      <c r="F361" s="4">
        <v>517.5</v>
      </c>
      <c r="G361" s="4">
        <v>20500</v>
      </c>
      <c r="H361" s="5">
        <f>[1]!РЕАЛИЗАЦИЯ[СОНИ]*[1]!РЕАЛИЗАЦИЯ[НАРХИ]</f>
        <v>2908000</v>
      </c>
      <c r="I361" s="4"/>
      <c r="J361" s="6">
        <v>19000</v>
      </c>
      <c r="K361" s="4">
        <f>[1]!РЕАЛИЗАЦИЯ[[#This Row],[СОНИ]]*[1]!РЕАЛИЗАЦИЯ[[#This Row],[ТАННАРХ]]</f>
        <v>380540880</v>
      </c>
      <c r="L361" s="7">
        <f>[1]!РЕАЛИЗАЦИЯ[[#This Row],[ЖАМИ]]-[1]!РЕАЛИЗАЦИЯ[[#This Row],[ЖАМИ2]]</f>
        <v>2907854.6</v>
      </c>
      <c r="O361" s="27">
        <v>46081</v>
      </c>
      <c r="P361" s="28" t="s">
        <v>170</v>
      </c>
      <c r="Q361" s="6">
        <v>6555900</v>
      </c>
      <c r="R361" s="6"/>
      <c r="S361" s="6"/>
      <c r="T361" s="29">
        <f>[1]!ПЛАТЕЖИ[[#This Row],[СЎМ]]+([1]!ПЛАТЕЖИ[[#This Row],[ВАЛЮТА]]*[1]!ПЛАТЕЖИ[[#This Row],[КУРС]])</f>
        <v>600000</v>
      </c>
      <c r="U361" s="28"/>
      <c r="V361" s="28"/>
    </row>
    <row r="362" spans="2:22" x14ac:dyDescent="0.25">
      <c r="B362" s="8">
        <v>46078</v>
      </c>
      <c r="C362" s="9" t="s">
        <v>33</v>
      </c>
      <c r="D362" s="10" t="s">
        <v>10</v>
      </c>
      <c r="E362" s="10" t="s">
        <v>2</v>
      </c>
      <c r="F362" s="11">
        <v>199.6</v>
      </c>
      <c r="G362" s="11">
        <v>14500</v>
      </c>
      <c r="H362" s="12">
        <f>[1]!РЕАЛИЗАЦИЯ[СОНИ]*[1]!РЕАЛИЗАЦИЯ[НАРХИ]</f>
        <v>-966000</v>
      </c>
      <c r="I362" s="11"/>
      <c r="J362" s="13">
        <v>13000</v>
      </c>
      <c r="K362" s="11">
        <f>[1]!РЕАЛИЗАЦИЯ[[#This Row],[СОНИ]]*[1]!РЕАЛИЗАЦИЯ[[#This Row],[ТАННАРХ]]</f>
        <v>0</v>
      </c>
      <c r="L362" s="14">
        <f>[1]!РЕАЛИЗАЦИЯ[[#This Row],[ЖАМИ]]-[1]!РЕАЛИЗАЦИЯ[[#This Row],[ЖАМИ2]]</f>
        <v>-966000</v>
      </c>
      <c r="O362" s="30"/>
      <c r="P362" s="31"/>
      <c r="Q362" s="13"/>
      <c r="R362" s="13"/>
      <c r="S362" s="13"/>
      <c r="T362" s="32">
        <f>[1]!ПЛАТЕЖИ[[#This Row],[СЎМ]]+([1]!ПЛАТЕЖИ[[#This Row],[ВАЛЮТА]]*[1]!ПЛАТЕЖИ[[#This Row],[КУРС]])</f>
        <v>1024000</v>
      </c>
      <c r="U362" s="31"/>
      <c r="V362" s="31"/>
    </row>
    <row r="363" spans="2:22" x14ac:dyDescent="0.25">
      <c r="B363" s="1">
        <v>46078</v>
      </c>
      <c r="C363" s="2" t="s">
        <v>9</v>
      </c>
      <c r="D363" s="3" t="s">
        <v>25</v>
      </c>
      <c r="E363" s="3" t="s">
        <v>2</v>
      </c>
      <c r="F363" s="4">
        <v>657.3</v>
      </c>
      <c r="G363" s="4">
        <v>25700</v>
      </c>
      <c r="H363" s="5">
        <f>[1]!РЕАЛИЗАЦИЯ[СОНИ]*[1]!РЕАЛИЗАЦИЯ[НАРХИ]</f>
        <v>843200</v>
      </c>
      <c r="I363" s="4"/>
      <c r="J363" s="6">
        <v>23000</v>
      </c>
      <c r="K363" s="4">
        <f>[1]!РЕАЛИЗАЦИЯ[[#This Row],[СОНИ]]*[1]!РЕАЛИЗАЦИЯ[[#This Row],[ТАННАРХ]]</f>
        <v>0</v>
      </c>
      <c r="L363" s="7">
        <f>[1]!РЕАЛИЗАЦИЯ[[#This Row],[ЖАМИ]]-[1]!РЕАЛИЗАЦИЯ[[#This Row],[ЖАМИ2]]</f>
        <v>843200</v>
      </c>
      <c r="O363" s="27">
        <v>46082</v>
      </c>
      <c r="P363" s="28" t="s">
        <v>70</v>
      </c>
      <c r="Q363" s="6">
        <v>500000</v>
      </c>
      <c r="R363" s="6"/>
      <c r="S363" s="6"/>
      <c r="T363" s="29">
        <f>[1]!ПЛАТЕЖИ[[#This Row],[СЎМ]]+([1]!ПЛАТЕЖИ[[#This Row],[ВАЛЮТА]]*[1]!ПЛАТЕЖИ[[#This Row],[КУРС]])</f>
        <v>1177000</v>
      </c>
      <c r="U363" s="28"/>
      <c r="V363" s="28"/>
    </row>
    <row r="364" spans="2:22" x14ac:dyDescent="0.25">
      <c r="B364" s="8">
        <v>46078</v>
      </c>
      <c r="C364" s="9" t="s">
        <v>65</v>
      </c>
      <c r="D364" s="10" t="s">
        <v>8</v>
      </c>
      <c r="E364" s="10" t="s">
        <v>2</v>
      </c>
      <c r="F364" s="11">
        <v>1058.9000000000001</v>
      </c>
      <c r="G364" s="11">
        <v>22500</v>
      </c>
      <c r="H364" s="12">
        <f>[1]!РЕАЛИЗАЦИЯ[СОНИ]*[1]!РЕАЛИЗАЦИЯ[НАРХИ]</f>
        <v>1986599.9999999998</v>
      </c>
      <c r="I364" s="11"/>
      <c r="J364" s="13">
        <v>20000</v>
      </c>
      <c r="K364" s="11">
        <f>[1]!РЕАЛИЗАЦИЯ[[#This Row],[СОНИ]]*[1]!РЕАЛИЗАЦИЯ[[#This Row],[ТАННАРХ]]</f>
        <v>0</v>
      </c>
      <c r="L364" s="14">
        <f>[1]!РЕАЛИЗАЦИЯ[[#This Row],[ЖАМИ]]-[1]!РЕАЛИЗАЦИЯ[[#This Row],[ЖАМИ2]]</f>
        <v>1986599.9999999998</v>
      </c>
      <c r="O364" s="30">
        <v>46082</v>
      </c>
      <c r="P364" s="31" t="s">
        <v>42</v>
      </c>
      <c r="Q364" s="13">
        <v>1000000</v>
      </c>
      <c r="R364" s="13"/>
      <c r="S364" s="13"/>
      <c r="T364" s="32">
        <f>[1]!ПЛАТЕЖИ[[#This Row],[СЎМ]]+([1]!ПЛАТЕЖИ[[#This Row],[ВАЛЮТА]]*[1]!ПЛАТЕЖИ[[#This Row],[КУРС]])</f>
        <v>3561000</v>
      </c>
      <c r="U364" s="31"/>
      <c r="V364" s="31"/>
    </row>
    <row r="365" spans="2:22" x14ac:dyDescent="0.25">
      <c r="B365" s="1">
        <v>46079</v>
      </c>
      <c r="C365" s="2" t="s">
        <v>12</v>
      </c>
      <c r="D365" s="3" t="s">
        <v>16</v>
      </c>
      <c r="E365" s="3" t="s">
        <v>2</v>
      </c>
      <c r="F365" s="4">
        <v>2037</v>
      </c>
      <c r="G365" s="4">
        <v>24000</v>
      </c>
      <c r="H365" s="5">
        <f>[1]!РЕАЛИЗАЦИЯ[СОНИ]*[1]!РЕАЛИЗАЦИЯ[НАРХИ]</f>
        <v>888000</v>
      </c>
      <c r="I365" s="4">
        <v>6</v>
      </c>
      <c r="J365" s="6">
        <v>20000</v>
      </c>
      <c r="K365" s="4">
        <f>[1]!РЕАЛИЗАЦИЯ[[#This Row],[СОНИ]]*[1]!РЕАЛИЗАЦИЯ[[#This Row],[ТАННАРХ]]</f>
        <v>0</v>
      </c>
      <c r="L365" s="7">
        <f>[1]!РЕАЛИЗАЦИЯ[[#This Row],[ЖАМИ]]-[1]!РЕАЛИЗАЦИЯ[[#This Row],[ЖАМИ2]]</f>
        <v>888000</v>
      </c>
      <c r="O365" s="27">
        <v>46082</v>
      </c>
      <c r="P365" s="28" t="s">
        <v>28</v>
      </c>
      <c r="Q365" s="6">
        <v>1670000</v>
      </c>
      <c r="R365" s="6"/>
      <c r="S365" s="6"/>
      <c r="T365" s="29">
        <f>[1]!ПЛАТЕЖИ[[#This Row],[СЎМ]]+([1]!ПЛАТЕЖИ[[#This Row],[ВАЛЮТА]]*[1]!ПЛАТЕЖИ[[#This Row],[КУРС]])</f>
        <v>5224800</v>
      </c>
      <c r="U365" s="28"/>
      <c r="V365" s="28"/>
    </row>
    <row r="366" spans="2:22" x14ac:dyDescent="0.25">
      <c r="B366" s="8">
        <v>46079</v>
      </c>
      <c r="C366" s="9" t="s">
        <v>12</v>
      </c>
      <c r="D366" s="10" t="s">
        <v>16</v>
      </c>
      <c r="E366" s="10" t="s">
        <v>2</v>
      </c>
      <c r="F366" s="11">
        <v>-49.5</v>
      </c>
      <c r="G366" s="11">
        <v>24000</v>
      </c>
      <c r="H366" s="12">
        <f>[1]!РЕАЛИЗАЦИЯ[СОНИ]*[1]!РЕАЛИЗАЦИЯ[НАРХИ]</f>
        <v>3187800.0000000005</v>
      </c>
      <c r="I366" s="11"/>
      <c r="J366" s="13">
        <v>20000</v>
      </c>
      <c r="K366" s="11">
        <f>[1]!РЕАЛИЗАЦИЯ[[#This Row],[СОНИ]]*[1]!РЕАЛИЗАЦИЯ[[#This Row],[ТАННАРХ]]</f>
        <v>0</v>
      </c>
      <c r="L366" s="14">
        <f>[1]!РЕАЛИЗАЦИЯ[[#This Row],[ЖАМИ]]-[1]!РЕАЛИЗАЦИЯ[[#This Row],[ЖАМИ2]]</f>
        <v>3187800.0000000005</v>
      </c>
      <c r="O366" s="30">
        <v>46082</v>
      </c>
      <c r="P366" s="31" t="s">
        <v>121</v>
      </c>
      <c r="Q366" s="13">
        <v>600000</v>
      </c>
      <c r="R366" s="13"/>
      <c r="S366" s="13"/>
      <c r="T366" s="32">
        <f>[1]!ПЛАТЕЖИ[[#This Row],[СЎМ]]+([1]!ПЛАТЕЖИ[[#This Row],[ВАЛЮТА]]*[1]!ПЛАТЕЖИ[[#This Row],[КУРС]])</f>
        <v>1912500</v>
      </c>
      <c r="U366" s="31"/>
      <c r="V366" s="31"/>
    </row>
    <row r="367" spans="2:22" x14ac:dyDescent="0.25">
      <c r="B367" s="1">
        <v>46079</v>
      </c>
      <c r="C367" s="2" t="s">
        <v>22</v>
      </c>
      <c r="D367" s="3" t="s">
        <v>8</v>
      </c>
      <c r="E367" s="3" t="s">
        <v>2</v>
      </c>
      <c r="F367" s="4">
        <v>40.799999999999997</v>
      </c>
      <c r="G367" s="4">
        <v>22000</v>
      </c>
      <c r="H367" s="5">
        <f>[1]!РЕАЛИЗАЦИЯ[СОНИ]*[1]!РЕАЛИЗАЦИЯ[НАРХИ]</f>
        <v>4980000</v>
      </c>
      <c r="I367" s="4"/>
      <c r="J367" s="6">
        <v>20000</v>
      </c>
      <c r="K367" s="4">
        <f>[1]!РЕАЛИЗАЦИЯ[[#This Row],[СОНИ]]*[1]!РЕАЛИЗАЦИЯ[[#This Row],[ТАННАРХ]]</f>
        <v>0</v>
      </c>
      <c r="L367" s="7">
        <f>[1]!РЕАЛИЗАЦИЯ[[#This Row],[ЖАМИ]]-[1]!РЕАЛИЗАЦИЯ[[#This Row],[ЖАМИ2]]</f>
        <v>4980000</v>
      </c>
      <c r="O367" s="27">
        <v>46082</v>
      </c>
      <c r="P367" s="28" t="s">
        <v>254</v>
      </c>
      <c r="Q367" s="6">
        <v>272900</v>
      </c>
      <c r="R367" s="6"/>
      <c r="S367" s="6"/>
      <c r="T367" s="29">
        <f>[1]!ПЛАТЕЖИ[[#This Row],[СЎМ]]+([1]!ПЛАТЕЖИ[[#This Row],[ВАЛЮТА]]*[1]!ПЛАТЕЖИ[[#This Row],[КУРС]])</f>
        <v>1275000</v>
      </c>
      <c r="U367" s="28"/>
      <c r="V367" s="28"/>
    </row>
    <row r="368" spans="2:22" x14ac:dyDescent="0.25">
      <c r="B368" s="8">
        <v>46079</v>
      </c>
      <c r="C368" s="9" t="s">
        <v>169</v>
      </c>
      <c r="D368" s="10" t="s">
        <v>10</v>
      </c>
      <c r="E368" s="10" t="s">
        <v>2</v>
      </c>
      <c r="F368" s="11">
        <v>49.7</v>
      </c>
      <c r="G368" s="11">
        <v>14000</v>
      </c>
      <c r="H368" s="12">
        <f>[1]!РЕАЛИЗАЦИЯ[СОНИ]*[1]!РЕАЛИЗАЦИЯ[НАРХИ]</f>
        <v>1474500</v>
      </c>
      <c r="I368" s="11"/>
      <c r="J368" s="13">
        <v>13000</v>
      </c>
      <c r="K368" s="11">
        <f>[1]!РЕАЛИЗАЦИЯ[[#This Row],[СОНИ]]*[1]!РЕАЛИЗАЦИЯ[[#This Row],[ТАННАРХ]]</f>
        <v>0</v>
      </c>
      <c r="L368" s="14">
        <f>[1]!РЕАЛИЗАЦИЯ[[#This Row],[ЖАМИ]]-[1]!РЕАЛИЗАЦИЯ[[#This Row],[ЖАМИ2]]</f>
        <v>1474500</v>
      </c>
      <c r="O368" s="30">
        <v>46082</v>
      </c>
      <c r="P368" s="31" t="s">
        <v>293</v>
      </c>
      <c r="Q368" s="13">
        <v>200000</v>
      </c>
      <c r="R368" s="13"/>
      <c r="S368" s="13"/>
      <c r="T368" s="32">
        <f>[1]!ПЛАТЕЖИ[[#This Row],[СЎМ]]+([1]!ПЛАТЕЖИ[[#This Row],[ВАЛЮТА]]*[1]!ПЛАТЕЖИ[[#This Row],[КУРС]])</f>
        <v>814400</v>
      </c>
      <c r="U368" s="31"/>
      <c r="V368" s="31" t="s">
        <v>275</v>
      </c>
    </row>
    <row r="369" spans="2:22" x14ac:dyDescent="0.25">
      <c r="B369" s="1">
        <v>46079</v>
      </c>
      <c r="C369" s="2" t="s">
        <v>169</v>
      </c>
      <c r="D369" s="3" t="s">
        <v>1</v>
      </c>
      <c r="E369" s="3" t="s">
        <v>2</v>
      </c>
      <c r="F369" s="4">
        <v>209</v>
      </c>
      <c r="G369" s="4">
        <v>20000</v>
      </c>
      <c r="H369" s="5">
        <f>[1]!РЕАЛИЗАЦИЯ[СОНИ]*[1]!РЕАЛИЗАЦИЯ[НАРХИ]</f>
        <v>1890000</v>
      </c>
      <c r="I369" s="4"/>
      <c r="J369" s="6">
        <v>19000</v>
      </c>
      <c r="K369" s="4">
        <f>[1]!РЕАЛИЗАЦИЯ[[#This Row],[СОНИ]]*[1]!РЕАЛИЗАЦИЯ[[#This Row],[ТАННАРХ]]</f>
        <v>0</v>
      </c>
      <c r="L369" s="7">
        <f>[1]!РЕАЛИЗАЦИЯ[[#This Row],[ЖАМИ]]-[1]!РЕАЛИЗАЦИЯ[[#This Row],[ЖАМИ2]]</f>
        <v>1890000</v>
      </c>
      <c r="O369" s="27">
        <v>46083</v>
      </c>
      <c r="P369" s="28" t="s">
        <v>167</v>
      </c>
      <c r="Q369" s="6">
        <v>947100</v>
      </c>
      <c r="R369" s="6"/>
      <c r="S369" s="6"/>
      <c r="T369" s="29">
        <f>[1]!ПЛАТЕЖИ[[#This Row],[СЎМ]]+([1]!ПЛАТЕЖИ[[#This Row],[ВАЛЮТА]]*[1]!ПЛАТЕЖИ[[#This Row],[КУРС]])</f>
        <v>1910000</v>
      </c>
      <c r="U369" s="28"/>
      <c r="V369" s="28"/>
    </row>
    <row r="370" spans="2:22" x14ac:dyDescent="0.25">
      <c r="B370" s="8">
        <v>46080</v>
      </c>
      <c r="C370" s="9" t="s">
        <v>71</v>
      </c>
      <c r="D370" s="10" t="s">
        <v>1</v>
      </c>
      <c r="E370" s="10" t="s">
        <v>2</v>
      </c>
      <c r="F370" s="11">
        <v>104.2</v>
      </c>
      <c r="G370" s="11">
        <v>21000</v>
      </c>
      <c r="H370" s="12">
        <f>[1]!РЕАЛИЗАЦИЯ[СОНИ]*[1]!РЕАЛИЗАЦИЯ[НАРХИ]</f>
        <v>836800</v>
      </c>
      <c r="I370" s="11"/>
      <c r="J370" s="13">
        <v>19000</v>
      </c>
      <c r="K370" s="11">
        <f>[1]!РЕАЛИЗАЦИЯ[[#This Row],[СОНИ]]*[1]!РЕАЛИЗАЦИЯ[[#This Row],[ТАННАРХ]]</f>
        <v>0</v>
      </c>
      <c r="L370" s="14">
        <f>[1]!РЕАЛИЗАЦИЯ[[#This Row],[ЖАМИ]]-[1]!РЕАЛИЗАЦИЯ[[#This Row],[ЖАМИ2]]</f>
        <v>836800</v>
      </c>
      <c r="O370" s="30">
        <v>46083</v>
      </c>
      <c r="P370" s="31" t="s">
        <v>89</v>
      </c>
      <c r="Q370" s="13">
        <v>10008550</v>
      </c>
      <c r="R370" s="13"/>
      <c r="S370" s="13"/>
      <c r="T370" s="32">
        <f>[1]!ПЛАТЕЖИ[[#This Row],[СЎМ]]+([1]!ПЛАТЕЖИ[[#This Row],[ВАЛЮТА]]*[1]!ПЛАТЕЖИ[[#This Row],[КУРС]])</f>
        <v>362000</v>
      </c>
      <c r="U370" s="31"/>
      <c r="V370" s="31"/>
    </row>
    <row r="371" spans="2:22" x14ac:dyDescent="0.25">
      <c r="B371" s="1">
        <v>46080</v>
      </c>
      <c r="C371" s="2" t="s">
        <v>99</v>
      </c>
      <c r="D371" s="3" t="s">
        <v>10</v>
      </c>
      <c r="E371" s="3" t="s">
        <v>2</v>
      </c>
      <c r="F371" s="4">
        <v>46.2</v>
      </c>
      <c r="G371" s="4">
        <v>15000</v>
      </c>
      <c r="H371" s="5">
        <f>[1]!РЕАЛИЗАЦИЯ[СОНИ]*[1]!РЕАЛИЗАЦИЯ[НАРХИ]</f>
        <v>5859000</v>
      </c>
      <c r="I371" s="4"/>
      <c r="J371" s="6">
        <v>13000</v>
      </c>
      <c r="K371" s="4">
        <f>[1]!РЕАЛИЗАЦИЯ[[#This Row],[СОНИ]]*[1]!РЕАЛИЗАЦИЯ[[#This Row],[ТАННАРХ]]</f>
        <v>1801154250</v>
      </c>
      <c r="L371" s="7">
        <f>[1]!РЕАЛИЗАЦИЯ[[#This Row],[ЖАМИ]]-[1]!РЕАЛИЗАЦИЯ[[#This Row],[ЖАМИ2]]</f>
        <v>5858674.5</v>
      </c>
      <c r="O371" s="27">
        <v>46083</v>
      </c>
      <c r="P371" s="28" t="s">
        <v>85</v>
      </c>
      <c r="Q371" s="6"/>
      <c r="R371" s="6">
        <v>100</v>
      </c>
      <c r="S371" s="6">
        <v>12200</v>
      </c>
      <c r="T371" s="29">
        <f>[1]!ПЛАТЕЖИ[[#This Row],[СЎМ]]+([1]!ПЛАТЕЖИ[[#This Row],[ВАЛЮТА]]*[1]!ПЛАТЕЖИ[[#This Row],[КУРС]])</f>
        <v>1075000</v>
      </c>
      <c r="U371" s="28"/>
      <c r="V371" s="28"/>
    </row>
    <row r="372" spans="2:22" x14ac:dyDescent="0.25">
      <c r="B372" s="8">
        <v>46080</v>
      </c>
      <c r="C372" s="9" t="s">
        <v>53</v>
      </c>
      <c r="D372" s="10" t="s">
        <v>40</v>
      </c>
      <c r="E372" s="10" t="s">
        <v>2</v>
      </c>
      <c r="F372" s="11">
        <v>982.6</v>
      </c>
      <c r="G372" s="11">
        <v>20500</v>
      </c>
      <c r="H372" s="12">
        <f>[1]!РЕАЛИЗАЦИЯ[СОНИ]*[1]!РЕАЛИЗАЦИЯ[НАРХИ]</f>
        <v>4264000</v>
      </c>
      <c r="I372" s="11"/>
      <c r="J372" s="13">
        <v>19500</v>
      </c>
      <c r="K372" s="11">
        <f>[1]!РЕАЛИЗАЦИЯ[[#This Row],[СОНИ]]*[1]!РЕАЛИЗАЦИЯ[[#This Row],[ТАННАРХ]]</f>
        <v>658952000</v>
      </c>
      <c r="L372" s="14">
        <f>[1]!РЕАЛИЗАЦИЯ[[#This Row],[ЖАМИ]]-[1]!РЕАЛИЗАЦИЯ[[#This Row],[ЖАМИ2]]</f>
        <v>4263836</v>
      </c>
      <c r="O372" s="30">
        <v>46083</v>
      </c>
      <c r="P372" s="31" t="s">
        <v>171</v>
      </c>
      <c r="Q372" s="13">
        <v>1962400</v>
      </c>
      <c r="R372" s="13"/>
      <c r="S372" s="13"/>
      <c r="T372" s="32">
        <f>[1]!ПЛАТЕЖИ[[#This Row],[СЎМ]]+([1]!ПЛАТЕЖИ[[#This Row],[ВАЛЮТА]]*[1]!ПЛАТЕЖИ[[#This Row],[КУРС]])</f>
        <v>1077000</v>
      </c>
      <c r="U372" s="31"/>
      <c r="V372" s="31"/>
    </row>
    <row r="373" spans="2:22" x14ac:dyDescent="0.25">
      <c r="B373" s="1">
        <v>46081</v>
      </c>
      <c r="C373" s="2" t="s">
        <v>34</v>
      </c>
      <c r="D373" s="3" t="s">
        <v>1</v>
      </c>
      <c r="E373" s="3" t="s">
        <v>2</v>
      </c>
      <c r="F373" s="4">
        <v>374.5</v>
      </c>
      <c r="G373" s="4">
        <v>21600</v>
      </c>
      <c r="H373" s="5">
        <f>[1]!РЕАЛИЗАЦИЯ[СОНИ]*[1]!РЕАЛИЗАЦИЯ[НАРХИ]</f>
        <v>650000</v>
      </c>
      <c r="I373" s="4" t="s">
        <v>83</v>
      </c>
      <c r="J373" s="6">
        <v>19000</v>
      </c>
      <c r="K373" s="4">
        <f>[1]!РЕАЛИЗАЦИЯ[[#This Row],[СОНИ]]*[1]!РЕАЛИЗАЦИЯ[[#This Row],[ТАННАРХ]]</f>
        <v>0</v>
      </c>
      <c r="L373" s="7">
        <f>[1]!РЕАЛИЗАЦИЯ[[#This Row],[ЖАМИ]]-[1]!РЕАЛИЗАЦИЯ[[#This Row],[ЖАМИ2]]</f>
        <v>650000</v>
      </c>
      <c r="O373" s="27">
        <v>46083</v>
      </c>
      <c r="P373" s="28" t="s">
        <v>147</v>
      </c>
      <c r="Q373" s="6">
        <v>1092100</v>
      </c>
      <c r="R373" s="6"/>
      <c r="S373" s="6"/>
      <c r="T373" s="29">
        <f>[1]!ПЛАТЕЖИ[[#This Row],[СЎМ]]+([1]!ПЛАТЕЖИ[[#This Row],[ВАЛЮТА]]*[1]!ПЛАТЕЖИ[[#This Row],[КУРС]])</f>
        <v>1043700</v>
      </c>
      <c r="U373" s="28"/>
      <c r="V373" s="28"/>
    </row>
    <row r="374" spans="2:22" x14ac:dyDescent="0.25">
      <c r="B374" s="8">
        <v>46081</v>
      </c>
      <c r="C374" s="9" t="s">
        <v>17</v>
      </c>
      <c r="D374" s="10" t="s">
        <v>1</v>
      </c>
      <c r="E374" s="10" t="s">
        <v>2</v>
      </c>
      <c r="F374" s="11">
        <v>52.9</v>
      </c>
      <c r="G374" s="11">
        <v>21000</v>
      </c>
      <c r="H374" s="12">
        <f>[1]!РЕАЛИЗАЦИЯ[СОНИ]*[1]!РЕАЛИЗАЦИЯ[НАРХИ]</f>
        <v>2048200</v>
      </c>
      <c r="I374" s="11"/>
      <c r="J374" s="13">
        <v>19000</v>
      </c>
      <c r="K374" s="11">
        <f>[1]!РЕАЛИЗАЦИЯ[[#This Row],[СОНИ]]*[1]!РЕАЛИЗАЦИЯ[[#This Row],[ТАННАРХ]]</f>
        <v>0</v>
      </c>
      <c r="L374" s="14">
        <f>[1]!РЕАЛИЗАЦИЯ[[#This Row],[ЖАМИ]]-[1]!РЕАЛИЗАЦИЯ[[#This Row],[ЖАМИ2]]</f>
        <v>2048200</v>
      </c>
      <c r="O374" s="30">
        <v>46083</v>
      </c>
      <c r="P374" s="31" t="s">
        <v>55</v>
      </c>
      <c r="Q374" s="13"/>
      <c r="R374" s="13">
        <v>100</v>
      </c>
      <c r="S374" s="13">
        <v>12200</v>
      </c>
      <c r="T374" s="32">
        <f>[1]!ПЛАТЕЖИ[[#This Row],[СЎМ]]+([1]!ПЛАТЕЖИ[[#This Row],[ВАЛЮТА]]*[1]!ПЛАТЕЖИ[[#This Row],[КУРС]])</f>
        <v>4549750</v>
      </c>
      <c r="U374" s="31"/>
      <c r="V374" s="31"/>
    </row>
    <row r="375" spans="2:22" x14ac:dyDescent="0.25">
      <c r="B375" s="1">
        <v>46081</v>
      </c>
      <c r="C375" s="2" t="s">
        <v>7</v>
      </c>
      <c r="D375" s="3" t="s">
        <v>8</v>
      </c>
      <c r="E375" s="3" t="s">
        <v>2</v>
      </c>
      <c r="F375" s="4">
        <v>504.4</v>
      </c>
      <c r="G375" s="4">
        <v>22000</v>
      </c>
      <c r="H375" s="5">
        <f>[1]!РЕАЛИЗАЦИЯ[СОНИ]*[1]!РЕАЛИЗАЦИЯ[НАРХИ]</f>
        <v>788800</v>
      </c>
      <c r="I375" s="4"/>
      <c r="J375" s="6">
        <v>20000</v>
      </c>
      <c r="K375" s="4">
        <f>[1]!РЕАЛИЗАЦИЯ[[#This Row],[СОНИ]]*[1]!РЕАЛИЗАЦИЯ[[#This Row],[ТАННАРХ]]</f>
        <v>0</v>
      </c>
      <c r="L375" s="7">
        <f>[1]!РЕАЛИЗАЦИЯ[[#This Row],[ЖАМИ]]-[1]!РЕАЛИЗАЦИЯ[[#This Row],[ЖАМИ2]]</f>
        <v>788800</v>
      </c>
      <c r="O375" s="27">
        <v>46084</v>
      </c>
      <c r="P375" s="28" t="s">
        <v>100</v>
      </c>
      <c r="Q375" s="6">
        <v>700000</v>
      </c>
      <c r="R375" s="6"/>
      <c r="S375" s="6"/>
      <c r="T375" s="29">
        <f>[1]!ПЛАТЕЖИ[[#This Row],[СЎМ]]+([1]!ПЛАТЕЖИ[[#This Row],[ВАЛЮТА]]*[1]!ПЛАТЕЖИ[[#This Row],[КУРС]])</f>
        <v>1892100</v>
      </c>
      <c r="U375" s="28"/>
      <c r="V375" s="28"/>
    </row>
    <row r="376" spans="2:22" x14ac:dyDescent="0.25">
      <c r="B376" s="8">
        <v>46081</v>
      </c>
      <c r="C376" s="9" t="s">
        <v>122</v>
      </c>
      <c r="D376" s="10" t="s">
        <v>1</v>
      </c>
      <c r="E376" s="10" t="s">
        <v>2</v>
      </c>
      <c r="F376" s="11">
        <v>293.7</v>
      </c>
      <c r="G376" s="11">
        <v>20500</v>
      </c>
      <c r="H376" s="12">
        <f>[1]!РЕАЛИЗАЦИЯ[СОНИ]*[1]!РЕАЛИЗАЦИЯ[НАРХИ]</f>
        <v>9342600</v>
      </c>
      <c r="I376" s="11"/>
      <c r="J376" s="13">
        <v>19000</v>
      </c>
      <c r="K376" s="11">
        <f>[1]!РЕАЛИЗАЦИЯ[[#This Row],[СОНИ]]*[1]!РЕАЛИЗАЦИЯ[[#This Row],[ТАННАРХ]]</f>
        <v>0</v>
      </c>
      <c r="L376" s="14">
        <f>[1]!РЕАЛИЗАЦИЯ[[#This Row],[ЖАМИ]]-[1]!РЕАЛИЗАЦИЯ[[#This Row],[ЖАМИ2]]</f>
        <v>9342600</v>
      </c>
      <c r="O376" s="30">
        <v>46084</v>
      </c>
      <c r="P376" s="31" t="s">
        <v>58</v>
      </c>
      <c r="Q376" s="13">
        <v>500000</v>
      </c>
      <c r="R376" s="13"/>
      <c r="S376" s="13"/>
      <c r="T376" s="32">
        <f>[1]!ПЛАТЕЖИ[[#This Row],[СЎМ]]+([1]!ПЛАТЕЖИ[[#This Row],[ВАЛЮТА]]*[1]!ПЛАТЕЖИ[[#This Row],[КУРС]])</f>
        <v>1900000</v>
      </c>
      <c r="U376" s="31"/>
      <c r="V376" s="31"/>
    </row>
    <row r="377" spans="2:22" x14ac:dyDescent="0.25">
      <c r="B377" s="1">
        <v>46081</v>
      </c>
      <c r="C377" s="2" t="s">
        <v>170</v>
      </c>
      <c r="D377" s="3" t="s">
        <v>16</v>
      </c>
      <c r="E377" s="3" t="s">
        <v>2</v>
      </c>
      <c r="F377" s="4">
        <v>319.8</v>
      </c>
      <c r="G377" s="4">
        <v>20500</v>
      </c>
      <c r="H377" s="5">
        <f>[1]!РЕАЛИЗАЦИЯ[СОНИ]*[1]!РЕАЛИЗАЦИЯ[НАРХИ]</f>
        <v>11918400</v>
      </c>
      <c r="I377" s="4"/>
      <c r="J377" s="6">
        <v>20000</v>
      </c>
      <c r="K377" s="4">
        <f>[1]!РЕАЛИЗАЦИЯ[[#This Row],[СОНИ]]*[1]!РЕАЛИЗАЦИЯ[[#This Row],[ТАННАРХ]]</f>
        <v>5425454320</v>
      </c>
      <c r="L377" s="7">
        <f>[1]!РЕАЛИЗАЦИЯ[[#This Row],[ЖАМИ]]-[1]!РЕАЛИЗАЦИЯ[[#This Row],[ЖАМИ2]]</f>
        <v>11917903.4</v>
      </c>
      <c r="O377" s="27">
        <v>46084</v>
      </c>
      <c r="P377" s="28" t="s">
        <v>117</v>
      </c>
      <c r="Q377" s="6">
        <v>540800</v>
      </c>
      <c r="R377" s="6"/>
      <c r="S377" s="6"/>
      <c r="T377" s="29">
        <f>[1]!ПЛАТЕЖИ[[#This Row],[СЎМ]]+([1]!ПЛАТЕЖИ[[#This Row],[ВАЛЮТА]]*[1]!ПЛАТЕЖИ[[#This Row],[КУРС]])</f>
        <v>7500000</v>
      </c>
      <c r="U377" s="28"/>
      <c r="V377" s="28" t="s">
        <v>279</v>
      </c>
    </row>
    <row r="378" spans="2:22" x14ac:dyDescent="0.25">
      <c r="B378" s="8"/>
      <c r="C378" s="9"/>
      <c r="D378" s="10"/>
      <c r="E378" s="10"/>
      <c r="F378" s="11"/>
      <c r="G378" s="11"/>
      <c r="H378" s="12">
        <f>[1]!РЕАЛИЗАЦИЯ[СОНИ]*[1]!РЕАЛИЗАЦИЯ[НАРХИ]</f>
        <v>1510500</v>
      </c>
      <c r="I378" s="11"/>
      <c r="J378" s="13"/>
      <c r="K378" s="11">
        <f>[1]!РЕАЛИЗАЦИЯ[[#This Row],[СОНИ]]*[1]!РЕАЛИЗАЦИЯ[[#This Row],[ТАННАРХ]]</f>
        <v>0</v>
      </c>
      <c r="L378" s="14">
        <f>[1]!РЕАЛИЗАЦИЯ[[#This Row],[ЖАМИ]]-[1]!РЕАЛИЗАЦИЯ[[#This Row],[ЖАМИ2]]</f>
        <v>1510500</v>
      </c>
      <c r="O378" s="30">
        <v>46084</v>
      </c>
      <c r="P378" s="31" t="s">
        <v>143</v>
      </c>
      <c r="Q378" s="13">
        <v>2000000</v>
      </c>
      <c r="R378" s="13"/>
      <c r="S378" s="13"/>
      <c r="T378" s="32">
        <f>[1]!ПЛАТЕЖИ[[#This Row],[СЎМ]]+([1]!ПЛАТЕЖИ[[#This Row],[ВАЛЮТА]]*[1]!ПЛАТЕЖИ[[#This Row],[КУРС]])</f>
        <v>1823300</v>
      </c>
      <c r="U378" s="31"/>
      <c r="V378" s="31" t="s">
        <v>275</v>
      </c>
    </row>
    <row r="379" spans="2:22" x14ac:dyDescent="0.25">
      <c r="B379" s="1"/>
      <c r="C379" s="2"/>
      <c r="D379" s="3"/>
      <c r="E379" s="3"/>
      <c r="F379" s="4"/>
      <c r="G379" s="4"/>
      <c r="H379" s="5">
        <f>[1]!РЕАЛИЗАЦИЯ[СОНИ]*[1]!РЕАЛИЗАЦИЯ[НАРХИ]</f>
        <v>932000</v>
      </c>
      <c r="I379" s="4"/>
      <c r="J379" s="6"/>
      <c r="K379" s="4">
        <f>[1]!РЕАЛИЗАЦИЯ[[#This Row],[СОНИ]]*[1]!РЕАЛИЗАЦИЯ[[#This Row],[ТАННАРХ]]</f>
        <v>0</v>
      </c>
      <c r="L379" s="7">
        <f>[1]!РЕАЛИЗАЦИЯ[[#This Row],[ЖАМИ]]-[1]!РЕАЛИЗАЦИЯ[[#This Row],[ЖАМИ2]]</f>
        <v>932000</v>
      </c>
      <c r="O379" s="27">
        <v>46084</v>
      </c>
      <c r="P379" s="28" t="s">
        <v>54</v>
      </c>
      <c r="Q379" s="6">
        <v>800000</v>
      </c>
      <c r="R379" s="6"/>
      <c r="S379" s="6"/>
      <c r="T379" s="29">
        <f>[1]!ПЛАТЕЖИ[[#This Row],[СЎМ]]+([1]!ПЛАТЕЖИ[[#This Row],[ВАЛЮТА]]*[1]!ПЛАТЕЖИ[[#This Row],[КУРС]])</f>
        <v>3509506</v>
      </c>
      <c r="U379" s="28"/>
      <c r="V379" s="28" t="s">
        <v>275</v>
      </c>
    </row>
    <row r="380" spans="2:22" x14ac:dyDescent="0.25">
      <c r="B380" s="8">
        <v>46082</v>
      </c>
      <c r="C380" s="9" t="s">
        <v>32</v>
      </c>
      <c r="D380" s="10" t="s">
        <v>1</v>
      </c>
      <c r="E380" s="10" t="s">
        <v>2</v>
      </c>
      <c r="F380" s="11">
        <v>83.7</v>
      </c>
      <c r="G380" s="11">
        <v>20000</v>
      </c>
      <c r="H380" s="12">
        <f>[1]!РЕАЛИЗАЦИЯ[СОНИ]*[1]!РЕАЛИЗАЦИЯ[НАРХИ]</f>
        <v>718500</v>
      </c>
      <c r="I380" s="11"/>
      <c r="J380" s="13">
        <v>19000</v>
      </c>
      <c r="K380" s="11">
        <f>[1]!РЕАЛИЗАЦИЯ[[#This Row],[СОНИ]]*[1]!РЕАЛИЗАЦИЯ[[#This Row],[ТАННАРХ]]</f>
        <v>0</v>
      </c>
      <c r="L380" s="14">
        <f>[1]!РЕАЛИЗАЦИЯ[[#This Row],[ЖАМИ]]-[1]!РЕАЛИЗАЦИЯ[[#This Row],[ЖАМИ2]]</f>
        <v>718500</v>
      </c>
      <c r="O380" s="30">
        <v>46084</v>
      </c>
      <c r="P380" s="31" t="s">
        <v>122</v>
      </c>
      <c r="Q380" s="13">
        <v>6020850</v>
      </c>
      <c r="R380" s="13"/>
      <c r="S380" s="13"/>
      <c r="T380" s="32">
        <f>[1]!ПЛАТЕЖИ[[#This Row],[СЎМ]]+([1]!ПЛАТЕЖИ[[#This Row],[ВАЛЮТА]]*[1]!ПЛАТЕЖИ[[#This Row],[КУРС]])</f>
        <v>13000000</v>
      </c>
      <c r="U380" s="31"/>
      <c r="V380" s="31" t="s">
        <v>279</v>
      </c>
    </row>
    <row r="381" spans="2:22" x14ac:dyDescent="0.25">
      <c r="B381" s="1">
        <v>46082</v>
      </c>
      <c r="C381" s="2" t="s">
        <v>70</v>
      </c>
      <c r="D381" s="3" t="s">
        <v>1</v>
      </c>
      <c r="E381" s="3" t="s">
        <v>2</v>
      </c>
      <c r="F381" s="4">
        <v>46.8</v>
      </c>
      <c r="G381" s="4">
        <v>21000</v>
      </c>
      <c r="H381" s="5">
        <f>[1]!РЕАЛИЗАЦИЯ[СОНИ]*[1]!РЕАЛИЗАЦИЯ[НАРХИ]</f>
        <v>1178100</v>
      </c>
      <c r="I381" s="4"/>
      <c r="J381" s="6">
        <v>19000</v>
      </c>
      <c r="K381" s="4">
        <f>[1]!РЕАЛИЗАЦИЯ[[#This Row],[СОНИ]]*[1]!РЕАЛИЗАЦИЯ[[#This Row],[ТАННАРХ]]</f>
        <v>0</v>
      </c>
      <c r="L381" s="7">
        <f>[1]!РЕАЛИЗАЦИЯ[[#This Row],[ЖАМИ]]-[1]!РЕАЛИЗАЦИЯ[[#This Row],[ЖАМИ2]]</f>
        <v>1178100</v>
      </c>
      <c r="O381" s="27">
        <v>46085</v>
      </c>
      <c r="P381" s="28" t="s">
        <v>23</v>
      </c>
      <c r="Q381" s="6">
        <v>3607500</v>
      </c>
      <c r="R381" s="6"/>
      <c r="S381" s="6"/>
      <c r="T381" s="29">
        <f>[1]!ПЛАТЕЖИ[[#This Row],[СЎМ]]+([1]!ПЛАТЕЖИ[[#This Row],[ВАЛЮТА]]*[1]!ПЛАТЕЖИ[[#This Row],[КУРС]])</f>
        <v>3000000</v>
      </c>
      <c r="U381" s="28"/>
      <c r="V381" s="28"/>
    </row>
    <row r="382" spans="2:22" x14ac:dyDescent="0.25">
      <c r="B382" s="8">
        <v>46083</v>
      </c>
      <c r="C382" s="9" t="s">
        <v>146</v>
      </c>
      <c r="D382" s="10" t="s">
        <v>1</v>
      </c>
      <c r="E382" s="10" t="s">
        <v>2</v>
      </c>
      <c r="F382" s="11">
        <v>47.9</v>
      </c>
      <c r="G382" s="11">
        <v>21000</v>
      </c>
      <c r="H382" s="12">
        <f>[1]!РЕАЛИЗАЦИЯ[СОНИ]*[1]!РЕАЛИЗАЦИЯ[НАРХИ]</f>
        <v>5214300</v>
      </c>
      <c r="I382" s="11"/>
      <c r="J382" s="13">
        <v>19000</v>
      </c>
      <c r="K382" s="11">
        <f>[1]!РЕАЛИЗАЦИЯ[[#This Row],[СОНИ]]*[1]!РЕАЛИЗАЦИЯ[[#This Row],[ТАННАРХ]]</f>
        <v>0</v>
      </c>
      <c r="L382" s="14">
        <f>[1]!РЕАЛИЗАЦИЯ[[#This Row],[ЖАМИ]]-[1]!РЕАЛИЗАЦИЯ[[#This Row],[ЖАМИ2]]</f>
        <v>5214300</v>
      </c>
      <c r="O382" s="30">
        <v>46085</v>
      </c>
      <c r="P382" s="31" t="s">
        <v>176</v>
      </c>
      <c r="Q382" s="13">
        <v>1446000</v>
      </c>
      <c r="R382" s="13"/>
      <c r="S382" s="13"/>
      <c r="T382" s="32">
        <f>[1]!ПЛАТЕЖИ[[#This Row],[СЎМ]]+([1]!ПЛАТЕЖИ[[#This Row],[ВАЛЮТА]]*[1]!ПЛАТЕЖИ[[#This Row],[КУРС]])</f>
        <v>861000</v>
      </c>
      <c r="U382" s="31"/>
      <c r="V382" s="31"/>
    </row>
    <row r="383" spans="2:22" x14ac:dyDescent="0.25">
      <c r="B383" s="1">
        <v>46083</v>
      </c>
      <c r="C383" s="2" t="s">
        <v>47</v>
      </c>
      <c r="D383" s="3" t="s">
        <v>1</v>
      </c>
      <c r="E383" s="3" t="s">
        <v>2</v>
      </c>
      <c r="F383" s="4">
        <v>105.7</v>
      </c>
      <c r="G383" s="4">
        <v>21000</v>
      </c>
      <c r="H383" s="5">
        <f>[1]!РЕАЛИЗАЦИЯ[СОНИ]*[1]!РЕАЛИЗАЦИЯ[НАРХИ]</f>
        <v>2368800</v>
      </c>
      <c r="I383" s="4"/>
      <c r="J383" s="6">
        <v>19000</v>
      </c>
      <c r="K383" s="4">
        <f>[1]!РЕАЛИЗАЦИЯ[[#This Row],[СОНИ]]*[1]!РЕАЛИЗАЦИЯ[[#This Row],[ТАННАРХ]]</f>
        <v>0</v>
      </c>
      <c r="L383" s="7">
        <f>[1]!РЕАЛИЗАЦИЯ[[#This Row],[ЖАМИ]]-[1]!РЕАЛИЗАЦИЯ[[#This Row],[ЖАМИ2]]</f>
        <v>2368800</v>
      </c>
      <c r="O383" s="27">
        <v>46085</v>
      </c>
      <c r="P383" s="28" t="s">
        <v>144</v>
      </c>
      <c r="Q383" s="6">
        <v>1000000</v>
      </c>
      <c r="R383" s="6"/>
      <c r="S383" s="6"/>
      <c r="T383" s="29">
        <f>[1]!ПЛАТЕЖИ[[#This Row],[СЎМ]]+([1]!ПЛАТЕЖИ[[#This Row],[ВАЛЮТА]]*[1]!ПЛАТЕЖИ[[#This Row],[КУРС]])</f>
        <v>3400000</v>
      </c>
      <c r="U383" s="28"/>
      <c r="V383" s="28"/>
    </row>
    <row r="384" spans="2:22" x14ac:dyDescent="0.25">
      <c r="B384" s="8">
        <v>46083</v>
      </c>
      <c r="C384" s="9" t="s">
        <v>47</v>
      </c>
      <c r="D384" s="10" t="s">
        <v>10</v>
      </c>
      <c r="E384" s="10" t="s">
        <v>2</v>
      </c>
      <c r="F384" s="11">
        <v>99</v>
      </c>
      <c r="G384" s="11">
        <v>16000</v>
      </c>
      <c r="H384" s="12">
        <f>[1]!РЕАЛИЗАЦИЯ[СОНИ]*[1]!РЕАЛИЗАЦИЯ[НАРХИ]</f>
        <v>-1207500</v>
      </c>
      <c r="I384" s="11"/>
      <c r="J384" s="13">
        <v>13000</v>
      </c>
      <c r="K384" s="11">
        <f>[1]!РЕАЛИЗАЦИЯ[[#This Row],[СОНИ]]*[1]!РЕАЛИЗАЦИЯ[[#This Row],[ТАННАРХ]]</f>
        <v>0</v>
      </c>
      <c r="L384" s="14">
        <f>[1]!РЕАЛИЗАЦИЯ[[#This Row],[ЖАМИ]]-[1]!РЕАЛИЗАЦИЯ[[#This Row],[ЖАМИ2]]</f>
        <v>-1207500</v>
      </c>
      <c r="O384" s="30">
        <v>46085</v>
      </c>
      <c r="P384" s="31" t="s">
        <v>175</v>
      </c>
      <c r="Q384" s="13">
        <v>2082000</v>
      </c>
      <c r="R384" s="13"/>
      <c r="S384" s="13"/>
      <c r="T384" s="32">
        <f>[1]!ПЛАТЕЖИ[[#This Row],[СЎМ]]+([1]!ПЛАТЕЖИ[[#This Row],[ВАЛЮТА]]*[1]!ПЛАТЕЖИ[[#This Row],[КУРС]])</f>
        <v>1000000</v>
      </c>
      <c r="U384" s="31"/>
      <c r="V384" s="31"/>
    </row>
    <row r="385" spans="2:22" x14ac:dyDescent="0.25">
      <c r="B385" s="1">
        <v>46083</v>
      </c>
      <c r="C385" s="2" t="s">
        <v>113</v>
      </c>
      <c r="D385" s="3" t="s">
        <v>1</v>
      </c>
      <c r="E385" s="3" t="s">
        <v>2</v>
      </c>
      <c r="F385" s="4">
        <v>216.3</v>
      </c>
      <c r="G385" s="4">
        <v>21000</v>
      </c>
      <c r="H385" s="5">
        <f>[1]!РЕАЛИЗАЦИЯ[СОНИ]*[1]!РЕАЛИЗАЦИЯ[НАРХИ]</f>
        <v>2053800</v>
      </c>
      <c r="I385" s="4"/>
      <c r="J385" s="6">
        <v>19000</v>
      </c>
      <c r="K385" s="4">
        <f>[1]!РЕАЛИЗАЦИЯ[[#This Row],[СОНИ]]*[1]!РЕАЛИЗАЦИЯ[[#This Row],[ТАННАРХ]]</f>
        <v>0</v>
      </c>
      <c r="L385" s="7">
        <f>[1]!РЕАЛИЗАЦИЯ[[#This Row],[ЖАМИ]]-[1]!РЕАЛИЗАЦИЯ[[#This Row],[ЖАМИ2]]</f>
        <v>2053800</v>
      </c>
      <c r="O385" s="27">
        <v>46085</v>
      </c>
      <c r="P385" s="28" t="s">
        <v>77</v>
      </c>
      <c r="Q385" s="6">
        <v>1033000</v>
      </c>
      <c r="R385" s="6"/>
      <c r="S385" s="6"/>
      <c r="T385" s="29">
        <f>[1]!ПЛАТЕЖИ[[#This Row],[СЎМ]]+([1]!ПЛАТЕЖИ[[#This Row],[ВАЛЮТА]]*[1]!ПЛАТЕЖИ[[#This Row],[КУРС]])</f>
        <v>3500000</v>
      </c>
      <c r="U385" s="28"/>
      <c r="V385" s="28"/>
    </row>
    <row r="386" spans="2:22" x14ac:dyDescent="0.25">
      <c r="B386" s="8">
        <v>46083</v>
      </c>
      <c r="C386" s="9" t="s">
        <v>171</v>
      </c>
      <c r="D386" s="10" t="s">
        <v>8</v>
      </c>
      <c r="E386" s="10" t="s">
        <v>2</v>
      </c>
      <c r="F386" s="11">
        <v>89.2</v>
      </c>
      <c r="G386" s="11">
        <v>22000</v>
      </c>
      <c r="H386" s="12">
        <f>[1]!РЕАЛИЗАЦИЯ[СОНИ]*[1]!РЕАЛИЗАЦИЯ[НАРХИ]</f>
        <v>1668800</v>
      </c>
      <c r="I386" s="11"/>
      <c r="J386" s="13">
        <v>20000</v>
      </c>
      <c r="K386" s="11">
        <f>[1]!РЕАЛИЗАЦИЯ[[#This Row],[СОНИ]]*[1]!РЕАЛИЗАЦИЯ[[#This Row],[ТАННАРХ]]</f>
        <v>0</v>
      </c>
      <c r="L386" s="14">
        <f>[1]!РЕАЛИЗАЦИЯ[[#This Row],[ЖАМИ]]-[1]!РЕАЛИЗАЦИЯ[[#This Row],[ЖАМИ2]]</f>
        <v>1668800</v>
      </c>
      <c r="O386" s="30">
        <v>46085</v>
      </c>
      <c r="P386" s="31" t="s">
        <v>146</v>
      </c>
      <c r="Q386" s="13">
        <v>2043300</v>
      </c>
      <c r="R386" s="13"/>
      <c r="S386" s="13"/>
      <c r="T386" s="32">
        <f>[1]!ПЛАТЕЖИ[[#This Row],[СЎМ]]+([1]!ПЛАТЕЖИ[[#This Row],[ВАЛЮТА]]*[1]!ПЛАТЕЖИ[[#This Row],[КУРС]])</f>
        <v>1156000</v>
      </c>
      <c r="U386" s="31"/>
      <c r="V386" s="31" t="s">
        <v>275</v>
      </c>
    </row>
    <row r="387" spans="2:22" x14ac:dyDescent="0.25">
      <c r="B387" s="1">
        <v>46083</v>
      </c>
      <c r="C387" s="2" t="s">
        <v>33</v>
      </c>
      <c r="D387" s="3" t="s">
        <v>10</v>
      </c>
      <c r="E387" s="3" t="s">
        <v>2</v>
      </c>
      <c r="F387" s="4">
        <v>184.2</v>
      </c>
      <c r="G387" s="4">
        <v>14500</v>
      </c>
      <c r="H387" s="5">
        <f>[1]!РЕАЛИЗАЦИЯ[СОНИ]*[1]!РЕАЛИЗАЦИЯ[НАРХИ]</f>
        <v>786600</v>
      </c>
      <c r="I387" s="4"/>
      <c r="J387" s="6">
        <v>13000</v>
      </c>
      <c r="K387" s="4">
        <f>[1]!РЕАЛИЗАЦИЯ[[#This Row],[СОНИ]]*[1]!РЕАЛИЗАЦИЯ[[#This Row],[ТАННАРХ]]</f>
        <v>0</v>
      </c>
      <c r="L387" s="7">
        <f>[1]!РЕАЛИЗАЦИЯ[[#This Row],[ЖАМИ]]-[1]!РЕАЛИЗАЦИЯ[[#This Row],[ЖАМИ2]]</f>
        <v>786600</v>
      </c>
      <c r="O387" s="27">
        <v>46085</v>
      </c>
      <c r="P387" s="28" t="s">
        <v>165</v>
      </c>
      <c r="Q387" s="6">
        <v>1000000</v>
      </c>
      <c r="R387" s="6"/>
      <c r="S387" s="6"/>
      <c r="T387" s="29">
        <f>[1]!ПЛАТЕЖИ[[#This Row],[СЎМ]]+([1]!ПЛАТЕЖИ[[#This Row],[ВАЛЮТА]]*[1]!ПЛАТЕЖИ[[#This Row],[КУРС]])</f>
        <v>1700000</v>
      </c>
      <c r="U387" s="28"/>
      <c r="V387" s="28"/>
    </row>
    <row r="388" spans="2:22" x14ac:dyDescent="0.25">
      <c r="B388" s="8">
        <v>46083</v>
      </c>
      <c r="C388" s="9" t="s">
        <v>33</v>
      </c>
      <c r="D388" s="10" t="s">
        <v>1</v>
      </c>
      <c r="E388" s="10" t="s">
        <v>2</v>
      </c>
      <c r="F388" s="11">
        <v>733.7</v>
      </c>
      <c r="G388" s="11">
        <v>20500</v>
      </c>
      <c r="H388" s="12">
        <f>[1]!РЕАЛИЗАЦИЯ[СОНИ]*[1]!РЕАЛИЗАЦИЯ[НАРХИ]</f>
        <v>828800</v>
      </c>
      <c r="I388" s="11"/>
      <c r="J388" s="13">
        <v>19000</v>
      </c>
      <c r="K388" s="11">
        <f>[1]!РЕАЛИЗАЦИЯ[[#This Row],[СОНИ]]*[1]!РЕАЛИЗАЦИЯ[[#This Row],[ТАННАРХ]]</f>
        <v>0</v>
      </c>
      <c r="L388" s="14">
        <f>[1]!РЕАЛИЗАЦИЯ[[#This Row],[ЖАМИ]]-[1]!РЕАЛИЗАЦИЯ[[#This Row],[ЖАМИ2]]</f>
        <v>828800</v>
      </c>
      <c r="O388" s="30">
        <v>46085</v>
      </c>
      <c r="P388" s="31" t="s">
        <v>261</v>
      </c>
      <c r="Q388" s="13">
        <v>246153</v>
      </c>
      <c r="R388" s="13"/>
      <c r="S388" s="13"/>
      <c r="T388" s="32">
        <f>[1]!ПЛАТЕЖИ[[#This Row],[СЎМ]]+([1]!ПЛАТЕЖИ[[#This Row],[ВАЛЮТА]]*[1]!ПЛАТЕЖИ[[#This Row],[КУРС]])</f>
        <v>1706000</v>
      </c>
      <c r="U388" s="31"/>
      <c r="V388" s="31" t="s">
        <v>275</v>
      </c>
    </row>
    <row r="389" spans="2:22" x14ac:dyDescent="0.25">
      <c r="B389" s="1">
        <v>46083</v>
      </c>
      <c r="C389" s="2" t="s">
        <v>78</v>
      </c>
      <c r="D389" s="3" t="s">
        <v>29</v>
      </c>
      <c r="E389" s="3" t="s">
        <v>2</v>
      </c>
      <c r="F389" s="4">
        <v>241.6</v>
      </c>
      <c r="G389" s="4">
        <v>17500</v>
      </c>
      <c r="H389" s="5">
        <f>[1]!РЕАЛИЗАЦИЯ[СОНИ]*[1]!РЕАЛИЗАЦИЯ[НАРХИ]</f>
        <v>978600</v>
      </c>
      <c r="I389" s="4"/>
      <c r="J389" s="6">
        <v>16000</v>
      </c>
      <c r="K389" s="4">
        <f>[1]!РЕАЛИЗАЦИЯ[[#This Row],[СОНИ]]*[1]!РЕАЛИЗАЦИЯ[[#This Row],[ТАННАРХ]]</f>
        <v>0</v>
      </c>
      <c r="L389" s="7">
        <f>[1]!РЕАЛИЗАЦИЯ[[#This Row],[ЖАМИ]]-[1]!РЕАЛИЗАЦИЯ[[#This Row],[ЖАМИ2]]</f>
        <v>978600</v>
      </c>
      <c r="O389" s="27">
        <v>46085</v>
      </c>
      <c r="P389" s="28" t="s">
        <v>108</v>
      </c>
      <c r="Q389" s="6">
        <v>500000</v>
      </c>
      <c r="R389" s="6"/>
      <c r="S389" s="6"/>
      <c r="T389" s="29">
        <f>[1]!ПЛАТЕЖИ[[#This Row],[СЎМ]]+([1]!ПЛАТЕЖИ[[#This Row],[ВАЛЮТА]]*[1]!ПЛАТЕЖИ[[#This Row],[КУРС]])</f>
        <v>1800000</v>
      </c>
      <c r="U389" s="28"/>
      <c r="V389" s="28" t="s">
        <v>275</v>
      </c>
    </row>
    <row r="390" spans="2:22" x14ac:dyDescent="0.25">
      <c r="B390" s="8">
        <v>46084</v>
      </c>
      <c r="C390" s="9" t="s">
        <v>106</v>
      </c>
      <c r="D390" s="10" t="s">
        <v>1</v>
      </c>
      <c r="E390" s="10" t="s">
        <v>2</v>
      </c>
      <c r="F390" s="11">
        <v>151.6</v>
      </c>
      <c r="G390" s="11">
        <v>20000</v>
      </c>
      <c r="H390" s="12">
        <f>[1]!РЕАЛИЗАЦИЯ[СОНИ]*[1]!РЕАЛИЗАЦИЯ[НАРХИ]</f>
        <v>12350100</v>
      </c>
      <c r="I390" s="11"/>
      <c r="J390" s="13">
        <v>19000</v>
      </c>
      <c r="K390" s="11">
        <f>[1]!РЕАЛИЗАЦИЯ[[#This Row],[СОНИ]]*[1]!РЕАЛИЗАЦИЯ[[#This Row],[ТАННАРХ]]</f>
        <v>0</v>
      </c>
      <c r="L390" s="14">
        <f>[1]!РЕАЛИЗАЦИЯ[[#This Row],[ЖАМИ]]-[1]!РЕАЛИЗАЦИЯ[[#This Row],[ЖАМИ2]]</f>
        <v>12350100</v>
      </c>
      <c r="O390" s="30">
        <v>46086</v>
      </c>
      <c r="P390" s="31" t="s">
        <v>291</v>
      </c>
      <c r="Q390" s="13">
        <v>1236700</v>
      </c>
      <c r="R390" s="13"/>
      <c r="S390" s="13"/>
      <c r="T390" s="32">
        <f>[1]!ПЛАТЕЖИ[[#This Row],[СЎМ]]+([1]!ПЛАТЕЖИ[[#This Row],[ВАЛЮТА]]*[1]!ПЛАТЕЖИ[[#This Row],[КУРС]])</f>
        <v>1040000</v>
      </c>
      <c r="U390" s="31"/>
      <c r="V390" s="31"/>
    </row>
    <row r="391" spans="2:22" x14ac:dyDescent="0.25">
      <c r="B391" s="1">
        <v>46084</v>
      </c>
      <c r="C391" s="2" t="s">
        <v>100</v>
      </c>
      <c r="D391" s="3" t="s">
        <v>1</v>
      </c>
      <c r="E391" s="3" t="s">
        <v>2</v>
      </c>
      <c r="F391" s="4">
        <v>47.5</v>
      </c>
      <c r="G391" s="4">
        <v>21000</v>
      </c>
      <c r="H391" s="5">
        <f>[1]!РЕАЛИЗАЦИЯ[СОНИ]*[1]!РЕАЛИЗАЦИЯ[НАРХИ]</f>
        <v>2592000</v>
      </c>
      <c r="I391" s="4"/>
      <c r="J391" s="6">
        <v>19000</v>
      </c>
      <c r="K391" s="4">
        <f>[1]!РЕАЛИЗАЦИЯ[[#This Row],[СОНИ]]*[1]!РЕАЛИЗАЦИЯ[[#This Row],[ТАННАРХ]]</f>
        <v>0</v>
      </c>
      <c r="L391" s="7">
        <f>[1]!РЕАЛИЗАЦИЯ[[#This Row],[ЖАМИ]]-[1]!РЕАЛИЗАЦИЯ[[#This Row],[ЖАМИ2]]</f>
        <v>2592000</v>
      </c>
      <c r="O391" s="27">
        <v>46086</v>
      </c>
      <c r="P391" s="28" t="s">
        <v>286</v>
      </c>
      <c r="Q391" s="6">
        <v>600000</v>
      </c>
      <c r="R391" s="6"/>
      <c r="S391" s="6"/>
      <c r="T391" s="29">
        <f>[1]!ПЛАТЕЖИ[[#This Row],[СЎМ]]+([1]!ПЛАТЕЖИ[[#This Row],[ВАЛЮТА]]*[1]!ПЛАТЕЖИ[[#This Row],[КУРС]])</f>
        <v>1104950</v>
      </c>
      <c r="U391" s="28"/>
      <c r="V391" s="28"/>
    </row>
    <row r="392" spans="2:22" x14ac:dyDescent="0.25">
      <c r="B392" s="8">
        <v>46084</v>
      </c>
      <c r="C392" s="9" t="s">
        <v>48</v>
      </c>
      <c r="D392" s="10" t="s">
        <v>8</v>
      </c>
      <c r="E392" s="10" t="s">
        <v>2</v>
      </c>
      <c r="F392" s="11">
        <v>406.7</v>
      </c>
      <c r="G392" s="11">
        <v>21000</v>
      </c>
      <c r="H392" s="12">
        <f>[1]!РЕАЛИЗАЦИЯ[СОНИ]*[1]!РЕАЛИЗАЦИЯ[НАРХИ]</f>
        <v>1769600</v>
      </c>
      <c r="I392" s="11"/>
      <c r="J392" s="13">
        <v>20000</v>
      </c>
      <c r="K392" s="11">
        <f>[1]!РЕАЛИЗАЦИЯ[[#This Row],[СОНИ]]*[1]!РЕАЛИЗАЦИЯ[[#This Row],[ТАННАРХ]]</f>
        <v>0</v>
      </c>
      <c r="L392" s="14">
        <f>[1]!РЕАЛИЗАЦИЯ[[#This Row],[ЖАМИ]]-[1]!РЕАЛИЗАЦИЯ[[#This Row],[ЖАМИ2]]</f>
        <v>1769600</v>
      </c>
      <c r="O392" s="30">
        <v>46086</v>
      </c>
      <c r="P392" s="31" t="s">
        <v>290</v>
      </c>
      <c r="Q392" s="13">
        <v>800000</v>
      </c>
      <c r="R392" s="13"/>
      <c r="S392" s="13"/>
      <c r="T392" s="32">
        <f>[1]!ПЛАТЕЖИ[[#This Row],[СЎМ]]+([1]!ПЛАТЕЖИ[[#This Row],[ВАЛЮТА]]*[1]!ПЛАТЕЖИ[[#This Row],[КУРС]])</f>
        <v>1224300</v>
      </c>
      <c r="U392" s="31"/>
      <c r="V392" s="31" t="s">
        <v>275</v>
      </c>
    </row>
    <row r="393" spans="2:22" x14ac:dyDescent="0.25">
      <c r="B393" s="1">
        <v>46084</v>
      </c>
      <c r="C393" s="2" t="s">
        <v>7</v>
      </c>
      <c r="D393" s="3" t="s">
        <v>25</v>
      </c>
      <c r="E393" s="3" t="s">
        <v>2</v>
      </c>
      <c r="F393" s="4">
        <v>515.5</v>
      </c>
      <c r="G393" s="4">
        <v>25000</v>
      </c>
      <c r="H393" s="5">
        <f>[1]!РЕАЛИЗАЦИЯ[СОНИ]*[1]!РЕАЛИЗАЦИЯ[НАРХИ]</f>
        <v>1976099.9999999998</v>
      </c>
      <c r="I393" s="4"/>
      <c r="J393" s="6">
        <v>23000</v>
      </c>
      <c r="K393" s="4">
        <f>[1]!РЕАЛИЗАЦИЯ[[#This Row],[СОНИ]]*[1]!РЕАЛИЗАЦИЯ[[#This Row],[ТАННАРХ]]</f>
        <v>0</v>
      </c>
      <c r="L393" s="7">
        <f>[1]!РЕАЛИЗАЦИЯ[[#This Row],[ЖАМИ]]-[1]!РЕАЛИЗАЦИЯ[[#This Row],[ЖАМИ2]]</f>
        <v>1976099.9999999998</v>
      </c>
      <c r="O393" s="27">
        <v>46086</v>
      </c>
      <c r="P393" s="28" t="s">
        <v>176</v>
      </c>
      <c r="Q393" s="6">
        <v>600000</v>
      </c>
      <c r="R393" s="6"/>
      <c r="S393" s="6"/>
      <c r="T393" s="29">
        <f>[1]!ПЛАТЕЖИ[[#This Row],[СЎМ]]+([1]!ПЛАТЕЖИ[[#This Row],[ВАЛЮТА]]*[1]!ПЛАТЕЖИ[[#This Row],[КУРС]])</f>
        <v>819000</v>
      </c>
      <c r="U393" s="28"/>
      <c r="V393" s="28" t="s">
        <v>275</v>
      </c>
    </row>
    <row r="394" spans="2:22" x14ac:dyDescent="0.25">
      <c r="B394" s="8">
        <v>46084</v>
      </c>
      <c r="C394" s="9" t="s">
        <v>7</v>
      </c>
      <c r="D394" s="10" t="s">
        <v>8</v>
      </c>
      <c r="E394" s="10" t="s">
        <v>2</v>
      </c>
      <c r="F394" s="11">
        <v>413</v>
      </c>
      <c r="G394" s="11">
        <v>22000</v>
      </c>
      <c r="H394" s="12">
        <f>[1]!РЕАЛИЗАЦИЯ[СОНИ]*[1]!РЕАЛИЗАЦИЯ[НАРХИ]</f>
        <v>1113000</v>
      </c>
      <c r="I394" s="11"/>
      <c r="J394" s="13">
        <v>20000</v>
      </c>
      <c r="K394" s="11">
        <f>[1]!РЕАЛИЗАЦИЯ[[#This Row],[СОНИ]]*[1]!РЕАЛИЗАЦИЯ[[#This Row],[ТАННАРХ]]</f>
        <v>0</v>
      </c>
      <c r="L394" s="14">
        <f>[1]!РЕАЛИЗАЦИЯ[[#This Row],[ЖАМИ]]-[1]!РЕАЛИЗАЦИЯ[[#This Row],[ЖАМИ2]]</f>
        <v>1113000</v>
      </c>
      <c r="O394" s="30">
        <v>46086</v>
      </c>
      <c r="P394" s="31" t="s">
        <v>138</v>
      </c>
      <c r="Q394" s="13">
        <v>535600</v>
      </c>
      <c r="R394" s="13"/>
      <c r="S394" s="13"/>
      <c r="T394" s="32">
        <f>[1]!ПЛАТЕЖИ[[#This Row],[СЎМ]]+([1]!ПЛАТЕЖИ[[#This Row],[ВАЛЮТА]]*[1]!ПЛАТЕЖИ[[#This Row],[КУРС]])</f>
        <v>2338000</v>
      </c>
      <c r="U394" s="31"/>
      <c r="V394" s="31" t="s">
        <v>275</v>
      </c>
    </row>
    <row r="395" spans="2:22" x14ac:dyDescent="0.25">
      <c r="B395" s="1">
        <v>46084</v>
      </c>
      <c r="C395" s="2" t="s">
        <v>96</v>
      </c>
      <c r="D395" s="3" t="s">
        <v>1</v>
      </c>
      <c r="E395" s="3" t="s">
        <v>2</v>
      </c>
      <c r="F395" s="4">
        <v>46.5</v>
      </c>
      <c r="G395" s="4">
        <v>21000</v>
      </c>
      <c r="H395" s="5">
        <f>[1]!РЕАЛИЗАЦИЯ[СОНИ]*[1]!РЕАЛИЗАЦИЯ[НАРХИ]</f>
        <v>1169700</v>
      </c>
      <c r="I395" s="4"/>
      <c r="J395" s="6">
        <v>19000</v>
      </c>
      <c r="K395" s="4">
        <f>[1]!РЕАЛИЗАЦИЯ[[#This Row],[СОНИ]]*[1]!РЕАЛИЗАЦИЯ[[#This Row],[ТАННАРХ]]</f>
        <v>0</v>
      </c>
      <c r="L395" s="7">
        <f>[1]!РЕАЛИЗАЦИЯ[[#This Row],[ЖАМИ]]-[1]!РЕАЛИЗАЦИЯ[[#This Row],[ЖАМИ2]]</f>
        <v>1169700</v>
      </c>
      <c r="O395" s="27">
        <v>46086</v>
      </c>
      <c r="P395" s="28" t="s">
        <v>180</v>
      </c>
      <c r="Q395" s="6">
        <v>1098300</v>
      </c>
      <c r="R395" s="6"/>
      <c r="S395" s="6"/>
      <c r="T395" s="29">
        <f>[1]!ПЛАТЕЖИ[[#This Row],[СЎМ]]+([1]!ПЛАТЕЖИ[[#This Row],[ВАЛЮТА]]*[1]!ПЛАТЕЖИ[[#This Row],[КУРС]])</f>
        <v>2568000</v>
      </c>
      <c r="U395" s="28"/>
      <c r="V395" s="28"/>
    </row>
    <row r="396" spans="2:22" x14ac:dyDescent="0.25">
      <c r="B396" s="8">
        <v>46084</v>
      </c>
      <c r="C396" s="9" t="s">
        <v>172</v>
      </c>
      <c r="D396" s="10" t="s">
        <v>1</v>
      </c>
      <c r="E396" s="10" t="s">
        <v>2</v>
      </c>
      <c r="F396" s="11">
        <v>421.4</v>
      </c>
      <c r="G396" s="11">
        <v>20500</v>
      </c>
      <c r="H396" s="12">
        <f>[1]!РЕАЛИЗАЦИЯ[СОНИ]*[1]!РЕАЛИЗАЦИЯ[НАРХИ]</f>
        <v>1068900</v>
      </c>
      <c r="I396" s="11"/>
      <c r="J396" s="13">
        <v>19000</v>
      </c>
      <c r="K396" s="11">
        <f>[1]!РЕАЛИЗАЦИЯ[[#This Row],[СОНИ]]*[1]!РЕАЛИЗАЦИЯ[[#This Row],[ТАННАРХ]]</f>
        <v>0</v>
      </c>
      <c r="L396" s="14">
        <f>[1]!РЕАЛИЗАЦИЯ[[#This Row],[ЖАМИ]]-[1]!РЕАЛИЗАЦИЯ[[#This Row],[ЖАМИ2]]</f>
        <v>1068900</v>
      </c>
      <c r="O396" s="30">
        <v>46086</v>
      </c>
      <c r="P396" s="31" t="s">
        <v>160</v>
      </c>
      <c r="Q396" s="13">
        <v>2851100</v>
      </c>
      <c r="R396" s="13"/>
      <c r="S396" s="13"/>
      <c r="T396" s="32">
        <f>[1]!ПЛАТЕЖИ[[#This Row],[СЎМ]]+([1]!ПЛАТЕЖИ[[#This Row],[ВАЛЮТА]]*[1]!ПЛАТЕЖИ[[#This Row],[КУРС]])</f>
        <v>750000</v>
      </c>
      <c r="U396" s="31"/>
      <c r="V396" s="31"/>
    </row>
    <row r="397" spans="2:22" x14ac:dyDescent="0.25">
      <c r="B397" s="1">
        <v>46084</v>
      </c>
      <c r="C397" s="2" t="s">
        <v>173</v>
      </c>
      <c r="D397" s="3" t="s">
        <v>10</v>
      </c>
      <c r="E397" s="3" t="s">
        <v>2</v>
      </c>
      <c r="F397" s="4">
        <v>53.2</v>
      </c>
      <c r="G397" s="4">
        <v>16000</v>
      </c>
      <c r="H397" s="5">
        <f>[1]!РЕАЛИЗАЦИЯ[СОНИ]*[1]!РЕАЛИЗАЦИЯ[НАРХИ]</f>
        <v>984900</v>
      </c>
      <c r="I397" s="4"/>
      <c r="J397" s="6">
        <v>13000</v>
      </c>
      <c r="K397" s="4">
        <f>[1]!РЕАЛИЗАЦИЯ[[#This Row],[СОНИ]]*[1]!РЕАЛИЗАЦИЯ[[#This Row],[ТАННАРХ]]</f>
        <v>0</v>
      </c>
      <c r="L397" s="7">
        <f>[1]!РЕАЛИЗАЦИЯ[[#This Row],[ЖАМИ]]-[1]!РЕАЛИЗАЦИЯ[[#This Row],[ЖАМИ2]]</f>
        <v>984900</v>
      </c>
      <c r="O397" s="27">
        <v>46086</v>
      </c>
      <c r="P397" s="28" t="s">
        <v>178</v>
      </c>
      <c r="Q397" s="6">
        <v>910000</v>
      </c>
      <c r="R397" s="6"/>
      <c r="S397" s="6"/>
      <c r="T397" s="29">
        <f>[1]!ПЛАТЕЖИ[[#This Row],[СЎМ]]+([1]!ПЛАТЕЖИ[[#This Row],[ВАЛЮТА]]*[1]!ПЛАТЕЖИ[[#This Row],[КУРС]])</f>
        <v>2324000</v>
      </c>
      <c r="U397" s="28"/>
      <c r="V397" s="28"/>
    </row>
    <row r="398" spans="2:22" x14ac:dyDescent="0.25">
      <c r="B398" s="8">
        <v>46085</v>
      </c>
      <c r="C398" s="9" t="s">
        <v>62</v>
      </c>
      <c r="D398" s="10" t="s">
        <v>10</v>
      </c>
      <c r="E398" s="10" t="s">
        <v>2</v>
      </c>
      <c r="F398" s="11">
        <v>49.4</v>
      </c>
      <c r="G398" s="11">
        <v>15000</v>
      </c>
      <c r="H398" s="12">
        <f>[1]!РЕАЛИЗАЦИЯ[СОНИ]*[1]!РЕАЛИЗАЦИЯ[НАРХИ]</f>
        <v>748800</v>
      </c>
      <c r="I398" s="11"/>
      <c r="J398" s="13">
        <v>13000</v>
      </c>
      <c r="K398" s="11">
        <f>[1]!РЕАЛИЗАЦИЯ[[#This Row],[СОНИ]]*[1]!РЕАЛИЗАЦИЯ[[#This Row],[ТАННАРХ]]</f>
        <v>0</v>
      </c>
      <c r="L398" s="14">
        <f>[1]!РЕАЛИЗАЦИЯ[[#This Row],[ЖАМИ]]-[1]!РЕАЛИЗАЦИЯ[[#This Row],[ЖАМИ2]]</f>
        <v>748800</v>
      </c>
      <c r="O398" s="30">
        <v>46087</v>
      </c>
      <c r="P398" s="31" t="s">
        <v>54</v>
      </c>
      <c r="Q398" s="13">
        <v>300000</v>
      </c>
      <c r="R398" s="13"/>
      <c r="S398" s="13"/>
      <c r="T398" s="32">
        <f>[1]!ПЛАТЕЖИ[[#This Row],[СЎМ]]+([1]!ПЛАТЕЖИ[[#This Row],[ВАЛЮТА]]*[1]!ПЛАТЕЖИ[[#This Row],[КУРС]])</f>
        <v>1109000</v>
      </c>
      <c r="U398" s="31"/>
      <c r="V398" s="31" t="s">
        <v>275</v>
      </c>
    </row>
    <row r="399" spans="2:22" x14ac:dyDescent="0.25">
      <c r="B399" s="1">
        <v>46085</v>
      </c>
      <c r="C399" s="2" t="s">
        <v>174</v>
      </c>
      <c r="D399" s="3" t="s">
        <v>1</v>
      </c>
      <c r="E399" s="3" t="s">
        <v>2</v>
      </c>
      <c r="F399" s="4">
        <v>148.6</v>
      </c>
      <c r="G399" s="4">
        <v>21000</v>
      </c>
      <c r="H399" s="5">
        <f>[1]!РЕАЛИЗАЦИЯ[СОНИ]*[1]!РЕАЛИЗАЦИЯ[НАРХИ]</f>
        <v>2368800</v>
      </c>
      <c r="I399" s="4"/>
      <c r="J399" s="6">
        <v>19000</v>
      </c>
      <c r="K399" s="4">
        <f>[1]!РЕАЛИЗАЦИЯ[[#This Row],[СОНИ]]*[1]!РЕАЛИЗАЦИЯ[[#This Row],[ТАННАРХ]]</f>
        <v>294389200</v>
      </c>
      <c r="L399" s="7">
        <f>[1]!РЕАЛИЗАЦИЯ[[#This Row],[ЖАМИ]]-[1]!РЕАЛИЗАЦИЯ[[#This Row],[ЖАМИ2]]</f>
        <v>2368668.4</v>
      </c>
      <c r="O399" s="27">
        <v>46087</v>
      </c>
      <c r="P399" s="28" t="s">
        <v>108</v>
      </c>
      <c r="Q399" s="6">
        <v>300000</v>
      </c>
      <c r="R399" s="6"/>
      <c r="S399" s="6"/>
      <c r="T399" s="29">
        <f>[1]!ПЛАТЕЖИ[[#This Row],[СЎМ]]+([1]!ПЛАТЕЖИ[[#This Row],[ВАЛЮТА]]*[1]!ПЛАТЕЖИ[[#This Row],[КУРС]])</f>
        <v>982800</v>
      </c>
      <c r="U399" s="28"/>
      <c r="V399" s="28" t="s">
        <v>275</v>
      </c>
    </row>
    <row r="400" spans="2:22" x14ac:dyDescent="0.25">
      <c r="B400" s="8">
        <v>46085</v>
      </c>
      <c r="C400" s="9" t="s">
        <v>175</v>
      </c>
      <c r="D400" s="10" t="s">
        <v>10</v>
      </c>
      <c r="E400" s="10" t="s">
        <v>2</v>
      </c>
      <c r="F400" s="11">
        <v>85.4</v>
      </c>
      <c r="G400" s="11">
        <v>16000</v>
      </c>
      <c r="H400" s="12">
        <f>[1]!РЕАЛИЗАЦИЯ[СОНИ]*[1]!РЕАЛИЗАЦИЯ[НАРХИ]</f>
        <v>911750</v>
      </c>
      <c r="I400" s="11"/>
      <c r="J400" s="13">
        <v>13000</v>
      </c>
      <c r="K400" s="11">
        <f>[1]!РЕАЛИЗАЦИЯ[[#This Row],[СОНИ]]*[1]!РЕАЛИЗАЦИЯ[[#This Row],[ТАННАРХ]]</f>
        <v>0</v>
      </c>
      <c r="L400" s="14">
        <f>[1]!РЕАЛИЗАЦИЯ[[#This Row],[ЖАМИ]]-[1]!РЕАЛИЗАЦИЯ[[#This Row],[ЖАМИ2]]</f>
        <v>911750</v>
      </c>
      <c r="O400" s="30">
        <v>46087</v>
      </c>
      <c r="P400" s="31" t="s">
        <v>49</v>
      </c>
      <c r="Q400" s="13"/>
      <c r="R400" s="13">
        <v>100</v>
      </c>
      <c r="S400" s="13">
        <v>12200</v>
      </c>
      <c r="T400" s="32">
        <f>[1]!ПЛАТЕЖИ[[#This Row],[СЎМ]]+([1]!ПЛАТЕЖИ[[#This Row],[ВАЛЮТА]]*[1]!ПЛАТЕЖИ[[#This Row],[КУРС]])</f>
        <v>3500000</v>
      </c>
      <c r="U400" s="31"/>
      <c r="V400" s="31"/>
    </row>
    <row r="401" spans="2:22" x14ac:dyDescent="0.25">
      <c r="B401" s="1">
        <v>46085</v>
      </c>
      <c r="C401" s="2" t="s">
        <v>175</v>
      </c>
      <c r="D401" s="3" t="s">
        <v>1</v>
      </c>
      <c r="E401" s="3" t="s">
        <v>2</v>
      </c>
      <c r="F401" s="4">
        <v>342.5</v>
      </c>
      <c r="G401" s="4">
        <v>21000</v>
      </c>
      <c r="H401" s="5">
        <f>[1]!РЕАЛИЗАЦИЯ[СОНИ]*[1]!РЕАЛИЗАЦИЯ[НАРХИ]</f>
        <v>1078000</v>
      </c>
      <c r="I401" s="4"/>
      <c r="J401" s="6">
        <v>19000</v>
      </c>
      <c r="K401" s="4">
        <f>[1]!РЕАЛИЗАЦИЯ[[#This Row],[СОНИ]]*[1]!РЕАЛИЗАЦИЯ[[#This Row],[ТАННАРХ]]</f>
        <v>0</v>
      </c>
      <c r="L401" s="7">
        <f>[1]!РЕАЛИЗАЦИЯ[[#This Row],[ЖАМИ]]-[1]!РЕАЛИЗАЦИЯ[[#This Row],[ЖАМИ2]]</f>
        <v>1078000</v>
      </c>
      <c r="O401" s="27">
        <v>46087</v>
      </c>
      <c r="P401" s="28" t="s">
        <v>138</v>
      </c>
      <c r="Q401" s="6">
        <v>1328600</v>
      </c>
      <c r="R401" s="6"/>
      <c r="S401" s="6"/>
      <c r="T401" s="29">
        <f>[1]!ПЛАТЕЖИ[[#This Row],[СЎМ]]+([1]!ПЛАТЕЖИ[[#This Row],[ВАЛЮТА]]*[1]!ПЛАТЕЖИ[[#This Row],[КУРС]])</f>
        <v>1134000</v>
      </c>
      <c r="U401" s="28"/>
      <c r="V401" s="28"/>
    </row>
    <row r="402" spans="2:22" x14ac:dyDescent="0.25">
      <c r="B402" s="8">
        <v>46085</v>
      </c>
      <c r="C402" s="9" t="s">
        <v>55</v>
      </c>
      <c r="D402" s="10" t="s">
        <v>1</v>
      </c>
      <c r="E402" s="10" t="s">
        <v>2</v>
      </c>
      <c r="F402" s="11">
        <v>54.5</v>
      </c>
      <c r="G402" s="11">
        <v>21000</v>
      </c>
      <c r="H402" s="12">
        <f>[1]!РЕАЛИЗАЦИЯ[СОНИ]*[1]!РЕАЛИЗАЦИЯ[НАРХИ]</f>
        <v>682500</v>
      </c>
      <c r="I402" s="11"/>
      <c r="J402" s="13">
        <v>19000</v>
      </c>
      <c r="K402" s="11">
        <f>[1]!РЕАЛИЗАЦИЯ[[#This Row],[СОНИ]]*[1]!РЕАЛИЗАЦИЯ[[#This Row],[ТАННАРХ]]</f>
        <v>0</v>
      </c>
      <c r="L402" s="14">
        <f>[1]!РЕАЛИЗАЦИЯ[[#This Row],[ЖАМИ]]-[1]!РЕАЛИЗАЦИЯ[[#This Row],[ЖАМИ2]]</f>
        <v>682500</v>
      </c>
      <c r="O402" s="30">
        <v>46087</v>
      </c>
      <c r="P402" s="31" t="s">
        <v>157</v>
      </c>
      <c r="Q402" s="13">
        <v>1056300</v>
      </c>
      <c r="R402" s="13"/>
      <c r="S402" s="13"/>
      <c r="T402" s="32">
        <f>[1]!ПЛАТЕЖИ[[#This Row],[СЎМ]]+([1]!ПЛАТЕЖИ[[#This Row],[ВАЛЮТА]]*[1]!ПЛАТЕЖИ[[#This Row],[КУРС]])</f>
        <v>1727000</v>
      </c>
      <c r="U402" s="31"/>
      <c r="V402" s="31" t="s">
        <v>279</v>
      </c>
    </row>
    <row r="403" spans="2:22" x14ac:dyDescent="0.25">
      <c r="B403" s="1">
        <v>46085</v>
      </c>
      <c r="C403" s="2" t="s">
        <v>55</v>
      </c>
      <c r="D403" s="3" t="s">
        <v>36</v>
      </c>
      <c r="E403" s="3" t="s">
        <v>2</v>
      </c>
      <c r="F403" s="4">
        <v>56.8</v>
      </c>
      <c r="G403" s="4">
        <v>18000</v>
      </c>
      <c r="H403" s="5">
        <f>[1]!РЕАЛИЗАЦИЯ[СОНИ]*[1]!РЕАЛИЗАЦИЯ[НАРХИ]</f>
        <v>5285150</v>
      </c>
      <c r="I403" s="4"/>
      <c r="J403" s="6">
        <v>16000</v>
      </c>
      <c r="K403" s="4">
        <f>[1]!РЕАЛИЗАЦИЯ[[#This Row],[СОНИ]]*[1]!РЕАЛИЗАЦИЯ[[#This Row],[ТАННАРХ]]</f>
        <v>1138050225</v>
      </c>
      <c r="L403" s="7">
        <f>[1]!РЕАЛИЗАЦИЯ[[#This Row],[ЖАМИ]]-[1]!РЕАЛИЗАЦИЯ[[#This Row],[ЖАМИ2]]</f>
        <v>5284925.0999999996</v>
      </c>
      <c r="O403" s="27">
        <v>46087</v>
      </c>
      <c r="P403" s="28" t="s">
        <v>276</v>
      </c>
      <c r="Q403" s="6">
        <v>199600</v>
      </c>
      <c r="R403" s="6"/>
      <c r="S403" s="6"/>
      <c r="T403" s="29">
        <f>[1]!ПЛАТЕЖИ[[#This Row],[СЎМ]]+([1]!ПЛАТЕЖИ[[#This Row],[ВАЛЮТА]]*[1]!ПЛАТЕЖИ[[#This Row],[КУРС]])</f>
        <v>2209200</v>
      </c>
      <c r="U403" s="28"/>
      <c r="V403" s="28" t="s">
        <v>275</v>
      </c>
    </row>
    <row r="404" spans="2:22" x14ac:dyDescent="0.25">
      <c r="B404" s="8">
        <v>46085</v>
      </c>
      <c r="C404" s="9" t="s">
        <v>81</v>
      </c>
      <c r="D404" s="10" t="s">
        <v>10</v>
      </c>
      <c r="E404" s="10" t="s">
        <v>2</v>
      </c>
      <c r="F404" s="11">
        <v>201</v>
      </c>
      <c r="G404" s="11">
        <v>15000</v>
      </c>
      <c r="H404" s="12">
        <f>[1]!РЕАЛИЗАЦИЯ[СОНИ]*[1]!РЕАЛИЗАЦИЯ[НАРХИ]</f>
        <v>1129800</v>
      </c>
      <c r="I404" s="11"/>
      <c r="J404" s="13">
        <v>13000</v>
      </c>
      <c r="K404" s="11">
        <f>[1]!РЕАЛИЗАЦИЯ[[#This Row],[СОНИ]]*[1]!РЕАЛИЗАЦИЯ[[#This Row],[ТАННАРХ]]</f>
        <v>0</v>
      </c>
      <c r="L404" s="14">
        <f>[1]!РЕАЛИЗАЦИЯ[[#This Row],[ЖАМИ]]-[1]!РЕАЛИЗАЦИЯ[[#This Row],[ЖАМИ2]]</f>
        <v>1129800</v>
      </c>
      <c r="O404" s="30">
        <v>46087</v>
      </c>
      <c r="P404" s="31" t="s">
        <v>162</v>
      </c>
      <c r="Q404" s="13">
        <v>1117200</v>
      </c>
      <c r="R404" s="13"/>
      <c r="S404" s="13"/>
      <c r="T404" s="32">
        <f>[1]!ПЛАТЕЖИ[[#This Row],[СЎМ]]+([1]!ПЛАТЕЖИ[[#This Row],[ВАЛЮТА]]*[1]!ПЛАТЕЖИ[[#This Row],[КУРС]])</f>
        <v>1800000</v>
      </c>
      <c r="U404" s="31"/>
      <c r="V404" s="31" t="s">
        <v>275</v>
      </c>
    </row>
    <row r="405" spans="2:22" x14ac:dyDescent="0.25">
      <c r="B405" s="1">
        <v>46085</v>
      </c>
      <c r="C405" s="2" t="s">
        <v>81</v>
      </c>
      <c r="D405" s="3" t="s">
        <v>1</v>
      </c>
      <c r="E405" s="3" t="s">
        <v>2</v>
      </c>
      <c r="F405" s="4">
        <v>52.7</v>
      </c>
      <c r="G405" s="4">
        <v>20000</v>
      </c>
      <c r="H405" s="5">
        <f>[1]!РЕАЛИЗАЦИЯ[СОНИ]*[1]!РЕАЛИЗАЦИЯ[НАРХИ]</f>
        <v>2110500</v>
      </c>
      <c r="I405" s="4"/>
      <c r="J405" s="6">
        <v>19000</v>
      </c>
      <c r="K405" s="4">
        <f>[1]!РЕАЛИЗАЦИЯ[[#This Row],[СОНИ]]*[1]!РЕАЛИЗАЦИЯ[[#This Row],[ТАННАРХ]]</f>
        <v>0</v>
      </c>
      <c r="L405" s="7">
        <f>[1]!РЕАЛИЗАЦИЯ[[#This Row],[ЖАМИ]]-[1]!РЕАЛИЗАЦИЯ[[#This Row],[ЖАМИ2]]</f>
        <v>2110500</v>
      </c>
      <c r="O405" s="27">
        <v>46087</v>
      </c>
      <c r="P405" s="28" t="s">
        <v>141</v>
      </c>
      <c r="Q405" s="6">
        <v>2178000</v>
      </c>
      <c r="R405" s="6"/>
      <c r="S405" s="6"/>
      <c r="T405" s="29">
        <f>[1]!ПЛАТЕЖИ[[#This Row],[СЎМ]]+([1]!ПЛАТЕЖИ[[#This Row],[ВАЛЮТА]]*[1]!ПЛАТЕЖИ[[#This Row],[КУРС]])</f>
        <v>1016000</v>
      </c>
      <c r="U405" s="28"/>
      <c r="V405" s="28"/>
    </row>
    <row r="406" spans="2:22" x14ac:dyDescent="0.25">
      <c r="B406" s="8">
        <v>46085</v>
      </c>
      <c r="C406" s="9" t="s">
        <v>81</v>
      </c>
      <c r="D406" s="10" t="s">
        <v>36</v>
      </c>
      <c r="E406" s="10" t="s">
        <v>2</v>
      </c>
      <c r="F406" s="11">
        <v>61.6</v>
      </c>
      <c r="G406" s="11">
        <v>17000</v>
      </c>
      <c r="H406" s="12">
        <f>[1]!РЕАЛИЗАЦИЯ[СОНИ]*[1]!РЕАЛИЗАЦИЯ[НАРХИ]</f>
        <v>-2110500</v>
      </c>
      <c r="I406" s="11"/>
      <c r="J406" s="13">
        <v>16000</v>
      </c>
      <c r="K406" s="11">
        <f>[1]!РЕАЛИЗАЦИЯ[[#This Row],[СОНИ]]*[1]!РЕАЛИЗАЦИЯ[[#This Row],[ТАННАРХ]]</f>
        <v>0</v>
      </c>
      <c r="L406" s="14">
        <f>[1]!РЕАЛИЗАЦИЯ[[#This Row],[ЖАМИ]]-[1]!РЕАЛИЗАЦИЯ[[#This Row],[ЖАМИ2]]</f>
        <v>-2110500</v>
      </c>
      <c r="O406" s="30">
        <v>46087</v>
      </c>
      <c r="P406" s="31" t="s">
        <v>108</v>
      </c>
      <c r="Q406" s="13">
        <v>415000</v>
      </c>
      <c r="R406" s="13"/>
      <c r="S406" s="13"/>
      <c r="T406" s="32">
        <f>[1]!ПЛАТЕЖИ[[#This Row],[СЎМ]]+([1]!ПЛАТЕЖИ[[#This Row],[ВАЛЮТА]]*[1]!ПЛАТЕЖИ[[#This Row],[КУРС]])</f>
        <v>635000</v>
      </c>
      <c r="U406" s="31"/>
      <c r="V406" s="31" t="s">
        <v>275</v>
      </c>
    </row>
    <row r="407" spans="2:22" x14ac:dyDescent="0.25">
      <c r="B407" s="1">
        <v>46085</v>
      </c>
      <c r="C407" s="2" t="s">
        <v>176</v>
      </c>
      <c r="D407" s="3" t="s">
        <v>1</v>
      </c>
      <c r="E407" s="3" t="s">
        <v>2</v>
      </c>
      <c r="F407" s="4">
        <v>102.3</v>
      </c>
      <c r="G407" s="4">
        <v>20000</v>
      </c>
      <c r="H407" s="5">
        <f>[1]!РЕАЛИЗАЦИЯ[СОНИ]*[1]!РЕАЛИЗАЦИЯ[НАРХИ]</f>
        <v>2156700</v>
      </c>
      <c r="I407" s="4"/>
      <c r="J407" s="6">
        <v>19000</v>
      </c>
      <c r="K407" s="4">
        <f>[1]!РЕАЛИЗАЦИЯ[[#This Row],[СОНИ]]*[1]!РЕАЛИЗАЦИЯ[[#This Row],[ТАННАРХ]]</f>
        <v>0</v>
      </c>
      <c r="L407" s="7">
        <f>[1]!РЕАЛИЗАЦИЯ[[#This Row],[ЖАМИ]]-[1]!РЕАЛИЗАЦИЯ[[#This Row],[ЖАМИ2]]</f>
        <v>2156700</v>
      </c>
      <c r="O407" s="27">
        <v>46087</v>
      </c>
      <c r="P407" s="28" t="s">
        <v>54</v>
      </c>
      <c r="Q407" s="6">
        <v>485437</v>
      </c>
      <c r="R407" s="6"/>
      <c r="S407" s="6"/>
      <c r="T407" s="29">
        <f>[1]!ПЛАТЕЖИ[[#This Row],[СЎМ]]+([1]!ПЛАТЕЖИ[[#This Row],[ВАЛЮТА]]*[1]!ПЛАТЕЖИ[[#This Row],[КУРС]])</f>
        <v>400000</v>
      </c>
      <c r="U407" s="28"/>
      <c r="V407" s="28" t="s">
        <v>275</v>
      </c>
    </row>
    <row r="408" spans="2:22" x14ac:dyDescent="0.25">
      <c r="B408" s="8">
        <v>46085</v>
      </c>
      <c r="C408" s="9" t="s">
        <v>23</v>
      </c>
      <c r="D408" s="10" t="s">
        <v>1</v>
      </c>
      <c r="E408" s="10" t="s">
        <v>2</v>
      </c>
      <c r="F408" s="11">
        <v>106.8</v>
      </c>
      <c r="G408" s="11">
        <v>20000</v>
      </c>
      <c r="H408" s="12">
        <f>[1]!РЕАЛИЗАЦИЯ[СОНИ]*[1]!РЕАЛИЗАЦИЯ[НАРХИ]</f>
        <v>951299.99999999988</v>
      </c>
      <c r="I408" s="11"/>
      <c r="J408" s="13">
        <v>19000</v>
      </c>
      <c r="K408" s="11">
        <f>[1]!РЕАЛИЗАЦИЯ[[#This Row],[СОНИ]]*[1]!РЕАЛИЗАЦИЯ[[#This Row],[ТАННАРХ]]</f>
        <v>0</v>
      </c>
      <c r="L408" s="14">
        <f>[1]!РЕАЛИЗАЦИЯ[[#This Row],[ЖАМИ]]-[1]!РЕАЛИЗАЦИЯ[[#This Row],[ЖАМИ2]]</f>
        <v>951299.99999999988</v>
      </c>
      <c r="O408" s="30">
        <v>46087</v>
      </c>
      <c r="P408" s="31" t="s">
        <v>54</v>
      </c>
      <c r="Q408" s="13">
        <v>500000</v>
      </c>
      <c r="R408" s="13"/>
      <c r="S408" s="13"/>
      <c r="T408" s="32">
        <f>[1]!ПЛАТЕЖИ[[#This Row],[СЎМ]]+([1]!ПЛАТЕЖИ[[#This Row],[ВАЛЮТА]]*[1]!ПЛАТЕЖИ[[#This Row],[КУРС]])</f>
        <v>932200</v>
      </c>
      <c r="U408" s="31"/>
      <c r="V408" s="31" t="s">
        <v>275</v>
      </c>
    </row>
    <row r="409" spans="2:22" x14ac:dyDescent="0.25">
      <c r="B409" s="1">
        <v>46085</v>
      </c>
      <c r="C409" s="2" t="s">
        <v>23</v>
      </c>
      <c r="D409" s="3" t="s">
        <v>10</v>
      </c>
      <c r="E409" s="3" t="s">
        <v>2</v>
      </c>
      <c r="F409" s="4">
        <v>98.1</v>
      </c>
      <c r="G409" s="4">
        <v>15000</v>
      </c>
      <c r="H409" s="5">
        <f>[1]!РЕАЛИЗАЦИЯ[СОНИ]*[1]!РЕАЛИЗАЦИЯ[НАРХИ]</f>
        <v>1492500</v>
      </c>
      <c r="I409" s="4"/>
      <c r="J409" s="6">
        <v>13000</v>
      </c>
      <c r="K409" s="4">
        <f>[1]!РЕАЛИЗАЦИЯ[[#This Row],[СОНИ]]*[1]!РЕАЛИЗАЦИЯ[[#This Row],[ТАННАРХ]]</f>
        <v>0</v>
      </c>
      <c r="L409" s="7">
        <f>[1]!РЕАЛИЗАЦИЯ[[#This Row],[ЖАМИ]]-[1]!РЕАЛИЗАЦИЯ[[#This Row],[ЖАМИ2]]</f>
        <v>1492500</v>
      </c>
      <c r="O409" s="27">
        <v>46087</v>
      </c>
      <c r="P409" s="28" t="s">
        <v>177</v>
      </c>
      <c r="Q409" s="6">
        <v>1090400</v>
      </c>
      <c r="R409" s="6"/>
      <c r="S409" s="6"/>
      <c r="T409" s="29">
        <f>[1]!ПЛАТЕЖИ[[#This Row],[СЎМ]]+([1]!ПЛАТЕЖИ[[#This Row],[ВАЛЮТА]]*[1]!ПЛАТЕЖИ[[#This Row],[КУРС]])</f>
        <v>500000</v>
      </c>
      <c r="U409" s="28"/>
      <c r="V409" s="28"/>
    </row>
    <row r="410" spans="2:22" x14ac:dyDescent="0.25">
      <c r="B410" s="8">
        <v>46085</v>
      </c>
      <c r="C410" s="9" t="s">
        <v>138</v>
      </c>
      <c r="D410" s="10" t="s">
        <v>25</v>
      </c>
      <c r="E410" s="10" t="s">
        <v>2</v>
      </c>
      <c r="F410" s="11">
        <v>20.6</v>
      </c>
      <c r="G410" s="11">
        <v>26000</v>
      </c>
      <c r="H410" s="12">
        <f>[1]!РЕАЛИЗАЦИЯ[СОНИ]*[1]!РЕАЛИЗАЦИЯ[НАРХИ]</f>
        <v>2108000</v>
      </c>
      <c r="I410" s="11"/>
      <c r="J410" s="13">
        <v>23000</v>
      </c>
      <c r="K410" s="11">
        <f>[1]!РЕАЛИЗАЦИЯ[[#This Row],[СОНИ]]*[1]!РЕАЛИЗАЦИЯ[[#This Row],[ТАННАРХ]]</f>
        <v>0</v>
      </c>
      <c r="L410" s="14">
        <f>[1]!РЕАЛИЗАЦИЯ[[#This Row],[ЖАМИ]]-[1]!РЕАЛИЗАЦИЯ[[#This Row],[ЖАМИ2]]</f>
        <v>2108000</v>
      </c>
      <c r="O410" s="30">
        <v>46088</v>
      </c>
      <c r="P410" s="31" t="s">
        <v>290</v>
      </c>
      <c r="Q410" s="13">
        <v>1013200</v>
      </c>
      <c r="R410" s="13"/>
      <c r="S410" s="13"/>
      <c r="T410" s="32">
        <f>[1]!ПЛАТЕЖИ[[#This Row],[СЎМ]]+([1]!ПЛАТЕЖИ[[#This Row],[ВАЛЮТА]]*[1]!ПЛАТЕЖИ[[#This Row],[КУРС]])</f>
        <v>1170000</v>
      </c>
      <c r="U410" s="31"/>
      <c r="V410" s="31"/>
    </row>
    <row r="411" spans="2:22" x14ac:dyDescent="0.25">
      <c r="B411" s="1">
        <v>46085</v>
      </c>
      <c r="C411" s="2" t="s">
        <v>15</v>
      </c>
      <c r="D411" s="3" t="s">
        <v>16</v>
      </c>
      <c r="E411" s="3" t="s">
        <v>2</v>
      </c>
      <c r="F411" s="4">
        <v>345</v>
      </c>
      <c r="G411" s="4">
        <v>23000</v>
      </c>
      <c r="H411" s="5">
        <f>[1]!РЕАЛИЗАЦИЯ[СОНИ]*[1]!РЕАЛИЗАЦИЯ[НАРХИ]</f>
        <v>1431000</v>
      </c>
      <c r="I411" s="4"/>
      <c r="J411" s="6">
        <v>21000</v>
      </c>
      <c r="K411" s="4">
        <f>[1]!РЕАЛИЗАЦИЯ[[#This Row],[СОНИ]]*[1]!РЕАЛИЗАЦИЯ[[#This Row],[ТАННАРХ]]</f>
        <v>0</v>
      </c>
      <c r="L411" s="7">
        <f>[1]!РЕАЛИЗАЦИЯ[[#This Row],[ЖАМИ]]-[1]!РЕАЛИЗАЦИЯ[[#This Row],[ЖАМИ2]]</f>
        <v>1431000</v>
      </c>
      <c r="O411" s="27">
        <v>46088</v>
      </c>
      <c r="P411" s="28" t="s">
        <v>168</v>
      </c>
      <c r="Q411" s="6">
        <v>3846900</v>
      </c>
      <c r="R411" s="6"/>
      <c r="S411" s="6"/>
      <c r="T411" s="29">
        <f>[1]!ПЛАТЕЖИ[[#This Row],[СЎМ]]+([1]!ПЛАТЕЖИ[[#This Row],[ВАЛЮТА]]*[1]!ПЛАТЕЖИ[[#This Row],[КУРС]])</f>
        <v>15685800</v>
      </c>
      <c r="U411" s="28"/>
      <c r="V411" s="28"/>
    </row>
    <row r="412" spans="2:22" x14ac:dyDescent="0.25">
      <c r="B412" s="8">
        <v>46086</v>
      </c>
      <c r="C412" s="9" t="s">
        <v>177</v>
      </c>
      <c r="D412" s="10" t="s">
        <v>1</v>
      </c>
      <c r="E412" s="10" t="s">
        <v>2</v>
      </c>
      <c r="F412" s="11">
        <v>51.9</v>
      </c>
      <c r="G412" s="11">
        <v>21000</v>
      </c>
      <c r="H412" s="12">
        <f>[1]!РЕАЛИЗАЦИЯ[СОНИ]*[1]!РЕАЛИЗАЦИЯ[НАРХИ]</f>
        <v>1144500</v>
      </c>
      <c r="I412" s="11"/>
      <c r="J412" s="13">
        <v>19000</v>
      </c>
      <c r="K412" s="11">
        <f>[1]!РЕАЛИЗАЦИЯ[[#This Row],[СОНИ]]*[1]!РЕАЛИЗАЦИЯ[[#This Row],[ТАННАРХ]]</f>
        <v>0</v>
      </c>
      <c r="L412" s="14">
        <f>[1]!РЕАЛИЗАЦИЯ[[#This Row],[ЖАМИ]]-[1]!РЕАЛИЗАЦИЯ[[#This Row],[ЖАМИ2]]</f>
        <v>1144500</v>
      </c>
      <c r="O412" s="30">
        <v>46088</v>
      </c>
      <c r="P412" s="31" t="s">
        <v>156</v>
      </c>
      <c r="Q412" s="13">
        <v>1300400</v>
      </c>
      <c r="R412" s="13"/>
      <c r="S412" s="13"/>
      <c r="T412" s="32">
        <f>[1]!ПЛАТЕЖИ[[#This Row],[СЎМ]]+([1]!ПЛАТЕЖИ[[#This Row],[ВАЛЮТА]]*[1]!ПЛАТЕЖИ[[#This Row],[КУРС]])</f>
        <v>556000</v>
      </c>
      <c r="U412" s="31"/>
      <c r="V412" s="31"/>
    </row>
    <row r="413" spans="2:22" x14ac:dyDescent="0.25">
      <c r="B413" s="1">
        <v>46086</v>
      </c>
      <c r="C413" s="2" t="s">
        <v>178</v>
      </c>
      <c r="D413" s="3" t="s">
        <v>1</v>
      </c>
      <c r="E413" s="3" t="s">
        <v>2</v>
      </c>
      <c r="F413" s="4">
        <v>48.5</v>
      </c>
      <c r="G413" s="4">
        <v>21000</v>
      </c>
      <c r="H413" s="5">
        <f>[1]!РЕАЛИЗАЦИЯ[СОНИ]*[1]!РЕАЛИЗАЦИЯ[НАРХИ]</f>
        <v>728000</v>
      </c>
      <c r="I413" s="4"/>
      <c r="J413" s="6">
        <v>19000</v>
      </c>
      <c r="K413" s="4">
        <f>[1]!РЕАЛИЗАЦИЯ[[#This Row],[СОНИ]]*[1]!РЕАЛИЗАЦИЯ[[#This Row],[ТАННАРХ]]</f>
        <v>0</v>
      </c>
      <c r="L413" s="7">
        <f>[1]!РЕАЛИЗАЦИЯ[[#This Row],[ЖАМИ]]-[1]!РЕАЛИЗАЦИЯ[[#This Row],[ЖАМИ2]]</f>
        <v>728000</v>
      </c>
      <c r="O413" s="27">
        <v>46088</v>
      </c>
      <c r="P413" s="28" t="s">
        <v>144</v>
      </c>
      <c r="Q413" s="6">
        <v>400000</v>
      </c>
      <c r="R413" s="6"/>
      <c r="S413" s="6"/>
      <c r="T413" s="29">
        <f>[1]!ПЛАТЕЖИ[[#This Row],[СЎМ]]+([1]!ПЛАТЕЖИ[[#This Row],[ВАЛЮТА]]*[1]!ПЛАТЕЖИ[[#This Row],[КУРС]])</f>
        <v>2746200</v>
      </c>
      <c r="U413" s="28"/>
      <c r="V413" s="28"/>
    </row>
    <row r="414" spans="2:22" x14ac:dyDescent="0.25">
      <c r="B414" s="8">
        <v>46086</v>
      </c>
      <c r="C414" s="9" t="s">
        <v>178</v>
      </c>
      <c r="D414" s="10" t="s">
        <v>1</v>
      </c>
      <c r="E414" s="10" t="s">
        <v>2</v>
      </c>
      <c r="F414" s="11">
        <v>43.4</v>
      </c>
      <c r="G414" s="11">
        <v>21000</v>
      </c>
      <c r="H414" s="12">
        <f>[1]!РЕАЛИЗАЦИЯ[СОНИ]*[1]!РЕАЛИЗАЦИЯ[НАРХИ]</f>
        <v>840000</v>
      </c>
      <c r="I414" s="11" t="s">
        <v>179</v>
      </c>
      <c r="J414" s="13">
        <v>19000</v>
      </c>
      <c r="K414" s="11">
        <f>[1]!РЕАЛИЗАЦИЯ[[#This Row],[СОНИ]]*[1]!РЕАЛИЗАЦИЯ[[#This Row],[ТАННАРХ]]</f>
        <v>0</v>
      </c>
      <c r="L414" s="14">
        <f>[1]!РЕАЛИЗАЦИЯ[[#This Row],[ЖАМИ]]-[1]!РЕАЛИЗАЦИЯ[[#This Row],[ЖАМИ2]]</f>
        <v>840000</v>
      </c>
      <c r="O414" s="30">
        <v>46088</v>
      </c>
      <c r="P414" s="31" t="s">
        <v>64</v>
      </c>
      <c r="Q414" s="13">
        <v>2270100</v>
      </c>
      <c r="R414" s="13"/>
      <c r="S414" s="13"/>
      <c r="T414" s="32">
        <f>[1]!ПЛАТЕЖИ[[#This Row],[СЎМ]]+([1]!ПЛАТЕЖИ[[#This Row],[ВАЛЮТА]]*[1]!ПЛАТЕЖИ[[#This Row],[КУРС]])</f>
        <v>2220300</v>
      </c>
      <c r="U414" s="31"/>
      <c r="V414" s="31"/>
    </row>
    <row r="415" spans="2:22" x14ac:dyDescent="0.25">
      <c r="B415" s="1">
        <v>46086</v>
      </c>
      <c r="C415" s="2" t="s">
        <v>160</v>
      </c>
      <c r="D415" s="3" t="s">
        <v>10</v>
      </c>
      <c r="E415" s="3" t="s">
        <v>2</v>
      </c>
      <c r="F415" s="4">
        <v>47.6</v>
      </c>
      <c r="G415" s="4">
        <v>16000</v>
      </c>
      <c r="H415" s="5">
        <f>[1]!РЕАЛИЗАЦИЯ[СОНИ]*[1]!РЕАЛИЗАЦИЯ[НАРХИ]</f>
        <v>2112600</v>
      </c>
      <c r="I415" s="4"/>
      <c r="J415" s="6">
        <v>13000</v>
      </c>
      <c r="K415" s="4">
        <f>[1]!РЕАЛИЗАЦИЯ[[#This Row],[СОНИ]]*[1]!РЕАЛИЗАЦИЯ[[#This Row],[ТАННАРХ]]</f>
        <v>0</v>
      </c>
      <c r="L415" s="7">
        <f>[1]!РЕАЛИЗАЦИЯ[[#This Row],[ЖАМИ]]-[1]!РЕАЛИЗАЦИЯ[[#This Row],[ЖАМИ2]]</f>
        <v>2112600</v>
      </c>
      <c r="O415" s="27">
        <v>46088</v>
      </c>
      <c r="P415" s="28" t="s">
        <v>121</v>
      </c>
      <c r="Q415" s="6">
        <v>461200</v>
      </c>
      <c r="R415" s="6"/>
      <c r="S415" s="6"/>
      <c r="T415" s="29">
        <f>[1]!ПЛАТЕЖИ[[#This Row],[СЎМ]]+([1]!ПЛАТЕЖИ[[#This Row],[ВАЛЮТА]]*[1]!ПЛАТЕЖИ[[#This Row],[КУРС]])</f>
        <v>5509400</v>
      </c>
      <c r="U415" s="28"/>
      <c r="V415" s="28"/>
    </row>
    <row r="416" spans="2:22" x14ac:dyDescent="0.25">
      <c r="B416" s="8">
        <v>46086</v>
      </c>
      <c r="C416" s="9" t="s">
        <v>180</v>
      </c>
      <c r="D416" s="10" t="s">
        <v>1</v>
      </c>
      <c r="E416" s="10" t="s">
        <v>2</v>
      </c>
      <c r="F416" s="11">
        <v>52.3</v>
      </c>
      <c r="G416" s="11">
        <v>21000</v>
      </c>
      <c r="H416" s="12">
        <f>[1]!РЕАЛИЗАЦИЯ[СОНИ]*[1]!РЕАЛИЗАЦИЯ[НАРХИ]</f>
        <v>2129950</v>
      </c>
      <c r="I416" s="11"/>
      <c r="J416" s="13">
        <v>19000</v>
      </c>
      <c r="K416" s="11">
        <f>[1]!РЕАЛИЗАЦИЯ[[#This Row],[СОНИ]]*[1]!РЕАЛИЗАЦИЯ[[#This Row],[ТАННАРХ]]</f>
        <v>0</v>
      </c>
      <c r="L416" s="14">
        <f>[1]!РЕАЛИЗАЦИЯ[[#This Row],[ЖАМИ]]-[1]!РЕАЛИЗАЦИЯ[[#This Row],[ЖАМИ2]]</f>
        <v>2129950</v>
      </c>
      <c r="O416" s="30">
        <v>46088</v>
      </c>
      <c r="P416" s="31" t="s">
        <v>62</v>
      </c>
      <c r="Q416" s="13">
        <v>741000</v>
      </c>
      <c r="R416" s="13"/>
      <c r="S416" s="13"/>
      <c r="T416" s="32">
        <f>[1]!ПЛАТЕЖИ[[#This Row],[СЎМ]]+([1]!ПЛАТЕЖИ[[#This Row],[ВАЛЮТА]]*[1]!ПЛАТЕЖИ[[#This Row],[КУРС]])</f>
        <v>1100000</v>
      </c>
      <c r="U416" s="31"/>
      <c r="V416" s="31"/>
    </row>
    <row r="417" spans="2:22" x14ac:dyDescent="0.25">
      <c r="B417" s="1">
        <v>46086</v>
      </c>
      <c r="C417" s="2" t="s">
        <v>79</v>
      </c>
      <c r="D417" s="3" t="s">
        <v>29</v>
      </c>
      <c r="E417" s="3" t="s">
        <v>2</v>
      </c>
      <c r="F417" s="4">
        <v>404</v>
      </c>
      <c r="G417" s="4">
        <v>18000</v>
      </c>
      <c r="H417" s="5">
        <f>[1]!РЕАЛИЗАЦИЯ[СОНИ]*[1]!РЕАЛИЗАЦИЯ[НАРХИ]</f>
        <v>1904400</v>
      </c>
      <c r="I417" s="4"/>
      <c r="J417" s="6">
        <v>16000</v>
      </c>
      <c r="K417" s="4">
        <f>[1]!РЕАЛИЗАЦИЯ[[#This Row],[СОНИ]]*[1]!РЕАЛИЗАЦИЯ[[#This Row],[ТАННАРХ]]</f>
        <v>0</v>
      </c>
      <c r="L417" s="7">
        <f>[1]!РЕАЛИЗАЦИЯ[[#This Row],[ЖАМИ]]-[1]!РЕАЛИЗАЦИЯ[[#This Row],[ЖАМИ2]]</f>
        <v>1904400</v>
      </c>
      <c r="O417" s="27">
        <v>46090</v>
      </c>
      <c r="P417" s="28" t="s">
        <v>98</v>
      </c>
      <c r="Q417" s="6">
        <v>1500000</v>
      </c>
      <c r="R417" s="6"/>
      <c r="S417" s="6"/>
      <c r="T417" s="29">
        <f>[1]!ПЛАТЕЖИ[[#This Row],[СЎМ]]+([1]!ПЛАТЕЖИ[[#This Row],[ВАЛЮТА]]*[1]!ПЛАТЕЖИ[[#This Row],[КУРС]])</f>
        <v>2770000</v>
      </c>
      <c r="U417" s="28"/>
      <c r="V417" s="28"/>
    </row>
    <row r="418" spans="2:22" x14ac:dyDescent="0.25">
      <c r="B418" s="8">
        <v>46087</v>
      </c>
      <c r="C418" s="9" t="s">
        <v>77</v>
      </c>
      <c r="D418" s="10" t="s">
        <v>1</v>
      </c>
      <c r="E418" s="10" t="s">
        <v>2</v>
      </c>
      <c r="F418" s="11">
        <v>55.5</v>
      </c>
      <c r="G418" s="11">
        <v>20000</v>
      </c>
      <c r="H418" s="12">
        <f>[1]!РЕАЛИЗАЦИЯ[СОНИ]*[1]!РЕАЛИЗАЦИЯ[НАРХИ]</f>
        <v>10154500</v>
      </c>
      <c r="I418" s="11"/>
      <c r="J418" s="13">
        <v>19000</v>
      </c>
      <c r="K418" s="11">
        <f>[1]!РЕАЛИЗАЦИЯ[[#This Row],[СОНИ]]*[1]!РЕАЛИЗАЦИЯ[[#This Row],[ТАННАРХ]]</f>
        <v>3995906125</v>
      </c>
      <c r="L418" s="14">
        <f>[1]!РЕАЛИЗАЦИЯ[[#This Row],[ЖАМИ]]-[1]!РЕАЛИЗАЦИЯ[[#This Row],[ЖАМИ2]]</f>
        <v>10154058.5</v>
      </c>
      <c r="O418" s="30">
        <v>46090</v>
      </c>
      <c r="P418" s="31" t="s">
        <v>188</v>
      </c>
      <c r="Q418" s="13">
        <v>2593500</v>
      </c>
      <c r="R418" s="13"/>
      <c r="S418" s="13"/>
      <c r="T418" s="32">
        <f>[1]!ПЛАТЕЖИ[[#This Row],[СЎМ]]+([1]!ПЛАТЕЖИ[[#This Row],[ВАЛЮТА]]*[1]!ПЛАТЕЖИ[[#This Row],[КУРС]])</f>
        <v>1864550</v>
      </c>
      <c r="U418" s="31"/>
      <c r="V418" s="31"/>
    </row>
    <row r="419" spans="2:22" x14ac:dyDescent="0.25">
      <c r="B419" s="1">
        <v>46087</v>
      </c>
      <c r="C419" s="2" t="s">
        <v>181</v>
      </c>
      <c r="D419" s="3" t="s">
        <v>29</v>
      </c>
      <c r="E419" s="3" t="s">
        <v>2</v>
      </c>
      <c r="F419" s="4">
        <v>55</v>
      </c>
      <c r="G419" s="4">
        <v>18000</v>
      </c>
      <c r="H419" s="5">
        <f>[1]!РЕАЛИЗАЦИЯ[СОНИ]*[1]!РЕАЛИЗАЦИЯ[НАРХИ]</f>
        <v>1087800</v>
      </c>
      <c r="I419" s="4"/>
      <c r="J419" s="6">
        <v>16000</v>
      </c>
      <c r="K419" s="4" t="e">
        <f>[1]!РЕАЛИЗАЦИЯ[[#This Row],[СОНИ]]*[1]!РЕАЛИЗАЦИЯ[[#This Row],[ТАННАРХ]]</f>
        <v>#VALUE!</v>
      </c>
      <c r="L419" s="7">
        <f>[1]!РЕАЛИЗАЦИЯ[[#This Row],[ЖАМИ]]-[1]!РЕАЛИЗАЦИЯ[[#This Row],[ЖАМИ2]]</f>
        <v>1087800</v>
      </c>
      <c r="O419" s="27">
        <v>46090</v>
      </c>
      <c r="P419" s="28" t="s">
        <v>72</v>
      </c>
      <c r="Q419" s="6">
        <v>5000000</v>
      </c>
      <c r="R419" s="6"/>
      <c r="S419" s="6"/>
      <c r="T419" s="29">
        <f>[1]!ПЛАТЕЖИ[[#This Row],[СЎМ]]+([1]!ПЛАТЕЖИ[[#This Row],[ВАЛЮТА]]*[1]!ПЛАТЕЖИ[[#This Row],[КУРС]])</f>
        <v>2060000</v>
      </c>
      <c r="U419" s="28"/>
      <c r="V419" s="28" t="s">
        <v>279</v>
      </c>
    </row>
    <row r="420" spans="2:22" x14ac:dyDescent="0.25">
      <c r="B420" s="8">
        <v>46087</v>
      </c>
      <c r="C420" s="9" t="s">
        <v>181</v>
      </c>
      <c r="D420" s="10" t="s">
        <v>1</v>
      </c>
      <c r="E420" s="10" t="s">
        <v>2</v>
      </c>
      <c r="F420" s="11">
        <v>53.7</v>
      </c>
      <c r="G420" s="11">
        <v>21000</v>
      </c>
      <c r="H420" s="12">
        <f>[1]!РЕАЛИЗАЦИЯ[СОНИ]*[1]!РЕАЛИЗАЦИЯ[НАРХИ]</f>
        <v>1031100</v>
      </c>
      <c r="I420" s="11"/>
      <c r="J420" s="13">
        <v>19000</v>
      </c>
      <c r="K420" s="11">
        <f>[1]!РЕАЛИЗАЦИЯ[[#This Row],[СОНИ]]*[1]!РЕАЛИЗАЦИЯ[[#This Row],[ТАННАРХ]]</f>
        <v>0</v>
      </c>
      <c r="L420" s="14">
        <f>[1]!РЕАЛИЗАЦИЯ[[#This Row],[ЖАМИ]]-[1]!РЕАЛИЗАЦИЯ[[#This Row],[ЖАМИ2]]</f>
        <v>1031100</v>
      </c>
      <c r="O420" s="30">
        <v>46090</v>
      </c>
      <c r="P420" s="31" t="s">
        <v>34</v>
      </c>
      <c r="Q420" s="13">
        <v>7978000</v>
      </c>
      <c r="R420" s="13"/>
      <c r="S420" s="13"/>
      <c r="T420" s="32">
        <f>[1]!ПЛАТЕЖИ[[#This Row],[СЎМ]]+([1]!ПЛАТЕЖИ[[#This Row],[ВАЛЮТА]]*[1]!ПЛАТЕЖИ[[#This Row],[КУРС]])</f>
        <v>3116400</v>
      </c>
      <c r="U420" s="31"/>
      <c r="V420" s="31" t="s">
        <v>279</v>
      </c>
    </row>
    <row r="421" spans="2:22" x14ac:dyDescent="0.25">
      <c r="B421" s="1">
        <v>46087</v>
      </c>
      <c r="C421" s="2" t="s">
        <v>181</v>
      </c>
      <c r="D421" s="3" t="s">
        <v>10</v>
      </c>
      <c r="E421" s="3" t="s">
        <v>2</v>
      </c>
      <c r="F421" s="4">
        <v>49.7</v>
      </c>
      <c r="G421" s="4">
        <v>16000</v>
      </c>
      <c r="H421" s="5">
        <f>[1]!РЕАЛИЗАЦИЯ[СОНИ]*[1]!РЕАЛИЗАЦИЯ[НАРХИ]</f>
        <v>1197000</v>
      </c>
      <c r="I421" s="4"/>
      <c r="J421" s="6">
        <v>13000</v>
      </c>
      <c r="K421" s="4">
        <f>[1]!РЕАЛИЗАЦИЯ[[#This Row],[СОНИ]]*[1]!РЕАЛИЗАЦИЯ[[#This Row],[ТАННАРХ]]</f>
        <v>0</v>
      </c>
      <c r="L421" s="7">
        <f>[1]!РЕАЛИЗАЦИЯ[[#This Row],[ЖАМИ]]-[1]!РЕАЛИЗАЦИЯ[[#This Row],[ЖАМИ2]]</f>
        <v>1197000</v>
      </c>
      <c r="O421" s="27">
        <v>46090</v>
      </c>
      <c r="P421" s="28" t="s">
        <v>138</v>
      </c>
      <c r="Q421" s="6">
        <v>5018200</v>
      </c>
      <c r="R421" s="6"/>
      <c r="S421" s="6"/>
      <c r="T421" s="29">
        <f>[1]!ПЛАТЕЖИ[[#This Row],[СЎМ]]+([1]!ПЛАТЕЖИ[[#This Row],[ВАЛЮТА]]*[1]!ПЛАТЕЖИ[[#This Row],[КУРС]])</f>
        <v>795000</v>
      </c>
      <c r="U421" s="28"/>
      <c r="V421" s="28" t="s">
        <v>279</v>
      </c>
    </row>
    <row r="422" spans="2:22" x14ac:dyDescent="0.25">
      <c r="B422" s="8">
        <v>46087</v>
      </c>
      <c r="C422" s="9" t="s">
        <v>182</v>
      </c>
      <c r="D422" s="10" t="s">
        <v>1</v>
      </c>
      <c r="E422" s="10" t="s">
        <v>2</v>
      </c>
      <c r="F422" s="11">
        <v>43.6</v>
      </c>
      <c r="G422" s="11">
        <v>21000</v>
      </c>
      <c r="H422" s="12">
        <f>[1]!РЕАЛИЗАЦИЯ[СОНИ]*[1]!РЕАЛИЗАЦИЯ[НАРХИ]</f>
        <v>875200</v>
      </c>
      <c r="I422" s="11"/>
      <c r="J422" s="13">
        <v>19000</v>
      </c>
      <c r="K422" s="11">
        <f>[1]!РЕАЛИЗАЦИЯ[[#This Row],[СОНИ]]*[1]!РЕАЛИЗАЦИЯ[[#This Row],[ТАННАРХ]]</f>
        <v>0</v>
      </c>
      <c r="L422" s="14">
        <f>[1]!РЕАЛИЗАЦИЯ[[#This Row],[ЖАМИ]]-[1]!РЕАЛИЗАЦИЯ[[#This Row],[ЖАМИ2]]</f>
        <v>875200</v>
      </c>
      <c r="O422" s="30">
        <v>46091</v>
      </c>
      <c r="P422" s="31" t="s">
        <v>185</v>
      </c>
      <c r="Q422" s="13">
        <v>10686650</v>
      </c>
      <c r="R422" s="13"/>
      <c r="S422" s="13"/>
      <c r="T422" s="32">
        <f>[1]!ПЛАТЕЖИ[[#This Row],[СЎМ]]+([1]!ПЛАТЕЖИ[[#This Row],[ВАЛЮТА]]*[1]!ПЛАТЕЖИ[[#This Row],[КУРС]])</f>
        <v>6284000</v>
      </c>
      <c r="U422" s="31"/>
      <c r="V422" s="31" t="s">
        <v>279</v>
      </c>
    </row>
    <row r="423" spans="2:22" x14ac:dyDescent="0.25">
      <c r="B423" s="1">
        <v>46087</v>
      </c>
      <c r="C423" s="2" t="s">
        <v>138</v>
      </c>
      <c r="D423" s="3" t="s">
        <v>25</v>
      </c>
      <c r="E423" s="3" t="s">
        <v>2</v>
      </c>
      <c r="F423" s="4">
        <v>51.1</v>
      </c>
      <c r="G423" s="4">
        <v>26000</v>
      </c>
      <c r="H423" s="5">
        <f>[1]!РЕАЛИЗАЦИЯ[СОНИ]*[1]!РЕАЛИЗАЦИЯ[НАРХИ]</f>
        <v>1121400</v>
      </c>
      <c r="I423" s="4"/>
      <c r="J423" s="6">
        <v>23000</v>
      </c>
      <c r="K423" s="4">
        <f>[1]!РЕАЛИЗАЦИЯ[[#This Row],[СОНИ]]*[1]!РЕАЛИЗАЦИЯ[[#This Row],[ТАННАРХ]]</f>
        <v>0</v>
      </c>
      <c r="L423" s="7">
        <f>[1]!РЕАЛИЗАЦИЯ[[#This Row],[ЖАМИ]]-[1]!РЕАЛИЗАЦИЯ[[#This Row],[ЖАМИ2]]</f>
        <v>1121400</v>
      </c>
      <c r="O423" s="27">
        <v>46091</v>
      </c>
      <c r="P423" s="28" t="s">
        <v>133</v>
      </c>
      <c r="Q423" s="6">
        <v>6557500</v>
      </c>
      <c r="R423" s="6"/>
      <c r="S423" s="6"/>
      <c r="T423" s="29">
        <f>[1]!ПЛАТЕЖИ[[#This Row],[СЎМ]]+([1]!ПЛАТЕЖИ[[#This Row],[ВАЛЮТА]]*[1]!ПЛАТЕЖИ[[#This Row],[КУРС]])</f>
        <v>3240200</v>
      </c>
      <c r="U423" s="28"/>
      <c r="V423" s="28" t="s">
        <v>279</v>
      </c>
    </row>
    <row r="424" spans="2:22" x14ac:dyDescent="0.25">
      <c r="B424" s="8">
        <v>46088</v>
      </c>
      <c r="C424" s="9" t="s">
        <v>183</v>
      </c>
      <c r="D424" s="10" t="s">
        <v>1</v>
      </c>
      <c r="E424" s="10" t="s">
        <v>2</v>
      </c>
      <c r="F424" s="11">
        <v>98.6</v>
      </c>
      <c r="G424" s="11">
        <v>21000</v>
      </c>
      <c r="H424" s="12">
        <f>[1]!РЕАЛИЗАЦИЯ[СОНИ]*[1]!РЕАЛИЗАЦИЯ[НАРХИ]</f>
        <v>1088100</v>
      </c>
      <c r="I424" s="11"/>
      <c r="J424" s="13">
        <v>19000</v>
      </c>
      <c r="K424" s="11">
        <f>[1]!РЕАЛИЗАЦИЯ[[#This Row],[СОНИ]]*[1]!РЕАЛИЗАЦИЯ[[#This Row],[ТАННАРХ]]</f>
        <v>0</v>
      </c>
      <c r="L424" s="14">
        <f>[1]!РЕАЛИЗАЦИЯ[[#This Row],[ЖАМИ]]-[1]!РЕАЛИЗАЦИЯ[[#This Row],[ЖАМИ2]]</f>
        <v>1088100</v>
      </c>
      <c r="O424" s="30">
        <v>46091</v>
      </c>
      <c r="P424" s="31" t="s">
        <v>161</v>
      </c>
      <c r="Q424" s="13">
        <v>1087800</v>
      </c>
      <c r="R424" s="13"/>
      <c r="S424" s="13"/>
      <c r="T424" s="32">
        <f>[1]!ПЛАТЕЖИ[[#This Row],[СЎМ]]+([1]!ПЛАТЕЖИ[[#This Row],[ВАЛЮТА]]*[1]!ПЛАТЕЖИ[[#This Row],[КУРС]])</f>
        <v>134000</v>
      </c>
      <c r="U424" s="31"/>
      <c r="V424" s="31" t="s">
        <v>275</v>
      </c>
    </row>
    <row r="425" spans="2:22" x14ac:dyDescent="0.25">
      <c r="B425" s="1">
        <v>46088</v>
      </c>
      <c r="C425" s="2" t="s">
        <v>58</v>
      </c>
      <c r="D425" s="3" t="s">
        <v>1</v>
      </c>
      <c r="E425" s="3" t="s">
        <v>2</v>
      </c>
      <c r="F425" s="4">
        <v>51.7</v>
      </c>
      <c r="G425" s="4">
        <v>21000</v>
      </c>
      <c r="H425" s="5">
        <f>[1]!РЕАЛИЗАЦИЯ[СОНИ]*[1]!РЕАЛИЗАЦИЯ[НАРХИ]</f>
        <v>11298800</v>
      </c>
      <c r="I425" s="4" t="s">
        <v>184</v>
      </c>
      <c r="J425" s="6">
        <v>19000</v>
      </c>
      <c r="K425" s="4">
        <f>[1]!РЕАЛИЗАЦИЯ[[#This Row],[СОНИ]]*[1]!РЕАЛИЗАЦИЯ[[#This Row],[ТАННАРХ]]</f>
        <v>5201294400</v>
      </c>
      <c r="L425" s="7">
        <f>[1]!РЕАЛИЗАЦИЯ[[#This Row],[ЖАМИ]]-[1]!РЕАЛИЗАЦИЯ[[#This Row],[ЖАМИ2]]</f>
        <v>11298319.199999999</v>
      </c>
      <c r="O425" s="27">
        <v>46091</v>
      </c>
      <c r="P425" s="28" t="s">
        <v>249</v>
      </c>
      <c r="Q425" s="6">
        <v>1275000</v>
      </c>
      <c r="R425" s="6"/>
      <c r="S425" s="6"/>
      <c r="T425" s="29">
        <f>[1]!ПЛАТЕЖИ[[#This Row],[СЎМ]]+([1]!ПЛАТЕЖИ[[#This Row],[ВАЛЮТА]]*[1]!ПЛАТЕЖИ[[#This Row],[КУРС]])</f>
        <v>1497000</v>
      </c>
      <c r="U425" s="28"/>
      <c r="V425" s="28" t="s">
        <v>275</v>
      </c>
    </row>
    <row r="426" spans="2:22" x14ac:dyDescent="0.25">
      <c r="B426" s="8">
        <v>46088</v>
      </c>
      <c r="C426" s="9" t="s">
        <v>39</v>
      </c>
      <c r="D426" s="10" t="s">
        <v>1</v>
      </c>
      <c r="E426" s="10" t="s">
        <v>2</v>
      </c>
      <c r="F426" s="11">
        <v>217.7</v>
      </c>
      <c r="G426" s="11">
        <v>20000</v>
      </c>
      <c r="H426" s="12">
        <f>[1]!РЕАЛИЗАЦИЯ[СОНИ]*[1]!РЕАЛИЗАЦИЯ[НАРХИ]</f>
        <v>3607200</v>
      </c>
      <c r="I426" s="11"/>
      <c r="J426" s="13">
        <v>19000</v>
      </c>
      <c r="K426" s="11">
        <f>[1]!РЕАЛИЗАЦИЯ[[#This Row],[СОНИ]]*[1]!РЕАЛИЗАЦИЯ[[#This Row],[ТАННАРХ]]</f>
        <v>682722720</v>
      </c>
      <c r="L426" s="14">
        <f>[1]!РЕАЛИЗАЦИЯ[[#This Row],[ЖАМИ]]-[1]!РЕАЛИЗАЦИЯ[[#This Row],[ЖАМИ2]]</f>
        <v>3606999.6</v>
      </c>
      <c r="O426" s="30">
        <v>46091</v>
      </c>
      <c r="P426" s="31" t="s">
        <v>33</v>
      </c>
      <c r="Q426" s="13">
        <v>30000000</v>
      </c>
      <c r="R426" s="13"/>
      <c r="S426" s="13"/>
      <c r="T426" s="32">
        <f>[1]!ПЛАТЕЖИ[[#This Row],[СЎМ]]+([1]!ПЛАТЕЖИ[[#This Row],[ВАЛЮТА]]*[1]!ПЛАТЕЖИ[[#This Row],[КУРС]])</f>
        <v>836800</v>
      </c>
      <c r="U426" s="31"/>
      <c r="V426" s="31" t="s">
        <v>279</v>
      </c>
    </row>
    <row r="427" spans="2:22" x14ac:dyDescent="0.25">
      <c r="B427" s="1">
        <v>46088</v>
      </c>
      <c r="C427" s="2" t="s">
        <v>185</v>
      </c>
      <c r="D427" s="3" t="s">
        <v>1</v>
      </c>
      <c r="E427" s="3" t="s">
        <v>2</v>
      </c>
      <c r="F427" s="4">
        <v>521.29999999999995</v>
      </c>
      <c r="G427" s="4">
        <v>20500</v>
      </c>
      <c r="H427" s="5">
        <f>[1]!РЕАЛИЗАЦИЯ[СОНИ]*[1]!РЕАЛИЗАЦИЯ[НАРХИ]</f>
        <v>959700.00000000012</v>
      </c>
      <c r="I427" s="4"/>
      <c r="J427" s="6">
        <v>19000</v>
      </c>
      <c r="K427" s="4">
        <f>[1]!РЕАЛИЗАЦИЯ[[#This Row],[СОНИ]]*[1]!РЕАЛИЗАЦИЯ[[#This Row],[ТАННАРХ]]</f>
        <v>0</v>
      </c>
      <c r="L427" s="7">
        <f>[1]!РЕАЛИЗАЦИЯ[[#This Row],[ЖАМИ]]-[1]!РЕАЛИЗАЦИЯ[[#This Row],[ЖАМИ2]]</f>
        <v>959700.00000000012</v>
      </c>
      <c r="O427" s="27">
        <v>46092</v>
      </c>
      <c r="P427" s="28" t="s">
        <v>150</v>
      </c>
      <c r="Q427" s="6">
        <v>900000</v>
      </c>
      <c r="R427" s="6"/>
      <c r="S427" s="6"/>
      <c r="T427" s="29">
        <f>[1]!ПЛАТЕЖИ[[#This Row],[СЎМ]]+([1]!ПЛАТЕЖИ[[#This Row],[ВАЛЮТА]]*[1]!ПЛАТЕЖИ[[#This Row],[КУРС]])</f>
        <v>1062000</v>
      </c>
      <c r="U427" s="28"/>
      <c r="V427" s="28" t="s">
        <v>275</v>
      </c>
    </row>
    <row r="428" spans="2:22" x14ac:dyDescent="0.25">
      <c r="B428" s="8">
        <v>46089</v>
      </c>
      <c r="C428" s="9" t="s">
        <v>39</v>
      </c>
      <c r="D428" s="10" t="s">
        <v>1</v>
      </c>
      <c r="E428" s="10" t="s">
        <v>2</v>
      </c>
      <c r="F428" s="11">
        <v>144.80000000000001</v>
      </c>
      <c r="G428" s="11">
        <v>20000</v>
      </c>
      <c r="H428" s="12">
        <f>[1]!РЕАЛИЗАЦИЯ[СОНИ]*[1]!РЕАЛИЗАЦИЯ[НАРХИ]</f>
        <v>798400</v>
      </c>
      <c r="I428" s="11"/>
      <c r="J428" s="13">
        <v>19000</v>
      </c>
      <c r="K428" s="11">
        <f>[1]!РЕАЛИЗАЦИЯ[[#This Row],[СОНИ]]*[1]!РЕАЛИЗАЦИЯ[[#This Row],[ТАННАРХ]]</f>
        <v>0</v>
      </c>
      <c r="L428" s="14">
        <f>[1]!РЕАЛИЗАЦИЯ[[#This Row],[ЖАМИ]]-[1]!РЕАЛИЗАЦИЯ[[#This Row],[ЖАМИ2]]</f>
        <v>798400</v>
      </c>
      <c r="O428" s="30">
        <v>46087</v>
      </c>
      <c r="P428" s="31" t="s">
        <v>68</v>
      </c>
      <c r="Q428" s="13">
        <v>10000000</v>
      </c>
      <c r="R428" s="13"/>
      <c r="S428" s="13"/>
      <c r="T428" s="32">
        <f>[1]!ПЛАТЕЖИ[[#This Row],[СЎМ]]+([1]!ПЛАТЕЖИ[[#This Row],[ВАЛЮТА]]*[1]!ПЛАТЕЖИ[[#This Row],[КУРС]])</f>
        <v>2127300</v>
      </c>
      <c r="U428" s="31"/>
      <c r="V428" s="31" t="s">
        <v>279</v>
      </c>
    </row>
    <row r="429" spans="2:22" x14ac:dyDescent="0.25">
      <c r="B429" s="1">
        <v>46089</v>
      </c>
      <c r="C429" s="2" t="s">
        <v>78</v>
      </c>
      <c r="D429" s="3" t="s">
        <v>29</v>
      </c>
      <c r="E429" s="3" t="s">
        <v>2</v>
      </c>
      <c r="F429" s="4">
        <v>141.19999999999999</v>
      </c>
      <c r="G429" s="4">
        <v>17500</v>
      </c>
      <c r="H429" s="5">
        <f>[1]!РЕАЛИЗАЦИЯ[СОНИ]*[1]!РЕАЛИЗАЦИЯ[НАРХИ]</f>
        <v>3602400</v>
      </c>
      <c r="I429" s="4"/>
      <c r="J429" s="6">
        <v>16000</v>
      </c>
      <c r="K429" s="4">
        <f>[1]!РЕАЛИЗАЦИЯ[[#This Row],[СОНИ]]*[1]!РЕАЛИЗАЦИЯ[[#This Row],[ТАННАРХ]]</f>
        <v>519840000</v>
      </c>
      <c r="L429" s="7">
        <f>[1]!РЕАЛИЗАЦИЯ[[#This Row],[ЖАМИ]]-[1]!РЕАЛИЗАЦИЯ[[#This Row],[ЖАМИ2]]</f>
        <v>3602248</v>
      </c>
      <c r="O429" s="27">
        <v>46092</v>
      </c>
      <c r="P429" s="28" t="s">
        <v>124</v>
      </c>
      <c r="Q429" s="6">
        <v>2074800</v>
      </c>
      <c r="R429" s="6"/>
      <c r="S429" s="6"/>
      <c r="T429" s="29">
        <f>[1]!ПЛАТЕЖИ[[#This Row],[СЎМ]]+([1]!ПЛАТЕЖИ[[#This Row],[ВАЛЮТА]]*[1]!ПЛАТЕЖИ[[#This Row],[КУРС]])</f>
        <v>980000</v>
      </c>
      <c r="U429" s="28"/>
      <c r="V429" s="28"/>
    </row>
    <row r="430" spans="2:22" x14ac:dyDescent="0.25">
      <c r="B430" s="8">
        <v>46089</v>
      </c>
      <c r="C430" s="9" t="s">
        <v>64</v>
      </c>
      <c r="D430" s="10" t="s">
        <v>1</v>
      </c>
      <c r="E430" s="10" t="s">
        <v>2</v>
      </c>
      <c r="F430" s="11">
        <v>99.1</v>
      </c>
      <c r="G430" s="11">
        <v>21000</v>
      </c>
      <c r="H430" s="12">
        <f>[1]!РЕАЛИЗАЦИЯ[СОНИ]*[1]!РЕАЛИЗАЦИЯ[НАРХИ]</f>
        <v>23287500</v>
      </c>
      <c r="I430" s="11" t="s">
        <v>186</v>
      </c>
      <c r="J430" s="13">
        <v>19000</v>
      </c>
      <c r="K430" s="11">
        <f>[1]!РЕАЛИЗАЦИЯ[[#This Row],[СОНИ]]*[1]!РЕАЛИЗАЦИЯ[[#This Row],[ТАННАРХ]]</f>
        <v>20503125000</v>
      </c>
      <c r="L430" s="14">
        <f>[1]!РЕАЛИЗАЦИЯ[[#This Row],[ЖАМИ]]-[1]!РЕАЛИЗАЦИЯ[[#This Row],[ЖАМИ2]]</f>
        <v>23286487.5</v>
      </c>
      <c r="O430" s="30">
        <v>46092</v>
      </c>
      <c r="P430" s="31" t="s">
        <v>78</v>
      </c>
      <c r="Q430" s="13">
        <v>11517000</v>
      </c>
      <c r="R430" s="13"/>
      <c r="S430" s="13"/>
      <c r="T430" s="32">
        <f>[1]!ПЛАТЕЖИ[[#This Row],[СЎМ]]+([1]!ПЛАТЕЖИ[[#This Row],[ВАЛЮТА]]*[1]!ПЛАТЕЖИ[[#This Row],[КУРС]])</f>
        <v>2700000</v>
      </c>
      <c r="U430" s="31"/>
      <c r="V430" s="31"/>
    </row>
    <row r="431" spans="2:22" x14ac:dyDescent="0.25">
      <c r="B431" s="1">
        <v>46090</v>
      </c>
      <c r="C431" s="2" t="s">
        <v>187</v>
      </c>
      <c r="D431" s="3" t="s">
        <v>1</v>
      </c>
      <c r="E431" s="3" t="s">
        <v>2</v>
      </c>
      <c r="F431" s="4">
        <v>197</v>
      </c>
      <c r="G431" s="4">
        <v>20000</v>
      </c>
      <c r="H431" s="5">
        <f>[1]!РЕАЛИЗАЦИЯ[СОНИ]*[1]!РЕАЛИЗАЦИЯ[НАРХИ]</f>
        <v>833250</v>
      </c>
      <c r="I431" s="4"/>
      <c r="J431" s="6">
        <v>19000</v>
      </c>
      <c r="K431" s="4">
        <f>[1]!РЕАЛИЗАЦИЯ[[#This Row],[СОНИ]]*[1]!РЕАЛИЗАЦИЯ[[#This Row],[ТАННАРХ]]</f>
        <v>0</v>
      </c>
      <c r="L431" s="7">
        <f>[1]!РЕАЛИЗАЦИЯ[[#This Row],[ЖАМИ]]-[1]!РЕАЛИЗАЦИЯ[[#This Row],[ЖАМИ2]]</f>
        <v>833250</v>
      </c>
      <c r="O431" s="27">
        <v>46092</v>
      </c>
      <c r="P431" s="28" t="s">
        <v>111</v>
      </c>
      <c r="Q431" s="6">
        <v>2557100</v>
      </c>
      <c r="R431" s="6"/>
      <c r="S431" s="6"/>
      <c r="T431" s="29">
        <f>[1]!ПЛАТЕЖИ[[#This Row],[СЎМ]]+([1]!ПЛАТЕЖИ[[#This Row],[ВАЛЮТА]]*[1]!ПЛАТЕЖИ[[#This Row],[КУРС]])</f>
        <v>1150800</v>
      </c>
      <c r="U431" s="28"/>
      <c r="V431" s="28"/>
    </row>
    <row r="432" spans="2:22" x14ac:dyDescent="0.25">
      <c r="B432" s="8">
        <v>46090</v>
      </c>
      <c r="C432" s="9" t="s">
        <v>27</v>
      </c>
      <c r="D432" s="10" t="s">
        <v>1</v>
      </c>
      <c r="E432" s="10" t="s">
        <v>2</v>
      </c>
      <c r="F432" s="11">
        <v>760.3</v>
      </c>
      <c r="G432" s="11">
        <v>23000</v>
      </c>
      <c r="H432" s="12">
        <f>[1]!РЕАЛИЗАЦИЯ[СОНИ]*[1]!РЕАЛИЗАЦИЯ[НАРХИ]</f>
        <v>958900</v>
      </c>
      <c r="I432" s="11"/>
      <c r="J432" s="13">
        <v>19000</v>
      </c>
      <c r="K432" s="11">
        <f>[1]!РЕАЛИЗАЦИЯ[[#This Row],[СОНИ]]*[1]!РЕАЛИЗАЦИЯ[[#This Row],[ТАННАРХ]]</f>
        <v>0</v>
      </c>
      <c r="L432" s="14">
        <f>[1]!РЕАЛИЗАЦИЯ[[#This Row],[ЖАМИ]]-[1]!РЕАЛИЗАЦИЯ[[#This Row],[ЖАМИ2]]</f>
        <v>958900</v>
      </c>
      <c r="O432" s="30">
        <v>46092</v>
      </c>
      <c r="P432" s="31" t="s">
        <v>71</v>
      </c>
      <c r="Q432" s="13">
        <v>500000</v>
      </c>
      <c r="R432" s="13">
        <v>100</v>
      </c>
      <c r="S432" s="13">
        <v>12100</v>
      </c>
      <c r="T432" s="32">
        <f>[1]!ПЛАТЕЖИ[[#This Row],[СЎМ]]+([1]!ПЛАТЕЖИ[[#This Row],[ВАЛЮТА]]*[1]!ПЛАТЕЖИ[[#This Row],[КУРС]])</f>
        <v>1500000</v>
      </c>
      <c r="U432" s="31"/>
      <c r="V432" s="31"/>
    </row>
    <row r="433" spans="2:22" x14ac:dyDescent="0.25">
      <c r="B433" s="1">
        <v>46090</v>
      </c>
      <c r="C433" s="2" t="s">
        <v>20</v>
      </c>
      <c r="D433" s="3" t="s">
        <v>1</v>
      </c>
      <c r="E433" s="3" t="s">
        <v>2</v>
      </c>
      <c r="F433" s="4">
        <v>45.6</v>
      </c>
      <c r="G433" s="4">
        <v>21000</v>
      </c>
      <c r="H433" s="5">
        <f>[1]!РЕАЛИЗАЦИЯ[СОНИ]*[1]!РЕАЛИЗАЦИЯ[НАРХИ]</f>
        <v>814400</v>
      </c>
      <c r="I433" s="4"/>
      <c r="J433" s="6">
        <v>19000</v>
      </c>
      <c r="K433" s="4">
        <f>[1]!РЕАЛИЗАЦИЯ[[#This Row],[СОНИ]]*[1]!РЕАЛИЗАЦИЯ[[#This Row],[ТАННАРХ]]</f>
        <v>0</v>
      </c>
      <c r="L433" s="7">
        <f>[1]!РЕАЛИЗАЦИЯ[[#This Row],[ЖАМИ]]-[1]!РЕАЛИЗАЦИЯ[[#This Row],[ЖАМИ2]]</f>
        <v>814400</v>
      </c>
      <c r="O433" s="27">
        <v>46092</v>
      </c>
      <c r="P433" s="28" t="s">
        <v>33</v>
      </c>
      <c r="Q433" s="6">
        <v>30000000</v>
      </c>
      <c r="R433" s="6"/>
      <c r="S433" s="6"/>
      <c r="T433" s="29">
        <f>[1]!ПЛАТЕЖИ[[#This Row],[СЎМ]]+([1]!ПЛАТЕЖИ[[#This Row],[ВАЛЮТА]]*[1]!ПЛАТЕЖИ[[#This Row],[КУРС]])</f>
        <v>4250000</v>
      </c>
      <c r="U433" s="28"/>
      <c r="V433" s="28" t="s">
        <v>279</v>
      </c>
    </row>
    <row r="434" spans="2:22" x14ac:dyDescent="0.25">
      <c r="B434" s="8">
        <v>46090</v>
      </c>
      <c r="C434" s="9" t="s">
        <v>78</v>
      </c>
      <c r="D434" s="10" t="s">
        <v>8</v>
      </c>
      <c r="E434" s="10" t="s">
        <v>2</v>
      </c>
      <c r="F434" s="11">
        <v>341.3</v>
      </c>
      <c r="G434" s="11">
        <v>21500</v>
      </c>
      <c r="H434" s="12">
        <f>[1]!РЕАЛИЗАЦИЯ[СОНИ]*[1]!РЕАЛИЗАЦИЯ[НАРХИ]</f>
        <v>1016400</v>
      </c>
      <c r="I434" s="11"/>
      <c r="J434" s="13">
        <v>20000</v>
      </c>
      <c r="K434" s="11">
        <f>[1]!РЕАЛИЗАЦИЯ[[#This Row],[СОНИ]]*[1]!РЕАЛИЗАЦИЯ[[#This Row],[ТАННАРХ]]</f>
        <v>0</v>
      </c>
      <c r="L434" s="14">
        <f>[1]!РЕАЛИЗАЦИЯ[[#This Row],[ЖАМИ]]-[1]!РЕАЛИЗАЦИЯ[[#This Row],[ЖАМИ2]]</f>
        <v>1016400</v>
      </c>
      <c r="O434" s="30">
        <v>46092</v>
      </c>
      <c r="P434" s="31" t="s">
        <v>151</v>
      </c>
      <c r="Q434" s="13">
        <v>1724000</v>
      </c>
      <c r="R434" s="13"/>
      <c r="S434" s="13"/>
      <c r="T434" s="32">
        <f>[1]!ПЛАТЕЖИ[[#This Row],[СЎМ]]+([1]!ПЛАТЕЖИ[[#This Row],[ВАЛЮТА]]*[1]!ПЛАТЕЖИ[[#This Row],[КУРС]])</f>
        <v>1648000</v>
      </c>
      <c r="U434" s="31"/>
      <c r="V434" s="31"/>
    </row>
    <row r="435" spans="2:22" x14ac:dyDescent="0.25">
      <c r="B435" s="1">
        <v>46090</v>
      </c>
      <c r="C435" s="2" t="s">
        <v>138</v>
      </c>
      <c r="D435" s="3" t="s">
        <v>8</v>
      </c>
      <c r="E435" s="3" t="s">
        <v>2</v>
      </c>
      <c r="F435" s="4">
        <v>228.1</v>
      </c>
      <c r="G435" s="4">
        <v>22000</v>
      </c>
      <c r="H435" s="5">
        <f>[1]!РЕАЛИЗАЦИЯ[СОНИ]*[1]!РЕАЛИЗАЦИЯ[НАРХИ]</f>
        <v>808000</v>
      </c>
      <c r="I435" s="4"/>
      <c r="J435" s="6">
        <v>20000</v>
      </c>
      <c r="K435" s="4">
        <f>[1]!РЕАЛИЗАЦИЯ[[#This Row],[СОНИ]]*[1]!РЕАЛИЗАЦИЯ[[#This Row],[ТАННАРХ]]</f>
        <v>0</v>
      </c>
      <c r="L435" s="7">
        <f>[1]!РЕАЛИЗАЦИЯ[[#This Row],[ЖАМИ]]-[1]!РЕАЛИЗАЦИЯ[[#This Row],[ЖАМИ2]]</f>
        <v>808000</v>
      </c>
      <c r="O435" s="27">
        <v>46092</v>
      </c>
      <c r="P435" s="28" t="s">
        <v>286</v>
      </c>
      <c r="Q435" s="6">
        <v>361166</v>
      </c>
      <c r="R435" s="6"/>
      <c r="S435" s="6"/>
      <c r="T435" s="29">
        <f>[1]!ПЛАТЕЖИ[[#This Row],[СЎМ]]+([1]!ПЛАТЕЖИ[[#This Row],[ВАЛЮТА]]*[1]!ПЛАТЕЖИ[[#This Row],[КУРС]])</f>
        <v>5000000</v>
      </c>
      <c r="U435" s="28"/>
      <c r="V435" s="28" t="s">
        <v>275</v>
      </c>
    </row>
    <row r="436" spans="2:22" x14ac:dyDescent="0.25">
      <c r="B436" s="8">
        <v>46090</v>
      </c>
      <c r="C436" s="9" t="s">
        <v>188</v>
      </c>
      <c r="D436" s="10" t="s">
        <v>1</v>
      </c>
      <c r="E436" s="10" t="s">
        <v>2</v>
      </c>
      <c r="F436" s="11">
        <v>92.4</v>
      </c>
      <c r="G436" s="11">
        <v>20000</v>
      </c>
      <c r="H436" s="12">
        <f>[1]!РЕАЛИЗАЦИЯ[СОНИ]*[1]!РЕАЛИЗАЦИЯ[НАРХИ]</f>
        <v>2026500</v>
      </c>
      <c r="I436" s="11"/>
      <c r="J436" s="13">
        <v>19000</v>
      </c>
      <c r="K436" s="11">
        <f>[1]!РЕАЛИЗАЦИЯ[[#This Row],[СОНИ]]*[1]!РЕАЛИЗАЦИЯ[[#This Row],[ТАННАРХ]]</f>
        <v>0</v>
      </c>
      <c r="L436" s="14">
        <f>[1]!РЕАЛИЗАЦИЯ[[#This Row],[ЖАМИ]]-[1]!РЕАЛИЗАЦИЯ[[#This Row],[ЖАМИ2]]</f>
        <v>2026500</v>
      </c>
      <c r="O436" s="30">
        <v>46092</v>
      </c>
      <c r="P436" s="31" t="s">
        <v>60</v>
      </c>
      <c r="Q436" s="13">
        <v>5000000</v>
      </c>
      <c r="R436" s="13"/>
      <c r="S436" s="13"/>
      <c r="T436" s="32">
        <f>[1]!ПЛАТЕЖИ[[#This Row],[СЎМ]]+([1]!ПЛАТЕЖИ[[#This Row],[ВАЛЮТА]]*[1]!ПЛАТЕЖИ[[#This Row],[КУРС]])</f>
        <v>11420000</v>
      </c>
      <c r="U436" s="31"/>
      <c r="V436" s="31" t="s">
        <v>275</v>
      </c>
    </row>
    <row r="437" spans="2:22" x14ac:dyDescent="0.25">
      <c r="B437" s="1">
        <v>46090</v>
      </c>
      <c r="C437" s="2" t="s">
        <v>188</v>
      </c>
      <c r="D437" s="3" t="s">
        <v>10</v>
      </c>
      <c r="E437" s="3" t="s">
        <v>2</v>
      </c>
      <c r="F437" s="4">
        <v>49.7</v>
      </c>
      <c r="G437" s="4">
        <v>15000</v>
      </c>
      <c r="H437" s="5">
        <f>[1]!РЕАЛИЗАЦИЯ[СОНИ]*[1]!РЕАЛИЗАЦИЯ[НАРХИ]</f>
        <v>782400</v>
      </c>
      <c r="I437" s="4"/>
      <c r="J437" s="6">
        <v>13000</v>
      </c>
      <c r="K437" s="4">
        <f>[1]!РЕАЛИЗАЦИЯ[[#This Row],[СОНИ]]*[1]!РЕАЛИЗАЦИЯ[[#This Row],[ТАННАРХ]]</f>
        <v>0</v>
      </c>
      <c r="L437" s="7">
        <f>[1]!РЕАЛИЗАЦИЯ[[#This Row],[ЖАМИ]]-[1]!РЕАЛИЗАЦИЯ[[#This Row],[ЖАМИ2]]</f>
        <v>782400</v>
      </c>
      <c r="O437" s="27">
        <v>46093</v>
      </c>
      <c r="P437" s="28" t="s">
        <v>19</v>
      </c>
      <c r="Q437" s="6">
        <v>1467000</v>
      </c>
      <c r="R437" s="6"/>
      <c r="S437" s="6"/>
      <c r="T437" s="29">
        <f>[1]!ПЛАТЕЖИ[[#This Row],[СЎМ]]+([1]!ПЛАТЕЖИ[[#This Row],[ВАЛЮТА]]*[1]!ПЛАТЕЖИ[[#This Row],[КУРС]])</f>
        <v>2078800</v>
      </c>
      <c r="U437" s="28"/>
      <c r="V437" s="28"/>
    </row>
    <row r="438" spans="2:22" x14ac:dyDescent="0.25">
      <c r="B438" s="8">
        <v>46091</v>
      </c>
      <c r="C438" s="9" t="s">
        <v>7</v>
      </c>
      <c r="D438" s="10" t="s">
        <v>8</v>
      </c>
      <c r="E438" s="10" t="s">
        <v>2</v>
      </c>
      <c r="F438" s="11">
        <v>512.6</v>
      </c>
      <c r="G438" s="11">
        <v>22000</v>
      </c>
      <c r="H438" s="12">
        <f>[1]!РЕАЛИЗАЦИЯ[СОНИ]*[1]!РЕАЛИЗАЦИЯ[НАРХИ]</f>
        <v>6616800</v>
      </c>
      <c r="I438" s="11"/>
      <c r="J438" s="13">
        <v>20000</v>
      </c>
      <c r="K438" s="11">
        <f>[1]!РЕАЛИЗАЦИЯ[[#This Row],[СОНИ]]*[1]!РЕАЛИЗАЦИЯ[[#This Row],[ТАННАРХ]]</f>
        <v>2297205920</v>
      </c>
      <c r="L438" s="14">
        <f>[1]!РЕАЛИЗАЦИЯ[[#This Row],[ЖАМИ]]-[1]!РЕАЛИЗАЦИЯ[[#This Row],[ЖАМИ2]]</f>
        <v>6616432.4000000004</v>
      </c>
      <c r="O438" s="30">
        <v>46093</v>
      </c>
      <c r="P438" s="31" t="s">
        <v>7</v>
      </c>
      <c r="Q438" s="13">
        <v>20000000</v>
      </c>
      <c r="R438" s="13"/>
      <c r="S438" s="13"/>
      <c r="T438" s="32">
        <f>[1]!ПЛАТЕЖИ[[#This Row],[СЎМ]]+([1]!ПЛАТЕЖИ[[#This Row],[ВАЛЮТА]]*[1]!ПЛАТЕЖИ[[#This Row],[КУРС]])</f>
        <v>5000000</v>
      </c>
      <c r="U438" s="31"/>
      <c r="V438" s="31" t="s">
        <v>279</v>
      </c>
    </row>
    <row r="439" spans="2:22" x14ac:dyDescent="0.25">
      <c r="B439" s="1">
        <v>46091</v>
      </c>
      <c r="C439" s="2" t="s">
        <v>189</v>
      </c>
      <c r="D439" s="3" t="s">
        <v>1</v>
      </c>
      <c r="E439" s="3" t="s">
        <v>2</v>
      </c>
      <c r="F439" s="4">
        <v>95.5</v>
      </c>
      <c r="G439" s="4">
        <v>21000</v>
      </c>
      <c r="H439" s="5">
        <f>[1]!РЕАЛИЗАЦИЯ[СОНИ]*[1]!РЕАЛИЗАЦИЯ[НАРХИ]</f>
        <v>1150800</v>
      </c>
      <c r="I439" s="4"/>
      <c r="J439" s="6">
        <v>19000</v>
      </c>
      <c r="K439" s="4">
        <f>[1]!РЕАЛИЗАЦИЯ[[#This Row],[СОНИ]]*[1]!РЕАЛИЗАЦИЯ[[#This Row],[ТАННАРХ]]</f>
        <v>0</v>
      </c>
      <c r="L439" s="7">
        <f>[1]!РЕАЛИЗАЦИЯ[[#This Row],[ЖАМИ]]-[1]!РЕАЛИЗАЦИЯ[[#This Row],[ЖАМИ2]]</f>
        <v>1150800</v>
      </c>
      <c r="O439" s="27">
        <v>46093</v>
      </c>
      <c r="P439" s="28" t="s">
        <v>67</v>
      </c>
      <c r="Q439" s="6">
        <v>12957000</v>
      </c>
      <c r="R439" s="6"/>
      <c r="S439" s="6"/>
      <c r="T439" s="29">
        <f>[1]!ПЛАТЕЖИ[[#This Row],[СЎМ]]+([1]!ПЛАТЕЖИ[[#This Row],[ВАЛЮТА]]*[1]!ПЛАТЕЖИ[[#This Row],[КУРС]])</f>
        <v>500000</v>
      </c>
      <c r="U439" s="28"/>
      <c r="V439" s="28"/>
    </row>
    <row r="440" spans="2:22" x14ac:dyDescent="0.25">
      <c r="B440" s="8">
        <v>46091</v>
      </c>
      <c r="C440" s="9" t="s">
        <v>189</v>
      </c>
      <c r="D440" s="10" t="s">
        <v>10</v>
      </c>
      <c r="E440" s="10" t="s">
        <v>2</v>
      </c>
      <c r="F440" s="11">
        <v>38.299999999999997</v>
      </c>
      <c r="G440" s="11">
        <v>16000</v>
      </c>
      <c r="H440" s="12">
        <f>[1]!РЕАЛИЗАЦИЯ[СОНИ]*[1]!РЕАЛИЗАЦИЯ[НАРХИ]</f>
        <v>708800</v>
      </c>
      <c r="I440" s="11"/>
      <c r="J440" s="13">
        <v>13000</v>
      </c>
      <c r="K440" s="11">
        <f>[1]!РЕАЛИЗАЦИЯ[[#This Row],[СОНИ]]*[1]!РЕАЛИЗАЦИЯ[[#This Row],[ТАННАРХ]]</f>
        <v>0</v>
      </c>
      <c r="L440" s="14">
        <f>[1]!РЕАЛИЗАЦИЯ[[#This Row],[ЖАМИ]]-[1]!РЕАЛИЗАЦИЯ[[#This Row],[ЖАМИ2]]</f>
        <v>708800</v>
      </c>
      <c r="O440" s="30">
        <v>46093</v>
      </c>
      <c r="P440" s="31" t="s">
        <v>109</v>
      </c>
      <c r="Q440" s="13">
        <v>1400000</v>
      </c>
      <c r="R440" s="13"/>
      <c r="S440" s="13"/>
      <c r="T440" s="32">
        <f>[1]!ПЛАТЕЖИ[[#This Row],[СЎМ]]+([1]!ПЛАТЕЖИ[[#This Row],[ВАЛЮТА]]*[1]!ПЛАТЕЖИ[[#This Row],[КУРС]])</f>
        <v>400000</v>
      </c>
      <c r="U440" s="31"/>
      <c r="V440" s="31"/>
    </row>
    <row r="441" spans="2:22" x14ac:dyDescent="0.25">
      <c r="B441" s="1">
        <v>46091</v>
      </c>
      <c r="C441" s="2" t="s">
        <v>189</v>
      </c>
      <c r="D441" s="3" t="s">
        <v>29</v>
      </c>
      <c r="E441" s="3" t="s">
        <v>2</v>
      </c>
      <c r="F441" s="4">
        <v>51.9</v>
      </c>
      <c r="G441" s="4">
        <v>18000</v>
      </c>
      <c r="H441" s="5">
        <f>[1]!РЕАЛИЗАЦИЯ[СОНИ]*[1]!РЕАЛИЗАЦИЯ[НАРХИ]</f>
        <v>1698300</v>
      </c>
      <c r="I441" s="4"/>
      <c r="J441" s="6">
        <v>16000</v>
      </c>
      <c r="K441" s="4">
        <f>[1]!РЕАЛИЗАЦИЯ[[#This Row],[СОНИ]]*[1]!РЕАЛИЗАЦИЯ[[#This Row],[ТАННАРХ]]</f>
        <v>0</v>
      </c>
      <c r="L441" s="7">
        <f>[1]!РЕАЛИЗАЦИЯ[[#This Row],[ЖАМИ]]-[1]!РЕАЛИЗАЦИЯ[[#This Row],[ЖАМИ2]]</f>
        <v>1698300</v>
      </c>
      <c r="O441" s="27">
        <v>46093</v>
      </c>
      <c r="P441" s="28" t="s">
        <v>27</v>
      </c>
      <c r="Q441" s="6">
        <v>22400000</v>
      </c>
      <c r="R441" s="6"/>
      <c r="S441" s="6"/>
      <c r="T441" s="29">
        <f>[1]!ПЛАТЕЖИ[[#This Row],[СЎМ]]+([1]!ПЛАТЕЖИ[[#This Row],[ВАЛЮТА]]*[1]!ПЛАТЕЖИ[[#This Row],[КУРС]])</f>
        <v>353600</v>
      </c>
      <c r="U441" s="28"/>
      <c r="V441" s="28" t="s">
        <v>279</v>
      </c>
    </row>
    <row r="442" spans="2:22" x14ac:dyDescent="0.25">
      <c r="B442" s="8">
        <v>46091</v>
      </c>
      <c r="C442" s="9" t="s">
        <v>190</v>
      </c>
      <c r="D442" s="10" t="s">
        <v>1</v>
      </c>
      <c r="E442" s="10" t="s">
        <v>2</v>
      </c>
      <c r="F442" s="11">
        <v>152.5</v>
      </c>
      <c r="G442" s="11">
        <v>21000</v>
      </c>
      <c r="H442" s="12">
        <f>[1]!РЕАЛИЗАЦИЯ[СОНИ]*[1]!РЕАЛИЗАЦИЯ[НАРХИ]</f>
        <v>6635500</v>
      </c>
      <c r="I442" s="11"/>
      <c r="J442" s="13">
        <v>19000</v>
      </c>
      <c r="K442" s="11">
        <f>[1]!РЕАЛИЗАЦИЯ[[#This Row],[СОНИ]]*[1]!РЕАЛИЗАЦИЯ[[#This Row],[ТАННАРХ]]</f>
        <v>1706261125</v>
      </c>
      <c r="L442" s="14">
        <f>[1]!РЕАЛИЗАЦИЯ[[#This Row],[ЖАМИ]]-[1]!РЕАЛИЗАЦИЯ[[#This Row],[ЖАМИ2]]</f>
        <v>6635211.5</v>
      </c>
      <c r="O442" s="30">
        <v>46093</v>
      </c>
      <c r="P442" s="31" t="s">
        <v>68</v>
      </c>
      <c r="Q442" s="13">
        <v>10000000</v>
      </c>
      <c r="R442" s="13"/>
      <c r="S442" s="13"/>
      <c r="T442" s="32">
        <f>[1]!ПЛАТЕЖИ[[#This Row],[СЎМ]]+([1]!ПЛАТЕЖИ[[#This Row],[ВАЛЮТА]]*[1]!ПЛАТЕЖИ[[#This Row],[КУРС]])</f>
        <v>1936200</v>
      </c>
      <c r="U442" s="31"/>
      <c r="V442" s="31" t="s">
        <v>279</v>
      </c>
    </row>
    <row r="443" spans="2:22" x14ac:dyDescent="0.25">
      <c r="B443" s="1">
        <v>46091</v>
      </c>
      <c r="C443" s="2" t="s">
        <v>173</v>
      </c>
      <c r="D443" s="3" t="s">
        <v>1</v>
      </c>
      <c r="E443" s="3" t="s">
        <v>2</v>
      </c>
      <c r="F443" s="4">
        <v>53.3</v>
      </c>
      <c r="G443" s="4">
        <v>21000</v>
      </c>
      <c r="H443" s="5">
        <f>[1]!РЕАЛИЗАЦИЯ[СОНИ]*[1]!РЕАЛИЗАЦИЯ[НАРХИ]</f>
        <v>23165600</v>
      </c>
      <c r="I443" s="4"/>
      <c r="J443" s="6">
        <v>19000</v>
      </c>
      <c r="K443" s="4">
        <f>[1]!РЕАЛИЗАЦИЯ[[#This Row],[СОНИ]]*[1]!РЕАЛИЗАЦИЯ[[#This Row],[ТАННАРХ]]</f>
        <v>20289036800</v>
      </c>
      <c r="L443" s="7">
        <f>[1]!РЕАЛИЗАЦИЯ[[#This Row],[ЖАМИ]]-[1]!РЕАЛИЗАЦИЯ[[#This Row],[ЖАМИ2]]</f>
        <v>23164595.800000001</v>
      </c>
      <c r="O443" s="27">
        <v>46093</v>
      </c>
      <c r="P443" s="28" t="s">
        <v>12</v>
      </c>
      <c r="Q443" s="6">
        <v>49303200</v>
      </c>
      <c r="R443" s="6"/>
      <c r="S443" s="6"/>
      <c r="T443" s="29">
        <f>[1]!ПЛАТЕЖИ[[#This Row],[СЎМ]]+([1]!ПЛАТЕЖИ[[#This Row],[ВАЛЮТА]]*[1]!ПЛАТЕЖИ[[#This Row],[КУРС]])</f>
        <v>1280000</v>
      </c>
      <c r="U443" s="28"/>
      <c r="V443" s="28" t="s">
        <v>279</v>
      </c>
    </row>
    <row r="444" spans="2:22" x14ac:dyDescent="0.25">
      <c r="B444" s="8">
        <v>46091</v>
      </c>
      <c r="C444" s="9" t="s">
        <v>191</v>
      </c>
      <c r="D444" s="10" t="s">
        <v>1</v>
      </c>
      <c r="E444" s="10" t="s">
        <v>2</v>
      </c>
      <c r="F444" s="11">
        <v>48.8</v>
      </c>
      <c r="G444" s="11">
        <v>21000</v>
      </c>
      <c r="H444" s="12">
        <f>[1]!РЕАЛИЗАЦИЯ[СОНИ]*[1]!РЕАЛИЗАЦИЯ[НАРХИ]</f>
        <v>-756600</v>
      </c>
      <c r="I444" s="11"/>
      <c r="J444" s="13">
        <v>19000</v>
      </c>
      <c r="K444" s="11">
        <f>[1]!РЕАЛИЗАЦИЯ[[#This Row],[СОНИ]]*[1]!РЕАЛИЗАЦИЯ[[#This Row],[ТАННАРХ]]</f>
        <v>0</v>
      </c>
      <c r="L444" s="14">
        <f>[1]!РЕАЛИЗАЦИЯ[[#This Row],[ЖАМИ]]-[1]!РЕАЛИЗАЦИЯ[[#This Row],[ЖАМИ2]]</f>
        <v>-756600</v>
      </c>
      <c r="O444" s="30">
        <v>46094</v>
      </c>
      <c r="P444" s="31" t="s">
        <v>219</v>
      </c>
      <c r="Q444" s="13">
        <v>2000000</v>
      </c>
      <c r="R444" s="13"/>
      <c r="S444" s="13"/>
      <c r="T444" s="32">
        <f>[1]!ПЛАТЕЖИ[[#This Row],[СЎМ]]+([1]!ПЛАТЕЖИ[[#This Row],[ВАЛЮТА]]*[1]!ПЛАТЕЖИ[[#This Row],[КУРС]])</f>
        <v>2755200</v>
      </c>
      <c r="U444" s="31"/>
      <c r="V444" s="31" t="s">
        <v>275</v>
      </c>
    </row>
    <row r="445" spans="2:22" x14ac:dyDescent="0.25">
      <c r="B445" s="1">
        <v>46091</v>
      </c>
      <c r="C445" s="2" t="s">
        <v>65</v>
      </c>
      <c r="D445" s="3" t="s">
        <v>25</v>
      </c>
      <c r="E445" s="3" t="s">
        <v>2</v>
      </c>
      <c r="F445" s="4">
        <v>63.1</v>
      </c>
      <c r="G445" s="4">
        <v>25000</v>
      </c>
      <c r="H445" s="5">
        <f>[1]!РЕАЛИЗАЦИЯ[СОНИ]*[1]!РЕАЛИЗАЦИЯ[НАРХИ]</f>
        <v>9648600</v>
      </c>
      <c r="I445" s="4" t="s">
        <v>192</v>
      </c>
      <c r="J445" s="6">
        <v>19000</v>
      </c>
      <c r="K445" s="4">
        <f>[1]!РЕАЛИЗАЦИЯ[[#This Row],[СОНИ]]*[1]!РЕАЛИЗАЦИЯ[[#This Row],[ТАННАРХ]]</f>
        <v>0</v>
      </c>
      <c r="L445" s="7">
        <f>[1]!РЕАЛИЗАЦИЯ[[#This Row],[ЖАМИ]]-[1]!РЕАЛИЗАЦИЯ[[#This Row],[ЖАМИ2]]</f>
        <v>9648600</v>
      </c>
      <c r="O445" s="27">
        <v>46094</v>
      </c>
      <c r="P445" s="28" t="s">
        <v>134</v>
      </c>
      <c r="Q445" s="6">
        <v>10000000</v>
      </c>
      <c r="R445" s="6"/>
      <c r="S445" s="6"/>
      <c r="T445" s="29">
        <f>[1]!ПЛАТЕЖИ[[#This Row],[СЎМ]]+([1]!ПЛАТЕЖИ[[#This Row],[ВАЛЮТА]]*[1]!ПЛАТЕЖИ[[#This Row],[КУРС]])</f>
        <v>3767000</v>
      </c>
      <c r="U445" s="28"/>
      <c r="V445" s="28" t="s">
        <v>279</v>
      </c>
    </row>
    <row r="446" spans="2:22" x14ac:dyDescent="0.25">
      <c r="B446" s="8">
        <v>46091</v>
      </c>
      <c r="C446" s="9" t="s">
        <v>137</v>
      </c>
      <c r="D446" s="10" t="s">
        <v>10</v>
      </c>
      <c r="E446" s="10" t="s">
        <v>2</v>
      </c>
      <c r="F446" s="11">
        <v>102.4</v>
      </c>
      <c r="G446" s="11">
        <v>14500</v>
      </c>
      <c r="H446" s="12">
        <f>[1]!РЕАЛИЗАЦИЯ[СОНИ]*[1]!РЕАЛИЗАЦИЯ[НАРХИ]</f>
        <v>997200</v>
      </c>
      <c r="I446" s="11" t="s">
        <v>193</v>
      </c>
      <c r="J446" s="13">
        <v>13000</v>
      </c>
      <c r="K446" s="11">
        <f>[1]!РЕАЛИЗАЦИЯ[[#This Row],[СОНИ]]*[1]!РЕАЛИЗАЦИЯ[[#This Row],[ТАННАРХ]]</f>
        <v>0</v>
      </c>
      <c r="L446" s="14">
        <f>[1]!РЕАЛИЗАЦИЯ[[#This Row],[ЖАМИ]]-[1]!РЕАЛИЗАЦИЯ[[#This Row],[ЖАМИ2]]</f>
        <v>997200</v>
      </c>
      <c r="O446" s="30">
        <v>46094</v>
      </c>
      <c r="P446" s="31" t="s">
        <v>131</v>
      </c>
      <c r="Q446" s="13">
        <v>20842950</v>
      </c>
      <c r="R446" s="13"/>
      <c r="S446" s="13"/>
      <c r="T446" s="32">
        <f>[1]!ПЛАТЕЖИ[[#This Row],[СЎМ]]+([1]!ПЛАТЕЖИ[[#This Row],[ВАЛЮТА]]*[1]!ПЛАТЕЖИ[[#This Row],[КУРС]])</f>
        <v>680000</v>
      </c>
      <c r="U446" s="31"/>
      <c r="V446" s="31"/>
    </row>
    <row r="447" spans="2:22" x14ac:dyDescent="0.25">
      <c r="B447" s="1">
        <v>46092</v>
      </c>
      <c r="C447" s="2" t="s">
        <v>39</v>
      </c>
      <c r="D447" s="3" t="s">
        <v>1</v>
      </c>
      <c r="E447" s="3" t="s">
        <v>2</v>
      </c>
      <c r="F447" s="4">
        <v>63.4</v>
      </c>
      <c r="G447" s="4">
        <v>20000</v>
      </c>
      <c r="H447" s="5">
        <f>[1]!РЕАЛИЗАЦИЯ[СОНИ]*[1]!РЕАЛИЗАЦИЯ[НАРХИ]</f>
        <v>2543100</v>
      </c>
      <c r="I447" s="4"/>
      <c r="J447" s="6">
        <v>19000</v>
      </c>
      <c r="K447" s="4">
        <f>[1]!РЕАЛИЗАЦИЯ[[#This Row],[СОНИ]]*[1]!РЕАЛИЗАЦИЯ[[#This Row],[ТАННАРХ]]</f>
        <v>0</v>
      </c>
      <c r="L447" s="7">
        <f>[1]!РЕАЛИЗАЦИЯ[[#This Row],[ЖАМИ]]-[1]!РЕАЛИЗАЦИЯ[[#This Row],[ЖАМИ2]]</f>
        <v>2543100</v>
      </c>
      <c r="O447" s="27">
        <v>46094</v>
      </c>
      <c r="P447" s="28" t="s">
        <v>78</v>
      </c>
      <c r="Q447" s="6">
        <v>15000000</v>
      </c>
      <c r="R447" s="6"/>
      <c r="S447" s="6"/>
      <c r="T447" s="29">
        <f>[1]!ПЛАТЕЖИ[[#This Row],[СЎМ]]+([1]!ПЛАТЕЖИ[[#This Row],[ВАЛЮТА]]*[1]!ПЛАТЕЖИ[[#This Row],[КУРС]])</f>
        <v>995000</v>
      </c>
      <c r="U447" s="28"/>
      <c r="V447" s="28"/>
    </row>
    <row r="448" spans="2:22" x14ac:dyDescent="0.25">
      <c r="B448" s="8">
        <v>46092</v>
      </c>
      <c r="C448" s="9" t="s">
        <v>124</v>
      </c>
      <c r="D448" s="10" t="s">
        <v>1</v>
      </c>
      <c r="E448" s="10" t="s">
        <v>2</v>
      </c>
      <c r="F448" s="11">
        <v>98.8</v>
      </c>
      <c r="G448" s="11">
        <v>21000</v>
      </c>
      <c r="H448" s="12">
        <f>[1]!РЕАЛИЗАЦИЯ[СОНИ]*[1]!РЕАЛИЗАЦИЯ[НАРХИ]</f>
        <v>1952000</v>
      </c>
      <c r="I448" s="11"/>
      <c r="J448" s="13">
        <v>19000</v>
      </c>
      <c r="K448" s="11">
        <f>[1]!РЕАЛИЗАЦИЯ[[#This Row],[СОНИ]]*[1]!РЕАЛИЗАЦИЯ[[#This Row],[ТАННАРХ]]</f>
        <v>0</v>
      </c>
      <c r="L448" s="14">
        <f>[1]!РЕАЛИЗАЦИЯ[[#This Row],[ЖАМИ]]-[1]!РЕАЛИЗАЦИЯ[[#This Row],[ЖАМИ2]]</f>
        <v>1952000</v>
      </c>
      <c r="O448" s="30">
        <v>46094</v>
      </c>
      <c r="P448" s="31" t="s">
        <v>166</v>
      </c>
      <c r="Q448" s="13">
        <v>3800000</v>
      </c>
      <c r="R448" s="13"/>
      <c r="S448" s="13"/>
      <c r="T448" s="32">
        <f>[1]!ПЛАТЕЖИ[[#This Row],[СЎМ]]+([1]!ПЛАТЕЖИ[[#This Row],[ВАЛЮТА]]*[1]!ПЛАТЕЖИ[[#This Row],[КУРС]])</f>
        <v>500000</v>
      </c>
      <c r="U448" s="31"/>
      <c r="V448" s="31"/>
    </row>
    <row r="449" spans="2:22" x14ac:dyDescent="0.25">
      <c r="B449" s="1">
        <v>46092</v>
      </c>
      <c r="C449" s="2" t="s">
        <v>19</v>
      </c>
      <c r="D449" s="3" t="s">
        <v>1</v>
      </c>
      <c r="E449" s="3" t="s">
        <v>2</v>
      </c>
      <c r="F449" s="4">
        <v>42.7</v>
      </c>
      <c r="G449" s="4">
        <v>20000</v>
      </c>
      <c r="H449" s="5">
        <f>[1]!РЕАЛИЗАЦИЯ[СОНИ]*[1]!РЕАЛИЗАЦИЯ[НАРХИ]</f>
        <v>715500</v>
      </c>
      <c r="I449" s="4"/>
      <c r="J449" s="6">
        <v>19000</v>
      </c>
      <c r="K449" s="4">
        <f>[1]!РЕАЛИЗАЦИЯ[[#This Row],[СОНИ]]*[1]!РЕАЛИЗАЦИЯ[[#This Row],[ТАННАРХ]]</f>
        <v>0</v>
      </c>
      <c r="L449" s="7">
        <f>[1]!РЕАЛИЗАЦИЯ[[#This Row],[ЖАМИ]]-[1]!РЕАЛИЗАЦИЯ[[#This Row],[ЖАМИ2]]</f>
        <v>715500</v>
      </c>
      <c r="O449" s="27">
        <v>46094</v>
      </c>
      <c r="P449" s="28" t="s">
        <v>249</v>
      </c>
      <c r="Q449" s="6">
        <v>4880400</v>
      </c>
      <c r="R449" s="6"/>
      <c r="S449" s="6"/>
      <c r="T449" s="29">
        <f>[1]!ПЛАТЕЖИ[[#This Row],[СЎМ]]+([1]!ПЛАТЕЖИ[[#This Row],[ВАЛЮТА]]*[1]!ПЛАТЕЖИ[[#This Row],[КУРС]])</f>
        <v>1280000</v>
      </c>
      <c r="U449" s="28"/>
      <c r="V449" s="28"/>
    </row>
    <row r="450" spans="2:22" x14ac:dyDescent="0.25">
      <c r="B450" s="8">
        <v>46092</v>
      </c>
      <c r="C450" s="9" t="s">
        <v>78</v>
      </c>
      <c r="D450" s="10" t="s">
        <v>29</v>
      </c>
      <c r="E450" s="10" t="s">
        <v>2</v>
      </c>
      <c r="F450" s="11">
        <v>933.1</v>
      </c>
      <c r="G450" s="11">
        <v>17500</v>
      </c>
      <c r="H450" s="12">
        <f>[1]!РЕАЛИЗАЦИЯ[СОНИ]*[1]!РЕАЛИЗАЦИЯ[НАРХИ]</f>
        <v>1728000</v>
      </c>
      <c r="I450" s="11"/>
      <c r="J450" s="13">
        <v>16000</v>
      </c>
      <c r="K450" s="11">
        <f>[1]!РЕАЛИЗАЦИЯ[[#This Row],[СОНИ]]*[1]!РЕАЛИЗАЦИЯ[[#This Row],[ТАННАРХ]]</f>
        <v>0</v>
      </c>
      <c r="L450" s="14">
        <f>[1]!РЕАЛИЗАЦИЯ[[#This Row],[ЖАМИ]]-[1]!РЕАЛИЗАЦИЯ[[#This Row],[ЖАМИ2]]</f>
        <v>1728000</v>
      </c>
      <c r="O450" s="30">
        <v>46094</v>
      </c>
      <c r="P450" s="31" t="s">
        <v>159</v>
      </c>
      <c r="Q450" s="13">
        <v>2832500</v>
      </c>
      <c r="R450" s="13"/>
      <c r="S450" s="13"/>
      <c r="T450" s="32">
        <f>[1]!ПЛАТЕЖИ[[#This Row],[СЎМ]]+([1]!ПЛАТЕЖИ[[#This Row],[ВАЛЮТА]]*[1]!ПЛАТЕЖИ[[#This Row],[КУРС]])</f>
        <v>1575000</v>
      </c>
      <c r="U450" s="31"/>
      <c r="V450" s="31" t="s">
        <v>279</v>
      </c>
    </row>
    <row r="451" spans="2:22" x14ac:dyDescent="0.25">
      <c r="B451" s="1">
        <v>46092</v>
      </c>
      <c r="C451" s="2" t="s">
        <v>194</v>
      </c>
      <c r="D451" s="3" t="s">
        <v>1</v>
      </c>
      <c r="E451" s="3" t="s">
        <v>2</v>
      </c>
      <c r="F451" s="4">
        <v>37.5</v>
      </c>
      <c r="G451" s="4">
        <v>21000</v>
      </c>
      <c r="H451" s="5">
        <f>[1]!РЕАЛИЗАЦИЯ[СОНИ]*[1]!РЕАЛИЗАЦИЯ[НАРХИ]</f>
        <v>930299.99999999988</v>
      </c>
      <c r="I451" s="4"/>
      <c r="J451" s="6">
        <v>19000</v>
      </c>
      <c r="K451" s="4">
        <f>[1]!РЕАЛИЗАЦИЯ[[#This Row],[СОНИ]]*[1]!РЕАЛИЗАЦИЯ[[#This Row],[ТАННАРХ]]</f>
        <v>0</v>
      </c>
      <c r="L451" s="7">
        <f>[1]!РЕАЛИЗАЦИЯ[[#This Row],[ЖАМИ]]-[1]!РЕАЛИЗАЦИЯ[[#This Row],[ЖАМИ2]]</f>
        <v>930299.99999999988</v>
      </c>
      <c r="O451" s="27">
        <v>46094</v>
      </c>
      <c r="P451" s="28" t="s">
        <v>61</v>
      </c>
      <c r="Q451" s="6">
        <v>9000000</v>
      </c>
      <c r="R451" s="6"/>
      <c r="S451" s="6"/>
      <c r="T451" s="29">
        <f>[1]!ПЛАТЕЖИ[[#This Row],[СЎМ]]+([1]!ПЛАТЕЖИ[[#This Row],[ВАЛЮТА]]*[1]!ПЛАТЕЖИ[[#This Row],[КУРС]])</f>
        <v>500000</v>
      </c>
      <c r="U451" s="28"/>
      <c r="V451" s="28" t="s">
        <v>279</v>
      </c>
    </row>
    <row r="452" spans="2:22" x14ac:dyDescent="0.25">
      <c r="B452" s="8">
        <v>46092</v>
      </c>
      <c r="C452" s="9" t="s">
        <v>68</v>
      </c>
      <c r="D452" s="10" t="s">
        <v>36</v>
      </c>
      <c r="E452" s="10" t="s">
        <v>2</v>
      </c>
      <c r="F452" s="11">
        <v>84.6</v>
      </c>
      <c r="G452" s="11">
        <v>18000</v>
      </c>
      <c r="H452" s="12">
        <f>[1]!РЕАЛИЗАЦИЯ[СОНИ]*[1]!РЕАЛИЗАЦИЯ[НАРХИ]</f>
        <v>1736700</v>
      </c>
      <c r="I452" s="11"/>
      <c r="J452" s="13">
        <v>16000</v>
      </c>
      <c r="K452" s="11">
        <f>[1]!РЕАЛИЗАЦИЯ[[#This Row],[СОНИ]]*[1]!РЕАЛИЗАЦИЯ[[#This Row],[ТАННАРХ]]</f>
        <v>0</v>
      </c>
      <c r="L452" s="14">
        <f>[1]!РЕАЛИЗАЦИЯ[[#This Row],[ЖАМИ]]-[1]!РЕАЛИЗАЦИЯ[[#This Row],[ЖАМИ2]]</f>
        <v>1736700</v>
      </c>
      <c r="O452" s="30">
        <v>46095</v>
      </c>
      <c r="P452" s="31" t="s">
        <v>23</v>
      </c>
      <c r="Q452" s="13">
        <v>2766000</v>
      </c>
      <c r="R452" s="13"/>
      <c r="S452" s="13"/>
      <c r="T452" s="32">
        <f>[1]!ПЛАТЕЖИ[[#This Row],[СЎМ]]+([1]!ПЛАТЕЖИ[[#This Row],[ВАЛЮТА]]*[1]!ПЛАТЕЖИ[[#This Row],[КУРС]])</f>
        <v>1208300</v>
      </c>
      <c r="U452" s="31"/>
      <c r="V452" s="31"/>
    </row>
    <row r="453" spans="2:22" x14ac:dyDescent="0.25">
      <c r="B453" s="1">
        <v>46092</v>
      </c>
      <c r="C453" s="2" t="s">
        <v>12</v>
      </c>
      <c r="D453" s="3" t="s">
        <v>16</v>
      </c>
      <c r="E453" s="3" t="s">
        <v>2</v>
      </c>
      <c r="F453" s="4">
        <v>2054.3000000000002</v>
      </c>
      <c r="G453" s="4">
        <v>24000</v>
      </c>
      <c r="H453" s="5">
        <f>[1]!РЕАЛИЗАЦИЯ[СОНИ]*[1]!РЕАЛИЗАЦИЯ[НАРХИ]</f>
        <v>2209200</v>
      </c>
      <c r="I453" s="4">
        <v>6</v>
      </c>
      <c r="J453" s="6">
        <v>20000</v>
      </c>
      <c r="K453" s="4">
        <f>[1]!РЕАЛИЗАЦИЯ[[#This Row],[СОНИ]]*[1]!РЕАЛИЗАЦИЯ[[#This Row],[ТАННАРХ]]</f>
        <v>0</v>
      </c>
      <c r="L453" s="7">
        <f>[1]!РЕАЛИЗАЦИЯ[[#This Row],[ЖАМИ]]-[1]!РЕАЛИЗАЦИЯ[[#This Row],[ЖАМИ2]]</f>
        <v>2209200</v>
      </c>
      <c r="O453" s="27">
        <v>46095</v>
      </c>
      <c r="P453" s="28" t="s">
        <v>164</v>
      </c>
      <c r="Q453" s="6">
        <v>600000</v>
      </c>
      <c r="R453" s="6"/>
      <c r="S453" s="6"/>
      <c r="T453" s="29">
        <f>[1]!ПЛАТЕЖИ[[#This Row],[СЎМ]]+([1]!ПЛАТЕЖИ[[#This Row],[ВАЛЮТА]]*[1]!ПЛАТЕЖИ[[#This Row],[КУРС]])</f>
        <v>1254300</v>
      </c>
      <c r="U453" s="28"/>
      <c r="V453" s="28"/>
    </row>
    <row r="454" spans="2:22" x14ac:dyDescent="0.25">
      <c r="B454" s="8">
        <v>46093</v>
      </c>
      <c r="C454" s="9" t="s">
        <v>12</v>
      </c>
      <c r="D454" s="10" t="s">
        <v>16</v>
      </c>
      <c r="E454" s="10" t="s">
        <v>2</v>
      </c>
      <c r="F454" s="11">
        <v>1040.4000000000001</v>
      </c>
      <c r="G454" s="11">
        <v>24000</v>
      </c>
      <c r="H454" s="12">
        <f>[1]!РЕАЛИЗАЦИЯ[СОНИ]*[1]!РЕАЛИЗАЦИЯ[НАРХИ]</f>
        <v>1697600</v>
      </c>
      <c r="I454" s="11">
        <v>130</v>
      </c>
      <c r="J454" s="13">
        <v>20000</v>
      </c>
      <c r="K454" s="11">
        <f>[1]!РЕАЛИЗАЦИЯ[[#This Row],[СОНИ]]*[1]!РЕАЛИЗАЦИЯ[[#This Row],[ТАННАРХ]]</f>
        <v>0</v>
      </c>
      <c r="L454" s="14">
        <f>[1]!РЕАЛИЗАЦИЯ[[#This Row],[ЖАМИ]]-[1]!РЕАЛИЗАЦИЯ[[#This Row],[ЖАМИ2]]</f>
        <v>1697600</v>
      </c>
      <c r="O454" s="30">
        <v>46095</v>
      </c>
      <c r="P454" s="31" t="s">
        <v>178</v>
      </c>
      <c r="Q454" s="13">
        <v>1019900</v>
      </c>
      <c r="R454" s="13"/>
      <c r="S454" s="13"/>
      <c r="T454" s="32">
        <f>[1]!ПЛАТЕЖИ[[#This Row],[СЎМ]]+([1]!ПЛАТЕЖИ[[#This Row],[ВАЛЮТА]]*[1]!ПЛАТЕЖИ[[#This Row],[КУРС]])</f>
        <v>684800</v>
      </c>
      <c r="U454" s="31"/>
      <c r="V454" s="10" t="s">
        <v>275</v>
      </c>
    </row>
    <row r="455" spans="2:22" x14ac:dyDescent="0.25">
      <c r="B455" s="1">
        <v>46093</v>
      </c>
      <c r="C455" s="2" t="s">
        <v>131</v>
      </c>
      <c r="D455" s="3" t="s">
        <v>16</v>
      </c>
      <c r="E455" s="3" t="s">
        <v>2</v>
      </c>
      <c r="F455" s="4">
        <v>1001.9</v>
      </c>
      <c r="G455" s="4">
        <v>20500</v>
      </c>
      <c r="H455" s="5">
        <f>[1]!РЕАЛИЗАЦИЯ[СОНИ]*[1]!РЕАЛИЗАЦИЯ[НАРХИ]</f>
        <v>2205000</v>
      </c>
      <c r="I455" s="4"/>
      <c r="J455" s="6">
        <v>20000</v>
      </c>
      <c r="K455" s="4">
        <f>[1]!РЕАЛИЗАЦИЯ[[#This Row],[СОНИ]]*[1]!РЕАЛИЗАЦИЯ[[#This Row],[ТАННАРХ]]</f>
        <v>0</v>
      </c>
      <c r="L455" s="7">
        <f>[1]!РЕАЛИЗАЦИЯ[[#This Row],[ЖАМИ]]-[1]!РЕАЛИЗАЦИЯ[[#This Row],[ЖАМИ2]]</f>
        <v>2205000</v>
      </c>
      <c r="O455" s="27">
        <v>46095</v>
      </c>
      <c r="P455" s="28" t="s">
        <v>108</v>
      </c>
      <c r="Q455" s="6">
        <v>550000</v>
      </c>
      <c r="R455" s="6"/>
      <c r="S455" s="6"/>
      <c r="T455" s="29">
        <f>[1]!ПЛАТЕЖИ[[#This Row],[СЎМ]]+([1]!ПЛАТЕЖИ[[#This Row],[ВАЛЮТА]]*[1]!ПЛАТЕЖИ[[#This Row],[КУРС]])</f>
        <v>5045000</v>
      </c>
      <c r="U455" s="28"/>
      <c r="V455" s="3" t="s">
        <v>275</v>
      </c>
    </row>
    <row r="456" spans="2:22" x14ac:dyDescent="0.25">
      <c r="B456" s="8">
        <v>46093</v>
      </c>
      <c r="C456" s="9" t="s">
        <v>51</v>
      </c>
      <c r="D456" s="10" t="s">
        <v>1</v>
      </c>
      <c r="E456" s="10" t="s">
        <v>2</v>
      </c>
      <c r="F456" s="11">
        <v>50.9</v>
      </c>
      <c r="G456" s="11">
        <v>21000</v>
      </c>
      <c r="H456" s="12">
        <f>[1]!РЕАЛИЗАЦИЯ[СОНИ]*[1]!РЕАЛИЗАЦИЯ[НАРХИ]</f>
        <v>-2205000</v>
      </c>
      <c r="I456" s="11"/>
      <c r="J456" s="13">
        <v>19000</v>
      </c>
      <c r="K456" s="11">
        <f>[1]!РЕАЛИЗАЦИЯ[[#This Row],[СОНИ]]*[1]!РЕАЛИЗАЦИЯ[[#This Row],[ТАННАРХ]]</f>
        <v>0</v>
      </c>
      <c r="L456" s="14">
        <f>[1]!РЕАЛИЗАЦИЯ[[#This Row],[ЖАМИ]]-[1]!РЕАЛИЗАЦИЯ[[#This Row],[ЖАМИ2]]</f>
        <v>-2205000</v>
      </c>
      <c r="O456" s="30">
        <v>46095</v>
      </c>
      <c r="P456" s="31" t="s">
        <v>62</v>
      </c>
      <c r="Q456" s="13">
        <v>300000</v>
      </c>
      <c r="R456" s="13"/>
      <c r="S456" s="13"/>
      <c r="T456" s="32">
        <f>[1]!ПЛАТЕЖИ[[#This Row],[СЎМ]]+([1]!ПЛАТЕЖИ[[#This Row],[ВАЛЮТА]]*[1]!ПЛАТЕЖИ[[#This Row],[КУРС]])</f>
        <v>2755000</v>
      </c>
      <c r="U456" s="31"/>
      <c r="V456" s="10" t="s">
        <v>275</v>
      </c>
    </row>
    <row r="457" spans="2:22" x14ac:dyDescent="0.25">
      <c r="B457" s="1">
        <v>46093</v>
      </c>
      <c r="C457" s="2" t="s">
        <v>195</v>
      </c>
      <c r="D457" s="3" t="s">
        <v>1</v>
      </c>
      <c r="E457" s="3" t="s">
        <v>2</v>
      </c>
      <c r="F457" s="4">
        <v>101</v>
      </c>
      <c r="G457" s="4">
        <v>21000</v>
      </c>
      <c r="H457" s="5">
        <f>[1]!РЕАЛИЗАЦИЯ[СОНИ]*[1]!РЕАЛИЗАЦИЯ[НАРХИ]</f>
        <v>907200.00000000012</v>
      </c>
      <c r="I457" s="4"/>
      <c r="J457" s="6">
        <v>19000</v>
      </c>
      <c r="K457" s="4">
        <f>[1]!РЕАЛИЗАЦИЯ[[#This Row],[СОНИ]]*[1]!РЕАЛИЗАЦИЯ[[#This Row],[ТАННАРХ]]</f>
        <v>0</v>
      </c>
      <c r="L457" s="7">
        <f>[1]!РЕАЛИЗАЦИЯ[[#This Row],[ЖАМИ]]-[1]!РЕАЛИЗАЦИЯ[[#This Row],[ЖАМИ2]]</f>
        <v>907200.00000000012</v>
      </c>
      <c r="O457" s="27">
        <v>46095</v>
      </c>
      <c r="P457" s="28" t="s">
        <v>13</v>
      </c>
      <c r="Q457" s="6">
        <v>35500</v>
      </c>
      <c r="R457" s="6"/>
      <c r="S457" s="6"/>
      <c r="T457" s="29">
        <f>[1]!ПЛАТЕЖИ[[#This Row],[СЎМ]]+([1]!ПЛАТЕЖИ[[#This Row],[ВАЛЮТА]]*[1]!ПЛАТЕЖИ[[#This Row],[КУРС]])</f>
        <v>3250000</v>
      </c>
      <c r="U457" s="28"/>
      <c r="V457" s="28"/>
    </row>
    <row r="458" spans="2:22" x14ac:dyDescent="0.25">
      <c r="B458" s="8">
        <v>46093</v>
      </c>
      <c r="C458" s="9" t="s">
        <v>195</v>
      </c>
      <c r="D458" s="10" t="s">
        <v>10</v>
      </c>
      <c r="E458" s="10" t="s">
        <v>2</v>
      </c>
      <c r="F458" s="11">
        <v>52.9</v>
      </c>
      <c r="G458" s="11">
        <v>16000</v>
      </c>
      <c r="H458" s="12">
        <f>[1]!РЕАЛИЗАЦИЯ[СОНИ]*[1]!РЕАЛИЗАЦИЯ[НАРХИ]</f>
        <v>970200</v>
      </c>
      <c r="I458" s="11"/>
      <c r="J458" s="13">
        <v>13000</v>
      </c>
      <c r="K458" s="11">
        <f>[1]!РЕАЛИЗАЦИЯ[[#This Row],[СОНИ]]*[1]!РЕАЛИЗАЦИЯ[[#This Row],[ТАННАРХ]]</f>
        <v>0</v>
      </c>
      <c r="L458" s="14">
        <f>[1]!РЕАЛИЗАЦИЯ[[#This Row],[ЖАМИ]]-[1]!РЕАЛИЗАЦИЯ[[#This Row],[ЖАМИ2]]</f>
        <v>970200</v>
      </c>
      <c r="O458" s="30">
        <v>46095</v>
      </c>
      <c r="P458" s="31" t="s">
        <v>297</v>
      </c>
      <c r="Q458" s="13">
        <v>800</v>
      </c>
      <c r="R458" s="13"/>
      <c r="S458" s="13"/>
      <c r="T458" s="32">
        <f>[1]!ПЛАТЕЖИ[[#This Row],[СЎМ]]+([1]!ПЛАТЕЖИ[[#This Row],[ВАЛЮТА]]*[1]!ПЛАТЕЖИ[[#This Row],[КУРС]])</f>
        <v>837900</v>
      </c>
      <c r="U458" s="31"/>
      <c r="V458" s="31"/>
    </row>
    <row r="459" spans="2:22" x14ac:dyDescent="0.25">
      <c r="B459" s="1">
        <v>46093</v>
      </c>
      <c r="C459" s="2" t="s">
        <v>68</v>
      </c>
      <c r="D459" s="3" t="s">
        <v>36</v>
      </c>
      <c r="E459" s="3" t="s">
        <v>2</v>
      </c>
      <c r="F459" s="4">
        <v>423.5</v>
      </c>
      <c r="G459" s="4">
        <v>18000</v>
      </c>
      <c r="H459" s="5">
        <f>[1]!РЕАЛИЗАЦИЯ[СОНИ]*[1]!РЕАЛИЗАЦИЯ[НАРХИ]</f>
        <v>999000</v>
      </c>
      <c r="I459" s="4"/>
      <c r="J459" s="6">
        <v>16000</v>
      </c>
      <c r="K459" s="4">
        <f>[1]!РЕАЛИЗАЦИЯ[[#This Row],[СОНИ]]*[1]!РЕАЛИЗАЦИЯ[[#This Row],[ТАННАРХ]]</f>
        <v>0</v>
      </c>
      <c r="L459" s="7">
        <f>[1]!РЕАЛИЗАЦИЯ[[#This Row],[ЖАМИ]]-[1]!РЕАЛИЗАЦИЯ[[#This Row],[ЖАМИ2]]</f>
        <v>999000</v>
      </c>
      <c r="O459" s="27">
        <v>46095</v>
      </c>
      <c r="P459" s="28" t="s">
        <v>298</v>
      </c>
      <c r="Q459" s="6">
        <v>25700</v>
      </c>
      <c r="R459" s="6"/>
      <c r="S459" s="6"/>
      <c r="T459" s="29">
        <f>[1]!ПЛАТЕЖИ[[#This Row],[СЎМ]]+([1]!ПЛАТЕЖИ[[#This Row],[ВАЛЮТА]]*[1]!ПЛАТЕЖИ[[#This Row],[КУРС]])</f>
        <v>1192000</v>
      </c>
      <c r="U459" s="28"/>
      <c r="V459" s="28"/>
    </row>
    <row r="460" spans="2:22" x14ac:dyDescent="0.25">
      <c r="B460" s="8">
        <v>46094</v>
      </c>
      <c r="C460" s="9" t="s">
        <v>65</v>
      </c>
      <c r="D460" s="10" t="s">
        <v>25</v>
      </c>
      <c r="E460" s="10" t="s">
        <v>2</v>
      </c>
      <c r="F460" s="11">
        <v>391.6</v>
      </c>
      <c r="G460" s="11">
        <v>25000</v>
      </c>
      <c r="H460" s="12">
        <f>[1]!РЕАЛИЗАЦИЯ[СОНИ]*[1]!РЕАЛИЗАЦИЯ[НАРХИ]</f>
        <v>2115600</v>
      </c>
      <c r="I460" s="11" t="s">
        <v>192</v>
      </c>
      <c r="J460" s="13">
        <v>19000</v>
      </c>
      <c r="K460" s="11">
        <f>[1]!РЕАЛИЗАЦИЯ[[#This Row],[СОНИ]]*[1]!РЕАЛИЗАЦИЯ[[#This Row],[ТАННАРХ]]</f>
        <v>0</v>
      </c>
      <c r="L460" s="14">
        <f>[1]!РЕАЛИЗАЦИЯ[[#This Row],[ЖАМИ]]-[1]!РЕАЛИЗАЦИЯ[[#This Row],[ЖАМИ2]]</f>
        <v>2115600</v>
      </c>
      <c r="O460" s="30">
        <v>46095</v>
      </c>
      <c r="P460" s="31" t="s">
        <v>299</v>
      </c>
      <c r="Q460" s="13">
        <v>-142578</v>
      </c>
      <c r="R460" s="13"/>
      <c r="S460" s="13"/>
      <c r="T460" s="32">
        <f>[1]!ПЛАТЕЖИ[[#This Row],[СЎМ]]+([1]!ПЛАТЕЖИ[[#This Row],[ВАЛЮТА]]*[1]!ПЛАТЕЖИ[[#This Row],[КУРС]])</f>
        <v>1052100</v>
      </c>
      <c r="U460" s="31"/>
      <c r="V460" s="31"/>
    </row>
    <row r="461" spans="2:22" x14ac:dyDescent="0.25">
      <c r="B461" s="1">
        <v>46094</v>
      </c>
      <c r="C461" s="2" t="s">
        <v>196</v>
      </c>
      <c r="D461" s="3" t="s">
        <v>10</v>
      </c>
      <c r="E461" s="3" t="s">
        <v>2</v>
      </c>
      <c r="F461" s="4">
        <v>50.3</v>
      </c>
      <c r="G461" s="4">
        <v>17000</v>
      </c>
      <c r="H461" s="5">
        <f>[1]!РЕАЛИЗАЦИЯ[СОНИ]*[1]!РЕАЛИЗАЦИЯ[НАРХИ]</f>
        <v>1985400</v>
      </c>
      <c r="I461" s="4"/>
      <c r="J461" s="6">
        <v>13000</v>
      </c>
      <c r="K461" s="4">
        <f>[1]!РЕАЛИЗАЦИЯ[[#This Row],[СОНИ]]*[1]!РЕАЛИЗАЦИЯ[[#This Row],[ТАННАРХ]]</f>
        <v>206823530</v>
      </c>
      <c r="L461" s="7">
        <f>[1]!РЕАЛИЗАЦИЯ[[#This Row],[ЖАМИ]]-[1]!РЕАЛИЗАЦИЯ[[#This Row],[ЖАМИ2]]</f>
        <v>1985289.7</v>
      </c>
      <c r="O461" s="27">
        <v>46095</v>
      </c>
      <c r="P461" s="28" t="s">
        <v>300</v>
      </c>
      <c r="Q461" s="6">
        <v>73050</v>
      </c>
      <c r="R461" s="6"/>
      <c r="S461" s="6"/>
      <c r="T461" s="29">
        <f>[1]!ПЛАТЕЖИ[[#This Row],[СЎМ]]+([1]!ПЛАТЕЖИ[[#This Row],[ВАЛЮТА]]*[1]!ПЛАТЕЖИ[[#This Row],[КУРС]])</f>
        <v>1000000</v>
      </c>
      <c r="U461" s="28"/>
      <c r="V461" s="28"/>
    </row>
    <row r="462" spans="2:22" x14ac:dyDescent="0.25">
      <c r="B462" s="8">
        <v>46094</v>
      </c>
      <c r="C462" s="9" t="s">
        <v>9</v>
      </c>
      <c r="D462" s="10" t="s">
        <v>25</v>
      </c>
      <c r="E462" s="10" t="s">
        <v>2</v>
      </c>
      <c r="F462" s="11">
        <v>211.5</v>
      </c>
      <c r="G462" s="11">
        <v>25700</v>
      </c>
      <c r="H462" s="12">
        <f>[1]!РЕАЛИЗАЦИЯ[СОНИ]*[1]!РЕАЛИЗАЦИЯ[НАРХИ]</f>
        <v>5865750</v>
      </c>
      <c r="I462" s="11"/>
      <c r="J462" s="13">
        <v>23000</v>
      </c>
      <c r="K462" s="11">
        <f>[1]!РЕАЛИЗАЦИЯ[[#This Row],[СОНИ]]*[1]!РЕАЛИЗАЦИЯ[[#This Row],[ТАННАРХ]]</f>
        <v>1378265625</v>
      </c>
      <c r="L462" s="14">
        <f>[1]!РЕАЛИЗАЦИЯ[[#This Row],[ЖАМИ]]-[1]!РЕАЛИЗАЦИЯ[[#This Row],[ЖАМИ2]]</f>
        <v>5865502.5</v>
      </c>
      <c r="O462" s="30">
        <v>46095</v>
      </c>
      <c r="P462" s="31" t="s">
        <v>301</v>
      </c>
      <c r="Q462" s="13">
        <v>6000</v>
      </c>
      <c r="R462" s="13"/>
      <c r="S462" s="13"/>
      <c r="T462" s="32">
        <f>[1]!ПЛАТЕЖИ[[#This Row],[СЎМ]]+([1]!ПЛАТЕЖИ[[#This Row],[ВАЛЮТА]]*[1]!ПЛАТЕЖИ[[#This Row],[КУРС]])</f>
        <v>2000000</v>
      </c>
      <c r="U462" s="31"/>
      <c r="V462" s="31"/>
    </row>
    <row r="463" spans="2:22" x14ac:dyDescent="0.25">
      <c r="B463" s="1">
        <v>46094</v>
      </c>
      <c r="C463" s="2" t="s">
        <v>23</v>
      </c>
      <c r="D463" s="3" t="s">
        <v>1</v>
      </c>
      <c r="E463" s="3" t="s">
        <v>2</v>
      </c>
      <c r="F463" s="4">
        <v>138.30000000000001</v>
      </c>
      <c r="G463" s="4">
        <v>20000</v>
      </c>
      <c r="H463" s="5">
        <f>[1]!РЕАЛИЗАЦИЯ[СОНИ]*[1]!РЕАЛИЗАЦИЯ[НАРХИ]</f>
        <v>2777800</v>
      </c>
      <c r="I463" s="4"/>
      <c r="J463" s="6">
        <v>19000</v>
      </c>
      <c r="K463" s="4">
        <f>[1]!РЕАЛИЗАЦИЯ[[#This Row],[СОНИ]]*[1]!РЕАЛИЗАЦИЯ[[#This Row],[ТАННАРХ]]</f>
        <v>0</v>
      </c>
      <c r="L463" s="7">
        <f>[1]!РЕАЛИЗАЦИЯ[[#This Row],[ЖАМИ]]-[1]!РЕАЛИЗАЦИЯ[[#This Row],[ЖАМИ2]]</f>
        <v>2777800</v>
      </c>
      <c r="O463" s="27">
        <v>46095</v>
      </c>
      <c r="P463" s="28" t="s">
        <v>205</v>
      </c>
      <c r="Q463" s="6">
        <v>1400</v>
      </c>
      <c r="R463" s="6"/>
      <c r="S463" s="6"/>
      <c r="T463" s="29">
        <f>[1]!ПЛАТЕЖИ[[#This Row],[СЎМ]]+([1]!ПЛАТЕЖИ[[#This Row],[ВАЛЮТА]]*[1]!ПЛАТЕЖИ[[#This Row],[КУРС]])</f>
        <v>814400</v>
      </c>
      <c r="U463" s="28"/>
      <c r="V463" s="28"/>
    </row>
    <row r="464" spans="2:22" x14ac:dyDescent="0.25">
      <c r="B464" s="8">
        <v>46094</v>
      </c>
      <c r="C464" s="9" t="s">
        <v>101</v>
      </c>
      <c r="D464" s="10" t="s">
        <v>1</v>
      </c>
      <c r="E464" s="10" t="s">
        <v>2</v>
      </c>
      <c r="F464" s="11">
        <v>53</v>
      </c>
      <c r="G464" s="11">
        <v>21000</v>
      </c>
      <c r="H464" s="12">
        <f>[1]!РЕАЛИЗАЦИЯ[СОНИ]*[1]!РЕАЛИЗАЦИЯ[НАРХИ]</f>
        <v>3965750</v>
      </c>
      <c r="I464" s="11"/>
      <c r="J464" s="13">
        <v>19000</v>
      </c>
      <c r="K464" s="11">
        <f>[1]!РЕАЛИЗАЦИЯ[[#This Row],[СОНИ]]*[1]!РЕАЛИЗАЦИЯ[[#This Row],[ТАННАРХ]]</f>
        <v>0</v>
      </c>
      <c r="L464" s="14">
        <f>[1]!РЕАЛИЗАЦИЯ[[#This Row],[ЖАМИ]]-[1]!РЕАЛИЗАЦИЯ[[#This Row],[ЖАМИ2]]</f>
        <v>3965750</v>
      </c>
      <c r="O464" s="30">
        <v>46095</v>
      </c>
      <c r="P464" s="31" t="s">
        <v>302</v>
      </c>
      <c r="Q464" s="13">
        <v>900</v>
      </c>
      <c r="R464" s="13"/>
      <c r="S464" s="13"/>
      <c r="T464" s="32">
        <f>[1]!ПЛАТЕЖИ[[#This Row],[СЎМ]]+([1]!ПЛАТЕЖИ[[#This Row],[ВАЛЮТА]]*[1]!ПЛАТЕЖИ[[#This Row],[КУРС]])</f>
        <v>500000</v>
      </c>
      <c r="U464" s="31"/>
      <c r="V464" s="31"/>
    </row>
    <row r="465" spans="2:22" x14ac:dyDescent="0.25">
      <c r="B465" s="1">
        <v>46094</v>
      </c>
      <c r="C465" s="2" t="s">
        <v>112</v>
      </c>
      <c r="D465" s="3" t="s">
        <v>1</v>
      </c>
      <c r="E465" s="3" t="s">
        <v>2</v>
      </c>
      <c r="F465" s="4">
        <v>101.3</v>
      </c>
      <c r="G465" s="4">
        <v>21000</v>
      </c>
      <c r="H465" s="5">
        <f>[1]!РЕАЛИЗАЦИЯ[СОНИ]*[1]!РЕАЛИЗАЦИЯ[НАРХИ]</f>
        <v>885300</v>
      </c>
      <c r="I465" s="4"/>
      <c r="J465" s="6">
        <v>19000</v>
      </c>
      <c r="K465" s="4">
        <f>[1]!РЕАЛИЗАЦИЯ[[#This Row],[СОНИ]]*[1]!РЕАЛИЗАЦИЯ[[#This Row],[ТАННАРХ]]</f>
        <v>0</v>
      </c>
      <c r="L465" s="7">
        <f>[1]!РЕАЛИЗАЦИЯ[[#This Row],[ЖАМИ]]-[1]!РЕАЛИЗАЦИЯ[[#This Row],[ЖАМИ2]]</f>
        <v>885300</v>
      </c>
      <c r="O465" s="27">
        <v>46095</v>
      </c>
      <c r="P465" s="28" t="s">
        <v>303</v>
      </c>
      <c r="Q465" s="6">
        <v>29000</v>
      </c>
      <c r="R465" s="6"/>
      <c r="S465" s="6"/>
      <c r="T465" s="29">
        <f>[1]!ПЛАТЕЖИ[[#This Row],[СЎМ]]+([1]!ПЛАТЕЖИ[[#This Row],[ВАЛЮТА]]*[1]!ПЛАТЕЖИ[[#This Row],[КУРС]])</f>
        <v>700000</v>
      </c>
      <c r="U465" s="28"/>
      <c r="V465" s="28"/>
    </row>
    <row r="466" spans="2:22" x14ac:dyDescent="0.25">
      <c r="B466" s="8">
        <v>46094</v>
      </c>
      <c r="C466" s="9" t="s">
        <v>112</v>
      </c>
      <c r="D466" s="10" t="s">
        <v>10</v>
      </c>
      <c r="E466" s="10" t="s">
        <v>2</v>
      </c>
      <c r="F466" s="11">
        <v>49.6</v>
      </c>
      <c r="G466" s="11">
        <v>16000</v>
      </c>
      <c r="H466" s="12">
        <f>[1]!РЕАЛИЗАЦИЯ[СОНИ]*[1]!РЕАЛИЗАЦИЯ[НАРХИ]</f>
        <v>1520000</v>
      </c>
      <c r="I466" s="11"/>
      <c r="J466" s="13">
        <v>13000</v>
      </c>
      <c r="K466" s="11">
        <f>[1]!РЕАЛИЗАЦИЯ[[#This Row],[СОНИ]]*[1]!РЕАЛИЗАЦИЯ[[#This Row],[ТАННАРХ]]</f>
        <v>0</v>
      </c>
      <c r="L466" s="14">
        <f>[1]!РЕАЛИЗАЦИЯ[[#This Row],[ЖАМИ]]-[1]!РЕАЛИЗАЦИЯ[[#This Row],[ЖАМИ2]]</f>
        <v>1520000</v>
      </c>
      <c r="O466" s="30">
        <v>46095</v>
      </c>
      <c r="P466" s="31" t="s">
        <v>304</v>
      </c>
      <c r="Q466" s="13">
        <v>400</v>
      </c>
      <c r="R466" s="13"/>
      <c r="S466" s="13"/>
      <c r="T466" s="32">
        <f>[1]!ПЛАТЕЖИ[[#This Row],[СЎМ]]+([1]!ПЛАТЕЖИ[[#This Row],[ВАЛЮТА]]*[1]!ПЛАТЕЖИ[[#This Row],[КУРС]])</f>
        <v>2826000</v>
      </c>
      <c r="U466" s="31"/>
      <c r="V466" s="31"/>
    </row>
    <row r="467" spans="2:22" x14ac:dyDescent="0.25">
      <c r="B467" s="1">
        <v>46095</v>
      </c>
      <c r="C467" s="2" t="s">
        <v>33</v>
      </c>
      <c r="D467" s="3" t="s">
        <v>1</v>
      </c>
      <c r="E467" s="3" t="s">
        <v>2</v>
      </c>
      <c r="F467" s="4">
        <v>406.2</v>
      </c>
      <c r="G467" s="4">
        <v>20500</v>
      </c>
      <c r="H467" s="5">
        <f>[1]!РЕАЛИЗАЦИЯ[СОНИ]*[1]!РЕАЛИЗАЦИЯ[НАРХИ]</f>
        <v>1936200</v>
      </c>
      <c r="I467" s="4"/>
      <c r="J467" s="6">
        <v>19000</v>
      </c>
      <c r="K467" s="4">
        <f>[1]!РЕАЛИЗАЦИЯ[[#This Row],[СОНИ]]*[1]!РЕАЛИЗАЦИЯ[[#This Row],[ТАННАРХ]]</f>
        <v>0</v>
      </c>
      <c r="L467" s="7">
        <f>[1]!РЕАЛИЗАЦИЯ[[#This Row],[ЖАМИ]]-[1]!РЕАЛИЗАЦИЯ[[#This Row],[ЖАМИ2]]</f>
        <v>1936200</v>
      </c>
      <c r="O467" s="27">
        <v>46095</v>
      </c>
      <c r="P467" s="28" t="s">
        <v>305</v>
      </c>
      <c r="Q467" s="6">
        <v>27800</v>
      </c>
      <c r="R467" s="6"/>
      <c r="S467" s="6"/>
      <c r="T467" s="29">
        <f>[1]!ПЛАТЕЖИ[[#This Row],[СЎМ]]+([1]!ПЛАТЕЖИ[[#This Row],[ВАЛЮТА]]*[1]!ПЛАТЕЖИ[[#This Row],[КУРС]])</f>
        <v>3852400</v>
      </c>
      <c r="U467" s="28"/>
      <c r="V467" s="28"/>
    </row>
    <row r="468" spans="2:22" x14ac:dyDescent="0.25">
      <c r="B468" s="8">
        <v>46095</v>
      </c>
      <c r="C468" s="9" t="s">
        <v>33</v>
      </c>
      <c r="D468" s="10" t="s">
        <v>10</v>
      </c>
      <c r="E468" s="10" t="s">
        <v>2</v>
      </c>
      <c r="F468" s="11">
        <v>100.2</v>
      </c>
      <c r="G468" s="11">
        <v>14500</v>
      </c>
      <c r="H468" s="12">
        <f>[1]!РЕАЛИЗАЦИЯ[СОНИ]*[1]!РЕАЛИЗАЦИЯ[НАРХИ]</f>
        <v>1119300</v>
      </c>
      <c r="I468" s="11"/>
      <c r="J468" s="13">
        <v>13000</v>
      </c>
      <c r="K468" s="11">
        <f>[1]!РЕАЛИЗАЦИЯ[[#This Row],[СОНИ]]*[1]!РЕАЛИЗАЦИЯ[[#This Row],[ТАННАРХ]]</f>
        <v>0</v>
      </c>
      <c r="L468" s="14">
        <f>[1]!РЕАЛИЗАЦИЯ[[#This Row],[ЖАМИ]]-[1]!РЕАЛИЗАЦИЯ[[#This Row],[ЖАМИ2]]</f>
        <v>1119300</v>
      </c>
      <c r="O468" s="30">
        <v>46095</v>
      </c>
      <c r="P468" s="31" t="s">
        <v>306</v>
      </c>
      <c r="Q468" s="13">
        <v>29000</v>
      </c>
      <c r="R468" s="13"/>
      <c r="S468" s="13"/>
      <c r="T468" s="32">
        <f>[1]!ПЛАТЕЖИ[[#This Row],[СЎМ]]+([1]!ПЛАТЕЖИ[[#This Row],[ВАЛЮТА]]*[1]!ПЛАТЕЖИ[[#This Row],[КУРС]])</f>
        <v>500000</v>
      </c>
      <c r="U468" s="31"/>
      <c r="V468" s="31"/>
    </row>
    <row r="469" spans="2:22" x14ac:dyDescent="0.25">
      <c r="B469" s="1">
        <v>46095</v>
      </c>
      <c r="C469" s="2" t="s">
        <v>39</v>
      </c>
      <c r="D469" s="3" t="s">
        <v>1</v>
      </c>
      <c r="E469" s="3" t="s">
        <v>2</v>
      </c>
      <c r="F469" s="4">
        <v>1277.5</v>
      </c>
      <c r="G469" s="4">
        <v>20000</v>
      </c>
      <c r="H469" s="5">
        <f>[1]!РЕАЛИЗАЦИЯ[СОНИ]*[1]!РЕАЛИЗАЦИЯ[НАРХИ]</f>
        <v>2469600</v>
      </c>
      <c r="I469" s="4"/>
      <c r="J469" s="6">
        <v>19000</v>
      </c>
      <c r="K469" s="4">
        <f>[1]!РЕАЛИЗАЦИЯ[[#This Row],[СОНИ]]*[1]!РЕАЛИЗАЦИЯ[[#This Row],[ТАННАРХ]]</f>
        <v>0</v>
      </c>
      <c r="L469" s="7">
        <f>[1]!РЕАЛИЗАЦИЯ[[#This Row],[ЖАМИ]]-[1]!РЕАЛИЗАЦИЯ[[#This Row],[ЖАМИ2]]</f>
        <v>2469600</v>
      </c>
      <c r="O469" s="27">
        <v>46095</v>
      </c>
      <c r="P469" s="28" t="s">
        <v>76</v>
      </c>
      <c r="Q469" s="6">
        <v>28600</v>
      </c>
      <c r="R469" s="6"/>
      <c r="S469" s="6"/>
      <c r="T469" s="29">
        <f>[1]!ПЛАТЕЖИ[[#This Row],[СЎМ]]+([1]!ПЛАТЕЖИ[[#This Row],[ВАЛЮТА]]*[1]!ПЛАТЕЖИ[[#This Row],[КУРС]])</f>
        <v>615000</v>
      </c>
      <c r="U469" s="28"/>
      <c r="V469" s="28"/>
    </row>
    <row r="470" spans="2:22" x14ac:dyDescent="0.25">
      <c r="B470" s="8">
        <v>46095</v>
      </c>
      <c r="C470" s="9" t="s">
        <v>62</v>
      </c>
      <c r="D470" s="10" t="s">
        <v>1</v>
      </c>
      <c r="E470" s="10" t="s">
        <v>2</v>
      </c>
      <c r="F470" s="11">
        <v>49.6</v>
      </c>
      <c r="G470" s="11">
        <v>20000</v>
      </c>
      <c r="H470" s="12">
        <f>[1]!РЕАЛИЗАЦИЯ[СОНИ]*[1]!РЕАЛИЗАЦИЯ[НАРХИ]</f>
        <v>2091599.9999999998</v>
      </c>
      <c r="I470" s="11"/>
      <c r="J470" s="13">
        <v>19000</v>
      </c>
      <c r="K470" s="11">
        <f>[1]!РЕАЛИЗАЦИЯ[[#This Row],[СОНИ]]*[1]!РЕАЛИЗАЦИЯ[[#This Row],[ТАННАРХ]]</f>
        <v>0</v>
      </c>
      <c r="L470" s="14">
        <f>[1]!РЕАЛИЗАЦИЯ[[#This Row],[ЖАМИ]]-[1]!РЕАЛИЗАЦИЯ[[#This Row],[ЖАМИ2]]</f>
        <v>2091599.9999999998</v>
      </c>
      <c r="O470" s="30">
        <v>46095</v>
      </c>
      <c r="P470" s="31" t="s">
        <v>307</v>
      </c>
      <c r="Q470" s="13">
        <v>30600</v>
      </c>
      <c r="R470" s="13"/>
      <c r="S470" s="13"/>
      <c r="T470" s="32">
        <f>[1]!ПЛАТЕЖИ[[#This Row],[СЎМ]]+([1]!ПЛАТЕЖИ[[#This Row],[ВАЛЮТА]]*[1]!ПЛАТЕЖИ[[#This Row],[КУРС]])</f>
        <v>1008000</v>
      </c>
      <c r="U470" s="31"/>
      <c r="V470" s="31"/>
    </row>
    <row r="471" spans="2:22" x14ac:dyDescent="0.25">
      <c r="B471" s="1">
        <v>46096</v>
      </c>
      <c r="C471" s="2" t="s">
        <v>11</v>
      </c>
      <c r="D471" s="3" t="s">
        <v>1</v>
      </c>
      <c r="E471" s="3" t="s">
        <v>2</v>
      </c>
      <c r="F471" s="4">
        <v>49.1</v>
      </c>
      <c r="G471" s="4">
        <v>21000</v>
      </c>
      <c r="H471" s="5">
        <f>[1]!РЕАЛИЗАЦИЯ[СОНИ]*[1]!РЕАЛИЗАЦИЯ[НАРХИ]</f>
        <v>784000</v>
      </c>
      <c r="I471" s="4"/>
      <c r="J471" s="6">
        <v>19000</v>
      </c>
      <c r="K471" s="4">
        <f>[1]!РЕАЛИЗАЦИЯ[[#This Row],[СОНИ]]*[1]!РЕАЛИЗАЦИЯ[[#This Row],[ТАННАРХ]]</f>
        <v>0</v>
      </c>
      <c r="L471" s="7">
        <f>[1]!РЕАЛИЗАЦИЯ[[#This Row],[ЖАМИ]]-[1]!РЕАЛИЗАЦИЯ[[#This Row],[ЖАМИ2]]</f>
        <v>784000</v>
      </c>
      <c r="O471" s="27">
        <v>46095</v>
      </c>
      <c r="P471" s="28" t="s">
        <v>261</v>
      </c>
      <c r="Q471" s="6">
        <v>-54853</v>
      </c>
      <c r="R471" s="6"/>
      <c r="S471" s="6"/>
      <c r="T471" s="29">
        <f>[1]!ПЛАТЕЖИ[[#This Row],[СЎМ]]+([1]!ПЛАТЕЖИ[[#This Row],[ВАЛЮТА]]*[1]!ПЛАТЕЖИ[[#This Row],[КУРС]])</f>
        <v>1801500</v>
      </c>
      <c r="U471" s="28"/>
      <c r="V471" s="28"/>
    </row>
    <row r="472" spans="2:22" x14ac:dyDescent="0.25">
      <c r="B472" s="8">
        <v>46096</v>
      </c>
      <c r="C472" s="9" t="s">
        <v>72</v>
      </c>
      <c r="D472" s="10" t="s">
        <v>1</v>
      </c>
      <c r="E472" s="10" t="s">
        <v>2</v>
      </c>
      <c r="F472" s="11">
        <v>203.1</v>
      </c>
      <c r="G472" s="11">
        <v>20000</v>
      </c>
      <c r="H472" s="12">
        <f>[1]!РЕАЛИЗАЦИЯ[СОНИ]*[1]!РЕАЛИЗАЦИЯ[НАРХИ]</f>
        <v>940799.99999999988</v>
      </c>
      <c r="I472" s="11"/>
      <c r="J472" s="13">
        <v>19000</v>
      </c>
      <c r="K472" s="11">
        <f>[1]!РЕАЛИЗАЦИЯ[[#This Row],[СОНИ]]*[1]!РЕАЛИЗАЦИЯ[[#This Row],[ТАННАРХ]]</f>
        <v>0</v>
      </c>
      <c r="L472" s="14">
        <f>[1]!РЕАЛИЗАЦИЯ[[#This Row],[ЖАМИ]]-[1]!РЕАЛИЗАЦИЯ[[#This Row],[ЖАМИ2]]</f>
        <v>940799.99999999988</v>
      </c>
      <c r="O472" s="30">
        <v>46095</v>
      </c>
      <c r="P472" s="31" t="s">
        <v>304</v>
      </c>
      <c r="Q472" s="13">
        <v>-800</v>
      </c>
      <c r="R472" s="13"/>
      <c r="S472" s="13"/>
      <c r="T472" s="32">
        <f>[1]!ПЛАТЕЖИ[[#This Row],[СЎМ]]+([1]!ПЛАТЕЖИ[[#This Row],[ВАЛЮТА]]*[1]!ПЛАТЕЖИ[[#This Row],[КУРС]])</f>
        <v>903200</v>
      </c>
      <c r="U472" s="31"/>
      <c r="V472" s="31"/>
    </row>
    <row r="473" spans="2:22" x14ac:dyDescent="0.25">
      <c r="B473" s="1">
        <v>46096</v>
      </c>
      <c r="C473" s="2" t="s">
        <v>72</v>
      </c>
      <c r="D473" s="3" t="s">
        <v>29</v>
      </c>
      <c r="E473" s="3" t="s">
        <v>2</v>
      </c>
      <c r="F473" s="4">
        <v>53.8</v>
      </c>
      <c r="G473" s="4">
        <v>18000</v>
      </c>
      <c r="H473" s="5">
        <f>[1]!РЕАЛИЗАЦИЯ[СОНИ]*[1]!РЕАЛИЗАЦИЯ[НАРХИ]</f>
        <v>936000</v>
      </c>
      <c r="I473" s="4"/>
      <c r="J473" s="6">
        <v>16000</v>
      </c>
      <c r="K473" s="4">
        <f>[1]!РЕАЛИЗАЦИЯ[[#This Row],[СОНИ]]*[1]!РЕАЛИЗАЦИЯ[[#This Row],[ТАННАРХ]]</f>
        <v>0</v>
      </c>
      <c r="L473" s="7">
        <f>[1]!РЕАЛИЗАЦИЯ[[#This Row],[ЖАМИ]]-[1]!РЕАЛИЗАЦИЯ[[#This Row],[ЖАМИ2]]</f>
        <v>936000</v>
      </c>
      <c r="O473" s="27">
        <v>46095</v>
      </c>
      <c r="P473" s="28" t="s">
        <v>303</v>
      </c>
      <c r="Q473" s="6">
        <v>-58000</v>
      </c>
      <c r="R473" s="6"/>
      <c r="S473" s="6"/>
      <c r="T473" s="29">
        <f>[1]!ПЛАТЕЖИ[[#This Row],[СЎМ]]+([1]!ПЛАТЕЖИ[[#This Row],[ВАЛЮТА]]*[1]!ПЛАТЕЖИ[[#This Row],[КУРС]])</f>
        <v>1000000</v>
      </c>
      <c r="U473" s="28"/>
      <c r="V473" s="28"/>
    </row>
    <row r="474" spans="2:22" x14ac:dyDescent="0.25">
      <c r="B474" s="8">
        <v>46096</v>
      </c>
      <c r="C474" s="9" t="s">
        <v>197</v>
      </c>
      <c r="D474" s="10" t="s">
        <v>1</v>
      </c>
      <c r="E474" s="10" t="s">
        <v>2</v>
      </c>
      <c r="F474" s="11">
        <v>48.2</v>
      </c>
      <c r="G474" s="11">
        <v>21000</v>
      </c>
      <c r="H474" s="12">
        <f>[1]!РЕАЛИЗАЦИЯ[СОНИ]*[1]!РЕАЛИЗАЦИЯ[НАРХИ]</f>
        <v>7492000</v>
      </c>
      <c r="I474" s="11"/>
      <c r="J474" s="13">
        <v>19000</v>
      </c>
      <c r="K474" s="11">
        <f>[1]!РЕАЛИЗАЦИЯ[[#This Row],[СОНИ]]*[1]!РЕАЛИЗАЦИЯ[[#This Row],[ТАННАРХ]]</f>
        <v>0</v>
      </c>
      <c r="L474" s="14">
        <f>[1]!РЕАЛИЗАЦИЯ[[#This Row],[ЖАМИ]]-[1]!РЕАЛИЗАЦИЯ[[#This Row],[ЖАМИ2]]</f>
        <v>7492000</v>
      </c>
      <c r="O474" s="30">
        <v>46095</v>
      </c>
      <c r="P474" s="31" t="s">
        <v>176</v>
      </c>
      <c r="Q474" s="13">
        <v>696000</v>
      </c>
      <c r="R474" s="13"/>
      <c r="S474" s="13"/>
      <c r="T474" s="32">
        <f>[1]!ПЛАТЕЖИ[[#This Row],[СЎМ]]+([1]!ПЛАТЕЖИ[[#This Row],[ВАЛЮТА]]*[1]!ПЛАТЕЖИ[[#This Row],[КУРС]])</f>
        <v>725000</v>
      </c>
      <c r="U474" s="31"/>
      <c r="V474" s="31" t="s">
        <v>275</v>
      </c>
    </row>
    <row r="475" spans="2:22" x14ac:dyDescent="0.25">
      <c r="B475" s="1">
        <v>46096</v>
      </c>
      <c r="C475" s="2" t="s">
        <v>142</v>
      </c>
      <c r="D475" s="3" t="s">
        <v>10</v>
      </c>
      <c r="E475" s="3" t="s">
        <v>2</v>
      </c>
      <c r="F475" s="4">
        <v>49</v>
      </c>
      <c r="G475" s="4">
        <v>16000</v>
      </c>
      <c r="H475" s="5">
        <f>[1]!РЕАЛИЗАЦИЯ[СОНИ]*[1]!РЕАЛИЗАЦИЯ[НАРХИ]</f>
        <v>1513500</v>
      </c>
      <c r="I475" s="4"/>
      <c r="J475" s="6">
        <v>13000</v>
      </c>
      <c r="K475" s="4">
        <f>[1]!РЕАЛИЗАЦИЯ[[#This Row],[СОНИ]]*[1]!РЕАЛИЗАЦИЯ[[#This Row],[ТАННАРХ]]</f>
        <v>0</v>
      </c>
      <c r="L475" s="7">
        <f>[1]!РЕАЛИЗАЦИЯ[[#This Row],[ЖАМИ]]-[1]!РЕАЛИЗАЦИЯ[[#This Row],[ЖАМИ2]]</f>
        <v>1513500</v>
      </c>
      <c r="O475" s="27">
        <v>46095</v>
      </c>
      <c r="P475" s="28" t="s">
        <v>108</v>
      </c>
      <c r="Q475" s="6">
        <v>91700</v>
      </c>
      <c r="R475" s="6"/>
      <c r="S475" s="6"/>
      <c r="T475" s="29">
        <f>[1]!ПЛАТЕЖИ[[#This Row],[СЎМ]]+([1]!ПЛАТЕЖИ[[#This Row],[ВАЛЮТА]]*[1]!ПЛАТЕЖИ[[#This Row],[КУРС]])</f>
        <v>4197000</v>
      </c>
      <c r="U475" s="28"/>
      <c r="V475" s="28" t="s">
        <v>275</v>
      </c>
    </row>
    <row r="476" spans="2:22" x14ac:dyDescent="0.25">
      <c r="B476" s="8">
        <v>46096</v>
      </c>
      <c r="C476" s="9" t="s">
        <v>142</v>
      </c>
      <c r="D476" s="10" t="s">
        <v>1</v>
      </c>
      <c r="E476" s="10" t="s">
        <v>2</v>
      </c>
      <c r="F476" s="11">
        <v>48.6</v>
      </c>
      <c r="G476" s="11">
        <v>21000</v>
      </c>
      <c r="H476" s="12">
        <f>[1]!РЕАЛИЗАЦИЯ[СОНИ]*[1]!РЕАЛИЗАЦИЯ[НАРХИ]</f>
        <v>2135700</v>
      </c>
      <c r="I476" s="11"/>
      <c r="J476" s="13">
        <v>19000</v>
      </c>
      <c r="K476" s="11">
        <f>[1]!РЕАЛИЗАЦИЯ[[#This Row],[СОНИ]]*[1]!РЕАЛИЗАЦИЯ[[#This Row],[ТАННАРХ]]</f>
        <v>0</v>
      </c>
      <c r="L476" s="14">
        <f>[1]!РЕАЛИЗАЦИЯ[[#This Row],[ЖАМИ]]-[1]!РЕАЛИЗАЦИЯ[[#This Row],[ЖАМИ2]]</f>
        <v>2135700</v>
      </c>
      <c r="O476" s="30">
        <v>46096</v>
      </c>
      <c r="P476" s="31" t="s">
        <v>196</v>
      </c>
      <c r="Q476" s="13">
        <v>400000</v>
      </c>
      <c r="R476" s="13">
        <v>100</v>
      </c>
      <c r="S476" s="13">
        <v>12100</v>
      </c>
      <c r="T476" s="32">
        <f>[1]!ПЛАТЕЖИ[[#This Row],[СЎМ]]+([1]!ПЛАТЕЖИ[[#This Row],[ВАЛЮТА]]*[1]!ПЛАТЕЖИ[[#This Row],[КУРС]])</f>
        <v>1779300</v>
      </c>
      <c r="U476" s="31"/>
      <c r="V476" s="31"/>
    </row>
    <row r="477" spans="2:22" x14ac:dyDescent="0.25">
      <c r="B477" s="1">
        <v>46096</v>
      </c>
      <c r="C477" s="2" t="s">
        <v>4</v>
      </c>
      <c r="D477" s="3" t="s">
        <v>1</v>
      </c>
      <c r="E477" s="3" t="s">
        <v>2</v>
      </c>
      <c r="F477" s="4">
        <v>51.4</v>
      </c>
      <c r="G477" s="4">
        <v>21000</v>
      </c>
      <c r="H477" s="5">
        <f>[1]!РЕАЛИЗАЦИЯ[СОНИ]*[1]!РЕАЛИЗАЦИЯ[НАРХИ]</f>
        <v>-2135700</v>
      </c>
      <c r="I477" s="4"/>
      <c r="J477" s="6">
        <v>19000</v>
      </c>
      <c r="K477" s="4">
        <f>[1]!РЕАЛИЗАЦИЯ[[#This Row],[СОНИ]]*[1]!РЕАЛИЗАЦИЯ[[#This Row],[ТАННАРХ]]</f>
        <v>0</v>
      </c>
      <c r="L477" s="7">
        <f>[1]!РЕАЛИЗАЦИЯ[[#This Row],[ЖАМИ]]-[1]!РЕАЛИЗАЦИЯ[[#This Row],[ЖАМИ2]]</f>
        <v>-2135700</v>
      </c>
      <c r="O477" s="27">
        <v>46096</v>
      </c>
      <c r="P477" s="28" t="s">
        <v>28</v>
      </c>
      <c r="Q477" s="6">
        <v>1200000</v>
      </c>
      <c r="R477" s="6"/>
      <c r="S477" s="6"/>
      <c r="T477" s="29">
        <f>[1]!ПЛАТЕЖИ[[#This Row],[СЎМ]]+([1]!ПЛАТЕЖИ[[#This Row],[ВАЛЮТА]]*[1]!ПЛАТЕЖИ[[#This Row],[КУРС]])</f>
        <v>1500000</v>
      </c>
      <c r="U477" s="28"/>
      <c r="V477" s="28"/>
    </row>
    <row r="478" spans="2:22" x14ac:dyDescent="0.25">
      <c r="B478" s="8">
        <v>46096</v>
      </c>
      <c r="C478" s="9" t="s">
        <v>198</v>
      </c>
      <c r="D478" s="10" t="s">
        <v>1</v>
      </c>
      <c r="E478" s="10" t="s">
        <v>2</v>
      </c>
      <c r="F478" s="11">
        <v>300.39999999999998</v>
      </c>
      <c r="G478" s="11">
        <v>21000</v>
      </c>
      <c r="H478" s="12">
        <f>[1]!РЕАЛИЗАЦИЯ[СОНИ]*[1]!РЕАЛИЗАЦИЯ[НАРХИ]</f>
        <v>704000</v>
      </c>
      <c r="I478" s="11"/>
      <c r="J478" s="13">
        <v>19000</v>
      </c>
      <c r="K478" s="11">
        <f>[1]!РЕАЛИЗАЦИЯ[[#This Row],[СОНИ]]*[1]!РЕАЛИЗАЦИЯ[[#This Row],[ТАННАРХ]]</f>
        <v>0</v>
      </c>
      <c r="L478" s="14">
        <f>[1]!РЕАЛИЗАЦИЯ[[#This Row],[ЖАМИ]]-[1]!РЕАЛИЗАЦИЯ[[#This Row],[ЖАМИ2]]</f>
        <v>704000</v>
      </c>
      <c r="O478" s="30">
        <v>46096</v>
      </c>
      <c r="P478" s="31" t="s">
        <v>72</v>
      </c>
      <c r="Q478" s="13">
        <v>1000000</v>
      </c>
      <c r="R478" s="13"/>
      <c r="S478" s="13"/>
      <c r="T478" s="32">
        <f>[1]!ПЛАТЕЖИ[[#This Row],[СЎМ]]+([1]!ПЛАТЕЖИ[[#This Row],[ВАЛЮТА]]*[1]!ПЛАТЕЖИ[[#This Row],[КУРС]])</f>
        <v>1079400</v>
      </c>
      <c r="U478" s="31"/>
      <c r="V478" s="31"/>
    </row>
    <row r="479" spans="2:22" x14ac:dyDescent="0.25">
      <c r="B479" s="1">
        <v>46096</v>
      </c>
      <c r="C479" s="2" t="s">
        <v>198</v>
      </c>
      <c r="D479" s="3" t="s">
        <v>10</v>
      </c>
      <c r="E479" s="3" t="s">
        <v>2</v>
      </c>
      <c r="F479" s="4">
        <v>48.2</v>
      </c>
      <c r="G479" s="4">
        <v>16000</v>
      </c>
      <c r="H479" s="5">
        <f>[1]!РЕАЛИЗАЦИЯ[СОНИ]*[1]!РЕАЛИЗАЦИЯ[НАРХИ]</f>
        <v>616000</v>
      </c>
      <c r="I479" s="4"/>
      <c r="J479" s="6">
        <v>13000</v>
      </c>
      <c r="K479" s="4">
        <f>[1]!РЕАЛИЗАЦИЯ[[#This Row],[СОНИ]]*[1]!РЕАЛИЗАЦИЯ[[#This Row],[ТАННАРХ]]</f>
        <v>0</v>
      </c>
      <c r="L479" s="7">
        <f>[1]!РЕАЛИЗАЦИЯ[[#This Row],[ЖАМИ]]-[1]!РЕАЛИЗАЦИЯ[[#This Row],[ЖАМИ2]]</f>
        <v>616000</v>
      </c>
      <c r="O479" s="27">
        <v>46096</v>
      </c>
      <c r="P479" s="28" t="s">
        <v>62</v>
      </c>
      <c r="Q479" s="6">
        <v>692000</v>
      </c>
      <c r="R479" s="6"/>
      <c r="S479" s="6"/>
      <c r="T479" s="29">
        <f>[1]!ПЛАТЕЖИ[[#This Row],[СЎМ]]+([1]!ПЛАТЕЖИ[[#This Row],[ВАЛЮТА]]*[1]!ПЛАТЕЖИ[[#This Row],[КУРС]])</f>
        <v>2401500</v>
      </c>
      <c r="U479" s="28"/>
      <c r="V479" s="28"/>
    </row>
    <row r="480" spans="2:22" x14ac:dyDescent="0.25">
      <c r="B480" s="8">
        <v>46096</v>
      </c>
      <c r="C480" s="9" t="s">
        <v>123</v>
      </c>
      <c r="D480" s="10" t="s">
        <v>1</v>
      </c>
      <c r="E480" s="10" t="s">
        <v>2</v>
      </c>
      <c r="F480" s="11">
        <v>52</v>
      </c>
      <c r="G480" s="11">
        <v>20000</v>
      </c>
      <c r="H480" s="12">
        <f>[1]!РЕАЛИЗАЦИЯ[СОНИ]*[1]!РЕАЛИЗАЦИЯ[НАРХИ]</f>
        <v>4252500</v>
      </c>
      <c r="I480" s="11"/>
      <c r="J480" s="13">
        <v>19000</v>
      </c>
      <c r="K480" s="11">
        <f>[1]!РЕАЛИЗАЦИЯ[[#This Row],[СОНИ]]*[1]!РЕАЛИЗАЦИЯ[[#This Row],[ТАННАРХ]]</f>
        <v>0</v>
      </c>
      <c r="L480" s="14">
        <f>[1]!РЕАЛИЗАЦИЯ[[#This Row],[ЖАМИ]]-[1]!РЕАЛИЗАЦИЯ[[#This Row],[ЖАМИ2]]</f>
        <v>4252500</v>
      </c>
      <c r="O480" s="30">
        <v>46096</v>
      </c>
      <c r="P480" s="31" t="s">
        <v>65</v>
      </c>
      <c r="Q480" s="13">
        <v>10000000</v>
      </c>
      <c r="R480" s="13"/>
      <c r="S480" s="13"/>
      <c r="T480" s="32">
        <f>[1]!ПЛАТЕЖИ[[#This Row],[СЎМ]]+([1]!ПЛАТЕЖИ[[#This Row],[ВАЛЮТА]]*[1]!ПЛАТЕЖИ[[#This Row],[КУРС]])</f>
        <v>400000</v>
      </c>
      <c r="U480" s="31"/>
      <c r="V480" s="31"/>
    </row>
    <row r="481" spans="2:22" x14ac:dyDescent="0.25">
      <c r="B481" s="1">
        <v>46096</v>
      </c>
      <c r="C481" s="2" t="s">
        <v>196</v>
      </c>
      <c r="D481" s="3" t="s">
        <v>1</v>
      </c>
      <c r="E481" s="3" t="s">
        <v>2</v>
      </c>
      <c r="F481" s="4">
        <v>50</v>
      </c>
      <c r="G481" s="4">
        <v>20000</v>
      </c>
      <c r="H481" s="5">
        <f>[1]!РЕАЛИЗАЦИЯ[СОНИ]*[1]!РЕАЛИЗАЦИЯ[НАРХИ]</f>
        <v>3082800.0000000005</v>
      </c>
      <c r="I481" s="4"/>
      <c r="J481" s="6">
        <v>19000</v>
      </c>
      <c r="K481" s="4">
        <f>[1]!РЕАЛИЗАЦИЯ[[#This Row],[СОНИ]]*[1]!РЕАЛИЗАЦИЯ[[#This Row],[ТАННАРХ]]</f>
        <v>0</v>
      </c>
      <c r="L481" s="7">
        <f>[1]!РЕАЛИЗАЦИЯ[[#This Row],[ЖАМИ]]-[1]!РЕАЛИЗАЦИЯ[[#This Row],[ЖАМИ2]]</f>
        <v>3082800.0000000005</v>
      </c>
      <c r="O481" s="27">
        <v>46098</v>
      </c>
      <c r="P481" s="28" t="s">
        <v>283</v>
      </c>
      <c r="Q481" s="6">
        <v>780100</v>
      </c>
      <c r="R481" s="6"/>
      <c r="S481" s="6"/>
      <c r="T481" s="29">
        <f>[1]!ПЛАТЕЖИ[[#This Row],[СЎМ]]+([1]!ПЛАТЕЖИ[[#This Row],[ВАЛЮТА]]*[1]!ПЛАТЕЖИ[[#This Row],[КУРС]])</f>
        <v>799800</v>
      </c>
      <c r="U481" s="28"/>
      <c r="V481" s="28"/>
    </row>
    <row r="482" spans="2:22" x14ac:dyDescent="0.25">
      <c r="B482" s="8">
        <v>46096</v>
      </c>
      <c r="C482" s="9" t="s">
        <v>176</v>
      </c>
      <c r="D482" s="10" t="s">
        <v>10</v>
      </c>
      <c r="E482" s="10" t="s">
        <v>2</v>
      </c>
      <c r="F482" s="11">
        <v>43.5</v>
      </c>
      <c r="G482" s="11">
        <v>16000</v>
      </c>
      <c r="H482" s="12">
        <f>[1]!РЕАЛИЗАЦИЯ[СОНИ]*[1]!РЕАЛИЗАЦИЯ[НАРХИ]</f>
        <v>769600</v>
      </c>
      <c r="I482" s="11"/>
      <c r="J482" s="13">
        <v>13000</v>
      </c>
      <c r="K482" s="11">
        <f>[1]!РЕАЛИЗАЦИЯ[[#This Row],[СОНИ]]*[1]!РЕАЛИЗАЦИЯ[[#This Row],[ТАННАРХ]]</f>
        <v>0</v>
      </c>
      <c r="L482" s="14">
        <f>[1]!РЕАЛИЗАЦИЯ[[#This Row],[ЖАМИ]]-[1]!РЕАЛИЗАЦИЯ[[#This Row],[ЖАМИ2]]</f>
        <v>769600</v>
      </c>
      <c r="O482" s="30">
        <v>46098</v>
      </c>
      <c r="P482" s="31" t="s">
        <v>55</v>
      </c>
      <c r="Q482" s="13">
        <v>447000</v>
      </c>
      <c r="R482" s="13"/>
      <c r="S482" s="13"/>
      <c r="T482" s="32">
        <f>[1]!ПЛАТЕЖИ[[#This Row],[СЎМ]]+([1]!ПЛАТЕЖИ[[#This Row],[ВАЛЮТА]]*[1]!ПЛАТЕЖИ[[#This Row],[КУРС]])</f>
        <v>1000000</v>
      </c>
      <c r="U482" s="31"/>
      <c r="V482" s="31"/>
    </row>
    <row r="483" spans="2:22" x14ac:dyDescent="0.25">
      <c r="B483" s="1">
        <v>46096</v>
      </c>
      <c r="C483" s="2" t="s">
        <v>28</v>
      </c>
      <c r="D483" s="3" t="s">
        <v>1</v>
      </c>
      <c r="E483" s="3" t="s">
        <v>2</v>
      </c>
      <c r="F483" s="4">
        <v>101.1</v>
      </c>
      <c r="G483" s="4">
        <v>21000</v>
      </c>
      <c r="H483" s="5">
        <f>[1]!РЕАЛИЗАЦИЯ[СОНИ]*[1]!РЕАЛИЗАЦИЯ[НАРХИ]</f>
        <v>1537378</v>
      </c>
      <c r="I483" s="4"/>
      <c r="J483" s="6">
        <v>19000</v>
      </c>
      <c r="K483" s="4">
        <f>[1]!РЕАЛИЗАЦИЯ[[#This Row],[СОНИ]]*[1]!РЕАЛИЗАЦИЯ[[#This Row],[ТАННАРХ]]</f>
        <v>0</v>
      </c>
      <c r="L483" s="7">
        <f>[1]!РЕАЛИЗАЦИЯ[[#This Row],[ЖАМИ]]-[1]!РЕАЛИЗАЦИЯ[[#This Row],[ЖАМИ2]]</f>
        <v>1537378</v>
      </c>
      <c r="O483" s="27">
        <v>46098</v>
      </c>
      <c r="P483" s="28" t="s">
        <v>219</v>
      </c>
      <c r="Q483" s="6">
        <v>1000000</v>
      </c>
      <c r="R483" s="6"/>
      <c r="S483" s="6"/>
      <c r="T483" s="29">
        <f>[1]!ПЛАТЕЖИ[[#This Row],[СЎМ]]+([1]!ПЛАТЕЖИ[[#This Row],[ВАЛЮТА]]*[1]!ПЛАТЕЖИ[[#This Row],[КУРС]])</f>
        <v>5000000</v>
      </c>
      <c r="U483" s="28"/>
      <c r="V483" s="28"/>
    </row>
    <row r="484" spans="2:22" x14ac:dyDescent="0.25">
      <c r="B484" s="8">
        <v>46096</v>
      </c>
      <c r="C484" s="9" t="s">
        <v>134</v>
      </c>
      <c r="D484" s="10" t="s">
        <v>1</v>
      </c>
      <c r="E484" s="10" t="s">
        <v>2</v>
      </c>
      <c r="F484" s="11">
        <v>71.599999999999994</v>
      </c>
      <c r="G484" s="11">
        <v>22000</v>
      </c>
      <c r="H484" s="12">
        <f>[1]!РЕАЛИЗАЦИЯ[СОНИ]*[1]!РЕАЛИЗАЦИЯ[НАРХИ]</f>
        <v>6709100</v>
      </c>
      <c r="I484" s="11"/>
      <c r="J484" s="13">
        <v>19000</v>
      </c>
      <c r="K484" s="11">
        <f>[1]!РЕАЛИЗАЦИЯ[[#This Row],[СОНИ]]*[1]!РЕАЛИЗАЦИЯ[[#This Row],[ТАННАРХ]]</f>
        <v>1744322245</v>
      </c>
      <c r="L484" s="14">
        <f>[1]!РЕАЛИЗАЦИЯ[[#This Row],[ЖАМИ]]-[1]!РЕАЛИЗАЦИЯ[[#This Row],[ЖАМИ2]]</f>
        <v>6708808.2999999998</v>
      </c>
      <c r="O484" s="30">
        <v>46098</v>
      </c>
      <c r="P484" s="31" t="s">
        <v>42</v>
      </c>
      <c r="Q484" s="13">
        <v>1000000</v>
      </c>
      <c r="R484" s="13"/>
      <c r="S484" s="13"/>
      <c r="T484" s="32">
        <f>[1]!ПЛАТЕЖИ[[#This Row],[СЎМ]]+([1]!ПЛАТЕЖИ[[#This Row],[ВАЛЮТА]]*[1]!ПЛАТЕЖИ[[#This Row],[КУРС]])</f>
        <v>1390000</v>
      </c>
      <c r="U484" s="31"/>
      <c r="V484" s="31"/>
    </row>
    <row r="485" spans="2:22" x14ac:dyDescent="0.25">
      <c r="B485" s="1">
        <v>46097</v>
      </c>
      <c r="C485" s="2" t="s">
        <v>12</v>
      </c>
      <c r="D485" s="3" t="s">
        <v>16</v>
      </c>
      <c r="E485" s="3" t="s">
        <v>2</v>
      </c>
      <c r="F485" s="4">
        <v>2057.5</v>
      </c>
      <c r="G485" s="4">
        <v>24000</v>
      </c>
      <c r="H485" s="5">
        <f>[1]!РЕАЛИЗАЦИЯ[СОНИ]*[1]!РЕАЛИЗАЦИЯ[НАРХИ]</f>
        <v>759000</v>
      </c>
      <c r="I485" s="4">
        <v>6</v>
      </c>
      <c r="J485" s="6">
        <v>20000</v>
      </c>
      <c r="K485" s="4">
        <f>[1]!РЕАЛИЗАЦИЯ[[#This Row],[СОНИ]]*[1]!РЕАЛИЗАЦИЯ[[#This Row],[ТАННАРХ]]</f>
        <v>0</v>
      </c>
      <c r="L485" s="7">
        <f>[1]!РЕАЛИЗАЦИЯ[[#This Row],[ЖАМИ]]-[1]!РЕАЛИЗАЦИЯ[[#This Row],[ЖАМИ2]]</f>
        <v>759000</v>
      </c>
      <c r="O485" s="27">
        <v>46098</v>
      </c>
      <c r="P485" s="28" t="s">
        <v>12</v>
      </c>
      <c r="Q485" s="6">
        <v>49380000</v>
      </c>
      <c r="R485" s="6"/>
      <c r="S485" s="6"/>
      <c r="T485" s="29">
        <f>[1]!ПЛАТЕЖИ[[#This Row],[СЎМ]]+([1]!ПЛАТЕЖИ[[#This Row],[ВАЛЮТА]]*[1]!ПЛАТЕЖИ[[#This Row],[КУРС]])</f>
        <v>991200</v>
      </c>
      <c r="U485" s="28"/>
      <c r="V485" s="28" t="s">
        <v>279</v>
      </c>
    </row>
    <row r="486" spans="2:22" x14ac:dyDescent="0.25">
      <c r="B486" s="8">
        <v>46097</v>
      </c>
      <c r="C486" s="9" t="s">
        <v>86</v>
      </c>
      <c r="D486" s="10" t="s">
        <v>1</v>
      </c>
      <c r="E486" s="10" t="s">
        <v>2</v>
      </c>
      <c r="F486" s="11">
        <v>310.7</v>
      </c>
      <c r="G486" s="11">
        <v>20000</v>
      </c>
      <c r="H486" s="12">
        <f>[1]!РЕАЛИЗАЦИЯ[СОНИ]*[1]!РЕАЛИЗАЦИЯ[НАРХИ]</f>
        <v>1002000</v>
      </c>
      <c r="I486" s="11"/>
      <c r="J486" s="13">
        <v>19000</v>
      </c>
      <c r="K486" s="11">
        <f>[1]!РЕАЛИЗАЦИЯ[[#This Row],[СОНИ]]*[1]!РЕАЛИЗАЦИЯ[[#This Row],[ТАННАРХ]]</f>
        <v>0</v>
      </c>
      <c r="L486" s="14">
        <f>[1]!РЕАЛИЗАЦИЯ[[#This Row],[ЖАМИ]]-[1]!РЕАЛИЗАЦИЯ[[#This Row],[ЖАМИ2]]</f>
        <v>1002000</v>
      </c>
      <c r="O486" s="30">
        <v>46098</v>
      </c>
      <c r="P486" s="31" t="s">
        <v>86</v>
      </c>
      <c r="Q486" s="13">
        <v>9110000</v>
      </c>
      <c r="R486" s="13"/>
      <c r="S486" s="13"/>
      <c r="T486" s="32">
        <f>[1]!ПЛАТЕЖИ[[#This Row],[СЎМ]]+([1]!ПЛАТЕЖИ[[#This Row],[ВАЛЮТА]]*[1]!ПЛАТЕЖИ[[#This Row],[КУРС]])</f>
        <v>750000</v>
      </c>
      <c r="U486" s="31"/>
      <c r="V486" s="31"/>
    </row>
    <row r="487" spans="2:22" x14ac:dyDescent="0.25">
      <c r="B487" s="1">
        <v>46097</v>
      </c>
      <c r="C487" s="2" t="s">
        <v>67</v>
      </c>
      <c r="D487" s="3" t="s">
        <v>29</v>
      </c>
      <c r="E487" s="3" t="s">
        <v>2</v>
      </c>
      <c r="F487" s="4">
        <v>283.39999999999998</v>
      </c>
      <c r="G487" s="4">
        <v>17500</v>
      </c>
      <c r="H487" s="5">
        <f>[1]!РЕАЛИЗАЦИЯ[СОНИ]*[1]!РЕАЛИЗАЦИЯ[НАРХИ]</f>
        <v>1476000</v>
      </c>
      <c r="I487" s="4"/>
      <c r="J487" s="6">
        <v>16000</v>
      </c>
      <c r="K487" s="4">
        <f>[1]!РЕАЛИЗАЦИЯ[[#This Row],[СОНИ]]*[1]!РЕАЛИЗАЦИЯ[[#This Row],[ТАННАРХ]]</f>
        <v>0</v>
      </c>
      <c r="L487" s="7">
        <f>[1]!РЕАЛИЗАЦИЯ[[#This Row],[ЖАМИ]]-[1]!РЕАЛИЗАЦИЯ[[#This Row],[ЖАМИ2]]</f>
        <v>1476000</v>
      </c>
      <c r="O487" s="27">
        <v>46099</v>
      </c>
      <c r="P487" s="28" t="s">
        <v>199</v>
      </c>
      <c r="Q487" s="6">
        <v>2871500</v>
      </c>
      <c r="R487" s="6"/>
      <c r="S487" s="6"/>
      <c r="T487" s="29">
        <f>[1]!ПЛАТЕЖИ[[#This Row],[СЎМ]]+([1]!ПЛАТЕЖИ[[#This Row],[ВАЛЮТА]]*[1]!ПЛАТЕЖИ[[#This Row],[КУРС]])</f>
        <v>907200</v>
      </c>
      <c r="U487" s="28"/>
      <c r="V487" s="28"/>
    </row>
    <row r="488" spans="2:22" x14ac:dyDescent="0.25">
      <c r="B488" s="8">
        <v>46097</v>
      </c>
      <c r="C488" s="9" t="s">
        <v>72</v>
      </c>
      <c r="D488" s="10" t="s">
        <v>29</v>
      </c>
      <c r="E488" s="10" t="s">
        <v>2</v>
      </c>
      <c r="F488" s="11">
        <v>-53.8</v>
      </c>
      <c r="G488" s="11">
        <v>18000</v>
      </c>
      <c r="H488" s="12">
        <f>[1]!РЕАЛИЗАЦИЯ[СОНИ]*[1]!РЕАЛИЗАЦИЯ[НАРХИ]</f>
        <v>3323100</v>
      </c>
      <c r="I488" s="11"/>
      <c r="J488" s="13">
        <v>16000</v>
      </c>
      <c r="K488" s="11">
        <f>[1]!РЕАЛИЗАЦИЯ[[#This Row],[СОНИ]]*[1]!РЕАЛИЗАЦИЯ[[#This Row],[ТАННАРХ]]</f>
        <v>0</v>
      </c>
      <c r="L488" s="14">
        <f>[1]!РЕАЛИЗАЦИЯ[[#This Row],[ЖАМИ]]-[1]!РЕАЛИЗАЦИЯ[[#This Row],[ЖАМИ2]]</f>
        <v>3323100</v>
      </c>
      <c r="O488" s="30">
        <v>46099</v>
      </c>
      <c r="P488" s="31" t="s">
        <v>150</v>
      </c>
      <c r="Q488" s="13"/>
      <c r="R488" s="13">
        <v>100</v>
      </c>
      <c r="S488" s="13">
        <v>12100</v>
      </c>
      <c r="T488" s="32">
        <f>[1]!ПЛАТЕЖИ[[#This Row],[СЎМ]]+([1]!ПЛАТЕЖИ[[#This Row],[ВАЛЮТА]]*[1]!ПЛАТЕЖИ[[#This Row],[КУРС]])</f>
        <v>3225000</v>
      </c>
      <c r="U488" s="31"/>
      <c r="V488" s="31"/>
    </row>
    <row r="489" spans="2:22" x14ac:dyDescent="0.25">
      <c r="B489" s="1">
        <v>46098</v>
      </c>
      <c r="C489" s="2" t="s">
        <v>12</v>
      </c>
      <c r="D489" s="3" t="s">
        <v>16</v>
      </c>
      <c r="E489" s="3" t="s">
        <v>2</v>
      </c>
      <c r="F489" s="4">
        <v>1897</v>
      </c>
      <c r="G489" s="4">
        <v>24000</v>
      </c>
      <c r="H489" s="5">
        <f>[1]!РЕАЛИЗАЦИЯ[СОНИ]*[1]!РЕАЛИЗАЦИЯ[НАРХИ]</f>
        <v>4804700</v>
      </c>
      <c r="I489" s="4">
        <v>6</v>
      </c>
      <c r="J489" s="6">
        <v>20000</v>
      </c>
      <c r="K489" s="4">
        <f>[1]!РЕАЛИЗАЦИЯ[[#This Row],[СОНИ]]*[1]!РЕАЛИЗАЦИЯ[[#This Row],[ТАННАРХ]]</f>
        <v>894603805</v>
      </c>
      <c r="L489" s="7">
        <f>[1]!РЕАЛИЗАЦИЯ[[#This Row],[ЖАМИ]]-[1]!РЕАЛИЗАЦИЯ[[#This Row],[ЖАМИ2]]</f>
        <v>4804491.0999999996</v>
      </c>
      <c r="O489" s="27">
        <v>46099</v>
      </c>
      <c r="P489" s="28" t="s">
        <v>96</v>
      </c>
      <c r="Q489" s="6">
        <v>527000</v>
      </c>
      <c r="R489" s="6"/>
      <c r="S489" s="6"/>
      <c r="T489" s="29">
        <f>[1]!ПЛАТЕЖИ[[#This Row],[СЎМ]]+([1]!ПЛАТЕЖИ[[#This Row],[ВАЛЮТА]]*[1]!ПЛАТЕЖИ[[#This Row],[КУРС]])</f>
        <v>1550000</v>
      </c>
      <c r="U489" s="28"/>
      <c r="V489" s="28"/>
    </row>
    <row r="490" spans="2:22" x14ac:dyDescent="0.25">
      <c r="B490" s="8">
        <v>46098</v>
      </c>
      <c r="C490" s="9" t="s">
        <v>12</v>
      </c>
      <c r="D490" s="10" t="s">
        <v>16</v>
      </c>
      <c r="E490" s="10" t="s">
        <v>2</v>
      </c>
      <c r="F490" s="11">
        <v>-52.3</v>
      </c>
      <c r="G490" s="11">
        <v>24000</v>
      </c>
      <c r="H490" s="12">
        <f>[1]!РЕАЛИЗАЦИЯ[СОНИ]*[1]!РЕАЛИЗАЦИЯ[НАРХИ]</f>
        <v>822000</v>
      </c>
      <c r="I490" s="11"/>
      <c r="J490" s="13">
        <v>20000</v>
      </c>
      <c r="K490" s="11">
        <f>[1]!РЕАЛИЗАЦИЯ[[#This Row],[СОНИ]]*[1]!РЕАЛИЗАЦИЯ[[#This Row],[ТАННАРХ]]</f>
        <v>0</v>
      </c>
      <c r="L490" s="14">
        <f>[1]!РЕАЛИЗАЦИЯ[[#This Row],[ЖАМИ]]-[1]!РЕАЛИЗАЦИЯ[[#This Row],[ЖАМИ2]]</f>
        <v>822000</v>
      </c>
      <c r="O490" s="30">
        <v>46099</v>
      </c>
      <c r="P490" s="31" t="s">
        <v>9</v>
      </c>
      <c r="Q490" s="13">
        <v>5435550</v>
      </c>
      <c r="R490" s="13"/>
      <c r="S490" s="13"/>
      <c r="T490" s="32">
        <f>[1]!ПЛАТЕЖИ[[#This Row],[СЎМ]]+([1]!ПЛАТЕЖИ[[#This Row],[ВАЛЮТА]]*[1]!ПЛАТЕЖИ[[#This Row],[КУРС]])</f>
        <v>1858000</v>
      </c>
      <c r="U490" s="31"/>
      <c r="V490" s="31" t="s">
        <v>279</v>
      </c>
    </row>
    <row r="491" spans="2:22" x14ac:dyDescent="0.25">
      <c r="B491" s="1">
        <v>46098</v>
      </c>
      <c r="C491" s="2" t="s">
        <v>199</v>
      </c>
      <c r="D491" s="3" t="s">
        <v>1</v>
      </c>
      <c r="E491" s="3" t="s">
        <v>2</v>
      </c>
      <c r="F491" s="4">
        <v>50.9</v>
      </c>
      <c r="G491" s="4">
        <v>20000</v>
      </c>
      <c r="H491" s="5">
        <f>[1]!РЕАЛИЗАЦИЯ[СОНИ]*[1]!РЕАЛИЗАЦИЯ[НАРХИ]</f>
        <v>1548000</v>
      </c>
      <c r="I491" s="4"/>
      <c r="J491" s="6">
        <v>19000</v>
      </c>
      <c r="K491" s="4">
        <f>[1]!РЕАЛИЗАЦИЯ[[#This Row],[СОНИ]]*[1]!РЕАЛИЗАЦИЯ[[#This Row],[ТАННАРХ]]</f>
        <v>0</v>
      </c>
      <c r="L491" s="7">
        <f>[1]!РЕАЛИЗАЦИЯ[[#This Row],[ЖАМИ]]-[1]!РЕАЛИЗАЦИЯ[[#This Row],[ЖАМИ2]]</f>
        <v>1548000</v>
      </c>
      <c r="O491" s="33">
        <v>46100</v>
      </c>
      <c r="P491" s="3" t="s">
        <v>9</v>
      </c>
      <c r="Q491" s="4">
        <v>16892610</v>
      </c>
      <c r="R491" s="4"/>
      <c r="S491" s="4"/>
      <c r="T491" s="5">
        <f>[1]!ПЛАТЕЖИ[[#This Row],[СЎМ]]+([1]!ПЛАТЕЖИ[[#This Row],[ВАЛЮТА]]*[1]!ПЛАТЕЖИ[[#This Row],[КУРС]])</f>
        <v>900000</v>
      </c>
      <c r="U491" s="3"/>
      <c r="V491" s="3" t="s">
        <v>279</v>
      </c>
    </row>
    <row r="492" spans="2:22" x14ac:dyDescent="0.25">
      <c r="B492" s="8">
        <v>46098</v>
      </c>
      <c r="C492" s="9" t="s">
        <v>199</v>
      </c>
      <c r="D492" s="10" t="s">
        <v>10</v>
      </c>
      <c r="E492" s="10" t="s">
        <v>2</v>
      </c>
      <c r="F492" s="11">
        <v>50.5</v>
      </c>
      <c r="G492" s="11">
        <v>15000</v>
      </c>
      <c r="H492" s="12">
        <f>[1]!РЕАЛИЗАЦИЯ[СОНИ]*[1]!РЕАЛИЗАЦИЯ[НАРХИ]</f>
        <v>1054200</v>
      </c>
      <c r="I492" s="11"/>
      <c r="J492" s="13">
        <v>13000</v>
      </c>
      <c r="K492" s="11">
        <f>[1]!РЕАЛИЗАЦИЯ[[#This Row],[СОНИ]]*[1]!РЕАЛИЗАЦИЯ[[#This Row],[ТАННАРХ]]</f>
        <v>0</v>
      </c>
      <c r="L492" s="14">
        <f>[1]!РЕАЛИЗАЦИЯ[[#This Row],[ЖАМИ]]-[1]!РЕАЛИЗАЦИЯ[[#This Row],[ЖАМИ2]]</f>
        <v>1054200</v>
      </c>
      <c r="O492" s="34">
        <v>46100</v>
      </c>
      <c r="P492" s="10" t="s">
        <v>12</v>
      </c>
      <c r="Q492" s="11">
        <v>49800000</v>
      </c>
      <c r="R492" s="11"/>
      <c r="S492" s="11"/>
      <c r="T492" s="12">
        <f>[1]!ПЛАТЕЖИ[[#This Row],[СЎМ]]+([1]!ПЛАТЕЖИ[[#This Row],[ВАЛЮТА]]*[1]!ПЛАТЕЖИ[[#This Row],[КУРС]])</f>
        <v>500000</v>
      </c>
      <c r="U492" s="10"/>
      <c r="V492" s="10" t="s">
        <v>279</v>
      </c>
    </row>
    <row r="493" spans="2:22" x14ac:dyDescent="0.25">
      <c r="B493" s="1">
        <v>46098</v>
      </c>
      <c r="C493" s="2" t="s">
        <v>150</v>
      </c>
      <c r="D493" s="3" t="s">
        <v>10</v>
      </c>
      <c r="E493" s="3" t="s">
        <v>2</v>
      </c>
      <c r="F493" s="4">
        <v>52</v>
      </c>
      <c r="G493" s="4">
        <v>16000</v>
      </c>
      <c r="H493" s="5">
        <f>[1]!РЕАЛИЗАЦИЯ[СОНИ]*[1]!РЕАЛИЗАЦИЯ[НАРХИ]</f>
        <v>836800</v>
      </c>
      <c r="I493" s="4"/>
      <c r="J493" s="6">
        <v>13000</v>
      </c>
      <c r="K493" s="4">
        <f>[1]!РЕАЛИЗАЦИЯ[[#This Row],[СОНИ]]*[1]!РЕАЛИЗАЦИЯ[[#This Row],[ТАННАРХ]]</f>
        <v>0</v>
      </c>
      <c r="L493" s="7">
        <f>[1]!РЕАЛИЗАЦИЯ[[#This Row],[ЖАМИ]]-[1]!РЕАЛИЗАЦИЯ[[#This Row],[ЖАМИ2]]</f>
        <v>836800</v>
      </c>
      <c r="O493" s="33">
        <v>46100</v>
      </c>
      <c r="P493" s="3" t="s">
        <v>12</v>
      </c>
      <c r="Q493" s="4">
        <v>44272800</v>
      </c>
      <c r="R493" s="4"/>
      <c r="S493" s="4"/>
      <c r="T493" s="5">
        <f>[1]!ПЛАТЕЖИ[[#This Row],[СЎМ]]+([1]!ПЛАТЕЖИ[[#This Row],[ВАЛЮТА]]*[1]!ПЛАТЕЖИ[[#This Row],[КУРС]])</f>
        <v>6362500</v>
      </c>
      <c r="U493" s="3"/>
      <c r="V493" s="3" t="s">
        <v>279</v>
      </c>
    </row>
    <row r="494" spans="2:22" x14ac:dyDescent="0.25">
      <c r="B494" s="8">
        <v>46098</v>
      </c>
      <c r="C494" s="9" t="s">
        <v>150</v>
      </c>
      <c r="D494" s="10" t="s">
        <v>1</v>
      </c>
      <c r="E494" s="10" t="s">
        <v>2</v>
      </c>
      <c r="F494" s="11">
        <v>58.1</v>
      </c>
      <c r="G494" s="11">
        <v>21000</v>
      </c>
      <c r="H494" s="12">
        <f>[1]!РЕАЛИЗАЦИЯ[СОНИ]*[1]!РЕАЛИЗАЦИЯ[НАРХИ]</f>
        <v>873600</v>
      </c>
      <c r="I494" s="11"/>
      <c r="J494" s="13">
        <v>19000</v>
      </c>
      <c r="K494" s="11">
        <f>[1]!РЕАЛИЗАЦИЯ[[#This Row],[СОНИ]]*[1]!РЕАЛИЗАЦИЯ[[#This Row],[ТАННАРХ]]</f>
        <v>0</v>
      </c>
      <c r="L494" s="14">
        <f>[1]!РЕАЛИЗАЦИЯ[[#This Row],[ЖАМИ]]-[1]!РЕАЛИЗАЦИЯ[[#This Row],[ЖАМИ2]]</f>
        <v>873600</v>
      </c>
      <c r="O494" s="34">
        <v>46100</v>
      </c>
      <c r="P494" s="10" t="s">
        <v>101</v>
      </c>
      <c r="Q494" s="11">
        <v>1113000</v>
      </c>
      <c r="R494" s="11"/>
      <c r="S494" s="11"/>
      <c r="T494" s="12">
        <f>[1]!ПЛАТЕЖИ[[#This Row],[СЎМ]]+([1]!ПЛАТЕЖИ[[#This Row],[ВАЛЮТА]]*[1]!ПЛАТЕЖИ[[#This Row],[КУРС]])</f>
        <v>6755500</v>
      </c>
      <c r="U494" s="10"/>
      <c r="V494" s="10" t="s">
        <v>279</v>
      </c>
    </row>
    <row r="495" spans="2:22" x14ac:dyDescent="0.25">
      <c r="B495" s="1">
        <v>46098</v>
      </c>
      <c r="C495" s="2" t="s">
        <v>150</v>
      </c>
      <c r="D495" s="3" t="s">
        <v>29</v>
      </c>
      <c r="E495" s="3" t="s">
        <v>2</v>
      </c>
      <c r="F495" s="4">
        <v>49.7</v>
      </c>
      <c r="G495" s="4">
        <v>18000</v>
      </c>
      <c r="H495" s="5">
        <f>[1]!РЕАЛИЗАЦИЯ[СОНИ]*[1]!РЕАЛИЗАЦИЯ[НАРХИ]</f>
        <v>811200</v>
      </c>
      <c r="I495" s="4"/>
      <c r="J495" s="6">
        <v>16000</v>
      </c>
      <c r="K495" s="4">
        <f>[1]!РЕАЛИЗАЦИЯ[[#This Row],[СОНИ]]*[1]!РЕАЛИЗАЦИЯ[[#This Row],[ТАННАРХ]]</f>
        <v>0</v>
      </c>
      <c r="L495" s="7">
        <f>[1]!РЕАЛИЗАЦИЯ[[#This Row],[ЖАМИ]]-[1]!РЕАЛИЗАЦИЯ[[#This Row],[ЖАМИ2]]</f>
        <v>811200</v>
      </c>
      <c r="O495" s="33">
        <v>46100</v>
      </c>
      <c r="P495" s="3" t="s">
        <v>68</v>
      </c>
      <c r="Q495" s="4">
        <v>10000000</v>
      </c>
      <c r="R495" s="4"/>
      <c r="S495" s="4"/>
      <c r="T495" s="5">
        <f>[1]!ПЛАТЕЖИ[[#This Row],[СЎМ]]+([1]!ПЛАТЕЖИ[[#This Row],[ВАЛЮТА]]*[1]!ПЛАТЕЖИ[[#This Row],[КУРС]])</f>
        <v>1600000</v>
      </c>
      <c r="U495" s="3"/>
      <c r="V495" s="3" t="s">
        <v>279</v>
      </c>
    </row>
    <row r="496" spans="2:22" x14ac:dyDescent="0.25">
      <c r="B496" s="8">
        <v>46098</v>
      </c>
      <c r="C496" s="9" t="s">
        <v>19</v>
      </c>
      <c r="D496" s="10" t="s">
        <v>10</v>
      </c>
      <c r="E496" s="10" t="s">
        <v>2</v>
      </c>
      <c r="F496" s="11">
        <v>53.5</v>
      </c>
      <c r="G496" s="11">
        <v>15000</v>
      </c>
      <c r="H496" s="12">
        <f>[1]!РЕАЛИЗАЦИЯ[СОНИ]*[1]!РЕАЛИЗАЦИЯ[НАРХИ]</f>
        <v>1278900</v>
      </c>
      <c r="I496" s="11"/>
      <c r="J496" s="13">
        <v>13000</v>
      </c>
      <c r="K496" s="11">
        <f>[1]!РЕАЛИЗАЦИЯ[[#This Row],[СОНИ]]*[1]!РЕАЛИЗАЦИЯ[[#This Row],[ТАННАРХ]]</f>
        <v>0</v>
      </c>
      <c r="L496" s="14">
        <f>[1]!РЕАЛИЗАЦИЯ[[#This Row],[ЖАМИ]]-[1]!РЕАЛИЗАЦИЯ[[#This Row],[ЖАМИ2]]</f>
        <v>1278900</v>
      </c>
      <c r="O496" s="34">
        <v>46100</v>
      </c>
      <c r="P496" s="10" t="s">
        <v>122</v>
      </c>
      <c r="Q496" s="11">
        <v>5844550</v>
      </c>
      <c r="R496" s="11"/>
      <c r="S496" s="11"/>
      <c r="T496" s="12">
        <f>[1]!ПЛАТЕЖИ[[#This Row],[СЎМ]]+([1]!ПЛАТЕЖИ[[#This Row],[ВАЛЮТА]]*[1]!ПЛАТЕЖИ[[#This Row],[КУРС]])</f>
        <v>1675000</v>
      </c>
      <c r="U496" s="10"/>
      <c r="V496" s="10" t="s">
        <v>287</v>
      </c>
    </row>
    <row r="497" spans="2:22" x14ac:dyDescent="0.25">
      <c r="B497" s="1">
        <v>46098</v>
      </c>
      <c r="C497" s="2" t="s">
        <v>6</v>
      </c>
      <c r="D497" s="3" t="s">
        <v>1</v>
      </c>
      <c r="E497" s="3" t="s">
        <v>2</v>
      </c>
      <c r="F497" s="4">
        <v>105.9</v>
      </c>
      <c r="G497" s="4">
        <v>21000</v>
      </c>
      <c r="H497" s="5">
        <f>[1]!РЕАЛИЗАЦИЯ[СОНИ]*[1]!РЕАЛИЗАЦИЯ[НАРХИ]</f>
        <v>1150800</v>
      </c>
      <c r="I497" s="4"/>
      <c r="J497" s="6">
        <v>19000</v>
      </c>
      <c r="K497" s="4">
        <f>[1]!РЕАЛИЗАЦИЯ[[#This Row],[СОНИ]]*[1]!РЕАЛИЗАЦИЯ[[#This Row],[ТАННАРХ]]</f>
        <v>0</v>
      </c>
      <c r="L497" s="7">
        <f>[1]!РЕАЛИЗАЦИЯ[[#This Row],[ЖАМИ]]-[1]!РЕАЛИЗАЦИЯ[[#This Row],[ЖАМИ2]]</f>
        <v>1150800</v>
      </c>
      <c r="O497" s="33">
        <v>46100</v>
      </c>
      <c r="P497" s="3" t="s">
        <v>123</v>
      </c>
      <c r="Q497" s="4">
        <v>1040000</v>
      </c>
      <c r="R497" s="4"/>
      <c r="S497" s="4"/>
      <c r="T497" s="5">
        <f>[1]!ПЛАТЕЖИ[[#This Row],[СЎМ]]+([1]!ПЛАТЕЖИ[[#This Row],[ВАЛЮТА]]*[1]!ПЛАТЕЖИ[[#This Row],[КУРС]])</f>
        <v>1243200</v>
      </c>
      <c r="U497" s="3"/>
      <c r="V497" s="3"/>
    </row>
    <row r="498" spans="2:22" x14ac:dyDescent="0.25">
      <c r="B498" s="8">
        <v>46098</v>
      </c>
      <c r="C498" s="9" t="s">
        <v>6</v>
      </c>
      <c r="D498" s="10" t="s">
        <v>10</v>
      </c>
      <c r="E498" s="10" t="s">
        <v>2</v>
      </c>
      <c r="F498" s="11">
        <v>53</v>
      </c>
      <c r="G498" s="11">
        <v>16000</v>
      </c>
      <c r="H498" s="12">
        <f>[1]!РЕАЛИЗАЦИЯ[СОНИ]*[1]!РЕАЛИЗАЦИЯ[НАРХИ]</f>
        <v>1211700</v>
      </c>
      <c r="I498" s="11"/>
      <c r="J498" s="13">
        <v>13000</v>
      </c>
      <c r="K498" s="11">
        <f>[1]!РЕАЛИЗАЦИЯ[[#This Row],[СОНИ]]*[1]!РЕАЛИЗАЦИЯ[[#This Row],[ТАННАРХ]]</f>
        <v>0</v>
      </c>
      <c r="L498" s="14">
        <f>[1]!РЕАЛИЗАЦИЯ[[#This Row],[ЖАМИ]]-[1]!РЕАЛИЗАЦИЯ[[#This Row],[ЖАМИ2]]</f>
        <v>1211700</v>
      </c>
      <c r="O498" s="34">
        <v>46103</v>
      </c>
      <c r="P498" s="10" t="s">
        <v>202</v>
      </c>
      <c r="Q498" s="11">
        <v>4251000</v>
      </c>
      <c r="R498" s="11"/>
      <c r="S498" s="11"/>
      <c r="T498" s="12">
        <f>[1]!ПЛАТЕЖИ[[#This Row],[СЎМ]]+([1]!ПЛАТЕЖИ[[#This Row],[ВАЛЮТА]]*[1]!ПЛАТЕЖИ[[#This Row],[КУРС]])</f>
        <v>1000000</v>
      </c>
      <c r="U498" s="10"/>
      <c r="V498" s="10"/>
    </row>
    <row r="499" spans="2:22" x14ac:dyDescent="0.25">
      <c r="B499" s="1">
        <v>46098</v>
      </c>
      <c r="C499" s="2" t="s">
        <v>61</v>
      </c>
      <c r="D499" s="3" t="s">
        <v>1</v>
      </c>
      <c r="E499" s="3" t="s">
        <v>2</v>
      </c>
      <c r="F499" s="4">
        <v>202.1</v>
      </c>
      <c r="G499" s="4">
        <v>21000</v>
      </c>
      <c r="H499" s="5">
        <f>[1]!РЕАЛИЗАЦИЯ[СОНИ]*[1]!РЕАЛИЗАЦИЯ[НАРХИ]</f>
        <v>8990700</v>
      </c>
      <c r="I499" s="4"/>
      <c r="J499" s="6">
        <v>19000</v>
      </c>
      <c r="K499" s="4">
        <f>[1]!РЕАЛИЗАЦИЯ[[#This Row],[СОНИ]]*[1]!РЕАЛИЗАЦИЯ[[#This Row],[ТАННАРХ]]</f>
        <v>3132457605</v>
      </c>
      <c r="L499" s="7">
        <f>[1]!РЕАЛИЗАЦИЯ[[#This Row],[ЖАМИ]]-[1]!РЕАЛИЗАЦИЯ[[#This Row],[ЖАМИ2]]</f>
        <v>8990309.0999999996</v>
      </c>
      <c r="O499" s="33">
        <v>46103</v>
      </c>
      <c r="P499" s="3" t="s">
        <v>110</v>
      </c>
      <c r="Q499" s="4">
        <v>476000</v>
      </c>
      <c r="R499" s="4"/>
      <c r="S499" s="4"/>
      <c r="T499" s="5">
        <f>[1]!ПЛАТЕЖИ[[#This Row],[СЎМ]]+([1]!ПЛАТЕЖИ[[#This Row],[ВАЛЮТА]]*[1]!ПЛАТЕЖИ[[#This Row],[КУРС]])</f>
        <v>1115700</v>
      </c>
      <c r="U499" s="3"/>
      <c r="V499" s="3"/>
    </row>
    <row r="500" spans="2:22" x14ac:dyDescent="0.25">
      <c r="B500" s="8">
        <v>46098</v>
      </c>
      <c r="C500" s="9" t="s">
        <v>61</v>
      </c>
      <c r="D500" s="10" t="s">
        <v>10</v>
      </c>
      <c r="E500" s="10" t="s">
        <v>2</v>
      </c>
      <c r="F500" s="11">
        <v>426</v>
      </c>
      <c r="G500" s="11">
        <v>16000</v>
      </c>
      <c r="H500" s="12">
        <f>[1]!РЕАЛИЗАЦИЯ[СОНИ]*[1]!РЕАЛИЗАЦИЯ[НАРХИ]</f>
        <v>6734000</v>
      </c>
      <c r="I500" s="11"/>
      <c r="J500" s="13">
        <v>13000</v>
      </c>
      <c r="K500" s="11">
        <f>[1]!РЕАЛИЗАЦИЯ[[#This Row],[СОНИ]]*[1]!РЕАЛИЗАЦИЯ[[#This Row],[ТАННАРХ]]</f>
        <v>2252432000</v>
      </c>
      <c r="L500" s="14">
        <f>[1]!РЕАЛИЗАЦИЯ[[#This Row],[ЖАМИ]]-[1]!РЕАЛИЗАЦИЯ[[#This Row],[ЖАМИ2]]</f>
        <v>6733636</v>
      </c>
      <c r="O500" s="34">
        <v>46104</v>
      </c>
      <c r="P500" s="10" t="s">
        <v>89</v>
      </c>
      <c r="Q500" s="11">
        <v>19422000</v>
      </c>
      <c r="R500" s="11"/>
      <c r="S500" s="11"/>
      <c r="T500" s="12">
        <f>[1]!ПЛАТЕЖИ[[#This Row],[СЎМ]]+([1]!ПЛАТЕЖИ[[#This Row],[ВАЛЮТА]]*[1]!ПЛАТЕЖИ[[#This Row],[КУРС]])</f>
        <v>3000000</v>
      </c>
      <c r="U500" s="10"/>
      <c r="V500" s="10"/>
    </row>
    <row r="501" spans="2:22" x14ac:dyDescent="0.25">
      <c r="B501" s="1">
        <v>46098</v>
      </c>
      <c r="C501" s="2" t="s">
        <v>89</v>
      </c>
      <c r="D501" s="3" t="s">
        <v>10</v>
      </c>
      <c r="E501" s="3" t="s">
        <v>2</v>
      </c>
      <c r="F501" s="4">
        <v>1494</v>
      </c>
      <c r="G501" s="4">
        <v>13000</v>
      </c>
      <c r="H501" s="5">
        <f>[1]!РЕАЛИЗАЦИЯ[СОНИ]*[1]!РЕАЛИЗАЦИЯ[НАРХИ]</f>
        <v>5536320</v>
      </c>
      <c r="I501" s="4"/>
      <c r="J501" s="6">
        <v>13000</v>
      </c>
      <c r="K501" s="4">
        <f>[1]!РЕАЛИЗАЦИЯ[[#This Row],[СОНИ]]*[1]!РЕАЛИЗАЦИЯ[[#This Row],[ТАННАРХ]]</f>
        <v>1227801600</v>
      </c>
      <c r="L501" s="7">
        <f>[1]!РЕАЛИЗАЦИЯ[[#This Row],[ЖАМИ]]-[1]!РЕАЛИЗАЦИЯ[[#This Row],[ЖАМИ2]]</f>
        <v>5536086.4000000004</v>
      </c>
      <c r="O501" s="33">
        <v>46104</v>
      </c>
      <c r="P501" s="3" t="s">
        <v>47</v>
      </c>
      <c r="Q501" s="4"/>
      <c r="R501" s="4">
        <v>200</v>
      </c>
      <c r="S501" s="4">
        <v>12100</v>
      </c>
      <c r="T501" s="5">
        <f>[1]!ПЛАТЕЖИ[[#This Row],[СЎМ]]+([1]!ПЛАТЕЖИ[[#This Row],[ВАЛЮТА]]*[1]!ПЛАТЕЖИ[[#This Row],[КУРС]])</f>
        <v>10803000</v>
      </c>
      <c r="U501" s="3"/>
      <c r="V501" s="3"/>
    </row>
    <row r="502" spans="2:22" x14ac:dyDescent="0.25">
      <c r="B502" s="8">
        <v>46098</v>
      </c>
      <c r="C502" s="9" t="s">
        <v>59</v>
      </c>
      <c r="D502" s="10" t="s">
        <v>1</v>
      </c>
      <c r="E502" s="10" t="s">
        <v>2</v>
      </c>
      <c r="F502" s="11">
        <v>97.7</v>
      </c>
      <c r="G502" s="11">
        <v>21000</v>
      </c>
      <c r="H502" s="12">
        <f>[1]!РЕАЛИЗАЦИЯ[СОНИ]*[1]!РЕАЛИЗАЦИЯ[НАРХИ]</f>
        <v>4212750</v>
      </c>
      <c r="I502" s="11"/>
      <c r="J502" s="13">
        <v>19000</v>
      </c>
      <c r="K502" s="11">
        <f>[1]!РЕАЛИЗАЦИЯ[[#This Row],[СОНИ]]*[1]!РЕАЛИЗАЦИЯ[[#This Row],[ТАННАРХ]]</f>
        <v>0</v>
      </c>
      <c r="L502" s="14">
        <f>[1]!РЕАЛИЗАЦИЯ[[#This Row],[ЖАМИ]]-[1]!РЕАЛИЗАЦИЯ[[#This Row],[ЖАМИ2]]</f>
        <v>4212750</v>
      </c>
      <c r="O502" s="34">
        <v>46104</v>
      </c>
      <c r="P502" s="10" t="s">
        <v>169</v>
      </c>
      <c r="Q502" s="11">
        <v>781500</v>
      </c>
      <c r="R502" s="11"/>
      <c r="S502" s="11"/>
      <c r="T502" s="12">
        <f>[1]!ПЛАТЕЖИ[[#This Row],[СЎМ]]+([1]!ПЛАТЕЖИ[[#This Row],[ВАЛЮТА]]*[1]!ПЛАТЕЖИ[[#This Row],[КУРС]])</f>
        <v>2278500</v>
      </c>
      <c r="U502" s="10"/>
      <c r="V502" s="10"/>
    </row>
    <row r="503" spans="2:22" x14ac:dyDescent="0.25">
      <c r="B503" s="1">
        <v>46098</v>
      </c>
      <c r="C503" s="2" t="s">
        <v>7</v>
      </c>
      <c r="D503" s="3" t="s">
        <v>8</v>
      </c>
      <c r="E503" s="3" t="s">
        <v>2</v>
      </c>
      <c r="F503" s="4">
        <v>1030</v>
      </c>
      <c r="G503" s="4">
        <v>22000</v>
      </c>
      <c r="H503" s="5">
        <f>[1]!РЕАЛИЗАЦИЯ[СОНИ]*[1]!РЕАЛИЗАЦИЯ[НАРХИ]</f>
        <v>5508300</v>
      </c>
      <c r="I503" s="4"/>
      <c r="J503" s="6">
        <v>20000</v>
      </c>
      <c r="K503" s="4">
        <f>[1]!РЕАЛИЗАЦИЯ[[#This Row],[СОНИ]]*[1]!РЕАЛИЗАЦИЯ[[#This Row],[ТАННАРХ]]</f>
        <v>0</v>
      </c>
      <c r="L503" s="7">
        <f>[1]!РЕАЛИЗАЦИЯ[[#This Row],[ЖАМИ]]-[1]!РЕАЛИЗАЦИЯ[[#This Row],[ЖАМИ2]]</f>
        <v>5508300</v>
      </c>
      <c r="O503" s="33">
        <v>46104</v>
      </c>
      <c r="P503" s="3" t="s">
        <v>19</v>
      </c>
      <c r="Q503" s="4">
        <v>2000000</v>
      </c>
      <c r="R503" s="4"/>
      <c r="S503" s="4"/>
      <c r="T503" s="5">
        <f>[1]!ПЛАТЕЖИ[[#This Row],[СЎМ]]+([1]!ПЛАТЕЖИ[[#This Row],[ВАЛЮТА]]*[1]!ПЛАТЕЖИ[[#This Row],[КУРС]])</f>
        <v>2000000</v>
      </c>
      <c r="U503" s="3"/>
      <c r="V503" s="3"/>
    </row>
    <row r="504" spans="2:22" x14ac:dyDescent="0.25">
      <c r="B504" s="8">
        <v>46098</v>
      </c>
      <c r="C504" s="9" t="s">
        <v>96</v>
      </c>
      <c r="D504" s="10" t="s">
        <v>10</v>
      </c>
      <c r="E504" s="10" t="s">
        <v>2</v>
      </c>
      <c r="F504" s="11">
        <v>53.4</v>
      </c>
      <c r="G504" s="11">
        <v>16000</v>
      </c>
      <c r="H504" s="12">
        <f>[1]!РЕАЛИЗАЦИЯ[СОНИ]*[1]!РЕАЛИЗАЦИЯ[НАРХИ]</f>
        <v>2667000</v>
      </c>
      <c r="I504" s="11"/>
      <c r="J504" s="13">
        <v>13000</v>
      </c>
      <c r="K504" s="11">
        <f>[1]!РЕАЛИЗАЦИЯ[[#This Row],[СОНИ]]*[1]!РЕАЛИЗАЦИЯ[[#This Row],[ТАННАРХ]]</f>
        <v>0</v>
      </c>
      <c r="L504" s="14">
        <f>[1]!РЕАЛИЗАЦИЯ[[#This Row],[ЖАМИ]]-[1]!РЕАЛИЗАЦИЯ[[#This Row],[ЖАМИ2]]</f>
        <v>2667000</v>
      </c>
      <c r="O504" s="34">
        <v>46104</v>
      </c>
      <c r="P504" s="10" t="s">
        <v>183</v>
      </c>
      <c r="Q504" s="11">
        <v>2070600</v>
      </c>
      <c r="R504" s="11"/>
      <c r="S504" s="11"/>
      <c r="T504" s="12">
        <f>[1]!ПЛАТЕЖИ[[#This Row],[СЎМ]]+([1]!ПЛАТЕЖИ[[#This Row],[ВАЛЮТА]]*[1]!ПЛАТЕЖИ[[#This Row],[КУРС]])</f>
        <v>770000</v>
      </c>
      <c r="U504" s="10"/>
      <c r="V504" s="10"/>
    </row>
    <row r="505" spans="2:22" x14ac:dyDescent="0.25">
      <c r="B505" s="1">
        <v>46098</v>
      </c>
      <c r="C505" s="2" t="s">
        <v>200</v>
      </c>
      <c r="D505" s="3" t="s">
        <v>8</v>
      </c>
      <c r="E505" s="3" t="s">
        <v>2</v>
      </c>
      <c r="F505" s="4">
        <v>223.3</v>
      </c>
      <c r="G505" s="4">
        <v>22000</v>
      </c>
      <c r="H505" s="5">
        <f>[1]!РЕАЛИЗАЦИЯ[СОНИ]*[1]!РЕАЛИЗАЦИЯ[НАРХИ]</f>
        <v>5224800</v>
      </c>
      <c r="I505" s="4"/>
      <c r="J505" s="6">
        <v>20000</v>
      </c>
      <c r="K505" s="4">
        <f>[1]!РЕАЛИЗАЦИЯ[[#This Row],[СОНИ]]*[1]!РЕАЛИЗАЦИЯ[[#This Row],[ТАННАРХ]]</f>
        <v>0</v>
      </c>
      <c r="L505" s="7">
        <f>[1]!РЕАЛИЗАЦИЯ[[#This Row],[ЖАМИ]]-[1]!РЕАЛИЗАЦИЯ[[#This Row],[ЖАМИ2]]</f>
        <v>5224800</v>
      </c>
      <c r="O505" s="33">
        <v>46104</v>
      </c>
      <c r="P505" s="3" t="s">
        <v>200</v>
      </c>
      <c r="Q505" s="4">
        <v>3000000</v>
      </c>
      <c r="R505" s="4"/>
      <c r="S505" s="4"/>
      <c r="T505" s="5">
        <f>[1]!ПЛАТЕЖИ[[#This Row],[СЎМ]]+([1]!ПЛАТЕЖИ[[#This Row],[ВАЛЮТА]]*[1]!ПЛАТЕЖИ[[#This Row],[КУРС]])</f>
        <v>1005100</v>
      </c>
      <c r="U505" s="3"/>
      <c r="V505" s="3"/>
    </row>
    <row r="506" spans="2:22" x14ac:dyDescent="0.25">
      <c r="B506" s="8">
        <v>46099</v>
      </c>
      <c r="C506" s="9" t="s">
        <v>33</v>
      </c>
      <c r="D506" s="10" t="s">
        <v>10</v>
      </c>
      <c r="E506" s="10" t="s">
        <v>2</v>
      </c>
      <c r="F506" s="11">
        <v>664.1</v>
      </c>
      <c r="G506" s="11">
        <v>14500</v>
      </c>
      <c r="H506" s="12">
        <f>[1]!РЕАЛИЗАЦИЯ[СОНИ]*[1]!РЕАЛИЗАЦИЯ[НАРХИ]</f>
        <v>1035299.9999999999</v>
      </c>
      <c r="I506" s="11"/>
      <c r="J506" s="13">
        <v>13000</v>
      </c>
      <c r="K506" s="11">
        <f>[1]!РЕАЛИЗАЦИЯ[[#This Row],[СОНИ]]*[1]!РЕАЛИЗАЦИЯ[[#This Row],[ТАННАРХ]]</f>
        <v>0</v>
      </c>
      <c r="L506" s="14">
        <f>[1]!РЕАЛИЗАЦИЯ[[#This Row],[ЖАМИ]]-[1]!РЕАЛИЗАЦИЯ[[#This Row],[ЖАМИ2]]</f>
        <v>1035299.9999999999</v>
      </c>
      <c r="O506" s="34">
        <v>46104</v>
      </c>
      <c r="P506" s="10" t="s">
        <v>166</v>
      </c>
      <c r="Q506" s="11">
        <v>2271550</v>
      </c>
      <c r="R506" s="11"/>
      <c r="S506" s="11"/>
      <c r="T506" s="12">
        <f>[1]!ПЛАТЕЖИ[[#This Row],[СЎМ]]+([1]!ПЛАТЕЖИ[[#This Row],[ВАЛЮТА]]*[1]!ПЛАТЕЖИ[[#This Row],[КУРС]])</f>
        <v>4000000</v>
      </c>
      <c r="U506" s="10"/>
      <c r="V506" s="10" t="s">
        <v>275</v>
      </c>
    </row>
    <row r="507" spans="2:22" x14ac:dyDescent="0.25">
      <c r="B507" s="1">
        <v>46099</v>
      </c>
      <c r="C507" s="2" t="s">
        <v>199</v>
      </c>
      <c r="D507" s="3" t="s">
        <v>1</v>
      </c>
      <c r="E507" s="3" t="s">
        <v>2</v>
      </c>
      <c r="F507" s="4">
        <v>54.8</v>
      </c>
      <c r="G507" s="4">
        <v>20000</v>
      </c>
      <c r="H507" s="5">
        <f>[1]!РЕАЛИЗАЦИЯ[СОНИ]*[1]!РЕАЛИЗАЦИЯ[НАРХИ]</f>
        <v>1155000</v>
      </c>
      <c r="I507" s="4"/>
      <c r="J507" s="6">
        <v>19000</v>
      </c>
      <c r="K507" s="4">
        <f>[1]!РЕАЛИЗАЦИЯ[[#This Row],[СОНИ]]*[1]!РЕАЛИЗАЦИЯ[[#This Row],[ТАННАРХ]]</f>
        <v>0</v>
      </c>
      <c r="L507" s="7">
        <f>[1]!РЕАЛИЗАЦИЯ[[#This Row],[ЖАМИ]]-[1]!РЕАЛИЗАЦИЯ[[#This Row],[ЖАМИ2]]</f>
        <v>1155000</v>
      </c>
      <c r="O507" s="33">
        <v>46104</v>
      </c>
      <c r="P507" s="3" t="s">
        <v>44</v>
      </c>
      <c r="Q507" s="4">
        <v>1756000</v>
      </c>
      <c r="R507" s="4"/>
      <c r="S507" s="4"/>
      <c r="T507" s="5">
        <f>[1]!ПЛАТЕЖИ[[#This Row],[СЎМ]]+([1]!ПЛАТЕЖИ[[#This Row],[ВАЛЮТА]]*[1]!ПЛАТЕЖИ[[#This Row],[КУРС]])</f>
        <v>3000900</v>
      </c>
      <c r="U507" s="3"/>
      <c r="V507" s="3" t="s">
        <v>275</v>
      </c>
    </row>
    <row r="508" spans="2:22" x14ac:dyDescent="0.25">
      <c r="B508" s="8">
        <v>46099</v>
      </c>
      <c r="C508" s="9" t="s">
        <v>150</v>
      </c>
      <c r="D508" s="10" t="s">
        <v>1</v>
      </c>
      <c r="E508" s="10" t="s">
        <v>2</v>
      </c>
      <c r="F508" s="11">
        <v>58</v>
      </c>
      <c r="G508" s="11">
        <v>21000</v>
      </c>
      <c r="H508" s="12">
        <f>[1]!РЕАЛИЗАЦИЯ[СОНИ]*[1]!РЕАЛИЗАЦИЯ[НАРХИ]</f>
        <v>803200</v>
      </c>
      <c r="I508" s="11"/>
      <c r="J508" s="13">
        <v>19000</v>
      </c>
      <c r="K508" s="11">
        <f>[1]!РЕАЛИЗАЦИЯ[[#This Row],[СОНИ]]*[1]!РЕАЛИЗАЦИЯ[[#This Row],[ТАННАРХ]]</f>
        <v>0</v>
      </c>
      <c r="L508" s="14">
        <f>[1]!РЕАЛИЗАЦИЯ[[#This Row],[ЖАМИ]]-[1]!РЕАЛИЗАЦИЯ[[#This Row],[ЖАМИ2]]</f>
        <v>803200</v>
      </c>
      <c r="O508" s="34">
        <v>46106</v>
      </c>
      <c r="P508" s="10" t="s">
        <v>60</v>
      </c>
      <c r="Q508" s="11">
        <v>15000000</v>
      </c>
      <c r="R508" s="11"/>
      <c r="S508" s="11"/>
      <c r="T508" s="12">
        <f>[1]!ПЛАТЕЖИ[[#This Row],[СЎМ]]+([1]!ПЛАТЕЖИ[[#This Row],[ВАЛЮТА]]*[1]!ПЛАТЕЖИ[[#This Row],[КУРС]])</f>
        <v>1200465</v>
      </c>
      <c r="U508" s="10"/>
      <c r="V508" s="10" t="s">
        <v>279</v>
      </c>
    </row>
    <row r="509" spans="2:22" x14ac:dyDescent="0.25">
      <c r="B509" s="1">
        <v>46099</v>
      </c>
      <c r="C509" s="2" t="s">
        <v>150</v>
      </c>
      <c r="D509" s="3" t="s">
        <v>1</v>
      </c>
      <c r="E509" s="3" t="s">
        <v>2</v>
      </c>
      <c r="F509" s="4">
        <v>-58</v>
      </c>
      <c r="G509" s="4">
        <v>21000</v>
      </c>
      <c r="H509" s="5">
        <f>[1]!РЕАЛИЗАЦИЯ[СОНИ]*[1]!РЕАЛИЗАЦИЯ[НАРХИ]</f>
        <v>1020600</v>
      </c>
      <c r="I509" s="4"/>
      <c r="J509" s="6">
        <v>19000</v>
      </c>
      <c r="K509" s="4">
        <f>[1]!РЕАЛИЗАЦИЯ[[#This Row],[СОНИ]]*[1]!РЕАЛИЗАЦИЯ[[#This Row],[ТАННАРХ]]</f>
        <v>0</v>
      </c>
      <c r="L509" s="7">
        <f>[1]!РЕАЛИЗАЦИЯ[[#This Row],[ЖАМИ]]-[1]!РЕАЛИЗАЦИЯ[[#This Row],[ЖАМИ2]]</f>
        <v>1020600</v>
      </c>
      <c r="O509" s="33">
        <v>46106</v>
      </c>
      <c r="P509" s="3" t="s">
        <v>19</v>
      </c>
      <c r="Q509" s="4">
        <v>1732500</v>
      </c>
      <c r="R509" s="4"/>
      <c r="S509" s="4"/>
      <c r="T509" s="5">
        <f>[1]!ПЛАТЕЖИ[[#This Row],[СЎМ]]+([1]!ПЛАТЕЖИ[[#This Row],[ВАЛЮТА]]*[1]!ПЛАТЕЖИ[[#This Row],[КУРС]])</f>
        <v>11835000</v>
      </c>
      <c r="U509" s="3"/>
      <c r="V509" s="3" t="s">
        <v>279</v>
      </c>
    </row>
    <row r="510" spans="2:22" x14ac:dyDescent="0.25">
      <c r="B510" s="8">
        <v>46099</v>
      </c>
      <c r="C510" s="9" t="s">
        <v>122</v>
      </c>
      <c r="D510" s="10" t="s">
        <v>1</v>
      </c>
      <c r="E510" s="10" t="s">
        <v>2</v>
      </c>
      <c r="F510" s="11">
        <v>285.10000000000002</v>
      </c>
      <c r="G510" s="11">
        <v>20500</v>
      </c>
      <c r="H510" s="12">
        <f>[1]!РЕАЛИЗАЦИЯ[СОНИ]*[1]!РЕАЛИЗАЦИЯ[НАРХИ]</f>
        <v>1192800</v>
      </c>
      <c r="I510" s="11"/>
      <c r="J510" s="13">
        <v>19000</v>
      </c>
      <c r="K510" s="11">
        <f>[1]!РЕАЛИЗАЦИЯ[[#This Row],[СОНИ]]*[1]!РЕАЛИЗАЦИЯ[[#This Row],[ТАННАРХ]]</f>
        <v>0</v>
      </c>
      <c r="L510" s="14">
        <f>[1]!РЕАЛИЗАЦИЯ[[#This Row],[ЖАМИ]]-[1]!РЕАЛИЗАЦИЯ[[#This Row],[ЖАМИ2]]</f>
        <v>1192800</v>
      </c>
      <c r="O510" s="34">
        <v>46106</v>
      </c>
      <c r="P510" s="10" t="s">
        <v>164</v>
      </c>
      <c r="Q510" s="11">
        <v>1050000</v>
      </c>
      <c r="R510" s="11"/>
      <c r="S510" s="11"/>
      <c r="T510" s="12">
        <f>[1]!ПЛАТЕЖИ[[#This Row],[СЎМ]]+([1]!ПЛАТЕЖИ[[#This Row],[ВАЛЮТА]]*[1]!ПЛАТЕЖИ[[#This Row],[КУРС]])</f>
        <v>3500000</v>
      </c>
      <c r="U510" s="10"/>
      <c r="V510" s="10" t="s">
        <v>275</v>
      </c>
    </row>
    <row r="511" spans="2:22" x14ac:dyDescent="0.25">
      <c r="B511" s="1">
        <v>46099</v>
      </c>
      <c r="C511" s="2" t="s">
        <v>134</v>
      </c>
      <c r="D511" s="3" t="s">
        <v>1</v>
      </c>
      <c r="E511" s="3" t="s">
        <v>2</v>
      </c>
      <c r="F511" s="4">
        <v>416.3</v>
      </c>
      <c r="G511" s="4">
        <v>22000</v>
      </c>
      <c r="H511" s="5">
        <f>[1]!РЕАЛИЗАЦИЯ[СОНИ]*[1]!РЕАЛИЗАЦИЯ[НАРХИ]</f>
        <v>603200</v>
      </c>
      <c r="I511" s="4"/>
      <c r="J511" s="6">
        <v>19000</v>
      </c>
      <c r="K511" s="4">
        <f>[1]!РЕАЛИЗАЦИЯ[[#This Row],[СОНИ]]*[1]!РЕАЛИЗАЦИЯ[[#This Row],[ТАННАРХ]]</f>
        <v>0</v>
      </c>
      <c r="L511" s="7">
        <f>[1]!РЕАЛИЗАЦИЯ[[#This Row],[ЖАМИ]]-[1]!РЕАЛИЗАЦИЯ[[#This Row],[ЖАМИ2]]</f>
        <v>603200</v>
      </c>
      <c r="O511" s="33">
        <v>46106</v>
      </c>
      <c r="P511" s="3" t="s">
        <v>308</v>
      </c>
      <c r="Q511" s="4">
        <v>300000</v>
      </c>
      <c r="R511" s="4"/>
      <c r="S511" s="4"/>
      <c r="T511" s="5">
        <f>[1]!ПЛАТЕЖИ[[#This Row],[СЎМ]]+([1]!ПЛАТЕЖИ[[#This Row],[ВАЛЮТА]]*[1]!ПЛАТЕЖИ[[#This Row],[КУРС]])</f>
        <v>10000000</v>
      </c>
      <c r="U511" s="3"/>
      <c r="V511" s="3" t="s">
        <v>275</v>
      </c>
    </row>
    <row r="512" spans="2:22" x14ac:dyDescent="0.25">
      <c r="B512" s="8">
        <v>46100</v>
      </c>
      <c r="C512" s="9" t="s">
        <v>201</v>
      </c>
      <c r="D512" s="10" t="s">
        <v>8</v>
      </c>
      <c r="E512" s="10" t="s">
        <v>2</v>
      </c>
      <c r="F512" s="11">
        <v>40.5</v>
      </c>
      <c r="G512" s="11">
        <v>22000</v>
      </c>
      <c r="H512" s="12">
        <f>[1]!РЕАЛИЗАЦИЯ[СОНИ]*[1]!РЕАЛИЗАЦИЯ[НАРХИ]</f>
        <v>984900</v>
      </c>
      <c r="I512" s="11"/>
      <c r="J512" s="13">
        <v>20000</v>
      </c>
      <c r="K512" s="11">
        <f>[1]!РЕАЛИЗАЦИЯ[[#This Row],[СОНИ]]*[1]!РЕАЛИЗАЦИЯ[[#This Row],[ТАННАРХ]]</f>
        <v>0</v>
      </c>
      <c r="L512" s="14">
        <f>[1]!РЕАЛИЗАЦИЯ[[#This Row],[ЖАМИ]]-[1]!РЕАЛИЗАЦИЯ[[#This Row],[ЖАМИ2]]</f>
        <v>984900</v>
      </c>
      <c r="O512" s="34">
        <v>46106</v>
      </c>
      <c r="P512" s="10" t="s">
        <v>20</v>
      </c>
      <c r="Q512" s="11">
        <v>957600</v>
      </c>
      <c r="R512" s="11"/>
      <c r="S512" s="11"/>
      <c r="T512" s="12">
        <f>[1]!ПЛАТЕЖИ[[#This Row],[СЎМ]]+([1]!ПЛАТЕЖИ[[#This Row],[ВАЛЮТА]]*[1]!ПЛАТЕЖИ[[#This Row],[КУРС]])</f>
        <v>694400</v>
      </c>
      <c r="U512" s="10"/>
      <c r="V512" s="10"/>
    </row>
    <row r="513" spans="2:22" x14ac:dyDescent="0.25">
      <c r="B513" s="1">
        <v>46100</v>
      </c>
      <c r="C513" s="2" t="s">
        <v>61</v>
      </c>
      <c r="D513" s="3" t="s">
        <v>1</v>
      </c>
      <c r="E513" s="3" t="s">
        <v>2</v>
      </c>
      <c r="F513" s="4">
        <v>104.9</v>
      </c>
      <c r="G513" s="4">
        <v>21000</v>
      </c>
      <c r="H513" s="5">
        <f>[1]!РЕАЛИЗАЦИЯ[СОНИ]*[1]!РЕАЛИЗАЦИЯ[НАРХИ]</f>
        <v>6362500</v>
      </c>
      <c r="I513" s="4"/>
      <c r="J513" s="6">
        <v>19000</v>
      </c>
      <c r="K513" s="4">
        <f>[1]!РЕАЛИЗАЦИЯ[[#This Row],[СОНИ]]*[1]!РЕАЛИЗАЦИЯ[[#This Row],[ТАННАРХ]]</f>
        <v>1457330625</v>
      </c>
      <c r="L513" s="7">
        <f>[1]!РЕАЛИЗАЦИЯ[[#This Row],[ЖАМИ]]-[1]!РЕАЛИЗАЦИЯ[[#This Row],[ЖАМИ2]]</f>
        <v>6362245.5</v>
      </c>
      <c r="O513" s="33">
        <v>46106</v>
      </c>
      <c r="P513" s="3" t="s">
        <v>51</v>
      </c>
      <c r="Q513" s="4">
        <v>1068900</v>
      </c>
      <c r="R513" s="4"/>
      <c r="S513" s="4"/>
      <c r="T513" s="5">
        <f>[1]!ПЛАТЕЖИ[[#This Row],[СЎМ]]+([1]!ПЛАТЕЖИ[[#This Row],[ВАЛЮТА]]*[1]!ПЛАТЕЖИ[[#This Row],[КУРС]])</f>
        <v>3654000</v>
      </c>
      <c r="U513" s="3"/>
      <c r="V513" s="3" t="s">
        <v>275</v>
      </c>
    </row>
    <row r="514" spans="2:22" x14ac:dyDescent="0.25">
      <c r="B514" s="8">
        <v>46100</v>
      </c>
      <c r="C514" s="9" t="s">
        <v>61</v>
      </c>
      <c r="D514" s="10" t="s">
        <v>10</v>
      </c>
      <c r="E514" s="10" t="s">
        <v>2</v>
      </c>
      <c r="F514" s="11">
        <v>53.1</v>
      </c>
      <c r="G514" s="11">
        <v>16000</v>
      </c>
      <c r="H514" s="12">
        <f>[1]!РЕАЛИЗАЦИЯ[СОНИ]*[1]!РЕАЛИЗАЦИЯ[НАРХИ]</f>
        <v>2616000</v>
      </c>
      <c r="I514" s="11"/>
      <c r="J514" s="13">
        <v>13000</v>
      </c>
      <c r="K514" s="11">
        <f>[1]!РЕАЛИЗАЦИЯ[[#This Row],[СОНИ]]*[1]!РЕАЛИЗАЦИЯ[[#This Row],[ТАННАРХ]]</f>
        <v>267322500</v>
      </c>
      <c r="L514" s="14">
        <f>[1]!РЕАЛИЗАЦИЯ[[#This Row],[ЖАМИ]]-[1]!РЕАЛИЗАЦИЯ[[#This Row],[ЖАМИ2]]</f>
        <v>2615891</v>
      </c>
      <c r="O514" s="34">
        <v>46106</v>
      </c>
      <c r="P514" s="10" t="s">
        <v>26</v>
      </c>
      <c r="Q514" s="11">
        <v>2454700</v>
      </c>
      <c r="R514" s="11"/>
      <c r="S514" s="11"/>
      <c r="T514" s="12">
        <f>[1]!ПЛАТЕЖИ[[#This Row],[СЎМ]]+([1]!ПЛАТЕЖИ[[#This Row],[ВАЛЮТА]]*[1]!ПЛАТЕЖИ[[#This Row],[КУРС]])</f>
        <v>10000000</v>
      </c>
      <c r="U514" s="10"/>
      <c r="V514" s="10" t="s">
        <v>275</v>
      </c>
    </row>
    <row r="515" spans="2:22" x14ac:dyDescent="0.25">
      <c r="B515" s="1">
        <v>46100</v>
      </c>
      <c r="C515" s="2" t="s">
        <v>76</v>
      </c>
      <c r="D515" s="3" t="s">
        <v>1</v>
      </c>
      <c r="E515" s="3" t="s">
        <v>2</v>
      </c>
      <c r="F515" s="4">
        <v>50.8</v>
      </c>
      <c r="G515" s="4">
        <v>21000</v>
      </c>
      <c r="H515" s="5">
        <f>[1]!РЕАЛИЗАЦИЯ[СОНИ]*[1]!РЕАЛИЗАЦИЯ[НАРХИ]</f>
        <v>1026900</v>
      </c>
      <c r="I515" s="4"/>
      <c r="J515" s="6">
        <v>19000</v>
      </c>
      <c r="K515" s="4">
        <f>[1]!РЕАЛИЗАЦИЯ[[#This Row],[СОНИ]]*[1]!РЕАЛИЗАЦИЯ[[#This Row],[ТАННАРХ]]</f>
        <v>0</v>
      </c>
      <c r="L515" s="7">
        <f>[1]!РЕАЛИЗАЦИЯ[[#This Row],[ЖАМИ]]-[1]!РЕАЛИЗАЦИЯ[[#This Row],[ЖАМИ2]]</f>
        <v>1026900</v>
      </c>
      <c r="O515" s="33">
        <v>46106</v>
      </c>
      <c r="P515" s="3" t="s">
        <v>129</v>
      </c>
      <c r="Q515" s="4">
        <v>3346000</v>
      </c>
      <c r="R515" s="4"/>
      <c r="S515" s="4"/>
      <c r="T515" s="5">
        <f>[1]!ПЛАТЕЖИ[[#This Row],[СЎМ]]+([1]!ПЛАТЕЖИ[[#This Row],[ВАЛЮТА]]*[1]!ПЛАТЕЖИ[[#This Row],[КУРС]])</f>
        <v>2110500</v>
      </c>
      <c r="U515" s="3"/>
      <c r="V515" s="3" t="s">
        <v>275</v>
      </c>
    </row>
    <row r="516" spans="2:22" x14ac:dyDescent="0.25">
      <c r="B516" s="8">
        <v>46100</v>
      </c>
      <c r="C516" s="9" t="s">
        <v>9</v>
      </c>
      <c r="D516" s="10" t="s">
        <v>25</v>
      </c>
      <c r="E516" s="10" t="s">
        <v>2</v>
      </c>
      <c r="F516" s="11">
        <v>205.6</v>
      </c>
      <c r="G516" s="11">
        <v>25700</v>
      </c>
      <c r="H516" s="12">
        <f>[1]!РЕАЛИЗАЦИЯ[СОНИ]*[1]!РЕАЛИЗАЦИЯ[НАРХИ]</f>
        <v>982800</v>
      </c>
      <c r="I516" s="11"/>
      <c r="J516" s="13">
        <v>23000</v>
      </c>
      <c r="K516" s="11">
        <f>[1]!РЕАЛИЗАЦИЯ[[#This Row],[СОНИ]]*[1]!РЕАЛИЗАЦИЯ[[#This Row],[ТАННАРХ]]</f>
        <v>0</v>
      </c>
      <c r="L516" s="14">
        <f>[1]!РЕАЛИЗАЦИЯ[[#This Row],[ЖАМИ]]-[1]!РЕАЛИЗАЦИЯ[[#This Row],[ЖАМИ2]]</f>
        <v>982800</v>
      </c>
      <c r="O516" s="34">
        <v>46106</v>
      </c>
      <c r="P516" s="10" t="s">
        <v>71</v>
      </c>
      <c r="Q516" s="11">
        <v>2302000</v>
      </c>
      <c r="R516" s="11"/>
      <c r="S516" s="11"/>
      <c r="T516" s="12">
        <f>[1]!ПЛАТЕЖИ[[#This Row],[СЎМ]]+([1]!ПЛАТЕЖИ[[#This Row],[ВАЛЮТА]]*[1]!ПЛАТЕЖИ[[#This Row],[КУРС]])</f>
        <v>2368300</v>
      </c>
      <c r="U516" s="10"/>
      <c r="V516" s="10"/>
    </row>
    <row r="517" spans="2:22" x14ac:dyDescent="0.25">
      <c r="B517" s="1">
        <v>46100</v>
      </c>
      <c r="C517" s="2" t="s">
        <v>126</v>
      </c>
      <c r="D517" s="3" t="s">
        <v>25</v>
      </c>
      <c r="E517" s="3" t="s">
        <v>2</v>
      </c>
      <c r="F517" s="4">
        <v>330.3</v>
      </c>
      <c r="G517" s="4">
        <v>25000</v>
      </c>
      <c r="H517" s="5">
        <f>[1]!РЕАЛИЗАЦИЯ[СОНИ]*[1]!РЕАЛИЗАЦИЯ[НАРХИ]</f>
        <v>1892099.9999999998</v>
      </c>
      <c r="I517" s="4"/>
      <c r="J517" s="6">
        <v>23000</v>
      </c>
      <c r="K517" s="4">
        <f>[1]!РЕАЛИЗАЦИЯ[[#This Row],[СОНИ]]*[1]!РЕАЛИЗАЦИЯ[[#This Row],[ТАННАРХ]]</f>
        <v>0</v>
      </c>
      <c r="L517" s="7">
        <f>[1]!РЕАЛИЗАЦИЯ[[#This Row],[ЖАМИ]]-[1]!РЕАЛИЗАЦИЯ[[#This Row],[ЖАМИ2]]</f>
        <v>1892099.9999999998</v>
      </c>
      <c r="O517" s="33">
        <v>46106</v>
      </c>
      <c r="P517" s="3" t="s">
        <v>71</v>
      </c>
      <c r="Q517" s="4">
        <v>750000</v>
      </c>
      <c r="R517" s="4"/>
      <c r="S517" s="4"/>
      <c r="T517" s="5">
        <f>[1]!ПЛАТЕЖИ[[#This Row],[СЎМ]]+([1]!ПЛАТЕЖИ[[#This Row],[ВАЛЮТА]]*[1]!ПЛАТЕЖИ[[#This Row],[КУРС]])</f>
        <v>3205000</v>
      </c>
      <c r="U517" s="3"/>
      <c r="V517" s="3" t="s">
        <v>275</v>
      </c>
    </row>
    <row r="518" spans="2:22" x14ac:dyDescent="0.25">
      <c r="B518" s="8">
        <v>46100</v>
      </c>
      <c r="C518" s="9" t="s">
        <v>44</v>
      </c>
      <c r="D518" s="10" t="s">
        <v>25</v>
      </c>
      <c r="E518" s="10" t="s">
        <v>2</v>
      </c>
      <c r="F518" s="11">
        <v>222.5</v>
      </c>
      <c r="G518" s="11">
        <v>25000</v>
      </c>
      <c r="H518" s="12">
        <f>[1]!РЕАЛИЗАЦИЯ[СОНИ]*[1]!РЕАЛИЗАЦИЯ[НАРХИ]</f>
        <v>15282750</v>
      </c>
      <c r="I518" s="11"/>
      <c r="J518" s="13">
        <v>23000</v>
      </c>
      <c r="K518" s="11">
        <f>[1]!РЕАЛИЗАЦИЯ[[#This Row],[СОНИ]]*[1]!РЕАЛИЗАЦИЯ[[#This Row],[ТАННАРХ]]</f>
        <v>0</v>
      </c>
      <c r="L518" s="14">
        <f>[1]!РЕАЛИЗАЦИЯ[[#This Row],[ЖАМИ]]-[1]!РЕАЛИЗАЦИЯ[[#This Row],[ЖАМИ2]]</f>
        <v>15282750</v>
      </c>
      <c r="O518" s="34">
        <v>46106</v>
      </c>
      <c r="P518" s="10" t="s">
        <v>309</v>
      </c>
      <c r="Q518" s="11">
        <v>2000000</v>
      </c>
      <c r="R518" s="11"/>
      <c r="S518" s="11"/>
      <c r="T518" s="12">
        <f>[1]!ПЛАТЕЖИ[[#This Row],[СЎМ]]+([1]!ПЛАТЕЖИ[[#This Row],[ВАЛЮТА]]*[1]!ПЛАТЕЖИ[[#This Row],[КУРС]])</f>
        <v>5023000</v>
      </c>
      <c r="U518" s="10"/>
      <c r="V518" s="10" t="s">
        <v>275</v>
      </c>
    </row>
    <row r="519" spans="2:22" x14ac:dyDescent="0.25">
      <c r="B519" s="1">
        <v>46100</v>
      </c>
      <c r="C519" s="2" t="s">
        <v>145</v>
      </c>
      <c r="D519" s="3" t="s">
        <v>1</v>
      </c>
      <c r="E519" s="3" t="s">
        <v>2</v>
      </c>
      <c r="F519" s="4">
        <v>41.1</v>
      </c>
      <c r="G519" s="4">
        <v>21000</v>
      </c>
      <c r="H519" s="5">
        <f>[1]!РЕАЛИЗАЦИЯ[СОНИ]*[1]!РЕАЛИЗАЦИЯ[НАРХИ]</f>
        <v>1104950</v>
      </c>
      <c r="I519" s="4"/>
      <c r="J519" s="6">
        <v>19000</v>
      </c>
      <c r="K519" s="4">
        <f>[1]!РЕАЛИЗАЦИЯ[[#This Row],[СОНИ]]*[1]!РЕАЛИЗАЦИЯ[[#This Row],[ТАННАРХ]]</f>
        <v>0</v>
      </c>
      <c r="L519" s="7">
        <f>[1]!РЕАЛИЗАЦИЯ[[#This Row],[ЖАМИ]]-[1]!РЕАЛИЗАЦИЯ[[#This Row],[ЖАМИ2]]</f>
        <v>1104950</v>
      </c>
      <c r="O519" s="33">
        <v>46106</v>
      </c>
      <c r="P519" s="3" t="s">
        <v>116</v>
      </c>
      <c r="Q519" s="4">
        <v>15824140</v>
      </c>
      <c r="R519" s="4"/>
      <c r="S519" s="4"/>
      <c r="T519" s="5">
        <f>[1]!ПЛАТЕЖИ[[#This Row],[СЎМ]]+([1]!ПЛАТЕЖИ[[#This Row],[ВАЛЮТА]]*[1]!ПЛАТЕЖИ[[#This Row],[КУРС]])</f>
        <v>5864000</v>
      </c>
      <c r="U519" s="3"/>
      <c r="V519" s="3" t="s">
        <v>279</v>
      </c>
    </row>
    <row r="520" spans="2:22" x14ac:dyDescent="0.25">
      <c r="B520" s="8">
        <v>46103</v>
      </c>
      <c r="C520" s="9" t="s">
        <v>202</v>
      </c>
      <c r="D520" s="10" t="s">
        <v>10</v>
      </c>
      <c r="E520" s="10" t="s">
        <v>2</v>
      </c>
      <c r="F520" s="11">
        <v>327</v>
      </c>
      <c r="G520" s="11">
        <v>13000</v>
      </c>
      <c r="H520" s="12">
        <f>[1]!РЕАЛИЗАЦИЯ[СОНИ]*[1]!РЕАЛИЗАЦИЯ[НАРХИ]</f>
        <v>2177700</v>
      </c>
      <c r="I520" s="11"/>
      <c r="J520" s="13">
        <v>13000</v>
      </c>
      <c r="K520" s="11">
        <f>[1]!РЕАЛИЗАЦИЯ[[#This Row],[СОНИ]]*[1]!РЕАЛИЗАЦИЯ[[#This Row],[ТАННАРХ]]</f>
        <v>0</v>
      </c>
      <c r="L520" s="14">
        <f>[1]!РЕАЛИЗАЦИЯ[[#This Row],[ЖАМИ]]-[1]!РЕАЛИЗАЦИЯ[[#This Row],[ЖАМИ2]]</f>
        <v>2177700</v>
      </c>
      <c r="O520" s="34">
        <v>46107</v>
      </c>
      <c r="P520" s="10" t="s">
        <v>190</v>
      </c>
      <c r="Q520" s="11"/>
      <c r="R520" s="11">
        <v>200</v>
      </c>
      <c r="S520" s="11">
        <v>12100</v>
      </c>
      <c r="T520" s="12">
        <f>[1]!ПЛАТЕЖИ[[#This Row],[СЎМ]]+([1]!ПЛАТЕЖИ[[#This Row],[ВАЛЮТА]]*[1]!ПЛАТЕЖИ[[#This Row],[КУРС]])</f>
        <v>902000</v>
      </c>
      <c r="U520" s="10"/>
      <c r="V520" s="10"/>
    </row>
    <row r="521" spans="2:22" x14ac:dyDescent="0.25">
      <c r="B521" s="1">
        <v>46103</v>
      </c>
      <c r="C521" s="2" t="s">
        <v>19</v>
      </c>
      <c r="D521" s="3" t="s">
        <v>1</v>
      </c>
      <c r="E521" s="3" t="s">
        <v>2</v>
      </c>
      <c r="F521" s="4">
        <v>96.5</v>
      </c>
      <c r="G521" s="4">
        <v>20000</v>
      </c>
      <c r="H521" s="5">
        <f>[1]!РЕАЛИЗАЦИЯ[СОНИ]*[1]!РЕАЛИЗАЦИЯ[НАРХИ]</f>
        <v>1043700.0000000001</v>
      </c>
      <c r="I521" s="4"/>
      <c r="J521" s="6">
        <v>19000</v>
      </c>
      <c r="K521" s="4">
        <f>[1]!РЕАЛИЗАЦИЯ[[#This Row],[СОНИ]]*[1]!РЕАЛИЗАЦИЯ[[#This Row],[ТАННАРХ]]</f>
        <v>0</v>
      </c>
      <c r="L521" s="7">
        <f>[1]!РЕАЛИЗАЦИЯ[[#This Row],[ЖАМИ]]-[1]!РЕАЛИЗАЦИЯ[[#This Row],[ЖАМИ2]]</f>
        <v>1043700.0000000001</v>
      </c>
      <c r="O521" s="33">
        <v>46107</v>
      </c>
      <c r="P521" s="3" t="s">
        <v>195</v>
      </c>
      <c r="Q521" s="4">
        <v>2967400</v>
      </c>
      <c r="R521" s="4"/>
      <c r="S521" s="4"/>
      <c r="T521" s="5">
        <f>[1]!ПЛАТЕЖИ[[#This Row],[СЎМ]]+([1]!ПЛАТЕЖИ[[#This Row],[ВАЛЮТА]]*[1]!ПЛАТЕЖИ[[#This Row],[КУРС]])</f>
        <v>3398050</v>
      </c>
      <c r="U521" s="3"/>
      <c r="V521" s="3"/>
    </row>
    <row r="522" spans="2:22" x14ac:dyDescent="0.25">
      <c r="B522" s="8">
        <v>46103</v>
      </c>
      <c r="C522" s="9" t="s">
        <v>17</v>
      </c>
      <c r="D522" s="10" t="s">
        <v>1</v>
      </c>
      <c r="E522" s="10" t="s">
        <v>2</v>
      </c>
      <c r="F522" s="11">
        <v>60.8</v>
      </c>
      <c r="G522" s="11">
        <v>21000</v>
      </c>
      <c r="H522" s="12">
        <f>[1]!РЕАЛИЗАЦИЯ[СОНИ]*[1]!РЕАЛИЗАЦИЯ[НАРХИ]</f>
        <v>2976000</v>
      </c>
      <c r="I522" s="11"/>
      <c r="J522" s="13">
        <v>19000</v>
      </c>
      <c r="K522" s="11">
        <f>[1]!РЕАЛИЗАЦИЯ[[#This Row],[СОНИ]]*[1]!РЕАЛИЗАЦИЯ[[#This Row],[ТАННАРХ]]</f>
        <v>0</v>
      </c>
      <c r="L522" s="14">
        <f>[1]!РЕАЛИЗАЦИЯ[[#This Row],[ЖАМИ]]-[1]!РЕАЛИЗАЦИЯ[[#This Row],[ЖАМИ2]]</f>
        <v>2976000</v>
      </c>
      <c r="O522" s="34">
        <v>46107</v>
      </c>
      <c r="P522" s="10" t="s">
        <v>62</v>
      </c>
      <c r="Q522" s="11">
        <v>440000</v>
      </c>
      <c r="R522" s="11"/>
      <c r="S522" s="11"/>
      <c r="T522" s="12">
        <f>[1]!ПЛАТЕЖИ[[#This Row],[СЎМ]]+([1]!ПЛАТЕЖИ[[#This Row],[ВАЛЮТА]]*[1]!ПЛАТЕЖИ[[#This Row],[КУРС]])</f>
        <v>1113000</v>
      </c>
      <c r="U522" s="10"/>
      <c r="V522" s="10"/>
    </row>
    <row r="523" spans="2:22" x14ac:dyDescent="0.25">
      <c r="B523" s="1">
        <v>46103</v>
      </c>
      <c r="C523" s="2" t="s">
        <v>110</v>
      </c>
      <c r="D523" s="3" t="s">
        <v>1</v>
      </c>
      <c r="E523" s="3" t="s">
        <v>2</v>
      </c>
      <c r="F523" s="4">
        <v>94.1</v>
      </c>
      <c r="G523" s="4">
        <v>21000</v>
      </c>
      <c r="H523" s="5">
        <f>[1]!РЕАЛИЗАЦИЯ[СОНИ]*[1]!РЕАЛИЗАЦИЯ[НАРХИ]</f>
        <v>1064700</v>
      </c>
      <c r="I523" s="4"/>
      <c r="J523" s="6">
        <v>19000</v>
      </c>
      <c r="K523" s="4">
        <f>[1]!РЕАЛИЗАЦИЯ[[#This Row],[СОНИ]]*[1]!РЕАЛИЗАЦИЯ[[#This Row],[ТАННАРХ]]</f>
        <v>0</v>
      </c>
      <c r="L523" s="7">
        <f>[1]!РЕАЛИЗАЦИЯ[[#This Row],[ЖАМИ]]-[1]!РЕАЛИЗАЦИЯ[[#This Row],[ЖАМИ2]]</f>
        <v>1064700</v>
      </c>
      <c r="O523" s="33">
        <v>46107</v>
      </c>
      <c r="P523" s="3" t="s">
        <v>22</v>
      </c>
      <c r="Q523" s="4">
        <v>1157200</v>
      </c>
      <c r="R523" s="4"/>
      <c r="S523" s="4"/>
      <c r="T523" s="5">
        <f>[1]!ПЛАТЕЖИ[[#This Row],[СЎМ]]+([1]!ПЛАТЕЖИ[[#This Row],[ВАЛЮТА]]*[1]!ПЛАТЕЖИ[[#This Row],[КУРС]])</f>
        <v>500000</v>
      </c>
      <c r="U523" s="3"/>
      <c r="V523" s="3"/>
    </row>
    <row r="524" spans="2:22" x14ac:dyDescent="0.25">
      <c r="B524" s="8">
        <v>46104</v>
      </c>
      <c r="C524" s="9" t="s">
        <v>60</v>
      </c>
      <c r="D524" s="10" t="s">
        <v>1</v>
      </c>
      <c r="E524" s="10" t="s">
        <v>2</v>
      </c>
      <c r="F524" s="11">
        <v>1287.7</v>
      </c>
      <c r="G524" s="11">
        <v>20500</v>
      </c>
      <c r="H524" s="12">
        <f>[1]!РЕАЛИЗАЦИЯ[СОНИ]*[1]!РЕАЛИЗАЦИЯ[НАРХИ]</f>
        <v>830400</v>
      </c>
      <c r="I524" s="11"/>
      <c r="J524" s="13">
        <v>19000</v>
      </c>
      <c r="K524" s="11">
        <f>[1]!РЕАЛИЗАЦИЯ[[#This Row],[СОНИ]]*[1]!РЕАЛИЗАЦИЯ[[#This Row],[ТАННАРХ]]</f>
        <v>0</v>
      </c>
      <c r="L524" s="14">
        <f>[1]!РЕАЛИЗАЦИЯ[[#This Row],[ЖАМИ]]-[1]!РЕАЛИЗАЦИЯ[[#This Row],[ЖАМИ2]]</f>
        <v>830400</v>
      </c>
      <c r="O524" s="34">
        <v>46107</v>
      </c>
      <c r="P524" s="10" t="s">
        <v>126</v>
      </c>
      <c r="Q524" s="11">
        <v>8257000</v>
      </c>
      <c r="R524" s="11"/>
      <c r="S524" s="11"/>
      <c r="T524" s="12">
        <f>[1]!ПЛАТЕЖИ[[#This Row],[СЎМ]]+([1]!ПЛАТЕЖИ[[#This Row],[ВАЛЮТА]]*[1]!ПЛАТЕЖИ[[#This Row],[КУРС]])</f>
        <v>1047000</v>
      </c>
      <c r="U524" s="10"/>
      <c r="V524" s="10"/>
    </row>
    <row r="525" spans="2:22" x14ac:dyDescent="0.25">
      <c r="B525" s="1">
        <v>46104</v>
      </c>
      <c r="C525" s="2" t="s">
        <v>169</v>
      </c>
      <c r="D525" s="3" t="s">
        <v>10</v>
      </c>
      <c r="E525" s="3" t="s">
        <v>2</v>
      </c>
      <c r="F525" s="4">
        <v>52.1</v>
      </c>
      <c r="G525" s="4">
        <v>15000</v>
      </c>
      <c r="H525" s="5">
        <f>[1]!РЕАЛИЗАЦИЯ[СОНИ]*[1]!РЕАЛИЗАЦИЯ[НАРХИ]</f>
        <v>1908000</v>
      </c>
      <c r="I525" s="4"/>
      <c r="J525" s="6">
        <v>13000</v>
      </c>
      <c r="K525" s="4">
        <f>[1]!РЕАЛИЗАЦИЯ[[#This Row],[СОНИ]]*[1]!РЕАЛИЗАЦИЯ[[#This Row],[ТАННАРХ]]</f>
        <v>0</v>
      </c>
      <c r="L525" s="7">
        <f>[1]!РЕАЛИЗАЦИЯ[[#This Row],[ЖАМИ]]-[1]!РЕАЛИЗАЦИЯ[[#This Row],[ЖАМИ2]]</f>
        <v>1908000</v>
      </c>
      <c r="O525" s="33">
        <v>46107</v>
      </c>
      <c r="P525" s="3" t="s">
        <v>201</v>
      </c>
      <c r="Q525" s="4">
        <v>3152600</v>
      </c>
      <c r="R525" s="4"/>
      <c r="S525" s="4"/>
      <c r="T525" s="5">
        <f>[1]!ПЛАТЕЖИ[[#This Row],[СЎМ]]+([1]!ПЛАТЕЖИ[[#This Row],[ВАЛЮТА]]*[1]!ПЛАТЕЖИ[[#This Row],[КУРС]])</f>
        <v>989100</v>
      </c>
      <c r="U525" s="3"/>
      <c r="V525" s="3"/>
    </row>
    <row r="526" spans="2:22" x14ac:dyDescent="0.25">
      <c r="B526" s="8">
        <v>46105</v>
      </c>
      <c r="C526" s="9" t="s">
        <v>62</v>
      </c>
      <c r="D526" s="10" t="s">
        <v>1</v>
      </c>
      <c r="E526" s="10" t="s">
        <v>2</v>
      </c>
      <c r="F526" s="11">
        <v>47</v>
      </c>
      <c r="G526" s="11">
        <v>20000</v>
      </c>
      <c r="H526" s="12">
        <f>[1]!РЕАЛИЗАЦИЯ[СОНИ]*[1]!РЕАЛИЗАЦИЯ[НАРХИ]</f>
        <v>1894200.0000000002</v>
      </c>
      <c r="I526" s="11"/>
      <c r="J526" s="13">
        <v>19000</v>
      </c>
      <c r="K526" s="11">
        <f>[1]!РЕАЛИЗАЦИЯ[[#This Row],[СОНИ]]*[1]!РЕАЛИЗАЦИЯ[[#This Row],[ТАННАРХ]]</f>
        <v>0</v>
      </c>
      <c r="L526" s="14">
        <f>[1]!РЕАЛИЗАЦИЯ[[#This Row],[ЖАМИ]]-[1]!РЕАЛИЗАЦИЯ[[#This Row],[ЖАМИ2]]</f>
        <v>1894200.0000000002</v>
      </c>
      <c r="O526" s="34">
        <v>46108</v>
      </c>
      <c r="P526" s="10" t="s">
        <v>210</v>
      </c>
      <c r="Q526" s="11">
        <v>3090000</v>
      </c>
      <c r="R526" s="11">
        <v>500</v>
      </c>
      <c r="S526" s="11">
        <v>12100</v>
      </c>
      <c r="T526" s="12">
        <f>[1]!ПЛАТЕЖИ[[#This Row],[СЎМ]]+([1]!ПЛАТЕЖИ[[#This Row],[ВАЛЮТА]]*[1]!ПЛАТЕЖИ[[#This Row],[КУРС]])</f>
        <v>3193500</v>
      </c>
      <c r="U526" s="10"/>
      <c r="V526" s="10"/>
    </row>
    <row r="527" spans="2:22" x14ac:dyDescent="0.25">
      <c r="B527" s="1">
        <v>46105</v>
      </c>
      <c r="C527" s="2" t="s">
        <v>33</v>
      </c>
      <c r="D527" s="3" t="s">
        <v>10</v>
      </c>
      <c r="E527" s="3" t="s">
        <v>2</v>
      </c>
      <c r="F527" s="4">
        <v>499.4</v>
      </c>
      <c r="G527" s="4">
        <v>14500</v>
      </c>
      <c r="H527" s="5">
        <f>[1]!РЕАЛИЗАЦИЯ[СОНИ]*[1]!РЕАЛИЗАЦИЯ[НАРХИ]</f>
        <v>2337300</v>
      </c>
      <c r="I527" s="4"/>
      <c r="J527" s="6">
        <v>13000</v>
      </c>
      <c r="K527" s="4">
        <f>[1]!РЕАЛИЗАЦИЯ[[#This Row],[СОНИ]]*[1]!РЕАЛИЗАЦИЯ[[#This Row],[ТАННАРХ]]</f>
        <v>0</v>
      </c>
      <c r="L527" s="7">
        <f>[1]!РЕАЛИЗАЦИЯ[[#This Row],[ЖАМИ]]-[1]!РЕАЛИЗАЦИЯ[[#This Row],[ЖАМИ2]]</f>
        <v>2337300</v>
      </c>
      <c r="O527" s="33">
        <v>46108</v>
      </c>
      <c r="P527" s="3" t="s">
        <v>140</v>
      </c>
      <c r="Q527" s="4">
        <v>1818000</v>
      </c>
      <c r="R527" s="4"/>
      <c r="S527" s="4"/>
      <c r="T527" s="5">
        <f>[1]!ПЛАТЕЖИ[[#This Row],[СЎМ]]+([1]!ПЛАТЕЖИ[[#This Row],[ВАЛЮТА]]*[1]!ПЛАТЕЖИ[[#This Row],[КУРС]])</f>
        <v>3733800</v>
      </c>
      <c r="U527" s="3"/>
      <c r="V527" s="3"/>
    </row>
    <row r="528" spans="2:22" x14ac:dyDescent="0.25">
      <c r="B528" s="8">
        <v>46105</v>
      </c>
      <c r="C528" s="9" t="s">
        <v>33</v>
      </c>
      <c r="D528" s="10" t="s">
        <v>1</v>
      </c>
      <c r="E528" s="10" t="s">
        <v>2</v>
      </c>
      <c r="F528" s="11">
        <v>110.4</v>
      </c>
      <c r="G528" s="11">
        <v>20500</v>
      </c>
      <c r="H528" s="12">
        <f>[1]!РЕАЛИЗАЦИЯ[СОНИ]*[1]!РЕАЛИЗАЦИЯ[НАРХИ]</f>
        <v>819000</v>
      </c>
      <c r="I528" s="11"/>
      <c r="J528" s="13">
        <v>19000</v>
      </c>
      <c r="K528" s="11">
        <f>[1]!РЕАЛИЗАЦИЯ[[#This Row],[СОНИ]]*[1]!РЕАЛИЗАЦИЯ[[#This Row],[ТАННАРХ]]</f>
        <v>0</v>
      </c>
      <c r="L528" s="14">
        <f>[1]!РЕАЛИЗАЦИЯ[[#This Row],[ЖАМИ]]-[1]!РЕАЛИЗАЦИЯ[[#This Row],[ЖАМИ2]]</f>
        <v>819000</v>
      </c>
      <c r="O528" s="34">
        <v>46108</v>
      </c>
      <c r="P528" s="10" t="s">
        <v>208</v>
      </c>
      <c r="Q528" s="11">
        <v>811200</v>
      </c>
      <c r="R528" s="11"/>
      <c r="S528" s="11"/>
      <c r="T528" s="12">
        <f>[1]!ПЛАТЕЖИ[[#This Row],[СЎМ]]+([1]!ПЛАТЕЖИ[[#This Row],[ВАЛЮТА]]*[1]!ПЛАТЕЖИ[[#This Row],[КУРС]])</f>
        <v>3012400</v>
      </c>
      <c r="U528" s="10"/>
      <c r="V528" s="10"/>
    </row>
    <row r="529" spans="2:22" x14ac:dyDescent="0.25">
      <c r="B529" s="1">
        <v>46105</v>
      </c>
      <c r="C529" s="2" t="s">
        <v>65</v>
      </c>
      <c r="D529" s="3" t="s">
        <v>8</v>
      </c>
      <c r="E529" s="3" t="s">
        <v>2</v>
      </c>
      <c r="F529" s="4">
        <v>800.4</v>
      </c>
      <c r="G529" s="4">
        <v>22500</v>
      </c>
      <c r="H529" s="5">
        <f>[1]!РЕАЛИЗАЦИЯ[СОНИ]*[1]!РЕАЛИЗАЦИЯ[НАРХИ]</f>
        <v>1953000</v>
      </c>
      <c r="I529" s="4"/>
      <c r="J529" s="6">
        <v>20000</v>
      </c>
      <c r="K529" s="4">
        <f>[1]!РЕАЛИЗАЦИЯ[[#This Row],[СОНИ]]*[1]!РЕАЛИЗАЦИЯ[[#This Row],[ТАННАРХ]]</f>
        <v>0</v>
      </c>
      <c r="L529" s="7">
        <f>[1]!РЕАЛИЗАЦИЯ[[#This Row],[ЖАМИ]]-[1]!РЕАЛИЗАЦИЯ[[#This Row],[ЖАМИ2]]</f>
        <v>1953000</v>
      </c>
      <c r="O529" s="33">
        <v>46108</v>
      </c>
      <c r="P529" s="3" t="s">
        <v>209</v>
      </c>
      <c r="Q529" s="4">
        <v>1518100</v>
      </c>
      <c r="R529" s="4"/>
      <c r="S529" s="4"/>
      <c r="T529" s="5">
        <f>[1]!ПЛАТЕЖИ[[#This Row],[СЎМ]]+([1]!ПЛАТЕЖИ[[#This Row],[ВАЛЮТА]]*[1]!ПЛАТЕЖИ[[#This Row],[КУРС]])</f>
        <v>2100000</v>
      </c>
      <c r="U529" s="3"/>
      <c r="V529" s="3"/>
    </row>
    <row r="530" spans="2:22" x14ac:dyDescent="0.25">
      <c r="B530" s="8">
        <v>46105</v>
      </c>
      <c r="C530" s="9" t="s">
        <v>60</v>
      </c>
      <c r="D530" s="10" t="s">
        <v>1</v>
      </c>
      <c r="E530" s="10" t="s">
        <v>2</v>
      </c>
      <c r="F530" s="11">
        <v>203.2</v>
      </c>
      <c r="G530" s="11">
        <v>20500</v>
      </c>
      <c r="H530" s="12">
        <f>[1]!РЕАЛИЗАЦИЯ[СОНИ]*[1]!РЕАЛИЗАЦИЯ[НАРХИ]</f>
        <v>1224300</v>
      </c>
      <c r="I530" s="11"/>
      <c r="J530" s="13">
        <v>19000</v>
      </c>
      <c r="K530" s="11">
        <f>[1]!РЕАЛИЗАЦИЯ[[#This Row],[СОНИ]]*[1]!РЕАЛИЗАЦИЯ[[#This Row],[ТАННАРХ]]</f>
        <v>0</v>
      </c>
      <c r="L530" s="14">
        <f>[1]!РЕАЛИЗАЦИЯ[[#This Row],[ЖАМИ]]-[1]!РЕАЛИЗАЦИЯ[[#This Row],[ЖАМИ2]]</f>
        <v>1224300</v>
      </c>
      <c r="O530" s="34">
        <v>46108</v>
      </c>
      <c r="P530" s="10" t="s">
        <v>41</v>
      </c>
      <c r="Q530" s="11">
        <v>2840600</v>
      </c>
      <c r="R530" s="11"/>
      <c r="S530" s="11"/>
      <c r="T530" s="12">
        <f>[1]!ПЛАТЕЖИ[[#This Row],[СЎМ]]+([1]!ПЛАТЕЖИ[[#This Row],[ВАЛЮТА]]*[1]!ПЛАТЕЖИ[[#This Row],[КУРС]])</f>
        <v>6193000</v>
      </c>
      <c r="U530" s="10"/>
      <c r="V530" s="10"/>
    </row>
    <row r="531" spans="2:22" x14ac:dyDescent="0.25">
      <c r="B531" s="1">
        <v>46105</v>
      </c>
      <c r="C531" s="2" t="s">
        <v>45</v>
      </c>
      <c r="D531" s="3" t="s">
        <v>10</v>
      </c>
      <c r="E531" s="3" t="s">
        <v>2</v>
      </c>
      <c r="F531" s="4">
        <v>50.9</v>
      </c>
      <c r="G531" s="4">
        <v>16000</v>
      </c>
      <c r="H531" s="5">
        <f>[1]!РЕАЛИЗАЦИЯ[СОНИ]*[1]!РЕАЛИЗАЦИЯ[НАРХИ]</f>
        <v>2013900.0000000002</v>
      </c>
      <c r="I531" s="4"/>
      <c r="J531" s="6">
        <v>13000</v>
      </c>
      <c r="K531" s="4">
        <f>[1]!РЕАЛИЗАЦИЯ[[#This Row],[СОНИ]]*[1]!РЕАЛИЗАЦИЯ[[#This Row],[ТАННАРХ]]</f>
        <v>0</v>
      </c>
      <c r="L531" s="7">
        <f>[1]!РЕАЛИЗАЦИЯ[[#This Row],[ЖАМИ]]-[1]!РЕАЛИЗАЦИЯ[[#This Row],[ЖАМИ2]]</f>
        <v>2013900.0000000002</v>
      </c>
      <c r="O531" s="33">
        <v>46108</v>
      </c>
      <c r="P531" s="3" t="s">
        <v>33</v>
      </c>
      <c r="Q531" s="4">
        <v>30000000</v>
      </c>
      <c r="R531" s="4"/>
      <c r="S531" s="4"/>
      <c r="T531" s="5">
        <f>[1]!ПЛАТЕЖИ[[#This Row],[СЎМ]]+([1]!ПЛАТЕЖИ[[#This Row],[ВАЛЮТА]]*[1]!ПЛАТЕЖИ[[#This Row],[КУРС]])</f>
        <v>937000</v>
      </c>
      <c r="U531" s="3"/>
      <c r="V531" s="3" t="s">
        <v>279</v>
      </c>
    </row>
    <row r="532" spans="2:22" x14ac:dyDescent="0.25">
      <c r="B532" s="8">
        <v>46105</v>
      </c>
      <c r="C532" s="9" t="s">
        <v>104</v>
      </c>
      <c r="D532" s="10" t="s">
        <v>1</v>
      </c>
      <c r="E532" s="10" t="s">
        <v>2</v>
      </c>
      <c r="F532" s="11">
        <v>721.4</v>
      </c>
      <c r="G532" s="11">
        <v>21000</v>
      </c>
      <c r="H532" s="12">
        <f>[1]!РЕАЛИЗАЦИЯ[СОНИ]*[1]!РЕАЛИЗАЦИЯ[НАРХИ]</f>
        <v>1720000</v>
      </c>
      <c r="I532" s="11"/>
      <c r="J532" s="13">
        <v>19000</v>
      </c>
      <c r="K532" s="11">
        <f>[1]!РЕАЛИЗАЦИЯ[[#This Row],[СОНИ]]*[1]!РЕАЛИЗАЦИЯ[[#This Row],[ТАННАРХ]]</f>
        <v>0</v>
      </c>
      <c r="L532" s="14">
        <f>[1]!РЕАЛИЗАЦИЯ[[#This Row],[ЖАМИ]]-[1]!РЕАЛИЗАЦИЯ[[#This Row],[ЖАМИ2]]</f>
        <v>1720000</v>
      </c>
      <c r="O532" s="34">
        <v>46108</v>
      </c>
      <c r="P532" s="10" t="s">
        <v>44</v>
      </c>
      <c r="Q532" s="11">
        <v>3806500</v>
      </c>
      <c r="R532" s="11"/>
      <c r="S532" s="11"/>
      <c r="T532" s="12">
        <f>[1]!ПЛАТЕЖИ[[#This Row],[СЎМ]]+([1]!ПЛАТЕЖИ[[#This Row],[ВАЛЮТА]]*[1]!ПЛАТЕЖИ[[#This Row],[КУРС]])</f>
        <v>1088000</v>
      </c>
      <c r="U532" s="10"/>
      <c r="V532" s="10" t="s">
        <v>275</v>
      </c>
    </row>
    <row r="533" spans="2:22" x14ac:dyDescent="0.25">
      <c r="B533" s="1">
        <v>46106</v>
      </c>
      <c r="C533" s="2" t="s">
        <v>203</v>
      </c>
      <c r="D533" s="3" t="s">
        <v>1</v>
      </c>
      <c r="E533" s="3" t="s">
        <v>2</v>
      </c>
      <c r="F533" s="4">
        <v>93</v>
      </c>
      <c r="G533" s="4">
        <v>21000</v>
      </c>
      <c r="H533" s="5">
        <f>[1]!РЕАЛИЗАЦИЯ[СОНИ]*[1]!РЕАЛИЗАЦИЯ[НАРХИ]</f>
        <v>1980299.9999999998</v>
      </c>
      <c r="I533" s="4"/>
      <c r="J533" s="6">
        <v>19000</v>
      </c>
      <c r="K533" s="4">
        <f>[1]!РЕАЛИЗАЦИЯ[[#This Row],[СОНИ]]*[1]!РЕАЛИЗАЦИЯ[[#This Row],[ТАННАРХ]]</f>
        <v>0</v>
      </c>
      <c r="L533" s="7">
        <f>[1]!РЕАЛИЗАЦИЯ[[#This Row],[ЖАМИ]]-[1]!РЕАЛИЗАЦИЯ[[#This Row],[ЖАМИ2]]</f>
        <v>1980299.9999999998</v>
      </c>
      <c r="O533" s="33">
        <v>46108</v>
      </c>
      <c r="P533" s="3" t="s">
        <v>77</v>
      </c>
      <c r="Q533" s="4">
        <v>1110000</v>
      </c>
      <c r="R533" s="4"/>
      <c r="S533" s="4"/>
      <c r="T533" s="5">
        <f>[1]!ПЛАТЕЖИ[[#This Row],[СЎМ]]+([1]!ПЛАТЕЖИ[[#This Row],[ВАЛЮТА]]*[1]!ПЛАТЕЖИ[[#This Row],[КУРС]])</f>
        <v>2600000</v>
      </c>
      <c r="U533" s="3"/>
      <c r="V533" s="3" t="s">
        <v>279</v>
      </c>
    </row>
    <row r="534" spans="2:22" x14ac:dyDescent="0.25">
      <c r="B534" s="8">
        <v>46106</v>
      </c>
      <c r="C534" s="9" t="s">
        <v>107</v>
      </c>
      <c r="D534" s="10" t="s">
        <v>1</v>
      </c>
      <c r="E534" s="10" t="s">
        <v>2</v>
      </c>
      <c r="F534" s="11">
        <v>49.4</v>
      </c>
      <c r="G534" s="11">
        <v>21000</v>
      </c>
      <c r="H534" s="12">
        <f>[1]!РЕАЛИЗАЦИЯ[СОНИ]*[1]!РЕАЛИЗАЦИЯ[НАРХИ]</f>
        <v>734400</v>
      </c>
      <c r="I534" s="11"/>
      <c r="J534" s="13">
        <v>19000</v>
      </c>
      <c r="K534" s="11">
        <f>[1]!РЕАЛИЗАЦИЯ[[#This Row],[СОНИ]]*[1]!РЕАЛИЗАЦИЯ[[#This Row],[ТАННАРХ]]</f>
        <v>0</v>
      </c>
      <c r="L534" s="14">
        <f>[1]!РЕАЛИЗАЦИЯ[[#This Row],[ЖАМИ]]-[1]!РЕАЛИЗАЦИЯ[[#This Row],[ЖАМИ2]]</f>
        <v>734400</v>
      </c>
      <c r="O534" s="34">
        <v>46108</v>
      </c>
      <c r="P534" s="10" t="s">
        <v>202</v>
      </c>
      <c r="Q534" s="11">
        <v>8000000</v>
      </c>
      <c r="R534" s="11"/>
      <c r="S534" s="11"/>
      <c r="T534" s="12">
        <f>[1]!ПЛАТЕЖИ[[#This Row],[СЎМ]]+([1]!ПЛАТЕЖИ[[#This Row],[ВАЛЮТА]]*[1]!ПЛАТЕЖИ[[#This Row],[КУРС]])</f>
        <v>1056300</v>
      </c>
      <c r="U534" s="10"/>
      <c r="V534" s="10"/>
    </row>
    <row r="535" spans="2:22" x14ac:dyDescent="0.25">
      <c r="B535" s="1">
        <v>46106</v>
      </c>
      <c r="C535" s="2" t="s">
        <v>65</v>
      </c>
      <c r="D535" s="3" t="s">
        <v>25</v>
      </c>
      <c r="E535" s="3" t="s">
        <v>2</v>
      </c>
      <c r="F535" s="4">
        <v>546.4</v>
      </c>
      <c r="G535" s="4">
        <v>25000</v>
      </c>
      <c r="H535" s="5">
        <f>[1]!РЕАЛИЗАЦИЯ[СОНИ]*[1]!РЕАЛИЗАЦИЯ[НАРХИ]</f>
        <v>723472</v>
      </c>
      <c r="I535" s="4"/>
      <c r="J535" s="6">
        <v>23000</v>
      </c>
      <c r="K535" s="4">
        <f>[1]!РЕАЛИЗАЦИЯ[[#This Row],[СОНИ]]*[1]!РЕАЛИЗАЦИЯ[[#This Row],[ТАННАРХ]]</f>
        <v>0</v>
      </c>
      <c r="L535" s="7">
        <f>[1]!РЕАЛИЗАЦИЯ[[#This Row],[ЖАМИ]]-[1]!РЕАЛИЗАЦИЯ[[#This Row],[ЖАМИ2]]</f>
        <v>723472</v>
      </c>
      <c r="O535" s="33">
        <v>46108</v>
      </c>
      <c r="P535" s="3" t="s">
        <v>53</v>
      </c>
      <c r="Q535" s="4">
        <v>15000000</v>
      </c>
      <c r="R535" s="4"/>
      <c r="S535" s="4"/>
      <c r="T535" s="5">
        <f>[1]!ПЛАТЕЖИ[[#This Row],[СЎМ]]+([1]!ПЛАТЕЖИ[[#This Row],[ВАЛЮТА]]*[1]!ПЛАТЕЖИ[[#This Row],[КУРС]])</f>
        <v>1336000</v>
      </c>
      <c r="U535" s="3"/>
      <c r="V535" s="3" t="s">
        <v>279</v>
      </c>
    </row>
    <row r="536" spans="2:22" x14ac:dyDescent="0.25">
      <c r="B536" s="8">
        <v>46106</v>
      </c>
      <c r="C536" s="9" t="s">
        <v>129</v>
      </c>
      <c r="D536" s="10" t="s">
        <v>36</v>
      </c>
      <c r="E536" s="10" t="s">
        <v>2</v>
      </c>
      <c r="F536" s="11">
        <v>191.2</v>
      </c>
      <c r="G536" s="11">
        <v>17500</v>
      </c>
      <c r="H536" s="12">
        <f>[1]!РЕАЛИЗАЦИЯ[СОНИ]*[1]!РЕАЛИЗАЦИЯ[НАРХИ]</f>
        <v>999306.00000000012</v>
      </c>
      <c r="I536" s="11"/>
      <c r="J536" s="13">
        <v>16000</v>
      </c>
      <c r="K536" s="11">
        <f>[1]!РЕАЛИЗАЦИЯ[[#This Row],[СОНИ]]*[1]!РЕАЛИЗАЦИЯ[[#This Row],[ТАННАРХ]]</f>
        <v>0</v>
      </c>
      <c r="L536" s="14">
        <f>[1]!РЕАЛИЗАЦИЯ[[#This Row],[ЖАМИ]]-[1]!РЕАЛИЗАЦИЯ[[#This Row],[ЖАМИ2]]</f>
        <v>999306.00000000012</v>
      </c>
      <c r="O536" s="34">
        <v>46109</v>
      </c>
      <c r="P536" s="10" t="s">
        <v>187</v>
      </c>
      <c r="Q536" s="11">
        <v>4656800</v>
      </c>
      <c r="R536" s="11"/>
      <c r="S536" s="11"/>
      <c r="T536" s="12">
        <f>[1]!ПЛАТЕЖИ[[#This Row],[СЎМ]]+([1]!ПЛАТЕЖИ[[#This Row],[ВАЛЮТА]]*[1]!ПЛАТЕЖИ[[#This Row],[КУРС]])</f>
        <v>2000000</v>
      </c>
      <c r="U536" s="10"/>
      <c r="V536" s="10"/>
    </row>
    <row r="537" spans="2:22" x14ac:dyDescent="0.25">
      <c r="B537" s="1">
        <v>46106</v>
      </c>
      <c r="C537" s="2" t="s">
        <v>201</v>
      </c>
      <c r="D537" s="3" t="s">
        <v>8</v>
      </c>
      <c r="E537" s="3" t="s">
        <v>2</v>
      </c>
      <c r="F537" s="4">
        <v>102.8</v>
      </c>
      <c r="G537" s="4">
        <v>22000</v>
      </c>
      <c r="H537" s="5">
        <f>[1]!РЕАЛИЗАЦИЯ[СОНИ]*[1]!РЕАЛИЗАЦИЯ[НАРХИ]</f>
        <v>2135700</v>
      </c>
      <c r="I537" s="4"/>
      <c r="J537" s="6">
        <v>20000</v>
      </c>
      <c r="K537" s="4">
        <f>[1]!РЕАЛИЗАЦИЯ[[#This Row],[СОНИ]]*[1]!РЕАЛИЗАЦИЯ[[#This Row],[ТАННАРХ]]</f>
        <v>0</v>
      </c>
      <c r="L537" s="7">
        <f>[1]!РЕАЛИЗАЦИЯ[[#This Row],[ЖАМИ]]-[1]!РЕАЛИЗАЦИЯ[[#This Row],[ЖАМИ2]]</f>
        <v>2135700</v>
      </c>
      <c r="O537" s="33">
        <v>46109</v>
      </c>
      <c r="P537" s="3" t="s">
        <v>28</v>
      </c>
      <c r="Q537" s="4">
        <v>500000</v>
      </c>
      <c r="R537" s="4"/>
      <c r="S537" s="4"/>
      <c r="T537" s="5">
        <f>[1]!ПЛАТЕЖИ[[#This Row],[СЎМ]]+([1]!ПЛАТЕЖИ[[#This Row],[ВАЛЮТА]]*[1]!ПЛАТЕЖИ[[#This Row],[КУРС]])</f>
        <v>1908500</v>
      </c>
      <c r="U537" s="3"/>
      <c r="V537" s="3"/>
    </row>
    <row r="538" spans="2:22" x14ac:dyDescent="0.25">
      <c r="B538" s="8">
        <v>46106</v>
      </c>
      <c r="C538" s="9" t="s">
        <v>57</v>
      </c>
      <c r="D538" s="10" t="s">
        <v>1</v>
      </c>
      <c r="E538" s="10" t="s">
        <v>2</v>
      </c>
      <c r="F538" s="11">
        <v>42.6</v>
      </c>
      <c r="G538" s="11">
        <v>20500</v>
      </c>
      <c r="H538" s="12">
        <f>[1]!РЕАЛИЗАЦИЯ[СОНИ]*[1]!РЕАЛИЗАЦИЯ[НАРХИ]</f>
        <v>6113250</v>
      </c>
      <c r="I538" s="11"/>
      <c r="J538" s="13">
        <v>19000</v>
      </c>
      <c r="K538" s="11">
        <f>[1]!РЕАЛИЗАЦИЯ[[#This Row],[СОНИ]]*[1]!РЕАЛИЗАЦИЯ[[#This Row],[ТАННАРХ]]</f>
        <v>0</v>
      </c>
      <c r="L538" s="14">
        <f>[1]!РЕАЛИЗАЦИЯ[[#This Row],[ЖАМИ]]-[1]!РЕАЛИЗАЦИЯ[[#This Row],[ЖАМИ2]]</f>
        <v>6113250</v>
      </c>
      <c r="O538" s="34">
        <v>46109</v>
      </c>
      <c r="P538" s="10" t="s">
        <v>154</v>
      </c>
      <c r="Q538" s="11">
        <v>1512000</v>
      </c>
      <c r="R538" s="11"/>
      <c r="S538" s="11"/>
      <c r="T538" s="12">
        <f>[1]!ПЛАТЕЖИ[[#This Row],[СЎМ]]+([1]!ПЛАТЕЖИ[[#This Row],[ВАЛЮТА]]*[1]!ПЛАТЕЖИ[[#This Row],[КУРС]])</f>
        <v>16360000</v>
      </c>
      <c r="U538" s="10"/>
      <c r="V538" s="10"/>
    </row>
    <row r="539" spans="2:22" x14ac:dyDescent="0.25">
      <c r="B539" s="1">
        <v>46106</v>
      </c>
      <c r="C539" s="2" t="s">
        <v>204</v>
      </c>
      <c r="D539" s="3" t="s">
        <v>1</v>
      </c>
      <c r="E539" s="3" t="s">
        <v>2</v>
      </c>
      <c r="F539" s="4">
        <v>91.3</v>
      </c>
      <c r="G539" s="4">
        <v>21000</v>
      </c>
      <c r="H539" s="5">
        <f>[1]!РЕАЛИЗАЦИЯ[СОНИ]*[1]!РЕАЛИЗАЦИЯ[НАРХИ]</f>
        <v>5371800</v>
      </c>
      <c r="I539" s="4"/>
      <c r="J539" s="6">
        <v>19000</v>
      </c>
      <c r="K539" s="4">
        <f>[1]!РЕАЛИЗАЦИЯ[[#This Row],[СОНИ]]*[1]!РЕАЛИЗАЦИЯ[[#This Row],[ТАННАРХ]]</f>
        <v>0</v>
      </c>
      <c r="L539" s="7">
        <f>[1]!РЕАЛИЗАЦИЯ[[#This Row],[ЖАМИ]]-[1]!РЕАЛИЗАЦИЯ[[#This Row],[ЖАМИ2]]</f>
        <v>5371800</v>
      </c>
      <c r="O539" s="33">
        <v>46109</v>
      </c>
      <c r="P539" s="3" t="s">
        <v>70</v>
      </c>
      <c r="Q539" s="4">
        <v>200000</v>
      </c>
      <c r="R539" s="4"/>
      <c r="S539" s="4"/>
      <c r="T539" s="5">
        <f>[1]!ПЛАТЕЖИ[[#This Row],[СЎМ]]+([1]!ПЛАТЕЖИ[[#This Row],[ВАЛЮТА]]*[1]!ПЛАТЕЖИ[[#This Row],[КУРС]])</f>
        <v>2079050</v>
      </c>
      <c r="U539" s="3"/>
      <c r="V539" s="3" t="s">
        <v>275</v>
      </c>
    </row>
    <row r="540" spans="2:22" x14ac:dyDescent="0.25">
      <c r="B540" s="8">
        <v>46106</v>
      </c>
      <c r="C540" s="9" t="s">
        <v>205</v>
      </c>
      <c r="D540" s="10" t="s">
        <v>1</v>
      </c>
      <c r="E540" s="10" t="s">
        <v>2</v>
      </c>
      <c r="F540" s="11">
        <v>48.7</v>
      </c>
      <c r="G540" s="11">
        <v>21000</v>
      </c>
      <c r="H540" s="12">
        <f>[1]!РЕАЛИЗАЦИЯ[СОНИ]*[1]!РЕАЛИЗАЦИЯ[НАРХИ]</f>
        <v>1833600</v>
      </c>
      <c r="I540" s="11"/>
      <c r="J540" s="13">
        <v>19000</v>
      </c>
      <c r="K540" s="11">
        <f>[1]!РЕАЛИЗАЦИЯ[[#This Row],[СОНИ]]*[1]!РЕАЛИЗАЦИЯ[[#This Row],[ТАННАРХ]]</f>
        <v>0</v>
      </c>
      <c r="L540" s="14">
        <f>[1]!РЕАЛИЗАЦИЯ[[#This Row],[ЖАМИ]]-[1]!РЕАЛИЗАЦИЯ[[#This Row],[ЖАМИ2]]</f>
        <v>1833600</v>
      </c>
      <c r="O540" s="34">
        <v>46109</v>
      </c>
      <c r="P540" s="10" t="s">
        <v>278</v>
      </c>
      <c r="Q540" s="11">
        <v>1000000</v>
      </c>
      <c r="R540" s="11"/>
      <c r="S540" s="11"/>
      <c r="T540" s="12">
        <f>[1]!ПЛАТЕЖИ[[#This Row],[СЎМ]]+([1]!ПЛАТЕЖИ[[#This Row],[ВАЛЮТА]]*[1]!ПЛАТЕЖИ[[#This Row],[КУРС]])</f>
        <v>1781000</v>
      </c>
      <c r="U540" s="10"/>
      <c r="V540" s="10" t="s">
        <v>275</v>
      </c>
    </row>
    <row r="541" spans="2:22" x14ac:dyDescent="0.25">
      <c r="B541" s="1">
        <v>46106</v>
      </c>
      <c r="C541" s="2" t="s">
        <v>26</v>
      </c>
      <c r="D541" s="3" t="s">
        <v>10</v>
      </c>
      <c r="E541" s="3" t="s">
        <v>2</v>
      </c>
      <c r="F541" s="4">
        <v>104.3</v>
      </c>
      <c r="G541" s="4">
        <v>14000</v>
      </c>
      <c r="H541" s="5">
        <f>[1]!РЕАЛИЗАЦИЯ[СОНИ]*[1]!РЕАЛИЗАЦИЯ[НАРХИ]</f>
        <v>806400</v>
      </c>
      <c r="I541" s="4"/>
      <c r="J541" s="6">
        <v>13000</v>
      </c>
      <c r="K541" s="4">
        <f>[1]!РЕАЛИЗАЦИЯ[[#This Row],[СОНИ]]*[1]!РЕАЛИЗАЦИЯ[[#This Row],[ТАННАРХ]]</f>
        <v>0</v>
      </c>
      <c r="L541" s="7">
        <f>[1]!РЕАЛИЗАЦИЯ[[#This Row],[ЖАМИ]]-[1]!РЕАЛИЗАЦИЯ[[#This Row],[ЖАМИ2]]</f>
        <v>806400</v>
      </c>
      <c r="O541" s="33">
        <v>46109</v>
      </c>
      <c r="P541" s="3" t="s">
        <v>65</v>
      </c>
      <c r="Q541" s="4">
        <v>15000000</v>
      </c>
      <c r="R541" s="4"/>
      <c r="S541" s="4"/>
      <c r="T541" s="5">
        <f>[1]!ПЛАТЕЖИ[[#This Row],[СЎМ]]+([1]!ПЛАТЕЖИ[[#This Row],[ВАЛЮТА]]*[1]!ПЛАТЕЖИ[[#This Row],[КУРС]])</f>
        <v>1620000</v>
      </c>
      <c r="U541" s="3"/>
      <c r="V541" s="3" t="s">
        <v>279</v>
      </c>
    </row>
    <row r="542" spans="2:22" x14ac:dyDescent="0.25">
      <c r="B542" s="8">
        <v>46106</v>
      </c>
      <c r="C542" s="9" t="s">
        <v>26</v>
      </c>
      <c r="D542" s="10" t="s">
        <v>1</v>
      </c>
      <c r="E542" s="10" t="s">
        <v>2</v>
      </c>
      <c r="F542" s="11">
        <v>51</v>
      </c>
      <c r="G542" s="11">
        <v>19500</v>
      </c>
      <c r="H542" s="12">
        <f>[1]!РЕАЛИЗАЦИЯ[СОНИ]*[1]!РЕАЛИЗАЦИЯ[НАРХИ]</f>
        <v>1068900</v>
      </c>
      <c r="I542" s="11"/>
      <c r="J542" s="13">
        <v>19000</v>
      </c>
      <c r="K542" s="11">
        <f>[1]!РЕАЛИЗАЦИЯ[[#This Row],[СОНИ]]*[1]!РЕАЛИЗАЦИЯ[[#This Row],[ТАННАРХ]]</f>
        <v>0</v>
      </c>
      <c r="L542" s="14">
        <f>[1]!РЕАЛИЗАЦИЯ[[#This Row],[ЖАМИ]]-[1]!РЕАЛИЗАЦИЯ[[#This Row],[ЖАМИ2]]</f>
        <v>1068900</v>
      </c>
      <c r="O542" s="34">
        <v>46109</v>
      </c>
      <c r="P542" s="10" t="s">
        <v>34</v>
      </c>
      <c r="Q542" s="11">
        <v>8088688</v>
      </c>
      <c r="R542" s="11"/>
      <c r="S542" s="11"/>
      <c r="T542" s="12">
        <f>[1]!ПЛАТЕЖИ[[#This Row],[СЎМ]]+([1]!ПЛАТЕЖИ[[#This Row],[ВАЛЮТА]]*[1]!ПЛАТЕЖИ[[#This Row],[КУРС]])</f>
        <v>1350000</v>
      </c>
      <c r="U542" s="10"/>
      <c r="V542" s="10" t="s">
        <v>279</v>
      </c>
    </row>
    <row r="543" spans="2:22" x14ac:dyDescent="0.25">
      <c r="B543" s="1">
        <v>46106</v>
      </c>
      <c r="C543" s="2" t="s">
        <v>12</v>
      </c>
      <c r="D543" s="3" t="s">
        <v>16</v>
      </c>
      <c r="E543" s="3" t="s">
        <v>2</v>
      </c>
      <c r="F543" s="4">
        <v>2089.1</v>
      </c>
      <c r="G543" s="4">
        <v>24000</v>
      </c>
      <c r="H543" s="5">
        <f>[1]!РЕАЛИЗАЦИЯ[СОНИ]*[1]!РЕАЛИЗАЦИЯ[НАРХИ]</f>
        <v>747200</v>
      </c>
      <c r="I543" s="4">
        <v>6</v>
      </c>
      <c r="J543" s="6">
        <v>20000</v>
      </c>
      <c r="K543" s="4">
        <f>[1]!РЕАЛИЗАЦИЯ[[#This Row],[СОНИ]]*[1]!РЕАЛИЗАЦИЯ[[#This Row],[ТАННАРХ]]</f>
        <v>0</v>
      </c>
      <c r="L543" s="7">
        <f>[1]!РЕАЛИЗАЦИЯ[[#This Row],[ЖАМИ]]-[1]!РЕАЛИЗАЦИЯ[[#This Row],[ЖАМИ2]]</f>
        <v>747200</v>
      </c>
      <c r="O543" s="33">
        <v>46109</v>
      </c>
      <c r="P543" s="3" t="s">
        <v>102</v>
      </c>
      <c r="Q543" s="4">
        <v>993800</v>
      </c>
      <c r="R543" s="4"/>
      <c r="S543" s="4"/>
      <c r="T543" s="5">
        <f>[1]!ПЛАТЕЖИ[[#This Row],[СЎМ]]+([1]!ПЛАТЕЖИ[[#This Row],[ВАЛЮТА]]*[1]!ПЛАТЕЖИ[[#This Row],[КУРС]])</f>
        <v>4770000</v>
      </c>
      <c r="U543" s="3"/>
      <c r="V543" s="3" t="s">
        <v>287</v>
      </c>
    </row>
    <row r="544" spans="2:22" x14ac:dyDescent="0.25">
      <c r="B544" s="8">
        <v>46106</v>
      </c>
      <c r="C544" s="9" t="s">
        <v>89</v>
      </c>
      <c r="D544" s="10" t="s">
        <v>10</v>
      </c>
      <c r="E544" s="10" t="s">
        <v>2</v>
      </c>
      <c r="F544" s="11">
        <v>2260</v>
      </c>
      <c r="G544" s="11">
        <v>13000</v>
      </c>
      <c r="H544" s="12">
        <f>[1]!РЕАЛИЗАЦИЯ[СОНИ]*[1]!РЕАЛИЗАЦИЯ[НАРХИ]</f>
        <v>861000</v>
      </c>
      <c r="I544" s="11"/>
      <c r="J544" s="13">
        <v>13000</v>
      </c>
      <c r="K544" s="11">
        <f>[1]!РЕАЛИЗАЦИЯ[[#This Row],[СОНИ]]*[1]!РЕАЛИЗАЦИЯ[[#This Row],[ТАННАРХ]]</f>
        <v>0</v>
      </c>
      <c r="L544" s="14">
        <f>[1]!РЕАЛИЗАЦИЯ[[#This Row],[ЖАМИ]]-[1]!РЕАЛИЗАЦИЯ[[#This Row],[ЖАМИ2]]</f>
        <v>861000</v>
      </c>
      <c r="O544" s="34">
        <v>46109</v>
      </c>
      <c r="P544" s="10" t="s">
        <v>48</v>
      </c>
      <c r="Q544" s="11">
        <v>8500000</v>
      </c>
      <c r="R544" s="11"/>
      <c r="S544" s="11"/>
      <c r="T544" s="12">
        <f>[1]!ПЛАТЕЖИ[[#This Row],[СЎМ]]+([1]!ПЛАТЕЖИ[[#This Row],[ВАЛЮТА]]*[1]!ПЛАТЕЖИ[[#This Row],[КУРС]])</f>
        <v>1630200</v>
      </c>
      <c r="U544" s="10"/>
      <c r="V544" s="10"/>
    </row>
    <row r="545" spans="2:22" x14ac:dyDescent="0.25">
      <c r="B545" s="1">
        <v>46106</v>
      </c>
      <c r="C545" s="2" t="s">
        <v>71</v>
      </c>
      <c r="D545" s="3" t="s">
        <v>1</v>
      </c>
      <c r="E545" s="3" t="s">
        <v>2</v>
      </c>
      <c r="F545" s="4">
        <v>145.30000000000001</v>
      </c>
      <c r="G545" s="4">
        <v>21000</v>
      </c>
      <c r="H545" s="5">
        <f>[1]!РЕАЛИЗАЦИЯ[СОНИ]*[1]!РЕАЛИЗАЦИЯ[НАРХИ]</f>
        <v>970000</v>
      </c>
      <c r="I545" s="4"/>
      <c r="J545" s="6">
        <v>19000</v>
      </c>
      <c r="K545" s="4">
        <f>[1]!РЕАЛИЗАЦИЯ[[#This Row],[СОНИ]]*[1]!РЕАЛИЗАЦИЯ[[#This Row],[ТАННАРХ]]</f>
        <v>0</v>
      </c>
      <c r="L545" s="7">
        <f>[1]!РЕАЛИЗАЦИЯ[[#This Row],[ЖАМИ]]-[1]!РЕАЛИЗАЦИЯ[[#This Row],[ЖАМИ2]]</f>
        <v>970000</v>
      </c>
      <c r="O545" s="33">
        <v>46110</v>
      </c>
      <c r="P545" s="3" t="s">
        <v>213</v>
      </c>
      <c r="Q545" s="4">
        <v>982800</v>
      </c>
      <c r="R545" s="4"/>
      <c r="S545" s="4"/>
      <c r="T545" s="5">
        <f>[1]!ПЛАТЕЖИ[[#This Row],[СЎМ]]+([1]!ПЛАТЕЖИ[[#This Row],[ВАЛЮТА]]*[1]!ПЛАТЕЖИ[[#This Row],[КУРС]])</f>
        <v>987700</v>
      </c>
      <c r="U545" s="3"/>
      <c r="V545" s="3"/>
    </row>
    <row r="546" spans="2:22" x14ac:dyDescent="0.25">
      <c r="B546" s="8">
        <v>46106</v>
      </c>
      <c r="C546" s="9" t="s">
        <v>202</v>
      </c>
      <c r="D546" s="10" t="s">
        <v>16</v>
      </c>
      <c r="E546" s="10" t="s">
        <v>2</v>
      </c>
      <c r="F546" s="11">
        <v>513</v>
      </c>
      <c r="G546" s="11">
        <v>20000</v>
      </c>
      <c r="H546" s="12">
        <f>[1]!РЕАЛИЗАЦИЯ[СОНИ]*[1]!РЕАЛИЗАЦИЯ[НАРХИ]</f>
        <v>730500</v>
      </c>
      <c r="I546" s="11"/>
      <c r="J546" s="13">
        <v>20000</v>
      </c>
      <c r="K546" s="11">
        <f>[1]!РЕАЛИЗАЦИЯ[[#This Row],[СОНИ]]*[1]!РЕАЛИЗАЦИЯ[[#This Row],[ТАННАРХ]]</f>
        <v>0</v>
      </c>
      <c r="L546" s="14">
        <f>[1]!РЕАЛИЗАЦИЯ[[#This Row],[ЖАМИ]]-[1]!РЕАЛИЗАЦИЯ[[#This Row],[ЖАМИ2]]</f>
        <v>730500</v>
      </c>
      <c r="O546" s="34">
        <v>46110</v>
      </c>
      <c r="P546" s="10" t="s">
        <v>214</v>
      </c>
      <c r="Q546" s="11">
        <v>972000</v>
      </c>
      <c r="R546" s="11"/>
      <c r="S546" s="11"/>
      <c r="T546" s="12">
        <f>[1]!ПЛАТЕЖИ[[#This Row],[СЎМ]]+([1]!ПЛАТЕЖИ[[#This Row],[ВАЛЮТА]]*[1]!ПЛАТЕЖИ[[#This Row],[КУРС]])</f>
        <v>2743100</v>
      </c>
      <c r="U546" s="10"/>
      <c r="V546" s="10"/>
    </row>
    <row r="547" spans="2:22" x14ac:dyDescent="0.25">
      <c r="B547" s="1">
        <v>46106</v>
      </c>
      <c r="C547" s="2" t="s">
        <v>202</v>
      </c>
      <c r="D547" s="3" t="s">
        <v>1</v>
      </c>
      <c r="E547" s="3" t="s">
        <v>2</v>
      </c>
      <c r="F547" s="4">
        <v>912.6</v>
      </c>
      <c r="G547" s="4">
        <v>19000</v>
      </c>
      <c r="H547" s="5">
        <f>[1]!РЕАЛИЗАЦИЯ[СОНИ]*[1]!РЕАЛИЗАЦИЯ[НАРХИ]</f>
        <v>-723472</v>
      </c>
      <c r="I547" s="4"/>
      <c r="J547" s="6">
        <v>19000</v>
      </c>
      <c r="K547" s="4">
        <f>[1]!РЕАЛИЗАЦИЯ[[#This Row],[СОНИ]]*[1]!РЕАЛИЗАЦИЯ[[#This Row],[ТАННАРХ]]</f>
        <v>0</v>
      </c>
      <c r="L547" s="7">
        <f>[1]!РЕАЛИЗАЦИЯ[[#This Row],[ЖАМИ]]-[1]!РЕАЛИЗАЦИЯ[[#This Row],[ЖАМИ2]]</f>
        <v>-723472</v>
      </c>
      <c r="O547" s="33">
        <v>46110</v>
      </c>
      <c r="P547" s="3" t="s">
        <v>68</v>
      </c>
      <c r="Q547" s="4">
        <v>20000000</v>
      </c>
      <c r="R547" s="4"/>
      <c r="S547" s="4"/>
      <c r="T547" s="5">
        <f>[1]!ПЛАТЕЖИ[[#This Row],[СЎМ]]+([1]!ПЛАТЕЖИ[[#This Row],[ВАЛЮТА]]*[1]!ПЛАТЕЖИ[[#This Row],[КУРС]])</f>
        <v>3500000</v>
      </c>
      <c r="U547" s="3"/>
      <c r="V547" s="3" t="s">
        <v>279</v>
      </c>
    </row>
    <row r="548" spans="2:22" x14ac:dyDescent="0.25">
      <c r="B548" s="8">
        <v>46107</v>
      </c>
      <c r="C548" s="9" t="s">
        <v>206</v>
      </c>
      <c r="D548" s="10" t="s">
        <v>1</v>
      </c>
      <c r="E548" s="10" t="s">
        <v>2</v>
      </c>
      <c r="F548" s="11">
        <v>155.69999999999999</v>
      </c>
      <c r="G548" s="11">
        <v>21000</v>
      </c>
      <c r="H548" s="12">
        <f>[1]!РЕАЛИЗАЦИЯ[СОНИ]*[1]!РЕАЛИЗАЦИЯ[НАРХИ]</f>
        <v>-1953000</v>
      </c>
      <c r="I548" s="11"/>
      <c r="J548" s="13">
        <v>19000</v>
      </c>
      <c r="K548" s="11">
        <f>[1]!РЕАЛИЗАЦИЯ[[#This Row],[СОНИ]]*[1]!РЕАЛИЗАЦИЯ[[#This Row],[ТАННАРХ]]</f>
        <v>0</v>
      </c>
      <c r="L548" s="14">
        <f>[1]!РЕАЛИЗАЦИЯ[[#This Row],[ЖАМИ]]-[1]!РЕАЛИЗАЦИЯ[[#This Row],[ЖАМИ2]]</f>
        <v>-1953000</v>
      </c>
      <c r="O548" s="34">
        <v>46110</v>
      </c>
      <c r="P548" s="10" t="s">
        <v>70</v>
      </c>
      <c r="Q548" s="11">
        <v>100000</v>
      </c>
      <c r="R548" s="11"/>
      <c r="S548" s="11"/>
      <c r="T548" s="12">
        <f>[1]!ПЛАТЕЖИ[[#This Row],[СЎМ]]+([1]!ПЛАТЕЖИ[[#This Row],[ВАЛЮТА]]*[1]!ПЛАТЕЖИ[[#This Row],[КУРС]])</f>
        <v>1535000</v>
      </c>
      <c r="U548" s="10"/>
      <c r="V548" s="10" t="s">
        <v>275</v>
      </c>
    </row>
    <row r="549" spans="2:22" x14ac:dyDescent="0.25">
      <c r="B549" s="1">
        <v>46107</v>
      </c>
      <c r="C549" s="2" t="s">
        <v>207</v>
      </c>
      <c r="D549" s="3" t="s">
        <v>10</v>
      </c>
      <c r="E549" s="3" t="s">
        <v>2</v>
      </c>
      <c r="F549" s="4">
        <v>51.1</v>
      </c>
      <c r="G549" s="4">
        <v>15000</v>
      </c>
      <c r="H549" s="5">
        <f>[1]!РЕАЛИЗАЦИЯ[СОНИ]*[1]!РЕАЛИЗАЦИЯ[НАРХИ]</f>
        <v>978000</v>
      </c>
      <c r="I549" s="4"/>
      <c r="J549" s="6">
        <v>13000</v>
      </c>
      <c r="K549" s="4">
        <f>[1]!РЕАЛИЗАЦИЯ[[#This Row],[СОНИ]]*[1]!РЕАЛИЗАЦИЯ[[#This Row],[ТАННАРХ]]</f>
        <v>0</v>
      </c>
      <c r="L549" s="7">
        <f>[1]!РЕАЛИЗАЦИЯ[[#This Row],[ЖАМИ]]-[1]!РЕАЛИЗАЦИЯ[[#This Row],[ЖАМИ2]]</f>
        <v>978000</v>
      </c>
      <c r="O549" s="33">
        <v>46110</v>
      </c>
      <c r="P549" s="3" t="s">
        <v>174</v>
      </c>
      <c r="Q549" s="4">
        <v>1500000</v>
      </c>
      <c r="R549" s="4"/>
      <c r="S549" s="4"/>
      <c r="T549" s="5">
        <f>[1]!ПЛАТЕЖИ[[#This Row],[СЎМ]]+([1]!ПЛАТЕЖИ[[#This Row],[ВАЛЮТА]]*[1]!ПЛАТЕЖИ[[#This Row],[КУРС]])</f>
        <v>4084500</v>
      </c>
      <c r="U549" s="3"/>
      <c r="V549" s="3"/>
    </row>
    <row r="550" spans="2:22" x14ac:dyDescent="0.25">
      <c r="B550" s="8">
        <v>46107</v>
      </c>
      <c r="C550" s="9" t="s">
        <v>207</v>
      </c>
      <c r="D550" s="10" t="s">
        <v>1</v>
      </c>
      <c r="E550" s="10" t="s">
        <v>2</v>
      </c>
      <c r="F550" s="11">
        <v>56.3</v>
      </c>
      <c r="G550" s="11">
        <v>21000</v>
      </c>
      <c r="H550" s="12">
        <f>[1]!РЕАЛИЗАЦИЯ[СОНИ]*[1]!РЕАЛИЗАЦИЯ[НАРХИ]</f>
        <v>1590000</v>
      </c>
      <c r="I550" s="11"/>
      <c r="J550" s="13">
        <v>19000</v>
      </c>
      <c r="K550" s="11">
        <f>[1]!РЕАЛИЗАЦИЯ[[#This Row],[СОНИ]]*[1]!РЕАЛИЗАЦИЯ[[#This Row],[ТАННАРХ]]</f>
        <v>0</v>
      </c>
      <c r="L550" s="14">
        <f>[1]!РЕАЛИЗАЦИЯ[[#This Row],[ЖАМИ]]-[1]!РЕАЛИЗАЦИЯ[[#This Row],[ЖАМИ2]]</f>
        <v>1590000</v>
      </c>
      <c r="O550" s="34">
        <v>46110</v>
      </c>
      <c r="P550" s="10" t="s">
        <v>194</v>
      </c>
      <c r="Q550" s="11">
        <v>787500</v>
      </c>
      <c r="R550" s="11"/>
      <c r="S550" s="11"/>
      <c r="T550" s="12">
        <f>[1]!ПЛАТЕЖИ[[#This Row],[СЎМ]]+([1]!ПЛАТЕЖИ[[#This Row],[ВАЛЮТА]]*[1]!ПЛАТЕЖИ[[#This Row],[КУРС]])</f>
        <v>2578736</v>
      </c>
      <c r="U550" s="10"/>
      <c r="V550" s="10"/>
    </row>
    <row r="551" spans="2:22" x14ac:dyDescent="0.25">
      <c r="B551" s="1">
        <v>46107</v>
      </c>
      <c r="C551" s="2" t="s">
        <v>207</v>
      </c>
      <c r="D551" s="3" t="s">
        <v>1</v>
      </c>
      <c r="E551" s="3" t="s">
        <v>2</v>
      </c>
      <c r="F551" s="4">
        <v>-56.3</v>
      </c>
      <c r="G551" s="4">
        <v>21000</v>
      </c>
      <c r="H551" s="5">
        <f>[1]!РЕАЛИЗАЦИЯ[СОНИ]*[1]!РЕАЛИЗАЦИЯ[НАРХИ]</f>
        <v>1113000</v>
      </c>
      <c r="I551" s="4"/>
      <c r="J551" s="6">
        <v>19000</v>
      </c>
      <c r="K551" s="4">
        <f>[1]!РЕАЛИЗАЦИЯ[[#This Row],[СОНИ]]*[1]!РЕАЛИЗАЦИЯ[[#This Row],[ТАННАРХ]]</f>
        <v>0</v>
      </c>
      <c r="L551" s="7">
        <f>[1]!РЕАЛИЗАЦИЯ[[#This Row],[ЖАМИ]]-[1]!РЕАЛИЗАЦИЯ[[#This Row],[ЖАМИ2]]</f>
        <v>1113000</v>
      </c>
      <c r="O551" s="33">
        <v>46110</v>
      </c>
      <c r="P551" s="3" t="s">
        <v>58</v>
      </c>
      <c r="Q551" s="4">
        <v>500000</v>
      </c>
      <c r="R551" s="4"/>
      <c r="S551" s="4"/>
      <c r="T551" s="5">
        <f>[1]!ПЛАТЕЖИ[[#This Row],[СЎМ]]+([1]!ПЛАТЕЖИ[[#This Row],[ВАЛЮТА]]*[1]!ПЛАТЕЖИ[[#This Row],[КУРС]])</f>
        <v>1117200</v>
      </c>
      <c r="U551" s="3"/>
      <c r="V551" s="3"/>
    </row>
    <row r="552" spans="2:22" x14ac:dyDescent="0.25">
      <c r="B552" s="8">
        <v>46107</v>
      </c>
      <c r="C552" s="9" t="s">
        <v>208</v>
      </c>
      <c r="D552" s="10" t="s">
        <v>10</v>
      </c>
      <c r="E552" s="10" t="s">
        <v>2</v>
      </c>
      <c r="F552" s="11">
        <v>62.4</v>
      </c>
      <c r="G552" s="11">
        <v>13000</v>
      </c>
      <c r="H552" s="12">
        <f>[1]!РЕАЛИЗАЦИЯ[СОНИ]*[1]!РЕАЛИЗАЦИЯ[НАРХИ]</f>
        <v>2209200</v>
      </c>
      <c r="I552" s="11"/>
      <c r="J552" s="13">
        <v>13000</v>
      </c>
      <c r="K552" s="11">
        <f>[1]!РЕАЛИЗАЦИЯ[[#This Row],[СОНИ]]*[1]!РЕАЛИЗАЦИЯ[[#This Row],[ТАННАРХ]]</f>
        <v>0</v>
      </c>
      <c r="L552" s="14">
        <f>[1]!РЕАЛИЗАЦИЯ[[#This Row],[ЖАМИ]]-[1]!РЕАЛИЗАЦИЯ[[#This Row],[ЖАМИ2]]</f>
        <v>2209200</v>
      </c>
      <c r="O552" s="34">
        <v>46110</v>
      </c>
      <c r="P552" s="10" t="s">
        <v>202</v>
      </c>
      <c r="Q552" s="11">
        <v>10000000</v>
      </c>
      <c r="R552" s="11"/>
      <c r="S552" s="11"/>
      <c r="T552" s="12">
        <f>[1]!ПЛАТЕЖИ[[#This Row],[СЎМ]]+([1]!ПЛАТЕЖИ[[#This Row],[ВАЛЮТА]]*[1]!ПЛАТЕЖИ[[#This Row],[КУРС]])</f>
        <v>1759500</v>
      </c>
      <c r="U552" s="10"/>
      <c r="V552" s="10"/>
    </row>
    <row r="553" spans="2:22" x14ac:dyDescent="0.25">
      <c r="B553" s="1">
        <v>46107</v>
      </c>
      <c r="C553" s="2" t="s">
        <v>140</v>
      </c>
      <c r="D553" s="3" t="s">
        <v>10</v>
      </c>
      <c r="E553" s="3" t="s">
        <v>2</v>
      </c>
      <c r="F553" s="4">
        <v>51.2</v>
      </c>
      <c r="G553" s="4">
        <v>15000</v>
      </c>
      <c r="H553" s="5">
        <f>[1]!РЕАЛИЗАЦИЯ[СОНИ]*[1]!РЕАЛИЗАЦИЯ[НАРХИ]</f>
        <v>1043700.0000000001</v>
      </c>
      <c r="I553" s="4"/>
      <c r="J553" s="6">
        <v>13000</v>
      </c>
      <c r="K553" s="4">
        <f>[1]!РЕАЛИЗАЦИЯ[[#This Row],[СОНИ]]*[1]!РЕАЛИЗАЦИЯ[[#This Row],[ТАННАРХ]]</f>
        <v>0</v>
      </c>
      <c r="L553" s="7">
        <f>[1]!РЕАЛИЗАЦИЯ[[#This Row],[ЖАМИ]]-[1]!РЕАЛИЗАЦИЯ[[#This Row],[ЖАМИ2]]</f>
        <v>1043700.0000000001</v>
      </c>
      <c r="O553" s="33">
        <v>46110</v>
      </c>
      <c r="P553" s="3" t="s">
        <v>15</v>
      </c>
      <c r="Q553" s="4">
        <v>61587900</v>
      </c>
      <c r="R553" s="4"/>
      <c r="S553" s="4"/>
      <c r="T553" s="5">
        <f>[1]!ПЛАТЕЖИ[[#This Row],[СЎМ]]+([1]!ПЛАТЕЖИ[[#This Row],[ВАЛЮТА]]*[1]!ПЛАТЕЖИ[[#This Row],[КУРС]])</f>
        <v>999600</v>
      </c>
      <c r="U553" s="3"/>
      <c r="V553" s="3" t="s">
        <v>279</v>
      </c>
    </row>
    <row r="554" spans="2:22" x14ac:dyDescent="0.25">
      <c r="B554" s="8">
        <v>46107</v>
      </c>
      <c r="C554" s="9" t="s">
        <v>140</v>
      </c>
      <c r="D554" s="10" t="s">
        <v>1</v>
      </c>
      <c r="E554" s="10" t="s">
        <v>2</v>
      </c>
      <c r="F554" s="11">
        <v>52.5</v>
      </c>
      <c r="G554" s="11">
        <v>20000</v>
      </c>
      <c r="H554" s="12">
        <f>[1]!РЕАЛИЗАЦИЯ[СОНИ]*[1]!РЕАЛИЗАЦИЯ[НАРХИ]</f>
        <v>3555300.0000000005</v>
      </c>
      <c r="I554" s="11"/>
      <c r="J554" s="13">
        <v>19000</v>
      </c>
      <c r="K554" s="11">
        <f>[1]!РЕАЛИЗАЦИЯ[[#This Row],[СОНИ]]*[1]!РЕАЛИЗАЦИЯ[[#This Row],[ТАННАРХ]]</f>
        <v>0</v>
      </c>
      <c r="L554" s="14">
        <f>[1]!РЕАЛИЗАЦИЯ[[#This Row],[ЖАМИ]]-[1]!РЕАЛИЗАЦИЯ[[#This Row],[ЖАМИ2]]</f>
        <v>3555300.0000000005</v>
      </c>
      <c r="O554" s="34">
        <v>46110</v>
      </c>
      <c r="P554" s="10" t="s">
        <v>12</v>
      </c>
      <c r="Q554" s="11">
        <v>50138400</v>
      </c>
      <c r="R554" s="11"/>
      <c r="S554" s="11"/>
      <c r="T554" s="12">
        <f>[1]!ПЛАТЕЖИ[[#This Row],[СЎМ]]+([1]!ПЛАТЕЖИ[[#This Row],[ВАЛЮТА]]*[1]!ПЛАТЕЖИ[[#This Row],[КУРС]])</f>
        <v>966000</v>
      </c>
      <c r="U554" s="10"/>
      <c r="V554" s="10" t="s">
        <v>279</v>
      </c>
    </row>
    <row r="555" spans="2:22" x14ac:dyDescent="0.25">
      <c r="B555" s="1">
        <v>46107</v>
      </c>
      <c r="C555" s="2" t="s">
        <v>41</v>
      </c>
      <c r="D555" s="3" t="s">
        <v>1</v>
      </c>
      <c r="E555" s="3" t="s">
        <v>2</v>
      </c>
      <c r="F555" s="4">
        <v>107.1</v>
      </c>
      <c r="G555" s="4">
        <v>20000</v>
      </c>
      <c r="H555" s="5">
        <f>[1]!РЕАЛИЗАЦИЯ[СОНИ]*[1]!РЕАЛИЗАЦИЯ[НАРХИ]</f>
        <v>804800</v>
      </c>
      <c r="I555" s="4"/>
      <c r="J555" s="6">
        <v>19000</v>
      </c>
      <c r="K555" s="4">
        <f>[1]!РЕАЛИЗАЦИЯ[[#This Row],[СОНИ]]*[1]!РЕАЛИЗАЦИЯ[[#This Row],[ТАННАРХ]]</f>
        <v>0</v>
      </c>
      <c r="L555" s="7">
        <f>[1]!РЕАЛИЗАЦИЯ[[#This Row],[ЖАМИ]]-[1]!РЕАЛИЗАЦИЯ[[#This Row],[ЖАМИ2]]</f>
        <v>804800</v>
      </c>
      <c r="O555" s="33">
        <v>46110</v>
      </c>
      <c r="P555" s="3" t="s">
        <v>7</v>
      </c>
      <c r="Q555" s="4">
        <v>20000000</v>
      </c>
      <c r="R555" s="4"/>
      <c r="S555" s="4"/>
      <c r="T555" s="5">
        <f>[1]!ПЛАТЕЖИ[[#This Row],[СЎМ]]+([1]!ПЛАТЕЖИ[[#This Row],[ВАЛЮТА]]*[1]!ПЛАТЕЖИ[[#This Row],[КУРС]])</f>
        <v>2005000</v>
      </c>
      <c r="U555" s="3"/>
      <c r="V555" s="3" t="s">
        <v>279</v>
      </c>
    </row>
    <row r="556" spans="2:22" x14ac:dyDescent="0.25">
      <c r="B556" s="8">
        <v>46107</v>
      </c>
      <c r="C556" s="9" t="s">
        <v>41</v>
      </c>
      <c r="D556" s="10" t="s">
        <v>10</v>
      </c>
      <c r="E556" s="10" t="s">
        <v>2</v>
      </c>
      <c r="F556" s="11">
        <v>49.9</v>
      </c>
      <c r="G556" s="11">
        <v>14000</v>
      </c>
      <c r="H556" s="12">
        <f>[1]!РЕАЛИЗАЦИЯ[СОНИ]*[1]!РЕАЛИЗАЦИЯ[НАРХИ]</f>
        <v>964800</v>
      </c>
      <c r="I556" s="11"/>
      <c r="J556" s="13">
        <v>13000</v>
      </c>
      <c r="K556" s="11">
        <f>[1]!РЕАЛИЗАЦИЯ[[#This Row],[СОНИ]]*[1]!РЕАЛИЗАЦИЯ[[#This Row],[ТАННАРХ]]</f>
        <v>0</v>
      </c>
      <c r="L556" s="14">
        <f>[1]!РЕАЛИЗАЦИЯ[[#This Row],[ЖАМИ]]-[1]!РЕАЛИЗАЦИЯ[[#This Row],[ЖАМИ2]]</f>
        <v>964800</v>
      </c>
      <c r="O556" s="34">
        <v>46111</v>
      </c>
      <c r="P556" s="10" t="s">
        <v>214</v>
      </c>
      <c r="Q556" s="11">
        <v>998000</v>
      </c>
      <c r="R556" s="11"/>
      <c r="S556" s="11"/>
      <c r="T556" s="12">
        <f>[1]!ПЛАТЕЖИ[[#This Row],[СЎМ]]+([1]!ПЛАТЕЖИ[[#This Row],[ВАЛЮТА]]*[1]!ПЛАТЕЖИ[[#This Row],[КУРС]])</f>
        <v>440000</v>
      </c>
      <c r="U556" s="10"/>
      <c r="V556" s="10"/>
    </row>
    <row r="557" spans="2:22" x14ac:dyDescent="0.25">
      <c r="B557" s="1">
        <v>46107</v>
      </c>
      <c r="C557" s="2" t="s">
        <v>15</v>
      </c>
      <c r="D557" s="3" t="s">
        <v>16</v>
      </c>
      <c r="E557" s="3" t="s">
        <v>2</v>
      </c>
      <c r="F557" s="4">
        <v>295.3</v>
      </c>
      <c r="G557" s="4">
        <v>23000</v>
      </c>
      <c r="H557" s="5">
        <f>[1]!РЕАЛИЗАЦИЯ[СОНИ]*[1]!РЕАЛИЗАЦИЯ[НАРХИ]</f>
        <v>982799.99999999988</v>
      </c>
      <c r="I557" s="4"/>
      <c r="J557" s="6">
        <v>21000</v>
      </c>
      <c r="K557" s="4">
        <f>[1]!РЕАЛИЗАЦИЯ[[#This Row],[СОНИ]]*[1]!РЕАЛИЗАЦИЯ[[#This Row],[ТАННАРХ]]</f>
        <v>0</v>
      </c>
      <c r="L557" s="7">
        <f>[1]!РЕАЛИЗАЦИЯ[[#This Row],[ЖАМИ]]-[1]!РЕАЛИЗАЦИЯ[[#This Row],[ЖАМИ2]]</f>
        <v>982799.99999999988</v>
      </c>
      <c r="O557" s="33">
        <v>46111</v>
      </c>
      <c r="P557" s="3" t="s">
        <v>58</v>
      </c>
      <c r="Q557" s="4">
        <v>584000</v>
      </c>
      <c r="R557" s="4"/>
      <c r="S557" s="4"/>
      <c r="T557" s="5">
        <f>[1]!ПЛАТЕЖИ[[#This Row],[СЎМ]]+([1]!ПЛАТЕЖИ[[#This Row],[ВАЛЮТА]]*[1]!ПЛАТЕЖИ[[#This Row],[КУРС]])</f>
        <v>970200</v>
      </c>
      <c r="U557" s="3"/>
      <c r="V557" s="3"/>
    </row>
    <row r="558" spans="2:22" x14ac:dyDescent="0.25">
      <c r="B558" s="8">
        <v>46107</v>
      </c>
      <c r="C558" s="9" t="s">
        <v>209</v>
      </c>
      <c r="D558" s="10" t="s">
        <v>1</v>
      </c>
      <c r="E558" s="10" t="s">
        <v>2</v>
      </c>
      <c r="F558" s="11">
        <v>79.900000000000006</v>
      </c>
      <c r="G558" s="11">
        <v>19000</v>
      </c>
      <c r="H558" s="12">
        <f>[1]!РЕАЛИЗАЦИЯ[СОНИ]*[1]!РЕАЛИЗАЦИЯ[НАРХИ]</f>
        <v>1230600</v>
      </c>
      <c r="I558" s="11"/>
      <c r="J558" s="13">
        <v>19000</v>
      </c>
      <c r="K558" s="11">
        <f>[1]!РЕАЛИЗАЦИЯ[[#This Row],[СОНИ]]*[1]!РЕАЛИЗАЦИЯ[[#This Row],[ТАННАРХ]]</f>
        <v>0</v>
      </c>
      <c r="L558" s="14">
        <f>[1]!РЕАЛИЗАЦИЯ[[#This Row],[ЖАМИ]]-[1]!РЕАЛИЗАЦИЯ[[#This Row],[ЖАМИ2]]</f>
        <v>1230600</v>
      </c>
      <c r="O558" s="34">
        <v>46111</v>
      </c>
      <c r="P558" s="10" t="s">
        <v>39</v>
      </c>
      <c r="Q558" s="11"/>
      <c r="R558" s="11">
        <v>1000</v>
      </c>
      <c r="S558" s="11">
        <v>12150</v>
      </c>
      <c r="T558" s="12">
        <f>[1]!ПЛАТЕЖИ[[#This Row],[СЎМ]]+([1]!ПЛАТЕЖИ[[#This Row],[ВАЛЮТА]]*[1]!ПЛАТЕЖИ[[#This Row],[КУРС]])</f>
        <v>1262000</v>
      </c>
      <c r="U558" s="10"/>
      <c r="V558" s="10"/>
    </row>
    <row r="559" spans="2:22" x14ac:dyDescent="0.25">
      <c r="B559" s="1">
        <v>46107</v>
      </c>
      <c r="C559" s="2" t="s">
        <v>210</v>
      </c>
      <c r="D559" s="3" t="s">
        <v>1</v>
      </c>
      <c r="E559" s="3" t="s">
        <v>2</v>
      </c>
      <c r="F559" s="4">
        <v>234.6</v>
      </c>
      <c r="G559" s="4">
        <v>21000</v>
      </c>
      <c r="H559" s="5">
        <f>[1]!РЕАЛИЗАЦИЯ[СОНИ]*[1]!РЕАЛИЗАЦИЯ[НАРХИ]</f>
        <v>684800</v>
      </c>
      <c r="I559" s="4"/>
      <c r="J559" s="6">
        <v>19000</v>
      </c>
      <c r="K559" s="4">
        <f>[1]!РЕАЛИЗАЦИЯ[[#This Row],[СОНИ]]*[1]!РЕАЛИЗАЦИЯ[[#This Row],[ТАННАРХ]]</f>
        <v>0</v>
      </c>
      <c r="L559" s="7">
        <f>[1]!РЕАЛИЗАЦИЯ[[#This Row],[ЖАМИ]]-[1]!РЕАЛИЗАЦИЯ[[#This Row],[ЖАМИ2]]</f>
        <v>684800</v>
      </c>
      <c r="O559" s="33">
        <v>46111</v>
      </c>
      <c r="P559" s="3" t="s">
        <v>55</v>
      </c>
      <c r="Q559" s="4">
        <v>700000</v>
      </c>
      <c r="R559" s="4"/>
      <c r="S559" s="4"/>
      <c r="T559" s="5">
        <f>[1]!ПЛАТЕЖИ[[#This Row],[СЎМ]]+([1]!ПЛАТЕЖИ[[#This Row],[ВАЛЮТА]]*[1]!ПЛАТЕЖИ[[#This Row],[КУРС]])</f>
        <v>3847500</v>
      </c>
      <c r="U559" s="3"/>
      <c r="V559" s="3"/>
    </row>
    <row r="560" spans="2:22" x14ac:dyDescent="0.25">
      <c r="B560" s="8">
        <v>46107</v>
      </c>
      <c r="C560" s="9" t="s">
        <v>210</v>
      </c>
      <c r="D560" s="10" t="s">
        <v>10</v>
      </c>
      <c r="E560" s="10" t="s">
        <v>2</v>
      </c>
      <c r="F560" s="11">
        <v>52.1</v>
      </c>
      <c r="G560" s="11">
        <v>16000</v>
      </c>
      <c r="H560" s="12">
        <f>[1]!РЕАЛИЗАЦИЯ[СОНИ]*[1]!РЕАЛИЗАЦИЯ[НАРХИ]</f>
        <v>1134000</v>
      </c>
      <c r="I560" s="11"/>
      <c r="J560" s="13">
        <v>13000</v>
      </c>
      <c r="K560" s="11">
        <f>[1]!РЕАЛИЗАЦИЯ[[#This Row],[СОНИ]]*[1]!РЕАЛИЗАЦИЯ[[#This Row],[ТАННАРХ]]</f>
        <v>0</v>
      </c>
      <c r="L560" s="14">
        <f>[1]!РЕАЛИЗАЦИЯ[[#This Row],[ЖАМИ]]-[1]!РЕАЛИЗАЦИЯ[[#This Row],[ЖАМИ2]]</f>
        <v>1134000</v>
      </c>
      <c r="O560" s="34">
        <v>46111</v>
      </c>
      <c r="P560" s="10" t="s">
        <v>181</v>
      </c>
      <c r="Q560" s="11">
        <v>1000000</v>
      </c>
      <c r="R560" s="11"/>
      <c r="S560" s="11"/>
      <c r="T560" s="12">
        <f>[1]!ПЛАТЕЖИ[[#This Row],[СЎМ]]+([1]!ПЛАТЕЖИ[[#This Row],[ВАЛЮТА]]*[1]!ПЛАТЕЖИ[[#This Row],[КУРС]])</f>
        <v>2980000</v>
      </c>
      <c r="U560" s="10"/>
      <c r="V560" s="10" t="s">
        <v>279</v>
      </c>
    </row>
    <row r="561" spans="2:22" x14ac:dyDescent="0.25">
      <c r="B561" s="1">
        <v>46107</v>
      </c>
      <c r="C561" s="2" t="s">
        <v>22</v>
      </c>
      <c r="D561" s="3" t="s">
        <v>8</v>
      </c>
      <c r="E561" s="3" t="s">
        <v>2</v>
      </c>
      <c r="F561" s="4">
        <v>52.6</v>
      </c>
      <c r="G561" s="4">
        <v>22000</v>
      </c>
      <c r="H561" s="5">
        <f>[1]!РЕАЛИЗАЦИЯ[СОНИ]*[1]!РЕАЛИЗАЦИЯ[НАРХИ]</f>
        <v>1096200</v>
      </c>
      <c r="I561" s="4"/>
      <c r="J561" s="6">
        <v>20000</v>
      </c>
      <c r="K561" s="4">
        <f>[1]!РЕАЛИЗАЦИЯ[[#This Row],[СОНИ]]*[1]!РЕАЛИЗАЦИЯ[[#This Row],[ТАННАРХ]]</f>
        <v>0</v>
      </c>
      <c r="L561" s="7">
        <f>[1]!РЕАЛИЗАЦИЯ[[#This Row],[ЖАМИ]]-[1]!РЕАЛИЗАЦИЯ[[#This Row],[ЖАМИ2]]</f>
        <v>1096200</v>
      </c>
      <c r="O561" s="33">
        <v>46111</v>
      </c>
      <c r="P561" s="3" t="s">
        <v>33</v>
      </c>
      <c r="Q561" s="4">
        <v>30000000</v>
      </c>
      <c r="R561" s="4"/>
      <c r="S561" s="4"/>
      <c r="T561" s="5">
        <f>[1]!ПЛАТЕЖИ[[#This Row],[СЎМ]]+([1]!ПЛАТЕЖИ[[#This Row],[ВАЛЮТА]]*[1]!ПЛАТЕЖИ[[#This Row],[КУРС]])</f>
        <v>1037400</v>
      </c>
      <c r="U561" s="3"/>
      <c r="V561" s="3" t="s">
        <v>279</v>
      </c>
    </row>
    <row r="562" spans="2:22" x14ac:dyDescent="0.25">
      <c r="B562" s="8">
        <v>46108</v>
      </c>
      <c r="C562" s="9" t="s">
        <v>211</v>
      </c>
      <c r="D562" s="10" t="s">
        <v>25</v>
      </c>
      <c r="E562" s="10" t="s">
        <v>2</v>
      </c>
      <c r="F562" s="11">
        <v>513.70000000000005</v>
      </c>
      <c r="G562" s="11">
        <v>24000</v>
      </c>
      <c r="H562" s="12">
        <f>[1]!РЕАЛИЗАЦИЯ[СОНИ]*[1]!РЕАЛИЗАЦИЯ[НАРХИ]</f>
        <v>4405800</v>
      </c>
      <c r="I562" s="11"/>
      <c r="J562" s="13">
        <v>23000</v>
      </c>
      <c r="K562" s="11">
        <f>[1]!РЕАЛИЗАЦИЯ[[#This Row],[СОНИ]]*[1]!РЕАЛИЗАЦИЯ[[#This Row],[ТАННАРХ]]</f>
        <v>0</v>
      </c>
      <c r="L562" s="14">
        <f>[1]!РЕАЛИЗАЦИЯ[[#This Row],[ЖАМИ]]-[1]!РЕАЛИЗАЦИЯ[[#This Row],[ЖАМИ2]]</f>
        <v>4405800</v>
      </c>
      <c r="O562" s="34">
        <v>46111</v>
      </c>
      <c r="P562" s="10" t="s">
        <v>9</v>
      </c>
      <c r="Q562" s="11">
        <v>5283980</v>
      </c>
      <c r="R562" s="11"/>
      <c r="S562" s="11"/>
      <c r="T562" s="12">
        <f>[1]!ПЛАТЕЖИ[[#This Row],[СЎМ]]+([1]!ПЛАТЕЖИ[[#This Row],[ВАЛЮТА]]*[1]!ПЛАТЕЖИ[[#This Row],[КУРС]])</f>
        <v>2931500</v>
      </c>
      <c r="U562" s="10"/>
      <c r="V562" s="10"/>
    </row>
    <row r="563" spans="2:22" x14ac:dyDescent="0.25">
      <c r="B563" s="1">
        <v>46108</v>
      </c>
      <c r="C563" s="16" t="s">
        <v>166</v>
      </c>
      <c r="D563" s="17" t="s">
        <v>25</v>
      </c>
      <c r="E563" s="17" t="s">
        <v>2</v>
      </c>
      <c r="F563" s="18">
        <v>128.1</v>
      </c>
      <c r="G563" s="18">
        <v>28000</v>
      </c>
      <c r="H563" s="19">
        <f>[1]!РЕАЛИЗАЦИЯ[СОНИ]*[1]!РЕАЛИЗАЦИЯ[НАРХИ]</f>
        <v>980700.00000000012</v>
      </c>
      <c r="I563" s="4"/>
      <c r="J563" s="6">
        <v>25000</v>
      </c>
      <c r="K563" s="4">
        <f>[1]!РЕАЛИЗАЦИЯ[[#This Row],[СОНИ]]*[1]!РЕАЛИЗАЦИЯ[[#This Row],[ТАННАРХ]]</f>
        <v>0</v>
      </c>
      <c r="L563" s="7">
        <f>[1]!РЕАЛИЗАЦИЯ[[#This Row],[ЖАМИ]]-[1]!РЕАЛИЗАЦИЯ[[#This Row],[ЖАМИ2]]</f>
        <v>980700.00000000012</v>
      </c>
      <c r="O563" s="33">
        <v>46111</v>
      </c>
      <c r="P563" s="3" t="s">
        <v>34</v>
      </c>
      <c r="Q563" s="4">
        <v>6991964</v>
      </c>
      <c r="R563" s="4"/>
      <c r="S563" s="4"/>
      <c r="T563" s="5">
        <f>[1]!ПЛАТЕЖИ[[#This Row],[СЎМ]]+([1]!ПЛАТЕЖИ[[#This Row],[ВАЛЮТА]]*[1]!ПЛАТЕЖИ[[#This Row],[КУРС]])</f>
        <v>11200000</v>
      </c>
      <c r="U563" s="3"/>
      <c r="V563" s="3" t="s">
        <v>279</v>
      </c>
    </row>
    <row r="564" spans="2:22" x14ac:dyDescent="0.25">
      <c r="B564" s="8">
        <v>46109</v>
      </c>
      <c r="C564" s="9" t="s">
        <v>117</v>
      </c>
      <c r="D564" s="10" t="s">
        <v>1</v>
      </c>
      <c r="E564" s="10" t="s">
        <v>2</v>
      </c>
      <c r="F564" s="11">
        <v>90.2</v>
      </c>
      <c r="G564" s="11">
        <v>21000</v>
      </c>
      <c r="H564" s="12">
        <f>[1]!РЕАЛИЗАЦИЯ[СОНИ]*[1]!РЕАЛИЗАЦИЯ[НАРХИ]</f>
        <v>1144500</v>
      </c>
      <c r="I564" s="11"/>
      <c r="J564" s="13">
        <v>19000</v>
      </c>
      <c r="K564" s="11">
        <f>[1]!РЕАЛИЗАЦИЯ[[#This Row],[СОНИ]]*[1]!РЕАЛИЗАЦИЯ[[#This Row],[ТАННАРХ]]</f>
        <v>0</v>
      </c>
      <c r="L564" s="14">
        <f>[1]!РЕАЛИЗАЦИЯ[[#This Row],[ЖАМИ]]-[1]!РЕАЛИЗАЦИЯ[[#This Row],[ЖАМИ2]]</f>
        <v>1144500</v>
      </c>
      <c r="O564" s="34">
        <v>46111</v>
      </c>
      <c r="P564" s="10" t="s">
        <v>34</v>
      </c>
      <c r="Q564" s="11">
        <v>12049420</v>
      </c>
      <c r="R564" s="11"/>
      <c r="S564" s="11"/>
      <c r="T564" s="12">
        <f>[1]!ПЛАТЕЖИ[[#This Row],[СЎМ]]+([1]!ПЛАТЕЖИ[[#This Row],[ВАЛЮТА]]*[1]!ПЛАТЕЖИ[[#This Row],[КУРС]])</f>
        <v>1300000</v>
      </c>
      <c r="U564" s="10"/>
      <c r="V564" s="10" t="s">
        <v>279</v>
      </c>
    </row>
    <row r="565" spans="2:22" x14ac:dyDescent="0.25">
      <c r="B565" s="1">
        <v>46109</v>
      </c>
      <c r="C565" s="2" t="s">
        <v>33</v>
      </c>
      <c r="D565" s="3" t="s">
        <v>1</v>
      </c>
      <c r="E565" s="3" t="s">
        <v>2</v>
      </c>
      <c r="F565" s="4">
        <v>157.1</v>
      </c>
      <c r="G565" s="4">
        <v>20500</v>
      </c>
      <c r="H565" s="5">
        <f>[1]!РЕАЛИЗАЦИЯ[СОНИ]*[1]!РЕАЛИЗАЦИЯ[НАРХИ]</f>
        <v>1020600</v>
      </c>
      <c r="I565" s="4"/>
      <c r="J565" s="6">
        <v>19000</v>
      </c>
      <c r="K565" s="4">
        <f>[1]!РЕАЛИЗАЦИЯ[[#This Row],[СОНИ]]*[1]!РЕАЛИЗАЦИЯ[[#This Row],[ТАННАРХ]]</f>
        <v>0</v>
      </c>
      <c r="L565" s="7">
        <f>[1]!РЕАЛИЗАЦИЯ[[#This Row],[ЖАМИ]]-[1]!РЕАЛИЗАЦИЯ[[#This Row],[ЖАМИ2]]</f>
        <v>1020600</v>
      </c>
      <c r="O565" s="33">
        <v>46111</v>
      </c>
      <c r="P565" s="3" t="s">
        <v>21</v>
      </c>
      <c r="Q565" s="4">
        <v>915600</v>
      </c>
      <c r="R565" s="4"/>
      <c r="S565" s="4"/>
      <c r="T565" s="5">
        <f>[1]!ПЛАТЕЖИ[[#This Row],[СЎМ]]+([1]!ПЛАТЕЖИ[[#This Row],[ВАЛЮТА]]*[1]!ПЛАТЕЖИ[[#This Row],[КУРС]])</f>
        <v>2490000</v>
      </c>
      <c r="U565" s="3"/>
      <c r="V565" s="3" t="s">
        <v>275</v>
      </c>
    </row>
    <row r="566" spans="2:22" x14ac:dyDescent="0.25">
      <c r="B566" s="8">
        <v>46109</v>
      </c>
      <c r="C566" s="9" t="s">
        <v>33</v>
      </c>
      <c r="D566" s="10" t="s">
        <v>10</v>
      </c>
      <c r="E566" s="10" t="s">
        <v>2</v>
      </c>
      <c r="F566" s="11">
        <v>100.9</v>
      </c>
      <c r="G566" s="11">
        <v>14500</v>
      </c>
      <c r="H566" s="12">
        <f>[1]!РЕАЛИЗАЦИЯ[СОНИ]*[1]!РЕАЛИЗАЦИЯ[НАРХИ]</f>
        <v>3404000</v>
      </c>
      <c r="I566" s="11"/>
      <c r="J566" s="13">
        <v>13000</v>
      </c>
      <c r="K566" s="11">
        <f>[1]!РЕАЛИЗАЦИЯ[[#This Row],[СОНИ]]*[1]!РЕАЛИЗАЦИЯ[[#This Row],[ТАННАРХ]]</f>
        <v>449032000</v>
      </c>
      <c r="L566" s="14">
        <f>[1]!РЕАЛИЗАЦИЯ[[#This Row],[ЖАМИ]]-[1]!РЕАЛИЗАЦИЯ[[#This Row],[ЖАМИ2]]</f>
        <v>3403852</v>
      </c>
      <c r="O566" s="34">
        <v>46112</v>
      </c>
      <c r="P566" s="10" t="s">
        <v>54</v>
      </c>
      <c r="Q566" s="11">
        <v>665363</v>
      </c>
      <c r="R566" s="11"/>
      <c r="S566" s="11"/>
      <c r="T566" s="12">
        <f>[1]!ПЛАТЕЖИ[[#This Row],[СЎМ]]+([1]!ПЛАТЕЖИ[[#This Row],[ВАЛЮТА]]*[1]!ПЛАТЕЖИ[[#This Row],[КУРС]])</f>
        <v>1715700</v>
      </c>
      <c r="U566" s="10"/>
      <c r="V566" s="10"/>
    </row>
    <row r="567" spans="2:22" x14ac:dyDescent="0.25">
      <c r="B567" s="1">
        <v>46109</v>
      </c>
      <c r="C567" s="2" t="s">
        <v>212</v>
      </c>
      <c r="D567" s="3" t="s">
        <v>1</v>
      </c>
      <c r="E567" s="3" t="s">
        <v>2</v>
      </c>
      <c r="F567" s="4">
        <v>40.6</v>
      </c>
      <c r="G567" s="4">
        <v>21000</v>
      </c>
      <c r="H567" s="5">
        <f>[1]!РЕАЛИЗАЦИЯ[СОНИ]*[1]!РЕАЛИЗАЦИЯ[НАРХИ]</f>
        <v>6332000</v>
      </c>
      <c r="I567" s="4"/>
      <c r="J567" s="6">
        <v>19000</v>
      </c>
      <c r="K567" s="4">
        <f>[1]!РЕАЛИЗАЦИЯ[[#This Row],[СОНИ]]*[1]!РЕАЛИЗАЦИЯ[[#This Row],[ТАННАРХ]]</f>
        <v>0</v>
      </c>
      <c r="L567" s="7">
        <f>[1]!РЕАЛИЗАЦИЯ[[#This Row],[ЖАМИ]]-[1]!РЕАЛИЗАЦИЯ[[#This Row],[ЖАМИ2]]</f>
        <v>6332000</v>
      </c>
      <c r="O567" s="33">
        <v>46112</v>
      </c>
      <c r="P567" s="3" t="s">
        <v>166</v>
      </c>
      <c r="Q567" s="4">
        <v>3586800</v>
      </c>
      <c r="R567" s="4"/>
      <c r="S567" s="4"/>
      <c r="T567" s="5">
        <f>[1]!ПЛАТЕЖИ[[#This Row],[СЎМ]]+([1]!ПЛАТЕЖИ[[#This Row],[ВАЛЮТА]]*[1]!ПЛАТЕЖИ[[#This Row],[КУРС]])</f>
        <v>2523000</v>
      </c>
      <c r="U567" s="3"/>
      <c r="V567" s="3"/>
    </row>
    <row r="568" spans="2:22" x14ac:dyDescent="0.25">
      <c r="B568" s="8">
        <v>46109</v>
      </c>
      <c r="C568" s="9" t="s">
        <v>53</v>
      </c>
      <c r="D568" s="10" t="s">
        <v>1</v>
      </c>
      <c r="E568" s="10" t="s">
        <v>2</v>
      </c>
      <c r="F568" s="11">
        <v>520.79999999999995</v>
      </c>
      <c r="G568" s="11">
        <v>20000</v>
      </c>
      <c r="H568" s="12">
        <f>[1]!РЕАЛИЗАЦИЯ[СОНИ]*[1]!РЕАЛИЗАЦИЯ[НАРХИ]</f>
        <v>754500</v>
      </c>
      <c r="I568" s="11"/>
      <c r="J568" s="13">
        <v>19000</v>
      </c>
      <c r="K568" s="11">
        <f>[1]!РЕАЛИЗАЦИЯ[[#This Row],[СОНИ]]*[1]!РЕАЛИЗАЦИЯ[[#This Row],[ТАННАРХ]]</f>
        <v>0</v>
      </c>
      <c r="L568" s="14">
        <f>[1]!РЕАЛИЗАЦИЯ[[#This Row],[ЖАМИ]]-[1]!РЕАЛИЗАЦИЯ[[#This Row],[ЖАМИ2]]</f>
        <v>754500</v>
      </c>
      <c r="O568" s="34">
        <v>46112</v>
      </c>
      <c r="P568" s="10" t="s">
        <v>64</v>
      </c>
      <c r="Q568" s="11">
        <v>2081100</v>
      </c>
      <c r="R568" s="11"/>
      <c r="S568" s="11"/>
      <c r="T568" s="12">
        <f>[1]!ПЛАТЕЖИ[[#This Row],[СЎМ]]+([1]!ПЛАТЕЖИ[[#This Row],[ВАЛЮТА]]*[1]!ПЛАТЕЖИ[[#This Row],[КУРС]])</f>
        <v>831600</v>
      </c>
      <c r="U568" s="10"/>
      <c r="V568" s="10"/>
    </row>
    <row r="569" spans="2:22" x14ac:dyDescent="0.25">
      <c r="B569" s="1">
        <v>46109</v>
      </c>
      <c r="C569" s="2" t="s">
        <v>187</v>
      </c>
      <c r="D569" s="3" t="s">
        <v>10</v>
      </c>
      <c r="E569" s="3" t="s">
        <v>2</v>
      </c>
      <c r="F569" s="4">
        <v>51.2</v>
      </c>
      <c r="G569" s="4">
        <v>14000</v>
      </c>
      <c r="H569" s="5">
        <f>[1]!РЕАЛИЗАЦИЯ[СОНИ]*[1]!РЕАЛИЗАЦИЯ[НАРХИ]</f>
        <v>884000</v>
      </c>
      <c r="I569" s="4"/>
      <c r="J569" s="6">
        <v>13000</v>
      </c>
      <c r="K569" s="4">
        <f>[1]!РЕАЛИЗАЦИЯ[[#This Row],[СОНИ]]*[1]!РЕАЛИЗАЦИЯ[[#This Row],[ТАННАРХ]]</f>
        <v>0</v>
      </c>
      <c r="L569" s="7">
        <f>[1]!РЕАЛИЗАЦИЯ[[#This Row],[ЖАМИ]]-[1]!РЕАЛИЗАЦИЯ[[#This Row],[ЖАМИ2]]</f>
        <v>884000</v>
      </c>
      <c r="O569" s="33">
        <v>46112</v>
      </c>
      <c r="P569" s="3" t="s">
        <v>197</v>
      </c>
      <c r="Q569" s="4">
        <v>1012200</v>
      </c>
      <c r="R569" s="4"/>
      <c r="S569" s="4"/>
      <c r="T569" s="5">
        <f>[1]!ПЛАТЕЖИ[[#This Row],[СЎМ]]+([1]!ПЛАТЕЖИ[[#This Row],[ВАЛЮТА]]*[1]!ПЛАТЕЖИ[[#This Row],[КУРС]])</f>
        <v>661000</v>
      </c>
      <c r="U569" s="3"/>
      <c r="V569" s="3"/>
    </row>
    <row r="570" spans="2:22" x14ac:dyDescent="0.25">
      <c r="B570" s="8">
        <v>46109</v>
      </c>
      <c r="C570" s="9" t="s">
        <v>154</v>
      </c>
      <c r="D570" s="10" t="s">
        <v>10</v>
      </c>
      <c r="E570" s="10" t="s">
        <v>2</v>
      </c>
      <c r="F570" s="11">
        <v>108</v>
      </c>
      <c r="G570" s="11">
        <v>14000</v>
      </c>
      <c r="H570" s="12">
        <f>[1]!РЕАЛИЗАЦИЯ[СОНИ]*[1]!РЕАЛИЗАЦИЯ[НАРХИ]</f>
        <v>968100</v>
      </c>
      <c r="I570" s="11"/>
      <c r="J570" s="13">
        <v>13000</v>
      </c>
      <c r="K570" s="11">
        <f>[1]!РЕАЛИЗАЦИЯ[[#This Row],[СОНИ]]*[1]!РЕАЛИЗАЦИЯ[[#This Row],[ТАННАРХ]]</f>
        <v>0</v>
      </c>
      <c r="L570" s="14">
        <f>[1]!РЕАЛИЗАЦИЯ[[#This Row],[ЖАМИ]]-[1]!РЕАЛИЗАЦИЯ[[#This Row],[ЖАМИ2]]</f>
        <v>968100</v>
      </c>
      <c r="O570" s="34">
        <v>46112</v>
      </c>
      <c r="P570" s="10" t="s">
        <v>206</v>
      </c>
      <c r="Q570" s="11">
        <v>3269700</v>
      </c>
      <c r="R570" s="11"/>
      <c r="S570" s="11"/>
      <c r="T570" s="12">
        <f>[1]!ПЛАТЕЖИ[[#This Row],[СЎМ]]+([1]!ПЛАТЕЖИ[[#This Row],[ВАЛЮТА]]*[1]!ПЛАТЕЖИ[[#This Row],[КУРС]])</f>
        <v>3046300</v>
      </c>
      <c r="U570" s="10"/>
      <c r="V570" s="10"/>
    </row>
    <row r="571" spans="2:22" x14ac:dyDescent="0.25">
      <c r="B571" s="1">
        <v>46109</v>
      </c>
      <c r="C571" s="2" t="s">
        <v>62</v>
      </c>
      <c r="D571" s="3" t="s">
        <v>1</v>
      </c>
      <c r="E571" s="3" t="s">
        <v>2</v>
      </c>
      <c r="F571" s="4">
        <v>52.6</v>
      </c>
      <c r="G571" s="4">
        <v>20000</v>
      </c>
      <c r="H571" s="5">
        <f>[1]!РЕАЛИЗАЦИЯ[СОНИ]*[1]!РЕАЛИЗАЦИЯ[НАРХИ]</f>
        <v>1110600</v>
      </c>
      <c r="I571" s="4"/>
      <c r="J571" s="6">
        <v>19000</v>
      </c>
      <c r="K571" s="4">
        <f>[1]!РЕАЛИЗАЦИЯ[[#This Row],[СОНИ]]*[1]!РЕАЛИЗАЦИЯ[[#This Row],[ТАННАРХ]]</f>
        <v>0</v>
      </c>
      <c r="L571" s="7">
        <f>[1]!РЕАЛИЗАЦИЯ[[#This Row],[ЖАМИ]]-[1]!РЕАЛИЗАЦИЯ[[#This Row],[ЖАМИ2]]</f>
        <v>1110600</v>
      </c>
      <c r="O571" s="33">
        <v>46112</v>
      </c>
      <c r="P571" s="3" t="s">
        <v>218</v>
      </c>
      <c r="Q571" s="4">
        <v>1916850</v>
      </c>
      <c r="R571" s="4"/>
      <c r="S571" s="4"/>
      <c r="T571" s="5">
        <f>[1]!ПЛАТЕЖИ[[#This Row],[СЎМ]]+([1]!ПЛАТЕЖИ[[#This Row],[ВАЛЮТА]]*[1]!ПЛАТЕЖИ[[#This Row],[КУРС]])</f>
        <v>3045000</v>
      </c>
      <c r="U571" s="3"/>
      <c r="V571" s="3"/>
    </row>
    <row r="572" spans="2:22" x14ac:dyDescent="0.25">
      <c r="B572" s="8">
        <v>46109</v>
      </c>
      <c r="C572" s="9" t="s">
        <v>12</v>
      </c>
      <c r="D572" s="10" t="s">
        <v>16</v>
      </c>
      <c r="E572" s="10" t="s">
        <v>2</v>
      </c>
      <c r="F572" s="11">
        <v>1052.0999999999999</v>
      </c>
      <c r="G572" s="11">
        <v>24000</v>
      </c>
      <c r="H572" s="12">
        <f>[1]!РЕАЛИЗАЦИЯ[СОНИ]*[1]!РЕАЛИЗАЦИЯ[НАРХИ]</f>
        <v>899200</v>
      </c>
      <c r="I572" s="11">
        <v>6</v>
      </c>
      <c r="J572" s="13">
        <v>20000</v>
      </c>
      <c r="K572" s="11">
        <f>[1]!РЕАЛИЗАЦИЯ[[#This Row],[СОНИ]]*[1]!РЕАЛИЗАЦИЯ[[#This Row],[ТАННАРХ]]</f>
        <v>0</v>
      </c>
      <c r="L572" s="14">
        <f>[1]!РЕАЛИЗАЦИЯ[[#This Row],[ЖАМИ]]-[1]!РЕАЛИЗАЦИЯ[[#This Row],[ЖАМИ2]]</f>
        <v>899200</v>
      </c>
      <c r="O572" s="34">
        <v>46112</v>
      </c>
      <c r="P572" s="10" t="s">
        <v>310</v>
      </c>
      <c r="Q572" s="11">
        <v>1400000</v>
      </c>
      <c r="R572" s="11"/>
      <c r="S572" s="11"/>
      <c r="T572" s="12">
        <f>[1]!ПЛАТЕЖИ[[#This Row],[СЎМ]]+([1]!ПЛАТЕЖИ[[#This Row],[ВАЛЮТА]]*[1]!ПЛАТЕЖИ[[#This Row],[КУРС]])</f>
        <v>1600000</v>
      </c>
      <c r="U572" s="10"/>
      <c r="V572" s="10"/>
    </row>
    <row r="573" spans="2:22" x14ac:dyDescent="0.25">
      <c r="B573" s="1">
        <v>46109</v>
      </c>
      <c r="C573" s="2" t="s">
        <v>12</v>
      </c>
      <c r="D573" s="3" t="s">
        <v>16</v>
      </c>
      <c r="E573" s="3" t="s">
        <v>2</v>
      </c>
      <c r="F573" s="4">
        <v>-150.1</v>
      </c>
      <c r="G573" s="4">
        <v>24000</v>
      </c>
      <c r="H573" s="5">
        <f>[1]!РЕАЛИЗАЦИЯ[СОНИ]*[1]!РЕАЛИЗАЦИЯ[НАРХИ]</f>
        <v>2461200</v>
      </c>
      <c r="I573" s="4"/>
      <c r="J573" s="6">
        <v>20000</v>
      </c>
      <c r="K573" s="4">
        <f>[1]!РЕАЛИЗАЦИЯ[[#This Row],[СОНИ]]*[1]!РЕАЛИЗАЦИЯ[[#This Row],[ТАННАРХ]]</f>
        <v>0</v>
      </c>
      <c r="L573" s="7">
        <f>[1]!РЕАЛИЗАЦИЯ[[#This Row],[ЖАМИ]]-[1]!РЕАЛИЗАЦИЯ[[#This Row],[ЖАМИ2]]</f>
        <v>2461200</v>
      </c>
      <c r="O573" s="33"/>
      <c r="P573" s="3"/>
      <c r="Q573" s="4"/>
      <c r="R573" s="4"/>
      <c r="S573" s="4"/>
      <c r="T573" s="5">
        <f>[1]!ПЛАТЕЖИ[[#This Row],[СЎМ]]+([1]!ПЛАТЕЖИ[[#This Row],[ВАЛЮТА]]*[1]!ПЛАТЕЖИ[[#This Row],[КУРС]])</f>
        <v>1140000</v>
      </c>
      <c r="U573" s="3"/>
      <c r="V573" s="3"/>
    </row>
    <row r="574" spans="2:22" x14ac:dyDescent="0.25">
      <c r="B574" s="8">
        <v>46110</v>
      </c>
      <c r="C574" s="9" t="s">
        <v>90</v>
      </c>
      <c r="D574" s="10" t="s">
        <v>1</v>
      </c>
      <c r="E574" s="10" t="s">
        <v>2</v>
      </c>
      <c r="F574" s="11">
        <v>47.7</v>
      </c>
      <c r="G574" s="11">
        <v>21000</v>
      </c>
      <c r="H574" s="12">
        <f>[1]!РЕАЛИЗАЦИЯ[СОНИ]*[1]!РЕАЛИЗАЦИЯ[НАРХИ]</f>
        <v>2232300</v>
      </c>
      <c r="I574" s="11"/>
      <c r="J574" s="13">
        <v>19000</v>
      </c>
      <c r="K574" s="11">
        <f>[1]!РЕАЛИЗАЦИЯ[[#This Row],[СОНИ]]*[1]!РЕАЛИЗАЦИЯ[[#This Row],[ТАННАРХ]]</f>
        <v>0</v>
      </c>
      <c r="L574" s="14">
        <f>[1]!РЕАЛИЗАЦИЯ[[#This Row],[ЖАМИ]]-[1]!РЕАЛИЗАЦИЯ[[#This Row],[ЖАМИ2]]</f>
        <v>2232300</v>
      </c>
      <c r="O574" s="34"/>
      <c r="P574" s="10"/>
      <c r="Q574" s="11"/>
      <c r="R574" s="11"/>
      <c r="S574" s="11"/>
      <c r="T574" s="12">
        <f>[1]!ПЛАТЕЖИ[[#This Row],[СЎМ]]+([1]!ПЛАТЕЖИ[[#This Row],[ВАЛЮТА]]*[1]!ПЛАТЕЖИ[[#This Row],[КУРС]])</f>
        <v>840000</v>
      </c>
      <c r="U574" s="10"/>
      <c r="V574" s="10"/>
    </row>
    <row r="575" spans="2:22" x14ac:dyDescent="0.25">
      <c r="B575" s="1">
        <v>46110</v>
      </c>
      <c r="C575" s="2" t="s">
        <v>213</v>
      </c>
      <c r="D575" s="3" t="s">
        <v>1</v>
      </c>
      <c r="E575" s="3" t="s">
        <v>2</v>
      </c>
      <c r="F575" s="4">
        <v>46.8</v>
      </c>
      <c r="G575" s="4">
        <v>21000</v>
      </c>
      <c r="H575" s="5">
        <f>[1]!РЕАЛИЗАЦИЯ[СОНИ]*[1]!РЕАЛИЗАЦИЯ[НАРХИ]</f>
        <v>1113000</v>
      </c>
      <c r="I575" s="4"/>
      <c r="J575" s="6">
        <v>19000</v>
      </c>
      <c r="K575" s="4">
        <f>[1]!РЕАЛИЗАЦИЯ[[#This Row],[СОНИ]]*[1]!РЕАЛИЗАЦИЯ[[#This Row],[ТАННАРХ]]</f>
        <v>0</v>
      </c>
      <c r="L575" s="7">
        <f>[1]!РЕАЛИЗАЦИЯ[[#This Row],[ЖАМИ]]-[1]!РЕАЛИЗАЦИЯ[[#This Row],[ЖАМИ2]]</f>
        <v>1113000</v>
      </c>
      <c r="O575" s="33">
        <v>46113</v>
      </c>
      <c r="P575" s="3" t="s">
        <v>0</v>
      </c>
      <c r="Q575" s="4">
        <v>1071000</v>
      </c>
      <c r="R575" s="4"/>
      <c r="S575" s="4"/>
      <c r="T575" s="5">
        <f>[1]!ПЛАТЕЖИ[[#This Row],[СЎМ]]+([1]!ПЛАТЕЖИ[[#This Row],[ВАЛЮТА]]*[1]!ПЛАТЕЖИ[[#This Row],[КУРС]])</f>
        <v>955500</v>
      </c>
      <c r="U575" s="3"/>
      <c r="V575" s="3"/>
    </row>
    <row r="576" spans="2:22" x14ac:dyDescent="0.25">
      <c r="B576" s="8">
        <v>46110</v>
      </c>
      <c r="C576" s="9" t="s">
        <v>15</v>
      </c>
      <c r="D576" s="10" t="s">
        <v>16</v>
      </c>
      <c r="E576" s="10" t="s">
        <v>2</v>
      </c>
      <c r="F576" s="11">
        <v>204.4</v>
      </c>
      <c r="G576" s="11">
        <v>22000</v>
      </c>
      <c r="H576" s="12">
        <f>[1]!РЕАЛИЗАЦИЯ[СОНИ]*[1]!РЕАЛИЗАЦИЯ[НАРХИ]</f>
        <v>823500</v>
      </c>
      <c r="I576" s="11"/>
      <c r="J576" s="13">
        <v>21000</v>
      </c>
      <c r="K576" s="11">
        <f>[1]!РЕАЛИЗАЦИЯ[[#This Row],[СОНИ]]*[1]!РЕАЛИЗАЦИЯ[[#This Row],[ТАННАРХ]]</f>
        <v>0</v>
      </c>
      <c r="L576" s="14">
        <f>[1]!РЕАЛИЗАЦИЯ[[#This Row],[ЖАМИ]]-[1]!РЕАЛИЗАЦИЯ[[#This Row],[ЖАМИ2]]</f>
        <v>823500</v>
      </c>
      <c r="O576" s="34">
        <v>46113</v>
      </c>
      <c r="P576" s="10" t="s">
        <v>217</v>
      </c>
      <c r="Q576" s="11">
        <v>954000</v>
      </c>
      <c r="R576" s="11"/>
      <c r="S576" s="11"/>
      <c r="T576" s="12">
        <f>[1]!ПЛАТЕЖИ[[#This Row],[СЎМ]]+([1]!ПЛАТЕЖИ[[#This Row],[ВАЛЮТА]]*[1]!ПЛАТЕЖИ[[#This Row],[КУРС]])</f>
        <v>4933000</v>
      </c>
      <c r="U576" s="10"/>
      <c r="V576" s="10"/>
    </row>
    <row r="577" spans="2:22" x14ac:dyDescent="0.25">
      <c r="B577" s="1">
        <v>46110</v>
      </c>
      <c r="C577" s="2" t="s">
        <v>214</v>
      </c>
      <c r="D577" s="3" t="s">
        <v>1</v>
      </c>
      <c r="E577" s="3" t="s">
        <v>2</v>
      </c>
      <c r="F577" s="4">
        <v>48.6</v>
      </c>
      <c r="G577" s="4">
        <v>20000</v>
      </c>
      <c r="H577" s="5">
        <f>[1]!РЕАЛИЗАЦИЯ[СОНИ]*[1]!РЕАЛИЗАЦИЯ[НАРХИ]</f>
        <v>1974000</v>
      </c>
      <c r="I577" s="4"/>
      <c r="J577" s="6">
        <v>19000</v>
      </c>
      <c r="K577" s="4">
        <f>[1]!РЕАЛИЗАЦИЯ[[#This Row],[СОНИ]]*[1]!РЕАЛИЗАЦИЯ[[#This Row],[ТАННАРХ]]</f>
        <v>0</v>
      </c>
      <c r="L577" s="7">
        <f>[1]!РЕАЛИЗАЦИЯ[[#This Row],[ЖАМИ]]-[1]!РЕАЛИЗАЦИЯ[[#This Row],[ЖАМИ2]]</f>
        <v>1974000</v>
      </c>
      <c r="O577" s="33">
        <v>46113</v>
      </c>
      <c r="P577" s="3" t="s">
        <v>112</v>
      </c>
      <c r="Q577" s="4">
        <v>137000</v>
      </c>
      <c r="R577" s="4">
        <v>230</v>
      </c>
      <c r="S577" s="4">
        <v>12100</v>
      </c>
      <c r="T577" s="5">
        <f>[1]!ПЛАТЕЖИ[[#This Row],[СЎМ]]+([1]!ПЛАТЕЖИ[[#This Row],[ВАЛЮТА]]*[1]!ПЛАТЕЖИ[[#This Row],[КУРС]])</f>
        <v>1117200</v>
      </c>
      <c r="U577" s="3"/>
      <c r="V577" s="3"/>
    </row>
    <row r="578" spans="2:22" x14ac:dyDescent="0.25">
      <c r="B578" s="8">
        <v>46111</v>
      </c>
      <c r="C578" s="9" t="s">
        <v>58</v>
      </c>
      <c r="D578" s="10" t="s">
        <v>1</v>
      </c>
      <c r="E578" s="10" t="s">
        <v>2</v>
      </c>
      <c r="F578" s="11">
        <v>50.4</v>
      </c>
      <c r="G578" s="11">
        <v>21000</v>
      </c>
      <c r="H578" s="12">
        <f>[1]!РЕАЛИЗАЦИЯ[СОНИ]*[1]!РЕАЛИЗАЦИЯ[НАРХИ]</f>
        <v>1257900</v>
      </c>
      <c r="I578" s="11"/>
      <c r="J578" s="13">
        <v>19000</v>
      </c>
      <c r="K578" s="11">
        <f>[1]!РЕАЛИЗАЦИЯ[[#This Row],[СОНИ]]*[1]!РЕАЛИЗАЦИЯ[[#This Row],[ТАННАРХ]]</f>
        <v>0</v>
      </c>
      <c r="L578" s="14">
        <f>[1]!РЕАЛИЗАЦИЯ[[#This Row],[ЖАМИ]]-[1]!РЕАЛИЗАЦИЯ[[#This Row],[ЖАМИ2]]</f>
        <v>1257900</v>
      </c>
      <c r="O578" s="34">
        <v>46113</v>
      </c>
      <c r="P578" s="10" t="s">
        <v>63</v>
      </c>
      <c r="Q578" s="11">
        <v>940000</v>
      </c>
      <c r="R578" s="11"/>
      <c r="S578" s="11"/>
      <c r="T578" s="12">
        <f>[1]!ПЛАТЕЖИ[[#This Row],[СЎМ]]+([1]!ПЛАТЕЖИ[[#This Row],[ВАЛЮТА]]*[1]!ПЛАТЕЖИ[[#This Row],[КУРС]])</f>
        <v>2117000</v>
      </c>
      <c r="U578" s="10"/>
      <c r="V578" s="10"/>
    </row>
    <row r="579" spans="2:22" x14ac:dyDescent="0.25">
      <c r="B579" s="1">
        <v>46111</v>
      </c>
      <c r="C579" s="2" t="s">
        <v>39</v>
      </c>
      <c r="D579" s="3" t="s">
        <v>1</v>
      </c>
      <c r="E579" s="3" t="s">
        <v>2</v>
      </c>
      <c r="F579" s="4">
        <v>980.2</v>
      </c>
      <c r="G579" s="4">
        <v>20000</v>
      </c>
      <c r="H579" s="5">
        <f>[1]!РЕАЛИЗАЦИЯ[СОНИ]*[1]!РЕАЛИЗАЦИЯ[НАРХИ]</f>
        <v>926400</v>
      </c>
      <c r="I579" s="4"/>
      <c r="J579" s="6">
        <v>19000</v>
      </c>
      <c r="K579" s="4">
        <f>[1]!РЕАЛИЗАЦИЯ[[#This Row],[СОНИ]]*[1]!РЕАЛИЗАЦИЯ[[#This Row],[ТАННАРХ]]</f>
        <v>0</v>
      </c>
      <c r="L579" s="7">
        <f>[1]!РЕАЛИЗАЦИЯ[[#This Row],[ЖАМИ]]-[1]!РЕАЛИЗАЦИЯ[[#This Row],[ЖАМИ2]]</f>
        <v>926400</v>
      </c>
      <c r="O579" s="33">
        <v>46113</v>
      </c>
      <c r="P579" s="3" t="s">
        <v>39</v>
      </c>
      <c r="Q579" s="4"/>
      <c r="R579" s="4">
        <v>1000</v>
      </c>
      <c r="S579" s="4">
        <v>12150</v>
      </c>
      <c r="T579" s="5">
        <f>[1]!ПЛАТЕЖИ[[#This Row],[СЎМ]]+([1]!ПЛАТЕЖИ[[#This Row],[ВАЛЮТА]]*[1]!ПЛАТЕЖИ[[#This Row],[КУРС]])</f>
        <v>1110900</v>
      </c>
      <c r="U579" s="3"/>
      <c r="V579" s="3"/>
    </row>
    <row r="580" spans="2:22" x14ac:dyDescent="0.25">
      <c r="B580" s="8">
        <v>46111</v>
      </c>
      <c r="C580" s="9" t="s">
        <v>5</v>
      </c>
      <c r="D580" s="10" t="s">
        <v>1</v>
      </c>
      <c r="E580" s="10" t="s">
        <v>2</v>
      </c>
      <c r="F580" s="11">
        <v>101.4</v>
      </c>
      <c r="G580" s="11">
        <v>21000</v>
      </c>
      <c r="H580" s="12">
        <f>[1]!РЕАЛИЗАЦИЯ[СОНИ]*[1]!РЕАЛИЗАЦИЯ[НАРХИ]</f>
        <v>907200.00000000012</v>
      </c>
      <c r="I580" s="11"/>
      <c r="J580" s="13">
        <v>19000</v>
      </c>
      <c r="K580" s="11">
        <f>[1]!РЕАЛИЗАЦИЯ[[#This Row],[СОНИ]]*[1]!РЕАЛИЗАЦИЯ[[#This Row],[ТАННАРХ]]</f>
        <v>0</v>
      </c>
      <c r="L580" s="14">
        <f>[1]!РЕАЛИЗАЦИЯ[[#This Row],[ЖАМИ]]-[1]!РЕАЛИЗАЦИЯ[[#This Row],[ЖАМИ2]]</f>
        <v>907200.00000000012</v>
      </c>
      <c r="O580" s="34">
        <v>46113</v>
      </c>
      <c r="P580" s="10" t="s">
        <v>293</v>
      </c>
      <c r="Q580" s="11">
        <v>100800</v>
      </c>
      <c r="R580" s="11"/>
      <c r="S580" s="11"/>
      <c r="T580" s="12">
        <f>[1]!ПЛАТЕЖИ[[#This Row],[СЎМ]]+([1]!ПЛАТЕЖИ[[#This Row],[ВАЛЮТА]]*[1]!ПЛАТЕЖИ[[#This Row],[КУРС]])</f>
        <v>719000</v>
      </c>
      <c r="U580" s="10"/>
      <c r="V580" s="10"/>
    </row>
    <row r="581" spans="2:22" x14ac:dyDescent="0.25">
      <c r="B581" s="1">
        <v>46111</v>
      </c>
      <c r="C581" s="2" t="s">
        <v>214</v>
      </c>
      <c r="D581" s="3" t="s">
        <v>1</v>
      </c>
      <c r="E581" s="3" t="s">
        <v>2</v>
      </c>
      <c r="F581" s="4">
        <v>49.9</v>
      </c>
      <c r="G581" s="4">
        <v>20000</v>
      </c>
      <c r="H581" s="5">
        <f>[1]!РЕАЛИЗАЦИЯ[СОНИ]*[1]!РЕАЛИЗАЦИЯ[НАРХИ]</f>
        <v>2110500</v>
      </c>
      <c r="I581" s="4"/>
      <c r="J581" s="6">
        <v>19000</v>
      </c>
      <c r="K581" s="4">
        <f>[1]!РЕАЛИЗАЦИЯ[[#This Row],[СОНИ]]*[1]!РЕАЛИЗАЦИЯ[[#This Row],[ТАННАРХ]]</f>
        <v>0</v>
      </c>
      <c r="L581" s="7">
        <f>[1]!РЕАЛИЗАЦИЯ[[#This Row],[ЖАМИ]]-[1]!РЕАЛИЗАЦИЯ[[#This Row],[ЖАМИ2]]</f>
        <v>2110500</v>
      </c>
      <c r="O581" s="33">
        <v>46114</v>
      </c>
      <c r="P581" s="3" t="s">
        <v>62</v>
      </c>
      <c r="Q581" s="4">
        <v>1200000</v>
      </c>
      <c r="R581" s="4"/>
      <c r="S581" s="4"/>
      <c r="T581" s="5">
        <f>[1]!ПЛАТЕЖИ[[#This Row],[СЎМ]]+([1]!ПЛАТЕЖИ[[#This Row],[ВАЛЮТА]]*[1]!ПЛАТЕЖИ[[#This Row],[КУРС]])</f>
        <v>1024800</v>
      </c>
      <c r="U581" s="3"/>
      <c r="V581" s="3"/>
    </row>
    <row r="582" spans="2:22" x14ac:dyDescent="0.25">
      <c r="B582" s="8">
        <v>46111</v>
      </c>
      <c r="C582" s="9" t="s">
        <v>48</v>
      </c>
      <c r="D582" s="10" t="s">
        <v>8</v>
      </c>
      <c r="E582" s="10" t="s">
        <v>2</v>
      </c>
      <c r="F582" s="11">
        <v>509.5</v>
      </c>
      <c r="G582" s="11">
        <v>21000</v>
      </c>
      <c r="H582" s="12">
        <f>[1]!РЕАЛИЗАЦИЯ[СОНИ]*[1]!РЕАЛИЗАЦИЯ[НАРХИ]</f>
        <v>1711800</v>
      </c>
      <c r="I582" s="11"/>
      <c r="J582" s="13">
        <v>23000</v>
      </c>
      <c r="K582" s="11">
        <f>[1]!РЕАЛИЗАЦИЯ[[#This Row],[СОНИ]]*[1]!РЕАЛИЗАЦИЯ[[#This Row],[ТАННАРХ]]</f>
        <v>0</v>
      </c>
      <c r="L582" s="14">
        <f>[1]!РЕАЛИЗАЦИЯ[[#This Row],[ЖАМИ]]-[1]!РЕАЛИЗАЦИЯ[[#This Row],[ЖАМИ2]]</f>
        <v>1711800</v>
      </c>
      <c r="O582" s="34">
        <v>46114</v>
      </c>
      <c r="P582" s="10" t="s">
        <v>219</v>
      </c>
      <c r="Q582" s="11">
        <v>1000000</v>
      </c>
      <c r="R582" s="11"/>
      <c r="S582" s="11"/>
      <c r="T582" s="12">
        <f>[1]!ПЛАТЕЖИ[[#This Row],[СЎМ]]+([1]!ПЛАТЕЖИ[[#This Row],[ВАЛЮТА]]*[1]!ПЛАТЕЖИ[[#This Row],[КУРС]])</f>
        <v>3733800</v>
      </c>
      <c r="U582" s="10"/>
      <c r="V582" s="10"/>
    </row>
    <row r="583" spans="2:22" x14ac:dyDescent="0.25">
      <c r="B583" s="1">
        <v>46111</v>
      </c>
      <c r="C583" s="2" t="s">
        <v>15</v>
      </c>
      <c r="D583" s="3" t="s">
        <v>16</v>
      </c>
      <c r="E583" s="3" t="s">
        <v>2</v>
      </c>
      <c r="F583" s="4">
        <v>213.5</v>
      </c>
      <c r="G583" s="4">
        <v>22000</v>
      </c>
      <c r="H583" s="5">
        <f>[1]!РЕАЛИЗАЦИЯ[СОНИ]*[1]!РЕАЛИЗАЦИЯ[НАРХИ]</f>
        <v>811200</v>
      </c>
      <c r="I583" s="4"/>
      <c r="J583" s="6">
        <v>21000</v>
      </c>
      <c r="K583" s="4">
        <f>[1]!РЕАЛИЗАЦИЯ[[#This Row],[СОНИ]]*[1]!РЕАЛИЗАЦИЯ[[#This Row],[ТАННАРХ]]</f>
        <v>0</v>
      </c>
      <c r="L583" s="7">
        <f>[1]!РЕАЛИЗАЦИЯ[[#This Row],[ЖАМИ]]-[1]!РЕАЛИЗАЦИЯ[[#This Row],[ЖАМИ2]]</f>
        <v>811200</v>
      </c>
      <c r="O583" s="33">
        <v>46114</v>
      </c>
      <c r="P583" s="3" t="s">
        <v>202</v>
      </c>
      <c r="Q583" s="4">
        <v>9600000</v>
      </c>
      <c r="R583" s="4"/>
      <c r="S583" s="4"/>
      <c r="T583" s="5">
        <f>[1]!ПЛАТЕЖИ[[#This Row],[СЎМ]]+([1]!ПЛАТЕЖИ[[#This Row],[ВАЛЮТА]]*[1]!ПЛАТЕЖИ[[#This Row],[КУРС]])</f>
        <v>2853900</v>
      </c>
      <c r="U583" s="3"/>
      <c r="V583" s="3"/>
    </row>
    <row r="584" spans="2:22" x14ac:dyDescent="0.25">
      <c r="B584" s="8">
        <v>46111</v>
      </c>
      <c r="C584" s="9" t="s">
        <v>215</v>
      </c>
      <c r="D584" s="10" t="s">
        <v>25</v>
      </c>
      <c r="E584" s="10" t="s">
        <v>2</v>
      </c>
      <c r="F584" s="11">
        <v>38.1</v>
      </c>
      <c r="G584" s="11">
        <v>25000</v>
      </c>
      <c r="H584" s="12">
        <f>[1]!РЕАЛИЗАЦИЯ[СОНИ]*[1]!РЕАЛИЗАЦИЯ[НАРХИ]</f>
        <v>974400</v>
      </c>
      <c r="I584" s="11"/>
      <c r="J584" s="13">
        <v>23000</v>
      </c>
      <c r="K584" s="11">
        <f>[1]!РЕАЛИЗАЦИЯ[[#This Row],[СОНИ]]*[1]!РЕАЛИЗАЦИЯ[[#This Row],[ТАННАРХ]]</f>
        <v>0</v>
      </c>
      <c r="L584" s="14">
        <f>[1]!РЕАЛИЗАЦИЯ[[#This Row],[ЖАМИ]]-[1]!РЕАЛИЗАЦИЯ[[#This Row],[ЖАМИ2]]</f>
        <v>974400</v>
      </c>
      <c r="O584" s="34">
        <v>46115</v>
      </c>
      <c r="P584" s="10" t="s">
        <v>38</v>
      </c>
      <c r="Q584" s="11">
        <v>1008000</v>
      </c>
      <c r="R584" s="11"/>
      <c r="S584" s="11"/>
      <c r="T584" s="12">
        <f>[1]!ПЛАТЕЖИ[[#This Row],[СЎМ]]+([1]!ПЛАТЕЖИ[[#This Row],[ВАЛЮТА]]*[1]!ПЛАТЕЖИ[[#This Row],[КУРС]])</f>
        <v>2180000</v>
      </c>
      <c r="U584" s="10"/>
      <c r="V584" s="10"/>
    </row>
    <row r="585" spans="2:22" x14ac:dyDescent="0.25">
      <c r="B585" s="1">
        <v>46111</v>
      </c>
      <c r="C585" s="2" t="s">
        <v>33</v>
      </c>
      <c r="D585" s="3" t="s">
        <v>10</v>
      </c>
      <c r="E585" s="3" t="s">
        <v>2</v>
      </c>
      <c r="F585" s="4">
        <v>258.5</v>
      </c>
      <c r="G585" s="4">
        <v>14500</v>
      </c>
      <c r="H585" s="5">
        <f>[1]!РЕАЛИЗАЦИЯ[СОНИ]*[1]!РЕАЛИЗАЦИЯ[НАРХИ]</f>
        <v>881600</v>
      </c>
      <c r="I585" s="4"/>
      <c r="J585" s="6">
        <v>13000</v>
      </c>
      <c r="K585" s="4">
        <f>[1]!РЕАЛИЗАЦИЯ[[#This Row],[СОНИ]]*[1]!РЕАЛИЗАЦИЯ[[#This Row],[ТАННАРХ]]</f>
        <v>0</v>
      </c>
      <c r="L585" s="7">
        <f>[1]!РЕАЛИЗАЦИЯ[[#This Row],[ЖАМИ]]-[1]!РЕАЛИЗАЦИЯ[[#This Row],[ЖАМИ2]]</f>
        <v>881600</v>
      </c>
      <c r="O585" s="33">
        <v>46115</v>
      </c>
      <c r="P585" s="3" t="s">
        <v>142</v>
      </c>
      <c r="Q585" s="4">
        <v>1804600</v>
      </c>
      <c r="R585" s="4"/>
      <c r="S585" s="4"/>
      <c r="T585" s="5">
        <f>[1]!ПЛАТЕЖИ[[#This Row],[СЎМ]]+([1]!ПЛАТЕЖИ[[#This Row],[ВАЛЮТА]]*[1]!ПЛАТЕЖИ[[#This Row],[КУРС]])</f>
        <v>1090000</v>
      </c>
      <c r="U585" s="3"/>
      <c r="V585" s="3"/>
    </row>
    <row r="586" spans="2:22" x14ac:dyDescent="0.25">
      <c r="B586" s="8">
        <v>46111</v>
      </c>
      <c r="C586" s="9" t="s">
        <v>68</v>
      </c>
      <c r="D586" s="10" t="s">
        <v>36</v>
      </c>
      <c r="E586" s="10" t="s">
        <v>2</v>
      </c>
      <c r="F586" s="11">
        <v>718</v>
      </c>
      <c r="G586" s="11">
        <v>18000</v>
      </c>
      <c r="H586" s="12">
        <f>[1]!РЕАЛИЗАЦИЯ[СОНИ]*[1]!РЕАЛИЗАЦИЯ[НАРХИ]</f>
        <v>7301700</v>
      </c>
      <c r="I586" s="11"/>
      <c r="J586" s="13">
        <v>16000</v>
      </c>
      <c r="K586" s="11">
        <f>[1]!РЕАЛИЗАЦИЯ[[#This Row],[СОНИ]]*[1]!РЕАЛИЗАЦИЯ[[#This Row],[ТАННАРХ]]</f>
        <v>2176115220</v>
      </c>
      <c r="L586" s="14">
        <f>[1]!РЕАЛИЗАЦИЯ[[#This Row],[ЖАМИ]]-[1]!РЕАЛИЗАЦИЯ[[#This Row],[ЖАМИ2]]</f>
        <v>7301352.2999999998</v>
      </c>
      <c r="O586" s="34">
        <v>46115</v>
      </c>
      <c r="P586" s="10" t="s">
        <v>32</v>
      </c>
      <c r="Q586" s="11">
        <v>1674000</v>
      </c>
      <c r="R586" s="11"/>
      <c r="S586" s="11"/>
      <c r="T586" s="12">
        <f>[1]!ПЛАТЕЖИ[[#This Row],[СЎМ]]+([1]!ПЛАТЕЖИ[[#This Row],[ВАЛЮТА]]*[1]!ПЛАТЕЖИ[[#This Row],[КУРС]])</f>
        <v>990000</v>
      </c>
      <c r="U586" s="10"/>
      <c r="V586" s="10"/>
    </row>
    <row r="587" spans="2:22" x14ac:dyDescent="0.25">
      <c r="B587" s="1">
        <v>46112</v>
      </c>
      <c r="C587" s="2" t="s">
        <v>216</v>
      </c>
      <c r="D587" s="3" t="s">
        <v>1</v>
      </c>
      <c r="E587" s="3" t="s">
        <v>2</v>
      </c>
      <c r="F587" s="4">
        <v>45.7</v>
      </c>
      <c r="G587" s="4">
        <v>20500</v>
      </c>
      <c r="H587" s="5">
        <f>[1]!РЕАЛИЗАЦИЯ[СОНИ]*[1]!РЕАЛИЗАЦИЯ[НАРХИ]</f>
        <v>556000</v>
      </c>
      <c r="I587" s="4"/>
      <c r="J587" s="6">
        <v>19000</v>
      </c>
      <c r="K587" s="4">
        <f>[1]!РЕАЛИЗАЦИЯ[[#This Row],[СОНИ]]*[1]!РЕАЛИЗАЦИЯ[[#This Row],[ТАННАРХ]]</f>
        <v>0</v>
      </c>
      <c r="L587" s="7">
        <f>[1]!РЕАЛИЗАЦИЯ[[#This Row],[ЖАМИ]]-[1]!РЕАЛИЗАЦИЯ[[#This Row],[ЖАМИ2]]</f>
        <v>556000</v>
      </c>
      <c r="O587" s="33">
        <v>46115</v>
      </c>
      <c r="P587" s="3" t="s">
        <v>100</v>
      </c>
      <c r="Q587" s="4">
        <v>996700</v>
      </c>
      <c r="R587" s="4"/>
      <c r="S587" s="4"/>
      <c r="T587" s="5">
        <f>[1]!ПЛАТЕЖИ[[#This Row],[СЎМ]]+([1]!ПЛАТЕЖИ[[#This Row],[ВАЛЮТА]]*[1]!ПЛАТЕЖИ[[#This Row],[КУРС]])</f>
        <v>5358400</v>
      </c>
      <c r="U587" s="3"/>
      <c r="V587" s="3"/>
    </row>
    <row r="588" spans="2:22" x14ac:dyDescent="0.25">
      <c r="B588" s="8">
        <v>46112</v>
      </c>
      <c r="C588" s="9" t="s">
        <v>216</v>
      </c>
      <c r="D588" s="10" t="s">
        <v>10</v>
      </c>
      <c r="E588" s="10" t="s">
        <v>2</v>
      </c>
      <c r="F588" s="11">
        <v>49.6</v>
      </c>
      <c r="G588" s="11">
        <v>15500</v>
      </c>
      <c r="H588" s="12">
        <f>[1]!РЕАЛИЗАЦИЯ[СОНИ]*[1]!РЕАЛИЗАЦИЯ[НАРХИ]</f>
        <v>3240200</v>
      </c>
      <c r="I588" s="11"/>
      <c r="J588" s="13">
        <v>13000</v>
      </c>
      <c r="K588" s="11">
        <f>[1]!РЕАЛИЗАЦИЯ[[#This Row],[СОНИ]]*[1]!РЕАЛИЗАЦИЯ[[#This Row],[ТАННАРХ]]</f>
        <v>0</v>
      </c>
      <c r="L588" s="14">
        <f>[1]!РЕАЛИЗАЦИЯ[[#This Row],[ЖАМИ]]-[1]!РЕАЛИЗАЦИЯ[[#This Row],[ЖАМИ2]]</f>
        <v>3240200</v>
      </c>
      <c r="O588" s="34">
        <v>46115</v>
      </c>
      <c r="P588" s="10" t="s">
        <v>311</v>
      </c>
      <c r="Q588" s="11">
        <v>1000000</v>
      </c>
      <c r="R588" s="11"/>
      <c r="S588" s="11"/>
      <c r="T588" s="12">
        <f>[1]!ПЛАТЕЖИ[[#This Row],[СЎМ]]+([1]!ПЛАТЕЖИ[[#This Row],[ВАЛЮТА]]*[1]!ПЛАТЕЖИ[[#This Row],[КУРС]])</f>
        <v>1880000</v>
      </c>
      <c r="U588" s="10"/>
      <c r="V588" s="10" t="s">
        <v>275</v>
      </c>
    </row>
    <row r="589" spans="2:22" x14ac:dyDescent="0.25">
      <c r="B589" s="1">
        <v>46112</v>
      </c>
      <c r="C589" s="2" t="s">
        <v>109</v>
      </c>
      <c r="D589" s="3" t="s">
        <v>10</v>
      </c>
      <c r="E589" s="3" t="s">
        <v>2</v>
      </c>
      <c r="F589" s="4">
        <v>50.6</v>
      </c>
      <c r="G589" s="4">
        <v>16000</v>
      </c>
      <c r="H589" s="5">
        <f>[1]!РЕАЛИЗАЦИЯ[СОНИ]*[1]!РЕАЛИЗАЦИЯ[НАРХИ]</f>
        <v>2305800</v>
      </c>
      <c r="I589" s="4"/>
      <c r="J589" s="6">
        <v>13000</v>
      </c>
      <c r="K589" s="4">
        <f>[1]!РЕАЛИЗАЦИЯ[[#This Row],[СОНИ]]*[1]!РЕАЛИЗАЦИЯ[[#This Row],[ТАННАРХ]]</f>
        <v>0</v>
      </c>
      <c r="L589" s="7">
        <f>[1]!РЕАЛИЗАЦИЯ[[#This Row],[ЖАМИ]]-[1]!РЕАЛИЗАЦИЯ[[#This Row],[ЖАМИ2]]</f>
        <v>2305800</v>
      </c>
      <c r="O589" s="33">
        <v>46115</v>
      </c>
      <c r="P589" s="3" t="s">
        <v>216</v>
      </c>
      <c r="Q589" s="4">
        <v>1705650</v>
      </c>
      <c r="R589" s="4"/>
      <c r="S589" s="4"/>
      <c r="T589" s="5">
        <f>[1]!ПЛАТЕЖИ[[#This Row],[СЎМ]]+([1]!ПЛАТЕЖИ[[#This Row],[ВАЛЮТА]]*[1]!ПЛАТЕЖИ[[#This Row],[КУРС]])</f>
        <v>3332200</v>
      </c>
      <c r="U589" s="3"/>
      <c r="V589" s="3" t="s">
        <v>279</v>
      </c>
    </row>
    <row r="590" spans="2:22" x14ac:dyDescent="0.25">
      <c r="B590" s="8">
        <v>46112</v>
      </c>
      <c r="C590" s="9" t="s">
        <v>109</v>
      </c>
      <c r="D590" s="10" t="s">
        <v>1</v>
      </c>
      <c r="E590" s="10" t="s">
        <v>2</v>
      </c>
      <c r="F590" s="11">
        <v>50.1</v>
      </c>
      <c r="G590" s="11">
        <v>21000</v>
      </c>
      <c r="H590" s="12">
        <f>[1]!РЕАЛИЗАЦИЯ[СОНИ]*[1]!РЕАЛИЗАЦИЯ[НАРХИ]</f>
        <v>878400</v>
      </c>
      <c r="I590" s="11"/>
      <c r="J590" s="13">
        <v>19000</v>
      </c>
      <c r="K590" s="11">
        <f>[1]!РЕАЛИЗАЦИЯ[[#This Row],[СОНИ]]*[1]!РЕАЛИЗАЦИЯ[[#This Row],[ТАННАРХ]]</f>
        <v>0</v>
      </c>
      <c r="L590" s="14">
        <f>[1]!РЕАЛИЗАЦИЯ[[#This Row],[ЖАМИ]]-[1]!РЕАЛИЗАЦИЯ[[#This Row],[ЖАМИ2]]</f>
        <v>878400</v>
      </c>
      <c r="O590" s="34">
        <v>46115</v>
      </c>
      <c r="P590" s="10" t="s">
        <v>76</v>
      </c>
      <c r="Q590" s="11">
        <v>1066800</v>
      </c>
      <c r="R590" s="11"/>
      <c r="S590" s="11"/>
      <c r="T590" s="12">
        <f>[1]!ПЛАТЕЖИ[[#This Row],[СЎМ]]+([1]!ПЛАТЕЖИ[[#This Row],[ВАЛЮТА]]*[1]!ПЛАТЕЖИ[[#This Row],[КУРС]])</f>
        <v>2008000</v>
      </c>
      <c r="U590" s="10"/>
      <c r="V590" s="10"/>
    </row>
    <row r="591" spans="2:22" x14ac:dyDescent="0.25">
      <c r="B591" s="1">
        <v>46112</v>
      </c>
      <c r="C591" s="2" t="s">
        <v>21</v>
      </c>
      <c r="D591" s="3" t="s">
        <v>1</v>
      </c>
      <c r="E591" s="3" t="s">
        <v>2</v>
      </c>
      <c r="F591" s="4">
        <v>43.6</v>
      </c>
      <c r="G591" s="4">
        <v>21000</v>
      </c>
      <c r="H591" s="5">
        <f>[1]!РЕАЛИЗАЦИЯ[СОНИ]*[1]!РЕАЛИЗАЦИЯ[НАРХИ]</f>
        <v>1062600</v>
      </c>
      <c r="I591" s="4"/>
      <c r="J591" s="6">
        <v>19000</v>
      </c>
      <c r="K591" s="4">
        <f>[1]!РЕАЛИЗАЦИЯ[[#This Row],[СОНИ]]*[1]!РЕАЛИЗАЦИЯ[[#This Row],[ТАННАРХ]]</f>
        <v>0</v>
      </c>
      <c r="L591" s="7">
        <f>[1]!РЕАЛИЗАЦИЯ[[#This Row],[ЖАМИ]]-[1]!РЕАЛИЗАЦИЯ[[#This Row],[ЖАМИ2]]</f>
        <v>1062600</v>
      </c>
      <c r="O591" s="33">
        <v>46115</v>
      </c>
      <c r="P591" s="3" t="s">
        <v>70</v>
      </c>
      <c r="Q591" s="4">
        <v>100000</v>
      </c>
      <c r="R591" s="4"/>
      <c r="S591" s="4"/>
      <c r="T591" s="5">
        <f>[1]!ПЛАТЕЖИ[[#This Row],[СЎМ]]+([1]!ПЛАТЕЖИ[[#This Row],[ВАЛЮТА]]*[1]!ПЛАТЕЖИ[[#This Row],[КУРС]])</f>
        <v>1043000</v>
      </c>
      <c r="U591" s="3"/>
      <c r="V591" s="3"/>
    </row>
    <row r="592" spans="2:22" x14ac:dyDescent="0.25">
      <c r="B592" s="8">
        <v>46112</v>
      </c>
      <c r="C592" s="9" t="s">
        <v>217</v>
      </c>
      <c r="D592" s="10" t="s">
        <v>1</v>
      </c>
      <c r="E592" s="10" t="s">
        <v>2</v>
      </c>
      <c r="F592" s="11">
        <v>47.7</v>
      </c>
      <c r="G592" s="11">
        <v>20000</v>
      </c>
      <c r="H592" s="12">
        <f>[1]!РЕАЛИЗАЦИЯ[СОНИ]*[1]!РЕАЛИЗАЦИЯ[НАРХИ]</f>
        <v>2950500</v>
      </c>
      <c r="I592" s="11"/>
      <c r="J592" s="13">
        <v>19000</v>
      </c>
      <c r="K592" s="11">
        <f>[1]!РЕАЛИЗАЦИЯ[[#This Row],[СОНИ]]*[1]!РЕАЛИЗАЦИЯ[[#This Row],[ТАННАРХ]]</f>
        <v>0</v>
      </c>
      <c r="L592" s="14">
        <f>[1]!РЕАЛИЗАЦИЯ[[#This Row],[ЖАМИ]]-[1]!РЕАЛИЗАЦИЯ[[#This Row],[ЖАМИ2]]</f>
        <v>2950500</v>
      </c>
      <c r="O592" s="34">
        <v>46115</v>
      </c>
      <c r="P592" s="10" t="s">
        <v>59</v>
      </c>
      <c r="Q592" s="11">
        <v>2051700</v>
      </c>
      <c r="R592" s="11"/>
      <c r="S592" s="11"/>
      <c r="T592" s="12">
        <f>[1]!ПЛАТЕЖИ[[#This Row],[СЎМ]]+([1]!ПЛАТЕЖИ[[#This Row],[ВАЛЮТА]]*[1]!ПЛАТЕЖИ[[#This Row],[КУРС]])</f>
        <v>1500000</v>
      </c>
      <c r="U592" s="10"/>
      <c r="V592" s="10"/>
    </row>
    <row r="593" spans="2:22" x14ac:dyDescent="0.25">
      <c r="B593" s="1">
        <v>46112</v>
      </c>
      <c r="C593" s="2" t="s">
        <v>63</v>
      </c>
      <c r="D593" s="3" t="s">
        <v>1</v>
      </c>
      <c r="E593" s="3" t="s">
        <v>2</v>
      </c>
      <c r="F593" s="4">
        <v>47</v>
      </c>
      <c r="G593" s="4">
        <v>20000</v>
      </c>
      <c r="H593" s="5">
        <f>[1]!РЕАЛИЗАЦИЯ[СОНИ]*[1]!РЕАЛИЗАЦИЯ[НАРХИ]</f>
        <v>2127300</v>
      </c>
      <c r="I593" s="4"/>
      <c r="J593" s="6">
        <v>19000</v>
      </c>
      <c r="K593" s="4">
        <f>[1]!РЕАЛИЗАЦИЯ[[#This Row],[СОНИ]]*[1]!РЕАЛИЗАЦИЯ[[#This Row],[ТАННАРХ]]</f>
        <v>0</v>
      </c>
      <c r="L593" s="7">
        <f>[1]!РЕАЛИЗАЦИЯ[[#This Row],[ЖАМИ]]-[1]!РЕАЛИЗАЦИЯ[[#This Row],[ЖАМИ2]]</f>
        <v>2127300</v>
      </c>
      <c r="O593" s="33">
        <v>46115</v>
      </c>
      <c r="P593" s="3" t="s">
        <v>55</v>
      </c>
      <c r="Q593" s="4">
        <v>300000</v>
      </c>
      <c r="R593" s="4"/>
      <c r="S593" s="4"/>
      <c r="T593" s="5">
        <f>[1]!ПЛАТЕЖИ[[#This Row],[СЎМ]]+([1]!ПЛАТЕЖИ[[#This Row],[ВАЛЮТА]]*[1]!ПЛАТЕЖИ[[#This Row],[КУРС]])</f>
        <v>1039500</v>
      </c>
      <c r="U593" s="3"/>
      <c r="V593" s="3"/>
    </row>
    <row r="594" spans="2:22" x14ac:dyDescent="0.25">
      <c r="B594" s="8">
        <v>46112</v>
      </c>
      <c r="C594" s="9" t="s">
        <v>33</v>
      </c>
      <c r="D594" s="10" t="s">
        <v>1</v>
      </c>
      <c r="E594" s="10" t="s">
        <v>2</v>
      </c>
      <c r="F594" s="11">
        <v>455.4</v>
      </c>
      <c r="G594" s="11">
        <v>20500</v>
      </c>
      <c r="H594" s="12">
        <f>[1]!РЕАЛИЗАЦИЯ[СОНИ]*[1]!РЕАЛИЗАЦИЯ[НАРХИ]</f>
        <v>814400</v>
      </c>
      <c r="I594" s="11"/>
      <c r="J594" s="13">
        <v>19000</v>
      </c>
      <c r="K594" s="11">
        <f>[1]!РЕАЛИЗАЦИЯ[[#This Row],[СОНИ]]*[1]!РЕАЛИЗАЦИЯ[[#This Row],[ТАННАРХ]]</f>
        <v>0</v>
      </c>
      <c r="L594" s="14">
        <f>[1]!РЕАЛИЗАЦИЯ[[#This Row],[ЖАМИ]]-[1]!РЕАЛИЗАЦИЯ[[#This Row],[ЖАМИ2]]</f>
        <v>814400</v>
      </c>
      <c r="O594" s="34">
        <v>46115</v>
      </c>
      <c r="P594" s="10" t="s">
        <v>82</v>
      </c>
      <c r="Q594" s="11"/>
      <c r="R594" s="11">
        <v>100</v>
      </c>
      <c r="S594" s="11">
        <v>12100</v>
      </c>
      <c r="T594" s="12">
        <f>[1]!ПЛАТЕЖИ[[#This Row],[СЎМ]]+([1]!ПЛАТЕЖИ[[#This Row],[ВАЛЮТА]]*[1]!ПЛАТЕЖИ[[#This Row],[КУРС]])</f>
        <v>4630000</v>
      </c>
      <c r="U594" s="10"/>
      <c r="V594" s="10"/>
    </row>
    <row r="595" spans="2:22" x14ac:dyDescent="0.25">
      <c r="B595" s="1">
        <v>46112</v>
      </c>
      <c r="C595" s="2" t="s">
        <v>33</v>
      </c>
      <c r="D595" s="3" t="s">
        <v>10</v>
      </c>
      <c r="E595" s="3" t="s">
        <v>2</v>
      </c>
      <c r="F595" s="4">
        <v>356.7</v>
      </c>
      <c r="G595" s="4">
        <v>14500</v>
      </c>
      <c r="H595" s="5">
        <f>[1]!РЕАЛИЗАЦИЯ[СОНИ]*[1]!РЕАЛИЗАЦИЯ[НАРХИ]</f>
        <v>4153800.0000000005</v>
      </c>
      <c r="I595" s="4"/>
      <c r="J595" s="6">
        <v>13000</v>
      </c>
      <c r="K595" s="4">
        <f>[1]!РЕАЛИЗАЦИЯ[[#This Row],[СОНИ]]*[1]!РЕАЛИЗАЦИЯ[[#This Row],[ТАННАРХ]]</f>
        <v>0</v>
      </c>
      <c r="L595" s="7">
        <f>[1]!РЕАЛИЗАЦИЯ[[#This Row],[ЖАМИ]]-[1]!РЕАЛИЗАЦИЯ[[#This Row],[ЖАМИ2]]</f>
        <v>4153800.0000000005</v>
      </c>
      <c r="O595" s="33">
        <v>46115</v>
      </c>
      <c r="P595" s="3" t="s">
        <v>144</v>
      </c>
      <c r="Q595" s="4">
        <v>800000</v>
      </c>
      <c r="R595" s="4"/>
      <c r="S595" s="4"/>
      <c r="T595" s="5">
        <f>[1]!ПЛАТЕЖИ[[#This Row],[СЎМ]]+([1]!ПЛАТЕЖИ[[#This Row],[ВАЛЮТА]]*[1]!ПЛАТЕЖИ[[#This Row],[КУРС]])</f>
        <v>0</v>
      </c>
      <c r="U595" s="3"/>
      <c r="V595" s="3"/>
    </row>
    <row r="596" spans="2:22" x14ac:dyDescent="0.25">
      <c r="B596" s="8">
        <v>46112</v>
      </c>
      <c r="C596" s="9" t="s">
        <v>112</v>
      </c>
      <c r="D596" s="10" t="s">
        <v>1</v>
      </c>
      <c r="E596" s="10" t="s">
        <v>2</v>
      </c>
      <c r="F596" s="11">
        <v>54.1</v>
      </c>
      <c r="G596" s="11">
        <v>21000</v>
      </c>
      <c r="H596" s="12">
        <f>[1]!РЕАЛИЗАЦИЯ[СОНИ]*[1]!РЕАЛИЗАЦИЯ[НАРХИ]</f>
        <v>1200465</v>
      </c>
      <c r="I596" s="11"/>
      <c r="J596" s="13">
        <v>19000</v>
      </c>
      <c r="K596" s="11">
        <f>[1]!РЕАЛИЗАЦИЯ[[#This Row],[СОНИ]]*[1]!РЕАЛИЗАЦИЯ[[#This Row],[ТАННАРХ]]</f>
        <v>0</v>
      </c>
      <c r="L596" s="14">
        <f>[1]!РЕАЛИЗАЦИЯ[[#This Row],[ЖАМИ]]-[1]!РЕАЛИЗАЦИЯ[[#This Row],[ЖАМИ2]]</f>
        <v>1200465</v>
      </c>
      <c r="O596" s="34">
        <v>46115</v>
      </c>
      <c r="P596" s="10" t="s">
        <v>89</v>
      </c>
      <c r="Q596" s="11">
        <v>37500000</v>
      </c>
      <c r="R596" s="11"/>
      <c r="S596" s="11"/>
      <c r="T596" s="12">
        <f>[1]!ПЛАТЕЖИ[[#This Row],[СЎМ]]+([1]!ПЛАТЕЖИ[[#This Row],[ВАЛЮТА]]*[1]!ПЛАТЕЖИ[[#This Row],[КУРС]])</f>
        <v>1899000</v>
      </c>
      <c r="U596" s="10"/>
      <c r="V596" s="10"/>
    </row>
    <row r="597" spans="2:22" x14ac:dyDescent="0.25">
      <c r="B597" s="1">
        <v>46112</v>
      </c>
      <c r="C597" s="2" t="s">
        <v>112</v>
      </c>
      <c r="D597" s="3" t="s">
        <v>10</v>
      </c>
      <c r="E597" s="3" t="s">
        <v>2</v>
      </c>
      <c r="F597" s="4">
        <v>99.1</v>
      </c>
      <c r="G597" s="4">
        <v>16000</v>
      </c>
      <c r="H597" s="5">
        <f>[1]!РЕАЛИЗАЦИЯ[СОНИ]*[1]!РЕАЛИЗАЦИЯ[НАРХИ]</f>
        <v>1054200</v>
      </c>
      <c r="I597" s="4"/>
      <c r="J597" s="6">
        <v>13000</v>
      </c>
      <c r="K597" s="4">
        <f>[1]!РЕАЛИЗАЦИЯ[[#This Row],[СОНИ]]*[1]!РЕАЛИЗАЦИЯ[[#This Row],[ТАННАРХ]]</f>
        <v>0</v>
      </c>
      <c r="L597" s="7">
        <f>[1]!РЕАЛИЗАЦИЯ[[#This Row],[ЖАМИ]]-[1]!РЕАЛИЗАЦИЯ[[#This Row],[ЖАМИ2]]</f>
        <v>1054200</v>
      </c>
      <c r="O597" s="33">
        <v>46116</v>
      </c>
      <c r="P597" s="3" t="s">
        <v>222</v>
      </c>
      <c r="Q597" s="4">
        <v>4754500</v>
      </c>
      <c r="R597" s="4"/>
      <c r="S597" s="4"/>
      <c r="T597" s="5">
        <f>[1]!ПЛАТЕЖИ[[#This Row],[СЎМ]]+([1]!ПЛАТЕЖИ[[#This Row],[ВАЛЮТА]]*[1]!ПЛАТЕЖИ[[#This Row],[КУРС]])</f>
        <v>28432800</v>
      </c>
      <c r="U597" s="3"/>
      <c r="V597" s="3"/>
    </row>
    <row r="598" spans="2:22" x14ac:dyDescent="0.25">
      <c r="B598" s="8">
        <v>46112</v>
      </c>
      <c r="C598" s="9" t="s">
        <v>27</v>
      </c>
      <c r="D598" s="10" t="s">
        <v>10</v>
      </c>
      <c r="E598" s="10" t="s">
        <v>2</v>
      </c>
      <c r="F598" s="11">
        <v>1409.5</v>
      </c>
      <c r="G598" s="11">
        <v>14500</v>
      </c>
      <c r="H598" s="12">
        <f>[1]!РЕАЛИЗАЦИЯ[СОНИ]*[1]!РЕАЛИЗАЦИЯ[НАРХИ]</f>
        <v>888000</v>
      </c>
      <c r="I598" s="11"/>
      <c r="J598" s="13">
        <v>13000</v>
      </c>
      <c r="K598" s="11">
        <f>[1]!РЕАЛИЗАЦИЯ[[#This Row],[СОНИ]]*[1]!РЕАЛИЗАЦИЯ[[#This Row],[ТАННАРХ]]</f>
        <v>0</v>
      </c>
      <c r="L598" s="14">
        <f>[1]!РЕАЛИЗАЦИЯ[[#This Row],[ЖАМИ]]-[1]!РЕАЛИЗАЦИЯ[[#This Row],[ЖАМИ2]]</f>
        <v>888000</v>
      </c>
      <c r="O598" s="30">
        <v>46116</v>
      </c>
      <c r="P598" s="31" t="s">
        <v>202</v>
      </c>
      <c r="Q598" s="13">
        <v>5000000</v>
      </c>
      <c r="R598" s="13"/>
      <c r="S598" s="13"/>
      <c r="T598" s="32">
        <f>[1]!ПЛАТЕЖИ[[#This Row],[СЎМ]]+([1]!ПЛАТЕЖИ[[#This Row],[ВАЛЮТА]]*[1]!ПЛАТЕЖИ[[#This Row],[КУРС]])</f>
        <v>5131000</v>
      </c>
      <c r="U598" s="31"/>
      <c r="V598" s="31"/>
    </row>
    <row r="599" spans="2:22" x14ac:dyDescent="0.25">
      <c r="B599" s="1">
        <v>46112</v>
      </c>
      <c r="C599" s="2" t="s">
        <v>27</v>
      </c>
      <c r="D599" s="3" t="s">
        <v>1</v>
      </c>
      <c r="E599" s="3" t="s">
        <v>2</v>
      </c>
      <c r="F599" s="4">
        <v>837</v>
      </c>
      <c r="G599" s="4">
        <v>20500</v>
      </c>
      <c r="H599" s="5">
        <f>[1]!РЕАЛИЗАЦИЯ[СОНИ]*[1]!РЕАЛИЗАЦИЯ[НАРХИ]</f>
        <v>1150800</v>
      </c>
      <c r="I599" s="4"/>
      <c r="J599" s="6">
        <v>19000</v>
      </c>
      <c r="K599" s="4">
        <f>[1]!РЕАЛИЗАЦИЯ[[#This Row],[СОНИ]]*[1]!РЕАЛИЗАЦИЯ[[#This Row],[ТАННАРХ]]</f>
        <v>0</v>
      </c>
      <c r="L599" s="7">
        <f>[1]!РЕАЛИЗАЦИЯ[[#This Row],[ЖАМИ]]-[1]!РЕАЛИЗАЦИЯ[[#This Row],[ЖАМИ2]]</f>
        <v>1150800</v>
      </c>
      <c r="O599" s="27">
        <v>46117</v>
      </c>
      <c r="P599" s="28" t="s">
        <v>164</v>
      </c>
      <c r="Q599" s="6">
        <v>980500</v>
      </c>
      <c r="R599" s="6"/>
      <c r="S599" s="6"/>
      <c r="T599" s="29">
        <f>[1]!ПЛАТЕЖИ[[#This Row],[СЎМ]]+([1]!ПЛАТЕЖИ[[#This Row],[ВАЛЮТА]]*[1]!ПЛАТЕЖИ[[#This Row],[КУРС]])</f>
        <v>990000</v>
      </c>
      <c r="U599" s="28"/>
      <c r="V599" s="28"/>
    </row>
    <row r="600" spans="2:22" x14ac:dyDescent="0.25">
      <c r="B600" s="8">
        <v>46112</v>
      </c>
      <c r="C600" s="9" t="s">
        <v>218</v>
      </c>
      <c r="D600" s="10" t="s">
        <v>1</v>
      </c>
      <c r="E600" s="10" t="s">
        <v>2</v>
      </c>
      <c r="F600" s="11">
        <v>98.3</v>
      </c>
      <c r="G600" s="11">
        <v>19500</v>
      </c>
      <c r="H600" s="12">
        <f>[1]!РЕАЛИЗАЦИЯ[СОНИ]*[1]!РЕАЛИЗАЦИЯ[НАРХИ]</f>
        <v>2179800</v>
      </c>
      <c r="I600" s="11"/>
      <c r="J600" s="13">
        <v>19000</v>
      </c>
      <c r="K600" s="11">
        <f>[1]!РЕАЛИЗАЦИЯ[[#This Row],[СОНИ]]*[1]!РЕАЛИЗАЦИЯ[[#This Row],[ТАННАРХ]]</f>
        <v>0</v>
      </c>
      <c r="L600" s="14">
        <f>[1]!РЕАЛИЗАЦИЯ[[#This Row],[ЖАМИ]]-[1]!РЕАЛИЗАЦИЯ[[#This Row],[ЖАМИ2]]</f>
        <v>2179800</v>
      </c>
      <c r="O600" s="30">
        <v>46117</v>
      </c>
      <c r="P600" s="31" t="s">
        <v>6</v>
      </c>
      <c r="Q600" s="13">
        <v>3071900</v>
      </c>
      <c r="R600" s="13"/>
      <c r="S600" s="13"/>
      <c r="T600" s="32">
        <f>[1]!ПЛАТЕЖИ[[#This Row],[СЎМ]]+([1]!ПЛАТЕЖИ[[#This Row],[ВАЛЮТА]]*[1]!ПЛАТЕЖИ[[#This Row],[КУРС]])</f>
        <v>400000</v>
      </c>
      <c r="U600" s="31"/>
      <c r="V600" s="31" t="s">
        <v>275</v>
      </c>
    </row>
    <row r="601" spans="2:22" x14ac:dyDescent="0.25">
      <c r="B601" s="1">
        <v>46112</v>
      </c>
      <c r="C601" s="2" t="s">
        <v>12</v>
      </c>
      <c r="D601" s="3" t="s">
        <v>16</v>
      </c>
      <c r="E601" s="3" t="s">
        <v>2</v>
      </c>
      <c r="F601" s="4">
        <v>1070.4000000000001</v>
      </c>
      <c r="G601" s="4">
        <v>24000</v>
      </c>
      <c r="H601" s="5">
        <f>[1]!РЕАЛИЗАЦИЯ[СОНИ]*[1]!РЕАЛИЗАЦИЯ[НАРХИ]</f>
        <v>4250400</v>
      </c>
      <c r="I601" s="4">
        <v>6</v>
      </c>
      <c r="J601" s="6">
        <v>20000</v>
      </c>
      <c r="K601" s="4">
        <f>[1]!РЕАЛИЗАЦИЯ[[#This Row],[СОНИ]]*[1]!РЕАЛИЗАЦИЯ[[#This Row],[ТАННАРХ]]</f>
        <v>0</v>
      </c>
      <c r="L601" s="7">
        <f>[1]!РЕАЛИЗАЦИЯ[[#This Row],[ЖАМИ]]-[1]!РЕАЛИЗАЦИЯ[[#This Row],[ЖАМИ2]]</f>
        <v>4250400</v>
      </c>
      <c r="O601" s="27">
        <v>46100</v>
      </c>
      <c r="P601" s="28" t="s">
        <v>65</v>
      </c>
      <c r="Q601" s="6">
        <v>10000000</v>
      </c>
      <c r="R601" s="6"/>
      <c r="S601" s="6"/>
      <c r="T601" s="29">
        <f>[1]!ПЛАТЕЖИ[[#This Row],[СЎМ]]+([1]!ПЛАТЕЖИ[[#This Row],[ВАЛЮТА]]*[1]!ПЛАТЕЖИ[[#This Row],[КУРС]])</f>
        <v>2157000</v>
      </c>
      <c r="U601" s="28"/>
      <c r="V601" s="28" t="s">
        <v>279</v>
      </c>
    </row>
    <row r="602" spans="2:22" x14ac:dyDescent="0.25">
      <c r="B602" s="8"/>
      <c r="C602" s="9"/>
      <c r="D602" s="10"/>
      <c r="E602" s="10"/>
      <c r="F602" s="11"/>
      <c r="G602" s="11"/>
      <c r="H602" s="12">
        <f>[1]!РЕАЛИЗАЦИЯ[СОНИ]*[1]!РЕАЛИЗАЦИЯ[НАРХИ]</f>
        <v>1129800</v>
      </c>
      <c r="I602" s="11"/>
      <c r="J602" s="13"/>
      <c r="K602" s="11"/>
      <c r="L602" s="14">
        <f>[1]!РЕАЛИЗАЦИЯ[[#This Row],[ЖАМИ]]-[1]!РЕАЛИЗАЦИЯ[[#This Row],[ЖАМИ2]]</f>
        <v>1129800</v>
      </c>
      <c r="O602" s="30">
        <v>46117</v>
      </c>
      <c r="P602" s="31" t="s">
        <v>173</v>
      </c>
      <c r="Q602" s="13">
        <v>500000</v>
      </c>
      <c r="R602" s="13"/>
      <c r="S602" s="13"/>
      <c r="T602" s="32">
        <f>[1]!ПЛАТЕЖИ[[#This Row],[СЎМ]]+([1]!ПЛАТЕЖИ[[#This Row],[ВАЛЮТА]]*[1]!ПЛАТЕЖИ[[#This Row],[КУРС]])</f>
        <v>844000</v>
      </c>
      <c r="U602" s="31"/>
      <c r="V602" s="31" t="s">
        <v>275</v>
      </c>
    </row>
    <row r="603" spans="2:22" x14ac:dyDescent="0.25">
      <c r="B603" s="1">
        <v>46113</v>
      </c>
      <c r="C603" s="2" t="s">
        <v>12</v>
      </c>
      <c r="D603" s="3" t="s">
        <v>16</v>
      </c>
      <c r="E603" s="3" t="s">
        <v>2</v>
      </c>
      <c r="F603" s="4">
        <v>1510.4</v>
      </c>
      <c r="G603" s="4">
        <v>24000</v>
      </c>
      <c r="H603" s="5">
        <f>[1]!РЕАЛИЗАЦИЯ[СОНИ]*[1]!РЕАЛИЗАЦИЯ[НАРХИ]</f>
        <v>3932000</v>
      </c>
      <c r="I603" s="4">
        <v>6</v>
      </c>
      <c r="J603" s="6">
        <v>20000</v>
      </c>
      <c r="K603" s="4">
        <f>[1]!РЕАЛИЗАЦИЯ[[#This Row],[СОНИ]]*[1]!РЕАЛИЗАЦИЯ[[#This Row],[ТАННАРХ]]</f>
        <v>695728080</v>
      </c>
      <c r="L603" s="7">
        <f>[1]!РЕАЛИЗАЦИЯ[[#This Row],[ЖАМИ]]-[1]!РЕАЛИЗАЦИЯ[[#This Row],[ЖАМИ2]]</f>
        <v>3931803.4</v>
      </c>
      <c r="O603" s="27">
        <v>46117</v>
      </c>
      <c r="P603" s="28" t="s">
        <v>96</v>
      </c>
      <c r="Q603" s="6">
        <v>500000</v>
      </c>
      <c r="R603" s="6"/>
      <c r="S603" s="6"/>
      <c r="T603" s="29">
        <f>[1]!ПЛАТЕЖИ[[#This Row],[СЎМ]]+([1]!ПЛАТЕЖИ[[#This Row],[ВАЛЮТА]]*[1]!ПЛАТЕЖИ[[#This Row],[КУРС]])</f>
        <v>1860000</v>
      </c>
      <c r="U603" s="28"/>
      <c r="V603" s="28"/>
    </row>
    <row r="604" spans="2:22" x14ac:dyDescent="0.25">
      <c r="B604" s="8">
        <v>46113</v>
      </c>
      <c r="C604" s="9" t="s">
        <v>27</v>
      </c>
      <c r="D604" s="10" t="s">
        <v>10</v>
      </c>
      <c r="E604" s="10" t="s">
        <v>2</v>
      </c>
      <c r="F604" s="11">
        <v>508.8</v>
      </c>
      <c r="G604" s="11">
        <v>14500</v>
      </c>
      <c r="H604" s="12">
        <f>[1]!РЕАЛИЗАЦИЯ[СОНИ]*[1]!РЕАЛИЗАЦИЯ[НАРХИ]</f>
        <v>4078199.9999999995</v>
      </c>
      <c r="I604" s="11"/>
      <c r="J604" s="13">
        <v>13000</v>
      </c>
      <c r="K604" s="11">
        <f>[1]!РЕАЛИЗАЦИЯ[[#This Row],[СОНИ]]*[1]!РЕАЛИЗАЦИЯ[[#This Row],[ТАННАРХ]]</f>
        <v>678845520</v>
      </c>
      <c r="L604" s="14">
        <f>[1]!РЕАЛИЗАЦИЯ[[#This Row],[ЖАМИ]]-[1]!РЕАЛИЗАЦИЯ[[#This Row],[ЖАМИ2]]</f>
        <v>4078005.7999999993</v>
      </c>
      <c r="O604" s="30">
        <v>46117</v>
      </c>
      <c r="P604" s="31" t="s">
        <v>28</v>
      </c>
      <c r="Q604" s="13">
        <v>500000</v>
      </c>
      <c r="R604" s="13"/>
      <c r="S604" s="13"/>
      <c r="T604" s="32">
        <f>[1]!ПЛАТЕЖИ[[#This Row],[СЎМ]]+([1]!ПЛАТЕЖИ[[#This Row],[ВАЛЮТА]]*[1]!ПЛАТЕЖИ[[#This Row],[КУРС]])</f>
        <v>1480000</v>
      </c>
      <c r="U604" s="31"/>
      <c r="V604" s="31"/>
    </row>
    <row r="605" spans="2:22" x14ac:dyDescent="0.25">
      <c r="B605" s="1">
        <v>46113</v>
      </c>
      <c r="C605" s="2" t="s">
        <v>0</v>
      </c>
      <c r="D605" s="3" t="s">
        <v>1</v>
      </c>
      <c r="E605" s="3" t="s">
        <v>2</v>
      </c>
      <c r="F605" s="4">
        <v>51</v>
      </c>
      <c r="G605" s="4">
        <v>21000</v>
      </c>
      <c r="H605" s="5">
        <f>[1]!РЕАЛИЗАЦИЯ[СОНИ]*[1]!РЕАЛИЗАЦИЯ[НАРХИ]</f>
        <v>22166650</v>
      </c>
      <c r="I605" s="4"/>
      <c r="J605" s="6">
        <v>19000</v>
      </c>
      <c r="K605" s="4">
        <f>[1]!РЕАЛИЗАЦИЯ[[#This Row],[СОНИ]]*[1]!РЕАЛИЗАЦИЯ[[#This Row],[ТАННАРХ]]</f>
        <v>0</v>
      </c>
      <c r="L605" s="7">
        <f>[1]!РЕАЛИЗАЦИЯ[[#This Row],[ЖАМИ]]-[1]!РЕАЛИЗАЦИЯ[[#This Row],[ЖАМИ2]]</f>
        <v>22166650</v>
      </c>
      <c r="O605" s="27">
        <v>46117</v>
      </c>
      <c r="P605" s="28" t="s">
        <v>174</v>
      </c>
      <c r="Q605" s="6">
        <v>620000</v>
      </c>
      <c r="R605" s="6"/>
      <c r="S605" s="6"/>
      <c r="T605" s="29">
        <f>[1]!ПЛАТЕЖИ[[#This Row],[СЎМ]]+([1]!ПЛАТЕЖИ[[#This Row],[ВАЛЮТА]]*[1]!ПЛАТЕЖИ[[#This Row],[КУРС]])</f>
        <v>1521800</v>
      </c>
      <c r="U605" s="28"/>
      <c r="V605" s="28"/>
    </row>
    <row r="606" spans="2:22" x14ac:dyDescent="0.25">
      <c r="B606" s="8">
        <v>46113</v>
      </c>
      <c r="C606" s="9" t="s">
        <v>219</v>
      </c>
      <c r="D606" s="10" t="s">
        <v>10</v>
      </c>
      <c r="E606" s="10" t="s">
        <v>2</v>
      </c>
      <c r="F606" s="11">
        <v>50.8</v>
      </c>
      <c r="G606" s="11">
        <v>16000</v>
      </c>
      <c r="H606" s="12">
        <f>[1]!РЕАЛИЗАЦИЯ[СОНИ]*[1]!РЕАЛИЗАЦИЯ[НАРХИ]</f>
        <v>1663500</v>
      </c>
      <c r="I606" s="11"/>
      <c r="J606" s="13">
        <v>13000</v>
      </c>
      <c r="K606" s="11">
        <f>[1]!РЕАЛИЗАЦИЯ[[#This Row],[СОНИ]]*[1]!РЕАЛИЗАЦИЯ[[#This Row],[ТАННАРХ]]</f>
        <v>0</v>
      </c>
      <c r="L606" s="14">
        <f>[1]!РЕАЛИЗАЦИЯ[[#This Row],[ЖАМИ]]-[1]!РЕАЛИЗАЦИЯ[[#This Row],[ЖАМИ2]]</f>
        <v>1663500</v>
      </c>
      <c r="O606" s="30">
        <v>46117</v>
      </c>
      <c r="P606" s="31" t="s">
        <v>191</v>
      </c>
      <c r="Q606" s="13">
        <v>1024800</v>
      </c>
      <c r="R606" s="13"/>
      <c r="S606" s="13"/>
      <c r="T606" s="32">
        <f>[1]!ПЛАТЕЖИ[[#This Row],[СЎМ]]+([1]!ПЛАТЕЖИ[[#This Row],[ВАЛЮТА]]*[1]!ПЛАТЕЖИ[[#This Row],[КУРС]])</f>
        <v>2047800</v>
      </c>
      <c r="U606" s="31"/>
      <c r="V606" s="31"/>
    </row>
    <row r="607" spans="2:22" x14ac:dyDescent="0.25">
      <c r="B607" s="1">
        <v>46113</v>
      </c>
      <c r="C607" s="2" t="s">
        <v>219</v>
      </c>
      <c r="D607" s="3" t="s">
        <v>1</v>
      </c>
      <c r="E607" s="3" t="s">
        <v>2</v>
      </c>
      <c r="F607" s="4">
        <v>105.3</v>
      </c>
      <c r="G607" s="4">
        <v>21000</v>
      </c>
      <c r="H607" s="5">
        <f>[1]!РЕАЛИЗАЦИЯ[СОНИ]*[1]!РЕАЛИЗАЦИЯ[НАРХИ]</f>
        <v>1146000</v>
      </c>
      <c r="I607" s="4"/>
      <c r="J607" s="6">
        <v>19000</v>
      </c>
      <c r="K607" s="4">
        <f>[1]!РЕАЛИЗАЦИЯ[[#This Row],[СОНИ]]*[1]!РЕАЛИЗАЦИЯ[[#This Row],[ТАННАРХ]]</f>
        <v>0</v>
      </c>
      <c r="L607" s="7">
        <f>[1]!РЕАЛИЗАЦИЯ[[#This Row],[ЖАМИ]]-[1]!РЕАЛИЗАЦИЯ[[#This Row],[ЖАМИ2]]</f>
        <v>1146000</v>
      </c>
      <c r="O607" s="27">
        <v>46117</v>
      </c>
      <c r="P607" s="28" t="s">
        <v>106</v>
      </c>
      <c r="Q607" s="6">
        <v>3032000</v>
      </c>
      <c r="R607" s="6"/>
      <c r="S607" s="6"/>
      <c r="T607" s="29">
        <f>[1]!ПЛАТЕЖИ[[#This Row],[СЎМ]]+([1]!ПЛАТЕЖИ[[#This Row],[ВАЛЮТА]]*[1]!ПЛАТЕЖИ[[#This Row],[КУРС]])</f>
        <v>2028000</v>
      </c>
      <c r="U607" s="28"/>
      <c r="V607" s="28"/>
    </row>
    <row r="608" spans="2:22" x14ac:dyDescent="0.25">
      <c r="B608" s="8">
        <v>46113</v>
      </c>
      <c r="C608" s="9" t="s">
        <v>62</v>
      </c>
      <c r="D608" s="10" t="s">
        <v>10</v>
      </c>
      <c r="E608" s="10" t="s">
        <v>2</v>
      </c>
      <c r="F608" s="11">
        <v>45.8</v>
      </c>
      <c r="G608" s="11">
        <v>15000</v>
      </c>
      <c r="H608" s="12">
        <f>[1]!РЕАЛИЗАЦИЯ[СОНИ]*[1]!РЕАЛИЗАЦИЯ[НАРХИ]</f>
        <v>-987000</v>
      </c>
      <c r="I608" s="11"/>
      <c r="J608" s="13">
        <v>13000</v>
      </c>
      <c r="K608" s="11">
        <f>[1]!РЕАЛИЗАЦИЯ[[#This Row],[СОНИ]]*[1]!РЕАЛИЗАЦИЯ[[#This Row],[ТАННАРХ]]</f>
        <v>0</v>
      </c>
      <c r="L608" s="14">
        <f>[1]!РЕАЛИЗАЦИЯ[[#This Row],[ЖАМИ]]-[1]!РЕАЛИЗАЦИЯ[[#This Row],[ЖАМИ2]]</f>
        <v>-987000</v>
      </c>
      <c r="O608" s="30">
        <v>46097</v>
      </c>
      <c r="P608" s="31" t="s">
        <v>68</v>
      </c>
      <c r="Q608" s="13">
        <v>10000000</v>
      </c>
      <c r="R608" s="13"/>
      <c r="S608" s="13"/>
      <c r="T608" s="32">
        <f>[1]!ПЛАТЕЖИ[[#This Row],[СЎМ]]+([1]!ПЛАТЕЖИ[[#This Row],[ВАЛЮТА]]*[1]!ПЛАТЕЖИ[[#This Row],[КУРС]])</f>
        <v>562000</v>
      </c>
      <c r="U608" s="31"/>
      <c r="V608" s="31" t="s">
        <v>279</v>
      </c>
    </row>
    <row r="609" spans="2:22" x14ac:dyDescent="0.25">
      <c r="B609" s="1">
        <v>46113</v>
      </c>
      <c r="C609" s="2" t="s">
        <v>220</v>
      </c>
      <c r="D609" s="3" t="s">
        <v>1</v>
      </c>
      <c r="E609" s="3" t="s">
        <v>2</v>
      </c>
      <c r="F609" s="4">
        <v>47.8</v>
      </c>
      <c r="G609" s="4">
        <v>21000</v>
      </c>
      <c r="H609" s="5">
        <f>[1]!РЕАЛИЗАЦИЯ[СОНИ]*[1]!РЕАЛИЗАЦИЯ[НАРХИ]</f>
        <v>9336600</v>
      </c>
      <c r="I609" s="4"/>
      <c r="J609" s="6">
        <v>19000</v>
      </c>
      <c r="K609" s="4">
        <f>[1]!РЕАЛИЗАЦИЯ[[#This Row],[СОНИ]]*[1]!РЕАЛИЗАЦИЯ[[#This Row],[ТАННАРХ]]</f>
        <v>0</v>
      </c>
      <c r="L609" s="7">
        <f>[1]!РЕАЛИЗАЦИЯ[[#This Row],[ЖАМИ]]-[1]!РЕАЛИЗАЦИЯ[[#This Row],[ЖАМИ2]]</f>
        <v>9336600</v>
      </c>
      <c r="O609" s="27">
        <v>46118</v>
      </c>
      <c r="P609" s="28" t="s">
        <v>99</v>
      </c>
      <c r="Q609" s="6">
        <v>1800000</v>
      </c>
      <c r="R609" s="6"/>
      <c r="S609" s="6"/>
      <c r="T609" s="29">
        <f>[1]!ПЛАТЕЖИ[[#This Row],[СЎМ]]+([1]!ПЛАТЕЖИ[[#This Row],[ВАЛЮТА]]*[1]!ПЛАТЕЖИ[[#This Row],[КУРС]])</f>
        <v>934500</v>
      </c>
      <c r="U609" s="28"/>
      <c r="V609" s="28" t="s">
        <v>275</v>
      </c>
    </row>
    <row r="610" spans="2:22" x14ac:dyDescent="0.25">
      <c r="B610" s="8">
        <v>46114</v>
      </c>
      <c r="C610" s="9" t="s">
        <v>202</v>
      </c>
      <c r="D610" s="10" t="s">
        <v>16</v>
      </c>
      <c r="E610" s="10" t="s">
        <v>2</v>
      </c>
      <c r="F610" s="11">
        <v>499.8</v>
      </c>
      <c r="G610" s="11">
        <v>20000</v>
      </c>
      <c r="H610" s="12">
        <f>[1]!РЕАЛИЗАЦИЯ[СОНИ]*[1]!РЕАЛИЗАЦИЯ[НАРХИ]</f>
        <v>9204000</v>
      </c>
      <c r="I610" s="11"/>
      <c r="J610" s="13">
        <v>20000</v>
      </c>
      <c r="K610" s="11">
        <f>[1]!РЕАЛИЗАЦИЯ[[#This Row],[СОНИ]]*[1]!РЕАЛИЗАЦИЯ[[#This Row],[ТАННАРХ]]</f>
        <v>0</v>
      </c>
      <c r="L610" s="14">
        <f>[1]!РЕАЛИЗАЦИЯ[[#This Row],[ЖАМИ]]-[1]!РЕАЛИЗАЦИЯ[[#This Row],[ЖАМИ2]]</f>
        <v>9204000</v>
      </c>
      <c r="O610" s="30">
        <v>46118</v>
      </c>
      <c r="P610" s="31" t="s">
        <v>55</v>
      </c>
      <c r="Q610" s="13">
        <v>300000</v>
      </c>
      <c r="R610" s="13"/>
      <c r="S610" s="13"/>
      <c r="T610" s="32">
        <f>[1]!ПЛАТЕЖИ[[#This Row],[СЎМ]]+([1]!ПЛАТЕЖИ[[#This Row],[ВАЛЮТА]]*[1]!ПЛАТЕЖИ[[#This Row],[КУРС]])</f>
        <v>583000</v>
      </c>
      <c r="U610" s="31"/>
      <c r="V610" s="31" t="s">
        <v>275</v>
      </c>
    </row>
    <row r="611" spans="2:22" x14ac:dyDescent="0.25">
      <c r="B611" s="1">
        <v>46114</v>
      </c>
      <c r="C611" s="2" t="s">
        <v>202</v>
      </c>
      <c r="D611" s="3" t="s">
        <v>1</v>
      </c>
      <c r="E611" s="3" t="s">
        <v>2</v>
      </c>
      <c r="F611" s="4">
        <v>897.9</v>
      </c>
      <c r="G611" s="4">
        <v>19000</v>
      </c>
      <c r="H611" s="5">
        <f>[1]!РЕАЛИЗАЦИЯ[СОНИ]*[1]!РЕАЛИЗАЦИЯ[НАРХИ]</f>
        <v>2214000</v>
      </c>
      <c r="I611" s="4"/>
      <c r="J611" s="6">
        <v>19000</v>
      </c>
      <c r="K611" s="4">
        <f>[1]!РЕАЛИЗАЦИЯ[[#This Row],[СОНИ]]*[1]!РЕАЛИЗАЦИЯ[[#This Row],[ТАННАРХ]]</f>
        <v>0</v>
      </c>
      <c r="L611" s="7">
        <f>[1]!РЕАЛИЗАЦИЯ[[#This Row],[ЖАМИ]]-[1]!РЕАЛИЗАЦИЯ[[#This Row],[ЖАМИ2]]</f>
        <v>2214000</v>
      </c>
      <c r="O611" s="27">
        <v>46118</v>
      </c>
      <c r="P611" s="28" t="s">
        <v>12</v>
      </c>
      <c r="Q611" s="6">
        <v>73977600</v>
      </c>
      <c r="R611" s="6"/>
      <c r="S611" s="6"/>
      <c r="T611" s="29">
        <f>[1]!ПЛАТЕЖИ[[#This Row],[СЎМ]]+([1]!ПЛАТЕЖИ[[#This Row],[ВАЛЮТА]]*[1]!ПЛАТЕЖИ[[#This Row],[КУРС]])</f>
        <v>1329600</v>
      </c>
      <c r="U611" s="28"/>
      <c r="V611" s="28" t="s">
        <v>287</v>
      </c>
    </row>
    <row r="612" spans="2:22" x14ac:dyDescent="0.25">
      <c r="B612" s="8">
        <v>46114</v>
      </c>
      <c r="C612" s="9" t="s">
        <v>14</v>
      </c>
      <c r="D612" s="10" t="s">
        <v>1</v>
      </c>
      <c r="E612" s="10" t="s">
        <v>2</v>
      </c>
      <c r="F612" s="11">
        <v>133.19999999999999</v>
      </c>
      <c r="G612" s="11">
        <v>20000</v>
      </c>
      <c r="H612" s="12">
        <f>[1]!РЕАЛИЗАЦИЯ[СОНИ]*[1]!РЕАЛИЗАЦИЯ[НАРХИ]</f>
        <v>1974000</v>
      </c>
      <c r="I612" s="11"/>
      <c r="J612" s="13">
        <v>19000</v>
      </c>
      <c r="K612" s="11">
        <f>[1]!РЕАЛИЗАЦИЯ[[#This Row],[СОНИ]]*[1]!РЕАЛИЗАЦИЯ[[#This Row],[ТАННАРХ]]</f>
        <v>0</v>
      </c>
      <c r="L612" s="14">
        <f>[1]!РЕАЛИЗАЦИЯ[[#This Row],[ЖАМИ]]-[1]!РЕАЛИЗАЦИЯ[[#This Row],[ЖАМИ2]]</f>
        <v>1974000</v>
      </c>
      <c r="O612" s="30">
        <v>46118</v>
      </c>
      <c r="P612" s="31" t="s">
        <v>79</v>
      </c>
      <c r="Q612" s="13">
        <v>7272000</v>
      </c>
      <c r="R612" s="13"/>
      <c r="S612" s="13"/>
      <c r="T612" s="32">
        <f>[1]!ПЛАТЕЖИ[[#This Row],[СЎМ]]+([1]!ПЛАТЕЖИ[[#This Row],[ВАЛЮТА]]*[1]!ПЛАТЕЖИ[[#This Row],[КУРС]])</f>
        <v>1058400</v>
      </c>
      <c r="U612" s="31"/>
      <c r="V612" s="31" t="s">
        <v>279</v>
      </c>
    </row>
    <row r="613" spans="2:22" x14ac:dyDescent="0.25">
      <c r="B613" s="1">
        <v>46114</v>
      </c>
      <c r="C613" s="2" t="s">
        <v>89</v>
      </c>
      <c r="D613" s="3" t="s">
        <v>10</v>
      </c>
      <c r="E613" s="3" t="s">
        <v>2</v>
      </c>
      <c r="F613" s="4">
        <v>2550.8000000000002</v>
      </c>
      <c r="G613" s="4">
        <v>13000</v>
      </c>
      <c r="H613" s="5">
        <f>[1]!РЕАЛИЗАЦИЯ[СОНИ]*[1]!РЕАЛИЗАЦИЯ[НАРХИ]</f>
        <v>4327550</v>
      </c>
      <c r="I613" s="4"/>
      <c r="J613" s="6">
        <v>13000</v>
      </c>
      <c r="K613" s="4">
        <f>[1]!РЕАЛИЗАЦИЯ[[#This Row],[СОНИ]]*[1]!РЕАЛИЗАЦИЯ[[#This Row],[ТАННАРХ]]</f>
        <v>0</v>
      </c>
      <c r="L613" s="7">
        <f>[1]!РЕАЛИЗАЦИЯ[[#This Row],[ЖАМИ]]-[1]!РЕАЛИЗАЦИЯ[[#This Row],[ЖАМИ2]]</f>
        <v>4327550</v>
      </c>
      <c r="O613" s="27">
        <v>46118</v>
      </c>
      <c r="P613" s="28" t="s">
        <v>12</v>
      </c>
      <c r="Q613" s="6">
        <v>47337600</v>
      </c>
      <c r="R613" s="6"/>
      <c r="S613" s="6"/>
      <c r="T613" s="29">
        <f>[1]!ПЛАТЕЖИ[[#This Row],[СЎМ]]+([1]!ПЛАТЕЖИ[[#This Row],[ВАЛЮТА]]*[1]!ПЛАТЕЖИ[[#This Row],[КУРС]])</f>
        <v>1108800</v>
      </c>
      <c r="U613" s="28"/>
      <c r="V613" s="28" t="s">
        <v>287</v>
      </c>
    </row>
    <row r="614" spans="2:22" x14ac:dyDescent="0.25">
      <c r="B614" s="8">
        <v>46114</v>
      </c>
      <c r="C614" s="9" t="s">
        <v>38</v>
      </c>
      <c r="D614" s="10" t="s">
        <v>1</v>
      </c>
      <c r="E614" s="10" t="s">
        <v>2</v>
      </c>
      <c r="F614" s="11">
        <v>48</v>
      </c>
      <c r="G614" s="11">
        <v>21000</v>
      </c>
      <c r="H614" s="12">
        <f>[1]!РЕАЛИЗАЦИЯ[СОНИ]*[1]!РЕАЛИЗАЦИЯ[НАРХИ]</f>
        <v>1497000</v>
      </c>
      <c r="I614" s="11"/>
      <c r="J614" s="13">
        <v>19000</v>
      </c>
      <c r="K614" s="11">
        <f>[1]!РЕАЛИЗАЦИЯ[[#This Row],[СОНИ]]*[1]!РЕАЛИЗАЦИЯ[[#This Row],[ТАННАРХ]]</f>
        <v>0</v>
      </c>
      <c r="L614" s="14">
        <f>[1]!РЕАЛИЗАЦИЯ[[#This Row],[ЖАМИ]]-[1]!РЕАЛИЗАЦИЯ[[#This Row],[ЖАМИ2]]</f>
        <v>1497000</v>
      </c>
      <c r="O614" s="30">
        <v>46119</v>
      </c>
      <c r="P614" s="31" t="s">
        <v>55</v>
      </c>
      <c r="Q614" s="13">
        <v>200000</v>
      </c>
      <c r="R614" s="13"/>
      <c r="S614" s="13"/>
      <c r="T614" s="32">
        <f>[1]!ПЛАТЕЖИ[[#This Row],[СЎМ]]+([1]!ПЛАТЕЖИ[[#This Row],[ВАЛЮТА]]*[1]!ПЛАТЕЖИ[[#This Row],[КУРС]])</f>
        <v>877000</v>
      </c>
      <c r="U614" s="31"/>
      <c r="V614" s="31" t="s">
        <v>275</v>
      </c>
    </row>
    <row r="615" spans="2:22" x14ac:dyDescent="0.25">
      <c r="B615" s="1">
        <v>46114</v>
      </c>
      <c r="C615" s="2" t="s">
        <v>7</v>
      </c>
      <c r="D615" s="3" t="s">
        <v>8</v>
      </c>
      <c r="E615" s="3" t="s">
        <v>2</v>
      </c>
      <c r="F615" s="4">
        <v>509</v>
      </c>
      <c r="G615" s="4">
        <v>22000</v>
      </c>
      <c r="H615" s="5">
        <f>[1]!РЕАЛИЗАЦИЯ[СОНИ]*[1]!РЕАЛИЗАЦИЯ[НАРХИ]</f>
        <v>2908500</v>
      </c>
      <c r="I615" s="4"/>
      <c r="J615" s="6">
        <v>20000</v>
      </c>
      <c r="K615" s="4">
        <f>[1]!РЕАЛИЗАЦИЯ[[#This Row],[СОНИ]]*[1]!РЕАЛИЗАЦИЯ[[#This Row],[ТАННАРХ]]</f>
        <v>0</v>
      </c>
      <c r="L615" s="7">
        <f>[1]!РЕАЛИЗАЦИЯ[[#This Row],[ЖАМИ]]-[1]!РЕАЛИЗАЦИЯ[[#This Row],[ЖАМИ2]]</f>
        <v>2908500</v>
      </c>
      <c r="O615" s="27">
        <v>46119</v>
      </c>
      <c r="P615" s="28" t="s">
        <v>202</v>
      </c>
      <c r="Q615" s="6">
        <v>9000000</v>
      </c>
      <c r="R615" s="6"/>
      <c r="S615" s="6"/>
      <c r="T615" s="29">
        <f>[1]!ПЛАТЕЖИ[[#This Row],[СЎМ]]+([1]!ПЛАТЕЖИ[[#This Row],[ВАЛЮТА]]*[1]!ПЛАТЕЖИ[[#This Row],[КУРС]])</f>
        <v>2350000</v>
      </c>
      <c r="U615" s="28"/>
      <c r="V615" s="28"/>
    </row>
    <row r="616" spans="2:22" x14ac:dyDescent="0.25">
      <c r="B616" s="8">
        <v>46115</v>
      </c>
      <c r="C616" s="9" t="s">
        <v>82</v>
      </c>
      <c r="D616" s="10" t="s">
        <v>1</v>
      </c>
      <c r="E616" s="10" t="s">
        <v>2</v>
      </c>
      <c r="F616" s="11">
        <v>110.3</v>
      </c>
      <c r="G616" s="11">
        <v>21000</v>
      </c>
      <c r="H616" s="12">
        <f>[1]!РЕАЛИЗАЦИЯ[СОНИ]*[1]!РЕАЛИЗАЦИЯ[НАРХИ]</f>
        <v>2205900</v>
      </c>
      <c r="I616" s="11"/>
      <c r="J616" s="13">
        <v>19000</v>
      </c>
      <c r="K616" s="11">
        <f>[1]!РЕАЛИЗАЦИЯ[[#This Row],[СОНИ]]*[1]!РЕАЛИЗАЦИЯ[[#This Row],[ТАННАРХ]]</f>
        <v>0</v>
      </c>
      <c r="L616" s="14">
        <f>[1]!РЕАЛИЗАЦИЯ[[#This Row],[ЖАМИ]]-[1]!РЕАЛИЗАЦИЯ[[#This Row],[ЖАМИ2]]</f>
        <v>2205900</v>
      </c>
      <c r="O616" s="30">
        <v>46119</v>
      </c>
      <c r="P616" s="31" t="s">
        <v>104</v>
      </c>
      <c r="Q616" s="13">
        <v>1037400</v>
      </c>
      <c r="R616" s="13"/>
      <c r="S616" s="13"/>
      <c r="T616" s="32">
        <f>[1]!ПЛАТЕЖИ[[#This Row],[СЎМ]]+([1]!ПЛАТЕЖИ[[#This Row],[ВАЛЮТА]]*[1]!ПЛАТЕЖИ[[#This Row],[КУРС]])</f>
        <v>2020242</v>
      </c>
      <c r="U616" s="31"/>
      <c r="V616" s="31"/>
    </row>
    <row r="617" spans="2:22" x14ac:dyDescent="0.25">
      <c r="B617" s="1">
        <v>46115</v>
      </c>
      <c r="C617" s="2" t="s">
        <v>68</v>
      </c>
      <c r="D617" s="3" t="s">
        <v>36</v>
      </c>
      <c r="E617" s="3" t="s">
        <v>2</v>
      </c>
      <c r="F617" s="4">
        <v>588.20000000000005</v>
      </c>
      <c r="G617" s="4">
        <v>18000</v>
      </c>
      <c r="H617" s="5">
        <f>[1]!РЕАЛИЗАЦИЯ[СОНИ]*[1]!РЕАЛИЗАЦИЯ[НАРХИ]</f>
        <v>1560900</v>
      </c>
      <c r="I617" s="4"/>
      <c r="J617" s="6">
        <v>16000</v>
      </c>
      <c r="K617" s="4">
        <f>[1]!РЕАЛИЗАЦИЯ[[#This Row],[СОНИ]]*[1]!РЕАЛИЗАЦИЯ[[#This Row],[ТАННАРХ]]</f>
        <v>0</v>
      </c>
      <c r="L617" s="7">
        <f>[1]!РЕАЛИЗАЦИЯ[[#This Row],[ЖАМИ]]-[1]!РЕАЛИЗАЦИЯ[[#This Row],[ЖАМИ2]]</f>
        <v>1560900</v>
      </c>
      <c r="O617" s="27">
        <v>46119</v>
      </c>
      <c r="P617" s="28" t="s">
        <v>23</v>
      </c>
      <c r="Q617" s="6">
        <v>3095000</v>
      </c>
      <c r="R617" s="6"/>
      <c r="S617" s="6"/>
      <c r="T617" s="29">
        <f>[1]!ПЛАТЕЖИ[[#This Row],[СЎМ]]+([1]!ПЛАТЕЖИ[[#This Row],[ВАЛЮТА]]*[1]!ПЛАТЕЖИ[[#This Row],[КУРС]])</f>
        <v>1108800</v>
      </c>
      <c r="U617" s="28"/>
      <c r="V617" s="28"/>
    </row>
    <row r="618" spans="2:22" x14ac:dyDescent="0.25">
      <c r="B618" s="8">
        <v>46115</v>
      </c>
      <c r="C618" s="9" t="s">
        <v>32</v>
      </c>
      <c r="D618" s="10" t="s">
        <v>10</v>
      </c>
      <c r="E618" s="10" t="s">
        <v>2</v>
      </c>
      <c r="F618" s="11">
        <v>44.9</v>
      </c>
      <c r="G618" s="11">
        <v>15000</v>
      </c>
      <c r="H618" s="12">
        <f>[1]!РЕАЛИЗАЦИЯ[СОНИ]*[1]!РЕАЛИЗАЦИЯ[НАРХИ]</f>
        <v>2079000</v>
      </c>
      <c r="I618" s="11"/>
      <c r="J618" s="13">
        <v>13000</v>
      </c>
      <c r="K618" s="11">
        <f>[1]!РЕАЛИЗАЦИЯ[[#This Row],[СОНИ]]*[1]!РЕАЛИЗАЦИЯ[[#This Row],[ТАННАРХ]]</f>
        <v>0</v>
      </c>
      <c r="L618" s="14">
        <f>[1]!РЕАЛИЗАЦИЯ[[#This Row],[ЖАМИ]]-[1]!РЕАЛИЗАЦИЯ[[#This Row],[ЖАМИ2]]</f>
        <v>2079000</v>
      </c>
      <c r="O618" s="30">
        <v>46119</v>
      </c>
      <c r="P618" s="31" t="s">
        <v>47</v>
      </c>
      <c r="Q618" s="13">
        <v>1000000</v>
      </c>
      <c r="R618" s="13"/>
      <c r="S618" s="13"/>
      <c r="T618" s="32">
        <f>[1]!ПЛАТЕЖИ[[#This Row],[СЎМ]]+([1]!ПЛАТЕЖИ[[#This Row],[ВАЛЮТА]]*[1]!ПЛАТЕЖИ[[#This Row],[КУРС]])</f>
        <v>500000</v>
      </c>
      <c r="U618" s="31"/>
      <c r="V618" s="31"/>
    </row>
    <row r="619" spans="2:22" x14ac:dyDescent="0.25">
      <c r="B619" s="1">
        <v>46115</v>
      </c>
      <c r="C619" s="2" t="s">
        <v>32</v>
      </c>
      <c r="D619" s="3" t="s">
        <v>1</v>
      </c>
      <c r="E619" s="3" t="s">
        <v>2</v>
      </c>
      <c r="F619" s="4">
        <v>43.2</v>
      </c>
      <c r="G619" s="4">
        <v>20000</v>
      </c>
      <c r="H619" s="5">
        <f>[1]!РЕАЛИЗАЦИЯ[СОНИ]*[1]!РЕАЛИЗАЦИЯ[НАРХИ]</f>
        <v>825600</v>
      </c>
      <c r="I619" s="4"/>
      <c r="J619" s="6">
        <v>19000</v>
      </c>
      <c r="K619" s="4">
        <f>[1]!РЕАЛИЗАЦИЯ[[#This Row],[СОНИ]]*[1]!РЕАЛИЗАЦИЯ[[#This Row],[ТАННАРХ]]</f>
        <v>0</v>
      </c>
      <c r="L619" s="7">
        <f>[1]!РЕАЛИЗАЦИЯ[[#This Row],[ЖАМИ]]-[1]!РЕАЛИЗАЦИЯ[[#This Row],[ЖАМИ2]]</f>
        <v>825600</v>
      </c>
      <c r="O619" s="27">
        <v>46119</v>
      </c>
      <c r="P619" s="28" t="s">
        <v>81</v>
      </c>
      <c r="Q619" s="6"/>
      <c r="R619" s="6">
        <v>100</v>
      </c>
      <c r="S619" s="6">
        <v>12100</v>
      </c>
      <c r="T619" s="29">
        <f>[1]!ПЛАТЕЖИ[[#This Row],[СЎМ]]+([1]!ПЛАТЕЖИ[[#This Row],[ВАЛЮТА]]*[1]!ПЛАТЕЖИ[[#This Row],[КУРС]])</f>
        <v>1995000</v>
      </c>
      <c r="U619" s="28"/>
      <c r="V619" s="28"/>
    </row>
    <row r="620" spans="2:22" x14ac:dyDescent="0.25">
      <c r="B620" s="8">
        <v>46115</v>
      </c>
      <c r="C620" s="9" t="s">
        <v>12</v>
      </c>
      <c r="D620" s="10" t="s">
        <v>16</v>
      </c>
      <c r="E620" s="10" t="s">
        <v>2</v>
      </c>
      <c r="F620" s="11">
        <v>1572</v>
      </c>
      <c r="G620" s="11">
        <v>24000</v>
      </c>
      <c r="H620" s="12">
        <f>[1]!РЕАЛИЗАЦИЯ[СОНИ]*[1]!РЕАЛИЗАЦИЯ[НАРХИ]</f>
        <v>684800</v>
      </c>
      <c r="I620" s="11">
        <v>6</v>
      </c>
      <c r="J620" s="13">
        <v>20000</v>
      </c>
      <c r="K620" s="11">
        <f>[1]!РЕАЛИЗАЦИЯ[[#This Row],[СОНИ]]*[1]!РЕАЛИЗАЦИЯ[[#This Row],[ТАННАРХ]]</f>
        <v>0</v>
      </c>
      <c r="L620" s="14">
        <f>[1]!РЕАЛИЗАЦИЯ[[#This Row],[ЖАМИ]]-[1]!РЕАЛИЗАЦИЯ[[#This Row],[ЖАМИ2]]</f>
        <v>684800</v>
      </c>
      <c r="O620" s="30">
        <v>46119</v>
      </c>
      <c r="P620" s="31" t="s">
        <v>53</v>
      </c>
      <c r="Q620" s="13">
        <v>10000000</v>
      </c>
      <c r="R620" s="13"/>
      <c r="S620" s="13"/>
      <c r="T620" s="32">
        <f>[1]!ПЛАТЕЖИ[[#This Row],[СЎМ]]+([1]!ПЛАТЕЖИ[[#This Row],[ВАЛЮТА]]*[1]!ПЛАТЕЖИ[[#This Row],[КУРС]])</f>
        <v>1155000</v>
      </c>
      <c r="U620" s="31"/>
      <c r="V620" s="31" t="s">
        <v>279</v>
      </c>
    </row>
    <row r="621" spans="2:22" x14ac:dyDescent="0.25">
      <c r="B621" s="1">
        <v>46116</v>
      </c>
      <c r="C621" s="2" t="s">
        <v>221</v>
      </c>
      <c r="D621" s="3" t="s">
        <v>1</v>
      </c>
      <c r="E621" s="3" t="s">
        <v>2</v>
      </c>
      <c r="F621" s="4">
        <v>123.3</v>
      </c>
      <c r="G621" s="4">
        <v>21000</v>
      </c>
      <c r="H621" s="5">
        <f>[1]!РЕАЛИЗАЦИЯ[СОНИ]*[1]!РЕАЛИЗАЦИЯ[НАРХИ]</f>
        <v>1285200</v>
      </c>
      <c r="I621" s="4"/>
      <c r="J621" s="6">
        <v>19000</v>
      </c>
      <c r="K621" s="4">
        <f>[1]!РЕАЛИЗАЦИЯ[[#This Row],[СОНИ]]*[1]!РЕАЛИЗАЦИЯ[[#This Row],[ТАННАРХ]]</f>
        <v>0</v>
      </c>
      <c r="L621" s="7">
        <f>[1]!РЕАЛИЗАЦИЯ[[#This Row],[ЖАМИ]]-[1]!РЕАЛИЗАЦИЯ[[#This Row],[ЖАМИ2]]</f>
        <v>1285200</v>
      </c>
      <c r="O621" s="27">
        <v>46119</v>
      </c>
      <c r="P621" s="28" t="s">
        <v>101</v>
      </c>
      <c r="Q621" s="6">
        <v>1956500</v>
      </c>
      <c r="R621" s="6"/>
      <c r="S621" s="6"/>
      <c r="T621" s="29">
        <f>[1]!ПЛАТЕЖИ[[#This Row],[СЎМ]]+([1]!ПЛАТЕЖИ[[#This Row],[ВАЛЮТА]]*[1]!ПЛАТЕЖИ[[#This Row],[КУРС]])</f>
        <v>1035300</v>
      </c>
      <c r="U621" s="28"/>
      <c r="V621" s="28" t="s">
        <v>279</v>
      </c>
    </row>
    <row r="622" spans="2:22" x14ac:dyDescent="0.25">
      <c r="B622" s="8">
        <v>46116</v>
      </c>
      <c r="C622" s="9" t="s">
        <v>9</v>
      </c>
      <c r="D622" s="10" t="s">
        <v>25</v>
      </c>
      <c r="E622" s="10" t="s">
        <v>2</v>
      </c>
      <c r="F622" s="11">
        <v>195</v>
      </c>
      <c r="G622" s="11">
        <v>25700</v>
      </c>
      <c r="H622" s="12">
        <f>[1]!РЕАЛИЗАЦИЯ[СОНИ]*[1]!РЕАЛИЗАЦИЯ[НАРХИ]</f>
        <v>793600</v>
      </c>
      <c r="I622" s="11"/>
      <c r="J622" s="13">
        <v>23000</v>
      </c>
      <c r="K622" s="11">
        <f>[1]!РЕАЛИЗАЦИЯ[[#This Row],[СОНИ]]*[1]!РЕАЛИЗАЦИЯ[[#This Row],[ТАННАРХ]]</f>
        <v>0</v>
      </c>
      <c r="L622" s="14">
        <f>[1]!РЕАЛИЗАЦИЯ[[#This Row],[ЖАМИ]]-[1]!РЕАЛИЗАЦИЯ[[#This Row],[ЖАМИ2]]</f>
        <v>793600</v>
      </c>
      <c r="O622" s="30">
        <v>46119</v>
      </c>
      <c r="P622" s="31" t="s">
        <v>108</v>
      </c>
      <c r="Q622" s="13">
        <v>2090000</v>
      </c>
      <c r="R622" s="13"/>
      <c r="S622" s="13"/>
      <c r="T622" s="32">
        <f>[1]!ПЛАТЕЖИ[[#This Row],[СЎМ]]+([1]!ПЛАТЕЖИ[[#This Row],[ВАЛЮТА]]*[1]!ПЛАТЕЖИ[[#This Row],[КУРС]])</f>
        <v>1976100</v>
      </c>
      <c r="U622" s="31"/>
      <c r="V622" s="31" t="s">
        <v>275</v>
      </c>
    </row>
    <row r="623" spans="2:22" x14ac:dyDescent="0.25">
      <c r="B623" s="1">
        <v>46116</v>
      </c>
      <c r="C623" s="2" t="s">
        <v>222</v>
      </c>
      <c r="D623" s="3" t="s">
        <v>1</v>
      </c>
      <c r="E623" s="3" t="s">
        <v>2</v>
      </c>
      <c r="F623" s="4">
        <v>199.4</v>
      </c>
      <c r="G623" s="4">
        <v>20000</v>
      </c>
      <c r="H623" s="5">
        <f>[1]!РЕАЛИЗАЦИЯ[СОНИ]*[1]!РЕАЛИЗАЦИЯ[НАРХИ]</f>
        <v>1208300</v>
      </c>
      <c r="I623" s="4"/>
      <c r="J623" s="6">
        <v>19000</v>
      </c>
      <c r="K623" s="4">
        <f>[1]!РЕАЛИЗАЦИЯ[[#This Row],[СОНИ]]*[1]!РЕАЛИЗАЦИЯ[[#This Row],[ТАННАРХ]]</f>
        <v>0</v>
      </c>
      <c r="L623" s="7">
        <f>[1]!РЕАЛИЗАЦИЯ[[#This Row],[ЖАМИ]]-[1]!РЕАЛИЗАЦИЯ[[#This Row],[ЖАМИ2]]</f>
        <v>1208300</v>
      </c>
      <c r="O623" s="27">
        <v>46119</v>
      </c>
      <c r="P623" s="28" t="s">
        <v>134</v>
      </c>
      <c r="Q623" s="6">
        <v>10000000</v>
      </c>
      <c r="R623" s="6"/>
      <c r="S623" s="6"/>
      <c r="T623" s="29">
        <f>[1]!ПЛАТЕЖИ[[#This Row],[СЎМ]]+([1]!ПЛАТЕЖИ[[#This Row],[ВАЛЮТА]]*[1]!ПЛАТЕЖИ[[#This Row],[КУРС]])</f>
        <v>5430000</v>
      </c>
      <c r="U623" s="28"/>
      <c r="V623" s="28" t="s">
        <v>279</v>
      </c>
    </row>
    <row r="624" spans="2:22" x14ac:dyDescent="0.25">
      <c r="B624" s="8">
        <v>46116</v>
      </c>
      <c r="C624" s="9" t="s">
        <v>222</v>
      </c>
      <c r="D624" s="10" t="s">
        <v>10</v>
      </c>
      <c r="E624" s="10" t="s">
        <v>2</v>
      </c>
      <c r="F624" s="11">
        <v>51.1</v>
      </c>
      <c r="G624" s="11">
        <v>15000</v>
      </c>
      <c r="H624" s="12">
        <f>[1]!РЕАЛИЗАЦИЯ[СОНИ]*[1]!РЕАЛИЗАЦИЯ[НАРХИ]</f>
        <v>693000</v>
      </c>
      <c r="I624" s="11"/>
      <c r="J624" s="13">
        <v>13000</v>
      </c>
      <c r="K624" s="11">
        <f>[1]!РЕАЛИЗАЦИЯ[[#This Row],[СОНИ]]*[1]!РЕАЛИЗАЦИЯ[[#This Row],[ТАННАРХ]]</f>
        <v>0</v>
      </c>
      <c r="L624" s="14">
        <f>[1]!РЕАЛИЗАЦИЯ[[#This Row],[ЖАМИ]]-[1]!РЕАЛИЗАЦИЯ[[#This Row],[ЖАМИ2]]</f>
        <v>693000</v>
      </c>
      <c r="O624" s="30">
        <v>46119</v>
      </c>
      <c r="P624" s="31" t="s">
        <v>17</v>
      </c>
      <c r="Q624" s="13">
        <v>2387700</v>
      </c>
      <c r="R624" s="13"/>
      <c r="S624" s="13"/>
      <c r="T624" s="32">
        <f>[1]!ПЛАТЕЖИ[[#This Row],[СЎМ]]+([1]!ПЛАТЕЖИ[[#This Row],[ВАЛЮТА]]*[1]!ПЛАТЕЖИ[[#This Row],[КУРС]])</f>
        <v>1664500</v>
      </c>
      <c r="U624" s="31"/>
      <c r="V624" s="31" t="s">
        <v>279</v>
      </c>
    </row>
    <row r="625" spans="2:22" x14ac:dyDescent="0.25">
      <c r="B625" s="1">
        <v>46116</v>
      </c>
      <c r="C625" s="2" t="s">
        <v>27</v>
      </c>
      <c r="D625" s="3" t="s">
        <v>10</v>
      </c>
      <c r="E625" s="3" t="s">
        <v>2</v>
      </c>
      <c r="F625" s="4">
        <v>1182.5999999999999</v>
      </c>
      <c r="G625" s="4">
        <v>14500</v>
      </c>
      <c r="H625" s="5">
        <f>[1]!РЕАЛИЗАЦИЯ[СОНИ]*[1]!РЕАЛИЗАЦИЯ[НАРХИ]</f>
        <v>-693000</v>
      </c>
      <c r="I625" s="4"/>
      <c r="J625" s="6">
        <v>13000</v>
      </c>
      <c r="K625" s="4">
        <f>[1]!РЕАЛИЗАЦИЯ[[#This Row],[СОНИ]]*[1]!РЕАЛИЗАЦИЯ[[#This Row],[ТАННАРХ]]</f>
        <v>0</v>
      </c>
      <c r="L625" s="7">
        <f>[1]!РЕАЛИЗАЦИЯ[[#This Row],[ЖАМИ]]-[1]!РЕАЛИЗАЦИЯ[[#This Row],[ЖАМИ2]]</f>
        <v>-693000</v>
      </c>
      <c r="O625" s="27">
        <v>46120</v>
      </c>
      <c r="P625" s="28" t="s">
        <v>143</v>
      </c>
      <c r="Q625" s="6">
        <v>2389900</v>
      </c>
      <c r="R625" s="6"/>
      <c r="S625" s="6"/>
      <c r="T625" s="29">
        <f>[1]!ПЛАТЕЖИ[[#This Row],[СЎМ]]+([1]!ПЛАТЕЖИ[[#This Row],[ВАЛЮТА]]*[1]!ПЛАТЕЖИ[[#This Row],[КУРС]])</f>
        <v>350000</v>
      </c>
      <c r="U625" s="28"/>
      <c r="V625" s="28"/>
    </row>
    <row r="626" spans="2:22" x14ac:dyDescent="0.25">
      <c r="B626" s="8">
        <v>46116</v>
      </c>
      <c r="C626" s="9" t="s">
        <v>223</v>
      </c>
      <c r="D626" s="10" t="s">
        <v>1</v>
      </c>
      <c r="E626" s="10" t="s">
        <v>2</v>
      </c>
      <c r="F626" s="11">
        <v>98.5</v>
      </c>
      <c r="G626" s="11">
        <v>19000</v>
      </c>
      <c r="H626" s="12">
        <f>[1]!РЕАЛИЗАЦИЯ[СОНИ]*[1]!РЕАЛИЗАЦИЯ[НАРХИ]</f>
        <v>1253700</v>
      </c>
      <c r="I626" s="11"/>
      <c r="J626" s="13">
        <v>19000</v>
      </c>
      <c r="K626" s="11">
        <f>[1]!РЕАЛИЗАЦИЯ[[#This Row],[СОНИ]]*[1]!РЕАЛИЗАЦИЯ[[#This Row],[ТАННАРХ]]</f>
        <v>0</v>
      </c>
      <c r="L626" s="14">
        <f>[1]!РЕАЛИЗАЦИЯ[[#This Row],[ЖАМИ]]-[1]!РЕАЛИЗАЦИЯ[[#This Row],[ЖАМИ2]]</f>
        <v>1253700</v>
      </c>
      <c r="O626" s="30">
        <v>46120</v>
      </c>
      <c r="P626" s="31" t="s">
        <v>145</v>
      </c>
      <c r="Q626" s="13">
        <v>863100</v>
      </c>
      <c r="R626" s="13"/>
      <c r="S626" s="13"/>
      <c r="T626" s="32">
        <f>[1]!ПЛАТЕЖИ[[#This Row],[СЎМ]]+([1]!ПЛАТЕЖИ[[#This Row],[ВАЛЮТА]]*[1]!ПЛАТЕЖИ[[#This Row],[КУРС]])</f>
        <v>1200000</v>
      </c>
      <c r="U626" s="31"/>
      <c r="V626" s="31"/>
    </row>
    <row r="627" spans="2:22" x14ac:dyDescent="0.25">
      <c r="B627" s="1">
        <v>46116</v>
      </c>
      <c r="C627" s="2" t="s">
        <v>67</v>
      </c>
      <c r="D627" s="3" t="s">
        <v>1</v>
      </c>
      <c r="E627" s="3" t="s">
        <v>2</v>
      </c>
      <c r="F627" s="4">
        <v>49.1</v>
      </c>
      <c r="G627" s="4">
        <v>21000</v>
      </c>
      <c r="H627" s="5">
        <f>[1]!РЕАЛИЗАЦИЯ[СОНИ]*[1]!РЕАЛИЗАЦИЯ[НАРХИ]</f>
        <v>2028599.9999999998</v>
      </c>
      <c r="I627" s="4"/>
      <c r="J627" s="6">
        <v>19000</v>
      </c>
      <c r="K627" s="4">
        <f>[1]!РЕАЛИЗАЦИЯ[[#This Row],[СОНИ]]*[1]!РЕАЛИЗАЦИЯ[[#This Row],[ТАННАРХ]]</f>
        <v>0</v>
      </c>
      <c r="L627" s="7">
        <f>[1]!РЕАЛИЗАЦИЯ[[#This Row],[ЖАМИ]]-[1]!РЕАЛИЗАЦИЯ[[#This Row],[ЖАМИ2]]</f>
        <v>2028599.9999999998</v>
      </c>
      <c r="O627" s="27">
        <v>46120</v>
      </c>
      <c r="P627" s="28" t="s">
        <v>72</v>
      </c>
      <c r="Q627" s="6">
        <v>5000000</v>
      </c>
      <c r="R627" s="6"/>
      <c r="S627" s="6"/>
      <c r="T627" s="29">
        <f>[1]!ПЛАТЕЖИ[[#This Row],[СЎМ]]+([1]!ПЛАТЕЖИ[[#This Row],[ВАЛЮТА]]*[1]!ПЛАТЕЖИ[[#This Row],[КУРС]])</f>
        <v>2420000</v>
      </c>
      <c r="U627" s="28"/>
      <c r="V627" s="28" t="s">
        <v>279</v>
      </c>
    </row>
    <row r="628" spans="2:22" x14ac:dyDescent="0.25">
      <c r="B628" s="8">
        <v>46117</v>
      </c>
      <c r="C628" s="9" t="s">
        <v>99</v>
      </c>
      <c r="D628" s="10" t="s">
        <v>1</v>
      </c>
      <c r="E628" s="10" t="s">
        <v>2</v>
      </c>
      <c r="F628" s="11">
        <v>51.7</v>
      </c>
      <c r="G628" s="11">
        <v>21000</v>
      </c>
      <c r="H628" s="12">
        <f>[1]!РЕАЛИЗАЦИЯ[СОНИ]*[1]!РЕАЛИЗАЦИЯ[НАРХИ]</f>
        <v>753600</v>
      </c>
      <c r="I628" s="11"/>
      <c r="J628" s="13">
        <v>19000</v>
      </c>
      <c r="K628" s="11">
        <f>[1]!РЕАЛИЗАЦИЯ[[#This Row],[СОНИ]]*[1]!РЕАЛИЗАЦИЯ[[#This Row],[ТАННАРХ]]</f>
        <v>0</v>
      </c>
      <c r="L628" s="14">
        <f>[1]!РЕАЛИЗАЦИЯ[[#This Row],[ЖАМИ]]-[1]!РЕАЛИЗАЦИЯ[[#This Row],[ЖАМИ2]]</f>
        <v>753600</v>
      </c>
      <c r="O628" s="30">
        <v>46120</v>
      </c>
      <c r="P628" s="31" t="s">
        <v>57</v>
      </c>
      <c r="Q628" s="13">
        <v>873300</v>
      </c>
      <c r="R628" s="13"/>
      <c r="S628" s="13"/>
      <c r="T628" s="32">
        <f>[1]!ПЛАТЕЖИ[[#This Row],[СЎМ]]+([1]!ПЛАТЕЖИ[[#This Row],[ВАЛЮТА]]*[1]!ПЛАТЕЖИ[[#This Row],[КУРС]])</f>
        <v>1058400</v>
      </c>
      <c r="U628" s="31"/>
      <c r="V628" s="31" t="s">
        <v>279</v>
      </c>
    </row>
    <row r="629" spans="2:22" x14ac:dyDescent="0.25">
      <c r="B629" s="1">
        <v>46117</v>
      </c>
      <c r="C629" s="2" t="s">
        <v>99</v>
      </c>
      <c r="D629" s="3" t="s">
        <v>10</v>
      </c>
      <c r="E629" s="3" t="s">
        <v>2</v>
      </c>
      <c r="F629" s="4">
        <v>49.2</v>
      </c>
      <c r="G629" s="4">
        <v>16000</v>
      </c>
      <c r="H629" s="5">
        <f>[1]!РЕАЛИЗАЦИЯ[СОНИ]*[1]!РЕАЛИЗАЦИЯ[НАРХИ]</f>
        <v>1824500</v>
      </c>
      <c r="I629" s="4"/>
      <c r="J629" s="6">
        <v>13000</v>
      </c>
      <c r="K629" s="4">
        <f>[1]!РЕАЛИЗАЦИЯ[[#This Row],[СОНИ]]*[1]!РЕАЛИЗАЦИЯ[[#This Row],[ТАННАРХ]]</f>
        <v>0</v>
      </c>
      <c r="L629" s="7">
        <f>[1]!РЕАЛИЗАЦИЯ[[#This Row],[ЖАМИ]]-[1]!РЕАЛИЗАЦИЯ[[#This Row],[ЖАМИ2]]</f>
        <v>1824500</v>
      </c>
      <c r="O629" s="27">
        <v>46120</v>
      </c>
      <c r="P629" s="28" t="s">
        <v>150</v>
      </c>
      <c r="Q629" s="6">
        <v>800000</v>
      </c>
      <c r="R629" s="6"/>
      <c r="S629" s="6"/>
      <c r="T629" s="29">
        <f>[1]!ПЛАТЕЖИ[[#This Row],[СЎМ]]+([1]!ПЛАТЕЖИ[[#This Row],[ВАЛЮТА]]*[1]!ПЛАТЕЖИ[[#This Row],[КУРС]])</f>
        <v>1024800</v>
      </c>
      <c r="U629" s="28"/>
      <c r="V629" s="28" t="s">
        <v>275</v>
      </c>
    </row>
    <row r="630" spans="2:22" x14ac:dyDescent="0.25">
      <c r="B630" s="8">
        <v>46117</v>
      </c>
      <c r="C630" s="9" t="s">
        <v>206</v>
      </c>
      <c r="D630" s="10" t="s">
        <v>10</v>
      </c>
      <c r="E630" s="10" t="s">
        <v>2</v>
      </c>
      <c r="F630" s="11">
        <v>56.8</v>
      </c>
      <c r="G630" s="11">
        <v>16000</v>
      </c>
      <c r="H630" s="12">
        <f>[1]!РЕАЛИЗАЦИЯ[СОНИ]*[1]!РЕАЛИЗАЦИЯ[НАРХИ]</f>
        <v>686400</v>
      </c>
      <c r="I630" s="11"/>
      <c r="J630" s="13">
        <v>13000</v>
      </c>
      <c r="K630" s="11">
        <f>[1]!РЕАЛИЗАЦИЯ[[#This Row],[СОНИ]]*[1]!РЕАЛИЗАЦИЯ[[#This Row],[ТАННАРХ]]</f>
        <v>0</v>
      </c>
      <c r="L630" s="14">
        <f>[1]!РЕАЛИЗАЦИЯ[[#This Row],[ЖАМИ]]-[1]!РЕАЛИЗАЦИЯ[[#This Row],[ЖАМИ2]]</f>
        <v>686400</v>
      </c>
      <c r="O630" s="30">
        <v>46120</v>
      </c>
      <c r="P630" s="31" t="s">
        <v>108</v>
      </c>
      <c r="Q630" s="13">
        <v>512800</v>
      </c>
      <c r="R630" s="13"/>
      <c r="S630" s="13"/>
      <c r="T630" s="32">
        <f>[1]!ПЛАТЕЖИ[[#This Row],[СЎМ]]+([1]!ПЛАТЕЖИ[[#This Row],[ВАЛЮТА]]*[1]!ПЛАТЕЖИ[[#This Row],[КУРС]])</f>
        <v>2070600</v>
      </c>
      <c r="U630" s="31"/>
      <c r="V630" s="31" t="s">
        <v>275</v>
      </c>
    </row>
    <row r="631" spans="2:22" x14ac:dyDescent="0.25">
      <c r="B631" s="1">
        <v>46117</v>
      </c>
      <c r="C631" s="2" t="s">
        <v>101</v>
      </c>
      <c r="D631" s="3" t="s">
        <v>1</v>
      </c>
      <c r="E631" s="3" t="s">
        <v>2</v>
      </c>
      <c r="F631" s="4">
        <v>55.3</v>
      </c>
      <c r="G631" s="4">
        <v>21000</v>
      </c>
      <c r="H631" s="5">
        <f>[1]!РЕАЛИЗАЦИЯ[СОНИ]*[1]!РЕАЛИЗАЦИЯ[НАРХИ]</f>
        <v>8818200</v>
      </c>
      <c r="I631" s="4"/>
      <c r="J631" s="6">
        <v>19000</v>
      </c>
      <c r="K631" s="4">
        <f>[1]!РЕАЛИЗАЦИЯ[[#This Row],[СОНИ]]*[1]!РЕАЛИЗАЦИЯ[[#This Row],[ТАННАРХ]]</f>
        <v>3013408980</v>
      </c>
      <c r="L631" s="7">
        <f>[1]!РЕАЛИЗАЦИЯ[[#This Row],[ЖАМИ]]-[1]!РЕАЛИЗАЦИЯ[[#This Row],[ЖАМИ2]]</f>
        <v>8817816.5999999996</v>
      </c>
      <c r="O631" s="27">
        <v>46120</v>
      </c>
      <c r="P631" s="28" t="s">
        <v>9</v>
      </c>
      <c r="Q631" s="6">
        <v>5011500</v>
      </c>
      <c r="R631" s="6"/>
      <c r="S631" s="6"/>
      <c r="T631" s="29">
        <f>[1]!ПЛАТЕЖИ[[#This Row],[СЎМ]]+([1]!ПЛАТЕЖИ[[#This Row],[ВАЛЮТА]]*[1]!ПЛАТЕЖИ[[#This Row],[КУРС]])</f>
        <v>2011200</v>
      </c>
      <c r="U631" s="28"/>
      <c r="V631" s="28" t="s">
        <v>279</v>
      </c>
    </row>
    <row r="632" spans="2:22" x14ac:dyDescent="0.25">
      <c r="B632" s="8">
        <v>46117</v>
      </c>
      <c r="C632" s="9" t="s">
        <v>101</v>
      </c>
      <c r="D632" s="10" t="s">
        <v>10</v>
      </c>
      <c r="E632" s="10" t="s">
        <v>2</v>
      </c>
      <c r="F632" s="11">
        <v>49.7</v>
      </c>
      <c r="G632" s="11">
        <v>16000</v>
      </c>
      <c r="H632" s="12">
        <f>[1]!РЕАЛИЗАЦИЯ[СОНИ]*[1]!РЕАЛИЗАЦИЯ[НАРХИ]</f>
        <v>997500</v>
      </c>
      <c r="I632" s="11"/>
      <c r="J632" s="13">
        <v>13000</v>
      </c>
      <c r="K632" s="11">
        <f>[1]!РЕАЛИЗАЦИЯ[[#This Row],[СОНИ]]*[1]!РЕАЛИЗАЦИЯ[[#This Row],[ТАННАРХ]]</f>
        <v>0</v>
      </c>
      <c r="L632" s="14">
        <f>[1]!РЕАЛИЗАЦИЯ[[#This Row],[ЖАМИ]]-[1]!РЕАЛИЗАЦИЯ[[#This Row],[ЖАМИ2]]</f>
        <v>997500</v>
      </c>
      <c r="O632" s="30">
        <v>46120</v>
      </c>
      <c r="P632" s="31" t="s">
        <v>50</v>
      </c>
      <c r="Q632" s="13">
        <v>1000000</v>
      </c>
      <c r="R632" s="13"/>
      <c r="S632" s="13"/>
      <c r="T632" s="32">
        <f>[1]!ПЛАТЕЖИ[[#This Row],[СЎМ]]+([1]!ПЛАТЕЖИ[[#This Row],[ВАЛЮТА]]*[1]!ПЛАТЕЖИ[[#This Row],[КУРС]])</f>
        <v>4000000</v>
      </c>
      <c r="U632" s="31"/>
      <c r="V632" s="31" t="s">
        <v>275</v>
      </c>
    </row>
    <row r="633" spans="2:22" x14ac:dyDescent="0.25">
      <c r="B633" s="1">
        <v>46117</v>
      </c>
      <c r="C633" s="2" t="s">
        <v>19</v>
      </c>
      <c r="D633" s="3" t="s">
        <v>10</v>
      </c>
      <c r="E633" s="3" t="s">
        <v>2</v>
      </c>
      <c r="F633" s="4">
        <v>46.1</v>
      </c>
      <c r="G633" s="4">
        <v>15000</v>
      </c>
      <c r="H633" s="5">
        <f>[1]!РЕАЛИЗАЦИЯ[СОНИ]*[1]!РЕАЛИЗАЦИЯ[НАРХИ]</f>
        <v>625600</v>
      </c>
      <c r="I633" s="4"/>
      <c r="J633" s="6">
        <v>13000</v>
      </c>
      <c r="K633" s="4">
        <f>[1]!РЕАЛИЗАЦИЯ[[#This Row],[СОНИ]]*[1]!РЕАЛИЗАЦИЯ[[#This Row],[ТАННАРХ]]</f>
        <v>0</v>
      </c>
      <c r="L633" s="7">
        <f>[1]!РЕАЛИЗАЦИЯ[[#This Row],[ЖАМИ]]-[1]!РЕАЛИЗАЦИЯ[[#This Row],[ЖАМИ2]]</f>
        <v>625600</v>
      </c>
      <c r="O633" s="27">
        <v>46120</v>
      </c>
      <c r="P633" s="28" t="s">
        <v>196</v>
      </c>
      <c r="Q633" s="6">
        <v>100000</v>
      </c>
      <c r="R633" s="6"/>
      <c r="S633" s="6"/>
      <c r="T633" s="29">
        <f>[1]!ПЛАТЕЖИ[[#This Row],[СЎМ]]+([1]!ПЛАТЕЖИ[[#This Row],[ВАЛЮТА]]*[1]!ПЛАТЕЖИ[[#This Row],[КУРС]])</f>
        <v>2026000</v>
      </c>
      <c r="U633" s="28"/>
      <c r="V633" s="28" t="s">
        <v>275</v>
      </c>
    </row>
    <row r="634" spans="2:22" x14ac:dyDescent="0.25">
      <c r="B634" s="8">
        <v>46118</v>
      </c>
      <c r="C634" s="9" t="s">
        <v>68</v>
      </c>
      <c r="D634" s="10" t="s">
        <v>36</v>
      </c>
      <c r="E634" s="10" t="s">
        <v>2</v>
      </c>
      <c r="F634" s="11">
        <v>513.4</v>
      </c>
      <c r="G634" s="11">
        <v>18000</v>
      </c>
      <c r="H634" s="12">
        <f>[1]!РЕАЛИЗАЦИЯ[СОНИ]*[1]!РЕАЛИЗАЦИЯ[НАРХИ]</f>
        <v>740800</v>
      </c>
      <c r="I634" s="11"/>
      <c r="J634" s="13">
        <v>16000</v>
      </c>
      <c r="K634" s="11">
        <f>[1]!РЕАЛИЗАЦИЯ[[#This Row],[СОНИ]]*[1]!РЕАЛИЗАЦИЯ[[#This Row],[ТАННАРХ]]</f>
        <v>0</v>
      </c>
      <c r="L634" s="14">
        <f>[1]!РЕАЛИЗАЦИЯ[[#This Row],[ЖАМИ]]-[1]!РЕАЛИЗАЦИЯ[[#This Row],[ЖАМИ2]]</f>
        <v>740800</v>
      </c>
      <c r="O634" s="30">
        <v>46120</v>
      </c>
      <c r="P634" s="31" t="s">
        <v>137</v>
      </c>
      <c r="Q634" s="13">
        <v>1433600</v>
      </c>
      <c r="R634" s="13"/>
      <c r="S634" s="13"/>
      <c r="T634" s="32">
        <f>[1]!ПЛАТЕЖИ[[#This Row],[СЎМ]]+([1]!ПЛАТЕЖИ[[#This Row],[ВАЛЮТА]]*[1]!ПЛАТЕЖИ[[#This Row],[КУРС]])</f>
        <v>1000000</v>
      </c>
      <c r="U634" s="31"/>
      <c r="V634" s="31" t="s">
        <v>279</v>
      </c>
    </row>
    <row r="635" spans="2:22" x14ac:dyDescent="0.25">
      <c r="B635" s="1">
        <v>46118</v>
      </c>
      <c r="C635" s="2" t="s">
        <v>68</v>
      </c>
      <c r="D635" s="3" t="s">
        <v>1</v>
      </c>
      <c r="E635" s="3" t="s">
        <v>2</v>
      </c>
      <c r="F635" s="4">
        <v>32.799999999999997</v>
      </c>
      <c r="G635" s="4">
        <v>20500</v>
      </c>
      <c r="H635" s="5">
        <f>[1]!РЕАЛИЗАЦИЯ[СОНИ]*[1]!РЕАЛИЗАЦИЯ[НАРХИ]</f>
        <v>1018500</v>
      </c>
      <c r="I635" s="4"/>
      <c r="J635" s="6">
        <v>19000</v>
      </c>
      <c r="K635" s="4">
        <f>[1]!РЕАЛИЗАЦИЯ[[#This Row],[СОНИ]]*[1]!РЕАЛИЗАЦИЯ[[#This Row],[ТАННАРХ]]</f>
        <v>0</v>
      </c>
      <c r="L635" s="7">
        <f>[1]!РЕАЛИЗАЦИЯ[[#This Row],[ЖАМИ]]-[1]!РЕАЛИЗАЦИЯ[[#This Row],[ЖАМИ2]]</f>
        <v>1018500</v>
      </c>
      <c r="O635" s="27">
        <v>46120</v>
      </c>
      <c r="P635" s="28" t="s">
        <v>228</v>
      </c>
      <c r="Q635" s="6">
        <v>830000</v>
      </c>
      <c r="R635" s="6"/>
      <c r="S635" s="6"/>
      <c r="T635" s="29">
        <f>[1]!ПЛАТЕЖИ[[#This Row],[СЎМ]]+([1]!ПЛАТЕЖИ[[#This Row],[ВАЛЮТА]]*[1]!ПЛАТЕЖИ[[#This Row],[КУРС]])</f>
        <v>1039500</v>
      </c>
      <c r="U635" s="28"/>
      <c r="V635" s="28"/>
    </row>
    <row r="636" spans="2:22" x14ac:dyDescent="0.25">
      <c r="B636" s="8">
        <v>46118</v>
      </c>
      <c r="C636" s="9" t="s">
        <v>210</v>
      </c>
      <c r="D636" s="10" t="s">
        <v>1</v>
      </c>
      <c r="E636" s="10" t="s">
        <v>2</v>
      </c>
      <c r="F636" s="11">
        <v>96.4</v>
      </c>
      <c r="G636" s="11">
        <v>21000</v>
      </c>
      <c r="H636" s="12">
        <f>[1]!РЕАЛИЗАЦИЯ[СОНИ]*[1]!РЕАЛИЗАЦИЯ[НАРХИ]</f>
        <v>2181540</v>
      </c>
      <c r="I636" s="11"/>
      <c r="J636" s="13">
        <v>19000</v>
      </c>
      <c r="K636" s="11">
        <f>[1]!РЕАЛИЗАЦИЯ[[#This Row],[СОНИ]]*[1]!РЕАЛИЗАЦИЯ[[#This Row],[ТАННАРХ]]</f>
        <v>0</v>
      </c>
      <c r="L636" s="14">
        <f>[1]!РЕАЛИЗАЦИЯ[[#This Row],[ЖАМИ]]-[1]!РЕАЛИЗАЦИЯ[[#This Row],[ЖАМИ2]]</f>
        <v>2181540</v>
      </c>
      <c r="O636" s="30">
        <v>46120</v>
      </c>
      <c r="P636" s="31" t="s">
        <v>78</v>
      </c>
      <c r="Q636" s="13"/>
      <c r="R636" s="13">
        <v>900</v>
      </c>
      <c r="S636" s="13">
        <v>12200</v>
      </c>
      <c r="T636" s="32">
        <f>[1]!ПЛАТЕЖИ[[#This Row],[СЎМ]]+([1]!ПЛАТЕЖИ[[#This Row],[ВАЛЮТА]]*[1]!ПЛАТЕЖИ[[#This Row],[КУРС]])</f>
        <v>1710000</v>
      </c>
      <c r="U636" s="31"/>
      <c r="V636" s="31"/>
    </row>
    <row r="637" spans="2:22" x14ac:dyDescent="0.25">
      <c r="B637" s="1">
        <v>46118</v>
      </c>
      <c r="C637" s="2" t="s">
        <v>142</v>
      </c>
      <c r="D637" s="3" t="s">
        <v>1</v>
      </c>
      <c r="E637" s="3" t="s">
        <v>2</v>
      </c>
      <c r="F637" s="4">
        <v>99.6</v>
      </c>
      <c r="G637" s="4">
        <v>21000</v>
      </c>
      <c r="H637" s="5">
        <f>[1]!РЕАЛИЗАЦИЯ[СОНИ]*[1]!РЕАЛИЗАЦИЯ[НАРХИ]</f>
        <v>3977860</v>
      </c>
      <c r="I637" s="4"/>
      <c r="J637" s="6">
        <v>19000</v>
      </c>
      <c r="K637" s="4">
        <f>[1]!РЕАЛИЗАЦИЯ[[#This Row],[СОНИ]]*[1]!РЕАЛИЗАЦИЯ[[#This Row],[ТАННАРХ]]</f>
        <v>0</v>
      </c>
      <c r="L637" s="7">
        <f>[1]!РЕАЛИЗАЦИЯ[[#This Row],[ЖАМИ]]-[1]!РЕАЛИЗАЦИЯ[[#This Row],[ЖАМИ2]]</f>
        <v>3977860</v>
      </c>
      <c r="O637" s="27">
        <v>46120</v>
      </c>
      <c r="P637" s="28" t="s">
        <v>118</v>
      </c>
      <c r="Q637" s="6">
        <v>20000</v>
      </c>
      <c r="R637" s="6">
        <v>200</v>
      </c>
      <c r="S637" s="6">
        <v>12200</v>
      </c>
      <c r="T637" s="29">
        <f>[1]!ПЛАТЕЖИ[[#This Row],[СЎМ]]+([1]!ПЛАТЕЖИ[[#This Row],[ВАЛЮТА]]*[1]!ПЛАТЕЖИ[[#This Row],[КУРС]])</f>
        <v>2000000</v>
      </c>
      <c r="U637" s="28"/>
      <c r="V637" s="28"/>
    </row>
    <row r="638" spans="2:22" x14ac:dyDescent="0.25">
      <c r="B638" s="8">
        <v>46118</v>
      </c>
      <c r="C638" s="9" t="s">
        <v>23</v>
      </c>
      <c r="D638" s="10" t="s">
        <v>10</v>
      </c>
      <c r="E638" s="10" t="s">
        <v>2</v>
      </c>
      <c r="F638" s="11">
        <v>142.6</v>
      </c>
      <c r="G638" s="11">
        <v>15000</v>
      </c>
      <c r="H638" s="12">
        <f>[1]!РЕАЛИЗАЦИЯ[СОНИ]*[1]!РЕАЛИЗАЦИЯ[НАРХИ]</f>
        <v>953400</v>
      </c>
      <c r="I638" s="11"/>
      <c r="J638" s="13">
        <v>13000</v>
      </c>
      <c r="K638" s="11">
        <f>[1]!РЕАЛИЗАЦИЯ[[#This Row],[СОНИ]]*[1]!РЕАЛИЗАЦИЯ[[#This Row],[ТАННАРХ]]</f>
        <v>0</v>
      </c>
      <c r="L638" s="14">
        <f>[1]!РЕАЛИЗАЦИЯ[[#This Row],[ЖАМИ]]-[1]!РЕАЛИЗАЦИЯ[[#This Row],[ЖАМИ2]]</f>
        <v>953400</v>
      </c>
      <c r="O638" s="30">
        <v>46121</v>
      </c>
      <c r="P638" s="31" t="s">
        <v>202</v>
      </c>
      <c r="Q638" s="13">
        <v>4000000</v>
      </c>
      <c r="R638" s="13"/>
      <c r="S638" s="13"/>
      <c r="T638" s="32">
        <f>[1]!ПЛАТЕЖИ[[#This Row],[СЎМ]]+([1]!ПЛАТЕЖИ[[#This Row],[ВАЛЮТА]]*[1]!ПЛАТЕЖИ[[#This Row],[КУРС]])</f>
        <v>809700</v>
      </c>
      <c r="U638" s="31"/>
      <c r="V638" s="31"/>
    </row>
    <row r="639" spans="2:22" x14ac:dyDescent="0.25">
      <c r="B639" s="1">
        <v>46118</v>
      </c>
      <c r="C639" s="2" t="s">
        <v>23</v>
      </c>
      <c r="D639" s="3" t="s">
        <v>1</v>
      </c>
      <c r="E639" s="3" t="s">
        <v>2</v>
      </c>
      <c r="F639" s="4">
        <v>47.8</v>
      </c>
      <c r="G639" s="4">
        <v>20000</v>
      </c>
      <c r="H639" s="5">
        <f>[1]!РЕАЛИЗАЦИЯ[СОНИ]*[1]!РЕАЛИЗАЦИЯ[НАРХИ]</f>
        <v>718400</v>
      </c>
      <c r="I639" s="4"/>
      <c r="J639" s="6">
        <v>19000</v>
      </c>
      <c r="K639" s="4">
        <f>[1]!РЕАЛИЗАЦИЯ[[#This Row],[СОНИ]]*[1]!РЕАЛИЗАЦИЯ[[#This Row],[ТАННАРХ]]</f>
        <v>0</v>
      </c>
      <c r="L639" s="7">
        <f>[1]!РЕАЛИЗАЦИЯ[[#This Row],[ЖАМИ]]-[1]!РЕАЛИЗАЦИЯ[[#This Row],[ЖАМИ2]]</f>
        <v>718400</v>
      </c>
      <c r="O639" s="27">
        <v>46121</v>
      </c>
      <c r="P639" s="28" t="s">
        <v>226</v>
      </c>
      <c r="Q639" s="6">
        <v>1005900</v>
      </c>
      <c r="R639" s="6"/>
      <c r="S639" s="6"/>
      <c r="T639" s="29">
        <f>[1]!ПЛАТЕЖИ[[#This Row],[СЎМ]]+([1]!ПЛАТЕЖИ[[#This Row],[ВАЛЮТА]]*[1]!ПЛАТЕЖИ[[#This Row],[КУРС]])</f>
        <v>367500</v>
      </c>
      <c r="U639" s="28"/>
      <c r="V639" s="28"/>
    </row>
    <row r="640" spans="2:22" x14ac:dyDescent="0.25">
      <c r="B640" s="8">
        <v>46118</v>
      </c>
      <c r="C640" s="9" t="s">
        <v>65</v>
      </c>
      <c r="D640" s="10" t="s">
        <v>8</v>
      </c>
      <c r="E640" s="10" t="s">
        <v>2</v>
      </c>
      <c r="F640" s="11">
        <v>782.7</v>
      </c>
      <c r="G640" s="11">
        <v>22500</v>
      </c>
      <c r="H640" s="12">
        <f>[1]!РЕАЛИЗАЦИЯ[СОНИ]*[1]!РЕАЛИЗАЦИЯ[НАРХИ]</f>
        <v>908149.99999999988</v>
      </c>
      <c r="I640" s="11"/>
      <c r="J640" s="13">
        <v>20000</v>
      </c>
      <c r="K640" s="11">
        <f>[1]!РЕАЛИЗАЦИЯ[[#This Row],[СОНИ]]*[1]!РЕАЛИЗАЦИЯ[[#This Row],[ТАННАРХ]]</f>
        <v>0</v>
      </c>
      <c r="L640" s="14">
        <f>[1]!РЕАЛИЗАЦИЯ[[#This Row],[ЖАМИ]]-[1]!РЕАЛИЗАЦИЯ[[#This Row],[ЖАМИ2]]</f>
        <v>908149.99999999988</v>
      </c>
      <c r="O640" s="30">
        <v>46121</v>
      </c>
      <c r="P640" s="31" t="s">
        <v>225</v>
      </c>
      <c r="Q640" s="13">
        <v>780800</v>
      </c>
      <c r="R640" s="13"/>
      <c r="S640" s="13"/>
      <c r="T640" s="32">
        <f>[1]!ПЛАТЕЖИ[[#This Row],[СЎМ]]+([1]!ПЛАТЕЖИ[[#This Row],[ВАЛЮТА]]*[1]!ПЛАТЕЖИ[[#This Row],[КУРС]])</f>
        <v>2000000</v>
      </c>
      <c r="U640" s="31"/>
      <c r="V640" s="31"/>
    </row>
    <row r="641" spans="2:22" x14ac:dyDescent="0.25">
      <c r="B641" s="1">
        <v>46118</v>
      </c>
      <c r="C641" s="2" t="s">
        <v>65</v>
      </c>
      <c r="D641" s="3" t="s">
        <v>8</v>
      </c>
      <c r="E641" s="3" t="s">
        <v>2</v>
      </c>
      <c r="F641" s="4">
        <v>-742</v>
      </c>
      <c r="G641" s="4">
        <v>22500</v>
      </c>
      <c r="H641" s="5">
        <f>[1]!РЕАЛИЗАЦИЯ[СОНИ]*[1]!РЕАЛИЗАЦИЯ[НАРХИ]</f>
        <v>1052100</v>
      </c>
      <c r="I641" s="4"/>
      <c r="J641" s="6">
        <v>20000</v>
      </c>
      <c r="K641" s="4">
        <f>[1]!РЕАЛИЗАЦИЯ[[#This Row],[СОНИ]]*[1]!РЕАЛИЗАЦИЯ[[#This Row],[ТАННАРХ]]</f>
        <v>0</v>
      </c>
      <c r="L641" s="7">
        <f>[1]!РЕАЛИЗАЦИЯ[[#This Row],[ЖАМИ]]-[1]!РЕАЛИЗАЦИЯ[[#This Row],[ЖАМИ2]]</f>
        <v>1052100</v>
      </c>
      <c r="O641" s="27">
        <v>46121</v>
      </c>
      <c r="P641" s="28" t="s">
        <v>45</v>
      </c>
      <c r="Q641" s="6">
        <v>814000</v>
      </c>
      <c r="R641" s="6"/>
      <c r="S641" s="6"/>
      <c r="T641" s="29">
        <f>[1]!ПЛАТЕЖИ[[#This Row],[СЎМ]]+([1]!ПЛАТЕЖИ[[#This Row],[ВАЛЮТА]]*[1]!ПЛАТЕЖИ[[#This Row],[КУРС]])</f>
        <v>432000</v>
      </c>
      <c r="U641" s="28"/>
      <c r="V641" s="28"/>
    </row>
    <row r="642" spans="2:22" x14ac:dyDescent="0.25">
      <c r="B642" s="8">
        <v>46118</v>
      </c>
      <c r="C642" s="9" t="s">
        <v>67</v>
      </c>
      <c r="D642" s="10" t="s">
        <v>1</v>
      </c>
      <c r="E642" s="10" t="s">
        <v>2</v>
      </c>
      <c r="F642" s="11">
        <v>44.2</v>
      </c>
      <c r="G642" s="11">
        <v>21000</v>
      </c>
      <c r="H642" s="12">
        <f>[1]!РЕАЛИЗАЦИЯ[СОНИ]*[1]!РЕАЛИЗАЦИЯ[НАРХИ]</f>
        <v>1087800</v>
      </c>
      <c r="I642" s="11"/>
      <c r="J642" s="13">
        <v>19000</v>
      </c>
      <c r="K642" s="11">
        <f>[1]!РЕАЛИЗАЦИЯ[[#This Row],[СОНИ]]*[1]!РЕАЛИЗАЦИЯ[[#This Row],[ТАННАРХ]]</f>
        <v>0</v>
      </c>
      <c r="L642" s="14">
        <f>[1]!РЕАЛИЗАЦИЯ[[#This Row],[ЖАМИ]]-[1]!РЕАЛИЗАЦИЯ[[#This Row],[ЖАМИ2]]</f>
        <v>1087800</v>
      </c>
      <c r="O642" s="30">
        <v>46121</v>
      </c>
      <c r="P642" s="31" t="s">
        <v>52</v>
      </c>
      <c r="Q642" s="13">
        <v>972300</v>
      </c>
      <c r="R642" s="13"/>
      <c r="S642" s="13"/>
      <c r="T642" s="32">
        <f>[1]!ПЛАТЕЖИ[[#This Row],[СЎМ]]+([1]!ПЛАТЕЖИ[[#This Row],[ВАЛЮТА]]*[1]!ПЛАТЕЖИ[[#This Row],[КУРС]])</f>
        <v>1119300</v>
      </c>
      <c r="U642" s="31"/>
      <c r="V642" s="31"/>
    </row>
    <row r="643" spans="2:22" x14ac:dyDescent="0.25">
      <c r="B643" s="1">
        <v>46118</v>
      </c>
      <c r="C643" s="2" t="s">
        <v>202</v>
      </c>
      <c r="D643" s="3" t="s">
        <v>16</v>
      </c>
      <c r="E643" s="3" t="s">
        <v>2</v>
      </c>
      <c r="F643" s="4">
        <v>522.9</v>
      </c>
      <c r="G643" s="4">
        <v>20000</v>
      </c>
      <c r="H643" s="5">
        <f>[1]!РЕАЛИЗАЦИЯ[СОНИ]*[1]!РЕАЛИЗАЦИЯ[НАРХИ]</f>
        <v>1997099.9999999998</v>
      </c>
      <c r="I643" s="4"/>
      <c r="J643" s="6">
        <v>20000</v>
      </c>
      <c r="K643" s="4">
        <f>[1]!РЕАЛИЗАЦИЯ[[#This Row],[СОНИ]]*[1]!РЕАЛИЗАЦИЯ[[#This Row],[ТАННАРХ]]</f>
        <v>0</v>
      </c>
      <c r="L643" s="7">
        <f>[1]!РЕАЛИЗАЦИЯ[[#This Row],[ЖАМИ]]-[1]!РЕАЛИЗАЦИЯ[[#This Row],[ЖАМИ2]]</f>
        <v>1997099.9999999998</v>
      </c>
      <c r="O643" s="27">
        <v>46121</v>
      </c>
      <c r="P643" s="28" t="s">
        <v>86</v>
      </c>
      <c r="Q643" s="6">
        <v>2207000</v>
      </c>
      <c r="R643" s="6">
        <v>600</v>
      </c>
      <c r="S643" s="6">
        <v>12200</v>
      </c>
      <c r="T643" s="29">
        <f>[1]!ПЛАТЕЖИ[[#This Row],[СЎМ]]+([1]!ПЛАТЕЖИ[[#This Row],[ВАЛЮТА]]*[1]!ПЛАТЕЖИ[[#This Row],[КУРС]])</f>
        <v>4429300</v>
      </c>
      <c r="U643" s="28"/>
      <c r="V643" s="28"/>
    </row>
    <row r="644" spans="2:22" x14ac:dyDescent="0.25">
      <c r="B644" s="8">
        <v>46118</v>
      </c>
      <c r="C644" s="9" t="s">
        <v>104</v>
      </c>
      <c r="D644" s="10" t="s">
        <v>1</v>
      </c>
      <c r="E644" s="10" t="s">
        <v>2</v>
      </c>
      <c r="F644" s="11">
        <v>49.4</v>
      </c>
      <c r="G644" s="11">
        <v>21000</v>
      </c>
      <c r="H644" s="12">
        <f>[1]!РЕАЛИЗАЦИЯ[СОНИ]*[1]!РЕАЛИЗАЦИЯ[НАРХИ]</f>
        <v>2184000</v>
      </c>
      <c r="I644" s="11"/>
      <c r="J644" s="13">
        <v>19000</v>
      </c>
      <c r="K644" s="11">
        <f>[1]!РЕАЛИЗАЦИЯ[[#This Row],[СОНИ]]*[1]!РЕАЛИЗАЦИЯ[[#This Row],[ТАННАРХ]]</f>
        <v>0</v>
      </c>
      <c r="L644" s="14">
        <f>[1]!РЕАЛИЗАЦИЯ[[#This Row],[ЖАМИ]]-[1]!РЕАЛИЗАЦИЯ[[#This Row],[ЖАМИ2]]</f>
        <v>2184000</v>
      </c>
      <c r="O644" s="30">
        <v>46121</v>
      </c>
      <c r="P644" s="31" t="s">
        <v>229</v>
      </c>
      <c r="Q644" s="13">
        <v>886200</v>
      </c>
      <c r="R644" s="13"/>
      <c r="S644" s="13"/>
      <c r="T644" s="32">
        <f>[1]!ПЛАТЕЖИ[[#This Row],[СЎМ]]+([1]!ПЛАТЕЖИ[[#This Row],[ВАЛЮТА]]*[1]!ПЛАТЕЖИ[[#This Row],[КУРС]])</f>
        <v>0</v>
      </c>
      <c r="U644" s="31"/>
      <c r="V644" s="31"/>
    </row>
    <row r="645" spans="2:22" x14ac:dyDescent="0.25">
      <c r="B645" s="1">
        <v>46118</v>
      </c>
      <c r="C645" s="2" t="s">
        <v>108</v>
      </c>
      <c r="D645" s="3" t="s">
        <v>10</v>
      </c>
      <c r="E645" s="3" t="s">
        <v>2</v>
      </c>
      <c r="F645" s="4">
        <v>100.2</v>
      </c>
      <c r="G645" s="4">
        <v>16000</v>
      </c>
      <c r="H645" s="5">
        <f>[1]!РЕАЛИЗАЦИЯ[СОНИ]*[1]!РЕАЛИЗАЦИЯ[НАРХИ]</f>
        <v>1553600</v>
      </c>
      <c r="I645" s="4"/>
      <c r="J645" s="6">
        <v>13000</v>
      </c>
      <c r="K645" s="4">
        <f>[1]!РЕАЛИЗАЦИЯ[[#This Row],[СОНИ]]*[1]!РЕАЛИЗАЦИЯ[[#This Row],[ТАННАРХ]]</f>
        <v>0</v>
      </c>
      <c r="L645" s="7">
        <f>[1]!РЕАЛИЗАЦИЯ[[#This Row],[ЖАМИ]]-[1]!РЕАЛИЗАЦИЯ[[#This Row],[ЖАМИ2]]</f>
        <v>1553600</v>
      </c>
      <c r="O645" s="27">
        <v>46121</v>
      </c>
      <c r="P645" s="28" t="s">
        <v>39</v>
      </c>
      <c r="Q645" s="6"/>
      <c r="R645" s="6">
        <v>1000</v>
      </c>
      <c r="S645" s="6">
        <v>12200</v>
      </c>
      <c r="T645" s="29">
        <f>[1]!ПЛАТЕЖИ[[#This Row],[СЎМ]]+([1]!ПЛАТЕЖИ[[#This Row],[ВАЛЮТА]]*[1]!ПЛАТЕЖИ[[#This Row],[КУРС]])</f>
        <v>500000</v>
      </c>
      <c r="U645" s="28"/>
      <c r="V645" s="28"/>
    </row>
    <row r="646" spans="2:22" x14ac:dyDescent="0.25">
      <c r="B646" s="8">
        <v>46118</v>
      </c>
      <c r="C646" s="9" t="s">
        <v>108</v>
      </c>
      <c r="D646" s="10" t="s">
        <v>1</v>
      </c>
      <c r="E646" s="10" t="s">
        <v>2</v>
      </c>
      <c r="F646" s="11">
        <v>47.6</v>
      </c>
      <c r="G646" s="11">
        <v>21000</v>
      </c>
      <c r="H646" s="12">
        <f>[1]!РЕАЛИЗАЦИЯ[СОНИ]*[1]!РЕАЛИЗАЦИЯ[НАРХИ]</f>
        <v>837900</v>
      </c>
      <c r="I646" s="11"/>
      <c r="J646" s="13">
        <v>19000</v>
      </c>
      <c r="K646" s="11">
        <f>[1]!РЕАЛИЗАЦИЯ[[#This Row],[СОНИ]]*[1]!РЕАЛИЗАЦИЯ[[#This Row],[ТАННАРХ]]</f>
        <v>0</v>
      </c>
      <c r="L646" s="14">
        <f>[1]!РЕАЛИЗАЦИЯ[[#This Row],[ЖАМИ]]-[1]!РЕАЛИЗАЦИЯ[[#This Row],[ЖАМИ2]]</f>
        <v>837900</v>
      </c>
      <c r="O646" s="30">
        <v>46121</v>
      </c>
      <c r="P646" s="31" t="s">
        <v>198</v>
      </c>
      <c r="Q646" s="13">
        <v>2285000</v>
      </c>
      <c r="R646" s="13"/>
      <c r="S646" s="13"/>
      <c r="T646" s="32">
        <f>[1]!ПЛАТЕЖИ[[#This Row],[СЎМ]]+([1]!ПЛАТЕЖИ[[#This Row],[ВАЛЮТА]]*[1]!ПЛАТЕЖИ[[#This Row],[КУРС]])</f>
        <v>1184400</v>
      </c>
      <c r="U646" s="31"/>
      <c r="V646" s="31" t="s">
        <v>275</v>
      </c>
    </row>
    <row r="647" spans="2:22" x14ac:dyDescent="0.25">
      <c r="B647" s="1">
        <v>46118</v>
      </c>
      <c r="C647" s="2" t="s">
        <v>202</v>
      </c>
      <c r="D647" s="3" t="s">
        <v>1</v>
      </c>
      <c r="E647" s="3" t="s">
        <v>2</v>
      </c>
      <c r="F647" s="4">
        <v>214.2</v>
      </c>
      <c r="G647" s="4">
        <v>19000</v>
      </c>
      <c r="H647" s="5">
        <f>[1]!РЕАЛИЗАЦИЯ[СОНИ]*[1]!РЕАЛИЗАЦИЯ[НАРХИ]</f>
        <v>1092000</v>
      </c>
      <c r="I647" s="4"/>
      <c r="J647" s="6">
        <v>19000</v>
      </c>
      <c r="K647" s="4">
        <f>[1]!РЕАЛИЗАЦИЯ[[#This Row],[СОНИ]]*[1]!РЕАЛИЗАЦИЯ[[#This Row],[ТАННАРХ]]</f>
        <v>0</v>
      </c>
      <c r="L647" s="7">
        <f>[1]!РЕАЛИЗАЦИЯ[[#This Row],[ЖАМИ]]-[1]!РЕАЛИЗАЦИЯ[[#This Row],[ЖАМИ2]]</f>
        <v>1092000</v>
      </c>
      <c r="O647" s="27">
        <v>46121</v>
      </c>
      <c r="P647" s="28" t="s">
        <v>198</v>
      </c>
      <c r="Q647" s="6">
        <v>700000</v>
      </c>
      <c r="R647" s="6"/>
      <c r="S647" s="6"/>
      <c r="T647" s="29">
        <f>[1]!ПЛАТЕЖИ[[#This Row],[СЎМ]]+([1]!ПЛАТЕЖИ[[#This Row],[ВАЛЮТА]]*[1]!ПЛАТЕЖИ[[#This Row],[КУРС]])</f>
        <v>2872800</v>
      </c>
      <c r="U647" s="28"/>
      <c r="V647" s="28" t="s">
        <v>275</v>
      </c>
    </row>
    <row r="648" spans="2:22" x14ac:dyDescent="0.25">
      <c r="B648" s="8">
        <v>46118</v>
      </c>
      <c r="C648" s="9" t="s">
        <v>105</v>
      </c>
      <c r="D648" s="10" t="s">
        <v>29</v>
      </c>
      <c r="E648" s="10" t="s">
        <v>2</v>
      </c>
      <c r="F648" s="11">
        <v>321.7</v>
      </c>
      <c r="G648" s="11">
        <v>16000</v>
      </c>
      <c r="H648" s="12">
        <f>[1]!РЕАЛИЗАЦИЯ[СОНИ]*[1]!РЕАЛИЗАЦИЯ[НАРХИ]</f>
        <v>955800</v>
      </c>
      <c r="I648" s="11"/>
      <c r="J648" s="13">
        <v>16000</v>
      </c>
      <c r="K648" s="11">
        <f>[1]!РЕАЛИЗАЦИЯ[[#This Row],[СОНИ]]*[1]!РЕАЛИЗАЦИЯ[[#This Row],[ТАННАРХ]]</f>
        <v>0</v>
      </c>
      <c r="L648" s="14">
        <f>[1]!РЕАЛИЗАЦИЯ[[#This Row],[ЖАМИ]]-[1]!РЕАЛИЗАЦИЯ[[#This Row],[ЖАМИ2]]</f>
        <v>955800</v>
      </c>
      <c r="O648" s="30">
        <v>46121</v>
      </c>
      <c r="P648" s="31" t="s">
        <v>211</v>
      </c>
      <c r="Q648" s="13">
        <v>12328800</v>
      </c>
      <c r="R648" s="13"/>
      <c r="S648" s="13"/>
      <c r="T648" s="32">
        <f>[1]!ПЛАТЕЖИ[[#This Row],[СЎМ]]+([1]!ПЛАТЕЖИ[[#This Row],[ВАЛЮТА]]*[1]!ПЛАТЕЖИ[[#This Row],[КУРС]])</f>
        <v>1000000</v>
      </c>
      <c r="U648" s="31"/>
      <c r="V648" s="31" t="s">
        <v>279</v>
      </c>
    </row>
    <row r="649" spans="2:22" x14ac:dyDescent="0.25">
      <c r="B649" s="1">
        <v>46118</v>
      </c>
      <c r="C649" s="2" t="s">
        <v>182</v>
      </c>
      <c r="D649" s="3" t="s">
        <v>1</v>
      </c>
      <c r="E649" s="3" t="s">
        <v>2</v>
      </c>
      <c r="F649" s="4">
        <v>-43.6</v>
      </c>
      <c r="G649" s="4">
        <v>21000</v>
      </c>
      <c r="H649" s="5">
        <f>[1]!РЕАЛИЗАЦИЯ[СОНИ]*[1]!РЕАЛИЗАЦИЯ[НАРХИ]</f>
        <v>2824500</v>
      </c>
      <c r="I649" s="4"/>
      <c r="J649" s="6">
        <v>19000</v>
      </c>
      <c r="K649" s="4">
        <f>[1]!РЕАЛИЗАЦИЯ[[#This Row],[СОНИ]]*[1]!РЕАЛИЗАЦИЯ[[#This Row],[ТАННАРХ]]</f>
        <v>0</v>
      </c>
      <c r="L649" s="7">
        <f>[1]!РЕАЛИЗАЦИЯ[[#This Row],[ЖАМИ]]-[1]!РЕАЛИЗАЦИЯ[[#This Row],[ЖАМИ2]]</f>
        <v>2824500</v>
      </c>
      <c r="O649" s="27">
        <v>46122</v>
      </c>
      <c r="P649" s="28" t="s">
        <v>85</v>
      </c>
      <c r="Q649" s="6">
        <v>1000000</v>
      </c>
      <c r="R649" s="6"/>
      <c r="S649" s="6"/>
      <c r="T649" s="29">
        <f>[1]!ПЛАТЕЖИ[[#This Row],[СЎМ]]+([1]!ПЛАТЕЖИ[[#This Row],[ВАЛЮТА]]*[1]!ПЛАТЕЖИ[[#This Row],[КУРС]])</f>
        <v>5538000</v>
      </c>
      <c r="U649" s="28"/>
      <c r="V649" s="28"/>
    </row>
    <row r="650" spans="2:22" x14ac:dyDescent="0.25">
      <c r="B650" s="8">
        <v>46119</v>
      </c>
      <c r="C650" s="9" t="s">
        <v>45</v>
      </c>
      <c r="D650" s="10" t="s">
        <v>10</v>
      </c>
      <c r="E650" s="10" t="s">
        <v>2</v>
      </c>
      <c r="F650" s="11">
        <v>49</v>
      </c>
      <c r="G650" s="11">
        <v>16000</v>
      </c>
      <c r="H650" s="12">
        <f>[1]!РЕАЛИЗАЦИЯ[СОНИ]*[1]!РЕАЛИЗАЦИЯ[НАРХИ]</f>
        <v>1604800</v>
      </c>
      <c r="I650" s="11" t="s">
        <v>224</v>
      </c>
      <c r="J650" s="13">
        <v>13000</v>
      </c>
      <c r="K650" s="11">
        <f>[1]!РЕАЛИЗАЦИЯ[[#This Row],[СОНИ]]*[1]!РЕАЛИЗАЦИЯ[[#This Row],[ТАННАРХ]]</f>
        <v>0</v>
      </c>
      <c r="L650" s="14">
        <f>[1]!РЕАЛИЗАЦИЯ[[#This Row],[ЖАМИ]]-[1]!РЕАЛИЗАЦИЯ[[#This Row],[ЖАМИ2]]</f>
        <v>1604800</v>
      </c>
      <c r="O650" s="30">
        <v>46122</v>
      </c>
      <c r="P650" s="31" t="s">
        <v>96</v>
      </c>
      <c r="Q650" s="13">
        <v>802000</v>
      </c>
      <c r="R650" s="13"/>
      <c r="S650" s="13"/>
      <c r="T650" s="32">
        <f>[1]!ПЛАТЕЖИ[[#This Row],[СЎМ]]+([1]!ПЛАТЕЖИ[[#This Row],[ВАЛЮТА]]*[1]!ПЛАТЕЖИ[[#This Row],[КУРС]])</f>
        <v>3065000</v>
      </c>
      <c r="U650" s="31"/>
      <c r="V650" s="31"/>
    </row>
    <row r="651" spans="2:22" x14ac:dyDescent="0.25">
      <c r="B651" s="1">
        <v>46119</v>
      </c>
      <c r="C651" s="2" t="s">
        <v>225</v>
      </c>
      <c r="D651" s="3" t="s">
        <v>10</v>
      </c>
      <c r="E651" s="3" t="s">
        <v>2</v>
      </c>
      <c r="F651" s="4">
        <v>48.8</v>
      </c>
      <c r="G651" s="4">
        <v>16000</v>
      </c>
      <c r="H651" s="5">
        <f>[1]!РЕАЛИЗАЦИЯ[СОНИ]*[1]!РЕАЛИЗАЦИЯ[НАРХИ]</f>
        <v>1953000</v>
      </c>
      <c r="I651" s="4"/>
      <c r="J651" s="6">
        <v>13000</v>
      </c>
      <c r="K651" s="4">
        <f>[1]!РЕАЛИЗАЦИЯ[[#This Row],[СОНИ]]*[1]!РЕАЛИЗАЦИЯ[[#This Row],[ТАННАРХ]]</f>
        <v>0</v>
      </c>
      <c r="L651" s="7">
        <f>[1]!РЕАЛИЗАЦИЯ[[#This Row],[ЖАМИ]]-[1]!РЕАЛИЗАЦИЯ[[#This Row],[ЖАМИ2]]</f>
        <v>1953000</v>
      </c>
      <c r="O651" s="27">
        <v>46122</v>
      </c>
      <c r="P651" s="28" t="s">
        <v>310</v>
      </c>
      <c r="Q651" s="6">
        <v>400000</v>
      </c>
      <c r="R651" s="6"/>
      <c r="S651" s="6"/>
      <c r="T651" s="29">
        <f>[1]!ПЛАТЕЖИ[[#This Row],[СЎМ]]+([1]!ПЛАТЕЖИ[[#This Row],[ВАЛЮТА]]*[1]!ПЛАТЕЖИ[[#This Row],[КУРС]])</f>
        <v>940800</v>
      </c>
      <c r="U651" s="28"/>
      <c r="V651" s="28" t="s">
        <v>275</v>
      </c>
    </row>
    <row r="652" spans="2:22" x14ac:dyDescent="0.25">
      <c r="B652" s="8">
        <v>46119</v>
      </c>
      <c r="C652" s="9" t="s">
        <v>72</v>
      </c>
      <c r="D652" s="10" t="s">
        <v>29</v>
      </c>
      <c r="E652" s="10" t="s">
        <v>2</v>
      </c>
      <c r="F652" s="11">
        <v>52.3</v>
      </c>
      <c r="G652" s="11">
        <v>18000</v>
      </c>
      <c r="H652" s="12">
        <f>[1]!РЕАЛИЗАЦИЯ[СОНИ]*[1]!РЕАЛИЗАЦИЯ[НАРХИ]</f>
        <v>1297600</v>
      </c>
      <c r="I652" s="11"/>
      <c r="J652" s="13">
        <v>16000</v>
      </c>
      <c r="K652" s="11">
        <f>[1]!РЕАЛИЗАЦИЯ[[#This Row],[СОНИ]]*[1]!РЕАЛИЗАЦИЯ[[#This Row],[ТАННАРХ]]</f>
        <v>0</v>
      </c>
      <c r="L652" s="14">
        <f>[1]!РЕАЛИЗАЦИЯ[[#This Row],[ЖАМИ]]-[1]!РЕАЛИЗАЦИЯ[[#This Row],[ЖАМИ2]]</f>
        <v>1297600</v>
      </c>
      <c r="O652" s="30">
        <v>46122</v>
      </c>
      <c r="P652" s="31" t="s">
        <v>55</v>
      </c>
      <c r="Q652" s="13">
        <v>500000</v>
      </c>
      <c r="R652" s="13"/>
      <c r="S652" s="13"/>
      <c r="T652" s="32">
        <f>[1]!ПЛАТЕЖИ[[#This Row],[СЎМ]]+([1]!ПЛАТЕЖИ[[#This Row],[ВАЛЮТА]]*[1]!ПЛАТЕЖИ[[#This Row],[КУРС]])</f>
        <v>2057900</v>
      </c>
      <c r="U652" s="31"/>
      <c r="V652" s="31" t="s">
        <v>275</v>
      </c>
    </row>
    <row r="653" spans="2:22" x14ac:dyDescent="0.25">
      <c r="B653" s="1">
        <v>46119</v>
      </c>
      <c r="C653" s="2" t="s">
        <v>72</v>
      </c>
      <c r="D653" s="3" t="s">
        <v>1</v>
      </c>
      <c r="E653" s="3" t="s">
        <v>2</v>
      </c>
      <c r="F653" s="4">
        <v>252.6</v>
      </c>
      <c r="G653" s="4">
        <v>20000</v>
      </c>
      <c r="H653" s="5">
        <f>[1]!РЕАЛИЗАЦИЯ[СОНИ]*[1]!РЕАЛИЗАЦИЯ[НАРХИ]</f>
        <v>922000</v>
      </c>
      <c r="I653" s="4"/>
      <c r="J653" s="6">
        <v>19000</v>
      </c>
      <c r="K653" s="4">
        <f>[1]!РЕАЛИЗАЦИЯ[[#This Row],[СОНИ]]*[1]!РЕАЛИЗАЦИЯ[[#This Row],[ТАННАРХ]]</f>
        <v>0</v>
      </c>
      <c r="L653" s="7">
        <f>[1]!РЕАЛИЗАЦИЯ[[#This Row],[ЖАМИ]]-[1]!РЕАЛИЗАЦИЯ[[#This Row],[ЖАМИ2]]</f>
        <v>922000</v>
      </c>
      <c r="O653" s="27">
        <v>46122</v>
      </c>
      <c r="P653" s="28" t="s">
        <v>181</v>
      </c>
      <c r="Q653" s="6">
        <v>650000</v>
      </c>
      <c r="R653" s="6"/>
      <c r="S653" s="6"/>
      <c r="T653" s="29">
        <f>[1]!ПЛАТЕЖИ[[#This Row],[СЎМ]]+([1]!ПЛАТЕЖИ[[#This Row],[ВАЛЮТА]]*[1]!ПЛАТЕЖИ[[#This Row],[КУРС]])</f>
        <v>3839970</v>
      </c>
      <c r="U653" s="28"/>
      <c r="V653" s="28" t="s">
        <v>279</v>
      </c>
    </row>
    <row r="654" spans="2:22" x14ac:dyDescent="0.25">
      <c r="B654" s="8">
        <v>46119</v>
      </c>
      <c r="C654" s="9" t="s">
        <v>72</v>
      </c>
      <c r="D654" s="10" t="s">
        <v>10</v>
      </c>
      <c r="E654" s="10" t="s">
        <v>2</v>
      </c>
      <c r="F654" s="11">
        <v>50.5</v>
      </c>
      <c r="G654" s="11">
        <v>15000</v>
      </c>
      <c r="H654" s="12">
        <f>[1]!РЕАЛИЗАЦИЯ[СОНИ]*[1]!РЕАЛИЗАЦИЯ[НАРХИ]</f>
        <v>1056300</v>
      </c>
      <c r="I654" s="11"/>
      <c r="J654" s="13">
        <v>13000</v>
      </c>
      <c r="K654" s="11">
        <f>[1]!РЕАЛИЗАЦИЯ[[#This Row],[СОНИ]]*[1]!РЕАЛИЗАЦИЯ[[#This Row],[ТАННАРХ]]</f>
        <v>0</v>
      </c>
      <c r="L654" s="14">
        <f>[1]!РЕАЛИЗАЦИЯ[[#This Row],[ЖАМИ]]-[1]!РЕАЛИЗАЦИЯ[[#This Row],[ЖАМИ2]]</f>
        <v>1056300</v>
      </c>
      <c r="O654" s="30">
        <v>46122</v>
      </c>
      <c r="P654" s="31" t="s">
        <v>212</v>
      </c>
      <c r="Q654" s="13">
        <v>852600</v>
      </c>
      <c r="R654" s="13"/>
      <c r="S654" s="13"/>
      <c r="T654" s="32">
        <f>[1]!ПЛАТЕЖИ[[#This Row],[СЎМ]]+([1]!ПЛАТЕЖИ[[#This Row],[ВАЛЮТА]]*[1]!ПЛАТЕЖИ[[#This Row],[КУРС]])</f>
        <v>2022300</v>
      </c>
      <c r="U654" s="31"/>
      <c r="V654" s="31" t="s">
        <v>275</v>
      </c>
    </row>
    <row r="655" spans="2:22" x14ac:dyDescent="0.25">
      <c r="B655" s="1">
        <v>46119</v>
      </c>
      <c r="C655" s="2" t="s">
        <v>12</v>
      </c>
      <c r="D655" s="3" t="s">
        <v>1</v>
      </c>
      <c r="E655" s="3" t="s">
        <v>2</v>
      </c>
      <c r="F655" s="4">
        <v>1618.5</v>
      </c>
      <c r="G655" s="4">
        <v>24000</v>
      </c>
      <c r="H655" s="5">
        <f>[1]!РЕАЛИЗАЦИЯ[СОНИ]*[1]!РЕАЛИЗАЦИЯ[НАРХИ]</f>
        <v>1539200</v>
      </c>
      <c r="I655" s="4">
        <v>6</v>
      </c>
      <c r="J655" s="6">
        <v>19000</v>
      </c>
      <c r="K655" s="4">
        <f>[1]!РЕАЛИЗАЦИЯ[[#This Row],[СОНИ]]*[1]!РЕАЛИЗАЦИЯ[[#This Row],[ТАННАРХ]]</f>
        <v>0</v>
      </c>
      <c r="L655" s="7">
        <f>[1]!РЕАЛИЗАЦИЯ[[#This Row],[ЖАМИ]]-[1]!РЕАЛИЗАЦИЯ[[#This Row],[ЖАМИ2]]</f>
        <v>1539200</v>
      </c>
      <c r="O655" s="27">
        <v>46122</v>
      </c>
      <c r="P655" s="28" t="s">
        <v>7</v>
      </c>
      <c r="Q655" s="6">
        <v>15000000</v>
      </c>
      <c r="R655" s="6"/>
      <c r="S655" s="6"/>
      <c r="T655" s="29">
        <f>[1]!ПЛАТЕЖИ[[#This Row],[СЎМ]]+([1]!ПЛАТЕЖИ[[#This Row],[ВАЛЮТА]]*[1]!ПЛАТЕЖИ[[#This Row],[КУРС]])</f>
        <v>1780000</v>
      </c>
      <c r="U655" s="28"/>
      <c r="V655" s="28" t="s">
        <v>279</v>
      </c>
    </row>
    <row r="656" spans="2:22" x14ac:dyDescent="0.25">
      <c r="B656" s="8">
        <v>46119</v>
      </c>
      <c r="C656" s="9" t="s">
        <v>191</v>
      </c>
      <c r="D656" s="10" t="s">
        <v>1</v>
      </c>
      <c r="E656" s="10" t="s">
        <v>2</v>
      </c>
      <c r="F656" s="11">
        <v>37.4</v>
      </c>
      <c r="G656" s="11">
        <v>21000</v>
      </c>
      <c r="H656" s="12">
        <f>[1]!РЕАЛИЗАЦИЯ[СОНИ]*[1]!РЕАЛИЗАЦИЯ[НАРХИ]</f>
        <v>1778700</v>
      </c>
      <c r="I656" s="11"/>
      <c r="J656" s="13">
        <v>19000</v>
      </c>
      <c r="K656" s="11">
        <f>[1]!РЕАЛИЗАЦИЯ[[#This Row],[СОНИ]]*[1]!РЕАЛИЗАЦИЯ[[#This Row],[ТАННАРХ]]</f>
        <v>0</v>
      </c>
      <c r="L656" s="14">
        <f>[1]!РЕАЛИЗАЦИЯ[[#This Row],[ЖАМИ]]-[1]!РЕАЛИЗАЦИЯ[[#This Row],[ЖАМИ2]]</f>
        <v>1778700</v>
      </c>
      <c r="O656" s="30">
        <v>46122</v>
      </c>
      <c r="P656" s="31" t="s">
        <v>105</v>
      </c>
      <c r="Q656" s="13">
        <v>5147200</v>
      </c>
      <c r="R656" s="13"/>
      <c r="S656" s="13"/>
      <c r="T656" s="32">
        <f>[1]!ПЛАТЕЖИ[[#This Row],[СЎМ]]+([1]!ПЛАТЕЖИ[[#This Row],[ВАЛЮТА]]*[1]!ПЛАТЕЖИ[[#This Row],[КУРС]])</f>
        <v>2846000</v>
      </c>
      <c r="U656" s="31"/>
      <c r="V656" s="31"/>
    </row>
    <row r="657" spans="2:22" x14ac:dyDescent="0.25">
      <c r="B657" s="1">
        <v>46120</v>
      </c>
      <c r="C657" s="2" t="s">
        <v>113</v>
      </c>
      <c r="D657" s="3" t="s">
        <v>1</v>
      </c>
      <c r="E657" s="3" t="s">
        <v>2</v>
      </c>
      <c r="F657" s="4">
        <v>201.5</v>
      </c>
      <c r="G657" s="4">
        <v>21000</v>
      </c>
      <c r="H657" s="5">
        <f>[1]!РЕАЛИЗАЦИЯ[СОНИ]*[1]!РЕАЛИЗАЦИЯ[НАРХИ]</f>
        <v>1034000</v>
      </c>
      <c r="I657" s="4"/>
      <c r="J657" s="6">
        <v>19000</v>
      </c>
      <c r="K657" s="4">
        <f>[1]!РЕАЛИЗАЦИЯ[[#This Row],[СОНИ]]*[1]!РЕАЛИЗАЦИЯ[[#This Row],[ТАННАРХ]]</f>
        <v>0</v>
      </c>
      <c r="L657" s="7">
        <f>[1]!РЕАЛИЗАЦИЯ[[#This Row],[ЖАМИ]]-[1]!РЕАЛИЗАЦИЯ[[#This Row],[ЖАМИ2]]</f>
        <v>1034000</v>
      </c>
      <c r="O657" s="27">
        <v>46123</v>
      </c>
      <c r="P657" s="28" t="s">
        <v>312</v>
      </c>
      <c r="Q657" s="6">
        <v>23065360</v>
      </c>
      <c r="R657" s="6"/>
      <c r="S657" s="6"/>
      <c r="T657" s="29">
        <f>[1]!ПЛАТЕЖИ[[#This Row],[СЎМ]]+([1]!ПЛАТЕЖИ[[#This Row],[ВАЛЮТА]]*[1]!ПЛАТЕЖИ[[#This Row],[КУРС]])</f>
        <v>926000</v>
      </c>
      <c r="U657" s="28"/>
      <c r="V657" s="28"/>
    </row>
    <row r="658" spans="2:22" x14ac:dyDescent="0.25">
      <c r="B658" s="8">
        <v>46120</v>
      </c>
      <c r="C658" s="9" t="s">
        <v>33</v>
      </c>
      <c r="D658" s="10" t="s">
        <v>1</v>
      </c>
      <c r="E658" s="10" t="s">
        <v>2</v>
      </c>
      <c r="F658" s="11">
        <v>574.79999999999995</v>
      </c>
      <c r="G658" s="11">
        <v>20500</v>
      </c>
      <c r="H658" s="12">
        <f>[1]!РЕАЛИЗАЦИЯ[СОНИ]*[1]!РЕАЛИЗАЦИЯ[НАРХИ]</f>
        <v>1369500</v>
      </c>
      <c r="I658" s="11"/>
      <c r="J658" s="13">
        <v>19000</v>
      </c>
      <c r="K658" s="11">
        <f>[1]!РЕАЛИЗАЦИЯ[[#This Row],[СОНИ]]*[1]!РЕАЛИЗАЦИЯ[[#This Row],[ТАННАРХ]]</f>
        <v>0</v>
      </c>
      <c r="L658" s="14">
        <f>[1]!РЕАЛИЗАЦИЯ[[#This Row],[ЖАМИ]]-[1]!РЕАЛИЗАЦИЯ[[#This Row],[ЖАМИ2]]</f>
        <v>1369500</v>
      </c>
      <c r="O658" s="30">
        <v>46123</v>
      </c>
      <c r="P658" s="31" t="s">
        <v>172</v>
      </c>
      <c r="Q658" s="13"/>
      <c r="R658" s="13">
        <v>500</v>
      </c>
      <c r="S658" s="13">
        <v>12150</v>
      </c>
      <c r="T658" s="32">
        <f>[1]!ПЛАТЕЖИ[[#This Row],[СЎМ]]+([1]!ПЛАТЕЖИ[[#This Row],[ВАЛЮТА]]*[1]!ПЛАТЕЖИ[[#This Row],[КУРС]])</f>
        <v>8000000</v>
      </c>
      <c r="U658" s="31"/>
      <c r="V658" s="31"/>
    </row>
    <row r="659" spans="2:22" x14ac:dyDescent="0.25">
      <c r="B659" s="1">
        <v>46120</v>
      </c>
      <c r="C659" s="2" t="s">
        <v>33</v>
      </c>
      <c r="D659" s="3" t="s">
        <v>10</v>
      </c>
      <c r="E659" s="3" t="s">
        <v>2</v>
      </c>
      <c r="F659" s="4">
        <v>286.39999999999998</v>
      </c>
      <c r="G659" s="4">
        <v>14500</v>
      </c>
      <c r="H659" s="5">
        <f>[1]!РЕАЛИЗАЦИЯ[СОНИ]*[1]!РЕАЛИЗАЦИЯ[НАРХИ]</f>
        <v>724500</v>
      </c>
      <c r="I659" s="4"/>
      <c r="J659" s="6">
        <v>13000</v>
      </c>
      <c r="K659" s="4">
        <f>[1]!РЕАЛИЗАЦИЯ[[#This Row],[СОНИ]]*[1]!РЕАЛИЗАЦИЯ[[#This Row],[ТАННАРХ]]</f>
        <v>0</v>
      </c>
      <c r="L659" s="7">
        <f>[1]!РЕАЛИЗАЦИЯ[[#This Row],[ЖАМИ]]-[1]!РЕАЛИЗАЦИЯ[[#This Row],[ЖАМИ2]]</f>
        <v>724500</v>
      </c>
      <c r="O659" s="27">
        <v>46123</v>
      </c>
      <c r="P659" s="28" t="s">
        <v>28</v>
      </c>
      <c r="Q659" s="6">
        <v>1124000</v>
      </c>
      <c r="R659" s="6"/>
      <c r="S659" s="6"/>
      <c r="T659" s="29">
        <f>[1]!ПЛАТЕЖИ[[#This Row],[СЎМ]]+([1]!ПЛАТЕЖИ[[#This Row],[ВАЛЮТА]]*[1]!ПЛАТЕЖИ[[#This Row],[КУРС]])</f>
        <v>3141600</v>
      </c>
      <c r="U659" s="28"/>
      <c r="V659" s="28"/>
    </row>
    <row r="660" spans="2:22" x14ac:dyDescent="0.25">
      <c r="B660" s="8">
        <v>46120</v>
      </c>
      <c r="C660" s="9" t="s">
        <v>52</v>
      </c>
      <c r="D660" s="10" t="s">
        <v>1</v>
      </c>
      <c r="E660" s="10" t="s">
        <v>2</v>
      </c>
      <c r="F660" s="11">
        <v>46.3</v>
      </c>
      <c r="G660" s="11">
        <v>21000</v>
      </c>
      <c r="H660" s="12">
        <f>[1]!РЕАЛИЗАЦИЯ[СОНИ]*[1]!РЕАЛИЗАЦИЯ[НАРХИ]</f>
        <v>1079400</v>
      </c>
      <c r="I660" s="11"/>
      <c r="J660" s="13">
        <v>19000</v>
      </c>
      <c r="K660" s="11">
        <f>[1]!РЕАЛИЗАЦИЯ[[#This Row],[СОНИ]]*[1]!РЕАЛИЗАЦИЯ[[#This Row],[ТАННАРХ]]</f>
        <v>0</v>
      </c>
      <c r="L660" s="14">
        <f>[1]!РЕАЛИЗАЦИЯ[[#This Row],[ЖАМИ]]-[1]!РЕАЛИЗАЦИЯ[[#This Row],[ЖАМИ2]]</f>
        <v>1079400</v>
      </c>
      <c r="O660" s="30">
        <v>46123</v>
      </c>
      <c r="P660" s="31" t="s">
        <v>144</v>
      </c>
      <c r="Q660" s="13">
        <v>700000</v>
      </c>
      <c r="R660" s="13"/>
      <c r="S660" s="13"/>
      <c r="T660" s="32">
        <f>[1]!ПЛАТЕЖИ[[#This Row],[СЎМ]]+([1]!ПЛАТЕЖИ[[#This Row],[ВАЛЮТА]]*[1]!ПЛАТЕЖИ[[#This Row],[КУРС]])</f>
        <v>5000000</v>
      </c>
      <c r="U660" s="31"/>
      <c r="V660" s="31"/>
    </row>
    <row r="661" spans="2:22" x14ac:dyDescent="0.25">
      <c r="B661" s="1">
        <v>46120</v>
      </c>
      <c r="C661" s="2" t="s">
        <v>13</v>
      </c>
      <c r="D661" s="3" t="s">
        <v>1</v>
      </c>
      <c r="E661" s="3" t="s">
        <v>2</v>
      </c>
      <c r="F661" s="4">
        <v>42.2</v>
      </c>
      <c r="G661" s="4">
        <v>21000</v>
      </c>
      <c r="H661" s="5">
        <f>[1]!РЕАЛИЗАЦИЯ[СОНИ]*[1]!РЕАЛИЗАЦИЯ[НАРХИ]</f>
        <v>4196800</v>
      </c>
      <c r="I661" s="4"/>
      <c r="J661" s="6">
        <v>19000</v>
      </c>
      <c r="K661" s="4">
        <f>[1]!РЕАЛИЗАЦИЯ[[#This Row],[СОНИ]]*[1]!РЕАЛИЗАЦИЯ[[#This Row],[ТАННАРХ]]</f>
        <v>0</v>
      </c>
      <c r="L661" s="7">
        <f>[1]!РЕАЛИЗАЦИЯ[[#This Row],[ЖАМИ]]-[1]!РЕАЛИЗАЦИЯ[[#This Row],[ЖАМИ2]]</f>
        <v>4196800</v>
      </c>
      <c r="O661" s="27">
        <v>46123</v>
      </c>
      <c r="P661" s="28" t="s">
        <v>207</v>
      </c>
      <c r="Q661" s="6">
        <v>766500</v>
      </c>
      <c r="R661" s="6"/>
      <c r="S661" s="6"/>
      <c r="T661" s="29">
        <f>[1]!ПЛАТЕЖИ[[#This Row],[СЎМ]]+([1]!ПЛАТЕЖИ[[#This Row],[ВАЛЮТА]]*[1]!ПЛАТЕЖИ[[#This Row],[КУРС]])</f>
        <v>1035300</v>
      </c>
      <c r="U661" s="28"/>
      <c r="V661" s="28"/>
    </row>
    <row r="662" spans="2:22" x14ac:dyDescent="0.25">
      <c r="B662" s="8">
        <v>46120</v>
      </c>
      <c r="C662" s="9" t="s">
        <v>226</v>
      </c>
      <c r="D662" s="10" t="s">
        <v>1</v>
      </c>
      <c r="E662" s="10" t="s">
        <v>2</v>
      </c>
      <c r="F662" s="11">
        <v>47.9</v>
      </c>
      <c r="G662" s="11">
        <v>21000</v>
      </c>
      <c r="H662" s="12">
        <f>[1]!РЕАЛИЗАЦИЯ[СОНИ]*[1]!РЕАЛИЗАЦИЯ[НАРХИ]</f>
        <v>4214700</v>
      </c>
      <c r="I662" s="11"/>
      <c r="J662" s="13">
        <v>19000</v>
      </c>
      <c r="K662" s="11">
        <f>[1]!РЕАЛИЗАЦИЯ[[#This Row],[СОНИ]]*[1]!РЕАЛИЗАЦИЯ[[#This Row],[ТАННАРХ]]</f>
        <v>0</v>
      </c>
      <c r="L662" s="14">
        <f>[1]!РЕАЛИЗАЦИЯ[[#This Row],[ЖАМИ]]-[1]!РЕАЛИЗАЦИЯ[[#This Row],[ЖАМИ2]]</f>
        <v>4214700</v>
      </c>
      <c r="O662" s="30">
        <v>46123</v>
      </c>
      <c r="P662" s="31" t="s">
        <v>100</v>
      </c>
      <c r="Q662" s="13">
        <v>1064700</v>
      </c>
      <c r="R662" s="13"/>
      <c r="S662" s="13"/>
      <c r="T662" s="32">
        <f>[1]!ПЛАТЕЖИ[[#This Row],[СЎМ]]+([1]!ПЛАТЕЖИ[[#This Row],[ВАЛЮТА]]*[1]!ПЛАТЕЖИ[[#This Row],[КУРС]])</f>
        <v>1997000</v>
      </c>
      <c r="U662" s="31"/>
      <c r="V662" s="31"/>
    </row>
    <row r="663" spans="2:22" x14ac:dyDescent="0.25">
      <c r="B663" s="1">
        <v>46120</v>
      </c>
      <c r="C663" s="2" t="s">
        <v>34</v>
      </c>
      <c r="D663" s="3" t="s">
        <v>1</v>
      </c>
      <c r="E663" s="3" t="s">
        <v>2</v>
      </c>
      <c r="F663" s="4">
        <v>224.9</v>
      </c>
      <c r="G663" s="4">
        <v>21600</v>
      </c>
      <c r="H663" s="5">
        <f>[1]!РЕАЛИЗАЦИЯ[СОНИ]*[1]!РЕАЛИЗАЦИЯ[НАРХИ]</f>
        <v>860800</v>
      </c>
      <c r="I663" s="4" t="s">
        <v>227</v>
      </c>
      <c r="J663" s="6">
        <v>19000</v>
      </c>
      <c r="K663" s="4">
        <f>[1]!РЕАЛИЗАЦИЯ[[#This Row],[СОНИ]]*[1]!РЕАЛИЗАЦИЯ[[#This Row],[ТАННАРХ]]</f>
        <v>0</v>
      </c>
      <c r="L663" s="7">
        <f>[1]!РЕАЛИЗАЦИЯ[[#This Row],[ЖАМИ]]-[1]!РЕАЛИЗАЦИЯ[[#This Row],[ЖАМИ2]]</f>
        <v>860800</v>
      </c>
      <c r="O663" s="27">
        <v>46123</v>
      </c>
      <c r="P663" s="28" t="s">
        <v>39</v>
      </c>
      <c r="Q663" s="6"/>
      <c r="R663" s="6">
        <v>500</v>
      </c>
      <c r="S663" s="6">
        <v>12150</v>
      </c>
      <c r="T663" s="29">
        <f>[1]!ПЛАТЕЖИ[[#This Row],[СЎМ]]+([1]!ПЛАТЕЖИ[[#This Row],[ВАЛЮТА]]*[1]!ПЛАТЕЖИ[[#This Row],[КУРС]])</f>
        <v>1035300</v>
      </c>
      <c r="U663" s="28"/>
      <c r="V663" s="28" t="s">
        <v>313</v>
      </c>
    </row>
    <row r="664" spans="2:22" x14ac:dyDescent="0.25">
      <c r="B664" s="8">
        <v>46120</v>
      </c>
      <c r="C664" s="9" t="s">
        <v>185</v>
      </c>
      <c r="D664" s="10" t="s">
        <v>1</v>
      </c>
      <c r="E664" s="10" t="s">
        <v>2</v>
      </c>
      <c r="F664" s="11">
        <v>504.6</v>
      </c>
      <c r="G664" s="11">
        <v>20500</v>
      </c>
      <c r="H664" s="12">
        <f>[1]!РЕАЛИЗАЦИЯ[СОНИ]*[1]!РЕАЛИЗАЦИЯ[НАРХИ]</f>
        <v>-1016400</v>
      </c>
      <c r="I664" s="11"/>
      <c r="J664" s="13">
        <v>19000</v>
      </c>
      <c r="K664" s="11">
        <f>[1]!РЕАЛИЗАЦИЯ[[#This Row],[СОНИ]]*[1]!РЕАЛИЗАЦИЯ[[#This Row],[ТАННАРХ]]</f>
        <v>0</v>
      </c>
      <c r="L664" s="14">
        <f>[1]!РЕАЛИЗАЦИЯ[[#This Row],[ЖАМИ]]-[1]!РЕАЛИЗАЦИЯ[[#This Row],[ЖАМИ2]]</f>
        <v>-1016400</v>
      </c>
      <c r="O664" s="30">
        <v>46124</v>
      </c>
      <c r="P664" s="31" t="s">
        <v>232</v>
      </c>
      <c r="Q664" s="13">
        <v>2652000</v>
      </c>
      <c r="R664" s="13"/>
      <c r="S664" s="13"/>
      <c r="T664" s="32">
        <f>[1]!ПЛАТЕЖИ[[#This Row],[СЎМ]]+([1]!ПЛАТЕЖИ[[#This Row],[ВАЛЮТА]]*[1]!ПЛАТЕЖИ[[#This Row],[КУРС]])</f>
        <v>2966400</v>
      </c>
      <c r="U664" s="31"/>
      <c r="V664" s="31"/>
    </row>
    <row r="665" spans="2:22" x14ac:dyDescent="0.25">
      <c r="B665" s="1">
        <v>46120</v>
      </c>
      <c r="C665" s="2" t="s">
        <v>228</v>
      </c>
      <c r="D665" s="3" t="s">
        <v>25</v>
      </c>
      <c r="E665" s="3" t="s">
        <v>2</v>
      </c>
      <c r="F665" s="4">
        <v>33.200000000000003</v>
      </c>
      <c r="G665" s="4">
        <v>25000</v>
      </c>
      <c r="H665" s="5">
        <f>[1]!РЕАЛИЗАЦИЯ[СОНИ]*[1]!РЕАЛИЗАЦИЯ[НАРХИ]</f>
        <v>1220100</v>
      </c>
      <c r="I665" s="4"/>
      <c r="J665" s="6">
        <v>23000</v>
      </c>
      <c r="K665" s="4">
        <f>[1]!РЕАЛИЗАЦИЯ[[#This Row],[СОНИ]]*[1]!РЕАЛИЗАЦИЯ[[#This Row],[ТАННАРХ]]</f>
        <v>0</v>
      </c>
      <c r="L665" s="7">
        <f>[1]!РЕАЛИЗАЦИЯ[[#This Row],[ЖАМИ]]-[1]!РЕАЛИЗАЦИЯ[[#This Row],[ЖАМИ2]]</f>
        <v>1220100</v>
      </c>
      <c r="O665" s="27">
        <v>46124</v>
      </c>
      <c r="P665" s="28" t="s">
        <v>49</v>
      </c>
      <c r="Q665" s="6">
        <v>162000</v>
      </c>
      <c r="R665" s="6"/>
      <c r="S665" s="6"/>
      <c r="T665" s="29">
        <f>[1]!ПЛАТЕЖИ[[#This Row],[СЎМ]]+([1]!ПЛАТЕЖИ[[#This Row],[ВАЛЮТА]]*[1]!ПЛАТЕЖИ[[#This Row],[КУРС]])</f>
        <v>1790000</v>
      </c>
      <c r="U665" s="28"/>
      <c r="V665" s="28"/>
    </row>
    <row r="666" spans="2:22" x14ac:dyDescent="0.25">
      <c r="B666" s="8">
        <v>46120</v>
      </c>
      <c r="C666" s="9" t="s">
        <v>104</v>
      </c>
      <c r="D666" s="10" t="s">
        <v>1</v>
      </c>
      <c r="E666" s="10" t="s">
        <v>2</v>
      </c>
      <c r="F666" s="11">
        <v>424</v>
      </c>
      <c r="G666" s="11">
        <v>20500</v>
      </c>
      <c r="H666" s="12">
        <f>[1]!РЕАЛИЗАЦИЯ[СОНИ]*[1]!РЕАЛИЗАЦИЯ[НАРХИ]</f>
        <v>744896</v>
      </c>
      <c r="I666" s="11"/>
      <c r="J666" s="13">
        <v>19000</v>
      </c>
      <c r="K666" s="11">
        <f>[1]!РЕАЛИЗАЦИЯ[[#This Row],[СОНИ]]*[1]!РЕАЛИЗАЦИЯ[[#This Row],[ТАННАРХ]]</f>
        <v>0</v>
      </c>
      <c r="L666" s="14">
        <f>[1]!РЕАЛИЗАЦИЯ[[#This Row],[ЖАМИ]]-[1]!РЕАЛИЗАЦИЯ[[#This Row],[ЖАМИ2]]</f>
        <v>744896</v>
      </c>
      <c r="O666" s="30">
        <v>46124</v>
      </c>
      <c r="P666" s="31" t="s">
        <v>63</v>
      </c>
      <c r="Q666" s="13">
        <v>964000</v>
      </c>
      <c r="R666" s="13"/>
      <c r="S666" s="13"/>
      <c r="T666" s="32">
        <f>[1]!ПЛАТЕЖИ[[#This Row],[СЎМ]]+([1]!ПЛАТЕЖИ[[#This Row],[ВАЛЮТА]]*[1]!ПЛАТЕЖИ[[#This Row],[КУРС]])</f>
        <v>1052100</v>
      </c>
      <c r="U666" s="31"/>
      <c r="V666" s="31"/>
    </row>
    <row r="667" spans="2:22" x14ac:dyDescent="0.25">
      <c r="B667" s="1">
        <v>46120</v>
      </c>
      <c r="C667" s="2" t="s">
        <v>78</v>
      </c>
      <c r="D667" s="3" t="s">
        <v>29</v>
      </c>
      <c r="E667" s="3" t="s">
        <v>2</v>
      </c>
      <c r="F667" s="4">
        <v>461</v>
      </c>
      <c r="G667" s="4">
        <v>17500</v>
      </c>
      <c r="H667" s="5">
        <f>[1]!РЕАЛИЗАЦИЯ[СОНИ]*[1]!РЕАЛИЗАЦИЯ[НАРХИ]</f>
        <v>1833840.0000000002</v>
      </c>
      <c r="I667" s="4"/>
      <c r="J667" s="6">
        <v>16000</v>
      </c>
      <c r="K667" s="4">
        <f>[1]!РЕАЛИЗАЦИЯ[[#This Row],[СОНИ]]*[1]!РЕАЛИЗАЦИЯ[[#This Row],[ТАННАРХ]]</f>
        <v>0</v>
      </c>
      <c r="L667" s="7">
        <f>[1]!РЕАЛИЗАЦИЯ[[#This Row],[ЖАМИ]]-[1]!РЕАЛИЗАЦИЯ[[#This Row],[ЖАМИ2]]</f>
        <v>1833840.0000000002</v>
      </c>
      <c r="O667" s="27">
        <v>46124</v>
      </c>
      <c r="P667" s="28" t="s">
        <v>28</v>
      </c>
      <c r="Q667" s="6">
        <v>415000</v>
      </c>
      <c r="R667" s="6"/>
      <c r="S667" s="6"/>
      <c r="T667" s="29">
        <f>[1]!ПЛАТЕЖИ[[#This Row],[СЎМ]]+([1]!ПЛАТЕЖИ[[#This Row],[ВАЛЮТА]]*[1]!ПЛАТЕЖИ[[#This Row],[КУРС]])</f>
        <v>1879500</v>
      </c>
      <c r="U667" s="28"/>
      <c r="V667" s="28"/>
    </row>
    <row r="668" spans="2:22" x14ac:dyDescent="0.25">
      <c r="B668" s="8">
        <v>46121</v>
      </c>
      <c r="C668" s="9" t="s">
        <v>86</v>
      </c>
      <c r="D668" s="10" t="s">
        <v>10</v>
      </c>
      <c r="E668" s="10" t="s">
        <v>2</v>
      </c>
      <c r="F668" s="11">
        <v>199.1</v>
      </c>
      <c r="G668" s="11">
        <v>15000</v>
      </c>
      <c r="H668" s="12">
        <f>[1]!РЕАЛИЗАЦИЯ[СОНИ]*[1]!РЕАЛИЗАЦИЯ[НАРХИ]</f>
        <v>1008000</v>
      </c>
      <c r="I668" s="11"/>
      <c r="J668" s="13">
        <v>13000</v>
      </c>
      <c r="K668" s="11">
        <f>[1]!РЕАЛИЗАЦИЯ[[#This Row],[СОНИ]]*[1]!РЕАЛИЗАЦИЯ[[#This Row],[ТАННАРХ]]</f>
        <v>0</v>
      </c>
      <c r="L668" s="14">
        <f>[1]!РЕАЛИЗАЦИЯ[[#This Row],[ЖАМИ]]-[1]!РЕАЛИЗАЦИЯ[[#This Row],[ЖАМИ2]]</f>
        <v>1008000</v>
      </c>
      <c r="O668" s="30">
        <v>46124</v>
      </c>
      <c r="P668" s="31" t="s">
        <v>89</v>
      </c>
      <c r="Q668" s="13">
        <v>27600000</v>
      </c>
      <c r="R668" s="13"/>
      <c r="S668" s="13"/>
      <c r="T668" s="32">
        <f>[1]!ПЛАТЕЖИ[[#This Row],[СЎМ]]+([1]!ПЛАТЕЖИ[[#This Row],[ВАЛЮТА]]*[1]!ПЛАТЕЖИ[[#This Row],[КУРС]])</f>
        <v>10000000</v>
      </c>
      <c r="U668" s="31"/>
      <c r="V668" s="31"/>
    </row>
    <row r="669" spans="2:22" x14ac:dyDescent="0.25">
      <c r="B669" s="1">
        <v>46121</v>
      </c>
      <c r="C669" s="2" t="s">
        <v>86</v>
      </c>
      <c r="D669" s="3" t="s">
        <v>1</v>
      </c>
      <c r="E669" s="3" t="s">
        <v>2</v>
      </c>
      <c r="F669" s="4">
        <v>336.6</v>
      </c>
      <c r="G669" s="4">
        <v>20000</v>
      </c>
      <c r="H669" s="5">
        <f>[1]!РЕАЛИЗАЦИЯ[СОНИ]*[1]!РЕАЛИЗАЦИЯ[НАРХИ]</f>
        <v>-558600</v>
      </c>
      <c r="I669" s="4"/>
      <c r="J669" s="6">
        <v>19000</v>
      </c>
      <c r="K669" s="4">
        <f>[1]!РЕАЛИЗАЦИЯ[[#This Row],[СОНИ]]*[1]!РЕАЛИЗАЦИЯ[[#This Row],[ТАННАРХ]]</f>
        <v>0</v>
      </c>
      <c r="L669" s="7">
        <f>[1]!РЕАЛИЗАЦИЯ[[#This Row],[ЖАМИ]]-[1]!РЕАЛИЗАЦИЯ[[#This Row],[ЖАМИ2]]</f>
        <v>-558600</v>
      </c>
      <c r="O669" s="27">
        <v>46124</v>
      </c>
      <c r="P669" s="28" t="s">
        <v>107</v>
      </c>
      <c r="Q669" s="6">
        <v>1037400</v>
      </c>
      <c r="R669" s="6"/>
      <c r="S669" s="6"/>
      <c r="T669" s="29">
        <f>[1]!ПЛАТЕЖИ[[#This Row],[СЎМ]]+([1]!ПЛАТЕЖИ[[#This Row],[ВАЛЮТА]]*[1]!ПЛАТЕЖИ[[#This Row],[КУРС]])</f>
        <v>8000000</v>
      </c>
      <c r="U669" s="28"/>
      <c r="V669" s="28" t="s">
        <v>279</v>
      </c>
    </row>
    <row r="670" spans="2:22" x14ac:dyDescent="0.25">
      <c r="B670" s="8">
        <v>46121</v>
      </c>
      <c r="C670" s="9" t="s">
        <v>96</v>
      </c>
      <c r="D670" s="10" t="s">
        <v>10</v>
      </c>
      <c r="E670" s="10" t="s">
        <v>2</v>
      </c>
      <c r="F670" s="11">
        <v>50.8</v>
      </c>
      <c r="G670" s="11">
        <v>16000</v>
      </c>
      <c r="H670" s="12">
        <f>[1]!РЕАЛИЗАЦИЯ[СОНИ]*[1]!РЕАЛИЗАЦИЯ[НАРХИ]</f>
        <v>990000</v>
      </c>
      <c r="I670" s="11"/>
      <c r="J670" s="13">
        <v>13000</v>
      </c>
      <c r="K670" s="11">
        <f>[1]!РЕАЛИЗАЦИЯ[[#This Row],[СОНИ]]*[1]!РЕАЛИЗАЦИЯ[[#This Row],[ТАННАРХ]]</f>
        <v>0</v>
      </c>
      <c r="L670" s="14">
        <f>[1]!РЕАЛИЗАЦИЯ[[#This Row],[ЖАМИ]]-[1]!РЕАЛИЗАЦИЯ[[#This Row],[ЖАМИ2]]</f>
        <v>990000</v>
      </c>
      <c r="O670" s="30">
        <v>46124</v>
      </c>
      <c r="P670" s="31" t="s">
        <v>231</v>
      </c>
      <c r="Q670" s="13">
        <v>990000</v>
      </c>
      <c r="R670" s="13"/>
      <c r="S670" s="13"/>
      <c r="T670" s="32">
        <f>[1]!ПЛАТЕЖИ[[#This Row],[СЎМ]]+([1]!ПЛАТЕЖИ[[#This Row],[ВАЛЮТА]]*[1]!ПЛАТЕЖИ[[#This Row],[КУРС]])</f>
        <v>2004000</v>
      </c>
      <c r="U670" s="31"/>
      <c r="V670" s="31"/>
    </row>
    <row r="671" spans="2:22" x14ac:dyDescent="0.25">
      <c r="B671" s="1">
        <v>46121</v>
      </c>
      <c r="C671" s="2" t="s">
        <v>229</v>
      </c>
      <c r="D671" s="3" t="s">
        <v>1</v>
      </c>
      <c r="E671" s="3" t="s">
        <v>2</v>
      </c>
      <c r="F671" s="4">
        <v>42.2</v>
      </c>
      <c r="G671" s="4">
        <v>21000</v>
      </c>
      <c r="H671" s="5">
        <f>[1]!РЕАЛИЗАЦИЯ[СОНИ]*[1]!РЕАЛИЗАЦИЯ[НАРХИ]</f>
        <v>811500</v>
      </c>
      <c r="I671" s="4"/>
      <c r="J671" s="6">
        <v>19000</v>
      </c>
      <c r="K671" s="4">
        <f>[1]!РЕАЛИЗАЦИЯ[[#This Row],[СОНИ]]*[1]!РЕАЛИЗАЦИЯ[[#This Row],[ТАННАРХ]]</f>
        <v>0</v>
      </c>
      <c r="L671" s="7">
        <f>[1]!РЕАЛИЗАЦИЯ[[#This Row],[ЖАМИ]]-[1]!РЕАЛИЗАЦИЯ[[#This Row],[ЖАМИ2]]</f>
        <v>811500</v>
      </c>
      <c r="O671" s="27">
        <v>46125</v>
      </c>
      <c r="P671" s="28" t="s">
        <v>80</v>
      </c>
      <c r="Q671" s="6">
        <v>1048000</v>
      </c>
      <c r="R671" s="6"/>
      <c r="S671" s="6"/>
      <c r="T671" s="29">
        <f>[1]!ПЛАТЕЖИ[[#This Row],[СЎМ]]+([1]!ПЛАТЕЖИ[[#This Row],[ВАЛЮТА]]*[1]!ПЛАТЕЖИ[[#This Row],[КУРС]])</f>
        <v>500000</v>
      </c>
      <c r="U671" s="28"/>
      <c r="V671" s="28"/>
    </row>
    <row r="672" spans="2:22" x14ac:dyDescent="0.25">
      <c r="B672" s="8">
        <v>46121</v>
      </c>
      <c r="C672" s="9" t="s">
        <v>39</v>
      </c>
      <c r="D672" s="10" t="s">
        <v>1</v>
      </c>
      <c r="E672" s="10" t="s">
        <v>2</v>
      </c>
      <c r="F672" s="11">
        <v>1013.1</v>
      </c>
      <c r="G672" s="11">
        <v>20000</v>
      </c>
      <c r="H672" s="12">
        <f>[1]!РЕАЛИЗАЦИЯ[СОНИ]*[1]!РЕАЛИЗАЦИЯ[НАРХИ]</f>
        <v>10563900</v>
      </c>
      <c r="I672" s="11"/>
      <c r="J672" s="13">
        <v>19000</v>
      </c>
      <c r="K672" s="11">
        <f>[1]!РЕАЛИЗАЦИЯ[[#This Row],[СОНИ]]*[1]!РЕАЛИЗАЦИЯ[[#This Row],[ТАННАРХ]]</f>
        <v>4219129800</v>
      </c>
      <c r="L672" s="14">
        <f>[1]!РЕАЛИЗАЦИЯ[[#This Row],[ЖАМИ]]-[1]!РЕАЛИЗАЦИЯ[[#This Row],[ЖАМИ2]]</f>
        <v>10563440.699999999</v>
      </c>
      <c r="O672" s="30">
        <v>46125</v>
      </c>
      <c r="P672" s="31" t="s">
        <v>202</v>
      </c>
      <c r="Q672" s="13">
        <v>15000000</v>
      </c>
      <c r="R672" s="13"/>
      <c r="S672" s="13"/>
      <c r="T672" s="32">
        <f>[1]!ПЛАТЕЖИ[[#This Row],[СЎМ]]+([1]!ПЛАТЕЖИ[[#This Row],[ВАЛЮТА]]*[1]!ПЛАТЕЖИ[[#This Row],[КУРС]])</f>
        <v>1000000</v>
      </c>
      <c r="U672" s="31"/>
      <c r="V672" s="31"/>
    </row>
    <row r="673" spans="2:22" x14ac:dyDescent="0.25">
      <c r="B673" s="1">
        <v>46121</v>
      </c>
      <c r="C673" s="2" t="s">
        <v>53</v>
      </c>
      <c r="D673" s="3" t="s">
        <v>1</v>
      </c>
      <c r="E673" s="3" t="s">
        <v>2</v>
      </c>
      <c r="F673" s="4">
        <v>522</v>
      </c>
      <c r="G673" s="4">
        <v>20000</v>
      </c>
      <c r="H673" s="5">
        <f>[1]!РЕАЛИЗАЦИЯ[СОНИ]*[1]!РЕАЛИЗАЦИЯ[НАРХИ]</f>
        <v>1603200</v>
      </c>
      <c r="I673" s="4"/>
      <c r="J673" s="6">
        <v>19000</v>
      </c>
      <c r="K673" s="4">
        <f>[1]!РЕАЛИЗАЦИЯ[[#This Row],[СОНИ]]*[1]!РЕАЛИЗАЦИЯ[[#This Row],[ТАННАРХ]]</f>
        <v>0</v>
      </c>
      <c r="L673" s="7">
        <f>[1]!РЕАЛИЗАЦИЯ[[#This Row],[ЖАМИ]]-[1]!РЕАЛИЗАЦИЯ[[#This Row],[ЖАМИ2]]</f>
        <v>1603200</v>
      </c>
      <c r="O673" s="27">
        <v>46125</v>
      </c>
      <c r="P673" s="28" t="s">
        <v>220</v>
      </c>
      <c r="Q673" s="6">
        <v>1005000</v>
      </c>
      <c r="R673" s="6"/>
      <c r="S673" s="6"/>
      <c r="T673" s="29">
        <f>[1]!ПЛАТЕЖИ[[#This Row],[СЎМ]]+([1]!ПЛАТЕЖИ[[#This Row],[ВАЛЮТА]]*[1]!ПЛАТЕЖИ[[#This Row],[КУРС]])</f>
        <v>907200</v>
      </c>
      <c r="U673" s="28"/>
      <c r="V673" s="28"/>
    </row>
    <row r="674" spans="2:22" x14ac:dyDescent="0.25">
      <c r="B674" s="8">
        <v>46121</v>
      </c>
      <c r="C674" s="9" t="s">
        <v>34</v>
      </c>
      <c r="D674" s="10" t="s">
        <v>10</v>
      </c>
      <c r="E674" s="10" t="s">
        <v>2</v>
      </c>
      <c r="F674" s="11">
        <v>162.5</v>
      </c>
      <c r="G674" s="11">
        <v>16450</v>
      </c>
      <c r="H674" s="12">
        <f>[1]!РЕАЛИЗАЦИЯ[СОНИ]*[1]!РЕАЛИЗАЦИЯ[НАРХИ]</f>
        <v>2207100</v>
      </c>
      <c r="I674" s="11" t="s">
        <v>35</v>
      </c>
      <c r="J674" s="13">
        <v>13000</v>
      </c>
      <c r="K674" s="11">
        <f>[1]!РЕАЛИЗАЦИЯ[[#This Row],[СОНИ]]*[1]!РЕАЛИЗАЦИЯ[[#This Row],[ТАННАРХ]]</f>
        <v>0</v>
      </c>
      <c r="L674" s="14">
        <f>[1]!РЕАЛИЗАЦИЯ[[#This Row],[ЖАМИ]]-[1]!РЕАЛИЗАЦИЯ[[#This Row],[ЖАМИ2]]</f>
        <v>2207100</v>
      </c>
      <c r="O674" s="30">
        <v>46125</v>
      </c>
      <c r="P674" s="31" t="s">
        <v>173</v>
      </c>
      <c r="Q674" s="13">
        <v>351000</v>
      </c>
      <c r="R674" s="13"/>
      <c r="S674" s="13"/>
      <c r="T674" s="32">
        <f>[1]!ПЛАТЕЖИ[[#This Row],[СЎМ]]+([1]!ПЛАТЕЖИ[[#This Row],[ВАЛЮТА]]*[1]!ПЛАТЕЖИ[[#This Row],[КУРС]])</f>
        <v>6000000</v>
      </c>
      <c r="U674" s="31"/>
      <c r="V674" s="31" t="s">
        <v>275</v>
      </c>
    </row>
    <row r="675" spans="2:22" x14ac:dyDescent="0.25">
      <c r="B675" s="1">
        <v>46121</v>
      </c>
      <c r="C675" s="2" t="s">
        <v>34</v>
      </c>
      <c r="D675" s="3" t="s">
        <v>1</v>
      </c>
      <c r="E675" s="3" t="s">
        <v>2</v>
      </c>
      <c r="F675" s="4">
        <v>196.9</v>
      </c>
      <c r="G675" s="4">
        <v>21600</v>
      </c>
      <c r="H675" s="5">
        <f>[1]!РЕАЛИЗАЦИЯ[СОНИ]*[1]!РЕАЛИЗАЦИЯ[НАРХИ]</f>
        <v>680000</v>
      </c>
      <c r="I675" s="4" t="s">
        <v>35</v>
      </c>
      <c r="J675" s="6">
        <v>19000</v>
      </c>
      <c r="K675" s="4">
        <f>[1]!РЕАЛИЗАЦИЯ[[#This Row],[СОНИ]]*[1]!РЕАЛИЗАЦИЯ[[#This Row],[ТАННАРХ]]</f>
        <v>0</v>
      </c>
      <c r="L675" s="7">
        <f>[1]!РЕАЛИЗАЦИЯ[[#This Row],[ЖАМИ]]-[1]!РЕАЛИЗАЦИЯ[[#This Row],[ЖАМИ2]]</f>
        <v>680000</v>
      </c>
      <c r="O675" s="27">
        <v>46125</v>
      </c>
      <c r="P675" s="28" t="s">
        <v>309</v>
      </c>
      <c r="Q675" s="6">
        <v>1000000</v>
      </c>
      <c r="R675" s="6"/>
      <c r="S675" s="6"/>
      <c r="T675" s="29">
        <f>[1]!ПЛАТЕЖИ[[#This Row],[СЎМ]]+([1]!ПЛАТЕЖИ[[#This Row],[ВАЛЮТА]]*[1]!ПЛАТЕЖИ[[#This Row],[КУРС]])</f>
        <v>10185000</v>
      </c>
      <c r="U675" s="28"/>
      <c r="V675" s="28" t="s">
        <v>275</v>
      </c>
    </row>
    <row r="676" spans="2:22" x14ac:dyDescent="0.25">
      <c r="B676" s="8">
        <v>46121</v>
      </c>
      <c r="C676" s="9" t="s">
        <v>202</v>
      </c>
      <c r="D676" s="10" t="s">
        <v>1</v>
      </c>
      <c r="E676" s="10" t="s">
        <v>2</v>
      </c>
      <c r="F676" s="11">
        <v>295.89999999999998</v>
      </c>
      <c r="G676" s="11">
        <v>19000</v>
      </c>
      <c r="H676" s="12">
        <f>[1]!РЕАЛИЗАЦИЯ[СОНИ]*[1]!РЕАЛИЗАЦИЯ[НАРХИ]</f>
        <v>1986599.9999999998</v>
      </c>
      <c r="I676" s="11"/>
      <c r="J676" s="13">
        <v>19000</v>
      </c>
      <c r="K676" s="11">
        <f>[1]!РЕАЛИЗАЦИЯ[[#This Row],[СОНИ]]*[1]!РЕАЛИЗАЦИЯ[[#This Row],[ТАННАРХ]]</f>
        <v>0</v>
      </c>
      <c r="L676" s="14">
        <f>[1]!РЕАЛИЗАЦИЯ[[#This Row],[ЖАМИ]]-[1]!РЕАЛИЗАЦИЯ[[#This Row],[ЖАМИ2]]</f>
        <v>1986599.9999999998</v>
      </c>
      <c r="O676" s="30">
        <v>46125</v>
      </c>
      <c r="P676" s="31" t="s">
        <v>27</v>
      </c>
      <c r="Q676" s="13">
        <v>20236160</v>
      </c>
      <c r="R676" s="13"/>
      <c r="S676" s="13"/>
      <c r="T676" s="32">
        <f>[1]!ПЛАТЕЖИ[[#This Row],[СЎМ]]+([1]!ПЛАТЕЖИ[[#This Row],[ВАЛЮТА]]*[1]!ПЛАТЕЖИ[[#This Row],[КУРС]])</f>
        <v>2604800</v>
      </c>
      <c r="U676" s="31"/>
      <c r="V676" s="31" t="s">
        <v>279</v>
      </c>
    </row>
    <row r="677" spans="2:22" x14ac:dyDescent="0.25">
      <c r="B677" s="1">
        <v>46121</v>
      </c>
      <c r="C677" s="2" t="s">
        <v>67</v>
      </c>
      <c r="D677" s="3" t="s">
        <v>29</v>
      </c>
      <c r="E677" s="3" t="s">
        <v>2</v>
      </c>
      <c r="F677" s="4">
        <v>502.2</v>
      </c>
      <c r="G677" s="4">
        <v>17500</v>
      </c>
      <c r="H677" s="5">
        <f>[1]!РЕАЛИЗАЦИЯ[СОНИ]*[1]!РЕАЛИЗАЦИЯ[НАРХИ]</f>
        <v>2142000</v>
      </c>
      <c r="I677" s="4"/>
      <c r="J677" s="6">
        <v>16000</v>
      </c>
      <c r="K677" s="4">
        <f>[1]!РЕАЛИЗАЦИЯ[[#This Row],[СОНИ]]*[1]!РЕАЛИЗАЦИЯ[[#This Row],[ТАННАРХ]]</f>
        <v>0</v>
      </c>
      <c r="L677" s="7">
        <f>[1]!РЕАЛИЗАЦИЯ[[#This Row],[ЖАМИ]]-[1]!РЕАЛИЗАЦИЯ[[#This Row],[ЖАМИ2]]</f>
        <v>2142000</v>
      </c>
      <c r="O677" s="27">
        <v>46127</v>
      </c>
      <c r="P677" s="28" t="s">
        <v>0</v>
      </c>
      <c r="Q677" s="6">
        <v>793600</v>
      </c>
      <c r="R677" s="6"/>
      <c r="S677" s="6"/>
      <c r="T677" s="29">
        <f>[1]!ПЛАТЕЖИ[[#This Row],[СЎМ]]+([1]!ПЛАТЕЖИ[[#This Row],[ВАЛЮТА]]*[1]!ПЛАТЕЖИ[[#This Row],[КУРС]])</f>
        <v>753000</v>
      </c>
      <c r="U677" s="28"/>
      <c r="V677" s="28"/>
    </row>
    <row r="678" spans="2:22" x14ac:dyDescent="0.25">
      <c r="B678" s="8">
        <v>46121</v>
      </c>
      <c r="C678" s="9" t="s">
        <v>60</v>
      </c>
      <c r="D678" s="10" t="s">
        <v>1</v>
      </c>
      <c r="E678" s="10" t="s">
        <v>2</v>
      </c>
      <c r="F678" s="11">
        <v>95.1</v>
      </c>
      <c r="G678" s="11">
        <v>20500</v>
      </c>
      <c r="H678" s="12">
        <f>[1]!РЕАЛИЗАЦИЯ[СОНИ]*[1]!РЕАЛИЗАЦИЯ[НАРХИ]</f>
        <v>1008000</v>
      </c>
      <c r="I678" s="11"/>
      <c r="J678" s="13">
        <v>19000</v>
      </c>
      <c r="K678" s="11">
        <f>[1]!РЕАЛИЗАЦИЯ[[#This Row],[СОНИ]]*[1]!РЕАЛИЗАЦИЯ[[#This Row],[ТАННАРХ]]</f>
        <v>0</v>
      </c>
      <c r="L678" s="14">
        <f>[1]!РЕАЛИЗАЦИЯ[[#This Row],[ЖАМИ]]-[1]!РЕАЛИЗАЦИЯ[[#This Row],[ЖАМИ2]]</f>
        <v>1008000</v>
      </c>
      <c r="O678" s="30">
        <v>46127</v>
      </c>
      <c r="P678" s="31" t="s">
        <v>75</v>
      </c>
      <c r="Q678" s="13">
        <v>1353800</v>
      </c>
      <c r="R678" s="13"/>
      <c r="S678" s="13"/>
      <c r="T678" s="32">
        <f>[1]!ПЛАТЕЖИ[[#This Row],[СЎМ]]+([1]!ПЛАТЕЖИ[[#This Row],[ВАЛЮТА]]*[1]!ПЛАТЕЖИ[[#This Row],[КУРС]])</f>
        <v>959700</v>
      </c>
      <c r="U678" s="31"/>
      <c r="V678" s="31"/>
    </row>
    <row r="679" spans="2:22" x14ac:dyDescent="0.25">
      <c r="B679" s="1">
        <v>46122</v>
      </c>
      <c r="C679" s="2" t="s">
        <v>230</v>
      </c>
      <c r="D679" s="3" t="s">
        <v>10</v>
      </c>
      <c r="E679" s="3" t="s">
        <v>2</v>
      </c>
      <c r="F679" s="4">
        <v>100.6</v>
      </c>
      <c r="G679" s="4">
        <v>15000</v>
      </c>
      <c r="H679" s="5">
        <f>[1]!РЕАЛИЗАЦИЯ[СОНИ]*[1]!РЕАЛИЗАЦИЯ[НАРХИ]</f>
        <v>2211300</v>
      </c>
      <c r="I679" s="4"/>
      <c r="J679" s="6">
        <v>13000</v>
      </c>
      <c r="K679" s="4">
        <f>[1]!РЕАЛИЗАЦИЯ[[#This Row],[СОНИ]]*[1]!РЕАЛИЗАЦИЯ[[#This Row],[ТАННАРХ]]</f>
        <v>0</v>
      </c>
      <c r="L679" s="7">
        <f>[1]!РЕАЛИЗАЦИЯ[[#This Row],[ЖАМИ]]-[1]!РЕАЛИЗАЦИЯ[[#This Row],[ЖАМИ2]]</f>
        <v>2211300</v>
      </c>
      <c r="O679" s="27">
        <v>46127</v>
      </c>
      <c r="P679" s="28" t="s">
        <v>190</v>
      </c>
      <c r="Q679" s="6">
        <v>782000</v>
      </c>
      <c r="R679" s="6"/>
      <c r="S679" s="6"/>
      <c r="T679" s="29">
        <f>[1]!ПЛАТЕЖИ[[#This Row],[СЎМ]]+([1]!ПЛАТЕЖИ[[#This Row],[ВАЛЮТА]]*[1]!ПЛАТЕЖИ[[#This Row],[КУРС]])</f>
        <v>2100000</v>
      </c>
      <c r="U679" s="28"/>
      <c r="V679" s="28"/>
    </row>
    <row r="680" spans="2:22" x14ac:dyDescent="0.25">
      <c r="B680" s="8">
        <v>46122</v>
      </c>
      <c r="C680" s="9" t="s">
        <v>9</v>
      </c>
      <c r="D680" s="10" t="s">
        <v>25</v>
      </c>
      <c r="E680" s="10" t="s">
        <v>2</v>
      </c>
      <c r="F680" s="11">
        <v>454.2</v>
      </c>
      <c r="G680" s="11">
        <v>25700</v>
      </c>
      <c r="H680" s="12">
        <f>[1]!РЕАЛИЗАЦИЯ[СОНИ]*[1]!РЕАЛИЗАЦИЯ[НАРХИ]</f>
        <v>664000</v>
      </c>
      <c r="I680" s="11"/>
      <c r="J680" s="13">
        <v>23000</v>
      </c>
      <c r="K680" s="11">
        <f>[1]!РЕАЛИЗАЦИЯ[[#This Row],[СОНИ]]*[1]!РЕАЛИЗАЦИЯ[[#This Row],[ТАННАРХ]]</f>
        <v>0</v>
      </c>
      <c r="L680" s="14">
        <f>[1]!РЕАЛИЗАЦИЯ[[#This Row],[ЖАМИ]]-[1]!РЕАЛИЗАЦИЯ[[#This Row],[ЖАМИ2]]</f>
        <v>664000</v>
      </c>
      <c r="O680" s="30">
        <v>46127</v>
      </c>
      <c r="P680" s="31" t="s">
        <v>198</v>
      </c>
      <c r="Q680" s="13">
        <v>3390000</v>
      </c>
      <c r="R680" s="13"/>
      <c r="S680" s="13"/>
      <c r="T680" s="32">
        <f>[1]!ПЛАТЕЖИ[[#This Row],[СЎМ]]+([1]!ПЛАТЕЖИ[[#This Row],[ВАЛЮТА]]*[1]!ПЛАТЕЖИ[[#This Row],[КУРС]])</f>
        <v>705000</v>
      </c>
      <c r="U680" s="31"/>
      <c r="V680" s="31"/>
    </row>
    <row r="681" spans="2:22" x14ac:dyDescent="0.25">
      <c r="B681" s="1">
        <v>46122</v>
      </c>
      <c r="C681" s="2" t="s">
        <v>100</v>
      </c>
      <c r="D681" s="3" t="s">
        <v>1</v>
      </c>
      <c r="E681" s="3" t="s">
        <v>2</v>
      </c>
      <c r="F681" s="4">
        <v>50.7</v>
      </c>
      <c r="G681" s="4">
        <v>21000</v>
      </c>
      <c r="H681" s="5">
        <f>[1]!РЕАЛИЗАЦИЯ[СОНИ]*[1]!РЕАЛИЗАЦИЯ[НАРХИ]</f>
        <v>1117200</v>
      </c>
      <c r="I681" s="4"/>
      <c r="J681" s="6">
        <v>19000</v>
      </c>
      <c r="K681" s="4">
        <f>[1]!РЕАЛИЗАЦИЯ[[#This Row],[СОНИ]]*[1]!РЕАЛИЗАЦИЯ[[#This Row],[ТАННАРХ]]</f>
        <v>0</v>
      </c>
      <c r="L681" s="7">
        <f>[1]!РЕАЛИЗАЦИЯ[[#This Row],[ЖАМИ]]-[1]!РЕАЛИЗАЦИЯ[[#This Row],[ЖАМИ2]]</f>
        <v>1117200</v>
      </c>
      <c r="O681" s="27">
        <v>46127</v>
      </c>
      <c r="P681" s="28" t="s">
        <v>150</v>
      </c>
      <c r="Q681" s="6">
        <v>290000</v>
      </c>
      <c r="R681" s="6">
        <v>100</v>
      </c>
      <c r="S681" s="6">
        <v>12100</v>
      </c>
      <c r="T681" s="29">
        <f>[1]!ПЛАТЕЖИ[[#This Row],[СЎМ]]+([1]!ПЛАТЕЖИ[[#This Row],[ВАЛЮТА]]*[1]!ПЛАТЕЖИ[[#This Row],[КУРС]])</f>
        <v>1332000</v>
      </c>
      <c r="U681" s="28"/>
      <c r="V681" s="28"/>
    </row>
    <row r="682" spans="2:22" x14ac:dyDescent="0.25">
      <c r="B682" s="8">
        <v>46122</v>
      </c>
      <c r="C682" s="9" t="s">
        <v>33</v>
      </c>
      <c r="D682" s="10" t="s">
        <v>10</v>
      </c>
      <c r="E682" s="10" t="s">
        <v>2</v>
      </c>
      <c r="F682" s="11">
        <v>99</v>
      </c>
      <c r="G682" s="11">
        <v>14500</v>
      </c>
      <c r="H682" s="12">
        <f>[1]!РЕАЛИЗАЦИЯ[СОНИ]*[1]!РЕАЛИЗАЦИЯ[НАРХИ]</f>
        <v>740800</v>
      </c>
      <c r="I682" s="11"/>
      <c r="J682" s="13">
        <v>13000</v>
      </c>
      <c r="K682" s="11">
        <f>[1]!РЕАЛИЗАЦИЯ[[#This Row],[СОНИ]]*[1]!РЕАЛИЗАЦИЯ[[#This Row],[ТАННАРХ]]</f>
        <v>0</v>
      </c>
      <c r="L682" s="14">
        <f>[1]!РЕАЛИЗАЦИЯ[[#This Row],[ЖАМИ]]-[1]!РЕАЛИЗАЦИЯ[[#This Row],[ЖАМИ2]]</f>
        <v>740800</v>
      </c>
      <c r="O682" s="30">
        <v>46127</v>
      </c>
      <c r="P682" s="31" t="s">
        <v>234</v>
      </c>
      <c r="Q682" s="13">
        <v>222000</v>
      </c>
      <c r="R682" s="13"/>
      <c r="S682" s="13"/>
      <c r="T682" s="32">
        <f>[1]!ПЛАТЕЖИ[[#This Row],[СЎМ]]+([1]!ПЛАТЕЖИ[[#This Row],[ВАЛЮТА]]*[1]!ПЛАТЕЖИ[[#This Row],[КУРС]])</f>
        <v>3807000</v>
      </c>
      <c r="U682" s="31"/>
      <c r="V682" s="31"/>
    </row>
    <row r="683" spans="2:22" x14ac:dyDescent="0.25">
      <c r="B683" s="1">
        <v>46122</v>
      </c>
      <c r="C683" s="2" t="s">
        <v>33</v>
      </c>
      <c r="D683" s="3" t="s">
        <v>1</v>
      </c>
      <c r="E683" s="3" t="s">
        <v>2</v>
      </c>
      <c r="F683" s="4">
        <v>317.8</v>
      </c>
      <c r="G683" s="4">
        <v>20500</v>
      </c>
      <c r="H683" s="5">
        <f>[1]!РЕАЛИЗАЦИЯ[СОНИ]*[1]!РЕАЛИЗАЦИЯ[НАРХИ]</f>
        <v>4024000</v>
      </c>
      <c r="I683" s="4"/>
      <c r="J683" s="6">
        <v>19000</v>
      </c>
      <c r="K683" s="4">
        <f>[1]!РЕАЛИЗАЦИЯ[[#This Row],[СОНИ]]*[1]!РЕАЛИЗАЦИЯ[[#This Row],[ТАННАРХ]]</f>
        <v>728665920</v>
      </c>
      <c r="L683" s="7">
        <f>[1]!РЕАЛИЗАЦИЯ[[#This Row],[ЖАМИ]]-[1]!РЕАЛИЗАЦИЯ[[#This Row],[ЖАМИ2]]</f>
        <v>4023798.8</v>
      </c>
      <c r="O683" s="27">
        <v>46127</v>
      </c>
      <c r="P683" s="28" t="s">
        <v>235</v>
      </c>
      <c r="Q683" s="6">
        <v>755200</v>
      </c>
      <c r="R683" s="6"/>
      <c r="S683" s="6"/>
      <c r="T683" s="29">
        <f>[1]!ПЛАТЕЖИ[[#This Row],[СЎМ]]+([1]!ПЛАТЕЖИ[[#This Row],[ВАЛЮТА]]*[1]!ПЛАТЕЖИ[[#This Row],[КУРС]])</f>
        <v>2230200</v>
      </c>
      <c r="U683" s="28"/>
      <c r="V683" s="28"/>
    </row>
    <row r="684" spans="2:22" x14ac:dyDescent="0.25">
      <c r="B684" s="8">
        <v>46124</v>
      </c>
      <c r="C684" s="9" t="s">
        <v>146</v>
      </c>
      <c r="D684" s="10" t="s">
        <v>1</v>
      </c>
      <c r="E684" s="10" t="s">
        <v>2</v>
      </c>
      <c r="F684" s="11">
        <v>101.5</v>
      </c>
      <c r="G684" s="11">
        <v>21000</v>
      </c>
      <c r="H684" s="12">
        <f>[1]!РЕАЛИЗАЦИЯ[СОНИ]*[1]!РЕАЛИЗАЦИЯ[НАРХИ]</f>
        <v>2000900</v>
      </c>
      <c r="I684" s="11"/>
      <c r="J684" s="13">
        <v>19000</v>
      </c>
      <c r="K684" s="11">
        <f>[1]!РЕАЛИЗАЦИЯ[[#This Row],[СОНИ]]*[1]!РЕАЛИЗАЦИЯ[[#This Row],[ТАННАРХ]]</f>
        <v>0</v>
      </c>
      <c r="L684" s="14">
        <f>[1]!РЕАЛИЗАЦИЯ[[#This Row],[ЖАМИ]]-[1]!РЕАЛИЗАЦИЯ[[#This Row],[ЖАМИ2]]</f>
        <v>2000900</v>
      </c>
      <c r="O684" s="30">
        <v>46127</v>
      </c>
      <c r="P684" s="31" t="s">
        <v>71</v>
      </c>
      <c r="Q684" s="13">
        <v>1000000</v>
      </c>
      <c r="R684" s="13"/>
      <c r="S684" s="13"/>
      <c r="T684" s="32">
        <f>[1]!ПЛАТЕЖИ[[#This Row],[СЎМ]]+([1]!ПЛАТЕЖИ[[#This Row],[ВАЛЮТА]]*[1]!ПЛАТЕЖИ[[#This Row],[КУРС]])</f>
        <v>1056700</v>
      </c>
      <c r="U684" s="31"/>
      <c r="V684" s="31"/>
    </row>
    <row r="685" spans="2:22" x14ac:dyDescent="0.25">
      <c r="B685" s="1">
        <v>46124</v>
      </c>
      <c r="C685" s="2" t="s">
        <v>231</v>
      </c>
      <c r="D685" s="3" t="s">
        <v>1</v>
      </c>
      <c r="E685" s="3" t="s">
        <v>2</v>
      </c>
      <c r="F685" s="4">
        <v>49.5</v>
      </c>
      <c r="G685" s="4">
        <v>20000</v>
      </c>
      <c r="H685" s="5">
        <f>[1]!РЕАЛИЗАЦИЯ[СОНИ]*[1]!РЕАЛИЗАЦИЯ[НАРХИ]</f>
        <v>3915600</v>
      </c>
      <c r="I685" s="4"/>
      <c r="J685" s="6">
        <v>19000</v>
      </c>
      <c r="K685" s="4">
        <f>[1]!РЕАЛИЗАЦИЯ[[#This Row],[СОНИ]]*[1]!РЕАЛИЗАЦИЯ[[#This Row],[ТАННАРХ]]</f>
        <v>1134018000</v>
      </c>
      <c r="L685" s="7">
        <f>[1]!РЕАЛИЗАЦИЯ[[#This Row],[ЖАМИ]]-[1]!РЕАЛИЗАЦИЯ[[#This Row],[ЖАМИ2]]</f>
        <v>3915298.8</v>
      </c>
      <c r="O685" s="27">
        <v>46128</v>
      </c>
      <c r="P685" s="28" t="s">
        <v>12</v>
      </c>
      <c r="Q685" s="6">
        <v>78700800</v>
      </c>
      <c r="R685" s="6"/>
      <c r="S685" s="6"/>
      <c r="T685" s="29">
        <f>[1]!ПЛАТЕЖИ[[#This Row],[СЎМ]]+([1]!ПЛАТЕЖИ[[#This Row],[ВАЛЮТА]]*[1]!ПЛАТЕЖИ[[#This Row],[КУРС]])</f>
        <v>1384600</v>
      </c>
      <c r="U685" s="28"/>
      <c r="V685" s="28" t="s">
        <v>279</v>
      </c>
    </row>
    <row r="686" spans="2:22" x14ac:dyDescent="0.25">
      <c r="B686" s="8">
        <v>46124</v>
      </c>
      <c r="C686" s="9" t="s">
        <v>49</v>
      </c>
      <c r="D686" s="10" t="s">
        <v>1</v>
      </c>
      <c r="E686" s="10" t="s">
        <v>2</v>
      </c>
      <c r="F686" s="11">
        <v>95</v>
      </c>
      <c r="G686" s="11">
        <v>21000</v>
      </c>
      <c r="H686" s="12">
        <f>[1]!РЕАЛИЗАЦИЯ[СОНИ]*[1]!РЕАЛИЗАЦИЯ[НАРХИ]</f>
        <v>2842000</v>
      </c>
      <c r="I686" s="11"/>
      <c r="J686" s="13">
        <v>19000</v>
      </c>
      <c r="K686" s="11">
        <f>[1]!РЕАЛИЗАЦИЯ[[#This Row],[СОНИ]]*[1]!РЕАЛИЗАЦИЯ[[#This Row],[ТАННАРХ]]</f>
        <v>0</v>
      </c>
      <c r="L686" s="14">
        <f>[1]!РЕАЛИЗАЦИЯ[[#This Row],[ЖАМИ]]-[1]!РЕАЛИЗАЦИЯ[[#This Row],[ЖАМИ2]]</f>
        <v>2842000</v>
      </c>
      <c r="O686" s="30">
        <v>46128</v>
      </c>
      <c r="P686" s="31" t="s">
        <v>12</v>
      </c>
      <c r="Q686" s="13">
        <v>250000000</v>
      </c>
      <c r="R686" s="13"/>
      <c r="S686" s="13"/>
      <c r="T686" s="32">
        <f>[1]!ПЛАТЕЖИ[[#This Row],[СЎМ]]+([1]!ПЛАТЕЖИ[[#This Row],[ВАЛЮТА]]*[1]!ПЛАТЕЖИ[[#This Row],[КУРС]])</f>
        <v>4252500</v>
      </c>
      <c r="U686" s="31"/>
      <c r="V686" s="31" t="s">
        <v>279</v>
      </c>
    </row>
    <row r="687" spans="2:22" x14ac:dyDescent="0.25">
      <c r="B687" s="1">
        <v>46124</v>
      </c>
      <c r="C687" s="2" t="s">
        <v>28</v>
      </c>
      <c r="D687" s="3" t="s">
        <v>1</v>
      </c>
      <c r="E687" s="3" t="s">
        <v>2</v>
      </c>
      <c r="F687" s="4">
        <v>144.1</v>
      </c>
      <c r="G687" s="4">
        <v>21000</v>
      </c>
      <c r="H687" s="5">
        <f>[1]!РЕАЛИЗАЦИЯ[СОНИ]*[1]!РЕАЛИЗАЦИЯ[НАРХИ]</f>
        <v>-240000</v>
      </c>
      <c r="I687" s="4"/>
      <c r="J687" s="6">
        <v>19000</v>
      </c>
      <c r="K687" s="4">
        <f>[1]!РЕАЛИЗАЦИЯ[[#This Row],[СОНИ]]*[1]!РЕАЛИЗАЦИЯ[[#This Row],[ТАННАРХ]]</f>
        <v>0</v>
      </c>
      <c r="L687" s="7">
        <f>[1]!РЕАЛИЗАЦИЯ[[#This Row],[ЖАМИ]]-[1]!РЕАЛИЗАЦИЯ[[#This Row],[ЖАМИ2]]</f>
        <v>-240000</v>
      </c>
      <c r="O687" s="27">
        <v>46128</v>
      </c>
      <c r="P687" s="28" t="s">
        <v>234</v>
      </c>
      <c r="Q687" s="6">
        <v>850000</v>
      </c>
      <c r="R687" s="6"/>
      <c r="S687" s="6"/>
      <c r="T687" s="29">
        <f>[1]!ПЛАТЕЖИ[[#This Row],[СЎМ]]+([1]!ПЛАТЕЖИ[[#This Row],[ВАЛЮТА]]*[1]!ПЛАТЕЖИ[[#This Row],[КУРС]])</f>
        <v>2150000</v>
      </c>
      <c r="U687" s="28"/>
      <c r="V687" s="28" t="s">
        <v>275</v>
      </c>
    </row>
    <row r="688" spans="2:22" x14ac:dyDescent="0.25">
      <c r="B688" s="8">
        <v>46124</v>
      </c>
      <c r="C688" s="9" t="s">
        <v>28</v>
      </c>
      <c r="D688" s="10" t="s">
        <v>10</v>
      </c>
      <c r="E688" s="10" t="s">
        <v>2</v>
      </c>
      <c r="F688" s="11">
        <v>149.30000000000001</v>
      </c>
      <c r="G688" s="11">
        <v>16000</v>
      </c>
      <c r="H688" s="12">
        <f>[1]!РЕАЛИЗАЦИЯ[СОНИ]*[1]!РЕАЛИЗАЦИЯ[НАРХИ]</f>
        <v>3124800</v>
      </c>
      <c r="I688" s="11"/>
      <c r="J688" s="13">
        <v>13000</v>
      </c>
      <c r="K688" s="11">
        <f>[1]!РЕАЛИЗАЦИЯ[[#This Row],[СОНИ]]*[1]!РЕАЛИЗАЦИЯ[[#This Row],[ТАННАРХ]]</f>
        <v>0</v>
      </c>
      <c r="L688" s="14">
        <f>[1]!РЕАЛИЗАЦИЯ[[#This Row],[ЖАМИ]]-[1]!РЕАЛИЗАЦИЯ[[#This Row],[ЖАМИ2]]</f>
        <v>3124800</v>
      </c>
      <c r="O688" s="30">
        <v>46128</v>
      </c>
      <c r="P688" s="31" t="s">
        <v>237</v>
      </c>
      <c r="Q688" s="13">
        <v>3200000</v>
      </c>
      <c r="R688" s="13"/>
      <c r="S688" s="13"/>
      <c r="T688" s="32">
        <v>3280000</v>
      </c>
      <c r="U688" s="31"/>
      <c r="V688" s="31"/>
    </row>
    <row r="689" spans="2:22" x14ac:dyDescent="0.25">
      <c r="B689" s="1">
        <v>46124</v>
      </c>
      <c r="C689" s="2" t="s">
        <v>232</v>
      </c>
      <c r="D689" s="3" t="s">
        <v>1</v>
      </c>
      <c r="E689" s="3" t="s">
        <v>2</v>
      </c>
      <c r="F689" s="4">
        <v>96.2</v>
      </c>
      <c r="G689" s="4">
        <v>20000</v>
      </c>
      <c r="H689" s="5">
        <f>[1]!РЕАЛИЗАЦИЯ[СОНИ]*[1]!РЕАЛИЗАЦИЯ[НАРХИ]</f>
        <v>2802600</v>
      </c>
      <c r="I689" s="4"/>
      <c r="J689" s="6">
        <v>19000</v>
      </c>
      <c r="K689" s="4">
        <f>[1]!РЕАЛИЗАЦИЯ[[#This Row],[СОНИ]]*[1]!РЕАЛИЗАЦИЯ[[#This Row],[ТАННАРХ]]</f>
        <v>247812120</v>
      </c>
      <c r="L689" s="7">
        <f>[1]!РЕАЛИЗАЦИЯ[[#This Row],[ЖАМИ]]-[1]!РЕАЛИЗАЦИЯ[[#This Row],[ЖАМИ2]]</f>
        <v>2802496.2</v>
      </c>
      <c r="O689" s="27">
        <v>46128</v>
      </c>
      <c r="P689" s="28" t="s">
        <v>90</v>
      </c>
      <c r="Q689" s="6">
        <v>1002000</v>
      </c>
      <c r="R689" s="6"/>
      <c r="S689" s="6"/>
      <c r="T689" s="29">
        <f>[1]!ПЛАТЕЖИ[[#This Row],[СЎМ]]+([1]!ПЛАТЕЖИ[[#This Row],[ВАЛЮТА]]*[1]!ПЛАТЕЖИ[[#This Row],[КУРС]])</f>
        <v>1185000</v>
      </c>
      <c r="U689" s="28"/>
      <c r="V689" s="28" t="s">
        <v>275</v>
      </c>
    </row>
    <row r="690" spans="2:22" x14ac:dyDescent="0.25">
      <c r="B690" s="8">
        <v>46124</v>
      </c>
      <c r="C690" s="9" t="s">
        <v>232</v>
      </c>
      <c r="D690" s="10" t="s">
        <v>10</v>
      </c>
      <c r="E690" s="10" t="s">
        <v>2</v>
      </c>
      <c r="F690" s="11">
        <v>52</v>
      </c>
      <c r="G690" s="11">
        <v>14000</v>
      </c>
      <c r="H690" s="12">
        <f>[1]!РЕАЛИЗАЦИЯ[СОНИ]*[1]!РЕАЛИЗАЦИЯ[НАРХИ]</f>
        <v>4009800</v>
      </c>
      <c r="I690" s="11"/>
      <c r="J690" s="13">
        <v>13000</v>
      </c>
      <c r="K690" s="11">
        <f>[1]!РЕАЛИЗАЦИЯ[[#This Row],[СОНИ]]*[1]!РЕАЛИЗАЦИЯ[[#This Row],[ТАННАРХ]]</f>
        <v>0</v>
      </c>
      <c r="L690" s="14">
        <f>[1]!РЕАЛИЗАЦИЯ[[#This Row],[ЖАМИ]]-[1]!РЕАЛИЗАЦИЯ[[#This Row],[ЖАМИ2]]</f>
        <v>4009800</v>
      </c>
      <c r="O690" s="30">
        <v>46128</v>
      </c>
      <c r="P690" s="31" t="s">
        <v>104</v>
      </c>
      <c r="Q690" s="13">
        <v>8690000</v>
      </c>
      <c r="R690" s="13"/>
      <c r="S690" s="13"/>
      <c r="T690" s="32">
        <f>[1]!ПЛАТЕЖИ[[#This Row],[СЎМ]]+([1]!ПЛАТЕЖИ[[#This Row],[ВАЛЮТА]]*[1]!ПЛАТЕЖИ[[#This Row],[КУРС]])</f>
        <v>1145000</v>
      </c>
      <c r="U690" s="31"/>
      <c r="V690" s="31"/>
    </row>
    <row r="691" spans="2:22" x14ac:dyDescent="0.25">
      <c r="B691" s="1">
        <v>46124</v>
      </c>
      <c r="C691" s="2" t="s">
        <v>233</v>
      </c>
      <c r="D691" s="3" t="s">
        <v>1</v>
      </c>
      <c r="E691" s="3" t="s">
        <v>2</v>
      </c>
      <c r="F691" s="4">
        <v>94.3</v>
      </c>
      <c r="G691" s="4">
        <v>21000</v>
      </c>
      <c r="H691" s="5">
        <f>[1]!РЕАЛИЗАЦИЯ[СОНИ]*[1]!РЕАЛИЗАЦИЯ[НАРХИ]</f>
        <v>3084500</v>
      </c>
      <c r="I691" s="4"/>
      <c r="J691" s="6">
        <v>19000</v>
      </c>
      <c r="K691" s="4">
        <f>[1]!РЕАЛИЗАЦИЯ[[#This Row],[СОНИ]]*[1]!РЕАЛИЗАЦИЯ[[#This Row],[ТАННАРХ]]</f>
        <v>0</v>
      </c>
      <c r="L691" s="7">
        <f>[1]!РЕАЛИЗАЦИЯ[[#This Row],[ЖАМИ]]-[1]!РЕАЛИЗАЦИЯ[[#This Row],[ЖАМИ2]]</f>
        <v>3084500</v>
      </c>
      <c r="O691" s="27">
        <v>46128</v>
      </c>
      <c r="P691" s="28" t="s">
        <v>204</v>
      </c>
      <c r="Q691" s="6">
        <v>1067000</v>
      </c>
      <c r="R691" s="6"/>
      <c r="S691" s="6"/>
      <c r="T691" s="29">
        <f>[1]!ПЛАТЕЖИ[[#This Row],[СЎМ]]+([1]!ПЛАТЕЖИ[[#This Row],[ВАЛЮТА]]*[1]!ПЛАТЕЖИ[[#This Row],[КУРС]])</f>
        <v>974400</v>
      </c>
      <c r="U691" s="28"/>
      <c r="V691" s="28"/>
    </row>
    <row r="692" spans="2:22" x14ac:dyDescent="0.25">
      <c r="B692" s="8">
        <v>46124</v>
      </c>
      <c r="C692" s="9" t="s">
        <v>63</v>
      </c>
      <c r="D692" s="10" t="s">
        <v>1</v>
      </c>
      <c r="E692" s="10" t="s">
        <v>2</v>
      </c>
      <c r="F692" s="11">
        <v>48.2</v>
      </c>
      <c r="G692" s="11">
        <v>20000</v>
      </c>
      <c r="H692" s="12">
        <f>[1]!РЕАЛИЗАЦИЯ[СОНИ]*[1]!РЕАЛИЗАЦИЯ[НАРХИ]</f>
        <v>1726200</v>
      </c>
      <c r="I692" s="11"/>
      <c r="J692" s="13">
        <v>19000</v>
      </c>
      <c r="K692" s="11">
        <f>[1]!РЕАЛИЗАЦИЯ[[#This Row],[СОНИ]]*[1]!РЕАЛИЗАЦИЯ[[#This Row],[ТАННАРХ]]</f>
        <v>0</v>
      </c>
      <c r="L692" s="14">
        <f>[1]!РЕАЛИЗАЦИЯ[[#This Row],[ЖАМИ]]-[1]!РЕАЛИЗАЦИЯ[[#This Row],[ЖАМИ2]]</f>
        <v>1726200</v>
      </c>
      <c r="O692" s="30">
        <v>46128</v>
      </c>
      <c r="P692" s="31" t="s">
        <v>236</v>
      </c>
      <c r="Q692" s="13">
        <v>1876000</v>
      </c>
      <c r="R692" s="13"/>
      <c r="S692" s="13"/>
      <c r="T692" s="32">
        <f>[1]!ПЛАТЕЖИ[[#This Row],[СЎМ]]+([1]!ПЛАТЕЖИ[[#This Row],[ВАЛЮТА]]*[1]!ПЛАТЕЖИ[[#This Row],[КУРС]])</f>
        <v>2670000</v>
      </c>
      <c r="U692" s="31"/>
      <c r="V692" s="31"/>
    </row>
    <row r="693" spans="2:22" x14ac:dyDescent="0.25">
      <c r="B693" s="1">
        <v>46124</v>
      </c>
      <c r="C693" s="2" t="s">
        <v>51</v>
      </c>
      <c r="D693" s="3" t="s">
        <v>1</v>
      </c>
      <c r="E693" s="3" t="s">
        <v>2</v>
      </c>
      <c r="F693" s="4">
        <v>52.5</v>
      </c>
      <c r="G693" s="4">
        <v>20000</v>
      </c>
      <c r="H693" s="5">
        <f>[1]!РЕАЛИЗАЦИЯ[СОНИ]*[1]!РЕАЛИЗАЦИЯ[НАРХИ]</f>
        <v>-1726200</v>
      </c>
      <c r="I693" s="4"/>
      <c r="J693" s="6">
        <v>19000</v>
      </c>
      <c r="K693" s="4">
        <f>[1]!РЕАЛИЗАЦИЯ[[#This Row],[СОНИ]]*[1]!РЕАЛИЗАЦИЯ[[#This Row],[ТАННАРХ]]</f>
        <v>0</v>
      </c>
      <c r="L693" s="7">
        <f>[1]!РЕАЛИЗАЦИЯ[[#This Row],[ЖАМИ]]-[1]!РЕАЛИЗАЦИЯ[[#This Row],[ЖАМИ2]]</f>
        <v>-1726200</v>
      </c>
      <c r="O693" s="27">
        <v>46128</v>
      </c>
      <c r="P693" s="28" t="s">
        <v>91</v>
      </c>
      <c r="Q693" s="6">
        <v>1346000</v>
      </c>
      <c r="R693" s="6"/>
      <c r="S693" s="6"/>
      <c r="T693" s="29">
        <f>[1]!ПЛАТЕЖИ[[#This Row],[СЎМ]]+([1]!ПЛАТЕЖИ[[#This Row],[ВАЛЮТА]]*[1]!ПЛАТЕЖИ[[#This Row],[КУРС]])</f>
        <v>11529000</v>
      </c>
      <c r="U693" s="28"/>
      <c r="V693" s="28"/>
    </row>
    <row r="694" spans="2:22" x14ac:dyDescent="0.25">
      <c r="B694" s="8">
        <v>46124</v>
      </c>
      <c r="C694" s="9" t="s">
        <v>174</v>
      </c>
      <c r="D694" s="10" t="s">
        <v>10</v>
      </c>
      <c r="E694" s="10" t="s">
        <v>2</v>
      </c>
      <c r="F694" s="11">
        <v>101.6</v>
      </c>
      <c r="G694" s="11">
        <v>16000</v>
      </c>
      <c r="H694" s="12">
        <f>[1]!РЕАЛИЗАЦИЯ[СОНИ]*[1]!РЕАЛИЗАЦИЯ[НАРХИ]</f>
        <v>4084500</v>
      </c>
      <c r="I694" s="11"/>
      <c r="J694" s="13">
        <v>13000</v>
      </c>
      <c r="K694" s="11">
        <f>[1]!РЕАЛИЗАЦИЯ[[#This Row],[СОНИ]]*[1]!РЕАЛИЗАЦИЯ[[#This Row],[ТАННАРХ]]</f>
        <v>0</v>
      </c>
      <c r="L694" s="14">
        <f>[1]!РЕАЛИЗАЦИЯ[[#This Row],[ЖАМИ]]-[1]!РЕАЛИЗАЦИЯ[[#This Row],[ЖАМИ2]]</f>
        <v>4084500</v>
      </c>
      <c r="O694" s="30">
        <v>46128</v>
      </c>
      <c r="P694" s="31" t="s">
        <v>217</v>
      </c>
      <c r="Q694" s="13">
        <v>764000</v>
      </c>
      <c r="R694" s="13"/>
      <c r="S694" s="13"/>
      <c r="T694" s="32">
        <f>[1]!ПЛАТЕЖИ[[#This Row],[СЎМ]]+([1]!ПЛАТЕЖИ[[#This Row],[ВАЛЮТА]]*[1]!ПЛАТЕЖИ[[#This Row],[КУРС]])</f>
        <v>700000</v>
      </c>
      <c r="U694" s="31"/>
      <c r="V694" s="31"/>
    </row>
    <row r="695" spans="2:22" x14ac:dyDescent="0.25">
      <c r="B695" s="1">
        <v>46124</v>
      </c>
      <c r="C695" s="2" t="s">
        <v>89</v>
      </c>
      <c r="D695" s="3" t="s">
        <v>10</v>
      </c>
      <c r="E695" s="3" t="s">
        <v>2</v>
      </c>
      <c r="F695" s="4">
        <v>1642.3</v>
      </c>
      <c r="G695" s="4">
        <v>13000</v>
      </c>
      <c r="H695" s="5">
        <f>[1]!РЕАЛИЗАЦИЯ[СОНИ]*[1]!РЕАЛИЗАЦИЯ[НАРХИ]</f>
        <v>1243200</v>
      </c>
      <c r="I695" s="4"/>
      <c r="J695" s="6">
        <v>13000</v>
      </c>
      <c r="K695" s="4">
        <f>[1]!РЕАЛИЗАЦИЯ[[#This Row],[СОНИ]]*[1]!РЕАЛИЗАЦИЯ[[#This Row],[ТАННАРХ]]</f>
        <v>0</v>
      </c>
      <c r="L695" s="7">
        <f>[1]!РЕАЛИЗАЦИЯ[[#This Row],[ЖАМИ]]-[1]!РЕАЛИЗАЦИЯ[[#This Row],[ЖАМИ2]]</f>
        <v>1243200</v>
      </c>
      <c r="O695" s="27">
        <v>46129</v>
      </c>
      <c r="P695" s="28" t="s">
        <v>7</v>
      </c>
      <c r="Q695" s="6">
        <v>15000000</v>
      </c>
      <c r="R695" s="6"/>
      <c r="S695" s="6"/>
      <c r="T695" s="29">
        <f>[1]!ПЛАТЕЖИ[[#This Row],[СЎМ]]+([1]!ПЛАТЕЖИ[[#This Row],[ВАЛЮТА]]*[1]!ПЛАТЕЖИ[[#This Row],[КУРС]])</f>
        <v>1129000</v>
      </c>
      <c r="U695" s="28"/>
      <c r="V695" s="28" t="s">
        <v>279</v>
      </c>
    </row>
    <row r="696" spans="2:22" x14ac:dyDescent="0.25">
      <c r="B696" s="8">
        <v>46125</v>
      </c>
      <c r="C696" s="9" t="s">
        <v>34</v>
      </c>
      <c r="D696" s="10" t="s">
        <v>10</v>
      </c>
      <c r="E696" s="10" t="s">
        <v>2</v>
      </c>
      <c r="F696" s="11">
        <v>199.4</v>
      </c>
      <c r="G696" s="11">
        <v>16450</v>
      </c>
      <c r="H696" s="12">
        <f>[1]!РЕАЛИЗАЦИЯ[СОНИ]*[1]!РЕАЛИЗАЦИЯ[НАРХИ]</f>
        <v>8190000</v>
      </c>
      <c r="I696" s="11" t="s">
        <v>83</v>
      </c>
      <c r="J696" s="13">
        <v>13000</v>
      </c>
      <c r="K696" s="11">
        <f>[1]!РЕАЛИЗАЦИЯ[[#This Row],[СОНИ]]*[1]!РЕАЛИЗАЦИЯ[[#This Row],[ТАННАРХ]]</f>
        <v>0</v>
      </c>
      <c r="L696" s="14">
        <f>[1]!РЕАЛИЗАЦИЯ[[#This Row],[ЖАМИ]]-[1]!РЕАЛИЗАЦИЯ[[#This Row],[ЖАМИ2]]</f>
        <v>8190000</v>
      </c>
      <c r="O696" s="30">
        <v>46129</v>
      </c>
      <c r="P696" s="31" t="s">
        <v>7</v>
      </c>
      <c r="Q696" s="13">
        <v>8205500</v>
      </c>
      <c r="R696" s="13"/>
      <c r="S696" s="13"/>
      <c r="T696" s="32">
        <f>[1]!ПЛАТЕЖИ[[#This Row],[СЎМ]]+([1]!ПЛАТЕЖИ[[#This Row],[ВАЛЮТА]]*[1]!ПЛАТЕЖИ[[#This Row],[КУРС]])</f>
        <v>700000</v>
      </c>
      <c r="U696" s="31"/>
      <c r="V696" s="31" t="s">
        <v>279</v>
      </c>
    </row>
    <row r="697" spans="2:22" x14ac:dyDescent="0.25">
      <c r="B697" s="1">
        <v>46125</v>
      </c>
      <c r="C697" s="2" t="s">
        <v>220</v>
      </c>
      <c r="D697" s="3" t="s">
        <v>1</v>
      </c>
      <c r="E697" s="3" t="s">
        <v>2</v>
      </c>
      <c r="F697" s="4">
        <v>46.2</v>
      </c>
      <c r="G697" s="4">
        <v>21000</v>
      </c>
      <c r="H697" s="5">
        <f>[1]!РЕАЛИЗАЦИЯ[СОНИ]*[1]!РЕАЛИЗАЦИЯ[НАРХИ]</f>
        <v>2613000</v>
      </c>
      <c r="I697" s="4"/>
      <c r="J697" s="6">
        <v>19000</v>
      </c>
      <c r="K697" s="4">
        <f>[1]!РЕАЛИЗАЦИЯ[[#This Row],[СОНИ]]*[1]!РЕАЛИЗАЦИЯ[[#This Row],[ТАННАРХ]]</f>
        <v>0</v>
      </c>
      <c r="L697" s="7">
        <f>[1]!РЕАЛИЗАЦИЯ[[#This Row],[ЖАМИ]]-[1]!РЕАЛИЗАЦИЯ[[#This Row],[ЖАМИ2]]</f>
        <v>2613000</v>
      </c>
      <c r="O697" s="27">
        <v>46129</v>
      </c>
      <c r="P697" s="28" t="s">
        <v>204</v>
      </c>
      <c r="Q697" s="6">
        <v>850300</v>
      </c>
      <c r="R697" s="6"/>
      <c r="S697" s="6"/>
      <c r="T697" s="29">
        <f>[1]!ПЛАТЕЖИ[[#This Row],[СЎМ]]+([1]!ПЛАТЕЖИ[[#This Row],[ВАЛЮТА]]*[1]!ПЛАТЕЖИ[[#This Row],[КУРС]])</f>
        <v>970100</v>
      </c>
      <c r="U697" s="28"/>
      <c r="V697" s="28"/>
    </row>
    <row r="698" spans="2:22" x14ac:dyDescent="0.25">
      <c r="B698" s="8">
        <v>46125</v>
      </c>
      <c r="C698" s="9" t="s">
        <v>79</v>
      </c>
      <c r="D698" s="10" t="s">
        <v>29</v>
      </c>
      <c r="E698" s="10" t="s">
        <v>2</v>
      </c>
      <c r="F698" s="11">
        <v>359.5</v>
      </c>
      <c r="G698" s="11">
        <v>18000</v>
      </c>
      <c r="H698" s="12">
        <f>[1]!РЕАЛИЗАЦИЯ[СОНИ]*[1]!РЕАЛИЗАЦИЯ[НАРХИ]</f>
        <v>729000</v>
      </c>
      <c r="I698" s="11"/>
      <c r="J698" s="13">
        <v>16000</v>
      </c>
      <c r="K698" s="11">
        <f>[1]!РЕАЛИЗАЦИЯ[[#This Row],[СОНИ]]*[1]!РЕАЛИЗАЦИЯ[[#This Row],[ТАННАРХ]]</f>
        <v>0</v>
      </c>
      <c r="L698" s="14">
        <f>[1]!РЕАЛИЗАЦИЯ[[#This Row],[ЖАМИ]]-[1]!РЕАЛИЗАЦИЯ[[#This Row],[ЖАМИ2]]</f>
        <v>729000</v>
      </c>
      <c r="O698" s="30">
        <v>46129</v>
      </c>
      <c r="P698" s="31" t="s">
        <v>112</v>
      </c>
      <c r="Q698" s="13">
        <v>2722600</v>
      </c>
      <c r="R698" s="13"/>
      <c r="S698" s="13"/>
      <c r="T698" s="32">
        <f>[1]!ПЛАТЕЖИ[[#This Row],[СЎМ]]+([1]!ПЛАТЕЖИ[[#This Row],[ВАЛЮТА]]*[1]!ПЛАТЕЖИ[[#This Row],[КУРС]])</f>
        <v>1000000</v>
      </c>
      <c r="U698" s="31"/>
      <c r="V698" s="31" t="s">
        <v>275</v>
      </c>
    </row>
    <row r="699" spans="2:22" x14ac:dyDescent="0.25">
      <c r="B699" s="1">
        <v>46125</v>
      </c>
      <c r="C699" s="2" t="s">
        <v>115</v>
      </c>
      <c r="D699" s="3" t="s">
        <v>8</v>
      </c>
      <c r="E699" s="3" t="s">
        <v>2</v>
      </c>
      <c r="F699" s="4">
        <v>188.3</v>
      </c>
      <c r="G699" s="4">
        <v>22500</v>
      </c>
      <c r="H699" s="5">
        <f>[1]!РЕАЛИЗАЦИЯ[СОНИ]*[1]!РЕАЛИЗАЦИЯ[НАРХИ]</f>
        <v>946000</v>
      </c>
      <c r="I699" s="4"/>
      <c r="J699" s="6">
        <v>20000</v>
      </c>
      <c r="K699" s="4">
        <f>[1]!РЕАЛИЗАЦИЯ[[#This Row],[СОНИ]]*[1]!РЕАЛИЗАЦИЯ[[#This Row],[ТАННАРХ]]</f>
        <v>0</v>
      </c>
      <c r="L699" s="7">
        <f>[1]!РЕАЛИЗАЦИЯ[[#This Row],[ЖАМИ]]-[1]!РЕАЛИЗАЦИЯ[[#This Row],[ЖАМИ2]]</f>
        <v>946000</v>
      </c>
      <c r="O699" s="27">
        <v>46129</v>
      </c>
      <c r="P699" s="28" t="s">
        <v>89</v>
      </c>
      <c r="Q699" s="6">
        <v>20010000</v>
      </c>
      <c r="R699" s="6"/>
      <c r="S699" s="6"/>
      <c r="T699" s="29">
        <f>[1]!ПЛАТЕЖИ[[#This Row],[СЎМ]]+([1]!ПЛАТЕЖИ[[#This Row],[ВАЛЮТА]]*[1]!ПЛАТЕЖИ[[#This Row],[КУРС]])</f>
        <v>1280000</v>
      </c>
      <c r="U699" s="28"/>
      <c r="V699" s="28"/>
    </row>
    <row r="700" spans="2:22" x14ac:dyDescent="0.25">
      <c r="B700" s="8">
        <v>46125</v>
      </c>
      <c r="C700" s="9" t="s">
        <v>22</v>
      </c>
      <c r="D700" s="10" t="s">
        <v>8</v>
      </c>
      <c r="E700" s="10" t="s">
        <v>2</v>
      </c>
      <c r="F700" s="11">
        <v>40</v>
      </c>
      <c r="G700" s="11">
        <v>22000</v>
      </c>
      <c r="H700" s="12">
        <f>[1]!РЕАЛИЗАЦИЯ[СОНИ]*[1]!РЕАЛИЗАЦИЯ[НАРХИ]</f>
        <v>6453300</v>
      </c>
      <c r="I700" s="11"/>
      <c r="J700" s="13">
        <v>20000</v>
      </c>
      <c r="K700" s="11">
        <f>[1]!РЕАЛИЗАЦИЯ[[#This Row],[СОНИ]]*[1]!РЕАЛИЗАЦИЯ[[#This Row],[ТАННАРХ]]</f>
        <v>0</v>
      </c>
      <c r="L700" s="14">
        <f>[1]!РЕАЛИЗАЦИЯ[[#This Row],[ЖАМИ]]-[1]!РЕАЛИЗАЦИЯ[[#This Row],[ЖАМИ2]]</f>
        <v>6453300</v>
      </c>
      <c r="O700" s="30">
        <v>46129</v>
      </c>
      <c r="P700" s="31" t="s">
        <v>131</v>
      </c>
      <c r="Q700" s="13"/>
      <c r="R700" s="13">
        <v>3065</v>
      </c>
      <c r="S700" s="13">
        <v>12150</v>
      </c>
      <c r="T700" s="32">
        <f>[1]!ПЛАТЕЖИ[[#This Row],[СЎМ]]+([1]!ПЛАТЕЖИ[[#This Row],[ВАЛЮТА]]*[1]!ПЛАТЕЖИ[[#This Row],[КУРС]])</f>
        <v>504000</v>
      </c>
      <c r="U700" s="31"/>
      <c r="V700" s="31"/>
    </row>
    <row r="701" spans="2:22" x14ac:dyDescent="0.25">
      <c r="B701" s="1">
        <v>46125</v>
      </c>
      <c r="C701" s="2" t="s">
        <v>80</v>
      </c>
      <c r="D701" s="3" t="s">
        <v>1</v>
      </c>
      <c r="E701" s="3" t="s">
        <v>2</v>
      </c>
      <c r="F701" s="4">
        <v>52.4</v>
      </c>
      <c r="G701" s="4">
        <v>20000</v>
      </c>
      <c r="H701" s="5">
        <f>[1]!РЕАЛИЗАЦИЯ[СОНИ]*[1]!РЕАЛИЗАЦИЯ[НАРХИ]</f>
        <v>2044800</v>
      </c>
      <c r="I701" s="4"/>
      <c r="J701" s="6">
        <v>19000</v>
      </c>
      <c r="K701" s="4">
        <f>[1]!РЕАЛИЗАЦИЯ[[#This Row],[СОНИ]]*[1]!РЕАЛИЗАЦИЯ[[#This Row],[ТАННАРХ]]</f>
        <v>0</v>
      </c>
      <c r="L701" s="7">
        <f>[1]!РЕАЛИЗАЦИЯ[[#This Row],[ЖАМИ]]-[1]!РЕАЛИЗАЦИЯ[[#This Row],[ЖАМИ2]]</f>
        <v>2044800</v>
      </c>
      <c r="O701" s="27">
        <v>46130</v>
      </c>
      <c r="P701" s="28" t="s">
        <v>14</v>
      </c>
      <c r="Q701" s="6"/>
      <c r="R701" s="6">
        <v>400</v>
      </c>
      <c r="S701" s="6">
        <v>12150</v>
      </c>
      <c r="T701" s="29">
        <f>[1]!ПЛАТЕЖИ[[#This Row],[СЎМ]]+([1]!ПЛАТЕЖИ[[#This Row],[ВАЛЮТА]]*[1]!ПЛАТЕЖИ[[#This Row],[КУРС]])</f>
        <v>984900</v>
      </c>
      <c r="U701" s="28"/>
      <c r="V701" s="28"/>
    </row>
    <row r="702" spans="2:22" x14ac:dyDescent="0.25">
      <c r="B702" s="8">
        <v>46125</v>
      </c>
      <c r="C702" s="9" t="s">
        <v>12</v>
      </c>
      <c r="D702" s="10" t="s">
        <v>16</v>
      </c>
      <c r="E702" s="10" t="s">
        <v>2</v>
      </c>
      <c r="F702" s="11">
        <v>1660.7</v>
      </c>
      <c r="G702" s="11">
        <v>24000</v>
      </c>
      <c r="H702" s="12">
        <f>[1]!РЕАЛИЗАЦИЯ[СОНИ]*[1]!РЕАЛИЗАЦИЯ[НАРХИ]</f>
        <v>752000</v>
      </c>
      <c r="I702" s="20">
        <v>6</v>
      </c>
      <c r="J702" s="13">
        <v>20000</v>
      </c>
      <c r="K702" s="11">
        <f>[1]!РЕАЛИЗАЦИЯ[[#This Row],[СОНИ]]*[1]!РЕАЛИЗАЦИЯ[[#This Row],[ТАННАРХ]]</f>
        <v>0</v>
      </c>
      <c r="L702" s="14">
        <f>[1]!РЕАЛИЗАЦИЯ[[#This Row],[ЖАМИ]]-[1]!РЕАЛИЗАЦИЯ[[#This Row],[ЖАМИ2]]</f>
        <v>752000</v>
      </c>
      <c r="O702" s="30">
        <v>46130</v>
      </c>
      <c r="P702" s="31" t="s">
        <v>118</v>
      </c>
      <c r="Q702" s="13">
        <v>1170000</v>
      </c>
      <c r="R702" s="13"/>
      <c r="S702" s="13"/>
      <c r="T702" s="32">
        <f>[1]!ПЛАТЕЖИ[[#This Row],[СЎМ]]+([1]!ПЛАТЕЖИ[[#This Row],[ВАЛЮТА]]*[1]!ПЛАТЕЖИ[[#This Row],[КУРС]])</f>
        <v>997500</v>
      </c>
      <c r="U702" s="31"/>
      <c r="V702" s="31" t="s">
        <v>279</v>
      </c>
    </row>
    <row r="703" spans="2:22" x14ac:dyDescent="0.25">
      <c r="B703" s="1">
        <v>46126</v>
      </c>
      <c r="C703" s="2" t="s">
        <v>175</v>
      </c>
      <c r="D703" s="3" t="s">
        <v>10</v>
      </c>
      <c r="E703" s="3" t="s">
        <v>2</v>
      </c>
      <c r="F703" s="4">
        <v>254.3</v>
      </c>
      <c r="G703" s="4">
        <v>15000</v>
      </c>
      <c r="H703" s="5">
        <f>[1]!РЕАЛИЗАЦИЯ[СОНИ]*[1]!РЕАЛИЗАЦИЯ[НАРХИ]</f>
        <v>752000</v>
      </c>
      <c r="I703" s="4"/>
      <c r="J703" s="6">
        <v>13000</v>
      </c>
      <c r="K703" s="4">
        <f>[1]!РЕАЛИЗАЦИЯ[[#This Row],[СОНИ]]*[1]!РЕАЛИЗАЦИЯ[[#This Row],[ТАННАРХ]]</f>
        <v>0</v>
      </c>
      <c r="L703" s="7">
        <f>[1]!РЕАЛИЗАЦИЯ[[#This Row],[ЖАМИ]]-[1]!РЕАЛИЗАЦИЯ[[#This Row],[ЖАМИ2]]</f>
        <v>752000</v>
      </c>
      <c r="O703" s="27">
        <v>46130</v>
      </c>
      <c r="P703" s="28" t="s">
        <v>5</v>
      </c>
      <c r="Q703" s="6">
        <v>2130000</v>
      </c>
      <c r="R703" s="6"/>
      <c r="S703" s="6"/>
      <c r="T703" s="29">
        <f>[1]!ПЛАТЕЖИ[[#This Row],[СЎМ]]+([1]!ПЛАТЕЖИ[[#This Row],[ВАЛЮТА]]*[1]!ПЛАТЕЖИ[[#This Row],[КУРС]])</f>
        <v>999000</v>
      </c>
      <c r="U703" s="28"/>
      <c r="V703" s="28" t="s">
        <v>275</v>
      </c>
    </row>
    <row r="704" spans="2:22" x14ac:dyDescent="0.25">
      <c r="B704" s="8">
        <v>46126</v>
      </c>
      <c r="C704" s="9" t="s">
        <v>75</v>
      </c>
      <c r="D704" s="10" t="s">
        <v>10</v>
      </c>
      <c r="E704" s="10" t="s">
        <v>2</v>
      </c>
      <c r="F704" s="11">
        <v>96.7</v>
      </c>
      <c r="G704" s="11">
        <v>14000</v>
      </c>
      <c r="H704" s="12">
        <f>[1]!РЕАЛИЗАЦИЯ[СОНИ]*[1]!РЕАЛИЗАЦИЯ[НАРХИ]</f>
        <v>3786950</v>
      </c>
      <c r="I704" s="11"/>
      <c r="J704" s="13">
        <v>13000</v>
      </c>
      <c r="K704" s="11">
        <f>[1]!РЕАЛИЗАЦИЯ[[#This Row],[СОНИ]]*[1]!РЕАЛИЗАЦИЯ[[#This Row],[ТАННАРХ]]</f>
        <v>712335530</v>
      </c>
      <c r="L704" s="14">
        <f>[1]!РЕАЛИЗАЦИЯ[[#This Row],[ЖАМИ]]-[1]!РЕАЛИЗАЦИЯ[[#This Row],[ЖАМИ2]]</f>
        <v>3786745.3</v>
      </c>
      <c r="O704" s="30">
        <v>46130</v>
      </c>
      <c r="P704" s="31" t="s">
        <v>202</v>
      </c>
      <c r="Q704" s="13">
        <v>9500000</v>
      </c>
      <c r="R704" s="13"/>
      <c r="S704" s="13"/>
      <c r="T704" s="32">
        <f>[1]!ПЛАТЕЖИ[[#This Row],[СЎМ]]+([1]!ПЛАТЕЖИ[[#This Row],[ВАЛЮТА]]*[1]!ПЛАТЕЖИ[[#This Row],[КУРС]])</f>
        <v>1667000</v>
      </c>
      <c r="U704" s="31"/>
      <c r="V704" s="31"/>
    </row>
    <row r="705" spans="2:22" x14ac:dyDescent="0.25">
      <c r="B705" s="1">
        <v>46126</v>
      </c>
      <c r="C705" s="2" t="s">
        <v>0</v>
      </c>
      <c r="D705" s="3" t="s">
        <v>10</v>
      </c>
      <c r="E705" s="3" t="s">
        <v>2</v>
      </c>
      <c r="F705" s="4">
        <v>49.6</v>
      </c>
      <c r="G705" s="4">
        <v>16000</v>
      </c>
      <c r="H705" s="5">
        <f>[1]!РЕАЛИЗАЦИЯ[СОНИ]*[1]!РЕАЛИЗАЦИЯ[НАРХИ]</f>
        <v>3819900</v>
      </c>
      <c r="I705" s="4"/>
      <c r="J705" s="6">
        <v>13000</v>
      </c>
      <c r="K705" s="4">
        <f>[1]!РЕАЛИЗАЦИЯ[[#This Row],[СОНИ]]*[1]!РЕАЛИЗАЦИЯ[[#This Row],[ТАННАРХ]]</f>
        <v>0</v>
      </c>
      <c r="L705" s="7">
        <f>[1]!РЕАЛИЗАЦИЯ[[#This Row],[ЖАМИ]]-[1]!РЕАЛИЗАЦИЯ[[#This Row],[ЖАМИ2]]</f>
        <v>3819900</v>
      </c>
      <c r="O705" s="27">
        <v>46130</v>
      </c>
      <c r="P705" s="28" t="s">
        <v>167</v>
      </c>
      <c r="Q705" s="6">
        <v>2152500</v>
      </c>
      <c r="R705" s="6"/>
      <c r="S705" s="6"/>
      <c r="T705" s="29">
        <f>[1]!ПЛАТЕЖИ[[#This Row],[СЎМ]]+([1]!ПЛАТЕЖИ[[#This Row],[ВАЛЮТА]]*[1]!ПЛАТЕЖИ[[#This Row],[КУРС]])</f>
        <v>1108800</v>
      </c>
      <c r="U705" s="28"/>
      <c r="V705" s="28"/>
    </row>
    <row r="706" spans="2:22" x14ac:dyDescent="0.25">
      <c r="B706" s="8">
        <v>46126</v>
      </c>
      <c r="C706" s="9" t="s">
        <v>107</v>
      </c>
      <c r="D706" s="10" t="s">
        <v>10</v>
      </c>
      <c r="E706" s="10" t="s">
        <v>2</v>
      </c>
      <c r="F706" s="11">
        <v>48.1</v>
      </c>
      <c r="G706" s="11">
        <v>16000</v>
      </c>
      <c r="H706" s="12">
        <f>[1]!РЕАЛИЗАЦИЯ[СОНИ]*[1]!РЕАЛИЗАЦИЯ[НАРХИ]</f>
        <v>1390400</v>
      </c>
      <c r="I706" s="11"/>
      <c r="J706" s="13">
        <v>13000</v>
      </c>
      <c r="K706" s="11">
        <f>[1]!РЕАЛИЗАЦИЯ[[#This Row],[СОНИ]]*[1]!РЕАЛИЗАЦИЯ[[#This Row],[ТАННАРХ]]</f>
        <v>0</v>
      </c>
      <c r="L706" s="14">
        <f>[1]!РЕАЛИЗАЦИЯ[[#This Row],[ЖАМИ]]-[1]!РЕАЛИЗАЦИЯ[[#This Row],[ЖАМИ2]]</f>
        <v>1390400</v>
      </c>
      <c r="O706" s="30">
        <v>46130</v>
      </c>
      <c r="P706" s="31" t="s">
        <v>78</v>
      </c>
      <c r="Q706" s="13">
        <v>140000</v>
      </c>
      <c r="R706" s="13">
        <v>400</v>
      </c>
      <c r="S706" s="13">
        <v>12150</v>
      </c>
      <c r="T706" s="32">
        <f>[1]!ПЛАТЕЖИ[[#This Row],[СЎМ]]+([1]!ПЛАТЕЖИ[[#This Row],[ВАЛЮТА]]*[1]!ПЛАТЕЖИ[[#This Row],[КУРС]])</f>
        <v>10865300</v>
      </c>
      <c r="U706" s="31"/>
      <c r="V706" s="31"/>
    </row>
    <row r="707" spans="2:22" x14ac:dyDescent="0.25">
      <c r="B707" s="1">
        <v>46126</v>
      </c>
      <c r="C707" s="2" t="s">
        <v>107</v>
      </c>
      <c r="D707" s="3" t="s">
        <v>1</v>
      </c>
      <c r="E707" s="3" t="s">
        <v>2</v>
      </c>
      <c r="F707" s="4">
        <v>134.19999999999999</v>
      </c>
      <c r="G707" s="4">
        <v>21000</v>
      </c>
      <c r="H707" s="5">
        <f>[1]!РЕАЛИЗАЦИЯ[СОНИ]*[1]!РЕАЛИЗАЦИЯ[НАРХИ]</f>
        <v>909299.99999999988</v>
      </c>
      <c r="I707" s="4"/>
      <c r="J707" s="6">
        <v>19000</v>
      </c>
      <c r="K707" s="4">
        <f>[1]!РЕАЛИЗАЦИЯ[[#This Row],[СОНИ]]*[1]!РЕАЛИЗАЦИЯ[[#This Row],[ТАННАРХ]]</f>
        <v>0</v>
      </c>
      <c r="L707" s="7">
        <f>[1]!РЕАЛИЗАЦИЯ[[#This Row],[ЖАМИ]]-[1]!РЕАЛИЗАЦИЯ[[#This Row],[ЖАМИ2]]</f>
        <v>909299.99999999988</v>
      </c>
      <c r="O707" s="27">
        <v>46131</v>
      </c>
      <c r="P707" s="28" t="s">
        <v>42</v>
      </c>
      <c r="Q707" s="6">
        <v>1000000</v>
      </c>
      <c r="R707" s="6"/>
      <c r="S707" s="6"/>
      <c r="T707" s="29">
        <f>[1]!ПЛАТЕЖИ[[#This Row],[СЎМ]]+([1]!ПЛАТЕЖИ[[#This Row],[ВАЛЮТА]]*[1]!ПЛАТЕЖИ[[#This Row],[КУРС]])</f>
        <v>9697700</v>
      </c>
      <c r="U707" s="28"/>
      <c r="V707" s="28"/>
    </row>
    <row r="708" spans="2:22" x14ac:dyDescent="0.25">
      <c r="B708" s="8">
        <v>46126</v>
      </c>
      <c r="C708" s="9" t="s">
        <v>33</v>
      </c>
      <c r="D708" s="10" t="s">
        <v>1</v>
      </c>
      <c r="E708" s="10" t="s">
        <v>2</v>
      </c>
      <c r="F708" s="11">
        <v>202.7</v>
      </c>
      <c r="G708" s="11">
        <v>20500</v>
      </c>
      <c r="H708" s="12">
        <f>[1]!РЕАЛИЗАЦИЯ[СОНИ]*[1]!РЕАЛИЗАЦИЯ[НАРХИ]</f>
        <v>1115100</v>
      </c>
      <c r="I708" s="11"/>
      <c r="J708" s="13">
        <v>19000</v>
      </c>
      <c r="K708" s="11">
        <f>[1]!РЕАЛИЗАЦИЯ[[#This Row],[СОНИ]]*[1]!РЕАЛИЗАЦИЯ[[#This Row],[ТАННАРХ]]</f>
        <v>0</v>
      </c>
      <c r="L708" s="14">
        <f>[1]!РЕАЛИЗАЦИЯ[[#This Row],[ЖАМИ]]-[1]!РЕАЛИЗАЦИЯ[[#This Row],[ЖАМИ2]]</f>
        <v>1115100</v>
      </c>
      <c r="O708" s="30">
        <v>46131</v>
      </c>
      <c r="P708" s="31" t="s">
        <v>85</v>
      </c>
      <c r="Q708" s="13"/>
      <c r="R708" s="13">
        <v>100</v>
      </c>
      <c r="S708" s="13">
        <v>12100</v>
      </c>
      <c r="T708" s="32">
        <f>[1]!ПЛАТЕЖИ[[#This Row],[СЎМ]]+([1]!ПЛАТЕЖИ[[#This Row],[ВАЛЮТА]]*[1]!ПЛАТЕЖИ[[#This Row],[КУРС]])</f>
        <v>3332000</v>
      </c>
      <c r="U708" s="31"/>
      <c r="V708" s="31"/>
    </row>
    <row r="709" spans="2:22" x14ac:dyDescent="0.25">
      <c r="B709" s="1">
        <v>46126</v>
      </c>
      <c r="C709" s="2" t="s">
        <v>190</v>
      </c>
      <c r="D709" s="3" t="s">
        <v>1</v>
      </c>
      <c r="E709" s="3" t="s">
        <v>2</v>
      </c>
      <c r="F709" s="4">
        <v>43.5</v>
      </c>
      <c r="G709" s="4">
        <v>21000</v>
      </c>
      <c r="H709" s="5">
        <f>[1]!РЕАЛИЗАЦИЯ[СОНИ]*[1]!РЕАЛИЗАЦИЯ[НАРХИ]</f>
        <v>822400</v>
      </c>
      <c r="I709" s="4"/>
      <c r="J709" s="6">
        <v>19000</v>
      </c>
      <c r="K709" s="4">
        <f>[1]!РЕАЛИЗАЦИЯ[[#This Row],[СОНИ]]*[1]!РЕАЛИЗАЦИЯ[[#This Row],[ТАННАРХ]]</f>
        <v>0</v>
      </c>
      <c r="L709" s="7">
        <f>[1]!РЕАЛИЗАЦИЯ[[#This Row],[ЖАМИ]]-[1]!РЕАЛИЗАЦИЯ[[#This Row],[ЖАМИ2]]</f>
        <v>822400</v>
      </c>
      <c r="O709" s="27">
        <v>46131</v>
      </c>
      <c r="P709" s="28" t="s">
        <v>62</v>
      </c>
      <c r="Q709" s="6">
        <v>1039000</v>
      </c>
      <c r="R709" s="6"/>
      <c r="S709" s="6"/>
      <c r="T709" s="29">
        <f>[1]!ПЛАТЕЖИ[[#This Row],[СЎМ]]+([1]!ПЛАТЕЖИ[[#This Row],[ВАЛЮТА]]*[1]!ПЛАТЕЖИ[[#This Row],[КУРС]])</f>
        <v>608900</v>
      </c>
      <c r="U709" s="28"/>
      <c r="V709" s="28"/>
    </row>
    <row r="710" spans="2:22" x14ac:dyDescent="0.25">
      <c r="B710" s="8">
        <v>46126</v>
      </c>
      <c r="C710" s="9" t="s">
        <v>190</v>
      </c>
      <c r="D710" s="10" t="s">
        <v>10</v>
      </c>
      <c r="E710" s="10" t="s">
        <v>2</v>
      </c>
      <c r="F710" s="11">
        <v>48.8</v>
      </c>
      <c r="G710" s="11">
        <v>16000</v>
      </c>
      <c r="H710" s="12">
        <f>[1]!РЕАЛИЗАЦИЯ[СОНИ]*[1]!РЕАЛИЗАЦИЯ[НАРХИ]</f>
        <v>4095000</v>
      </c>
      <c r="I710" s="11"/>
      <c r="J710" s="13">
        <v>13000</v>
      </c>
      <c r="K710" s="11">
        <f>[1]!РЕАЛИЗАЦИЯ[[#This Row],[СОНИ]]*[1]!РЕАЛИЗАЦИЯ[[#This Row],[ТАННАРХ]]</f>
        <v>0</v>
      </c>
      <c r="L710" s="14">
        <f>[1]!РЕАЛИЗАЦИЯ[[#This Row],[ЖАМИ]]-[1]!РЕАЛИЗАЦИЯ[[#This Row],[ЖАМИ2]]</f>
        <v>4095000</v>
      </c>
      <c r="O710" s="30">
        <v>46131</v>
      </c>
      <c r="P710" s="31" t="s">
        <v>202</v>
      </c>
      <c r="Q710" s="13">
        <v>8000000</v>
      </c>
      <c r="R710" s="13"/>
      <c r="S710" s="13"/>
      <c r="T710" s="32">
        <f>[1]!ПЛАТЕЖИ[[#This Row],[СЎМ]]+([1]!ПЛАТЕЖИ[[#This Row],[ВАЛЮТА]]*[1]!ПЛАТЕЖИ[[#This Row],[КУРС]])</f>
        <v>3384600</v>
      </c>
      <c r="U710" s="31"/>
      <c r="V710" s="31"/>
    </row>
    <row r="711" spans="2:22" x14ac:dyDescent="0.25">
      <c r="B711" s="1">
        <v>46126</v>
      </c>
      <c r="C711" s="2" t="s">
        <v>14</v>
      </c>
      <c r="D711" s="3" t="s">
        <v>1</v>
      </c>
      <c r="E711" s="3" t="s">
        <v>2</v>
      </c>
      <c r="F711" s="4">
        <v>246.4</v>
      </c>
      <c r="G711" s="4">
        <v>20000</v>
      </c>
      <c r="H711" s="5">
        <f>[1]!РЕАЛИЗАЦИЯ[СОНИ]*[1]!РЕАЛИЗАЦИЯ[НАРХИ]</f>
        <v>4588500</v>
      </c>
      <c r="I711" s="4"/>
      <c r="J711" s="6">
        <v>19000</v>
      </c>
      <c r="K711" s="4">
        <f>[1]!РЕАЛИЗАЦИЯ[[#This Row],[СОНИ]]*[1]!РЕАЛИЗАЦИЯ[[#This Row],[ТАННАРХ]]</f>
        <v>0</v>
      </c>
      <c r="L711" s="7">
        <f>[1]!РЕАЛИЗАЦИЯ[[#This Row],[ЖАМИ]]-[1]!РЕАЛИЗАЦИЯ[[#This Row],[ЖАМИ2]]</f>
        <v>4588500</v>
      </c>
      <c r="O711" s="27">
        <v>46131</v>
      </c>
      <c r="P711" s="28" t="s">
        <v>22</v>
      </c>
      <c r="Q711" s="6">
        <v>1738000</v>
      </c>
      <c r="R711" s="6"/>
      <c r="S711" s="6"/>
      <c r="T711" s="29">
        <f>[1]!ПЛАТЕЖИ[[#This Row],[СЎМ]]+([1]!ПЛАТЕЖИ[[#This Row],[ВАЛЮТА]]*[1]!ПЛАТЕЖИ[[#This Row],[КУРС]])</f>
        <v>1865000</v>
      </c>
      <c r="U711" s="28"/>
      <c r="V711" s="3" t="s">
        <v>275</v>
      </c>
    </row>
    <row r="712" spans="2:22" x14ac:dyDescent="0.25">
      <c r="B712" s="8">
        <v>46126</v>
      </c>
      <c r="C712" s="9" t="s">
        <v>18</v>
      </c>
      <c r="D712" s="10" t="s">
        <v>1</v>
      </c>
      <c r="E712" s="10" t="s">
        <v>2</v>
      </c>
      <c r="F712" s="11">
        <v>101</v>
      </c>
      <c r="G712" s="11">
        <v>20500</v>
      </c>
      <c r="H712" s="12">
        <f>[1]!РЕАЛИЗАЦИЯ[СОНИ]*[1]!РЕАЛИЗАЦИЯ[НАРХИ]</f>
        <v>4151699.9999999995</v>
      </c>
      <c r="I712" s="11"/>
      <c r="J712" s="13">
        <v>19000</v>
      </c>
      <c r="K712" s="11">
        <f>[1]!РЕАЛИЗАЦИЯ[[#This Row],[СОНИ]]*[1]!РЕАЛИЗАЦИЯ[[#This Row],[ТАННАРХ]]</f>
        <v>0</v>
      </c>
      <c r="L712" s="14">
        <f>[1]!РЕАЛИЗАЦИЯ[[#This Row],[ЖАМИ]]-[1]!РЕАЛИЗАЦИЯ[[#This Row],[ЖАМИ2]]</f>
        <v>4151699.9999999995</v>
      </c>
      <c r="O712" s="30">
        <v>46131</v>
      </c>
      <c r="P712" s="31" t="s">
        <v>242</v>
      </c>
      <c r="Q712" s="13">
        <v>1950000</v>
      </c>
      <c r="R712" s="13"/>
      <c r="S712" s="13"/>
      <c r="T712" s="32">
        <f>[1]!ПЛАТЕЖИ[[#This Row],[СЎМ]]+([1]!ПЛАТЕЖИ[[#This Row],[ВАЛЮТА]]*[1]!ПЛАТЕЖИ[[#This Row],[КУРС]])</f>
        <v>3154000</v>
      </c>
      <c r="U712" s="31"/>
      <c r="V712" s="31"/>
    </row>
    <row r="713" spans="2:22" x14ac:dyDescent="0.25">
      <c r="B713" s="1">
        <v>46126</v>
      </c>
      <c r="C713" s="2" t="s">
        <v>48</v>
      </c>
      <c r="D713" s="3" t="s">
        <v>8</v>
      </c>
      <c r="E713" s="3" t="s">
        <v>2</v>
      </c>
      <c r="F713" s="4">
        <v>117.5</v>
      </c>
      <c r="G713" s="4">
        <v>21000</v>
      </c>
      <c r="H713" s="5">
        <f>[1]!РЕАЛИЗАЦИЯ[СОНИ]*[1]!РЕАЛИЗАЦИЯ[НАРХИ]</f>
        <v>1083600</v>
      </c>
      <c r="I713" s="4"/>
      <c r="J713" s="6">
        <v>20000</v>
      </c>
      <c r="K713" s="4">
        <f>[1]!РЕАЛИЗАЦИЯ[[#This Row],[СОНИ]]*[1]!РЕАЛИЗАЦИЯ[[#This Row],[ТАННАРХ]]</f>
        <v>0</v>
      </c>
      <c r="L713" s="7">
        <f>[1]!РЕАЛИЗАЦИЯ[[#This Row],[ЖАМИ]]-[1]!РЕАЛИЗАЦИЯ[[#This Row],[ЖАМИ2]]</f>
        <v>1083600</v>
      </c>
      <c r="O713" s="27">
        <v>46131</v>
      </c>
      <c r="P713" s="28" t="s">
        <v>89</v>
      </c>
      <c r="Q713" s="6">
        <v>10850000</v>
      </c>
      <c r="R713" s="6"/>
      <c r="S713" s="6"/>
      <c r="T713" s="29">
        <f>[1]!ПЛАТЕЖИ[[#This Row],[СЎМ]]+([1]!ПЛАТЕЖИ[[#This Row],[ВАЛЮТА]]*[1]!ПЛАТЕЖИ[[#This Row],[КУРС]])</f>
        <v>1734000</v>
      </c>
      <c r="U713" s="28"/>
      <c r="V713" s="3" t="s">
        <v>275</v>
      </c>
    </row>
    <row r="714" spans="2:22" x14ac:dyDescent="0.25">
      <c r="B714" s="8">
        <v>46126</v>
      </c>
      <c r="C714" s="9" t="s">
        <v>122</v>
      </c>
      <c r="D714" s="10" t="s">
        <v>1</v>
      </c>
      <c r="E714" s="10" t="s">
        <v>2</v>
      </c>
      <c r="F714" s="11">
        <v>286.5</v>
      </c>
      <c r="G714" s="11">
        <v>20500</v>
      </c>
      <c r="H714" s="12">
        <f>[1]!РЕАЛИЗАЦИЯ[СОНИ]*[1]!РЕАЛИЗАЦИЯ[НАРХИ]</f>
        <v>3150000</v>
      </c>
      <c r="I714" s="11"/>
      <c r="J714" s="13">
        <v>19000</v>
      </c>
      <c r="K714" s="11">
        <f>[1]!РЕАЛИЗАЦИЯ[[#This Row],[СОНИ]]*[1]!РЕАЛИЗАЦИЯ[[#This Row],[ТАННАРХ]]</f>
        <v>0</v>
      </c>
      <c r="L714" s="14">
        <f>[1]!РЕАЛИЗАЦИЯ[[#This Row],[ЖАМИ]]-[1]!РЕАЛИЗАЦИЯ[[#This Row],[ЖАМИ2]]</f>
        <v>3150000</v>
      </c>
      <c r="O714" s="34">
        <v>46133</v>
      </c>
      <c r="P714" s="31" t="s">
        <v>23</v>
      </c>
      <c r="Q714" s="13">
        <v>2145600</v>
      </c>
      <c r="R714" s="13"/>
      <c r="S714" s="13"/>
      <c r="T714" s="32">
        <f>[1]!ПЛАТЕЖИ[[#This Row],[СЎМ]]+([1]!ПЛАТЕЖИ[[#This Row],[ВАЛЮТА]]*[1]!ПЛАТЕЖИ[[#This Row],[КУРС]])</f>
        <v>3000000</v>
      </c>
      <c r="U714" s="31"/>
      <c r="V714" s="31"/>
    </row>
    <row r="715" spans="2:22" x14ac:dyDescent="0.25">
      <c r="B715" s="1">
        <v>46126</v>
      </c>
      <c r="C715" s="2" t="s">
        <v>15</v>
      </c>
      <c r="D715" s="3" t="s">
        <v>1</v>
      </c>
      <c r="E715" s="3" t="s">
        <v>2</v>
      </c>
      <c r="F715" s="4">
        <v>58.8</v>
      </c>
      <c r="G715" s="4">
        <v>22000</v>
      </c>
      <c r="H715" s="5">
        <f>[1]!РЕАЛИЗАЦИЯ[СОНИ]*[1]!РЕАЛИЗАЦИЯ[НАРХИ]</f>
        <v>1024799.9999999999</v>
      </c>
      <c r="I715" s="4"/>
      <c r="J715" s="6">
        <v>19000</v>
      </c>
      <c r="K715" s="4">
        <f>[1]!РЕАЛИЗАЦИЯ[[#This Row],[СОНИ]]*[1]!РЕАЛИЗАЦИЯ[[#This Row],[ТАННАРХ]]</f>
        <v>0</v>
      </c>
      <c r="L715" s="7">
        <f>[1]!РЕАЛИЗАЦИЯ[[#This Row],[ЖАМИ]]-[1]!РЕАЛИЗАЦИЯ[[#This Row],[ЖАМИ2]]</f>
        <v>1024799.9999999999</v>
      </c>
      <c r="O715" s="27">
        <v>46133</v>
      </c>
      <c r="P715" s="28" t="s">
        <v>150</v>
      </c>
      <c r="Q715" s="6">
        <v>1345000</v>
      </c>
      <c r="R715" s="6"/>
      <c r="S715" s="6"/>
      <c r="T715" s="29">
        <f>[1]!ПЛАТЕЖИ[[#This Row],[СЎМ]]+([1]!ПЛАТЕЖИ[[#This Row],[ВАЛЮТА]]*[1]!ПЛАТЕЖИ[[#This Row],[КУРС]])</f>
        <v>700000</v>
      </c>
      <c r="U715" s="28"/>
      <c r="V715" s="28"/>
    </row>
    <row r="716" spans="2:22" x14ac:dyDescent="0.25">
      <c r="B716" s="8">
        <v>46127</v>
      </c>
      <c r="C716" s="9" t="s">
        <v>234</v>
      </c>
      <c r="D716" s="10" t="s">
        <v>1</v>
      </c>
      <c r="E716" s="10" t="s">
        <v>2</v>
      </c>
      <c r="F716" s="11">
        <v>98.7</v>
      </c>
      <c r="G716" s="11">
        <v>21000</v>
      </c>
      <c r="H716" s="12">
        <f>[1]!РЕАЛИЗАЦИЯ[СОНИ]*[1]!РЕАЛИЗАЦИЯ[НАРХИ]</f>
        <v>4691400</v>
      </c>
      <c r="I716" s="11"/>
      <c r="J716" s="13">
        <v>19000</v>
      </c>
      <c r="K716" s="11">
        <f>[1]!РЕАЛИЗАЦИЯ[[#This Row],[СОНИ]]*[1]!РЕАЛИЗАЦИЯ[[#This Row],[ТАННАРХ]]</f>
        <v>0</v>
      </c>
      <c r="L716" s="14">
        <f>[1]!РЕАЛИЗАЦИЯ[[#This Row],[ЖАМИ]]-[1]!РЕАЛИЗАЦИЯ[[#This Row],[ЖАМИ2]]</f>
        <v>4691400</v>
      </c>
      <c r="O716" s="30">
        <v>46133</v>
      </c>
      <c r="P716" s="31" t="s">
        <v>233</v>
      </c>
      <c r="Q716" s="13">
        <v>1300000</v>
      </c>
      <c r="R716" s="13"/>
      <c r="S716" s="13"/>
      <c r="T716" s="32">
        <f>[1]!ПЛАТЕЖИ[[#This Row],[СЎМ]]+([1]!ПЛАТЕЖИ[[#This Row],[ВАЛЮТА]]*[1]!ПЛАТЕЖИ[[#This Row],[КУРС]])</f>
        <v>13462400</v>
      </c>
      <c r="U716" s="31"/>
      <c r="V716" s="31"/>
    </row>
    <row r="717" spans="2:22" x14ac:dyDescent="0.25">
      <c r="B717" s="1">
        <v>46127</v>
      </c>
      <c r="C717" s="2" t="s">
        <v>150</v>
      </c>
      <c r="D717" s="3" t="s">
        <v>10</v>
      </c>
      <c r="E717" s="3" t="s">
        <v>2</v>
      </c>
      <c r="F717" s="4">
        <v>51.7</v>
      </c>
      <c r="G717" s="4">
        <v>16000</v>
      </c>
      <c r="H717" s="5">
        <f>[1]!РЕАЛИЗАЦИЯ[СОНИ]*[1]!РЕАЛИЗАЦИЯ[НАРХИ]</f>
        <v>2060099.9999999998</v>
      </c>
      <c r="I717" s="4"/>
      <c r="J717" s="6">
        <v>13000</v>
      </c>
      <c r="K717" s="4">
        <f>[1]!РЕАЛИЗАЦИЯ[[#This Row],[СОНИ]]*[1]!РЕАЛИЗАЦИЯ[[#This Row],[ТАННАРХ]]</f>
        <v>0</v>
      </c>
      <c r="L717" s="7">
        <f>[1]!РЕАЛИЗАЦИЯ[[#This Row],[ЖАМИ]]-[1]!РЕАЛИЗАЦИЯ[[#This Row],[ЖАМИ2]]</f>
        <v>2060099.9999999998</v>
      </c>
      <c r="O717" s="27">
        <v>46133</v>
      </c>
      <c r="P717" s="28" t="s">
        <v>82</v>
      </c>
      <c r="Q717" s="6">
        <v>1106300</v>
      </c>
      <c r="R717" s="6"/>
      <c r="S717" s="6"/>
      <c r="T717" s="29">
        <f>[1]!ПЛАТЕЖИ[[#This Row],[СЎМ]]+([1]!ПЛАТЕЖИ[[#This Row],[ВАЛЮТА]]*[1]!ПЛАТЕЖИ[[#This Row],[КУРС]])</f>
        <v>2068000</v>
      </c>
      <c r="U717" s="28"/>
      <c r="V717" s="28"/>
    </row>
    <row r="718" spans="2:22" x14ac:dyDescent="0.25">
      <c r="B718" s="8">
        <v>46127</v>
      </c>
      <c r="C718" s="9" t="s">
        <v>150</v>
      </c>
      <c r="D718" s="10" t="s">
        <v>29</v>
      </c>
      <c r="E718" s="10" t="s">
        <v>2</v>
      </c>
      <c r="F718" s="11">
        <v>44.7</v>
      </c>
      <c r="G718" s="11">
        <v>18000</v>
      </c>
      <c r="H718" s="12">
        <f>[1]!РЕАЛИЗАЦИЯ[СОНИ]*[1]!РЕАЛИЗАЦИЯ[НАРХИ]</f>
        <v>10112650</v>
      </c>
      <c r="I718" s="11"/>
      <c r="J718" s="13">
        <v>16000</v>
      </c>
      <c r="K718" s="11">
        <f>[1]!РЕАЛИЗАЦИЯ[[#This Row],[СОНИ]]*[1]!РЕАЛИЗАЦИЯ[[#This Row],[ТАННАРХ]]</f>
        <v>0</v>
      </c>
      <c r="L718" s="14">
        <f>[1]!РЕАЛИЗАЦИЯ[[#This Row],[ЖАМИ]]-[1]!РЕАЛИЗАЦИЯ[[#This Row],[ЖАМИ2]]</f>
        <v>10112650</v>
      </c>
      <c r="O718" s="30">
        <v>46133</v>
      </c>
      <c r="P718" s="31" t="s">
        <v>48</v>
      </c>
      <c r="Q718" s="13">
        <v>11000000</v>
      </c>
      <c r="R718" s="13"/>
      <c r="S718" s="13"/>
      <c r="T718" s="32">
        <f>[1]!ПЛАТЕЖИ[[#This Row],[СЎМ]]+([1]!ПЛАТЕЖИ[[#This Row],[ВАЛЮТА]]*[1]!ПЛАТЕЖИ[[#This Row],[КУРС]])</f>
        <v>1035250</v>
      </c>
      <c r="U718" s="31"/>
      <c r="V718" s="31"/>
    </row>
    <row r="719" spans="2:22" x14ac:dyDescent="0.25">
      <c r="B719" s="1">
        <v>46127</v>
      </c>
      <c r="C719" s="2" t="s">
        <v>150</v>
      </c>
      <c r="D719" s="3" t="s">
        <v>1</v>
      </c>
      <c r="E719" s="3" t="s">
        <v>2</v>
      </c>
      <c r="F719" s="4">
        <v>51.1</v>
      </c>
      <c r="G719" s="4">
        <v>21000</v>
      </c>
      <c r="H719" s="5">
        <f>[1]!РЕАЛИЗАЦИЯ[СОНИ]*[1]!РЕАЛИЗАЦИЯ[НАРХИ]</f>
        <v>1037400</v>
      </c>
      <c r="I719" s="4"/>
      <c r="J719" s="6">
        <v>19000</v>
      </c>
      <c r="K719" s="4">
        <f>[1]!РЕАЛИЗАЦИЯ[[#This Row],[СОНИ]]*[1]!РЕАЛИЗАЦИЯ[[#This Row],[ТАННАРХ]]</f>
        <v>0</v>
      </c>
      <c r="L719" s="7">
        <f>[1]!РЕАЛИЗАЦИЯ[[#This Row],[ЖАМИ]]-[1]!РЕАЛИЗАЦИЯ[[#This Row],[ЖАМИ2]]</f>
        <v>1037400</v>
      </c>
      <c r="O719" s="27">
        <v>46133</v>
      </c>
      <c r="P719" s="28" t="s">
        <v>89</v>
      </c>
      <c r="Q719" s="6">
        <v>16000000</v>
      </c>
      <c r="R719" s="6"/>
      <c r="S719" s="6"/>
      <c r="T719" s="29">
        <f>[1]!ПЛАТЕЖИ[[#This Row],[СЎМ]]+([1]!ПЛАТЕЖИ[[#This Row],[ВАЛЮТА]]*[1]!ПЛАТЕЖИ[[#This Row],[КУРС]])</f>
        <v>2560000</v>
      </c>
      <c r="U719" s="28"/>
      <c r="V719" s="28"/>
    </row>
    <row r="720" spans="2:22" x14ac:dyDescent="0.25">
      <c r="B720" s="8">
        <v>46127</v>
      </c>
      <c r="C720" s="9" t="s">
        <v>235</v>
      </c>
      <c r="D720" s="10" t="s">
        <v>10</v>
      </c>
      <c r="E720" s="10" t="s">
        <v>2</v>
      </c>
      <c r="F720" s="11">
        <v>47.2</v>
      </c>
      <c r="G720" s="11">
        <v>16000</v>
      </c>
      <c r="H720" s="12">
        <f>[1]!РЕАЛИЗАЦИЯ[СОНИ]*[1]!РЕАЛИЗАЦИЯ[НАРХИ]</f>
        <v>3539250</v>
      </c>
      <c r="I720" s="11"/>
      <c r="J720" s="13">
        <v>13000</v>
      </c>
      <c r="K720" s="11">
        <f>[1]!РЕАЛИЗАЦИЯ[[#This Row],[СОНИ]]*[1]!РЕАЛИЗАЦИЯ[[#This Row],[ТАННАРХ]]</f>
        <v>0</v>
      </c>
      <c r="L720" s="14">
        <f>[1]!РЕАЛИЗАЦИЯ[[#This Row],[ЖАМИ]]-[1]!РЕАЛИЗАЦИЯ[[#This Row],[ЖАМИ2]]</f>
        <v>3539250</v>
      </c>
      <c r="O720" s="30">
        <v>46133</v>
      </c>
      <c r="P720" s="31" t="s">
        <v>230</v>
      </c>
      <c r="Q720" s="13">
        <v>1509000</v>
      </c>
      <c r="R720" s="13"/>
      <c r="S720" s="13"/>
      <c r="T720" s="32">
        <f>[1]!ПЛАТЕЖИ[[#This Row],[СЎМ]]+([1]!ПЛАТЕЖИ[[#This Row],[ВАЛЮТА]]*[1]!ПЛАТЕЖИ[[#This Row],[КУРС]])</f>
        <v>1898900</v>
      </c>
      <c r="U720" s="31"/>
      <c r="V720" s="31"/>
    </row>
    <row r="721" spans="2:22" x14ac:dyDescent="0.25">
      <c r="B721" s="1">
        <v>46127</v>
      </c>
      <c r="C721" s="2" t="s">
        <v>19</v>
      </c>
      <c r="D721" s="3" t="s">
        <v>1</v>
      </c>
      <c r="E721" s="3" t="s">
        <v>2</v>
      </c>
      <c r="F721" s="4">
        <v>93.8</v>
      </c>
      <c r="G721" s="4">
        <v>21000</v>
      </c>
      <c r="H721" s="5">
        <f>[1]!РЕАЛИЗАЦИЯ[СОНИ]*[1]!РЕАЛИЗАЦИЯ[НАРХИ]</f>
        <v>23259900</v>
      </c>
      <c r="I721" s="4"/>
      <c r="J721" s="6">
        <v>19000</v>
      </c>
      <c r="K721" s="4">
        <f>[1]!РЕАЛИЗАЦИЯ[[#This Row],[СОНИ]]*[1]!РЕАЛИЗАЦИЯ[[#This Row],[ТАННАРХ]]</f>
        <v>20454553800</v>
      </c>
      <c r="L721" s="7">
        <f>[1]!РЕАЛИЗАЦИЯ[[#This Row],[ЖАМИ]]-[1]!РЕАЛИЗАЦИЯ[[#This Row],[ЖАМИ2]]</f>
        <v>23258888.699999999</v>
      </c>
      <c r="O721" s="27">
        <v>46133</v>
      </c>
      <c r="P721" s="28" t="s">
        <v>28</v>
      </c>
      <c r="Q721" s="6">
        <v>790000</v>
      </c>
      <c r="R721" s="6">
        <v>100</v>
      </c>
      <c r="S721" s="6">
        <v>12100</v>
      </c>
      <c r="T721" s="29">
        <f>[1]!ПЛАТЕЖИ[[#This Row],[СЎМ]]+([1]!ПЛАТЕЖИ[[#This Row],[ВАЛЮТА]]*[1]!ПЛАТЕЖИ[[#This Row],[КУРС]])</f>
        <v>5548000</v>
      </c>
      <c r="U721" s="28"/>
      <c r="V721" s="28"/>
    </row>
    <row r="722" spans="2:22" x14ac:dyDescent="0.25">
      <c r="B722" s="8">
        <v>46127</v>
      </c>
      <c r="C722" s="9" t="s">
        <v>60</v>
      </c>
      <c r="D722" s="10" t="s">
        <v>1</v>
      </c>
      <c r="E722" s="10" t="s">
        <v>2</v>
      </c>
      <c r="F722" s="11">
        <v>613.1</v>
      </c>
      <c r="G722" s="11">
        <v>20500</v>
      </c>
      <c r="H722" s="12">
        <f>[1]!РЕАЛИЗАЦИЯ[СОНИ]*[1]!РЕАЛИЗАЦИЯ[НАРХИ]</f>
        <v>954000</v>
      </c>
      <c r="I722" s="11"/>
      <c r="J722" s="13">
        <v>19000</v>
      </c>
      <c r="K722" s="11">
        <f>[1]!РЕАЛИЗАЦИЯ[[#This Row],[СОНИ]]*[1]!РЕАЛИЗАЦИЯ[[#This Row],[ТАННАРХ]]</f>
        <v>0</v>
      </c>
      <c r="L722" s="14">
        <f>[1]!РЕАЛИЗАЦИЯ[[#This Row],[ЖАМИ]]-[1]!РЕАЛИЗАЦИЯ[[#This Row],[ЖАМИ2]]</f>
        <v>954000</v>
      </c>
      <c r="O722" s="30">
        <v>46133</v>
      </c>
      <c r="P722" s="31" t="s">
        <v>58</v>
      </c>
      <c r="Q722" s="13">
        <v>560000</v>
      </c>
      <c r="R722" s="13"/>
      <c r="S722" s="13"/>
      <c r="T722" s="32">
        <f>[1]!ПЛАТЕЖИ[[#This Row],[СЎМ]]+([1]!ПЛАТЕЖИ[[#This Row],[ВАЛЮТА]]*[1]!ПЛАТЕЖИ[[#This Row],[КУРС]])</f>
        <v>5323000</v>
      </c>
      <c r="U722" s="31"/>
      <c r="V722" s="31"/>
    </row>
    <row r="723" spans="2:22" x14ac:dyDescent="0.25">
      <c r="B723" s="1">
        <v>46127</v>
      </c>
      <c r="C723" s="2" t="s">
        <v>131</v>
      </c>
      <c r="D723" s="3" t="s">
        <v>1</v>
      </c>
      <c r="E723" s="3" t="s">
        <v>2</v>
      </c>
      <c r="F723" s="4">
        <v>893.6</v>
      </c>
      <c r="G723" s="4">
        <v>20500</v>
      </c>
      <c r="H723" s="5">
        <f>[1]!РЕАЛИЗАЦИЯ[СОНИ]*[1]!РЕАЛИЗАЦИЯ[НАРХИ]</f>
        <v>1324500</v>
      </c>
      <c r="I723" s="4"/>
      <c r="J723" s="6">
        <v>19000</v>
      </c>
      <c r="K723" s="4">
        <f>[1]!РЕАЛИЗАЦИЯ[[#This Row],[СОНИ]]*[1]!РЕАЛИЗАЦИЯ[[#This Row],[ТАННАРХ]]</f>
        <v>0</v>
      </c>
      <c r="L723" s="7">
        <f>[1]!РЕАЛИЗАЦИЯ[[#This Row],[ЖАМИ]]-[1]!РЕАЛИЗАЦИЯ[[#This Row],[ЖАМИ2]]</f>
        <v>1324500</v>
      </c>
      <c r="O723" s="27">
        <v>46133</v>
      </c>
      <c r="P723" s="28" t="s">
        <v>221</v>
      </c>
      <c r="Q723" s="6">
        <v>1400000</v>
      </c>
      <c r="R723" s="6"/>
      <c r="S723" s="6"/>
      <c r="T723" s="29">
        <f>[1]!ПЛАТЕЖИ[[#This Row],[СЎМ]]+([1]!ПЛАТЕЖИ[[#This Row],[ВАЛЮТА]]*[1]!ПЛАТЕЖИ[[#This Row],[КУРС]])</f>
        <v>2138000</v>
      </c>
      <c r="U723" s="28"/>
      <c r="V723" s="3" t="s">
        <v>279</v>
      </c>
    </row>
    <row r="724" spans="2:22" x14ac:dyDescent="0.25">
      <c r="B724" s="8">
        <v>46127</v>
      </c>
      <c r="C724" s="9" t="s">
        <v>167</v>
      </c>
      <c r="D724" s="10" t="s">
        <v>1</v>
      </c>
      <c r="E724" s="10" t="s">
        <v>2</v>
      </c>
      <c r="F724" s="11">
        <v>105</v>
      </c>
      <c r="G724" s="11">
        <v>20500</v>
      </c>
      <c r="H724" s="12">
        <f>[1]!РЕАЛИЗАЦИЯ[СОНИ]*[1]!РЕАЛИЗАЦИЯ[НАРХИ]</f>
        <v>3077100</v>
      </c>
      <c r="I724" s="11"/>
      <c r="J724" s="13">
        <v>19000</v>
      </c>
      <c r="K724" s="11">
        <f>[1]!РЕАЛИЗАЦИЯ[[#This Row],[СОНИ]]*[1]!РЕАЛИЗАЦИЯ[[#This Row],[ТАННАРХ]]</f>
        <v>0</v>
      </c>
      <c r="L724" s="14">
        <f>[1]!РЕАЛИЗАЦИЯ[[#This Row],[ЖАМИ]]-[1]!РЕАЛИЗАЦИЯ[[#This Row],[ЖАМИ2]]</f>
        <v>3077100</v>
      </c>
      <c r="O724" s="30">
        <v>46133</v>
      </c>
      <c r="P724" s="31" t="s">
        <v>60</v>
      </c>
      <c r="Q724" s="13">
        <v>10000000</v>
      </c>
      <c r="R724" s="13"/>
      <c r="S724" s="13"/>
      <c r="T724" s="32">
        <f>[1]!ПЛАТЕЖИ[[#This Row],[СЎМ]]+([1]!ПЛАТЕЖИ[[#This Row],[ВАЛЮТА]]*[1]!ПЛАТЕЖИ[[#This Row],[КУРС]])</f>
        <v>1801800</v>
      </c>
      <c r="U724" s="31"/>
      <c r="V724" s="10" t="s">
        <v>279</v>
      </c>
    </row>
    <row r="725" spans="2:22" x14ac:dyDescent="0.25">
      <c r="B725" s="1">
        <v>46127</v>
      </c>
      <c r="C725" s="2" t="s">
        <v>17</v>
      </c>
      <c r="D725" s="3" t="s">
        <v>1</v>
      </c>
      <c r="E725" s="3" t="s">
        <v>2</v>
      </c>
      <c r="F725" s="4">
        <v>102</v>
      </c>
      <c r="G725" s="4">
        <v>21000</v>
      </c>
      <c r="H725" s="5">
        <f>[1]!РЕАЛИЗАЦИЯ[СОНИ]*[1]!РЕАЛИЗАЦИЯ[НАРХИ]</f>
        <v>1593200</v>
      </c>
      <c r="I725" s="4"/>
      <c r="J725" s="6">
        <v>19000</v>
      </c>
      <c r="K725" s="4">
        <f>[1]!РЕАЛИЗАЦИЯ[[#This Row],[СОНИ]]*[1]!РЕАЛИЗАЦИЯ[[#This Row],[ТАННАРХ]]</f>
        <v>0</v>
      </c>
      <c r="L725" s="7">
        <f>[1]!РЕАЛИЗАЦИЯ[[#This Row],[ЖАМИ]]-[1]!РЕАЛИЗАЦИЯ[[#This Row],[ЖАМИ2]]</f>
        <v>1593200</v>
      </c>
      <c r="O725" s="27">
        <v>46133</v>
      </c>
      <c r="P725" s="28" t="s">
        <v>134</v>
      </c>
      <c r="Q725" s="6">
        <v>5000000</v>
      </c>
      <c r="R725" s="6"/>
      <c r="S725" s="6"/>
      <c r="T725" s="29">
        <f>[1]!ПЛАТЕЖИ[[#This Row],[СЎМ]]+([1]!ПЛАТЕЖИ[[#This Row],[ВАЛЮТА]]*[1]!ПЛАТЕЖИ[[#This Row],[КУРС]])</f>
        <v>4300000</v>
      </c>
      <c r="U725" s="28"/>
      <c r="V725" s="3" t="s">
        <v>279</v>
      </c>
    </row>
    <row r="726" spans="2:22" x14ac:dyDescent="0.25">
      <c r="B726" s="8">
        <v>46127</v>
      </c>
      <c r="C726" s="9" t="s">
        <v>17</v>
      </c>
      <c r="D726" s="10" t="s">
        <v>10</v>
      </c>
      <c r="E726" s="10" t="s">
        <v>2</v>
      </c>
      <c r="F726" s="11">
        <v>51.5</v>
      </c>
      <c r="G726" s="11">
        <v>16000</v>
      </c>
      <c r="H726" s="12">
        <f>[1]!РЕАЛИЗАЦИЯ[СОНИ]*[1]!РЕАЛИЗАЦИЯ[НАРХИ]</f>
        <v>3733800.0000000005</v>
      </c>
      <c r="I726" s="11"/>
      <c r="J726" s="13">
        <v>13000</v>
      </c>
      <c r="K726" s="11">
        <f>[1]!РЕАЛИЗАЦИЯ[[#This Row],[СОНИ]]*[1]!РЕАЛИЗАЦИЯ[[#This Row],[ТАННАРХ]]</f>
        <v>0</v>
      </c>
      <c r="L726" s="14">
        <f>[1]!РЕАЛИЗАЦИЯ[[#This Row],[ЖАМИ]]-[1]!РЕАЛИЗАЦИЯ[[#This Row],[ЖАМИ2]]</f>
        <v>3733800.0000000005</v>
      </c>
      <c r="O726" s="30">
        <v>46133</v>
      </c>
      <c r="P726" s="31" t="s">
        <v>129</v>
      </c>
      <c r="Q726" s="13">
        <v>3969000</v>
      </c>
      <c r="R726" s="13"/>
      <c r="S726" s="13"/>
      <c r="T726" s="32">
        <f>[1]!ПЛАТЕЖИ[[#This Row],[СЎМ]]+([1]!ПЛАТЕЖИ[[#This Row],[ВАЛЮТА]]*[1]!ПЛАТЕЖИ[[#This Row],[КУРС]])</f>
        <v>1040000</v>
      </c>
      <c r="U726" s="31"/>
      <c r="V726" s="31"/>
    </row>
    <row r="727" spans="2:22" x14ac:dyDescent="0.25">
      <c r="B727" s="1">
        <v>46128</v>
      </c>
      <c r="C727" s="2" t="s">
        <v>137</v>
      </c>
      <c r="D727" s="3" t="s">
        <v>1</v>
      </c>
      <c r="E727" s="3" t="s">
        <v>2</v>
      </c>
      <c r="F727" s="4">
        <v>205.8</v>
      </c>
      <c r="G727" s="4">
        <v>20000</v>
      </c>
      <c r="H727" s="5">
        <f>[1]!РЕАЛИЗАЦИЯ[СОНИ]*[1]!РЕАЛИЗАЦИЯ[НАРХИ]</f>
        <v>999600</v>
      </c>
      <c r="I727" s="4"/>
      <c r="J727" s="6">
        <v>19000</v>
      </c>
      <c r="K727" s="4">
        <f>[1]!РЕАЛИЗАЦИЯ[[#This Row],[СОНИ]]*[1]!РЕАЛИЗАЦИЯ[[#This Row],[ТАННАРХ]]</f>
        <v>0</v>
      </c>
      <c r="L727" s="7">
        <f>[1]!РЕАЛИЗАЦИЯ[[#This Row],[ЖАМИ]]-[1]!РЕАЛИЗАЦИЯ[[#This Row],[ЖАМИ2]]</f>
        <v>999600</v>
      </c>
      <c r="O727" s="27">
        <v>46133</v>
      </c>
      <c r="P727" s="28" t="s">
        <v>240</v>
      </c>
      <c r="Q727" s="6">
        <v>3979700</v>
      </c>
      <c r="R727" s="6"/>
      <c r="S727" s="6"/>
      <c r="T727" s="29">
        <f>[1]!ПЛАТЕЖИ[[#This Row],[СЎМ]]+([1]!ПЛАТЕЖИ[[#This Row],[ВАЛЮТА]]*[1]!ПЛАТЕЖИ[[#This Row],[КУРС]])</f>
        <v>915600</v>
      </c>
      <c r="U727" s="28"/>
      <c r="V727" s="3" t="s">
        <v>279</v>
      </c>
    </row>
    <row r="728" spans="2:22" x14ac:dyDescent="0.25">
      <c r="B728" s="8">
        <v>46128</v>
      </c>
      <c r="C728" s="9" t="s">
        <v>137</v>
      </c>
      <c r="D728" s="10" t="s">
        <v>10</v>
      </c>
      <c r="E728" s="10" t="s">
        <v>2</v>
      </c>
      <c r="F728" s="11">
        <v>103.8</v>
      </c>
      <c r="G728" s="11">
        <v>14500</v>
      </c>
      <c r="H728" s="12">
        <f>[1]!РЕАЛИЗАЦИЯ[СОНИ]*[1]!РЕАЛИЗАЦИЯ[НАРХИ]</f>
        <v>2068500</v>
      </c>
      <c r="I728" s="11"/>
      <c r="J728" s="13">
        <v>13000</v>
      </c>
      <c r="K728" s="11">
        <f>[1]!РЕАЛИЗАЦИЯ[[#This Row],[СОНИ]]*[1]!РЕАЛИЗАЦИЯ[[#This Row],[ТАННАРХ]]</f>
        <v>0</v>
      </c>
      <c r="L728" s="14">
        <f>[1]!РЕАЛИЗАЦИЯ[[#This Row],[ЖАМИ]]-[1]!РЕАЛИЗАЦИЯ[[#This Row],[ЖАМИ2]]</f>
        <v>2068500</v>
      </c>
      <c r="O728" s="30">
        <v>46133</v>
      </c>
      <c r="P728" s="31" t="s">
        <v>50</v>
      </c>
      <c r="Q728" s="13">
        <v>1000000</v>
      </c>
      <c r="R728" s="13"/>
      <c r="S728" s="13"/>
      <c r="T728" s="32">
        <f>[1]!ПЛАТЕЖИ[[#This Row],[СЎМ]]+([1]!ПЛАТЕЖИ[[#This Row],[ВАЛЮТА]]*[1]!ПЛАТЕЖИ[[#This Row],[КУРС]])</f>
        <v>902400</v>
      </c>
      <c r="U728" s="31"/>
      <c r="V728" s="10" t="s">
        <v>275</v>
      </c>
    </row>
    <row r="729" spans="2:22" x14ac:dyDescent="0.25">
      <c r="B729" s="1">
        <v>46128</v>
      </c>
      <c r="C729" s="2" t="s">
        <v>217</v>
      </c>
      <c r="D729" s="3" t="s">
        <v>1</v>
      </c>
      <c r="E729" s="3" t="s">
        <v>2</v>
      </c>
      <c r="F729" s="4">
        <v>48.2</v>
      </c>
      <c r="G729" s="4">
        <v>20000</v>
      </c>
      <c r="H729" s="5">
        <f>[1]!РЕАЛИЗАЦИЯ[СОНИ]*[1]!РЕАЛИЗАЦИЯ[НАРХИ]</f>
        <v>3055500</v>
      </c>
      <c r="I729" s="4"/>
      <c r="J729" s="6">
        <v>19000</v>
      </c>
      <c r="K729" s="4">
        <f>[1]!РЕАЛИЗАЦИЯ[[#This Row],[СОНИ]]*[1]!РЕАЛИЗАЦИЯ[[#This Row],[ТАННАРХ]]</f>
        <v>0</v>
      </c>
      <c r="L729" s="7">
        <f>[1]!РЕАЛИЗАЦИЯ[[#This Row],[ЖАМИ]]-[1]!РЕАЛИЗАЦИЯ[[#This Row],[ЖАМИ2]]</f>
        <v>3055500</v>
      </c>
      <c r="O729" s="27">
        <v>46133</v>
      </c>
      <c r="P729" s="28" t="s">
        <v>109</v>
      </c>
      <c r="Q729" s="6">
        <v>662205</v>
      </c>
      <c r="R729" s="6"/>
      <c r="S729" s="6"/>
      <c r="T729" s="29">
        <f>[1]!ПЛАТЕЖИ[[#This Row],[СЎМ]]+([1]!ПЛАТЕЖИ[[#This Row],[ВАЛЮТА]]*[1]!ПЛАТЕЖИ[[#This Row],[КУРС]])</f>
        <v>951300</v>
      </c>
      <c r="U729" s="28"/>
      <c r="V729" s="3" t="s">
        <v>275</v>
      </c>
    </row>
    <row r="730" spans="2:22" x14ac:dyDescent="0.25">
      <c r="B730" s="8">
        <v>46128</v>
      </c>
      <c r="C730" s="9" t="s">
        <v>236</v>
      </c>
      <c r="D730" s="10" t="s">
        <v>1</v>
      </c>
      <c r="E730" s="10" t="s">
        <v>2</v>
      </c>
      <c r="F730" s="11">
        <v>93.8</v>
      </c>
      <c r="G730" s="11">
        <v>20000</v>
      </c>
      <c r="H730" s="12">
        <f>[1]!РЕАЛИЗАЦИЯ[СОНИ]*[1]!РЕАЛИЗАЦИЯ[НАРХИ]</f>
        <v>598400</v>
      </c>
      <c r="I730" s="11"/>
      <c r="J730" s="13">
        <v>19000</v>
      </c>
      <c r="K730" s="11">
        <f>[1]!РЕАЛИЗАЦИЯ[[#This Row],[СОНИ]]*[1]!РЕАЛИЗАЦИЯ[[#This Row],[ТАННАРХ]]</f>
        <v>0</v>
      </c>
      <c r="L730" s="14">
        <f>[1]!РЕАЛИЗАЦИЯ[[#This Row],[ЖАМИ]]-[1]!РЕАЛИЗАЦИЯ[[#This Row],[ЖАМИ2]]</f>
        <v>598400</v>
      </c>
      <c r="O730" s="30">
        <v>46133</v>
      </c>
      <c r="P730" s="31" t="s">
        <v>198</v>
      </c>
      <c r="Q730" s="13">
        <v>704600</v>
      </c>
      <c r="R730" s="13"/>
      <c r="S730" s="13"/>
      <c r="T730" s="32">
        <f>[1]!ПЛАТЕЖИ[[#This Row],[СЎМ]]+([1]!ПЛАТЕЖИ[[#This Row],[ВАЛЮТА]]*[1]!ПЛАТЕЖИ[[#This Row],[КУРС]])</f>
        <v>1079400</v>
      </c>
      <c r="U730" s="31"/>
      <c r="V730" s="10" t="s">
        <v>275</v>
      </c>
    </row>
    <row r="731" spans="2:22" x14ac:dyDescent="0.25">
      <c r="B731" s="1">
        <v>46128</v>
      </c>
      <c r="C731" s="2" t="s">
        <v>55</v>
      </c>
      <c r="D731" s="3" t="s">
        <v>10</v>
      </c>
      <c r="E731" s="3" t="s">
        <v>2</v>
      </c>
      <c r="F731" s="4">
        <v>50.5</v>
      </c>
      <c r="G731" s="4">
        <v>16000</v>
      </c>
      <c r="H731" s="5">
        <f>[1]!РЕАЛИЗАЦИЯ[СОНИ]*[1]!РЕАЛИЗАЦИЯ[НАРХИ]</f>
        <v>694400</v>
      </c>
      <c r="I731" s="4"/>
      <c r="J731" s="6">
        <v>13000</v>
      </c>
      <c r="K731" s="4">
        <f>[1]!РЕАЛИЗАЦИЯ[[#This Row],[СОНИ]]*[1]!РЕАЛИЗАЦИЯ[[#This Row],[ТАННАРХ]]</f>
        <v>0</v>
      </c>
      <c r="L731" s="7">
        <f>[1]!РЕАЛИЗАЦИЯ[[#This Row],[ЖАМИ]]-[1]!РЕАЛИЗАЦИЯ[[#This Row],[ЖАМИ2]]</f>
        <v>694400</v>
      </c>
      <c r="O731" s="27">
        <v>46133</v>
      </c>
      <c r="P731" s="28" t="s">
        <v>239</v>
      </c>
      <c r="Q731" s="6">
        <v>1000000</v>
      </c>
      <c r="R731" s="6"/>
      <c r="S731" s="6"/>
      <c r="T731" s="29">
        <f>[1]!ПЛАТЕЖИ[[#This Row],[СЎМ]]+([1]!ПЛАТЕЖИ[[#This Row],[ВАЛЮТА]]*[1]!ПЛАТЕЖИ[[#This Row],[КУРС]])</f>
        <v>1996350</v>
      </c>
      <c r="U731" s="28"/>
      <c r="V731" s="3" t="s">
        <v>275</v>
      </c>
    </row>
    <row r="732" spans="2:22" x14ac:dyDescent="0.25">
      <c r="B732" s="8">
        <v>46128</v>
      </c>
      <c r="C732" s="9" t="s">
        <v>91</v>
      </c>
      <c r="D732" s="10" t="s">
        <v>1</v>
      </c>
      <c r="E732" s="10" t="s">
        <v>2</v>
      </c>
      <c r="F732" s="11">
        <v>67.3</v>
      </c>
      <c r="G732" s="11">
        <v>20000</v>
      </c>
      <c r="H732" s="12">
        <f>[1]!РЕАЛИЗАЦИЯ[СОНИ]*[1]!РЕАЛИЗАЦИЯ[НАРХИ]</f>
        <v>980700.00000000012</v>
      </c>
      <c r="I732" s="11"/>
      <c r="J732" s="13">
        <v>19000</v>
      </c>
      <c r="K732" s="11">
        <f>[1]!РЕАЛИЗАЦИЯ[[#This Row],[СОНИ]]*[1]!РЕАЛИЗАЦИЯ[[#This Row],[ТАННАРХ]]</f>
        <v>0</v>
      </c>
      <c r="L732" s="14">
        <f>[1]!РЕАЛИЗАЦИЯ[[#This Row],[ЖАМИ]]-[1]!РЕАЛИЗАЦИЯ[[#This Row],[ЖАМИ2]]</f>
        <v>980700.00000000012</v>
      </c>
      <c r="O732" s="30">
        <v>46133</v>
      </c>
      <c r="P732" s="31" t="s">
        <v>122</v>
      </c>
      <c r="Q732" s="13">
        <v>5873250</v>
      </c>
      <c r="R732" s="13"/>
      <c r="S732" s="13"/>
      <c r="T732" s="32">
        <f>[1]!ПЛАТЕЖИ[[#This Row],[СЎМ]]+([1]!ПЛАТЕЖИ[[#This Row],[ВАЛЮТА]]*[1]!ПЛАТЕЖИ[[#This Row],[КУРС]])</f>
        <v>7958000</v>
      </c>
      <c r="U732" s="31"/>
      <c r="V732" s="10" t="s">
        <v>279</v>
      </c>
    </row>
    <row r="733" spans="2:22" x14ac:dyDescent="0.25">
      <c r="B733" s="1">
        <v>46128</v>
      </c>
      <c r="C733" s="2" t="s">
        <v>12</v>
      </c>
      <c r="D733" s="3" t="s">
        <v>16</v>
      </c>
      <c r="E733" s="3" t="s">
        <v>2</v>
      </c>
      <c r="F733" s="4">
        <v>1554.8</v>
      </c>
      <c r="G733" s="4">
        <v>24000</v>
      </c>
      <c r="H733" s="5">
        <f>[1]!РЕАЛИЗАЦИЯ[СОНИ]*[1]!РЕАЛИЗАЦИЯ[НАРХИ]</f>
        <v>1848600</v>
      </c>
      <c r="I733" s="4">
        <v>6</v>
      </c>
      <c r="J733" s="6">
        <v>20000</v>
      </c>
      <c r="K733" s="4">
        <f>[1]!РЕАЛИЗАЦИЯ[[#This Row],[СОНИ]]*[1]!РЕАЛИЗАЦИЯ[[#This Row],[ТАННАРХ]]</f>
        <v>0</v>
      </c>
      <c r="L733" s="7">
        <f>[1]!РЕАЛИЗАЦИЯ[[#This Row],[ЖАМИ]]-[1]!РЕАЛИЗАЦИЯ[[#This Row],[ЖАМИ2]]</f>
        <v>1848600</v>
      </c>
      <c r="O733" s="27">
        <v>46134</v>
      </c>
      <c r="P733" s="28" t="s">
        <v>202</v>
      </c>
      <c r="Q733" s="6">
        <v>4000000</v>
      </c>
      <c r="R733" s="6"/>
      <c r="S733" s="6"/>
      <c r="T733" s="29">
        <f>[1]!ПЛАТЕЖИ[[#This Row],[СЎМ]]+([1]!ПЛАТЕЖИ[[#This Row],[ВАЛЮТА]]*[1]!ПЛАТЕЖИ[[#This Row],[КУРС]])</f>
        <v>1580000</v>
      </c>
      <c r="U733" s="28"/>
      <c r="V733" s="28"/>
    </row>
    <row r="734" spans="2:22" x14ac:dyDescent="0.25">
      <c r="B734" s="8">
        <v>46128</v>
      </c>
      <c r="C734" s="9" t="s">
        <v>131</v>
      </c>
      <c r="D734" s="10" t="s">
        <v>1</v>
      </c>
      <c r="E734" s="10" t="s">
        <v>2</v>
      </c>
      <c r="F734" s="11">
        <v>1115.9000000000001</v>
      </c>
      <c r="G734" s="11">
        <v>20500</v>
      </c>
      <c r="H734" s="12">
        <f>[1]!РЕАЛИЗАЦИЯ[СОНИ]*[1]!РЕАЛИЗАЦИЯ[НАРХИ]</f>
        <v>8763000</v>
      </c>
      <c r="I734" s="11"/>
      <c r="J734" s="13">
        <v>19000</v>
      </c>
      <c r="K734" s="11">
        <f>[1]!РЕАЛИЗАЦИЯ[[#This Row],[СОНИ]]*[1]!РЕАЛИЗАЦИЯ[[#This Row],[ТАННАРХ]]</f>
        <v>2975800500</v>
      </c>
      <c r="L734" s="14">
        <f>[1]!РЕАЛИЗАЦИЯ[[#This Row],[ЖАМИ]]-[1]!РЕАЛИЗАЦИЯ[[#This Row],[ЖАМИ2]]</f>
        <v>8762619</v>
      </c>
      <c r="O734" s="30">
        <v>46134</v>
      </c>
      <c r="P734" s="31" t="s">
        <v>70</v>
      </c>
      <c r="Q734" s="13">
        <v>200000</v>
      </c>
      <c r="R734" s="13"/>
      <c r="S734" s="13"/>
      <c r="T734" s="32">
        <f>[1]!ПЛАТЕЖИ[[#This Row],[СЎМ]]+([1]!ПЛАТЕЖИ[[#This Row],[ВАЛЮТА]]*[1]!ПЛАТЕЖИ[[#This Row],[КУРС]])</f>
        <v>3000000</v>
      </c>
      <c r="U734" s="31"/>
      <c r="V734" s="31"/>
    </row>
    <row r="735" spans="2:22" x14ac:dyDescent="0.25">
      <c r="B735" s="1">
        <v>46128</v>
      </c>
      <c r="C735" s="2" t="s">
        <v>237</v>
      </c>
      <c r="D735" s="3" t="s">
        <v>1</v>
      </c>
      <c r="E735" s="3" t="s">
        <v>2</v>
      </c>
      <c r="F735" s="4">
        <v>160</v>
      </c>
      <c r="G735" s="4">
        <v>20500</v>
      </c>
      <c r="H735" s="5">
        <f>[1]!РЕАЛИЗАЦИЯ[СОНИ]*[1]!РЕАЛИЗАЦИЯ[НАРХИ]</f>
        <v>5547600</v>
      </c>
      <c r="I735" s="4"/>
      <c r="J735" s="6">
        <v>19000</v>
      </c>
      <c r="K735" s="4">
        <f>[1]!РЕАЛИЗАЦИЯ[[#This Row],[СОНИ]]*[1]!РЕАЛИЗАЦИЯ[[#This Row],[ТАННАРХ]]</f>
        <v>1614783080</v>
      </c>
      <c r="L735" s="7">
        <f>[1]!РЕАЛИЗАЦИЯ[[#This Row],[ЖАМИ]]-[1]!РЕАЛИЗАЦИЯ[[#This Row],[ЖАМИ2]]</f>
        <v>5547291.7999999998</v>
      </c>
      <c r="O735" s="33">
        <v>46134</v>
      </c>
      <c r="P735" s="3" t="s">
        <v>310</v>
      </c>
      <c r="Q735" s="4">
        <v>400000</v>
      </c>
      <c r="R735" s="4"/>
      <c r="S735" s="4"/>
      <c r="T735" s="5">
        <f>[1]!ПЛАТЕЖИ[[#This Row],[СЎМ]]+([1]!ПЛАТЕЖИ[[#This Row],[ВАЛЮТА]]*[1]!ПЛАТЕЖИ[[#This Row],[КУРС]])</f>
        <v>500000</v>
      </c>
      <c r="U735" s="3"/>
      <c r="V735" s="3" t="s">
        <v>275</v>
      </c>
    </row>
    <row r="736" spans="2:22" x14ac:dyDescent="0.25">
      <c r="B736" s="8">
        <v>46128</v>
      </c>
      <c r="C736" s="9" t="s">
        <v>131</v>
      </c>
      <c r="D736" s="10" t="s">
        <v>1</v>
      </c>
      <c r="E736" s="10" t="s">
        <v>2</v>
      </c>
      <c r="F736" s="11">
        <v>-42.1</v>
      </c>
      <c r="G736" s="11">
        <v>20500</v>
      </c>
      <c r="H736" s="12">
        <f>[1]!РЕАЛИЗАЦИЯ[СОНИ]*[1]!РЕАЛИЗАЦИЯ[НАРХИ]</f>
        <v>-999600</v>
      </c>
      <c r="I736" s="11" t="s">
        <v>238</v>
      </c>
      <c r="J736" s="13">
        <v>19000</v>
      </c>
      <c r="K736" s="11">
        <f>[1]!РЕАЛИЗАЦИЯ[[#This Row],[СОНИ]]*[1]!РЕАЛИЗАЦИЯ[[#This Row],[ТАННАРХ]]</f>
        <v>0</v>
      </c>
      <c r="L736" s="14">
        <f>[1]!РЕАЛИЗАЦИЯ[[#This Row],[ЖАМИ]]-[1]!РЕАЛИЗАЦИЯ[[#This Row],[ЖАМИ2]]</f>
        <v>-999600</v>
      </c>
      <c r="O736" s="34">
        <v>46134</v>
      </c>
      <c r="P736" s="10" t="s">
        <v>175</v>
      </c>
      <c r="Q736" s="11">
        <v>3814500</v>
      </c>
      <c r="R736" s="11"/>
      <c r="S736" s="11"/>
      <c r="T736" s="12">
        <f>[1]!ПЛАТЕЖИ[[#This Row],[СЎМ]]+([1]!ПЛАТЕЖИ[[#This Row],[ВАЛЮТА]]*[1]!ПЛАТЕЖИ[[#This Row],[КУРС]])</f>
        <v>1043700</v>
      </c>
      <c r="U736" s="10"/>
      <c r="V736" s="10"/>
    </row>
    <row r="737" spans="2:22" x14ac:dyDescent="0.25">
      <c r="B737" s="1">
        <v>46129</v>
      </c>
      <c r="C737" s="2" t="s">
        <v>7</v>
      </c>
      <c r="D737" s="3" t="s">
        <v>8</v>
      </c>
      <c r="E737" s="3" t="s">
        <v>2</v>
      </c>
      <c r="F737" s="4">
        <v>534.70000000000005</v>
      </c>
      <c r="G737" s="4">
        <v>22000</v>
      </c>
      <c r="H737" s="5">
        <f>[1]!РЕАЛИЗАЦИЯ[СОНИ]*[1]!РЕАЛИЗАЦИЯ[НАРХИ]</f>
        <v>902400</v>
      </c>
      <c r="I737" s="4"/>
      <c r="J737" s="6">
        <v>20000</v>
      </c>
      <c r="K737" s="4">
        <f>[1]!РЕАЛИЗАЦИЯ[[#This Row],[СОНИ]]*[1]!РЕАЛИЗАЦИЯ[[#This Row],[ТАННАРХ]]</f>
        <v>0</v>
      </c>
      <c r="L737" s="7">
        <f>[1]!РЕАЛИЗАЦИЯ[[#This Row],[ЖАМИ]]-[1]!РЕАЛИЗАЦИЯ[[#This Row],[ЖАМИ2]]</f>
        <v>902400</v>
      </c>
      <c r="O737" s="33">
        <v>46134</v>
      </c>
      <c r="P737" s="3" t="s">
        <v>53</v>
      </c>
      <c r="Q737" s="4">
        <v>27000000</v>
      </c>
      <c r="R737" s="4"/>
      <c r="S737" s="4"/>
      <c r="T737" s="5">
        <f>[1]!ПЛАТЕЖИ[[#This Row],[СЎМ]]+([1]!ПЛАТЕЖИ[[#This Row],[ВАЛЮТА]]*[1]!ПЛАТЕЖИ[[#This Row],[КУРС]])</f>
        <v>1039500</v>
      </c>
      <c r="U737" s="3"/>
      <c r="V737" s="3" t="s">
        <v>279</v>
      </c>
    </row>
    <row r="738" spans="2:22" x14ac:dyDescent="0.25">
      <c r="B738" s="8">
        <v>46129</v>
      </c>
      <c r="C738" s="9" t="s">
        <v>33</v>
      </c>
      <c r="D738" s="10" t="s">
        <v>10</v>
      </c>
      <c r="E738" s="10" t="s">
        <v>2</v>
      </c>
      <c r="F738" s="11">
        <v>893.2</v>
      </c>
      <c r="G738" s="11">
        <v>14500</v>
      </c>
      <c r="H738" s="12">
        <f>[1]!РЕАЛИЗАЦИЯ[СОНИ]*[1]!РЕАЛИЗАЦИЯ[НАРХИ]</f>
        <v>699200</v>
      </c>
      <c r="I738" s="11"/>
      <c r="J738" s="13">
        <v>13000</v>
      </c>
      <c r="K738" s="11">
        <f>[1]!РЕАЛИЗАЦИЯ[[#This Row],[СОНИ]]*[1]!РЕАЛИЗАЦИЯ[[#This Row],[ТАННАРХ]]</f>
        <v>0</v>
      </c>
      <c r="L738" s="14">
        <f>[1]!РЕАЛИЗАЦИЯ[[#This Row],[ЖАМИ]]-[1]!РЕАЛИЗАЦИЯ[[#This Row],[ЖАМИ2]]</f>
        <v>699200</v>
      </c>
      <c r="O738" s="34">
        <v>46134</v>
      </c>
      <c r="P738" s="10" t="s">
        <v>189</v>
      </c>
      <c r="Q738" s="11">
        <v>1000000</v>
      </c>
      <c r="R738" s="11"/>
      <c r="S738" s="11"/>
      <c r="T738" s="12">
        <f>[1]!ПЛАТЕЖИ[[#This Row],[СЎМ]]+([1]!ПЛАТЕЖИ[[#This Row],[ВАЛЮТА]]*[1]!ПЛАТЕЖИ[[#This Row],[КУРС]])</f>
        <v>2097000</v>
      </c>
      <c r="U738" s="10"/>
      <c r="V738" s="10"/>
    </row>
    <row r="739" spans="2:22" x14ac:dyDescent="0.25">
      <c r="B739" s="1">
        <v>46130</v>
      </c>
      <c r="C739" s="2" t="s">
        <v>134</v>
      </c>
      <c r="D739" s="3" t="s">
        <v>1</v>
      </c>
      <c r="E739" s="3" t="s">
        <v>2</v>
      </c>
      <c r="F739" s="4">
        <v>614.20000000000005</v>
      </c>
      <c r="G739" s="4">
        <v>24000</v>
      </c>
      <c r="H739" s="5">
        <f>[1]!РЕАЛИЗАЦИЯ[СОНИ]*[1]!РЕАЛИЗАЦИЯ[НАРХИ]</f>
        <v>989100</v>
      </c>
      <c r="I739" s="4"/>
      <c r="J739" s="6">
        <v>23000</v>
      </c>
      <c r="K739" s="4">
        <f>[1]!РЕАЛИЗАЦИЯ[[#This Row],[СОНИ]]*[1]!РЕАЛИЗАЦИЯ[[#This Row],[ТАННАРХ]]</f>
        <v>0</v>
      </c>
      <c r="L739" s="7">
        <f>[1]!РЕАЛИЗАЦИЯ[[#This Row],[ЖАМИ]]-[1]!РЕАЛИЗАЦИЯ[[#This Row],[ЖАМИ2]]</f>
        <v>989100</v>
      </c>
      <c r="O739" s="33">
        <v>46134</v>
      </c>
      <c r="P739" s="3" t="s">
        <v>44</v>
      </c>
      <c r="Q739" s="4">
        <v>4700000</v>
      </c>
      <c r="R739" s="4"/>
      <c r="S739" s="4"/>
      <c r="T739" s="5">
        <f>[1]!ПЛАТЕЖИ[[#This Row],[СЎМ]]+([1]!ПЛАТЕЖИ[[#This Row],[ВАЛЮТА]]*[1]!ПЛАТЕЖИ[[#This Row],[КУРС]])</f>
        <v>1278000</v>
      </c>
      <c r="U739" s="3"/>
      <c r="V739" s="3"/>
    </row>
    <row r="740" spans="2:22" x14ac:dyDescent="0.25">
      <c r="B740" s="8">
        <v>46130</v>
      </c>
      <c r="C740" s="9" t="s">
        <v>65</v>
      </c>
      <c r="D740" s="10" t="s">
        <v>8</v>
      </c>
      <c r="E740" s="10" t="s">
        <v>2</v>
      </c>
      <c r="F740" s="11">
        <v>405.8</v>
      </c>
      <c r="G740" s="11">
        <v>22500</v>
      </c>
      <c r="H740" s="12">
        <f>[1]!РЕАЛИЗАЦИЯ[СОНИ]*[1]!РЕАЛИЗАЦИЯ[НАРХИ]</f>
        <v>1039500</v>
      </c>
      <c r="I740" s="11"/>
      <c r="J740" s="13">
        <v>20000</v>
      </c>
      <c r="K740" s="11">
        <f>[1]!РЕАЛИЗАЦИЯ[[#This Row],[СОНИ]]*[1]!РЕАЛИЗАЦИЯ[[#This Row],[ТАННАРХ]]</f>
        <v>0</v>
      </c>
      <c r="L740" s="14">
        <f>[1]!РЕАЛИЗАЦИЯ[[#This Row],[ЖАМИ]]-[1]!РЕАЛИЗАЦИЯ[[#This Row],[ЖАМИ2]]</f>
        <v>1039500</v>
      </c>
      <c r="O740" s="34">
        <v>46134</v>
      </c>
      <c r="P740" s="10" t="s">
        <v>241</v>
      </c>
      <c r="Q740" s="11">
        <v>2262000</v>
      </c>
      <c r="R740" s="11" t="s">
        <v>184</v>
      </c>
      <c r="S740" s="11"/>
      <c r="T740" s="12">
        <v>2262000</v>
      </c>
      <c r="U740" s="10"/>
      <c r="V740" s="10"/>
    </row>
    <row r="741" spans="2:22" x14ac:dyDescent="0.25">
      <c r="B741" s="1">
        <v>46130</v>
      </c>
      <c r="C741" s="2" t="s">
        <v>23</v>
      </c>
      <c r="D741" s="3" t="s">
        <v>1</v>
      </c>
      <c r="E741" s="3" t="s">
        <v>2</v>
      </c>
      <c r="F741" s="4">
        <v>89.4</v>
      </c>
      <c r="G741" s="4">
        <v>24000</v>
      </c>
      <c r="H741" s="5">
        <f>[1]!РЕАЛИЗАЦИЯ[СОНИ]*[1]!РЕАЛИЗАЦИЯ[НАРХИ]</f>
        <v>949200.00000000012</v>
      </c>
      <c r="I741" s="4"/>
      <c r="J741" s="6">
        <v>23000</v>
      </c>
      <c r="K741" s="4">
        <f>[1]!РЕАЛИЗАЦИЯ[[#This Row],[СОНИ]]*[1]!РЕАЛИЗАЦИЯ[[#This Row],[ТАННАРХ]]</f>
        <v>0</v>
      </c>
      <c r="L741" s="7">
        <f>[1]!РЕАЛИЗАЦИЯ[[#This Row],[ЖАМИ]]-[1]!РЕАЛИЗАЦИЯ[[#This Row],[ЖАМИ2]]</f>
        <v>949200.00000000012</v>
      </c>
      <c r="O741" s="33">
        <v>46134</v>
      </c>
      <c r="P741" s="3" t="s">
        <v>236</v>
      </c>
      <c r="Q741" s="4">
        <v>756000</v>
      </c>
      <c r="R741" s="4"/>
      <c r="S741" s="4"/>
      <c r="T741" s="5">
        <f>[1]!ПЛАТЕЖИ[[#This Row],[СЎМ]]+([1]!ПЛАТЕЖИ[[#This Row],[ВАЛЮТА]]*[1]!ПЛАТЕЖИ[[#This Row],[КУРС]])</f>
        <v>945000</v>
      </c>
      <c r="U741" s="3"/>
      <c r="V741" s="3"/>
    </row>
    <row r="742" spans="2:22" x14ac:dyDescent="0.25">
      <c r="B742" s="8">
        <v>46130</v>
      </c>
      <c r="C742" s="9" t="s">
        <v>202</v>
      </c>
      <c r="D742" s="10" t="s">
        <v>1</v>
      </c>
      <c r="E742" s="10" t="s">
        <v>2</v>
      </c>
      <c r="F742" s="11">
        <v>645.1</v>
      </c>
      <c r="G742" s="11">
        <v>19000</v>
      </c>
      <c r="H742" s="12">
        <f>[1]!РЕАЛИЗАЦИЯ[СОНИ]*[1]!РЕАЛИЗАЦИЯ[НАРХИ]</f>
        <v>3193500</v>
      </c>
      <c r="I742" s="11"/>
      <c r="J742" s="13">
        <v>19000</v>
      </c>
      <c r="K742" s="11">
        <f>[1]!РЕАЛИЗАЦИЯ[[#This Row],[СОНИ]]*[1]!РЕАЛИЗАЦИЯ[[#This Row],[ТАННАРХ]]</f>
        <v>0</v>
      </c>
      <c r="L742" s="14">
        <f>[1]!РЕАЛИЗАЦИЯ[[#This Row],[ЖАМИ]]-[1]!РЕАЛИЗАЦИЯ[[#This Row],[ЖАМИ2]]</f>
        <v>3193500</v>
      </c>
      <c r="O742" s="34">
        <v>46134</v>
      </c>
      <c r="P742" s="10" t="s">
        <v>110</v>
      </c>
      <c r="Q742" s="11">
        <v>1500100</v>
      </c>
      <c r="R742" s="11"/>
      <c r="S742" s="11"/>
      <c r="T742" s="12">
        <f>[1]!ПЛАТЕЖИ[[#This Row],[СЎМ]]+([1]!ПЛАТЕЖИ[[#This Row],[ВАЛЮТА]]*[1]!ПЛАТЕЖИ[[#This Row],[КУРС]])</f>
        <v>934500</v>
      </c>
      <c r="U742" s="10"/>
      <c r="V742" s="10"/>
    </row>
    <row r="743" spans="2:22" x14ac:dyDescent="0.25">
      <c r="B743" s="1">
        <v>46130</v>
      </c>
      <c r="C743" s="2" t="s">
        <v>202</v>
      </c>
      <c r="D743" s="3" t="s">
        <v>10</v>
      </c>
      <c r="E743" s="3" t="s">
        <v>2</v>
      </c>
      <c r="F743" s="4">
        <v>297.7</v>
      </c>
      <c r="G743" s="4">
        <v>14000</v>
      </c>
      <c r="H743" s="5">
        <f>[1]!РЕАЛИЗАЦИЯ[СОНИ]*[1]!РЕАЛИЗАЦИЯ[НАРХИ]</f>
        <v>3733800.0000000005</v>
      </c>
      <c r="I743" s="4"/>
      <c r="J743" s="6">
        <v>13000</v>
      </c>
      <c r="K743" s="4">
        <f>[1]!РЕАЛИЗАЦИЯ[[#This Row],[СОНИ]]*[1]!РЕАЛИЗАЦИЯ[[#This Row],[ТАННАРХ]]</f>
        <v>0</v>
      </c>
      <c r="L743" s="7">
        <f>[1]!РЕАЛИЗАЦИЯ[[#This Row],[ЖАМИ]]-[1]!РЕАЛИЗАЦИЯ[[#This Row],[ЖАМИ2]]</f>
        <v>3733800.0000000005</v>
      </c>
      <c r="O743" s="33">
        <v>46134</v>
      </c>
      <c r="P743" s="3" t="s">
        <v>71</v>
      </c>
      <c r="Q743" s="4">
        <v>2000000</v>
      </c>
      <c r="R743" s="4"/>
      <c r="S743" s="4"/>
      <c r="T743" s="5">
        <f>[1]!ПЛАТЕЖИ[[#This Row],[СЎМ]]+([1]!ПЛАТЕЖИ[[#This Row],[ВАЛЮТА]]*[1]!ПЛАТЕЖИ[[#This Row],[КУРС]])</f>
        <v>2000000</v>
      </c>
      <c r="U743" s="3"/>
      <c r="V743" s="3"/>
    </row>
    <row r="744" spans="2:22" x14ac:dyDescent="0.25">
      <c r="B744" s="8">
        <v>46130</v>
      </c>
      <c r="C744" s="9" t="s">
        <v>14</v>
      </c>
      <c r="D744" s="10" t="s">
        <v>1</v>
      </c>
      <c r="E744" s="10" t="s">
        <v>2</v>
      </c>
      <c r="F744" s="11">
        <v>89.4</v>
      </c>
      <c r="G744" s="11">
        <v>24000</v>
      </c>
      <c r="H744" s="12">
        <f>[1]!РЕАЛИЗАЦИЯ[СОНИ]*[1]!РЕАЛИЗАЦИЯ[НАРХИ]</f>
        <v>821100</v>
      </c>
      <c r="I744" s="11"/>
      <c r="J744" s="13">
        <v>23000</v>
      </c>
      <c r="K744" s="11">
        <f>[1]!РЕАЛИЗАЦИЯ[[#This Row],[СОНИ]]*[1]!РЕАЛИЗАЦИЯ[[#This Row],[ТАННАРХ]]</f>
        <v>0</v>
      </c>
      <c r="L744" s="14">
        <f>[1]!РЕАЛИЗАЦИЯ[[#This Row],[ЖАМИ]]-[1]!РЕАЛИЗАЦИЯ[[#This Row],[ЖАМИ2]]</f>
        <v>821100</v>
      </c>
      <c r="O744" s="34">
        <v>46134</v>
      </c>
      <c r="P744" s="10" t="s">
        <v>32</v>
      </c>
      <c r="Q744" s="11">
        <v>537000</v>
      </c>
      <c r="R744" s="11"/>
      <c r="S744" s="11"/>
      <c r="T744" s="12">
        <f>[1]!ПЛАТЕЖИ[[#This Row],[СЎМ]]+([1]!ПЛАТЕЖИ[[#This Row],[ВАЛЮТА]]*[1]!ПЛАТЕЖИ[[#This Row],[КУРС]])</f>
        <v>1920000</v>
      </c>
      <c r="U744" s="10"/>
      <c r="V744" s="10"/>
    </row>
    <row r="745" spans="2:22" x14ac:dyDescent="0.25">
      <c r="B745" s="1">
        <v>46130</v>
      </c>
      <c r="C745" s="2" t="s">
        <v>239</v>
      </c>
      <c r="D745" s="3" t="s">
        <v>1</v>
      </c>
      <c r="E745" s="3" t="s">
        <v>2</v>
      </c>
      <c r="F745" s="4">
        <v>209.4</v>
      </c>
      <c r="G745" s="4">
        <v>20500</v>
      </c>
      <c r="H745" s="5">
        <f>[1]!РЕАЛИЗАЦИЯ[СОНИ]*[1]!РЕАЛИЗАЦИЯ[НАРХИ]</f>
        <v>1076000</v>
      </c>
      <c r="I745" s="4"/>
      <c r="J745" s="6">
        <v>19000</v>
      </c>
      <c r="K745" s="4">
        <f>[1]!РЕАЛИЗАЦИЯ[[#This Row],[СОНИ]]*[1]!РЕАЛИЗАЦИЯ[[#This Row],[ТАННАРХ]]</f>
        <v>0</v>
      </c>
      <c r="L745" s="7">
        <f>[1]!РЕАЛИЗАЦИЯ[[#This Row],[ЖАМИ]]-[1]!РЕАЛИЗАЦИЯ[[#This Row],[ЖАМИ2]]</f>
        <v>1076000</v>
      </c>
      <c r="O745" s="33">
        <v>46135</v>
      </c>
      <c r="P745" s="3" t="s">
        <v>27</v>
      </c>
      <c r="Q745" s="4">
        <v>22400000</v>
      </c>
      <c r="R745" s="4"/>
      <c r="S745" s="4"/>
      <c r="T745" s="5">
        <f>[1]!ПЛАТЕЖИ[[#This Row],[СЎМ]]+([1]!ПЛАТЕЖИ[[#This Row],[ВАЛЮТА]]*[1]!ПЛАТЕЖИ[[#This Row],[КУРС]])</f>
        <v>1280000</v>
      </c>
      <c r="U745" s="3"/>
      <c r="V745" s="3" t="s">
        <v>279</v>
      </c>
    </row>
    <row r="746" spans="2:22" x14ac:dyDescent="0.25">
      <c r="B746" s="8">
        <v>46130</v>
      </c>
      <c r="C746" s="9" t="s">
        <v>239</v>
      </c>
      <c r="D746" s="10" t="s">
        <v>1</v>
      </c>
      <c r="E746" s="10" t="s">
        <v>2</v>
      </c>
      <c r="F746" s="11">
        <v>-119.2</v>
      </c>
      <c r="G746" s="11">
        <v>20500</v>
      </c>
      <c r="H746" s="12">
        <f>[1]!РЕАЛИЗАЦИЯ[СОНИ]*[1]!РЕАЛИЗАЦИЯ[НАРХИ]</f>
        <v>846000</v>
      </c>
      <c r="I746" s="11"/>
      <c r="J746" s="13">
        <v>19000</v>
      </c>
      <c r="K746" s="11">
        <f>[1]!РЕАЛИЗАЦИЯ[[#This Row],[СОНИ]]*[1]!РЕАЛИЗАЦИЯ[[#This Row],[ТАННАРХ]]</f>
        <v>0</v>
      </c>
      <c r="L746" s="14">
        <f>[1]!РЕАЛИЗАЦИЯ[[#This Row],[ЖАМИ]]-[1]!РЕАЛИЗАЦИЯ[[#This Row],[ЖАМИ2]]</f>
        <v>846000</v>
      </c>
      <c r="O746" s="34">
        <v>46135</v>
      </c>
      <c r="P746" s="10" t="s">
        <v>191</v>
      </c>
      <c r="Q746" s="11">
        <v>786000</v>
      </c>
      <c r="R746" s="11"/>
      <c r="S746" s="11"/>
      <c r="T746" s="12">
        <f>[1]!ПЛАТЕЖИ[[#This Row],[СЎМ]]+([1]!ПЛАТЕЖИ[[#This Row],[ВАЛЮТА]]*[1]!ПЛАТЕЖИ[[#This Row],[КУРС]])</f>
        <v>1000000</v>
      </c>
      <c r="U746" s="10"/>
      <c r="V746" s="10" t="s">
        <v>275</v>
      </c>
    </row>
    <row r="747" spans="2:22" x14ac:dyDescent="0.25">
      <c r="B747" s="1">
        <v>46130</v>
      </c>
      <c r="C747" s="2" t="s">
        <v>78</v>
      </c>
      <c r="D747" s="3" t="s">
        <v>29</v>
      </c>
      <c r="E747" s="3" t="s">
        <v>2</v>
      </c>
      <c r="F747" s="4">
        <v>235.3</v>
      </c>
      <c r="G747" s="4">
        <v>17500</v>
      </c>
      <c r="H747" s="5">
        <f>[1]!РЕАЛИЗАЦИЯ[СОНИ]*[1]!РЕАЛИЗАЦИЯ[НАРХИ]</f>
        <v>770700.00000000012</v>
      </c>
      <c r="I747" s="4"/>
      <c r="J747" s="6">
        <v>16000</v>
      </c>
      <c r="K747" s="4">
        <f>[1]!РЕАЛИЗАЦИЯ[[#This Row],[СОНИ]]*[1]!РЕАЛИЗАЦИЯ[[#This Row],[ТАННАРХ]]</f>
        <v>0</v>
      </c>
      <c r="L747" s="7">
        <f>[1]!РЕАЛИЗАЦИЯ[[#This Row],[ЖАМИ]]-[1]!РЕАЛИЗАЦИЯ[[#This Row],[ЖАМИ2]]</f>
        <v>770700.00000000012</v>
      </c>
      <c r="O747" s="33">
        <v>46135</v>
      </c>
      <c r="P747" s="3" t="s">
        <v>104</v>
      </c>
      <c r="Q747" s="4">
        <v>15151400</v>
      </c>
      <c r="R747" s="4"/>
      <c r="S747" s="4"/>
      <c r="T747" s="5">
        <f>[1]!ПЛАТЕЖИ[[#This Row],[СЎМ]]+([1]!ПЛАТЕЖИ[[#This Row],[ВАЛЮТА]]*[1]!ПЛАТЕЖИ[[#This Row],[КУРС]])</f>
        <v>2211300</v>
      </c>
      <c r="U747" s="3"/>
      <c r="V747" s="3"/>
    </row>
    <row r="748" spans="2:22" x14ac:dyDescent="0.25">
      <c r="B748" s="8">
        <v>46130</v>
      </c>
      <c r="C748" s="9" t="s">
        <v>89</v>
      </c>
      <c r="D748" s="10" t="s">
        <v>10</v>
      </c>
      <c r="E748" s="10" t="s">
        <v>2</v>
      </c>
      <c r="F748" s="11">
        <v>3037.5</v>
      </c>
      <c r="G748" s="11">
        <v>13000</v>
      </c>
      <c r="H748" s="12">
        <f>[1]!РЕАЛИЗАЦИЯ[СОНИ]*[1]!РЕАЛИЗАЦИЯ[НАРХИ]</f>
        <v>761600</v>
      </c>
      <c r="I748" s="11"/>
      <c r="J748" s="13">
        <v>13000</v>
      </c>
      <c r="K748" s="11">
        <f>[1]!РЕАЛИЗАЦИЯ[[#This Row],[СОНИ]]*[1]!РЕАЛИЗАЦИЯ[[#This Row],[ТАННАРХ]]</f>
        <v>0</v>
      </c>
      <c r="L748" s="14">
        <f>[1]!РЕАЛИЗАЦИЯ[[#This Row],[ЖАМИ]]-[1]!РЕАЛИЗАЦИЯ[[#This Row],[ЖАМИ2]]</f>
        <v>761600</v>
      </c>
      <c r="O748" s="34">
        <v>46135</v>
      </c>
      <c r="P748" s="10" t="s">
        <v>142</v>
      </c>
      <c r="Q748" s="11">
        <v>2091600</v>
      </c>
      <c r="R748" s="11"/>
      <c r="S748" s="11"/>
      <c r="T748" s="12">
        <f>[1]!ПЛАТЕЖИ[[#This Row],[СЎМ]]+([1]!ПЛАТЕЖИ[[#This Row],[ВАЛЮТА]]*[1]!ПЛАТЕЖИ[[#This Row],[КУРС]])</f>
        <v>1500000</v>
      </c>
      <c r="U748" s="10"/>
      <c r="V748" s="10"/>
    </row>
    <row r="749" spans="2:22" x14ac:dyDescent="0.25">
      <c r="B749" s="1">
        <v>46131</v>
      </c>
      <c r="C749" s="2" t="s">
        <v>202</v>
      </c>
      <c r="D749" s="3" t="s">
        <v>16</v>
      </c>
      <c r="E749" s="3" t="s">
        <v>2</v>
      </c>
      <c r="F749" s="4">
        <v>392.3</v>
      </c>
      <c r="G749" s="4">
        <v>20000</v>
      </c>
      <c r="H749" s="5">
        <f>[1]!РЕАЛИЗАЦИЯ[СОНИ]*[1]!РЕАЛИЗАЦИЯ[НАРХИ]</f>
        <v>-680000</v>
      </c>
      <c r="I749" s="4"/>
      <c r="J749" s="6">
        <v>20000</v>
      </c>
      <c r="K749" s="4">
        <f>[1]!РЕАЛИЗАЦИЯ[[#This Row],[СОНИ]]*[1]!РЕАЛИЗАЦИЯ[[#This Row],[ТАННАРХ]]</f>
        <v>0</v>
      </c>
      <c r="L749" s="7">
        <f>[1]!РЕАЛИЗАЦИЯ[[#This Row],[ЖАМИ]]-[1]!РЕАЛИЗАЦИЯ[[#This Row],[ЖАМИ2]]</f>
        <v>-680000</v>
      </c>
      <c r="O749" s="33">
        <v>46135</v>
      </c>
      <c r="P749" s="3" t="s">
        <v>71</v>
      </c>
      <c r="Q749" s="4">
        <v>1000000</v>
      </c>
      <c r="R749" s="4"/>
      <c r="S749" s="4"/>
      <c r="T749" s="5">
        <f>[1]!ПЛАТЕЖИ[[#This Row],[СЎМ]]+([1]!ПЛАТЕЖИ[[#This Row],[ВАЛЮТА]]*[1]!ПЛАТЕЖИ[[#This Row],[КУРС]])</f>
        <v>1500000</v>
      </c>
      <c r="U749" s="3"/>
      <c r="V749" s="3"/>
    </row>
    <row r="750" spans="2:22" x14ac:dyDescent="0.25">
      <c r="B750" s="8">
        <v>46132</v>
      </c>
      <c r="C750" s="9" t="s">
        <v>236</v>
      </c>
      <c r="D750" s="10" t="s">
        <v>10</v>
      </c>
      <c r="E750" s="10" t="s">
        <v>2</v>
      </c>
      <c r="F750" s="11">
        <v>50.4</v>
      </c>
      <c r="G750" s="11">
        <v>15000</v>
      </c>
      <c r="H750" s="12">
        <f>[1]!РЕАЛИЗАЦИЯ[СОНИ]*[1]!РЕАЛИЗАЦИЯ[НАРХИ]</f>
        <v>902000</v>
      </c>
      <c r="I750" s="11"/>
      <c r="J750" s="13">
        <v>13000</v>
      </c>
      <c r="K750" s="11">
        <f>[1]!РЕАЛИЗАЦИЯ[[#This Row],[СОНИ]]*[1]!РЕАЛИЗАЦИЯ[[#This Row],[ТАННАРХ]]</f>
        <v>0</v>
      </c>
      <c r="L750" s="14">
        <f>[1]!РЕАЛИЗАЦИЯ[[#This Row],[ЖАМИ]]-[1]!РЕАЛИЗАЦИЯ[[#This Row],[ЖАМИ2]]</f>
        <v>902000</v>
      </c>
      <c r="O750" s="34">
        <v>46136</v>
      </c>
      <c r="P750" s="10" t="s">
        <v>9</v>
      </c>
      <c r="Q750" s="11">
        <v>11672940</v>
      </c>
      <c r="R750" s="11"/>
      <c r="S750" s="11"/>
      <c r="T750" s="12">
        <f>[1]!ПЛАТЕЖИ[[#This Row],[СЎМ]]+([1]!ПЛАТЕЖИ[[#This Row],[ВАЛЮТА]]*[1]!ПЛАТЕЖИ[[#This Row],[КУРС]])</f>
        <v>1859000</v>
      </c>
      <c r="U750" s="10"/>
      <c r="V750" s="10" t="s">
        <v>279</v>
      </c>
    </row>
    <row r="751" spans="2:22" x14ac:dyDescent="0.25">
      <c r="B751" s="1">
        <v>46132</v>
      </c>
      <c r="C751" s="2" t="s">
        <v>19</v>
      </c>
      <c r="D751" s="3" t="s">
        <v>10</v>
      </c>
      <c r="E751" s="3" t="s">
        <v>2</v>
      </c>
      <c r="F751" s="4">
        <v>48.7</v>
      </c>
      <c r="G751" s="4">
        <v>16000</v>
      </c>
      <c r="H751" s="5">
        <f>[1]!РЕАЛИЗАЦИЯ[СОНИ]*[1]!РЕАЛИЗАЦИЯ[НАРХИ]</f>
        <v>3040399.9999999995</v>
      </c>
      <c r="I751" s="4"/>
      <c r="J751" s="6">
        <v>13000</v>
      </c>
      <c r="K751" s="4">
        <f>[1]!РЕАЛИЗАЦИЯ[[#This Row],[СОНИ]]*[1]!РЕАЛИЗАЦИЯ[[#This Row],[ТАННАРХ]]</f>
        <v>0</v>
      </c>
      <c r="L751" s="7">
        <f>[1]!РЕАЛИЗАЦИЯ[[#This Row],[ЖАМИ]]-[1]!РЕАЛИЗАЦИЯ[[#This Row],[ЖАМИ2]]</f>
        <v>3040399.9999999995</v>
      </c>
      <c r="O751" s="33">
        <v>46136</v>
      </c>
      <c r="P751" s="3" t="s">
        <v>196</v>
      </c>
      <c r="Q751" s="4">
        <v>1189100</v>
      </c>
      <c r="R751" s="4"/>
      <c r="S751" s="4"/>
      <c r="T751" s="5">
        <f>[1]!ПЛАТЕЖИ[[#This Row],[СЎМ]]+([1]!ПЛАТЕЖИ[[#This Row],[ВАЛЮТА]]*[1]!ПЛАТЕЖИ[[#This Row],[КУРС]])</f>
        <v>900000</v>
      </c>
      <c r="U751" s="3"/>
      <c r="V751" s="3"/>
    </row>
    <row r="752" spans="2:22" x14ac:dyDescent="0.25">
      <c r="B752" s="8">
        <v>46132</v>
      </c>
      <c r="C752" s="9" t="s">
        <v>240</v>
      </c>
      <c r="D752" s="10" t="s">
        <v>1</v>
      </c>
      <c r="E752" s="10" t="s">
        <v>2</v>
      </c>
      <c r="F752" s="11">
        <v>94.1</v>
      </c>
      <c r="G752" s="11">
        <v>25000</v>
      </c>
      <c r="H752" s="12">
        <f>[1]!РЕАЛИЗАЦИЯ[СОНИ]*[1]!РЕАЛИЗАЦИЯ[НАРХИ]</f>
        <v>2041799.9999999998</v>
      </c>
      <c r="I752" s="11"/>
      <c r="J752" s="13">
        <v>23000</v>
      </c>
      <c r="K752" s="11">
        <f>[1]!РЕАЛИЗАЦИЯ[[#This Row],[СОНИ]]*[1]!РЕАЛИЗАЦИЯ[[#This Row],[ТАННАРХ]]</f>
        <v>0</v>
      </c>
      <c r="L752" s="14">
        <f>[1]!РЕАЛИЗАЦИЯ[[#This Row],[ЖАМИ]]-[1]!РЕАЛИЗАЦИЯ[[#This Row],[ЖАМИ2]]</f>
        <v>2041799.9999999998</v>
      </c>
      <c r="O752" s="34">
        <v>46136</v>
      </c>
      <c r="P752" s="10" t="s">
        <v>78</v>
      </c>
      <c r="Q752" s="11">
        <v>4000000</v>
      </c>
      <c r="R752" s="11"/>
      <c r="S752" s="11"/>
      <c r="T752" s="12">
        <f>[1]!ПЛАТЕЖИ[[#This Row],[СЎМ]]+([1]!ПЛАТЕЖИ[[#This Row],[ВАЛЮТА]]*[1]!ПЛАТЕЖИ[[#This Row],[КУРС]])</f>
        <v>1504000</v>
      </c>
      <c r="U752" s="10"/>
      <c r="V752" s="10"/>
    </row>
    <row r="753" spans="2:22" x14ac:dyDescent="0.25">
      <c r="B753" s="1">
        <v>46132</v>
      </c>
      <c r="C753" s="2" t="s">
        <v>240</v>
      </c>
      <c r="D753" s="3" t="s">
        <v>10</v>
      </c>
      <c r="E753" s="3" t="s">
        <v>2</v>
      </c>
      <c r="F753" s="4">
        <v>101.7</v>
      </c>
      <c r="G753" s="4">
        <v>16000</v>
      </c>
      <c r="H753" s="5">
        <f>[1]!РЕАЛИЗАЦИЯ[СОНИ]*[1]!РЕАЛИЗАЦИЯ[НАРХИ]</f>
        <v>1356250</v>
      </c>
      <c r="I753" s="4"/>
      <c r="J753" s="6">
        <v>13000</v>
      </c>
      <c r="K753" s="4">
        <f>[1]!РЕАЛИЗАЦИЯ[[#This Row],[СОНИ]]*[1]!РЕАЛИЗАЦИЯ[[#This Row],[ТАННАРХ]]</f>
        <v>0</v>
      </c>
      <c r="L753" s="7">
        <f>[1]!РЕАЛИЗАЦИЯ[[#This Row],[ЖАМИ]]-[1]!РЕАЛИЗАЦИЯ[[#This Row],[ЖАМИ2]]</f>
        <v>1356250</v>
      </c>
      <c r="O753" s="33">
        <v>46136</v>
      </c>
      <c r="P753" s="3" t="s">
        <v>144</v>
      </c>
      <c r="Q753" s="4">
        <v>1516100</v>
      </c>
      <c r="R753" s="4"/>
      <c r="S753" s="4"/>
      <c r="T753" s="5">
        <f>[1]!ПЛАТЕЖИ[[#This Row],[СЎМ]]+([1]!ПЛАТЕЖИ[[#This Row],[ВАЛЮТА]]*[1]!ПЛАТЕЖИ[[#This Row],[КУРС]])</f>
        <v>1180000</v>
      </c>
      <c r="U753" s="3"/>
      <c r="V753" s="3"/>
    </row>
    <row r="754" spans="2:22" x14ac:dyDescent="0.25">
      <c r="B754" s="8">
        <v>46132</v>
      </c>
      <c r="C754" s="9" t="s">
        <v>68</v>
      </c>
      <c r="D754" s="10" t="s">
        <v>36</v>
      </c>
      <c r="E754" s="10" t="s">
        <v>2</v>
      </c>
      <c r="F754" s="11">
        <v>1128.7</v>
      </c>
      <c r="G754" s="11">
        <v>18000</v>
      </c>
      <c r="H754" s="12">
        <f>[1]!РЕАЛИЗАЦИЯ[СОНИ]*[1]!РЕАЛИЗАЦИЯ[НАРХИ]</f>
        <v>453600.00000000006</v>
      </c>
      <c r="I754" s="11"/>
      <c r="J754" s="13">
        <v>16000</v>
      </c>
      <c r="K754" s="11">
        <f>[1]!РЕАЛИЗАЦИЯ[[#This Row],[СОНИ]]*[1]!РЕАЛИЗАЦИЯ[[#This Row],[ТАННАРХ]]</f>
        <v>8398080</v>
      </c>
      <c r="L754" s="14">
        <f>[1]!РЕАЛИЗАЦИЯ[[#This Row],[ЖАМИ]]-[1]!РЕАЛИЗАЦИЯ[[#This Row],[ЖАМИ2]]</f>
        <v>453578.40000000008</v>
      </c>
      <c r="O754" s="34">
        <v>46136</v>
      </c>
      <c r="P754" s="10" t="s">
        <v>286</v>
      </c>
      <c r="Q754" s="11">
        <v>898834</v>
      </c>
      <c r="R754" s="11"/>
      <c r="S754" s="11"/>
      <c r="T754" s="12">
        <f>[1]!ПЛАТЕЖИ[[#This Row],[СЎМ]]+([1]!ПЛАТЕЖИ[[#This Row],[ВАЛЮТА]]*[1]!ПЛАТЕЖИ[[#This Row],[КУРС]])</f>
        <v>2042000</v>
      </c>
      <c r="U754" s="10"/>
      <c r="V754" s="10"/>
    </row>
    <row r="755" spans="2:22" x14ac:dyDescent="0.25">
      <c r="B755" s="1">
        <v>46132</v>
      </c>
      <c r="C755" s="2" t="s">
        <v>12</v>
      </c>
      <c r="D755" s="3" t="s">
        <v>16</v>
      </c>
      <c r="E755" s="3" t="s">
        <v>2</v>
      </c>
      <c r="F755" s="4">
        <v>1575.4</v>
      </c>
      <c r="G755" s="4">
        <v>24000</v>
      </c>
      <c r="H755" s="5">
        <f>[1]!РЕАЛИЗАЦИЯ[СОНИ]*[1]!РЕАЛИЗАЦИЯ[НАРХИ]</f>
        <v>5023200</v>
      </c>
      <c r="I755" s="4">
        <v>6</v>
      </c>
      <c r="J755" s="6">
        <v>20000</v>
      </c>
      <c r="K755" s="4">
        <f>[1]!РЕАЛИЗАЦИЯ[[#This Row],[СОНИ]]*[1]!РЕАЛИЗАЦИЯ[[#This Row],[ТАННАРХ]]</f>
        <v>985646025</v>
      </c>
      <c r="L755" s="7">
        <f>[1]!РЕАЛИЗАЦИЯ[[#This Row],[ЖАМИ]]-[1]!РЕАЛИЗАЦИЯ[[#This Row],[ЖАМИ2]]</f>
        <v>5022990.7</v>
      </c>
      <c r="O755" s="33">
        <v>46136</v>
      </c>
      <c r="P755" s="3" t="s">
        <v>47</v>
      </c>
      <c r="Q755" s="4">
        <v>383700</v>
      </c>
      <c r="R755" s="4"/>
      <c r="S755" s="4"/>
      <c r="T755" s="5">
        <f>[1]!ПЛАТЕЖИ[[#This Row],[СЎМ]]+([1]!ПЛАТЕЖИ[[#This Row],[ВАЛЮТА]]*[1]!ПЛАТЕЖИ[[#This Row],[КУРС]])</f>
        <v>3500000</v>
      </c>
      <c r="U755" s="3"/>
      <c r="V755" s="3"/>
    </row>
    <row r="756" spans="2:22" x14ac:dyDescent="0.25">
      <c r="B756" s="8">
        <v>46132</v>
      </c>
      <c r="C756" s="9" t="s">
        <v>241</v>
      </c>
      <c r="D756" s="10" t="s">
        <v>10</v>
      </c>
      <c r="E756" s="10" t="s">
        <v>2</v>
      </c>
      <c r="F756" s="11">
        <v>150.80000000000001</v>
      </c>
      <c r="G756" s="11">
        <v>15000</v>
      </c>
      <c r="H756" s="12">
        <f>[1]!РЕАЛИЗАЦИЯ[СОНИ]*[1]!РЕАЛИЗАЦИЯ[НАРХИ]</f>
        <v>2331000</v>
      </c>
      <c r="I756" s="11"/>
      <c r="J756" s="13">
        <v>13000</v>
      </c>
      <c r="K756" s="11">
        <f>[1]!РЕАЛИЗАЦИЯ[[#This Row],[СОНИ]]*[1]!РЕАЛИЗАЦИЯ[[#This Row],[ТАННАРХ]]</f>
        <v>0</v>
      </c>
      <c r="L756" s="14">
        <f>[1]!РЕАЛИЗАЦИЯ[[#This Row],[ЖАМИ]]-[1]!РЕАЛИЗАЦИЯ[[#This Row],[ЖАМИ2]]</f>
        <v>2331000</v>
      </c>
      <c r="O756" s="34">
        <v>46136</v>
      </c>
      <c r="P756" s="10" t="s">
        <v>78</v>
      </c>
      <c r="Q756" s="11">
        <v>11400000</v>
      </c>
      <c r="R756" s="11"/>
      <c r="S756" s="11"/>
      <c r="T756" s="12">
        <f>[1]!ПЛАТЕЖИ[[#This Row],[СЎМ]]+([1]!ПЛАТЕЖИ[[#This Row],[ВАЛЮТА]]*[1]!ПЛАТЕЖИ[[#This Row],[КУРС]])</f>
        <v>6000000</v>
      </c>
      <c r="U756" s="10"/>
      <c r="V756" s="10"/>
    </row>
    <row r="757" spans="2:22" x14ac:dyDescent="0.25">
      <c r="B757" s="1">
        <v>46132</v>
      </c>
      <c r="C757" s="2" t="s">
        <v>44</v>
      </c>
      <c r="D757" s="3" t="s">
        <v>25</v>
      </c>
      <c r="E757" s="3" t="s">
        <v>2</v>
      </c>
      <c r="F757" s="4">
        <v>188</v>
      </c>
      <c r="G757" s="4">
        <v>25000</v>
      </c>
      <c r="H757" s="5">
        <f>[1]!РЕАЛИЗАЦИЯ[СОНИ]*[1]!РЕАЛИЗАЦИЯ[НАРХИ]</f>
        <v>3008000</v>
      </c>
      <c r="I757" s="4"/>
      <c r="J757" s="6">
        <v>23000</v>
      </c>
      <c r="K757" s="4">
        <f>[1]!РЕАЛИЗАЦИЯ[[#This Row],[СОНИ]]*[1]!РЕАЛИЗАЦИЯ[[#This Row],[ТАННАРХ]]</f>
        <v>0</v>
      </c>
      <c r="L757" s="7">
        <f>[1]!РЕАЛИЗАЦИЯ[[#This Row],[ЖАМИ]]-[1]!РЕАЛИЗАЦИЯ[[#This Row],[ЖАМИ2]]</f>
        <v>3008000</v>
      </c>
      <c r="O757" s="33">
        <v>46136</v>
      </c>
      <c r="P757" s="3" t="s">
        <v>86</v>
      </c>
      <c r="Q757" s="4">
        <v>3987000</v>
      </c>
      <c r="R757" s="4"/>
      <c r="S757" s="4"/>
      <c r="T757" s="5">
        <f>[1]!ПЛАТЕЖИ[[#This Row],[СЎМ]]+([1]!ПЛАТЕЖИ[[#This Row],[ВАЛЮТА]]*[1]!ПЛАТЕЖИ[[#This Row],[КУРС]])</f>
        <v>2499000</v>
      </c>
      <c r="U757" s="3"/>
      <c r="V757" s="3"/>
    </row>
    <row r="758" spans="2:22" x14ac:dyDescent="0.25">
      <c r="B758" s="8">
        <v>46132</v>
      </c>
      <c r="C758" s="9" t="s">
        <v>22</v>
      </c>
      <c r="D758" s="10" t="s">
        <v>8</v>
      </c>
      <c r="E758" s="10" t="s">
        <v>2</v>
      </c>
      <c r="F758" s="11">
        <v>79</v>
      </c>
      <c r="G758" s="11">
        <v>22000</v>
      </c>
      <c r="H758" s="12">
        <f>[1]!РЕАЛИЗАЦИЯ[СОНИ]*[1]!РЕАЛИЗАЦИЯ[НАРХИ]</f>
        <v>1056300</v>
      </c>
      <c r="I758" s="11"/>
      <c r="J758" s="13">
        <v>20000</v>
      </c>
      <c r="K758" s="11">
        <f>[1]!РЕАЛИЗАЦИЯ[[#This Row],[СОНИ]]*[1]!РЕАЛИЗАЦИЯ[[#This Row],[ТАННАРХ]]</f>
        <v>0</v>
      </c>
      <c r="L758" s="14">
        <f>[1]!РЕАЛИЗАЦИЯ[[#This Row],[ЖАМИ]]-[1]!РЕАЛИЗАЦИЯ[[#This Row],[ЖАМИ2]]</f>
        <v>1056300</v>
      </c>
      <c r="O758" s="34">
        <v>46136</v>
      </c>
      <c r="P758" s="10" t="s">
        <v>117</v>
      </c>
      <c r="Q758" s="11">
        <v>1300000</v>
      </c>
      <c r="R758" s="11"/>
      <c r="S758" s="11"/>
      <c r="T758" s="12">
        <f>[1]!ПЛАТЕЖИ[[#This Row],[СЎМ]]+([1]!ПЛАТЕЖИ[[#This Row],[ВАЛЮТА]]*[1]!ПЛАТЕЖИ[[#This Row],[КУРС]])</f>
        <v>3000000</v>
      </c>
      <c r="U758" s="10"/>
      <c r="V758" s="10"/>
    </row>
    <row r="759" spans="2:22" x14ac:dyDescent="0.25">
      <c r="B759" s="1">
        <v>46132</v>
      </c>
      <c r="C759" s="2" t="s">
        <v>242</v>
      </c>
      <c r="D759" s="3" t="s">
        <v>1</v>
      </c>
      <c r="E759" s="3" t="s">
        <v>2</v>
      </c>
      <c r="F759" s="4">
        <v>97.5</v>
      </c>
      <c r="G759" s="4">
        <v>20000</v>
      </c>
      <c r="H759" s="5">
        <f>[1]!РЕАЛИЗАЦИЯ[СОНИ]*[1]!РЕАЛИЗАЦИЯ[НАРХИ]</f>
        <v>3177300.0000000005</v>
      </c>
      <c r="I759" s="4"/>
      <c r="J759" s="6">
        <v>19000</v>
      </c>
      <c r="K759" s="4">
        <f>[1]!РЕАЛИЗАЦИЯ[[#This Row],[СОНИ]]*[1]!РЕАЛИЗАЦИЯ[[#This Row],[ТАННАРХ]]</f>
        <v>0</v>
      </c>
      <c r="L759" s="7">
        <f>[1]!РЕАЛИЗАЦИЯ[[#This Row],[ЖАМИ]]-[1]!РЕАЛИЗАЦИЯ[[#This Row],[ЖАМИ2]]</f>
        <v>3177300.0000000005</v>
      </c>
      <c r="O759" s="33">
        <v>46136</v>
      </c>
      <c r="P759" s="3" t="s">
        <v>65</v>
      </c>
      <c r="Q759" s="4">
        <v>15000000</v>
      </c>
      <c r="R759" s="4"/>
      <c r="S759" s="4"/>
      <c r="T759" s="5">
        <f>[1]!ПЛАТЕЖИ[[#This Row],[СЎМ]]+([1]!ПЛАТЕЖИ[[#This Row],[ВАЛЮТА]]*[1]!ПЛАТЕЖИ[[#This Row],[КУРС]])</f>
        <v>1067000</v>
      </c>
      <c r="U759" s="3"/>
      <c r="V759" s="3"/>
    </row>
    <row r="760" spans="2:22" x14ac:dyDescent="0.25">
      <c r="B760" s="8">
        <v>46133</v>
      </c>
      <c r="C760" s="9" t="s">
        <v>132</v>
      </c>
      <c r="D760" s="10" t="s">
        <v>1</v>
      </c>
      <c r="E760" s="10" t="s">
        <v>2</v>
      </c>
      <c r="F760" s="11">
        <v>100.7</v>
      </c>
      <c r="G760" s="11">
        <v>23000</v>
      </c>
      <c r="H760" s="12">
        <f>[1]!РЕАЛИЗАЦИЯ[СОНИ]*[1]!РЕАЛИЗАЦИЯ[НАРХИ]</f>
        <v>582400</v>
      </c>
      <c r="I760" s="11"/>
      <c r="J760" s="13">
        <v>19000</v>
      </c>
      <c r="K760" s="11">
        <f>[1]!РЕАЛИЗАЦИЯ[[#This Row],[СОНИ]]*[1]!РЕАЛИЗАЦИЯ[[#This Row],[ТАННАРХ]]</f>
        <v>0</v>
      </c>
      <c r="L760" s="14">
        <f>[1]!РЕАЛИЗАЦИЯ[[#This Row],[ЖАМИ]]-[1]!РЕАЛИЗАЦИЯ[[#This Row],[ЖАМИ2]]</f>
        <v>582400</v>
      </c>
      <c r="O760" s="34">
        <v>46136</v>
      </c>
      <c r="P760" s="10" t="s">
        <v>115</v>
      </c>
      <c r="Q760" s="11">
        <v>3030750</v>
      </c>
      <c r="R760" s="11"/>
      <c r="S760" s="11"/>
      <c r="T760" s="12">
        <f>[1]!ПЛАТЕЖИ[[#This Row],[СЎМ]]+([1]!ПЛАТЕЖИ[[#This Row],[ВАЛЮТА]]*[1]!ПЛАТЕЖИ[[#This Row],[КУРС]])</f>
        <v>1056300</v>
      </c>
      <c r="U760" s="10"/>
      <c r="V760" s="10" t="s">
        <v>279</v>
      </c>
    </row>
    <row r="761" spans="2:22" x14ac:dyDescent="0.25">
      <c r="B761" s="1">
        <v>46133</v>
      </c>
      <c r="C761" s="2" t="s">
        <v>93</v>
      </c>
      <c r="D761" s="3" t="s">
        <v>1</v>
      </c>
      <c r="E761" s="3" t="s">
        <v>2</v>
      </c>
      <c r="F761" s="4">
        <v>50.1</v>
      </c>
      <c r="G761" s="4">
        <v>25000</v>
      </c>
      <c r="H761" s="5">
        <f>[1]!РЕАЛИЗАЦИЯ[СОНИ]*[1]!РЕАЛИЗАЦИЯ[НАРХИ]</f>
        <v>2116800</v>
      </c>
      <c r="I761" s="4"/>
      <c r="J761" s="6">
        <v>23000</v>
      </c>
      <c r="K761" s="4">
        <f>[1]!РЕАЛИЗАЦИЯ[[#This Row],[СОНИ]]*[1]!РЕАЛИЗАЦИЯ[[#This Row],[ТАННАРХ]]</f>
        <v>0</v>
      </c>
      <c r="L761" s="7">
        <f>[1]!РЕАЛИЗАЦИЯ[[#This Row],[ЖАМИ]]-[1]!РЕАЛИЗАЦИЯ[[#This Row],[ЖАМИ2]]</f>
        <v>2116800</v>
      </c>
      <c r="O761" s="33">
        <v>46137</v>
      </c>
      <c r="P761" s="3" t="s">
        <v>310</v>
      </c>
      <c r="Q761" s="4">
        <v>400000</v>
      </c>
      <c r="R761" s="4"/>
      <c r="S761" s="4"/>
      <c r="T761" s="5">
        <f>[1]!ПЛАТЕЖИ[[#This Row],[СЎМ]]+([1]!ПЛАТЕЖИ[[#This Row],[ВАЛЮТА]]*[1]!ПЛАТЕЖИ[[#This Row],[КУРС]])</f>
        <v>1094100</v>
      </c>
      <c r="U761" s="3"/>
      <c r="V761" s="3" t="s">
        <v>275</v>
      </c>
    </row>
    <row r="762" spans="2:22" x14ac:dyDescent="0.25">
      <c r="B762" s="8">
        <v>46133</v>
      </c>
      <c r="C762" s="9" t="s">
        <v>118</v>
      </c>
      <c r="D762" s="10" t="s">
        <v>36</v>
      </c>
      <c r="E762" s="10" t="s">
        <v>2</v>
      </c>
      <c r="F762" s="11">
        <v>-211.6</v>
      </c>
      <c r="G762" s="11">
        <v>17000</v>
      </c>
      <c r="H762" s="12">
        <f>[1]!РЕАЛИЗАЦИЯ[СОНИ]*[1]!РЕАЛИЗАЦИЯ[НАРХИ]</f>
        <v>2119900</v>
      </c>
      <c r="I762" s="11"/>
      <c r="J762" s="13">
        <v>16000</v>
      </c>
      <c r="K762" s="11">
        <f>[1]!РЕАЛИЗАЦИЯ[[#This Row],[СОНИ]]*[1]!РЕАЛИЗАЦИЯ[[#This Row],[ТАННАРХ]]</f>
        <v>0</v>
      </c>
      <c r="L762" s="14">
        <f>[1]!РЕАЛИЗАЦИЯ[[#This Row],[ЖАМИ]]-[1]!РЕАЛИЗАЦИЯ[[#This Row],[ЖАМИ2]]</f>
        <v>2119900</v>
      </c>
      <c r="O762" s="34">
        <v>46137</v>
      </c>
      <c r="P762" s="10" t="s">
        <v>233</v>
      </c>
      <c r="Q762" s="11">
        <v>680300</v>
      </c>
      <c r="R762" s="11"/>
      <c r="S762" s="11"/>
      <c r="T762" s="12">
        <f>[1]!ПЛАТЕЖИ[[#This Row],[СЎМ]]+([1]!ПЛАТЕЖИ[[#This Row],[ВАЛЮТА]]*[1]!ПЛАТЕЖИ[[#This Row],[КУРС]])</f>
        <v>706000</v>
      </c>
      <c r="U762" s="10"/>
      <c r="V762" s="10"/>
    </row>
    <row r="763" spans="2:22" x14ac:dyDescent="0.25">
      <c r="B763" s="1">
        <v>46133</v>
      </c>
      <c r="C763" s="2" t="s">
        <v>118</v>
      </c>
      <c r="D763" s="3" t="s">
        <v>10</v>
      </c>
      <c r="E763" s="3" t="s">
        <v>2</v>
      </c>
      <c r="F763" s="4">
        <v>-100.3</v>
      </c>
      <c r="G763" s="4">
        <v>14000</v>
      </c>
      <c r="H763" s="5">
        <f>[1]!РЕАЛИЗАЦИЯ[СОНИ]*[1]!РЕАЛИЗАЦИЯ[НАРХИ]</f>
        <v>-2119900</v>
      </c>
      <c r="I763" s="4"/>
      <c r="J763" s="6">
        <v>13000</v>
      </c>
      <c r="K763" s="4">
        <f>[1]!РЕАЛИЗАЦИЯ[[#This Row],[СОНИ]]*[1]!РЕАЛИЗАЦИЯ[[#This Row],[ТАННАРХ]]</f>
        <v>0</v>
      </c>
      <c r="L763" s="7">
        <f>[1]!РЕАЛИЗАЦИЯ[[#This Row],[ЖАМИ]]-[1]!РЕАЛИЗАЦИЯ[[#This Row],[ЖАМИ2]]</f>
        <v>-2119900</v>
      </c>
      <c r="O763" s="33">
        <v>46138</v>
      </c>
      <c r="P763" s="3" t="s">
        <v>234</v>
      </c>
      <c r="Q763" s="4">
        <v>1000700</v>
      </c>
      <c r="R763" s="4"/>
      <c r="S763" s="4"/>
      <c r="T763" s="5">
        <f>[1]!ПЛАТЕЖИ[[#This Row],[СЎМ]]+([1]!ПЛАТЕЖИ[[#This Row],[ВАЛЮТА]]*[1]!ПЛАТЕЖИ[[#This Row],[КУРС]])</f>
        <v>4000000</v>
      </c>
      <c r="U763" s="3"/>
      <c r="V763" s="3"/>
    </row>
    <row r="764" spans="2:22" x14ac:dyDescent="0.25">
      <c r="B764" s="8">
        <v>46133</v>
      </c>
      <c r="C764" s="9" t="s">
        <v>118</v>
      </c>
      <c r="D764" s="10" t="s">
        <v>1</v>
      </c>
      <c r="E764" s="10" t="s">
        <v>2</v>
      </c>
      <c r="F764" s="11">
        <v>-199.8</v>
      </c>
      <c r="G764" s="11">
        <v>20000</v>
      </c>
      <c r="H764" s="12">
        <f>[1]!РЕАЛИЗАЦИЯ[СОНИ]*[1]!РЕАЛИЗАЦИЯ[НАРХИ]</f>
        <v>712500</v>
      </c>
      <c r="I764" s="11"/>
      <c r="J764" s="13">
        <v>19000</v>
      </c>
      <c r="K764" s="11">
        <f>[1]!РЕАЛИЗАЦИЯ[[#This Row],[СОНИ]]*[1]!РЕАЛИЗАЦИЯ[[#This Row],[ТАННАРХ]]</f>
        <v>0</v>
      </c>
      <c r="L764" s="14">
        <f>[1]!РЕАЛИЗАЦИЯ[[#This Row],[ЖАМИ]]-[1]!РЕАЛИЗАЦИЯ[[#This Row],[ЖАМИ2]]</f>
        <v>712500</v>
      </c>
      <c r="O764" s="34">
        <v>46138</v>
      </c>
      <c r="P764" s="10" t="s">
        <v>309</v>
      </c>
      <c r="Q764" s="11">
        <v>1500000</v>
      </c>
      <c r="R764" s="11"/>
      <c r="S764" s="11"/>
      <c r="T764" s="12">
        <f>[1]!ПЛАТЕЖИ[[#This Row],[СЎМ]]+([1]!ПЛАТЕЖИ[[#This Row],[ВАЛЮТА]]*[1]!ПЛАТЕЖИ[[#This Row],[КУРС]])</f>
        <v>7284000</v>
      </c>
      <c r="U764" s="10"/>
      <c r="V764" s="10" t="s">
        <v>275</v>
      </c>
    </row>
    <row r="765" spans="2:22" x14ac:dyDescent="0.25">
      <c r="B765" s="1">
        <v>46133</v>
      </c>
      <c r="C765" s="2" t="s">
        <v>129</v>
      </c>
      <c r="D765" s="3" t="s">
        <v>36</v>
      </c>
      <c r="E765" s="3" t="s">
        <v>2</v>
      </c>
      <c r="F765" s="4">
        <v>226.8</v>
      </c>
      <c r="G765" s="4">
        <v>17500</v>
      </c>
      <c r="H765" s="5">
        <f>[1]!РЕАЛИЗАЦИЯ[СОНИ]*[1]!РЕАЛИЗАЦИЯ[НАРХИ]</f>
        <v>880200</v>
      </c>
      <c r="I765" s="4"/>
      <c r="J765" s="6">
        <v>16000</v>
      </c>
      <c r="K765" s="4">
        <f>[1]!РЕАЛИЗАЦИЯ[[#This Row],[СОНИ]]*[1]!РЕАЛИЗАЦИЯ[[#This Row],[ТАННАРХ]]</f>
        <v>0</v>
      </c>
      <c r="L765" s="7">
        <f>[1]!РЕАЛИЗАЦИЯ[[#This Row],[ЖАМИ]]-[1]!РЕАЛИЗАЦИЯ[[#This Row],[ЖАМИ2]]</f>
        <v>880200</v>
      </c>
      <c r="O765" s="33">
        <v>46138</v>
      </c>
      <c r="P765" s="3" t="s">
        <v>309</v>
      </c>
      <c r="Q765" s="4">
        <v>1000000</v>
      </c>
      <c r="R765" s="4"/>
      <c r="S765" s="4"/>
      <c r="T765" s="5">
        <f>[1]!ПЛАТЕЖИ[[#This Row],[СЎМ]]+([1]!ПЛАТЕЖИ[[#This Row],[ВАЛЮТА]]*[1]!ПЛАТЕЖИ[[#This Row],[КУРС]])</f>
        <v>500000</v>
      </c>
      <c r="U765" s="3"/>
      <c r="V765" s="3"/>
    </row>
    <row r="766" spans="2:22" x14ac:dyDescent="0.25">
      <c r="B766" s="8">
        <v>46133</v>
      </c>
      <c r="C766" s="9" t="s">
        <v>15</v>
      </c>
      <c r="D766" s="10" t="s">
        <v>1</v>
      </c>
      <c r="E766" s="10" t="s">
        <v>2</v>
      </c>
      <c r="F766" s="11">
        <v>152.9</v>
      </c>
      <c r="G766" s="11">
        <v>22000</v>
      </c>
      <c r="H766" s="12">
        <f>[1]!РЕАЛИЗАЦИЯ[СОНИ]*[1]!РЕАЛИЗАЦИЯ[НАРХИ]</f>
        <v>3234000</v>
      </c>
      <c r="I766" s="11"/>
      <c r="J766" s="13">
        <v>19000</v>
      </c>
      <c r="K766" s="11">
        <f>[1]!РЕАЛИЗАЦИЯ[[#This Row],[СОНИ]]*[1]!РЕАЛИЗАЦИЯ[[#This Row],[ТАННАРХ]]</f>
        <v>0</v>
      </c>
      <c r="L766" s="14">
        <f>[1]!РЕАЛИЗАЦИЯ[[#This Row],[ЖАМИ]]-[1]!РЕАЛИЗАЦИЯ[[#This Row],[ЖАМИ2]]</f>
        <v>3234000</v>
      </c>
      <c r="O766" s="34">
        <v>46138</v>
      </c>
      <c r="P766" s="10" t="s">
        <v>137</v>
      </c>
      <c r="Q766" s="11">
        <v>5672300</v>
      </c>
      <c r="R766" s="11"/>
      <c r="S766" s="11"/>
      <c r="T766" s="12">
        <f>[1]!ПЛАТЕЖИ[[#This Row],[СЎМ]]+([1]!ПЛАТЕЖИ[[#This Row],[ВАЛЮТА]]*[1]!ПЛАТЕЖИ[[#This Row],[КУРС]])</f>
        <v>862000</v>
      </c>
      <c r="U766" s="10"/>
      <c r="V766" s="10"/>
    </row>
    <row r="767" spans="2:22" x14ac:dyDescent="0.25">
      <c r="B767" s="1">
        <v>46134</v>
      </c>
      <c r="C767" s="2" t="s">
        <v>17</v>
      </c>
      <c r="D767" s="3" t="s">
        <v>1</v>
      </c>
      <c r="E767" s="3" t="s">
        <v>2</v>
      </c>
      <c r="F767" s="4">
        <v>48</v>
      </c>
      <c r="G767" s="4">
        <v>25000</v>
      </c>
      <c r="H767" s="5">
        <f>[1]!РЕАЛИЗАЦИЯ[СОНИ]*[1]!РЕАЛИЗАЦИЯ[НАРХИ]</f>
        <v>1908000</v>
      </c>
      <c r="I767" s="4"/>
      <c r="J767" s="6">
        <v>23000</v>
      </c>
      <c r="K767" s="4">
        <f>[1]!РЕАЛИЗАЦИЯ[[#This Row],[СОНИ]]*[1]!РЕАЛИЗАЦИЯ[[#This Row],[ТАННАРХ]]</f>
        <v>0</v>
      </c>
      <c r="L767" s="7">
        <f>[1]!РЕАЛИЗАЦИЯ[[#This Row],[ЖАМИ]]-[1]!РЕАЛИЗАЦИЯ[[#This Row],[ЖАМИ2]]</f>
        <v>1908000</v>
      </c>
      <c r="O767" s="33">
        <v>46138</v>
      </c>
      <c r="P767" s="3" t="s">
        <v>219</v>
      </c>
      <c r="Q767" s="4">
        <v>1000000</v>
      </c>
      <c r="R767" s="4"/>
      <c r="S767" s="4"/>
      <c r="T767" s="5">
        <f>[1]!ПЛАТЕЖИ[[#This Row],[СЎМ]]+([1]!ПЛАТЕЖИ[[#This Row],[ВАЛЮТА]]*[1]!ПЛАТЕЖИ[[#This Row],[КУРС]])</f>
        <v>1891500</v>
      </c>
      <c r="U767" s="3"/>
      <c r="V767" s="3" t="s">
        <v>275</v>
      </c>
    </row>
    <row r="768" spans="2:22" x14ac:dyDescent="0.25">
      <c r="B768" s="8">
        <v>46134</v>
      </c>
      <c r="C768" s="9" t="s">
        <v>71</v>
      </c>
      <c r="D768" s="10" t="s">
        <v>1</v>
      </c>
      <c r="E768" s="10" t="s">
        <v>2</v>
      </c>
      <c r="F768" s="11">
        <v>136.6</v>
      </c>
      <c r="G768" s="11">
        <v>25000</v>
      </c>
      <c r="H768" s="12">
        <f>[1]!РЕАЛИЗАЦИЯ[СОНИ]*[1]!РЕАЛИЗАЦИЯ[НАРХИ]</f>
        <v>2146000</v>
      </c>
      <c r="I768" s="11"/>
      <c r="J768" s="13">
        <v>23000</v>
      </c>
      <c r="K768" s="11">
        <f>[1]!РЕАЛИЗАЦИЯ[[#This Row],[СОНИ]]*[1]!РЕАЛИЗАЦИЯ[[#This Row],[ТАННАРХ]]</f>
        <v>0</v>
      </c>
      <c r="L768" s="14">
        <f>[1]!РЕАЛИЗАЦИЯ[[#This Row],[ЖАМИ]]-[1]!РЕАЛИЗАЦИЯ[[#This Row],[ЖАМИ2]]</f>
        <v>2146000</v>
      </c>
      <c r="O768" s="34">
        <v>46138</v>
      </c>
      <c r="P768" s="10" t="s">
        <v>173</v>
      </c>
      <c r="Q768" s="11">
        <v>500000</v>
      </c>
      <c r="R768" s="11"/>
      <c r="S768" s="11"/>
      <c r="T768" s="12">
        <f>[1]!ПЛАТЕЖИ[[#This Row],[СЎМ]]+([1]!ПЛАТЕЖИ[[#This Row],[ВАЛЮТА]]*[1]!ПЛАТЕЖИ[[#This Row],[КУРС]])</f>
        <v>1927800</v>
      </c>
      <c r="U768" s="10"/>
      <c r="V768" s="10"/>
    </row>
    <row r="769" spans="2:22" x14ac:dyDescent="0.25">
      <c r="B769" s="1">
        <v>46134</v>
      </c>
      <c r="C769" s="15" t="s">
        <v>71</v>
      </c>
      <c r="D769" s="3" t="s">
        <v>10</v>
      </c>
      <c r="E769" s="3" t="s">
        <v>2</v>
      </c>
      <c r="F769" s="4">
        <v>48.8</v>
      </c>
      <c r="G769" s="4">
        <v>16000</v>
      </c>
      <c r="H769" s="5">
        <f>[1]!РЕАЛИЗАЦИЯ[СОНИ]*[1]!РЕАЛИЗАЦИЯ[НАРХИ]</f>
        <v>2833500</v>
      </c>
      <c r="I769" s="4"/>
      <c r="J769" s="6">
        <v>13000</v>
      </c>
      <c r="K769" s="4">
        <f>[1]!РЕАЛИЗАЦИЯ[[#This Row],[СОНИ]]*[1]!РЕАЛИЗАЦИЯ[[#This Row],[ТАННАРХ]]</f>
        <v>0</v>
      </c>
      <c r="L769" s="7">
        <f>[1]!РЕАЛИЗАЦИЯ[[#This Row],[ЖАМИ]]-[1]!РЕАЛИЗАЦИЯ[[#This Row],[ЖАМИ2]]</f>
        <v>2833500</v>
      </c>
      <c r="O769" s="33">
        <v>46139</v>
      </c>
      <c r="P769" s="3" t="s">
        <v>68</v>
      </c>
      <c r="Q769" s="4">
        <v>20000000</v>
      </c>
      <c r="R769" s="4"/>
      <c r="S769" s="4"/>
      <c r="T769" s="5">
        <f>[1]!ПЛАТЕЖИ[[#This Row],[СЎМ]]+([1]!ПЛАТЕЖИ[[#This Row],[ВАЛЮТА]]*[1]!ПЛАТЕЖИ[[#This Row],[КУРС]])</f>
        <v>1430100</v>
      </c>
      <c r="U769" s="3"/>
      <c r="V769" s="3" t="s">
        <v>279</v>
      </c>
    </row>
    <row r="770" spans="2:22" x14ac:dyDescent="0.25">
      <c r="B770" s="8">
        <v>46134</v>
      </c>
      <c r="C770" s="9" t="s">
        <v>202</v>
      </c>
      <c r="D770" s="10" t="s">
        <v>1</v>
      </c>
      <c r="E770" s="10" t="s">
        <v>2</v>
      </c>
      <c r="F770" s="11">
        <v>1024.7</v>
      </c>
      <c r="G770" s="11">
        <v>23000</v>
      </c>
      <c r="H770" s="12">
        <f>[1]!РЕАЛИЗАЦИЯ[СОНИ]*[1]!РЕАЛИЗАЦИЯ[НАРХИ]</f>
        <v>1014000</v>
      </c>
      <c r="I770" s="11"/>
      <c r="J770" s="13">
        <v>23000</v>
      </c>
      <c r="K770" s="11">
        <f>[1]!РЕАЛИЗАЦИЯ[[#This Row],[СОНИ]]*[1]!РЕАЛИЗАЦИЯ[[#This Row],[ТАННАРХ]]</f>
        <v>0</v>
      </c>
      <c r="L770" s="14">
        <f>[1]!РЕАЛИЗАЦИЯ[[#This Row],[ЖАМИ]]-[1]!РЕАЛИЗАЦИЯ[[#This Row],[ЖАМИ2]]</f>
        <v>1014000</v>
      </c>
      <c r="O770" s="34">
        <v>46139</v>
      </c>
      <c r="P770" s="10" t="s">
        <v>202</v>
      </c>
      <c r="Q770" s="11">
        <v>9550000</v>
      </c>
      <c r="R770" s="11"/>
      <c r="S770" s="11"/>
      <c r="T770" s="12">
        <f>[1]!ПЛАТЕЖИ[[#This Row],[СЎМ]]+([1]!ПЛАТЕЖИ[[#This Row],[ВАЛЮТА]]*[1]!ПЛАТЕЖИ[[#This Row],[КУРС]])</f>
        <v>5592000</v>
      </c>
      <c r="U770" s="10"/>
      <c r="V770" s="10"/>
    </row>
    <row r="771" spans="2:22" x14ac:dyDescent="0.25">
      <c r="B771" s="1">
        <v>46135</v>
      </c>
      <c r="C771" s="2" t="s">
        <v>69</v>
      </c>
      <c r="D771" s="3" t="s">
        <v>10</v>
      </c>
      <c r="E771" s="3" t="s">
        <v>2</v>
      </c>
      <c r="F771" s="4">
        <v>98.5</v>
      </c>
      <c r="G771" s="4">
        <v>16000</v>
      </c>
      <c r="H771" s="5">
        <f>[1]!РЕАЛИЗАЦИЯ[СОНИ]*[1]!РЕАЛИЗАЦИЯ[НАРХИ]</f>
        <v>894300</v>
      </c>
      <c r="I771" s="4"/>
      <c r="J771" s="6">
        <v>14000</v>
      </c>
      <c r="K771" s="4">
        <f>[1]!РЕАЛИЗАЦИЯ[[#This Row],[СОНИ]]*[1]!РЕАЛИЗАЦИЯ[[#This Row],[ТАННАРХ]]</f>
        <v>0</v>
      </c>
      <c r="L771" s="7">
        <f>[1]!РЕАЛИЗАЦИЯ[[#This Row],[ЖАМИ]]-[1]!РЕАЛИЗАЦИЯ[[#This Row],[ЖАМИ2]]</f>
        <v>894300</v>
      </c>
      <c r="O771" s="33">
        <v>46140</v>
      </c>
      <c r="P771" s="3" t="s">
        <v>185</v>
      </c>
      <c r="Q771" s="4">
        <v>10344300</v>
      </c>
      <c r="R771" s="4"/>
      <c r="S771" s="4"/>
      <c r="T771" s="5">
        <f>[1]!ПЛАТЕЖИ[[#This Row],[СЎМ]]+([1]!ПЛАТЕЖИ[[#This Row],[ВАЛЮТА]]*[1]!ПЛАТЕЖИ[[#This Row],[КУРС]])</f>
        <v>800000</v>
      </c>
      <c r="U771" s="3"/>
      <c r="V771" s="3" t="s">
        <v>279</v>
      </c>
    </row>
    <row r="772" spans="2:22" x14ac:dyDescent="0.25">
      <c r="B772" s="8">
        <v>46135</v>
      </c>
      <c r="C772" s="9" t="s">
        <v>69</v>
      </c>
      <c r="D772" s="10" t="s">
        <v>29</v>
      </c>
      <c r="E772" s="10" t="s">
        <v>2</v>
      </c>
      <c r="F772" s="11">
        <v>211.3</v>
      </c>
      <c r="G772" s="11">
        <v>21000</v>
      </c>
      <c r="H772" s="12">
        <f>[1]!РЕАЛИЗАЦИЯ[СОНИ]*[1]!РЕАЛИЗАЦИЯ[НАРХИ]</f>
        <v>2005500</v>
      </c>
      <c r="I772" s="11"/>
      <c r="J772" s="13">
        <v>16000</v>
      </c>
      <c r="K772" s="11">
        <f>[1]!РЕАЛИЗАЦИЯ[[#This Row],[СОНИ]]*[1]!РЕАЛИЗАЦИЯ[[#This Row],[ТАННАРХ]]</f>
        <v>0</v>
      </c>
      <c r="L772" s="14">
        <f>[1]!РЕАЛИЗАЦИЯ[[#This Row],[ЖАМИ]]-[1]!РЕАЛИЗАЦИЯ[[#This Row],[ЖАМИ2]]</f>
        <v>2005500</v>
      </c>
      <c r="O772" s="34">
        <v>46140</v>
      </c>
      <c r="P772" s="10" t="s">
        <v>61</v>
      </c>
      <c r="Q772" s="11">
        <v>12000000</v>
      </c>
      <c r="R772" s="11"/>
      <c r="S772" s="11"/>
      <c r="T772" s="12">
        <f>[1]!ПЛАТЕЖИ[[#This Row],[СЎМ]]+([1]!ПЛАТЕЖИ[[#This Row],[ВАЛЮТА]]*[1]!ПЛАТЕЖИ[[#This Row],[КУРС]])</f>
        <v>1748900</v>
      </c>
      <c r="U772" s="10"/>
      <c r="V772" s="10" t="s">
        <v>279</v>
      </c>
    </row>
    <row r="773" spans="2:22" x14ac:dyDescent="0.25">
      <c r="B773" s="1">
        <v>46135</v>
      </c>
      <c r="C773" s="2" t="s">
        <v>12</v>
      </c>
      <c r="D773" s="3" t="s">
        <v>16</v>
      </c>
      <c r="E773" s="3" t="s">
        <v>2</v>
      </c>
      <c r="F773" s="4">
        <v>1591</v>
      </c>
      <c r="G773" s="4">
        <v>24000</v>
      </c>
      <c r="H773" s="5">
        <f>[1]!РЕАЛИЗАЦИЯ[СОНИ]*[1]!РЕАЛИЗАЦИЯ[НАРХИ]</f>
        <v>737600</v>
      </c>
      <c r="I773" s="4">
        <v>6</v>
      </c>
      <c r="J773" s="6">
        <v>20000</v>
      </c>
      <c r="K773" s="4">
        <f>[1]!РЕАЛИЗАЦИЯ[[#This Row],[СОНИ]]*[1]!РЕАЛИЗАЦИЯ[[#This Row],[ТАННАРХ]]</f>
        <v>0</v>
      </c>
      <c r="L773" s="7">
        <f>[1]!РЕАЛИЗАЦИЯ[[#This Row],[ЖАМИ]]-[1]!РЕАЛИЗАЦИЯ[[#This Row],[ЖАМИ2]]</f>
        <v>737600</v>
      </c>
      <c r="O773" s="33">
        <v>46140</v>
      </c>
      <c r="P773" s="3" t="s">
        <v>34</v>
      </c>
      <c r="Q773" s="4">
        <v>3279000</v>
      </c>
      <c r="R773" s="4"/>
      <c r="S773" s="4"/>
      <c r="T773" s="5">
        <f>[1]!ПЛАТЕЖИ[[#This Row],[СЎМ]]+([1]!ПЛАТЕЖИ[[#This Row],[ВАЛЮТА]]*[1]!ПЛАТЕЖИ[[#This Row],[КУРС]])</f>
        <v>2847600</v>
      </c>
      <c r="U773" s="3"/>
      <c r="V773" s="3" t="s">
        <v>279</v>
      </c>
    </row>
    <row r="774" spans="2:22" x14ac:dyDescent="0.25">
      <c r="B774" s="8">
        <v>46135</v>
      </c>
      <c r="C774" s="9" t="s">
        <v>185</v>
      </c>
      <c r="D774" s="10" t="s">
        <v>1</v>
      </c>
      <c r="E774" s="10" t="s">
        <v>2</v>
      </c>
      <c r="F774" s="11">
        <v>470.5</v>
      </c>
      <c r="G774" s="11">
        <v>24500</v>
      </c>
      <c r="H774" s="12">
        <f>[1]!РЕАЛИЗАЦИЯ[СОНИ]*[1]!РЕАЛИЗАЦИЯ[НАРХИ]</f>
        <v>2108400</v>
      </c>
      <c r="I774" s="11"/>
      <c r="J774" s="13">
        <v>23000</v>
      </c>
      <c r="K774" s="11">
        <f>[1]!РЕАЛИЗАЦИЯ[[#This Row],[СОНИ]]*[1]!РЕАЛИЗАЦИЯ[[#This Row],[ТАННАРХ]]</f>
        <v>0</v>
      </c>
      <c r="L774" s="14">
        <f>[1]!РЕАЛИЗАЦИЯ[[#This Row],[ЖАМИ]]-[1]!РЕАЛИЗАЦИЯ[[#This Row],[ЖАМИ2]]</f>
        <v>2108400</v>
      </c>
      <c r="O774" s="34">
        <v>46140</v>
      </c>
      <c r="P774" s="10" t="s">
        <v>34</v>
      </c>
      <c r="Q774" s="11">
        <v>6927000</v>
      </c>
      <c r="R774" s="11"/>
      <c r="S774" s="11"/>
      <c r="T774" s="12">
        <f>[1]!ПЛАТЕЖИ[[#This Row],[СЎМ]]+([1]!ПЛАТЕЖИ[[#This Row],[ВАЛЮТА]]*[1]!ПЛАТЕЖИ[[#This Row],[КУРС]])</f>
        <v>1119300</v>
      </c>
      <c r="U774" s="10"/>
      <c r="V774" s="10" t="s">
        <v>279</v>
      </c>
    </row>
    <row r="775" spans="2:22" x14ac:dyDescent="0.25">
      <c r="B775" s="1">
        <v>46135</v>
      </c>
      <c r="C775" s="2" t="s">
        <v>78</v>
      </c>
      <c r="D775" s="3" t="s">
        <v>10</v>
      </c>
      <c r="E775" s="3" t="s">
        <v>2</v>
      </c>
      <c r="F775" s="4">
        <v>50.9</v>
      </c>
      <c r="G775" s="4">
        <v>16000</v>
      </c>
      <c r="H775" s="5">
        <f>[1]!РЕАЛИЗАЦИЯ[СОНИ]*[1]!РЕАЛИЗАЦИЯ[НАРХИ]</f>
        <v>1984500</v>
      </c>
      <c r="I775" s="4"/>
      <c r="J775" s="6">
        <v>14000</v>
      </c>
      <c r="K775" s="4">
        <f>[1]!РЕАЛИЗАЦИЯ[[#This Row],[СОНИ]]*[1]!РЕАЛИЗАЦИЯ[[#This Row],[ТАННАРХ]]</f>
        <v>0</v>
      </c>
      <c r="L775" s="7">
        <f>[1]!РЕАЛИЗАЦИЯ[[#This Row],[ЖАМИ]]-[1]!РЕАЛИЗАЦИЯ[[#This Row],[ЖАМИ2]]</f>
        <v>1984500</v>
      </c>
      <c r="O775" s="33">
        <v>46140</v>
      </c>
      <c r="P775" s="3" t="s">
        <v>34</v>
      </c>
      <c r="Q775" s="4">
        <v>4858000</v>
      </c>
      <c r="R775" s="4"/>
      <c r="S775" s="4"/>
      <c r="T775" s="5">
        <f>[1]!ПЛАТЕЖИ[[#This Row],[СЎМ]]+([1]!ПЛАТЕЖИ[[#This Row],[ВАЛЮТА]]*[1]!ПЛАТЕЖИ[[#This Row],[КУРС]])</f>
        <v>1005600</v>
      </c>
      <c r="U775" s="3"/>
      <c r="V775" s="3" t="s">
        <v>279</v>
      </c>
    </row>
    <row r="776" spans="2:22" x14ac:dyDescent="0.25">
      <c r="B776" s="8">
        <v>46135</v>
      </c>
      <c r="C776" s="9" t="s">
        <v>78</v>
      </c>
      <c r="D776" s="10" t="s">
        <v>29</v>
      </c>
      <c r="E776" s="10" t="s">
        <v>2</v>
      </c>
      <c r="F776" s="11">
        <v>139.80000000000001</v>
      </c>
      <c r="G776" s="11">
        <v>20500</v>
      </c>
      <c r="H776" s="12">
        <f>[1]!РЕАЛИЗАЦИЯ[СОНИ]*[1]!РЕАЛИЗАЦИЯ[НАРХИ]</f>
        <v>987000</v>
      </c>
      <c r="I776" s="11"/>
      <c r="J776" s="13">
        <v>19000</v>
      </c>
      <c r="K776" s="11">
        <f>[1]!РЕАЛИЗАЦИЯ[[#This Row],[СОНИ]]*[1]!РЕАЛИЗАЦИЯ[[#This Row],[ТАННАРХ]]</f>
        <v>0</v>
      </c>
      <c r="L776" s="14">
        <f>[1]!РЕАЛИЗАЦИЯ[[#This Row],[ЖАМИ]]-[1]!РЕАЛИЗАЦИЯ[[#This Row],[ЖАМИ2]]</f>
        <v>987000</v>
      </c>
      <c r="O776" s="34">
        <v>46140</v>
      </c>
      <c r="P776" s="10" t="s">
        <v>89</v>
      </c>
      <c r="Q776" s="11">
        <v>2000000</v>
      </c>
      <c r="R776" s="11"/>
      <c r="S776" s="11"/>
      <c r="T776" s="12">
        <f>[1]!ПЛАТЕЖИ[[#This Row],[СЎМ]]+([1]!ПЛАТЕЖИ[[#This Row],[ВАЛЮТА]]*[1]!ПЛАТЕЖИ[[#This Row],[КУРС]])</f>
        <v>1006000</v>
      </c>
      <c r="U776" s="10"/>
      <c r="V776" s="10" t="s">
        <v>275</v>
      </c>
    </row>
    <row r="777" spans="2:22" x14ac:dyDescent="0.25">
      <c r="B777" s="1">
        <v>46135</v>
      </c>
      <c r="C777" s="2" t="s">
        <v>196</v>
      </c>
      <c r="D777" s="3" t="s">
        <v>1</v>
      </c>
      <c r="E777" s="3" t="s">
        <v>2</v>
      </c>
      <c r="F777" s="4">
        <v>40.200000000000003</v>
      </c>
      <c r="G777" s="4">
        <v>25000</v>
      </c>
      <c r="H777" s="5">
        <f>[1]!РЕАЛИЗАЦИЯ[СОНИ]*[1]!РЕАЛИЗАЦИЯ[НАРХИ]</f>
        <v>643200</v>
      </c>
      <c r="I777" s="4"/>
      <c r="J777" s="6">
        <v>23000</v>
      </c>
      <c r="K777" s="4">
        <f>[1]!РЕАЛИЗАЦИЯ[[#This Row],[СОНИ]]*[1]!РЕАЛИЗАЦИЯ[[#This Row],[ТАННАРХ]]</f>
        <v>0</v>
      </c>
      <c r="L777" s="7">
        <f>[1]!РЕАЛИЗАЦИЯ[[#This Row],[ЖАМИ]]-[1]!РЕАЛИЗАЦИЯ[[#This Row],[ЖАМИ2]]</f>
        <v>643200</v>
      </c>
      <c r="O777" s="33">
        <v>46140</v>
      </c>
      <c r="P777" s="3" t="s">
        <v>221</v>
      </c>
      <c r="Q777" s="4">
        <v>1500000</v>
      </c>
      <c r="R777" s="4"/>
      <c r="S777" s="4"/>
      <c r="T777" s="5">
        <f>[1]!ПЛАТЕЖИ[[#This Row],[СЎМ]]+([1]!ПЛАТЕЖИ[[#This Row],[ВАЛЮТА]]*[1]!ПЛАТЕЖИ[[#This Row],[КУРС]])</f>
        <v>771600</v>
      </c>
      <c r="U777" s="3"/>
      <c r="V777" s="3" t="s">
        <v>279</v>
      </c>
    </row>
    <row r="778" spans="2:22" x14ac:dyDescent="0.25">
      <c r="B778" s="8">
        <v>46135</v>
      </c>
      <c r="C778" s="9" t="s">
        <v>243</v>
      </c>
      <c r="D778" s="10" t="s">
        <v>1</v>
      </c>
      <c r="E778" s="10" t="s">
        <v>2</v>
      </c>
      <c r="F778" s="11">
        <v>86.2</v>
      </c>
      <c r="G778" s="11">
        <v>25000</v>
      </c>
      <c r="H778" s="12">
        <f>[1]!РЕАЛИЗАЦИЯ[СОНИ]*[1]!РЕАЛИЗАЦИЯ[НАРХИ]</f>
        <v>2009700</v>
      </c>
      <c r="I778" s="11"/>
      <c r="J778" s="13">
        <v>23000</v>
      </c>
      <c r="K778" s="11">
        <f>[1]!РЕАЛИЗАЦИЯ[[#This Row],[СОНИ]]*[1]!РЕАЛИЗАЦИЯ[[#This Row],[ТАННАРХ]]</f>
        <v>0</v>
      </c>
      <c r="L778" s="14">
        <f>[1]!РЕАЛИЗАЦИЯ[[#This Row],[ЖАМИ]]-[1]!РЕАЛИЗАЦИЯ[[#This Row],[ЖАМИ2]]</f>
        <v>2009700</v>
      </c>
      <c r="O778" s="34">
        <v>46140</v>
      </c>
      <c r="P778" s="10" t="s">
        <v>89</v>
      </c>
      <c r="Q778" s="11">
        <v>895000</v>
      </c>
      <c r="R778" s="11"/>
      <c r="S778" s="11"/>
      <c r="T778" s="12">
        <f>[1]!ПЛАТЕЖИ[[#This Row],[СЎМ]]+([1]!ПЛАТЕЖИ[[#This Row],[ВАЛЮТА]]*[1]!ПЛАТЕЖИ[[#This Row],[КУРС]])</f>
        <v>3000000</v>
      </c>
      <c r="U778" s="10"/>
      <c r="V778" s="10" t="s">
        <v>275</v>
      </c>
    </row>
    <row r="779" spans="2:22" x14ac:dyDescent="0.25">
      <c r="B779" s="1">
        <v>46135</v>
      </c>
      <c r="C779" s="2" t="s">
        <v>243</v>
      </c>
      <c r="D779" s="3" t="s">
        <v>10</v>
      </c>
      <c r="E779" s="3" t="s">
        <v>2</v>
      </c>
      <c r="F779" s="4">
        <v>49.9</v>
      </c>
      <c r="G779" s="4">
        <v>16000</v>
      </c>
      <c r="H779" s="5">
        <f>[1]!РЕАЛИЗАЦИЯ[СОНИ]*[1]!РЕАЛИЗАЦИЯ[НАРХИ]</f>
        <v>3288250</v>
      </c>
      <c r="I779" s="4"/>
      <c r="J779" s="6">
        <v>14000</v>
      </c>
      <c r="K779" s="4">
        <f>[1]!РЕАЛИЗАЦИЯ[[#This Row],[СОНИ]]*[1]!РЕАЛИЗАЦИЯ[[#This Row],[ТАННАРХ]]</f>
        <v>0</v>
      </c>
      <c r="L779" s="7">
        <f>[1]!РЕАЛИЗАЦИЯ[[#This Row],[ЖАМИ]]-[1]!РЕАЛИЗАЦИЯ[[#This Row],[ЖАМИ2]]</f>
        <v>3288250</v>
      </c>
      <c r="O779" s="33">
        <v>46140</v>
      </c>
      <c r="P779" s="3" t="s">
        <v>89</v>
      </c>
      <c r="Q779" s="4">
        <v>228000</v>
      </c>
      <c r="R779" s="4"/>
      <c r="S779" s="4"/>
      <c r="T779" s="5">
        <f>[1]!ПЛАТЕЖИ[[#This Row],[СЎМ]]+([1]!ПЛАТЕЖИ[[#This Row],[ВАЛЮТА]]*[1]!ПЛАТЕЖИ[[#This Row],[КУРС]])</f>
        <v>1981500</v>
      </c>
      <c r="U779" s="3"/>
      <c r="V779" s="3" t="s">
        <v>275</v>
      </c>
    </row>
    <row r="780" spans="2:22" x14ac:dyDescent="0.25">
      <c r="B780" s="8">
        <v>46135</v>
      </c>
      <c r="C780" s="9" t="s">
        <v>106</v>
      </c>
      <c r="D780" s="10" t="s">
        <v>1</v>
      </c>
      <c r="E780" s="10" t="s">
        <v>2</v>
      </c>
      <c r="F780" s="11">
        <v>140.69999999999999</v>
      </c>
      <c r="G780" s="11">
        <v>24000</v>
      </c>
      <c r="H780" s="12">
        <f>[1]!РЕАЛИЗАЦИЯ[СОНИ]*[1]!РЕАЛИЗАЦИЯ[НАРХИ]</f>
        <v>2079050</v>
      </c>
      <c r="I780" s="11"/>
      <c r="J780" s="13">
        <v>23000</v>
      </c>
      <c r="K780" s="11">
        <f>[1]!РЕАЛИЗАЦИЯ[[#This Row],[СОНИ]]*[1]!РЕАЛИЗАЦИЯ[[#This Row],[ТАННАРХ]]</f>
        <v>0</v>
      </c>
      <c r="L780" s="14">
        <f>[1]!РЕАЛИЗАЦИЯ[[#This Row],[ЖАМИ]]-[1]!РЕАЛИЗАЦИЯ[[#This Row],[ЖАМИ2]]</f>
        <v>2079050</v>
      </c>
      <c r="O780" s="34">
        <v>46140</v>
      </c>
      <c r="P780" s="10" t="s">
        <v>11</v>
      </c>
      <c r="Q780" s="11">
        <v>1031100</v>
      </c>
      <c r="R780" s="11"/>
      <c r="S780" s="11"/>
      <c r="T780" s="12">
        <f>[1]!ПЛАТЕЖИ[[#This Row],[СЎМ]]+([1]!ПЛАТЕЖИ[[#This Row],[ВАЛЮТА]]*[1]!ПЛАТЕЖИ[[#This Row],[КУРС]])</f>
        <v>1132000</v>
      </c>
      <c r="U780" s="10"/>
      <c r="V780" s="10" t="s">
        <v>279</v>
      </c>
    </row>
    <row r="781" spans="2:22" x14ac:dyDescent="0.25">
      <c r="B781" s="1">
        <v>46135</v>
      </c>
      <c r="C781" s="2" t="s">
        <v>106</v>
      </c>
      <c r="D781" s="3" t="s">
        <v>10</v>
      </c>
      <c r="E781" s="3" t="s">
        <v>2</v>
      </c>
      <c r="F781" s="4">
        <v>48.9</v>
      </c>
      <c r="G781" s="4">
        <v>16000</v>
      </c>
      <c r="H781" s="5">
        <f>[1]!РЕАЛИЗАЦИЯ[СОНИ]*[1]!РЕАЛИЗАЦИЯ[НАРХИ]</f>
        <v>800000</v>
      </c>
      <c r="I781" s="4"/>
      <c r="J781" s="6">
        <v>14000</v>
      </c>
      <c r="K781" s="4">
        <f>[1]!РЕАЛИЗАЦИЯ[[#This Row],[СОНИ]]*[1]!РЕАЛИЗАЦИЯ[[#This Row],[ТАННАРХ]]</f>
        <v>0</v>
      </c>
      <c r="L781" s="7">
        <f>[1]!РЕАЛИЗАЦИЯ[[#This Row],[ЖАМИ]]-[1]!РЕАЛИЗАЦИЯ[[#This Row],[ЖАМИ2]]</f>
        <v>800000</v>
      </c>
      <c r="O781" s="33">
        <v>46140</v>
      </c>
      <c r="P781" s="3" t="s">
        <v>206</v>
      </c>
      <c r="Q781" s="4">
        <v>908800</v>
      </c>
      <c r="R781" s="4"/>
      <c r="S781" s="4"/>
      <c r="T781" s="5">
        <f>[1]!ПЛАТЕЖИ[[#This Row],[СЎМ]]+([1]!ПЛАТЕЖИ[[#This Row],[ВАЛЮТА]]*[1]!ПЛАТЕЖИ[[#This Row],[КУРС]])</f>
        <v>30240000</v>
      </c>
      <c r="U781" s="3"/>
      <c r="V781" s="3"/>
    </row>
    <row r="782" spans="2:22" x14ac:dyDescent="0.25">
      <c r="B782" s="8">
        <v>46135</v>
      </c>
      <c r="C782" s="9" t="s">
        <v>15</v>
      </c>
      <c r="D782" s="10" t="s">
        <v>1</v>
      </c>
      <c r="E782" s="10" t="s">
        <v>2</v>
      </c>
      <c r="F782" s="11">
        <v>504.7</v>
      </c>
      <c r="G782" s="11">
        <v>25000</v>
      </c>
      <c r="H782" s="12">
        <f>[1]!РЕАЛИЗАЦИЯ[СОНИ]*[1]!РЕАЛИЗАЦИЯ[НАРХИ]</f>
        <v>5273100</v>
      </c>
      <c r="I782" s="11"/>
      <c r="J782" s="13">
        <v>23000</v>
      </c>
      <c r="K782" s="11">
        <f>[1]!РЕАЛИЗАЦИЯ[[#This Row],[СОНИ]]*[1]!РЕАЛИЗАЦИЯ[[#This Row],[ТАННАРХ]]</f>
        <v>0</v>
      </c>
      <c r="L782" s="14">
        <f>[1]!РЕАЛИЗАЦИЯ[[#This Row],[ЖАМИ]]-[1]!РЕАЛИЗАЦИЯ[[#This Row],[ЖАМИ2]]</f>
        <v>5273100</v>
      </c>
      <c r="O782" s="34">
        <v>46140</v>
      </c>
      <c r="P782" s="10" t="s">
        <v>51</v>
      </c>
      <c r="Q782" s="11">
        <v>1050000</v>
      </c>
      <c r="R782" s="11"/>
      <c r="S782" s="11"/>
      <c r="T782" s="12">
        <f>[1]!ПЛАТЕЖИ[[#This Row],[СЎМ]]+([1]!ПЛАТЕЖИ[[#This Row],[ВАЛЮТА]]*[1]!ПЛАТЕЖИ[[#This Row],[КУРС]])</f>
        <v>1095000</v>
      </c>
      <c r="U782" s="10"/>
      <c r="V782" s="10"/>
    </row>
    <row r="783" spans="2:22" x14ac:dyDescent="0.25">
      <c r="B783" s="1">
        <v>46136</v>
      </c>
      <c r="C783" s="2" t="s">
        <v>12</v>
      </c>
      <c r="D783" s="3" t="s">
        <v>10</v>
      </c>
      <c r="E783" s="3" t="s">
        <v>2</v>
      </c>
      <c r="F783" s="4">
        <v>692.9</v>
      </c>
      <c r="G783" s="4">
        <v>26000</v>
      </c>
      <c r="H783" s="5">
        <f>[1]!РЕАЛИЗАЦИЯ[СОНИ]*[1]!РЕАЛИЗАЦИЯ[НАРХИ]</f>
        <v>977400</v>
      </c>
      <c r="I783" s="4">
        <v>315</v>
      </c>
      <c r="J783" s="6">
        <v>21000</v>
      </c>
      <c r="K783" s="4">
        <f>[1]!РЕАЛИЗАЦИЯ[[#This Row],[СОНИ]]*[1]!РЕАЛИЗАЦИЯ[[#This Row],[ТАННАРХ]]</f>
        <v>0</v>
      </c>
      <c r="L783" s="7">
        <f>[1]!РЕАЛИЗАЦИЯ[[#This Row],[ЖАМИ]]-[1]!РЕАЛИЗАЦИЯ[[#This Row],[ЖАМИ2]]</f>
        <v>977400</v>
      </c>
      <c r="O783" s="33">
        <v>46140</v>
      </c>
      <c r="P783" s="3" t="s">
        <v>89</v>
      </c>
      <c r="Q783" s="4">
        <v>1260000</v>
      </c>
      <c r="R783" s="4"/>
      <c r="S783" s="4"/>
      <c r="T783" s="5">
        <f>[1]!ПЛАТЕЖИ[[#This Row],[СЎМ]]+([1]!ПЛАТЕЖИ[[#This Row],[ВАЛЮТА]]*[1]!ПЛАТЕЖИ[[#This Row],[КУРС]])</f>
        <v>3061800</v>
      </c>
      <c r="U783" s="3"/>
      <c r="V783" s="3"/>
    </row>
    <row r="784" spans="2:22" x14ac:dyDescent="0.25">
      <c r="B784" s="8">
        <v>46136</v>
      </c>
      <c r="C784" s="9" t="s">
        <v>157</v>
      </c>
      <c r="D784" s="10" t="s">
        <v>1</v>
      </c>
      <c r="E784" s="10" t="s">
        <v>2</v>
      </c>
      <c r="F784" s="11">
        <v>49.4</v>
      </c>
      <c r="G784" s="11">
        <v>25000</v>
      </c>
      <c r="H784" s="12">
        <f>[1]!РЕАЛИЗАЦИЯ[СОНИ]*[1]!РЕАЛИЗАЦИЯ[НАРХИ]</f>
        <v>6412800</v>
      </c>
      <c r="I784" s="11"/>
      <c r="J784" s="13">
        <v>23000</v>
      </c>
      <c r="K784" s="11">
        <f>[1]!РЕАЛИЗАЦИЯ[[#This Row],[СОНИ]]*[1]!РЕАЛИЗАЦИЯ[[#This Row],[ТАННАРХ]]</f>
        <v>0</v>
      </c>
      <c r="L784" s="14">
        <f>[1]!РЕАЛИЗАЦИЯ[[#This Row],[ЖАМИ]]-[1]!РЕАЛИЗАЦИЯ[[#This Row],[ЖАМИ2]]</f>
        <v>6412800</v>
      </c>
      <c r="O784" s="34">
        <v>46140</v>
      </c>
      <c r="P784" s="10" t="s">
        <v>200</v>
      </c>
      <c r="Q784" s="11">
        <v>1912000</v>
      </c>
      <c r="R784" s="11"/>
      <c r="S784" s="11"/>
      <c r="T784" s="12">
        <f>[1]!ПЛАТЕЖИ[[#This Row],[СЎМ]]+([1]!ПЛАТЕЖИ[[#This Row],[ВАЛЮТА]]*[1]!ПЛАТЕЖИ[[#This Row],[КУРС]])</f>
        <v>2100000</v>
      </c>
      <c r="U784" s="10"/>
      <c r="V784" s="10"/>
    </row>
    <row r="785" spans="2:22" x14ac:dyDescent="0.25">
      <c r="B785" s="1">
        <v>46136</v>
      </c>
      <c r="C785" s="2" t="s">
        <v>244</v>
      </c>
      <c r="D785" s="3" t="s">
        <v>1</v>
      </c>
      <c r="E785" s="3" t="s">
        <v>2</v>
      </c>
      <c r="F785" s="4">
        <v>59.7</v>
      </c>
      <c r="G785" s="4">
        <v>27000</v>
      </c>
      <c r="H785" s="5">
        <f>[1]!РЕАЛИЗАЦИЯ[СОНИ]*[1]!РЕАЛИЗАЦИЯ[НАРХИ]</f>
        <v>1992900.0000000002</v>
      </c>
      <c r="I785" s="4"/>
      <c r="J785" s="6">
        <v>25000</v>
      </c>
      <c r="K785" s="4">
        <f>[1]!РЕАЛИЗАЦИЯ[[#This Row],[СОНИ]]*[1]!РЕАЛИЗАЦИЯ[[#This Row],[ТАННАРХ]]</f>
        <v>0</v>
      </c>
      <c r="L785" s="7">
        <f>[1]!РЕАЛИЗАЦИЯ[[#This Row],[ЖАМИ]]-[1]!РЕАЛИЗАЦИЯ[[#This Row],[ЖАМИ2]]</f>
        <v>1992900</v>
      </c>
      <c r="O785" s="33">
        <v>46140</v>
      </c>
      <c r="P785" s="3" t="s">
        <v>48</v>
      </c>
      <c r="Q785" s="4">
        <v>1400000</v>
      </c>
      <c r="R785" s="4"/>
      <c r="S785" s="4"/>
      <c r="T785" s="5">
        <f>[1]!ПЛАТЕЖИ[[#This Row],[СЎМ]]+([1]!ПЛАТЕЖИ[[#This Row],[ВАЛЮТА]]*[1]!ПЛАТЕЖИ[[#This Row],[КУРС]])</f>
        <v>2144100</v>
      </c>
      <c r="U785" s="3"/>
      <c r="V785" s="3"/>
    </row>
    <row r="786" spans="2:22" x14ac:dyDescent="0.25">
      <c r="B786" s="8">
        <v>46136</v>
      </c>
      <c r="C786" s="9" t="s">
        <v>62</v>
      </c>
      <c r="D786" s="10" t="s">
        <v>10</v>
      </c>
      <c r="E786" s="10" t="s">
        <v>2</v>
      </c>
      <c r="F786" s="11">
        <v>48.3</v>
      </c>
      <c r="G786" s="11">
        <v>17000</v>
      </c>
      <c r="H786" s="12">
        <f>[1]!РЕАЛИЗАЦИЯ[СОНИ]*[1]!РЕАЛИЗАЦИЯ[НАРХИ]</f>
        <v>966000</v>
      </c>
      <c r="I786" s="11"/>
      <c r="J786" s="13">
        <v>15000</v>
      </c>
      <c r="K786" s="11">
        <f>[1]!РЕАЛИЗАЦИЯ[[#This Row],[СОНИ]]*[1]!РЕАЛИЗАЦИЯ[[#This Row],[ТАННАРХ]]</f>
        <v>0</v>
      </c>
      <c r="L786" s="14">
        <f>[1]!РЕАЛИЗАЦИЯ[[#This Row],[ЖАМИ]]-[1]!РЕАЛИЗАЦИЯ[[#This Row],[ЖАМИ2]]</f>
        <v>966000</v>
      </c>
      <c r="O786" s="34">
        <v>46141</v>
      </c>
      <c r="P786" s="10" t="s">
        <v>205</v>
      </c>
      <c r="Q786" s="11">
        <v>1022700</v>
      </c>
      <c r="R786" s="11"/>
      <c r="S786" s="11"/>
      <c r="T786" s="12">
        <f>[1]!ПЛАТЕЖИ[[#This Row],[СЎМ]]+([1]!ПЛАТЕЖИ[[#This Row],[ВАЛЮТА]]*[1]!ПЛАТЕЖИ[[#This Row],[КУРС]])</f>
        <v>1970000</v>
      </c>
      <c r="U786" s="10"/>
      <c r="V786" s="10" t="s">
        <v>279</v>
      </c>
    </row>
    <row r="787" spans="2:22" x14ac:dyDescent="0.25">
      <c r="B787" s="1">
        <v>46137</v>
      </c>
      <c r="C787" s="2" t="s">
        <v>9</v>
      </c>
      <c r="D787" s="3" t="s">
        <v>25</v>
      </c>
      <c r="E787" s="3" t="s">
        <v>2</v>
      </c>
      <c r="F787" s="4">
        <v>253.7</v>
      </c>
      <c r="G787" s="4">
        <v>30000</v>
      </c>
      <c r="H787" s="5">
        <f>[1]!РЕАЛИЗАЦИЯ[СОНИ]*[1]!РЕАЛИЗАЦИЯ[НАРХИ]</f>
        <v>864000</v>
      </c>
      <c r="I787" s="4"/>
      <c r="J787" s="6">
        <v>27000</v>
      </c>
      <c r="K787" s="4">
        <f>[1]!РЕАЛИЗАЦИЯ[[#This Row],[СОНИ]]*[1]!РЕАЛИЗАЦИЯ[[#This Row],[ТАННАРХ]]</f>
        <v>0</v>
      </c>
      <c r="L787" s="7">
        <f>[1]!РЕАЛИЗАЦИЯ[[#This Row],[ЖАМИ]]-[1]!РЕАЛИЗАЦИЯ[[#This Row],[ЖАМИ2]]</f>
        <v>864000</v>
      </c>
      <c r="O787" s="33">
        <v>46141</v>
      </c>
      <c r="P787" s="3" t="s">
        <v>41</v>
      </c>
      <c r="Q787" s="4">
        <v>2754000</v>
      </c>
      <c r="R787" s="4"/>
      <c r="S787" s="4"/>
      <c r="T787" s="5">
        <f>[1]!ПЛАТЕЖИ[[#This Row],[СЎМ]]+([1]!ПЛАТЕЖИ[[#This Row],[ВАЛЮТА]]*[1]!ПЛАТЕЖИ[[#This Row],[КУРС]])</f>
        <v>1012200</v>
      </c>
      <c r="U787" s="3"/>
      <c r="V787" s="3"/>
    </row>
    <row r="788" spans="2:22" x14ac:dyDescent="0.25">
      <c r="B788" s="8">
        <v>46137</v>
      </c>
      <c r="C788" s="9" t="s">
        <v>48</v>
      </c>
      <c r="D788" s="10" t="s">
        <v>8</v>
      </c>
      <c r="E788" s="10" t="s">
        <v>2</v>
      </c>
      <c r="F788" s="11">
        <v>211.3</v>
      </c>
      <c r="G788" s="11">
        <v>25000</v>
      </c>
      <c r="H788" s="12">
        <f>[1]!РЕАЛИЗАЦИЯ[СОНИ]*[1]!РЕАЛИЗАЦИЯ[НАРХИ]</f>
        <v>999600</v>
      </c>
      <c r="I788" s="11"/>
      <c r="J788" s="13">
        <v>24000</v>
      </c>
      <c r="K788" s="11">
        <f>[1]!РЕАЛИЗАЦИЯ[[#This Row],[СОНИ]]*[1]!РЕАЛИЗАЦИЯ[[#This Row],[ТАННАРХ]]</f>
        <v>0</v>
      </c>
      <c r="L788" s="14">
        <f>[1]!РЕАЛИЗАЦИЯ[[#This Row],[ЖАМИ]]-[1]!РЕАЛИЗАЦИЯ[[#This Row],[ЖАМИ2]]</f>
        <v>999600</v>
      </c>
      <c r="O788" s="34">
        <v>46141</v>
      </c>
      <c r="P788" s="10" t="s">
        <v>22</v>
      </c>
      <c r="Q788" s="11">
        <v>880000</v>
      </c>
      <c r="R788" s="11"/>
      <c r="S788" s="11"/>
      <c r="T788" s="12">
        <f>[1]!ПЛАТЕЖИ[[#This Row],[СЎМ]]+([1]!ПЛАТЕЖИ[[#This Row],[ВАЛЮТА]]*[1]!ПЛАТЕЖИ[[#This Row],[КУРС]])</f>
        <v>4810000</v>
      </c>
      <c r="U788" s="10"/>
      <c r="V788" s="10"/>
    </row>
    <row r="789" spans="2:22" x14ac:dyDescent="0.25">
      <c r="B789" s="1">
        <v>46137</v>
      </c>
      <c r="C789" s="2" t="s">
        <v>86</v>
      </c>
      <c r="D789" s="3" t="s">
        <v>10</v>
      </c>
      <c r="E789" s="3" t="s">
        <v>2</v>
      </c>
      <c r="F789" s="4">
        <v>104.5</v>
      </c>
      <c r="G789" s="4">
        <v>16000</v>
      </c>
      <c r="H789" s="5">
        <f>[1]!РЕАЛИЗАЦИЯ[СОНИ]*[1]!РЕАЛИЗАЦИЯ[НАРХИ]</f>
        <v>1073100</v>
      </c>
      <c r="I789" s="4" t="s">
        <v>245</v>
      </c>
      <c r="J789" s="6">
        <v>15000</v>
      </c>
      <c r="K789" s="4">
        <f>[1]!РЕАЛИЗАЦИЯ[[#This Row],[СОНИ]]*[1]!РЕАЛИЗАЦИЯ[[#This Row],[ТАННАРХ]]</f>
        <v>0</v>
      </c>
      <c r="L789" s="7">
        <f>[1]!РЕАЛИЗАЦИЯ[[#This Row],[ЖАМИ]]-[1]!РЕАЛИЗАЦИЯ[[#This Row],[ЖАМИ2]]</f>
        <v>1073100</v>
      </c>
      <c r="O789" s="33">
        <v>46142</v>
      </c>
      <c r="P789" s="3" t="s">
        <v>12</v>
      </c>
      <c r="Q789" s="4">
        <v>26912600</v>
      </c>
      <c r="R789" s="4"/>
      <c r="S789" s="4"/>
      <c r="T789" s="5">
        <f>[1]!ПЛАТЕЖИ[[#This Row],[СЎМ]]+([1]!ПЛАТЕЖИ[[#This Row],[ВАЛЮТА]]*[1]!ПЛАТЕЖИ[[#This Row],[КУРС]])</f>
        <v>3069000</v>
      </c>
      <c r="U789" s="3"/>
      <c r="V789" s="3" t="s">
        <v>279</v>
      </c>
    </row>
    <row r="790" spans="2:22" x14ac:dyDescent="0.25">
      <c r="B790" s="8">
        <v>46137</v>
      </c>
      <c r="C790" s="9" t="s">
        <v>86</v>
      </c>
      <c r="D790" s="10" t="s">
        <v>1</v>
      </c>
      <c r="E790" s="10" t="s">
        <v>2</v>
      </c>
      <c r="F790" s="11">
        <v>303</v>
      </c>
      <c r="G790" s="11">
        <v>25000</v>
      </c>
      <c r="H790" s="12">
        <f>[1]!РЕАЛИЗАЦИЯ[СОНИ]*[1]!РЕАЛИЗАЦИЯ[НАРХИ]</f>
        <v>686400</v>
      </c>
      <c r="I790" s="11" t="s">
        <v>245</v>
      </c>
      <c r="J790" s="13">
        <v>23000</v>
      </c>
      <c r="K790" s="11">
        <f>[1]!РЕАЛИЗАЦИЯ[[#This Row],[СОНИ]]*[1]!РЕАЛИЗАЦИЯ[[#This Row],[ТАННАРХ]]</f>
        <v>0</v>
      </c>
      <c r="L790" s="14">
        <f>[1]!РЕАЛИЗАЦИЯ[[#This Row],[ЖАМИ]]-[1]!РЕАЛИЗАЦИЯ[[#This Row],[ЖАМИ2]]</f>
        <v>686400</v>
      </c>
      <c r="O790" s="34">
        <v>46142</v>
      </c>
      <c r="P790" s="10" t="s">
        <v>68</v>
      </c>
      <c r="Q790" s="11">
        <v>10000000</v>
      </c>
      <c r="R790" s="11"/>
      <c r="S790" s="11"/>
      <c r="T790" s="12">
        <f>[1]!ПЛАТЕЖИ[[#This Row],[СЎМ]]+([1]!ПЛАТЕЖИ[[#This Row],[ВАЛЮТА]]*[1]!ПЛАТЕЖИ[[#This Row],[КУРС]])</f>
        <v>500500</v>
      </c>
      <c r="U790" s="10"/>
      <c r="V790" s="10" t="s">
        <v>279</v>
      </c>
    </row>
    <row r="791" spans="2:22" x14ac:dyDescent="0.25">
      <c r="B791" s="1">
        <v>46137</v>
      </c>
      <c r="C791" s="2" t="s">
        <v>78</v>
      </c>
      <c r="D791" s="3" t="s">
        <v>10</v>
      </c>
      <c r="E791" s="3" t="s">
        <v>2</v>
      </c>
      <c r="F791" s="4">
        <v>499.5</v>
      </c>
      <c r="G791" s="4">
        <v>16000</v>
      </c>
      <c r="H791" s="5">
        <f>[1]!РЕАЛИЗАЦИЯ[СОНИ]*[1]!РЕАЛИЗАЦИЯ[НАРХИ]</f>
        <v>3133199.9999999995</v>
      </c>
      <c r="I791" s="4"/>
      <c r="J791" s="6">
        <v>15000</v>
      </c>
      <c r="K791" s="4">
        <f>[1]!РЕАЛИЗАЦИЯ[[#This Row],[СОНИ]]*[1]!РЕАЛИЗАЦИЯ[[#This Row],[ТАННАРХ]]</f>
        <v>0</v>
      </c>
      <c r="L791" s="7">
        <f>[1]!РЕАЛИЗАЦИЯ[[#This Row],[ЖАМИ]]-[1]!РЕАЛИЗАЦИЯ[[#This Row],[ЖАМИ2]]</f>
        <v>3133199.9999999995</v>
      </c>
      <c r="O791" s="33"/>
      <c r="P791" s="3"/>
      <c r="Q791" s="4"/>
      <c r="R791" s="4"/>
      <c r="S791" s="4"/>
      <c r="T791" s="5">
        <f>[1]!ПЛАТЕЖИ[[#This Row],[СЎМ]]+([1]!ПЛАТЕЖИ[[#This Row],[ВАЛЮТА]]*[1]!ПЛАТЕЖИ[[#This Row],[КУРС]])</f>
        <v>742000</v>
      </c>
      <c r="U791" s="3"/>
      <c r="V791" s="3"/>
    </row>
    <row r="792" spans="2:22" x14ac:dyDescent="0.25">
      <c r="B792" s="8">
        <v>46137</v>
      </c>
      <c r="C792" s="9" t="s">
        <v>33</v>
      </c>
      <c r="D792" s="10" t="s">
        <v>10</v>
      </c>
      <c r="E792" s="10" t="s">
        <v>2</v>
      </c>
      <c r="F792" s="11">
        <v>499.8</v>
      </c>
      <c r="G792" s="11">
        <v>16000</v>
      </c>
      <c r="H792" s="12">
        <f>[1]!РЕАЛИЗАЦИЯ[СОНИ]*[1]!РЕАЛИЗАЦИЯ[НАРХИ]</f>
        <v>894400</v>
      </c>
      <c r="I792" s="11"/>
      <c r="J792" s="13">
        <v>15000</v>
      </c>
      <c r="K792" s="11">
        <f>[1]!РЕАЛИЗАЦИЯ[[#This Row],[СОНИ]]*[1]!РЕАЛИЗАЦИЯ[[#This Row],[ТАННАРХ]]</f>
        <v>0</v>
      </c>
      <c r="L792" s="14">
        <f>[1]!РЕАЛИЗАЦИЯ[[#This Row],[ЖАМИ]]-[1]!РЕАЛИЗАЦИЯ[[#This Row],[ЖАМИ2]]</f>
        <v>894400</v>
      </c>
      <c r="O792" s="34"/>
      <c r="P792" s="10"/>
      <c r="Q792" s="11"/>
      <c r="R792" s="11"/>
      <c r="S792" s="11"/>
      <c r="T792" s="12">
        <f>[1]!ПЛАТЕЖИ[[#This Row],[СЎМ]]+([1]!ПЛАТЕЖИ[[#This Row],[ВАЛЮТА]]*[1]!ПЛАТЕЖИ[[#This Row],[КУРС]])</f>
        <v>771200</v>
      </c>
      <c r="U792" s="10"/>
      <c r="V792" s="10"/>
    </row>
    <row r="793" spans="2:22" x14ac:dyDescent="0.25">
      <c r="B793" s="1">
        <v>46137</v>
      </c>
      <c r="C793" s="2" t="s">
        <v>33</v>
      </c>
      <c r="D793" s="3" t="s">
        <v>10</v>
      </c>
      <c r="E793" s="3" t="s">
        <v>2</v>
      </c>
      <c r="F793" s="4">
        <v>411.9</v>
      </c>
      <c r="G793" s="4">
        <v>16000</v>
      </c>
      <c r="H793" s="5">
        <f>[1]!РЕАЛИЗАЦИЯ[СОНИ]*[1]!РЕАЛИЗАЦИЯ[НАРХИ]</f>
        <v>1117200</v>
      </c>
      <c r="I793" s="4"/>
      <c r="J793" s="6">
        <v>15000</v>
      </c>
      <c r="K793" s="4">
        <f>[1]!РЕАЛИЗАЦИЯ[[#This Row],[СОНИ]]*[1]!РЕАЛИЗАЦИЯ[[#This Row],[ТАННАРХ]]</f>
        <v>0</v>
      </c>
      <c r="L793" s="7">
        <f>[1]!РЕАЛИЗАЦИЯ[[#This Row],[ЖАМИ]]-[1]!РЕАЛИЗАЦИЯ[[#This Row],[ЖАМИ2]]</f>
        <v>1117200</v>
      </c>
      <c r="O793" s="33">
        <v>46143</v>
      </c>
      <c r="P793" s="3" t="s">
        <v>89</v>
      </c>
      <c r="Q793" s="4">
        <v>11420000</v>
      </c>
      <c r="R793" s="4"/>
      <c r="S793" s="4"/>
      <c r="T793" s="5">
        <f>[1]!ПЛАТЕЖИ[[#This Row],[СЎМ]]+([1]!ПЛАТЕЖИ[[#This Row],[ВАЛЮТА]]*[1]!ПЛАТЕЖИ[[#This Row],[КУРС]])</f>
        <v>500000</v>
      </c>
      <c r="U793" s="3"/>
      <c r="V793" s="3"/>
    </row>
    <row r="794" spans="2:22" x14ac:dyDescent="0.25">
      <c r="B794" s="8">
        <v>46137</v>
      </c>
      <c r="C794" s="9" t="s">
        <v>33</v>
      </c>
      <c r="D794" s="10" t="s">
        <v>1</v>
      </c>
      <c r="E794" s="10" t="s">
        <v>2</v>
      </c>
      <c r="F794" s="11">
        <v>95.7</v>
      </c>
      <c r="G794" s="11">
        <v>25000</v>
      </c>
      <c r="H794" s="12">
        <f>[1]!РЕАЛИЗАЦИЯ[СОНИ]*[1]!РЕАЛИЗАЦИЯ[НАРХИ]</f>
        <v>1917300</v>
      </c>
      <c r="I794" s="11"/>
      <c r="J794" s="13">
        <v>23000</v>
      </c>
      <c r="K794" s="11">
        <f>[1]!РЕАЛИЗАЦИЯ[[#This Row],[СОНИ]]*[1]!РЕАЛИЗАЦИЯ[[#This Row],[ТАННАРХ]]</f>
        <v>0</v>
      </c>
      <c r="L794" s="14">
        <f>[1]!РЕАЛИЗАЦИЯ[[#This Row],[ЖАМИ]]-[1]!РЕАЛИЗАЦИЯ[[#This Row],[ЖАМИ2]]</f>
        <v>1917300</v>
      </c>
      <c r="O794" s="34">
        <v>46143</v>
      </c>
      <c r="P794" s="10" t="s">
        <v>65</v>
      </c>
      <c r="Q794" s="11">
        <v>10000000</v>
      </c>
      <c r="R794" s="11"/>
      <c r="S794" s="11"/>
      <c r="T794" s="12">
        <f>[1]!ПЛАТЕЖИ[[#This Row],[СЎМ]]+([1]!ПЛАТЕЖИ[[#This Row],[ВАЛЮТА]]*[1]!ПЛАТЕЖИ[[#This Row],[КУРС]])</f>
        <v>260000</v>
      </c>
      <c r="U794" s="10"/>
      <c r="V794" s="10" t="s">
        <v>279</v>
      </c>
    </row>
    <row r="795" spans="2:22" x14ac:dyDescent="0.25">
      <c r="B795" s="1">
        <v>46137</v>
      </c>
      <c r="C795" s="2" t="s">
        <v>33</v>
      </c>
      <c r="D795" s="3" t="s">
        <v>10</v>
      </c>
      <c r="E795" s="3" t="s">
        <v>2</v>
      </c>
      <c r="F795" s="4">
        <v>504.8</v>
      </c>
      <c r="G795" s="4">
        <v>16000</v>
      </c>
      <c r="H795" s="5">
        <f>[1]!РЕАЛИЗАЦИЯ[СОНИ]*[1]!РЕАЛИЗАЦИЯ[НАРХИ]</f>
        <v>1722000</v>
      </c>
      <c r="I795" s="4"/>
      <c r="J795" s="6">
        <v>15000</v>
      </c>
      <c r="K795" s="4">
        <f>[1]!РЕАЛИЗАЦИЯ[[#This Row],[СОНИ]]*[1]!РЕАЛИЗАЦИЯ[[#This Row],[ТАННАРХ]]</f>
        <v>0</v>
      </c>
      <c r="L795" s="7">
        <f>[1]!РЕАЛИЗАЦИЯ[[#This Row],[ЖАМИ]]-[1]!РЕАЛИЗАЦИЯ[[#This Row],[ЖАМИ2]]</f>
        <v>1722000</v>
      </c>
      <c r="O795" s="33">
        <v>46143</v>
      </c>
      <c r="P795" s="3" t="s">
        <v>189</v>
      </c>
      <c r="Q795" s="4">
        <v>1000000</v>
      </c>
      <c r="R795" s="4"/>
      <c r="S795" s="4"/>
      <c r="T795" s="5">
        <f>[1]!ПЛАТЕЖИ[[#This Row],[СЎМ]]+([1]!ПЛАТЕЖИ[[#This Row],[ВАЛЮТА]]*[1]!ПЛАТЕЖИ[[#This Row],[КУРС]])</f>
        <v>1992900</v>
      </c>
      <c r="U795" s="3"/>
      <c r="V795" s="3" t="s">
        <v>275</v>
      </c>
    </row>
    <row r="796" spans="2:22" x14ac:dyDescent="0.25">
      <c r="B796" s="8">
        <v>46139</v>
      </c>
      <c r="C796" s="9" t="s">
        <v>41</v>
      </c>
      <c r="D796" s="10" t="s">
        <v>1</v>
      </c>
      <c r="E796" s="10" t="s">
        <v>2</v>
      </c>
      <c r="F796" s="11">
        <v>102</v>
      </c>
      <c r="G796" s="11">
        <v>27000</v>
      </c>
      <c r="H796" s="12">
        <f>[1]!РЕАЛИЗАЦИЯ[СОНИ]*[1]!РЕАЛИЗАЦИЯ[НАРХИ]</f>
        <v>9519700</v>
      </c>
      <c r="I796" s="11"/>
      <c r="J796" s="13">
        <v>25000</v>
      </c>
      <c r="K796" s="11">
        <f>[1]!РЕАЛИЗАЦИЯ[[#This Row],[СОНИ]]*[1]!РЕАЛИЗАЦИЯ[[#This Row],[ТАННАРХ]]</f>
        <v>0</v>
      </c>
      <c r="L796" s="14">
        <f>[1]!РЕАЛИЗАЦИЯ[[#This Row],[ЖАМИ]]-[1]!РЕАЛИЗАЦИЯ[[#This Row],[ЖАМИ2]]</f>
        <v>9519700</v>
      </c>
      <c r="O796" s="34">
        <v>46143</v>
      </c>
      <c r="P796" s="10" t="s">
        <v>26</v>
      </c>
      <c r="Q796" s="11">
        <v>1584000</v>
      </c>
      <c r="R796" s="11"/>
      <c r="S796" s="11"/>
      <c r="T796" s="12">
        <f>[1]!ПЛАТЕЖИ[[#This Row],[СЎМ]]+([1]!ПЛАТЕЖИ[[#This Row],[ВАЛЮТА]]*[1]!ПЛАТЕЖИ[[#This Row],[КУРС]])</f>
        <v>3000000</v>
      </c>
      <c r="U796" s="10"/>
      <c r="V796" s="10" t="s">
        <v>275</v>
      </c>
    </row>
    <row r="797" spans="2:22" x14ac:dyDescent="0.25">
      <c r="B797" s="1">
        <v>46139</v>
      </c>
      <c r="C797" s="2" t="s">
        <v>99</v>
      </c>
      <c r="D797" s="3" t="s">
        <v>10</v>
      </c>
      <c r="E797" s="3" t="s">
        <v>2</v>
      </c>
      <c r="F797" s="4">
        <v>50.3</v>
      </c>
      <c r="G797" s="4">
        <v>17000</v>
      </c>
      <c r="H797" s="5">
        <f>[1]!РЕАЛИЗАЦИЯ[СОНИ]*[1]!РЕАЛИЗАЦИЯ[НАРХИ]</f>
        <v>34356000</v>
      </c>
      <c r="I797" s="4"/>
      <c r="J797" s="6">
        <v>15000</v>
      </c>
      <c r="K797" s="4">
        <f>[1]!РЕАЛИЗАЦИЯ[[#This Row],[СОНИ]]*[1]!РЕАЛИЗАЦИЯ[[#This Row],[ТАННАРХ]]</f>
        <v>48176928000</v>
      </c>
      <c r="L797" s="7">
        <f>[1]!РЕАЛИЗАЦИЯ[[#This Row],[ЖАМИ]]-[1]!РЕАЛИЗАЦИЯ[[#This Row],[ЖАМИ2]]</f>
        <v>34354364</v>
      </c>
      <c r="O797" s="33">
        <v>46143</v>
      </c>
      <c r="P797" s="3" t="s">
        <v>13</v>
      </c>
      <c r="Q797" s="4">
        <v>886200</v>
      </c>
      <c r="R797" s="4"/>
      <c r="S797" s="4"/>
      <c r="T797" s="5">
        <f>[1]!ПЛАТЕЖИ[[#This Row],[СЎМ]]+([1]!ПЛАТЕЖИ[[#This Row],[ВАЛЮТА]]*[1]!ПЛАТЕЖИ[[#This Row],[КУРС]])</f>
        <v>20000000</v>
      </c>
      <c r="U797" s="3"/>
      <c r="V797" s="3" t="s">
        <v>275</v>
      </c>
    </row>
    <row r="798" spans="2:22" x14ac:dyDescent="0.25">
      <c r="B798" s="8">
        <v>46139</v>
      </c>
      <c r="C798" s="9" t="s">
        <v>12</v>
      </c>
      <c r="D798" s="10" t="s">
        <v>10</v>
      </c>
      <c r="E798" s="10" t="s">
        <v>2</v>
      </c>
      <c r="F798" s="11">
        <v>342.2</v>
      </c>
      <c r="G798" s="11">
        <v>26000</v>
      </c>
      <c r="H798" s="12">
        <f>[1]!РЕАЛИЗАЦИЯ[СОНИ]*[1]!РЕАЛИЗАЦИЯ[НАРХИ]</f>
        <v>8413400</v>
      </c>
      <c r="I798" s="11">
        <v>315</v>
      </c>
      <c r="J798" s="13">
        <v>21000</v>
      </c>
      <c r="K798" s="11">
        <f>[1]!РЕАЛИЗАЦИЯ[[#This Row],[СОНИ]]*[1]!РЕАЛИЗАЦИЯ[[#This Row],[ТАННАРХ]]</f>
        <v>2743097620</v>
      </c>
      <c r="L798" s="14">
        <f>[1]!РЕАЛИЗАЦИЯ[[#This Row],[ЖАМИ]]-[1]!РЕАЛИЗАЦИЯ[[#This Row],[ЖАМИ2]]</f>
        <v>8413034.1999999993</v>
      </c>
      <c r="O798" s="34">
        <v>46143</v>
      </c>
      <c r="P798" s="10" t="s">
        <v>278</v>
      </c>
      <c r="Q798" s="11">
        <v>500000</v>
      </c>
      <c r="R798" s="11"/>
      <c r="S798" s="11"/>
      <c r="T798" s="12">
        <f>[1]!ПЛАТЕЖИ[[#This Row],[СЎМ]]+([1]!ПЛАТЕЖИ[[#This Row],[ВАЛЮТА]]*[1]!ПЛАТЕЖИ[[#This Row],[КУРС]])</f>
        <v>500000</v>
      </c>
      <c r="U798" s="10"/>
      <c r="V798" s="10" t="s">
        <v>275</v>
      </c>
    </row>
    <row r="799" spans="2:22" x14ac:dyDescent="0.25">
      <c r="B799" s="1">
        <v>46139</v>
      </c>
      <c r="C799" s="2" t="s">
        <v>246</v>
      </c>
      <c r="D799" s="3" t="s">
        <v>1</v>
      </c>
      <c r="E799" s="3" t="s">
        <v>2</v>
      </c>
      <c r="F799" s="4">
        <v>49.9</v>
      </c>
      <c r="G799" s="4">
        <v>27000</v>
      </c>
      <c r="H799" s="5">
        <f>[1]!РЕАЛИЗАЦИЯ[СОНИ]*[1]!РЕАЛИЗАЦИЯ[НАРХИ]</f>
        <v>2153800</v>
      </c>
      <c r="I799" s="4"/>
      <c r="J799" s="6">
        <v>25000</v>
      </c>
      <c r="K799" s="4">
        <f>[1]!РЕАЛИЗАЦИЯ[[#This Row],[СОНИ]]*[1]!РЕАЛИЗАЦИЯ[[#This Row],[ТАННАРХ]]</f>
        <v>0</v>
      </c>
      <c r="L799" s="7">
        <f>[1]!РЕАЛИЗАЦИЯ[[#This Row],[ЖАМИ]]-[1]!РЕАЛИЗАЦИЯ[[#This Row],[ЖАМИ2]]</f>
        <v>2153800</v>
      </c>
      <c r="O799" s="33">
        <v>46143</v>
      </c>
      <c r="P799" s="3" t="s">
        <v>89</v>
      </c>
      <c r="Q799" s="4">
        <v>1480000</v>
      </c>
      <c r="R799" s="4"/>
      <c r="S799" s="4"/>
      <c r="T799" s="5">
        <f>[1]!ПЛАТЕЖИ[[#This Row],[СЎМ]]+([1]!ПЛАТЕЖИ[[#This Row],[ВАЛЮТА]]*[1]!ПЛАТЕЖИ[[#This Row],[КУРС]])</f>
        <v>360000</v>
      </c>
      <c r="U799" s="3"/>
      <c r="V799" s="3" t="s">
        <v>275</v>
      </c>
    </row>
    <row r="800" spans="2:22" x14ac:dyDescent="0.25">
      <c r="B800" s="8">
        <v>46139</v>
      </c>
      <c r="C800" s="9" t="s">
        <v>34</v>
      </c>
      <c r="D800" s="10" t="s">
        <v>10</v>
      </c>
      <c r="E800" s="10" t="s">
        <v>2</v>
      </c>
      <c r="F800" s="11">
        <v>358.5</v>
      </c>
      <c r="G800" s="11">
        <v>18000</v>
      </c>
      <c r="H800" s="12">
        <f>[1]!РЕАЛИЗАЦИЯ[СОНИ]*[1]!РЕАЛИЗАЦИЯ[НАРХИ]</f>
        <v>-864000</v>
      </c>
      <c r="I800" s="11"/>
      <c r="J800" s="13">
        <v>15000</v>
      </c>
      <c r="K800" s="11">
        <f>[1]!РЕАЛИЗАЦИЯ[[#This Row],[СОНИ]]*[1]!РЕАЛИЗАЦИЯ[[#This Row],[ТАННАРХ]]</f>
        <v>0</v>
      </c>
      <c r="L800" s="14">
        <f>[1]!РЕАЛИЗАЦИЯ[[#This Row],[ЖАМИ]]-[1]!РЕАЛИЗАЦИЯ[[#This Row],[ЖАМИ2]]</f>
        <v>-864000</v>
      </c>
      <c r="O800" s="34">
        <v>46143</v>
      </c>
      <c r="P800" s="10" t="s">
        <v>27</v>
      </c>
      <c r="Q800" s="11">
        <v>22400000</v>
      </c>
      <c r="R800" s="11"/>
      <c r="S800" s="11"/>
      <c r="T800" s="12">
        <f>[1]!ПЛАТЕЖИ[[#This Row],[СЎМ]]+([1]!ПЛАТЕЖИ[[#This Row],[ВАЛЮТА]]*[1]!ПЛАТЕЖИ[[#This Row],[КУРС]])</f>
        <v>867300</v>
      </c>
      <c r="U800" s="10"/>
      <c r="V800" s="10" t="s">
        <v>279</v>
      </c>
    </row>
    <row r="801" spans="2:22" x14ac:dyDescent="0.25">
      <c r="B801" s="1">
        <v>46139</v>
      </c>
      <c r="C801" s="2" t="s">
        <v>34</v>
      </c>
      <c r="D801" s="3" t="s">
        <v>1</v>
      </c>
      <c r="E801" s="3" t="s">
        <v>2</v>
      </c>
      <c r="F801" s="4">
        <v>100.4</v>
      </c>
      <c r="G801" s="4">
        <v>28000</v>
      </c>
      <c r="H801" s="5">
        <f>[1]!РЕАЛИЗАЦИЯ[СОНИ]*[1]!РЕАЛИЗАЦИЯ[НАРХИ]</f>
        <v>-3133199.9999999995</v>
      </c>
      <c r="I801" s="4"/>
      <c r="J801" s="6">
        <v>25000</v>
      </c>
      <c r="K801" s="4">
        <f>[1]!РЕАЛИЗАЦИЯ[[#This Row],[СОНИ]]*[1]!РЕАЛИЗАЦИЯ[[#This Row],[ТАННАРХ]]</f>
        <v>0</v>
      </c>
      <c r="L801" s="7">
        <f>[1]!РЕАЛИЗАЦИЯ[[#This Row],[ЖАМИ]]-[1]!РЕАЛИЗАЦИЯ[[#This Row],[ЖАМИ2]]</f>
        <v>-3133199.9999999995</v>
      </c>
      <c r="O801" s="33">
        <v>46143</v>
      </c>
      <c r="P801" s="3" t="s">
        <v>220</v>
      </c>
      <c r="Q801" s="4">
        <v>700000</v>
      </c>
      <c r="R801" s="4"/>
      <c r="S801" s="4"/>
      <c r="T801" s="5">
        <f>[1]!ПЛАТЕЖИ[[#This Row],[СЎМ]]+([1]!ПЛАТЕЖИ[[#This Row],[ВАЛЮТА]]*[1]!ПЛАТЕЖИ[[#This Row],[КУРС]])</f>
        <v>1133550</v>
      </c>
      <c r="U801" s="3"/>
      <c r="V801" s="3"/>
    </row>
    <row r="802" spans="2:22" x14ac:dyDescent="0.25">
      <c r="B802" s="8">
        <v>46139</v>
      </c>
      <c r="C802" s="9" t="s">
        <v>34</v>
      </c>
      <c r="D802" s="10" t="s">
        <v>10</v>
      </c>
      <c r="E802" s="10" t="s">
        <v>2</v>
      </c>
      <c r="F802" s="11">
        <v>194.3</v>
      </c>
      <c r="G802" s="11">
        <v>18000</v>
      </c>
      <c r="H802" s="12">
        <f>[1]!РЕАЛИЗАЦИЯ[СОНИ]*[1]!РЕАЛИЗАЦИЯ[НАРХИ]</f>
        <v>-894400</v>
      </c>
      <c r="I802" s="11"/>
      <c r="J802" s="13">
        <v>15000</v>
      </c>
      <c r="K802" s="11">
        <f>[1]!РЕАЛИЗАЦИЯ[[#This Row],[СОНИ]]*[1]!РЕАЛИЗАЦИЯ[[#This Row],[ТАННАРХ]]</f>
        <v>0</v>
      </c>
      <c r="L802" s="14">
        <f>[1]!РЕАЛИЗАЦИЯ[[#This Row],[ЖАМИ]]-[1]!РЕАЛИЗАЦИЯ[[#This Row],[ЖАМИ2]]</f>
        <v>-894400</v>
      </c>
      <c r="O802" s="34">
        <v>46143</v>
      </c>
      <c r="P802" s="10" t="s">
        <v>55</v>
      </c>
      <c r="Q802" s="11">
        <v>808500</v>
      </c>
      <c r="R802" s="11"/>
      <c r="S802" s="11"/>
      <c r="T802" s="12">
        <f>[1]!ПЛАТЕЖИ[[#This Row],[СЎМ]]+([1]!ПЛАТЕЖИ[[#This Row],[ВАЛЮТА]]*[1]!ПЛАТЕЖИ[[#This Row],[КУРС]])</f>
        <v>2116000</v>
      </c>
      <c r="U802" s="10"/>
      <c r="V802" s="10" t="s">
        <v>275</v>
      </c>
    </row>
    <row r="803" spans="2:22" x14ac:dyDescent="0.25">
      <c r="B803" s="1">
        <v>46139</v>
      </c>
      <c r="C803" s="2" t="s">
        <v>34</v>
      </c>
      <c r="D803" s="3" t="s">
        <v>1</v>
      </c>
      <c r="E803" s="3" t="s">
        <v>2</v>
      </c>
      <c r="F803" s="4">
        <v>208.7</v>
      </c>
      <c r="G803" s="4">
        <v>28000</v>
      </c>
      <c r="H803" s="5">
        <f>[1]!РЕАЛИЗАЦИЯ[СОНИ]*[1]!РЕАЛИЗАЦИЯ[НАРХИ]</f>
        <v>22933300</v>
      </c>
      <c r="I803" s="4"/>
      <c r="J803" s="6">
        <v>25000</v>
      </c>
      <c r="K803" s="4">
        <f>[1]!РЕАЛИЗАЦИЯ[[#This Row],[СОНИ]]*[1]!РЕАЛИЗАЦИЯ[[#This Row],[ТАННАРХ]]</f>
        <v>19884168200</v>
      </c>
      <c r="L803" s="7">
        <f>[1]!РЕАЛИЗАЦИЯ[[#This Row],[ЖАМИ]]-[1]!РЕАЛИЗАЦИЯ[[#This Row],[ЖАМИ2]]</f>
        <v>22932302.899999999</v>
      </c>
      <c r="O803" s="33">
        <v>46144</v>
      </c>
      <c r="P803" s="3" t="s">
        <v>146</v>
      </c>
      <c r="Q803" s="4">
        <v>2131500</v>
      </c>
      <c r="R803" s="4"/>
      <c r="S803" s="4"/>
      <c r="T803" s="5">
        <f>[1]!ПЛАТЕЖИ[[#This Row],[СЎМ]]+([1]!ПЛАТЕЖИ[[#This Row],[ВАЛЮТА]]*[1]!ПЛАТЕЖИ[[#This Row],[КУРС]])</f>
        <v>15004470</v>
      </c>
      <c r="U803" s="3"/>
      <c r="V803" s="3" t="s">
        <v>275</v>
      </c>
    </row>
    <row r="804" spans="2:22" x14ac:dyDescent="0.25">
      <c r="B804" s="8">
        <v>46139</v>
      </c>
      <c r="C804" s="9" t="s">
        <v>34</v>
      </c>
      <c r="D804" s="10" t="s">
        <v>10</v>
      </c>
      <c r="E804" s="10" t="s">
        <v>2</v>
      </c>
      <c r="F804" s="11">
        <v>345.5</v>
      </c>
      <c r="G804" s="11">
        <v>18000</v>
      </c>
      <c r="H804" s="12">
        <f>[1]!РЕАЛИЗАЦИЯ[СОНИ]*[1]!РЕАЛИЗАЦИЯ[НАРХИ]</f>
        <v>894400</v>
      </c>
      <c r="I804" s="11"/>
      <c r="J804" s="13">
        <v>15000</v>
      </c>
      <c r="K804" s="11">
        <f>[1]!РЕАЛИЗАЦИЯ[[#This Row],[СОНИ]]*[1]!РЕАЛИЗАЦИЯ[[#This Row],[ТАННАРХ]]</f>
        <v>0</v>
      </c>
      <c r="L804" s="14">
        <f>[1]!РЕАЛИЗАЦИЯ[[#This Row],[ЖАМИ]]-[1]!РЕАЛИЗАЦИЯ[[#This Row],[ЖАМИ2]]</f>
        <v>894400</v>
      </c>
      <c r="O804" s="34">
        <v>46144</v>
      </c>
      <c r="P804" s="10" t="s">
        <v>28</v>
      </c>
      <c r="Q804" s="11"/>
      <c r="R804" s="11">
        <v>50</v>
      </c>
      <c r="S804" s="11">
        <v>11900</v>
      </c>
      <c r="T804" s="12">
        <f>[1]!ПЛАТЕЖИ[[#This Row],[СЎМ]]+([1]!ПЛАТЕЖИ[[#This Row],[ВАЛЮТА]]*[1]!ПЛАТЕЖИ[[#This Row],[КУРС]])</f>
        <v>2420000</v>
      </c>
      <c r="U804" s="10"/>
      <c r="V804" s="10"/>
    </row>
    <row r="805" spans="2:22" x14ac:dyDescent="0.25">
      <c r="B805" s="1">
        <v>46139</v>
      </c>
      <c r="C805" s="2" t="s">
        <v>34</v>
      </c>
      <c r="D805" s="3" t="s">
        <v>1</v>
      </c>
      <c r="E805" s="3" t="s">
        <v>2</v>
      </c>
      <c r="F805" s="4">
        <v>202.6</v>
      </c>
      <c r="G805" s="4">
        <v>28000</v>
      </c>
      <c r="H805" s="5">
        <f>[1]!РЕАЛИЗАЦИЯ[СОНИ]*[1]!РЕАЛИЗАЦИЯ[НАРХИ]</f>
        <v>3129000</v>
      </c>
      <c r="I805" s="4"/>
      <c r="J805" s="6">
        <v>25000</v>
      </c>
      <c r="K805" s="4">
        <f>[1]!РЕАЛИЗАЦИЯ[[#This Row],[СОНИ]]*[1]!РЕАЛИЗАЦИЯ[[#This Row],[ТАННАРХ]]</f>
        <v>0</v>
      </c>
      <c r="L805" s="7">
        <f>[1]!РЕАЛИЗАЦИЯ[[#This Row],[ЖАМИ]]-[1]!РЕАЛИЗАЦИЯ[[#This Row],[ЖАМИ2]]</f>
        <v>3129000</v>
      </c>
      <c r="O805" s="33">
        <v>46144</v>
      </c>
      <c r="P805" s="3" t="s">
        <v>32</v>
      </c>
      <c r="Q805" s="4">
        <v>500000</v>
      </c>
      <c r="R805" s="4"/>
      <c r="S805" s="4"/>
      <c r="T805" s="5">
        <f>[1]!ПЛАТЕЖИ[[#This Row],[СЎМ]]+([1]!ПЛАТЕЖИ[[#This Row],[ВАЛЮТА]]*[1]!ПЛАТЕЖИ[[#This Row],[КУРС]])</f>
        <v>190700</v>
      </c>
      <c r="U805" s="3"/>
      <c r="V805" s="3"/>
    </row>
    <row r="806" spans="2:22" x14ac:dyDescent="0.25">
      <c r="B806" s="8">
        <v>46139</v>
      </c>
      <c r="C806" s="9" t="s">
        <v>33</v>
      </c>
      <c r="D806" s="10" t="s">
        <v>10</v>
      </c>
      <c r="E806" s="10" t="s">
        <v>2</v>
      </c>
      <c r="F806" s="11">
        <v>718.7</v>
      </c>
      <c r="G806" s="11">
        <v>17000</v>
      </c>
      <c r="H806" s="12">
        <f>[1]!РЕАЛИЗАЦИЯ[СОНИ]*[1]!РЕАЛИЗАЦИЯ[НАРХИ]</f>
        <v>993600</v>
      </c>
      <c r="I806" s="11"/>
      <c r="J806" s="13">
        <v>15000</v>
      </c>
      <c r="K806" s="11">
        <f>[1]!РЕАЛИЗАЦИЯ[[#This Row],[СОНИ]]*[1]!РЕАЛИЗАЦИЯ[[#This Row],[ТАННАРХ]]</f>
        <v>0</v>
      </c>
      <c r="L806" s="14">
        <f>[1]!РЕАЛИЗАЦИЯ[[#This Row],[ЖАМИ]]-[1]!РЕАЛИЗАЦИЯ[[#This Row],[ЖАМИ2]]</f>
        <v>993600</v>
      </c>
      <c r="O806" s="34">
        <v>46144</v>
      </c>
      <c r="P806" s="10" t="s">
        <v>58</v>
      </c>
      <c r="Q806" s="11">
        <v>499000</v>
      </c>
      <c r="R806" s="11"/>
      <c r="S806" s="11"/>
      <c r="T806" s="12">
        <f>[1]!ПЛАТЕЖИ[[#This Row],[СЎМ]]+([1]!ПЛАТЕЖИ[[#This Row],[ВАЛЮТА]]*[1]!ПЛАТЕЖИ[[#This Row],[КУРС]])</f>
        <v>2311000</v>
      </c>
      <c r="U806" s="10"/>
      <c r="V806" s="10"/>
    </row>
    <row r="807" spans="2:22" x14ac:dyDescent="0.25">
      <c r="B807" s="1">
        <v>46139</v>
      </c>
      <c r="C807" s="2" t="s">
        <v>33</v>
      </c>
      <c r="D807" s="3" t="s">
        <v>1</v>
      </c>
      <c r="E807" s="3" t="s">
        <v>2</v>
      </c>
      <c r="F807" s="4">
        <v>787</v>
      </c>
      <c r="G807" s="4">
        <v>27000</v>
      </c>
      <c r="H807" s="5">
        <f>[1]!РЕАЛИЗАЦИЯ[СОНИ]*[1]!РЕАЛИЗАЦИЯ[НАРХИ]</f>
        <v>840000</v>
      </c>
      <c r="I807" s="4"/>
      <c r="J807" s="6">
        <v>25000</v>
      </c>
      <c r="K807" s="4">
        <f>[1]!РЕАЛИЗАЦИЯ[[#This Row],[СОНИ]]*[1]!РЕАЛИЗАЦИЯ[[#This Row],[ТАННАРХ]]</f>
        <v>0</v>
      </c>
      <c r="L807" s="7">
        <f>[1]!РЕАЛИЗАЦИЯ[[#This Row],[ЖАМИ]]-[1]!РЕАЛИЗАЦИЯ[[#This Row],[ЖАМИ2]]</f>
        <v>840000</v>
      </c>
      <c r="O807" s="33">
        <v>46144</v>
      </c>
      <c r="P807" s="3" t="s">
        <v>223</v>
      </c>
      <c r="Q807" s="4">
        <v>1400000</v>
      </c>
      <c r="R807" s="4"/>
      <c r="S807" s="4"/>
      <c r="T807" s="5">
        <f>[1]!ПЛАТЕЖИ[[#This Row],[СЎМ]]+([1]!ПЛАТЕЖИ[[#This Row],[ВАЛЮТА]]*[1]!ПЛАТЕЖИ[[#This Row],[КУРС]])</f>
        <v>999400</v>
      </c>
      <c r="U807" s="3"/>
      <c r="V807" s="3"/>
    </row>
    <row r="808" spans="2:22" x14ac:dyDescent="0.25">
      <c r="B808" s="8">
        <v>46139</v>
      </c>
      <c r="C808" s="9" t="s">
        <v>163</v>
      </c>
      <c r="D808" s="10" t="s">
        <v>29</v>
      </c>
      <c r="E808" s="10" t="s">
        <v>2</v>
      </c>
      <c r="F808" s="11">
        <v>56.7</v>
      </c>
      <c r="G808" s="11">
        <v>19000</v>
      </c>
      <c r="H808" s="12">
        <f>[1]!РЕАЛИЗАЦИЯ[СОНИ]*[1]!РЕАЛИЗАЦИЯ[НАРХИ]</f>
        <v>997500</v>
      </c>
      <c r="I808" s="11"/>
      <c r="J808" s="13">
        <v>19000</v>
      </c>
      <c r="K808" s="11">
        <f>[1]!РЕАЛИЗАЦИЯ[[#This Row],[СОНИ]]*[1]!РЕАЛИЗАЦИЯ[[#This Row],[ТАННАРХ]]</f>
        <v>0</v>
      </c>
      <c r="L808" s="14">
        <f>[1]!РЕАЛИЗАЦИЯ[[#This Row],[ЖАМИ]]-[1]!РЕАЛИЗАЦИЯ[[#This Row],[ЖАМИ2]]</f>
        <v>997500</v>
      </c>
      <c r="O808" s="34">
        <v>46144</v>
      </c>
      <c r="P808" s="10" t="s">
        <v>49</v>
      </c>
      <c r="Q808" s="11">
        <v>1494000</v>
      </c>
      <c r="R808" s="11"/>
      <c r="S808" s="11"/>
      <c r="T808" s="12">
        <f>[1]!ПЛАТЕЖИ[[#This Row],[СЎМ]]+([1]!ПЛАТЕЖИ[[#This Row],[ВАЛЮТА]]*[1]!ПЛАТЕЖИ[[#This Row],[КУРС]])</f>
        <v>3840000</v>
      </c>
      <c r="U808" s="10"/>
      <c r="V808" s="10"/>
    </row>
    <row r="809" spans="2:22" x14ac:dyDescent="0.25">
      <c r="B809" s="1">
        <v>46139</v>
      </c>
      <c r="C809" s="2" t="s">
        <v>26</v>
      </c>
      <c r="D809" s="3" t="s">
        <v>10</v>
      </c>
      <c r="E809" s="3" t="s">
        <v>2</v>
      </c>
      <c r="F809" s="4">
        <v>99</v>
      </c>
      <c r="G809" s="4">
        <v>16000</v>
      </c>
      <c r="H809" s="5">
        <f>[1]!РЕАЛИЗАЦИЯ[СОНИ]*[1]!РЕАЛИЗАЦИЯ[НАРХИ]</f>
        <v>1010100</v>
      </c>
      <c r="I809" s="4"/>
      <c r="J809" s="6">
        <v>15000</v>
      </c>
      <c r="K809" s="4">
        <f>[1]!РЕАЛИЗАЦИЯ[[#This Row],[СОНИ]]*[1]!РЕАЛИЗАЦИЯ[[#This Row],[ТАННАРХ]]</f>
        <v>0</v>
      </c>
      <c r="L809" s="7">
        <f>[1]!РЕАЛИЗАЦИЯ[[#This Row],[ЖАМИ]]-[1]!РЕАЛИЗАЦИЯ[[#This Row],[ЖАМИ2]]</f>
        <v>1010100</v>
      </c>
      <c r="O809" s="33">
        <v>46144</v>
      </c>
      <c r="P809" s="3" t="s">
        <v>85</v>
      </c>
      <c r="Q809" s="4">
        <v>654500</v>
      </c>
      <c r="R809" s="4"/>
      <c r="S809" s="4"/>
      <c r="T809" s="5">
        <f>[1]!ПЛАТЕЖИ[[#This Row],[СЎМ]]+([1]!ПЛАТЕЖИ[[#This Row],[ВАЛЮТА]]*[1]!ПЛАТЕЖИ[[#This Row],[КУРС]])</f>
        <v>5291000</v>
      </c>
      <c r="U809" s="3"/>
      <c r="V809" s="3"/>
    </row>
    <row r="810" spans="2:22" x14ac:dyDescent="0.25">
      <c r="B810" s="8">
        <v>46140</v>
      </c>
      <c r="C810" s="9" t="s">
        <v>247</v>
      </c>
      <c r="D810" s="10" t="s">
        <v>10</v>
      </c>
      <c r="E810" s="10" t="s">
        <v>2</v>
      </c>
      <c r="F810" s="11">
        <v>49.9</v>
      </c>
      <c r="G810" s="11">
        <v>16000</v>
      </c>
      <c r="H810" s="12">
        <f>[1]!РЕАЛИЗАЦИЯ[СОНИ]*[1]!РЕАЛИЗАЦИЯ[НАРХИ]</f>
        <v>705600</v>
      </c>
      <c r="I810" s="11"/>
      <c r="J810" s="13">
        <v>15000</v>
      </c>
      <c r="K810" s="11">
        <f>[1]!РЕАЛИЗАЦИЯ[[#This Row],[СОНИ]]*[1]!РЕАЛИЗАЦИЯ[[#This Row],[ТАННАРХ]]</f>
        <v>0</v>
      </c>
      <c r="L810" s="14">
        <f>[1]!РЕАЛИЗАЦИЯ[[#This Row],[ЖАМИ]]-[1]!РЕАЛИЗАЦИЯ[[#This Row],[ЖАМИ2]]</f>
        <v>705600</v>
      </c>
      <c r="O810" s="34">
        <v>46144</v>
      </c>
      <c r="P810" s="10" t="s">
        <v>219</v>
      </c>
      <c r="Q810" s="11">
        <v>2024100</v>
      </c>
      <c r="R810" s="11"/>
      <c r="S810" s="11"/>
      <c r="T810" s="12">
        <f>[1]!ПЛАТЕЖИ[[#This Row],[СЎМ]]+([1]!ПЛАТЕЖИ[[#This Row],[ВАЛЮТА]]*[1]!ПЛАТЕЖИ[[#This Row],[КУРС]])</f>
        <v>4140000</v>
      </c>
      <c r="U810" s="10"/>
      <c r="V810" s="10"/>
    </row>
    <row r="811" spans="2:22" x14ac:dyDescent="0.25">
      <c r="B811" s="1">
        <v>46140</v>
      </c>
      <c r="C811" s="2" t="s">
        <v>240</v>
      </c>
      <c r="D811" s="3" t="s">
        <v>1</v>
      </c>
      <c r="E811" s="3" t="s">
        <v>2</v>
      </c>
      <c r="F811" s="4">
        <v>55.7</v>
      </c>
      <c r="G811" s="4">
        <v>27000</v>
      </c>
      <c r="H811" s="5">
        <f>[1]!РЕАЛИЗАЦИЯ[СОНИ]*[1]!РЕАЛИЗАЦИЯ[НАРХИ]</f>
        <v>831600</v>
      </c>
      <c r="I811" s="4"/>
      <c r="J811" s="6">
        <v>25000</v>
      </c>
      <c r="K811" s="4">
        <f>[1]!РЕАЛИЗАЦИЯ[[#This Row],[СОНИ]]*[1]!РЕАЛИЗАЦИЯ[[#This Row],[ТАННАРХ]]</f>
        <v>0</v>
      </c>
      <c r="L811" s="7">
        <f>[1]!РЕАЛИЗАЦИЯ[[#This Row],[ЖАМИ]]-[1]!РЕАЛИЗАЦИЯ[[#This Row],[ЖАМИ2]]</f>
        <v>831600</v>
      </c>
      <c r="O811" s="33">
        <v>46146</v>
      </c>
      <c r="P811" s="3" t="s">
        <v>55</v>
      </c>
      <c r="Q811" s="4">
        <v>380000</v>
      </c>
      <c r="R811" s="4"/>
      <c r="S811" s="4"/>
      <c r="T811" s="5">
        <f>[1]!ПЛАТЕЖИ[[#This Row],[СЎМ]]+([1]!ПЛАТЕЖИ[[#This Row],[ВАЛЮТА]]*[1]!ПЛАТЕЖИ[[#This Row],[КУРС]])</f>
        <v>888300</v>
      </c>
      <c r="U811" s="3"/>
      <c r="V811" s="3" t="s">
        <v>275</v>
      </c>
    </row>
    <row r="812" spans="2:22" x14ac:dyDescent="0.25">
      <c r="B812" s="8">
        <v>46140</v>
      </c>
      <c r="C812" s="9" t="s">
        <v>12</v>
      </c>
      <c r="D812" s="10" t="s">
        <v>16</v>
      </c>
      <c r="E812" s="10" t="s">
        <v>2</v>
      </c>
      <c r="F812" s="11">
        <v>1571.3</v>
      </c>
      <c r="G812" s="11">
        <v>24000</v>
      </c>
      <c r="H812" s="12">
        <f>[1]!РЕАЛИЗАЦИЯ[СОНИ]*[1]!РЕАЛИЗАЦИЯ[НАРХИ]</f>
        <v>1075200</v>
      </c>
      <c r="I812" s="11">
        <v>6</v>
      </c>
      <c r="J812" s="13">
        <v>20000</v>
      </c>
      <c r="K812" s="11">
        <f>[1]!РЕАЛИЗАЦИЯ[[#This Row],[СОНИ]]*[1]!РЕАЛИЗАЦИЯ[[#This Row],[ТАННАРХ]]</f>
        <v>0</v>
      </c>
      <c r="L812" s="14">
        <f>[1]!РЕАЛИЗАЦИЯ[[#This Row],[ЖАМИ]]-[1]!РЕАЛИЗАЦИЯ[[#This Row],[ЖАМИ2]]</f>
        <v>1075200</v>
      </c>
      <c r="O812" s="34">
        <v>46146</v>
      </c>
      <c r="P812" s="10" t="s">
        <v>89</v>
      </c>
      <c r="Q812" s="11">
        <v>2524000</v>
      </c>
      <c r="R812" s="11"/>
      <c r="S812" s="11"/>
      <c r="T812" s="12">
        <f>[1]!ПЛАТЕЖИ[[#This Row],[СЎМ]]+([1]!ПЛАТЕЖИ[[#This Row],[ВАЛЮТА]]*[1]!ПЛАТЕЖИ[[#This Row],[КУРС]])</f>
        <v>1672500</v>
      </c>
      <c r="U812" s="10"/>
      <c r="V812" s="10"/>
    </row>
    <row r="813" spans="2:22" x14ac:dyDescent="0.25">
      <c r="B813" s="1">
        <v>46140</v>
      </c>
      <c r="C813" s="2" t="s">
        <v>60</v>
      </c>
      <c r="D813" s="3" t="s">
        <v>1</v>
      </c>
      <c r="E813" s="3" t="s">
        <v>2</v>
      </c>
      <c r="F813" s="4">
        <v>781.9</v>
      </c>
      <c r="G813" s="4">
        <v>25000</v>
      </c>
      <c r="H813" s="5">
        <f>[1]!РЕАЛИЗАЦИЯ[СОНИ]*[1]!РЕАЛИЗАЦИЯ[НАРХИ]</f>
        <v>1022700.0000000001</v>
      </c>
      <c r="I813" s="4"/>
      <c r="J813" s="6">
        <v>23000</v>
      </c>
      <c r="K813" s="4">
        <f>[1]!РЕАЛИЗАЦИЯ[[#This Row],[СОНИ]]*[1]!РЕАЛИЗАЦИЯ[[#This Row],[ТАННАРХ]]</f>
        <v>0</v>
      </c>
      <c r="L813" s="7">
        <f>[1]!РЕАЛИЗАЦИЯ[[#This Row],[ЖАМИ]]-[1]!РЕАЛИЗАЦИЯ[[#This Row],[ЖАМИ2]]</f>
        <v>1022700.0000000001</v>
      </c>
      <c r="O813" s="33">
        <v>46146</v>
      </c>
      <c r="P813" s="3" t="s">
        <v>18</v>
      </c>
      <c r="Q813" s="4">
        <v>1570400</v>
      </c>
      <c r="R813" s="4"/>
      <c r="S813" s="4"/>
      <c r="T813" s="5">
        <f>[1]!ПЛАТЕЖИ[[#This Row],[СЎМ]]+([1]!ПЛАТЕЖИ[[#This Row],[ВАЛЮТА]]*[1]!ПЛАТЕЖИ[[#This Row],[КУРС]])</f>
        <v>5132000</v>
      </c>
      <c r="U813" s="3"/>
      <c r="V813" s="3" t="s">
        <v>279</v>
      </c>
    </row>
    <row r="814" spans="2:22" x14ac:dyDescent="0.25">
      <c r="B814" s="8">
        <v>46140</v>
      </c>
      <c r="C814" s="9" t="s">
        <v>53</v>
      </c>
      <c r="D814" s="10" t="s">
        <v>40</v>
      </c>
      <c r="E814" s="10" t="s">
        <v>2</v>
      </c>
      <c r="F814" s="11">
        <v>285.7</v>
      </c>
      <c r="G814" s="11">
        <v>25000</v>
      </c>
      <c r="H814" s="12">
        <f>[1]!РЕАЛИЗАЦИЯ[СОНИ]*[1]!РЕАЛИЗАЦИЯ[НАРХИ]</f>
        <v>756800</v>
      </c>
      <c r="I814" s="11"/>
      <c r="J814" s="13">
        <v>25500</v>
      </c>
      <c r="K814" s="11">
        <f>[1]!РЕАЛИЗАЦИЯ[[#This Row],[СОНИ]]*[1]!РЕАЛИЗАЦИЯ[[#This Row],[ТАННАРХ]]</f>
        <v>0</v>
      </c>
      <c r="L814" s="14">
        <f>[1]!РЕАЛИЗАЦИЯ[[#This Row],[ЖАМИ]]-[1]!РЕАЛИЗАЦИЯ[[#This Row],[ЖАМИ2]]</f>
        <v>756800</v>
      </c>
      <c r="O814" s="34">
        <v>46146</v>
      </c>
      <c r="P814" s="10" t="s">
        <v>53</v>
      </c>
      <c r="Q814" s="11">
        <v>12000000</v>
      </c>
      <c r="R814" s="11"/>
      <c r="S814" s="11"/>
      <c r="T814" s="12">
        <f>[1]!ПЛАТЕЖИ[[#This Row],[СЎМ]]+([1]!ПЛАТЕЖИ[[#This Row],[ВАЛЮТА]]*[1]!ПЛАТЕЖИ[[#This Row],[КУРС]])</f>
        <v>5925700</v>
      </c>
      <c r="U814" s="10"/>
      <c r="V814" s="10" t="s">
        <v>279</v>
      </c>
    </row>
    <row r="815" spans="2:22" x14ac:dyDescent="0.25">
      <c r="B815" s="1">
        <v>46140</v>
      </c>
      <c r="C815" s="2" t="s">
        <v>65</v>
      </c>
      <c r="D815" s="3" t="s">
        <v>8</v>
      </c>
      <c r="E815" s="3" t="s">
        <v>2</v>
      </c>
      <c r="F815" s="4">
        <v>400.5</v>
      </c>
      <c r="G815" s="4">
        <v>26000</v>
      </c>
      <c r="H815" s="5">
        <f>[1]!РЕАЛИЗАЦИЯ[СОНИ]*[1]!РЕАЛИЗАЦИЯ[НАРХИ]</f>
        <v>3040200</v>
      </c>
      <c r="I815" s="4"/>
      <c r="J815" s="6">
        <v>24000</v>
      </c>
      <c r="K815" s="4">
        <f>[1]!РЕАЛИЗАЦИЯ[[#This Row],[СОНИ]]*[1]!РЕАЛИЗАЦИЯ[[#This Row],[ТАННАРХ]]</f>
        <v>0</v>
      </c>
      <c r="L815" s="7">
        <f>[1]!РЕАЛИЗАЦИЯ[[#This Row],[ЖАМИ]]-[1]!РЕАЛИЗАЦИЯ[[#This Row],[ЖАМИ2]]</f>
        <v>3040200</v>
      </c>
      <c r="O815" s="33">
        <v>46146</v>
      </c>
      <c r="P815" s="3" t="s">
        <v>181</v>
      </c>
      <c r="Q815" s="4">
        <v>900000</v>
      </c>
      <c r="R815" s="4"/>
      <c r="S815" s="4"/>
      <c r="T815" s="5">
        <f>[1]!ПЛАТЕЖИ[[#This Row],[СЎМ]]+([1]!ПЛАТЕЖИ[[#This Row],[ВАЛЮТА]]*[1]!ПЛАТЕЖИ[[#This Row],[КУРС]])</f>
        <v>2734000</v>
      </c>
      <c r="U815" s="3"/>
      <c r="V815" s="3" t="s">
        <v>279</v>
      </c>
    </row>
    <row r="816" spans="2:22" x14ac:dyDescent="0.25">
      <c r="B816" s="8">
        <v>46140</v>
      </c>
      <c r="C816" s="9" t="s">
        <v>143</v>
      </c>
      <c r="D816" s="10" t="s">
        <v>1</v>
      </c>
      <c r="E816" s="10" t="s">
        <v>2</v>
      </c>
      <c r="F816" s="11">
        <v>96.4</v>
      </c>
      <c r="G816" s="11">
        <v>26000</v>
      </c>
      <c r="H816" s="12">
        <f>[1]!РЕАЛИЗАЦИЯ[СОНИ]*[1]!РЕАЛИЗАЦИЯ[НАРХИ]</f>
        <v>1486400</v>
      </c>
      <c r="I816" s="11"/>
      <c r="J816" s="13">
        <v>25000</v>
      </c>
      <c r="K816" s="11">
        <f>[1]!РЕАЛИЗАЦИЯ[[#This Row],[СОНИ]]*[1]!РЕАЛИЗАЦИЯ[[#This Row],[ТАННАРХ]]</f>
        <v>0</v>
      </c>
      <c r="L816" s="14">
        <f>[1]!РЕАЛИЗАЦИЯ[[#This Row],[ЖАМИ]]-[1]!РЕАЛИЗАЦИЯ[[#This Row],[ЖАМИ2]]</f>
        <v>1486400</v>
      </c>
      <c r="O816" s="30">
        <v>46146</v>
      </c>
      <c r="P816" s="31" t="s">
        <v>12</v>
      </c>
      <c r="Q816" s="13">
        <v>50497200</v>
      </c>
      <c r="R816" s="13"/>
      <c r="S816" s="13"/>
      <c r="T816" s="32">
        <f>[1]!ПЛАТЕЖИ[[#This Row],[СЎМ]]+([1]!ПЛАТЕЖИ[[#This Row],[ВАЛЮТА]]*[1]!ПЛАТЕЖИ[[#This Row],[КУРС]])</f>
        <v>3695850</v>
      </c>
      <c r="U816" s="31"/>
      <c r="V816" s="31" t="s">
        <v>279</v>
      </c>
    </row>
    <row r="817" spans="2:22" x14ac:dyDescent="0.25">
      <c r="B817" s="1">
        <v>46140</v>
      </c>
      <c r="C817" s="2" t="s">
        <v>143</v>
      </c>
      <c r="D817" s="3" t="s">
        <v>10</v>
      </c>
      <c r="E817" s="3" t="s">
        <v>2</v>
      </c>
      <c r="F817" s="4">
        <v>203.2</v>
      </c>
      <c r="G817" s="4">
        <v>16000</v>
      </c>
      <c r="H817" s="5">
        <f>[1]!РЕАЛИЗАЦИЯ[СОНИ]*[1]!РЕАЛИЗАЦИЯ[НАРХИ]</f>
        <v>1052100</v>
      </c>
      <c r="I817" s="4"/>
      <c r="J817" s="6">
        <v>15000</v>
      </c>
      <c r="K817" s="4">
        <f>[1]!РЕАЛИЗАЦИЯ[[#This Row],[СОНИ]]*[1]!РЕАЛИЗАЦИЯ[[#This Row],[ТАННАРХ]]</f>
        <v>0</v>
      </c>
      <c r="L817" s="7">
        <f>[1]!РЕАЛИЗАЦИЯ[[#This Row],[ЖАМИ]]-[1]!РЕАЛИЗАЦИЯ[[#This Row],[ЖАМИ2]]</f>
        <v>1052100</v>
      </c>
      <c r="O817" s="27">
        <v>46146</v>
      </c>
      <c r="P817" s="28" t="s">
        <v>134</v>
      </c>
      <c r="Q817" s="6">
        <v>10000000</v>
      </c>
      <c r="R817" s="6"/>
      <c r="S817" s="6"/>
      <c r="T817" s="29">
        <f>[1]!ПЛАТЕЖИ[[#This Row],[СЎМ]]+([1]!ПЛАТЕЖИ[[#This Row],[ВАЛЮТА]]*[1]!ПЛАТЕЖИ[[#This Row],[КУРС]])</f>
        <v>517000</v>
      </c>
      <c r="U817" s="28"/>
      <c r="V817" s="28" t="s">
        <v>279</v>
      </c>
    </row>
    <row r="818" spans="2:22" x14ac:dyDescent="0.25">
      <c r="B818" s="8">
        <v>46140</v>
      </c>
      <c r="C818" s="9" t="s">
        <v>159</v>
      </c>
      <c r="D818" s="10" t="s">
        <v>1</v>
      </c>
      <c r="E818" s="10" t="s">
        <v>2</v>
      </c>
      <c r="F818" s="11">
        <v>46.6</v>
      </c>
      <c r="G818" s="11">
        <v>27000</v>
      </c>
      <c r="H818" s="12">
        <f>[1]!РЕАЛИЗАЦИЯ[СОНИ]*[1]!РЕАЛИЗАЦИЯ[НАРХИ]</f>
        <v>5616600</v>
      </c>
      <c r="I818" s="11"/>
      <c r="J818" s="13">
        <v>25000</v>
      </c>
      <c r="K818" s="11">
        <f>[1]!РЕАЛИЗАЦИЯ[[#This Row],[СОНИ]]*[1]!РЕАЛИЗАЦИЯ[[#This Row],[ТАННАРХ]]</f>
        <v>0</v>
      </c>
      <c r="L818" s="14">
        <f>[1]!РЕАЛИЗАЦИЯ[[#This Row],[ЖАМИ]]-[1]!РЕАЛИЗАЦИЯ[[#This Row],[ЖАМИ2]]</f>
        <v>5616600</v>
      </c>
      <c r="O818" s="30">
        <v>46146</v>
      </c>
      <c r="P818" s="31" t="s">
        <v>89</v>
      </c>
      <c r="Q818" s="13">
        <v>2980000</v>
      </c>
      <c r="R818" s="13"/>
      <c r="S818" s="13"/>
      <c r="T818" s="32">
        <f>[1]!ПЛАТЕЖИ[[#This Row],[СЎМ]]+([1]!ПЛАТЕЖИ[[#This Row],[ВАЛЮТА]]*[1]!ПЛАТЕЖИ[[#This Row],[КУРС]])</f>
        <v>984900</v>
      </c>
      <c r="U818" s="31"/>
      <c r="V818" s="31" t="s">
        <v>275</v>
      </c>
    </row>
    <row r="819" spans="2:22" x14ac:dyDescent="0.25">
      <c r="B819" s="1">
        <v>46140</v>
      </c>
      <c r="C819" s="2" t="s">
        <v>138</v>
      </c>
      <c r="D819" s="3" t="s">
        <v>8</v>
      </c>
      <c r="E819" s="3" t="s">
        <v>2</v>
      </c>
      <c r="F819" s="4">
        <v>162.1</v>
      </c>
      <c r="G819" s="4">
        <v>28080</v>
      </c>
      <c r="H819" s="5">
        <f>[1]!РЕАЛИЗАЦИЯ[СОНИ]*[1]!РЕАЛИЗАЦИЯ[НАРХИ]</f>
        <v>1518300</v>
      </c>
      <c r="I819" s="4"/>
      <c r="J819" s="6">
        <v>26000</v>
      </c>
      <c r="K819" s="4">
        <f>[1]!РЕАЛИЗАЦИЯ[[#This Row],[СОНИ]]*[1]!РЕАЛИЗАЦИЯ[[#This Row],[ТАННАРХ]]</f>
        <v>0</v>
      </c>
      <c r="L819" s="7">
        <f>[1]!РЕАЛИЗАЦИЯ[[#This Row],[ЖАМИ]]-[1]!РЕАЛИЗАЦИЯ[[#This Row],[ЖАМИ2]]</f>
        <v>1518300</v>
      </c>
      <c r="O819" s="27">
        <v>46146</v>
      </c>
      <c r="P819" s="28" t="s">
        <v>89</v>
      </c>
      <c r="Q819" s="6">
        <v>1374000</v>
      </c>
      <c r="R819" s="6"/>
      <c r="S819" s="6"/>
      <c r="T819" s="29">
        <f>[1]!ПЛАТЕЖИ[[#This Row],[СЎМ]]+([1]!ПЛАТЕЖИ[[#This Row],[ВАЛЮТА]]*[1]!ПЛАТЕЖИ[[#This Row],[КУРС]])</f>
        <v>1012000</v>
      </c>
      <c r="U819" s="28"/>
      <c r="V819" s="28" t="s">
        <v>275</v>
      </c>
    </row>
    <row r="820" spans="2:22" x14ac:dyDescent="0.25">
      <c r="B820" s="8">
        <v>46140</v>
      </c>
      <c r="C820" s="9" t="s">
        <v>15</v>
      </c>
      <c r="D820" s="10" t="s">
        <v>1</v>
      </c>
      <c r="E820" s="10" t="s">
        <v>2</v>
      </c>
      <c r="F820" s="11">
        <v>45.4</v>
      </c>
      <c r="G820" s="11">
        <v>27000</v>
      </c>
      <c r="H820" s="12">
        <f>[1]!РЕАЛИЗАЦИЯ[СОНИ]*[1]!РЕАЛИЗАЦИЯ[НАРХИ]</f>
        <v>1661400</v>
      </c>
      <c r="I820" s="11" t="s">
        <v>184</v>
      </c>
      <c r="J820" s="13">
        <v>25000</v>
      </c>
      <c r="K820" s="11">
        <f>[1]!РЕАЛИЗАЦИЯ[[#This Row],[СОНИ]]*[1]!РЕАЛИЗАЦИЯ[[#This Row],[ТАННАРХ]]</f>
        <v>0</v>
      </c>
      <c r="L820" s="14">
        <f>[1]!РЕАЛИЗАЦИЯ[[#This Row],[ЖАМИ]]-[1]!РЕАЛИЗАЦИЯ[[#This Row],[ЖАМИ2]]</f>
        <v>1661400</v>
      </c>
      <c r="O820" s="30">
        <v>46146</v>
      </c>
      <c r="P820" s="31" t="s">
        <v>95</v>
      </c>
      <c r="Q820" s="13">
        <v>2532500</v>
      </c>
      <c r="R820" s="13"/>
      <c r="S820" s="13"/>
      <c r="T820" s="32">
        <f>[1]!ПЛАТЕЖИ[[#This Row],[СЎМ]]+([1]!ПЛАТЕЖИ[[#This Row],[ВАЛЮТА]]*[1]!ПЛАТЕЖИ[[#This Row],[КУРС]])</f>
        <v>300000</v>
      </c>
      <c r="U820" s="31"/>
      <c r="V820" s="31"/>
    </row>
    <row r="821" spans="2:22" x14ac:dyDescent="0.25">
      <c r="B821" s="1">
        <v>46140</v>
      </c>
      <c r="C821" s="2" t="s">
        <v>89</v>
      </c>
      <c r="D821" s="3" t="s">
        <v>10</v>
      </c>
      <c r="E821" s="3" t="s">
        <v>2</v>
      </c>
      <c r="F821" s="4">
        <v>-53</v>
      </c>
      <c r="G821" s="4">
        <v>13000</v>
      </c>
      <c r="H821" s="5">
        <f>[1]!РЕАЛИЗАЦИЯ[СОНИ]*[1]!РЕАЛИЗАЦИЯ[НАРХИ]</f>
        <v>7473200</v>
      </c>
      <c r="I821" s="4"/>
      <c r="J821" s="6">
        <v>13000</v>
      </c>
      <c r="K821" s="4">
        <f>[1]!РЕАЛИЗАЦИЯ[[#This Row],[СОНИ]]*[1]!РЕАЛИЗАЦИЯ[[#This Row],[ТАННАРХ]]</f>
        <v>0</v>
      </c>
      <c r="L821" s="7">
        <f>[1]!РЕАЛИЗАЦИЯ[[#This Row],[ЖАМИ]]-[1]!РЕАЛИЗАЦИЯ[[#This Row],[ЖАМИ2]]</f>
        <v>7473200</v>
      </c>
      <c r="O821" s="27">
        <v>46146</v>
      </c>
      <c r="P821" s="28" t="s">
        <v>39</v>
      </c>
      <c r="Q821" s="6">
        <v>8090000</v>
      </c>
      <c r="R821" s="6"/>
      <c r="S821" s="6"/>
      <c r="T821" s="29">
        <f>[1]!ПЛАТЕЖИ[[#This Row],[СЎМ]]+([1]!ПЛАТЕЖИ[[#This Row],[ВАЛЮТА]]*[1]!ПЛАТЕЖИ[[#This Row],[КУРС]])</f>
        <v>1025000</v>
      </c>
      <c r="U821" s="28"/>
      <c r="V821" s="28"/>
    </row>
    <row r="822" spans="2:22" x14ac:dyDescent="0.25">
      <c r="B822" s="8">
        <v>46140</v>
      </c>
      <c r="C822" s="9" t="s">
        <v>89</v>
      </c>
      <c r="D822" s="10" t="s">
        <v>10</v>
      </c>
      <c r="E822" s="10" t="s">
        <v>2</v>
      </c>
      <c r="F822" s="11">
        <v>752.4</v>
      </c>
      <c r="G822" s="11">
        <v>14000</v>
      </c>
      <c r="H822" s="12">
        <f>[1]!РЕАЛИЗАЦИЯ[СОНИ]*[1]!РЕАЛИЗАЦИЯ[НАРХИ]</f>
        <v>955500</v>
      </c>
      <c r="I822" s="11"/>
      <c r="J822" s="13">
        <v>15000</v>
      </c>
      <c r="K822" s="11">
        <f>[1]!РЕАЛИЗАЦИЯ[[#This Row],[СОНИ]]*[1]!РЕАЛИЗАЦИЯ[[#This Row],[ТАННАРХ]]</f>
        <v>0</v>
      </c>
      <c r="L822" s="14">
        <f>[1]!РЕАЛИЗАЦИЯ[[#This Row],[ЖАМИ]]-[1]!РЕАЛИЗАЦИЯ[[#This Row],[ЖАМИ2]]</f>
        <v>955500</v>
      </c>
      <c r="O822" s="30">
        <v>46146</v>
      </c>
      <c r="P822" s="31" t="s">
        <v>235</v>
      </c>
      <c r="Q822" s="13">
        <v>1395900</v>
      </c>
      <c r="R822" s="13"/>
      <c r="S822" s="13"/>
      <c r="T822" s="32">
        <f>[1]!ПЛАТЕЖИ[[#This Row],[СЎМ]]+([1]!ПЛАТЕЖИ[[#This Row],[ВАЛЮТА]]*[1]!ПЛАТЕЖИ[[#This Row],[КУРС]])</f>
        <v>1661100</v>
      </c>
      <c r="U822" s="31"/>
      <c r="V822" s="31"/>
    </row>
    <row r="823" spans="2:22" x14ac:dyDescent="0.25">
      <c r="B823" s="1">
        <v>46141</v>
      </c>
      <c r="C823" s="2" t="s">
        <v>19</v>
      </c>
      <c r="D823" s="3" t="s">
        <v>10</v>
      </c>
      <c r="E823" s="3" t="s">
        <v>2</v>
      </c>
      <c r="F823" s="4">
        <v>48.1</v>
      </c>
      <c r="G823" s="4">
        <v>17000</v>
      </c>
      <c r="H823" s="5">
        <f>[1]!РЕАЛИЗАЦИЯ[СОНИ]*[1]!РЕАЛИЗАЦИЯ[НАРХИ]</f>
        <v>1885800</v>
      </c>
      <c r="I823" s="4"/>
      <c r="J823" s="6">
        <v>15000</v>
      </c>
      <c r="K823" s="4">
        <f>[1]!РЕАЛИЗАЦИЯ[[#This Row],[СОНИ]]*[1]!РЕАЛИЗАЦИЯ[[#This Row],[ТАННАРХ]]</f>
        <v>0</v>
      </c>
      <c r="L823" s="7">
        <f>[1]!РЕАЛИЗАЦИЯ[[#This Row],[ЖАМИ]]-[1]!РЕАЛИЗАЦИЯ[[#This Row],[ЖАМИ2]]</f>
        <v>1885800</v>
      </c>
      <c r="O823" s="27">
        <v>46147</v>
      </c>
      <c r="P823" s="28" t="s">
        <v>107</v>
      </c>
      <c r="Q823" s="6">
        <v>3588000</v>
      </c>
      <c r="R823" s="6"/>
      <c r="S823" s="6"/>
      <c r="T823" s="29">
        <f>[1]!ПЛАТЕЖИ[[#This Row],[СЎМ]]+([1]!ПЛАТЕЖИ[[#This Row],[ВАЛЮТА]]*[1]!ПЛАТЕЖИ[[#This Row],[КУРС]])</f>
        <v>2214500</v>
      </c>
      <c r="U823" s="28"/>
      <c r="V823" s="28" t="s">
        <v>279</v>
      </c>
    </row>
    <row r="824" spans="2:22" x14ac:dyDescent="0.25">
      <c r="B824" s="8">
        <v>46141</v>
      </c>
      <c r="C824" s="9" t="s">
        <v>168</v>
      </c>
      <c r="D824" s="10" t="s">
        <v>1</v>
      </c>
      <c r="E824" s="10" t="s">
        <v>2</v>
      </c>
      <c r="F824" s="11">
        <v>147.6</v>
      </c>
      <c r="G824" s="11">
        <v>26500</v>
      </c>
      <c r="H824" s="12">
        <f>[1]!РЕАЛИЗАЦИЯ[СОНИ]*[1]!РЕАЛИЗАЦИЯ[НАРХИ]</f>
        <v>1127700</v>
      </c>
      <c r="I824" s="11"/>
      <c r="J824" s="13">
        <v>25000</v>
      </c>
      <c r="K824" s="11">
        <f>[1]!РЕАЛИЗАЦИЯ[[#This Row],[СОНИ]]*[1]!РЕАЛИЗАЦИЯ[[#This Row],[ТАННАРХ]]</f>
        <v>0</v>
      </c>
      <c r="L824" s="14">
        <f>[1]!РЕАЛИЗАЦИЯ[[#This Row],[ЖАМИ]]-[1]!РЕАЛИЗАЦИЯ[[#This Row],[ЖАМИ2]]</f>
        <v>1127700</v>
      </c>
      <c r="O824" s="30">
        <v>46147</v>
      </c>
      <c r="P824" s="31" t="s">
        <v>138</v>
      </c>
      <c r="Q824" s="13">
        <v>4551768</v>
      </c>
      <c r="R824" s="13"/>
      <c r="S824" s="13"/>
      <c r="T824" s="32">
        <f>[1]!ПЛАТЕЖИ[[#This Row],[СЎМ]]+([1]!ПЛАТЕЖИ[[#This Row],[ВАЛЮТА]]*[1]!ПЛАТЕЖИ[[#This Row],[КУРС]])</f>
        <v>2070600</v>
      </c>
      <c r="U824" s="31"/>
      <c r="V824" s="31" t="s">
        <v>279</v>
      </c>
    </row>
    <row r="825" spans="2:22" x14ac:dyDescent="0.25">
      <c r="B825" s="1">
        <v>46141</v>
      </c>
      <c r="C825" s="2" t="s">
        <v>168</v>
      </c>
      <c r="D825" s="3" t="s">
        <v>10</v>
      </c>
      <c r="E825" s="3" t="s">
        <v>2</v>
      </c>
      <c r="F825" s="4">
        <v>48.8</v>
      </c>
      <c r="G825" s="4">
        <v>16500</v>
      </c>
      <c r="H825" s="5">
        <f>[1]!РЕАЛИЗАЦИЯ[СОНИ]*[1]!РЕАЛИЗАЦИЯ[НАРХИ]</f>
        <v>1039500</v>
      </c>
      <c r="I825" s="4"/>
      <c r="J825" s="6">
        <v>15000</v>
      </c>
      <c r="K825" s="4">
        <f>[1]!РЕАЛИЗАЦИЯ[[#This Row],[СОНИ]]*[1]!РЕАЛИЗАЦИЯ[[#This Row],[ТАННАРХ]]</f>
        <v>0</v>
      </c>
      <c r="L825" s="7">
        <f>[1]!РЕАЛИЗАЦИЯ[[#This Row],[ЖАМИ]]-[1]!РЕАЛИЗАЦИЯ[[#This Row],[ЖАМИ2]]</f>
        <v>1039500</v>
      </c>
      <c r="O825" s="27">
        <v>46147</v>
      </c>
      <c r="P825" s="28" t="s">
        <v>175</v>
      </c>
      <c r="Q825" s="6">
        <v>3000000</v>
      </c>
      <c r="R825" s="6"/>
      <c r="S825" s="6"/>
      <c r="T825" s="29">
        <f>[1]!ПЛАТЕЖИ[[#This Row],[СЎМ]]+([1]!ПЛАТЕЖИ[[#This Row],[ВАЛЮТА]]*[1]!ПЛАТЕЖИ[[#This Row],[КУРС]])</f>
        <v>429800</v>
      </c>
      <c r="U825" s="28"/>
      <c r="V825" s="28" t="s">
        <v>275</v>
      </c>
    </row>
    <row r="826" spans="2:22" x14ac:dyDescent="0.25">
      <c r="B826" s="8">
        <v>46141</v>
      </c>
      <c r="C826" s="9" t="s">
        <v>7</v>
      </c>
      <c r="D826" s="10" t="s">
        <v>8</v>
      </c>
      <c r="E826" s="10" t="s">
        <v>2</v>
      </c>
      <c r="F826" s="11">
        <v>668.5</v>
      </c>
      <c r="G826" s="11">
        <v>22000</v>
      </c>
      <c r="H826" s="12">
        <f>[1]!РЕАЛИЗАЦИЯ[СОНИ]*[1]!РЕАЛИЗАЦИЯ[НАРХИ]</f>
        <v>2916900</v>
      </c>
      <c r="I826" s="11"/>
      <c r="J826" s="13">
        <v>20000</v>
      </c>
      <c r="K826" s="11">
        <f>[1]!РЕАЛИЗАЦИЯ[[#This Row],[СОНИ]]*[1]!РЕАЛИЗАЦИЯ[[#This Row],[ТАННАРХ]]</f>
        <v>0</v>
      </c>
      <c r="L826" s="14">
        <f>[1]!РЕАЛИЗАЦИЯ[[#This Row],[ЖАМИ]]-[1]!РЕАЛИЗАЦИЯ[[#This Row],[ЖАМИ2]]</f>
        <v>2916900</v>
      </c>
      <c r="O826" s="30">
        <v>46147</v>
      </c>
      <c r="P826" s="31" t="s">
        <v>89</v>
      </c>
      <c r="Q826" s="13">
        <v>237000</v>
      </c>
      <c r="R826" s="13"/>
      <c r="S826" s="13"/>
      <c r="T826" s="32">
        <f>[1]!ПЛАТЕЖИ[[#This Row],[СЎМ]]+([1]!ПЛАТЕЖИ[[#This Row],[ВАЛЮТА]]*[1]!ПЛАТЕЖИ[[#This Row],[КУРС]])</f>
        <v>1082000</v>
      </c>
      <c r="U826" s="31"/>
      <c r="V826" s="31" t="s">
        <v>275</v>
      </c>
    </row>
    <row r="827" spans="2:22" x14ac:dyDescent="0.25">
      <c r="B827" s="1">
        <v>46141</v>
      </c>
      <c r="C827" s="2" t="s">
        <v>12</v>
      </c>
      <c r="D827" s="3" t="s">
        <v>29</v>
      </c>
      <c r="E827" s="3" t="s">
        <v>2</v>
      </c>
      <c r="F827" s="4">
        <v>1942.2</v>
      </c>
      <c r="G827" s="4">
        <v>26000</v>
      </c>
      <c r="H827" s="5">
        <f>[1]!РЕАЛИЗАЦИЯ[СОНИ]*[1]!РЕАЛИЗАЦИЯ[НАРХИ]</f>
        <v>-884100</v>
      </c>
      <c r="I827" s="4">
        <v>314</v>
      </c>
      <c r="J827" s="6">
        <v>20960</v>
      </c>
      <c r="K827" s="4">
        <f>[1]!РЕАЛИЗАЦИЯ[[#This Row],[СОНИ]]*[1]!РЕАЛИЗАЦИЯ[[#This Row],[ТАННАРХ]]</f>
        <v>0</v>
      </c>
      <c r="L827" s="7">
        <f>[1]!РЕАЛИЗАЦИЯ[[#This Row],[ЖАМИ]]-[1]!РЕАЛИЗАЦИЯ[[#This Row],[ЖАМИ2]]</f>
        <v>-884100</v>
      </c>
      <c r="O827" s="27">
        <v>46147</v>
      </c>
      <c r="P827" s="28" t="s">
        <v>89</v>
      </c>
      <c r="Q827" s="6">
        <v>2000000</v>
      </c>
      <c r="R827" s="6"/>
      <c r="S827" s="6"/>
      <c r="T827" s="29">
        <f>[1]!ПЛАТЕЖИ[[#This Row],[СЎМ]]+([1]!ПЛАТЕЖИ[[#This Row],[ВАЛЮТА]]*[1]!ПЛАТЕЖИ[[#This Row],[КУРС]])</f>
        <v>3000000</v>
      </c>
      <c r="U827" s="28"/>
      <c r="V827" s="28" t="s">
        <v>275</v>
      </c>
    </row>
    <row r="828" spans="2:22" x14ac:dyDescent="0.25">
      <c r="B828" s="8"/>
      <c r="C828" s="9"/>
      <c r="D828" s="10"/>
      <c r="E828" s="10" t="s">
        <v>2</v>
      </c>
      <c r="F828" s="11"/>
      <c r="G828" s="11"/>
      <c r="H828" s="12">
        <f>[1]!РЕАЛИЗАЦИЯ[СОНИ]*[1]!РЕАЛИЗАЦИЯ[НАРХИ]</f>
        <v>2392950</v>
      </c>
      <c r="I828" s="11"/>
      <c r="J828" s="13"/>
      <c r="K828" s="11">
        <f>[1]!РЕАЛИЗАЦИЯ[[#This Row],[СОНИ]]*[1]!РЕАЛИЗАЦИЯ[[#This Row],[ТАННАРХ]]</f>
        <v>0</v>
      </c>
      <c r="L828" s="14">
        <f>[1]!РЕАЛИЗАЦИЯ[[#This Row],[ЖАМИ]]-[1]!РЕАЛИЗАЦИЯ[[#This Row],[ЖАМИ2]]</f>
        <v>2392950</v>
      </c>
      <c r="O828" s="30">
        <v>46147</v>
      </c>
      <c r="P828" s="31" t="s">
        <v>67</v>
      </c>
      <c r="Q828" s="13">
        <v>8788500</v>
      </c>
      <c r="R828" s="13"/>
      <c r="S828" s="13"/>
      <c r="T828" s="32">
        <f>[1]!ПЛАТЕЖИ[[#This Row],[СЎМ]]+([1]!ПЛАТЕЖИ[[#This Row],[ВАЛЮТА]]*[1]!ПЛАТЕЖИ[[#This Row],[КУРС]])</f>
        <v>1000000</v>
      </c>
      <c r="U828" s="31"/>
      <c r="V828" s="31" t="s">
        <v>279</v>
      </c>
    </row>
    <row r="829" spans="2:22" x14ac:dyDescent="0.25">
      <c r="B829" s="1">
        <v>46143</v>
      </c>
      <c r="C829" s="2" t="s">
        <v>39</v>
      </c>
      <c r="D829" s="3" t="s">
        <v>1</v>
      </c>
      <c r="E829" s="3" t="s">
        <v>2</v>
      </c>
      <c r="F829" s="4">
        <v>518.70000000000005</v>
      </c>
      <c r="G829" s="4">
        <v>20000</v>
      </c>
      <c r="H829" s="5">
        <f>[1]!РЕАЛИЗАЦИЯ[СОНИ]*[1]!РЕАЛИЗАЦИЯ[НАРХИ]</f>
        <v>760650</v>
      </c>
      <c r="I829" s="4"/>
      <c r="J829" s="6">
        <v>19000</v>
      </c>
      <c r="K829" s="4">
        <f>[1]!РЕАЛИЗАЦИЯ[[#This Row],[СОНИ]]*[1]!РЕАЛИЗАЦИЯ[[#This Row],[ТАННАРХ]]</f>
        <v>0</v>
      </c>
      <c r="L829" s="7">
        <f>[1]!РЕАЛИЗАЦИЯ[[#This Row],[ЖАМИ]]-[1]!РЕАЛИЗАЦИЯ[[#This Row],[ЖАМИ2]]</f>
        <v>760650</v>
      </c>
      <c r="O829" s="27">
        <v>46148</v>
      </c>
      <c r="P829" s="28" t="s">
        <v>28</v>
      </c>
      <c r="Q829" s="6">
        <v>500000</v>
      </c>
      <c r="R829" s="6"/>
      <c r="S829" s="6"/>
      <c r="T829" s="29">
        <f>[1]!ПЛАТЕЖИ[[#This Row],[СЎМ]]+([1]!ПЛАТЕЖИ[[#This Row],[ВАЛЮТА]]*[1]!ПЛАТЕЖИ[[#This Row],[КУРС]])</f>
        <v>3834000</v>
      </c>
      <c r="U829" s="28"/>
      <c r="V829" s="28"/>
    </row>
    <row r="830" spans="2:22" x14ac:dyDescent="0.25">
      <c r="B830" s="8">
        <v>46143</v>
      </c>
      <c r="C830" s="9" t="s">
        <v>55</v>
      </c>
      <c r="D830" s="10" t="s">
        <v>1</v>
      </c>
      <c r="E830" s="10" t="s">
        <v>2</v>
      </c>
      <c r="F830" s="11">
        <v>50.1</v>
      </c>
      <c r="G830" s="11">
        <v>27000</v>
      </c>
      <c r="H830" s="12">
        <f>[1]!РЕАЛИЗАЦИЯ[СОНИ]*[1]!РЕАЛИЗАЦИЯ[НАРХИ]</f>
        <v>915600</v>
      </c>
      <c r="I830" s="11"/>
      <c r="J830" s="13">
        <v>25000</v>
      </c>
      <c r="K830" s="11">
        <f>[1]!РЕАЛИЗАЦИЯ[[#This Row],[СОНИ]]*[1]!РЕАЛИЗАЦИЯ[[#This Row],[ТАННАРХ]]</f>
        <v>0</v>
      </c>
      <c r="L830" s="14">
        <f>[1]!РЕАЛИЗАЦИЯ[[#This Row],[ЖАМИ]]-[1]!РЕАЛИЗАЦИЯ[[#This Row],[ЖАМИ2]]</f>
        <v>915600</v>
      </c>
      <c r="O830" s="30">
        <v>46148</v>
      </c>
      <c r="P830" s="31" t="s">
        <v>248</v>
      </c>
      <c r="Q830" s="13">
        <v>2300000</v>
      </c>
      <c r="R830" s="13"/>
      <c r="S830" s="13"/>
      <c r="T830" s="32">
        <f>[1]!ПЛАТЕЖИ[[#This Row],[СЎМ]]+([1]!ПЛАТЕЖИ[[#This Row],[ВАЛЮТА]]*[1]!ПЛАТЕЖИ[[#This Row],[КУРС]])</f>
        <v>2802000</v>
      </c>
      <c r="U830" s="31"/>
      <c r="V830" s="31"/>
    </row>
    <row r="831" spans="2:22" x14ac:dyDescent="0.25">
      <c r="B831" s="1">
        <v>46143</v>
      </c>
      <c r="C831" s="2" t="s">
        <v>220</v>
      </c>
      <c r="D831" s="3" t="s">
        <v>1</v>
      </c>
      <c r="E831" s="3" t="s">
        <v>2</v>
      </c>
      <c r="F831" s="4">
        <v>50</v>
      </c>
      <c r="G831" s="4">
        <v>27000</v>
      </c>
      <c r="H831" s="5">
        <f>[1]!РЕАЛИЗАЦИЯ[СОНИ]*[1]!РЕАЛИЗАЦИЯ[НАРХИ]</f>
        <v>3045000</v>
      </c>
      <c r="I831" s="4"/>
      <c r="J831" s="6">
        <v>25000</v>
      </c>
      <c r="K831" s="4">
        <f>[1]!РЕАЛИЗАЦИЯ[[#This Row],[СОНИ]]*[1]!РЕАЛИЗАЦИЯ[[#This Row],[ТАННАРХ]]</f>
        <v>0</v>
      </c>
      <c r="L831" s="7">
        <f>[1]!РЕАЛИЗАЦИЯ[[#This Row],[ЖАМИ]]-[1]!РЕАЛИЗАЦИЯ[[#This Row],[ЖАМИ2]]</f>
        <v>3045000</v>
      </c>
      <c r="O831" s="27">
        <v>46148</v>
      </c>
      <c r="P831" s="28" t="s">
        <v>156</v>
      </c>
      <c r="Q831" s="6">
        <v>1645000</v>
      </c>
      <c r="R831" s="6"/>
      <c r="S831" s="6"/>
      <c r="T831" s="29">
        <f>[1]!ПЛАТЕЖИ[[#This Row],[СЎМ]]+([1]!ПЛАТЕЖИ[[#This Row],[ВАЛЮТА]]*[1]!ПЛАТЕЖИ[[#This Row],[КУРС]])</f>
        <v>10380150</v>
      </c>
      <c r="U831" s="28"/>
      <c r="V831" s="28"/>
    </row>
    <row r="832" spans="2:22" x14ac:dyDescent="0.25">
      <c r="B832" s="8">
        <v>46144</v>
      </c>
      <c r="C832" s="9" t="s">
        <v>101</v>
      </c>
      <c r="D832" s="10" t="s">
        <v>1</v>
      </c>
      <c r="E832" s="10" t="s">
        <v>2</v>
      </c>
      <c r="F832" s="11">
        <v>52.2</v>
      </c>
      <c r="G832" s="11">
        <v>27000</v>
      </c>
      <c r="H832" s="12">
        <f>[1]!РЕАЛИЗАЦИЯ[СОНИ]*[1]!РЕАЛИЗАЦИЯ[НАРХИ]</f>
        <v>3046300</v>
      </c>
      <c r="I832" s="11"/>
      <c r="J832" s="13">
        <v>25000</v>
      </c>
      <c r="K832" s="11">
        <f>[1]!РЕАЛИЗАЦИЯ[[#This Row],[СОНИ]]*[1]!РЕАЛИЗАЦИЯ[[#This Row],[ТАННАРХ]]</f>
        <v>0</v>
      </c>
      <c r="L832" s="14">
        <f>[1]!РЕАЛИЗАЦИЯ[[#This Row],[ЖАМИ]]-[1]!РЕАЛИЗАЦИЯ[[#This Row],[ЖАМИ2]]</f>
        <v>3046300</v>
      </c>
      <c r="O832" s="30">
        <v>46148</v>
      </c>
      <c r="P832" s="31" t="s">
        <v>19</v>
      </c>
      <c r="Q832" s="13">
        <v>4258200</v>
      </c>
      <c r="R832" s="13"/>
      <c r="S832" s="13"/>
      <c r="T832" s="32">
        <f>[1]!ПЛАТЕЖИ[[#This Row],[СЎМ]]+([1]!ПЛАТЕЖИ[[#This Row],[ВАЛЮТА]]*[1]!ПЛАТЕЖИ[[#This Row],[КУРС]])</f>
        <v>1037400</v>
      </c>
      <c r="U832" s="31"/>
      <c r="V832" s="31" t="s">
        <v>279</v>
      </c>
    </row>
    <row r="833" spans="2:22" x14ac:dyDescent="0.25">
      <c r="B833" s="1">
        <v>46144</v>
      </c>
      <c r="C833" s="2" t="s">
        <v>49</v>
      </c>
      <c r="D833" s="3" t="s">
        <v>10</v>
      </c>
      <c r="E833" s="3" t="s">
        <v>2</v>
      </c>
      <c r="F833" s="4">
        <v>51.1</v>
      </c>
      <c r="G833" s="4">
        <v>17000</v>
      </c>
      <c r="H833" s="5">
        <f>[1]!РЕАЛИЗАЦИЯ[СОНИ]*[1]!РЕАЛИЗАЦИЯ[НАРХИ]</f>
        <v>2142000</v>
      </c>
      <c r="I833" s="4"/>
      <c r="J833" s="6">
        <v>15000</v>
      </c>
      <c r="K833" s="4">
        <f>[1]!РЕАЛИЗАЦИЯ[[#This Row],[СОНИ]]*[1]!РЕАЛИЗАЦИЯ[[#This Row],[ТАННАРХ]]</f>
        <v>0</v>
      </c>
      <c r="L833" s="7">
        <f>[1]!РЕАЛИЗАЦИЯ[[#This Row],[ЖАМИ]]-[1]!РЕАЛИЗАЦИЯ[[#This Row],[ЖАМИ2]]</f>
        <v>2142000</v>
      </c>
      <c r="O833" s="27">
        <v>46148</v>
      </c>
      <c r="P833" s="28" t="s">
        <v>173</v>
      </c>
      <c r="Q833" s="6">
        <v>500000</v>
      </c>
      <c r="R833" s="6"/>
      <c r="S833" s="6"/>
      <c r="T833" s="29">
        <f>[1]!ПЛАТЕЖИ[[#This Row],[СЎМ]]+([1]!ПЛАТЕЖИ[[#This Row],[ВАЛЮТА]]*[1]!ПЛАТЕЖИ[[#This Row],[КУРС]])</f>
        <v>610000</v>
      </c>
      <c r="U833" s="28"/>
      <c r="V833" s="28" t="s">
        <v>275</v>
      </c>
    </row>
    <row r="834" spans="2:22" x14ac:dyDescent="0.25">
      <c r="B834" s="8">
        <v>46144</v>
      </c>
      <c r="C834" s="9" t="s">
        <v>15</v>
      </c>
      <c r="D834" s="10" t="s">
        <v>1</v>
      </c>
      <c r="E834" s="10" t="s">
        <v>2</v>
      </c>
      <c r="F834" s="11">
        <v>498</v>
      </c>
      <c r="G834" s="11">
        <v>27000</v>
      </c>
      <c r="H834" s="12">
        <f>[1]!РЕАЛИЗАЦИЯ[СОНИ]*[1]!РЕАЛИЗАЦИЯ[НАРХИ]</f>
        <v>1010100</v>
      </c>
      <c r="I834" s="11"/>
      <c r="J834" s="13">
        <v>25000</v>
      </c>
      <c r="K834" s="11">
        <f>[1]!РЕАЛИЗАЦИЯ[[#This Row],[СОНИ]]*[1]!РЕАЛИЗАЦИЯ[[#This Row],[ТАННАРХ]]</f>
        <v>0</v>
      </c>
      <c r="L834" s="14">
        <f>[1]!РЕАЛИЗАЦИЯ[[#This Row],[ЖАМИ]]-[1]!РЕАЛИЗАЦИЯ[[#This Row],[ЖАМИ2]]</f>
        <v>1010100</v>
      </c>
      <c r="O834" s="30">
        <v>46148</v>
      </c>
      <c r="P834" s="31" t="s">
        <v>113</v>
      </c>
      <c r="Q834" s="13">
        <v>10000000</v>
      </c>
      <c r="R834" s="13"/>
      <c r="S834" s="13"/>
      <c r="T834" s="32">
        <f>[1]!ПЛАТЕЖИ[[#This Row],[СЎМ]]+([1]!ПЛАТЕЖИ[[#This Row],[ВАЛЮТА]]*[1]!ПЛАТЕЖИ[[#This Row],[КУРС]])</f>
        <v>500000</v>
      </c>
      <c r="U834" s="31"/>
      <c r="V834" s="31" t="s">
        <v>279</v>
      </c>
    </row>
    <row r="835" spans="2:22" x14ac:dyDescent="0.25">
      <c r="B835" s="1">
        <v>46145</v>
      </c>
      <c r="C835" s="2" t="s">
        <v>117</v>
      </c>
      <c r="D835" s="3" t="s">
        <v>10</v>
      </c>
      <c r="E835" s="3" t="s">
        <v>2</v>
      </c>
      <c r="F835" s="4">
        <v>48.2</v>
      </c>
      <c r="G835" s="4">
        <v>17000</v>
      </c>
      <c r="H835" s="5">
        <f>[1]!РЕАЛИЗАЦИЯ[СОНИ]*[1]!РЕАЛИЗАЦИЯ[НАРХИ]</f>
        <v>1110900</v>
      </c>
      <c r="I835" s="4"/>
      <c r="J835" s="6">
        <v>15000</v>
      </c>
      <c r="K835" s="4">
        <f>[1]!РЕАЛИЗАЦИЯ[[#This Row],[СОНИ]]*[1]!РЕАЛИЗАЦИЯ[[#This Row],[ТАННАРХ]]</f>
        <v>0</v>
      </c>
      <c r="L835" s="7">
        <f>[1]!РЕАЛИЗАЦИЯ[[#This Row],[ЖАМИ]]-[1]!РЕАЛИЗАЦИЯ[[#This Row],[ЖАМИ2]]</f>
        <v>1110900</v>
      </c>
      <c r="O835" s="27">
        <v>46148</v>
      </c>
      <c r="P835" s="28" t="s">
        <v>89</v>
      </c>
      <c r="Q835" s="6">
        <v>7000000</v>
      </c>
      <c r="R835" s="6"/>
      <c r="S835" s="6"/>
      <c r="T835" s="29">
        <f>[1]!ПЛАТЕЖИ[[#This Row],[СЎМ]]+([1]!ПЛАТЕЖИ[[#This Row],[ВАЛЮТА]]*[1]!ПЛАТЕЖИ[[#This Row],[КУРС]])</f>
        <v>1102300</v>
      </c>
      <c r="U835" s="28"/>
      <c r="V835" s="28"/>
    </row>
    <row r="836" spans="2:22" x14ac:dyDescent="0.25">
      <c r="B836" s="8">
        <v>46145</v>
      </c>
      <c r="C836" s="9" t="s">
        <v>117</v>
      </c>
      <c r="D836" s="10" t="s">
        <v>1</v>
      </c>
      <c r="E836" s="10" t="s">
        <v>2</v>
      </c>
      <c r="F836" s="11">
        <v>102.9</v>
      </c>
      <c r="G836" s="11">
        <v>27000</v>
      </c>
      <c r="H836" s="12">
        <f>[1]!РЕАЛИЗАЦИЯ[СОНИ]*[1]!РЕАЛИЗАЦИЯ[НАРХИ]</f>
        <v>863100</v>
      </c>
      <c r="I836" s="11"/>
      <c r="J836" s="13">
        <v>25000</v>
      </c>
      <c r="K836" s="11">
        <f>[1]!РЕАЛИЗАЦИЯ[[#This Row],[СОНИ]]*[1]!РЕАЛИЗАЦИЯ[[#This Row],[ТАННАРХ]]</f>
        <v>0</v>
      </c>
      <c r="L836" s="14">
        <f>[1]!РЕАЛИЗАЦИЯ[[#This Row],[ЖАМИ]]-[1]!РЕАЛИЗАЦИЯ[[#This Row],[ЖАМИ2]]</f>
        <v>863100</v>
      </c>
      <c r="O836" s="30">
        <v>46148</v>
      </c>
      <c r="P836" s="31" t="s">
        <v>239</v>
      </c>
      <c r="Q836" s="13">
        <v>849100</v>
      </c>
      <c r="R836" s="13"/>
      <c r="S836" s="13"/>
      <c r="T836" s="32">
        <f>[1]!ПЛАТЕЖИ[[#This Row],[СЎМ]]+([1]!ПЛАТЕЖИ[[#This Row],[ВАЛЮТА]]*[1]!ПЛАТЕЖИ[[#This Row],[КУРС]])</f>
        <v>2077000</v>
      </c>
      <c r="U836" s="31"/>
      <c r="V836" s="31"/>
    </row>
    <row r="837" spans="2:22" x14ac:dyDescent="0.25">
      <c r="B837" s="1">
        <v>46145</v>
      </c>
      <c r="C837" s="2" t="s">
        <v>235</v>
      </c>
      <c r="D837" s="3" t="s">
        <v>1</v>
      </c>
      <c r="E837" s="3" t="s">
        <v>2</v>
      </c>
      <c r="F837" s="4">
        <v>51.7</v>
      </c>
      <c r="G837" s="4">
        <v>27000</v>
      </c>
      <c r="H837" s="5">
        <f>[1]!РЕАЛИЗАЦИЯ[СОНИ]*[1]!РЕАЛИЗАЦИЯ[НАРХИ]</f>
        <v>1117200</v>
      </c>
      <c r="I837" s="4"/>
      <c r="J837" s="6">
        <v>25000</v>
      </c>
      <c r="K837" s="4">
        <f>[1]!РЕАЛИЗАЦИЯ[[#This Row],[СОНИ]]*[1]!РЕАЛИЗАЦИЯ[[#This Row],[ТАННАРХ]]</f>
        <v>0</v>
      </c>
      <c r="L837" s="7">
        <f>[1]!РЕАЛИЗАЦИЯ[[#This Row],[ЖАМИ]]-[1]!РЕАЛИЗАЦИЯ[[#This Row],[ЖАМИ2]]</f>
        <v>1117200</v>
      </c>
      <c r="O837" s="27">
        <v>46148</v>
      </c>
      <c r="P837" s="28" t="s">
        <v>50</v>
      </c>
      <c r="Q837" s="6">
        <v>1000000</v>
      </c>
      <c r="R837" s="6"/>
      <c r="S837" s="6"/>
      <c r="T837" s="29">
        <f>[1]!ПЛАТЕЖИ[[#This Row],[СЎМ]]+([1]!ПЛАТЕЖИ[[#This Row],[ВАЛЮТА]]*[1]!ПЛАТЕЖИ[[#This Row],[КУРС]])</f>
        <v>1100000</v>
      </c>
      <c r="U837" s="28"/>
      <c r="V837" s="28" t="s">
        <v>275</v>
      </c>
    </row>
    <row r="838" spans="2:22" x14ac:dyDescent="0.25">
      <c r="B838" s="8">
        <v>46145</v>
      </c>
      <c r="C838" s="9" t="s">
        <v>216</v>
      </c>
      <c r="D838" s="10" t="s">
        <v>1</v>
      </c>
      <c r="E838" s="10" t="s">
        <v>2</v>
      </c>
      <c r="F838" s="11">
        <v>93.1</v>
      </c>
      <c r="G838" s="11">
        <v>27000</v>
      </c>
      <c r="H838" s="12">
        <f>[1]!РЕАЛИЗАЦИЯ[СОНИ]*[1]!РЕАЛИЗАЦИЯ[НАРХИ]</f>
        <v>823200.00000000012</v>
      </c>
      <c r="I838" s="11"/>
      <c r="J838" s="13">
        <v>25000</v>
      </c>
      <c r="K838" s="11">
        <f>[1]!РЕАЛИЗАЦИЯ[[#This Row],[СОНИ]]*[1]!РЕАЛИЗАЦИЯ[[#This Row],[ТАННАРХ]]</f>
        <v>0</v>
      </c>
      <c r="L838" s="14">
        <f>[1]!РЕАЛИЗАЦИЯ[[#This Row],[ЖАМИ]]-[1]!РЕАЛИЗАЦИЯ[[#This Row],[ЖАМИ2]]</f>
        <v>823200.00000000012</v>
      </c>
      <c r="O838" s="30">
        <v>46148</v>
      </c>
      <c r="P838" s="31" t="s">
        <v>88</v>
      </c>
      <c r="Q838" s="13">
        <v>2029500</v>
      </c>
      <c r="R838" s="13"/>
      <c r="S838" s="13"/>
      <c r="T838" s="32">
        <f>[1]!ПЛАТЕЖИ[[#This Row],[СЎМ]]+([1]!ПЛАТЕЖИ[[#This Row],[ВАЛЮТА]]*[1]!ПЛАТЕЖИ[[#This Row],[КУРС]])</f>
        <v>14757600</v>
      </c>
      <c r="U838" s="31"/>
      <c r="V838" s="31" t="s">
        <v>279</v>
      </c>
    </row>
    <row r="839" spans="2:22" x14ac:dyDescent="0.25">
      <c r="B839" s="1">
        <v>46146</v>
      </c>
      <c r="C839" s="2" t="s">
        <v>33</v>
      </c>
      <c r="D839" s="3" t="s">
        <v>10</v>
      </c>
      <c r="E839" s="3" t="s">
        <v>2</v>
      </c>
      <c r="F839" s="4">
        <v>296</v>
      </c>
      <c r="G839" s="4">
        <v>17000</v>
      </c>
      <c r="H839" s="5">
        <f>[1]!РЕАЛИЗАЦИЯ[СОНИ]*[1]!РЕАЛИЗАЦИЯ[НАРХИ]</f>
        <v>24327100</v>
      </c>
      <c r="I839" s="4"/>
      <c r="J839" s="6">
        <v>15000</v>
      </c>
      <c r="K839" s="4">
        <f>[1]!РЕАЛИЗАЦИЯ[[#This Row],[СОНИ]]*[1]!РЕАЛИЗАЦИЯ[[#This Row],[ТАННАРХ]]</f>
        <v>22374585800</v>
      </c>
      <c r="L839" s="7">
        <f>[1]!РЕАЛИЗАЦИЯ[[#This Row],[ЖАМИ]]-[1]!РЕАЛИЗАЦИЯ[[#This Row],[ЖАМИ2]]</f>
        <v>24326042.300000001</v>
      </c>
      <c r="O839" s="27">
        <v>46148</v>
      </c>
      <c r="P839" s="28" t="s">
        <v>185</v>
      </c>
      <c r="Q839" s="6">
        <v>11527250</v>
      </c>
      <c r="R839" s="6"/>
      <c r="S839" s="6"/>
      <c r="T839" s="29">
        <f>[1]!ПЛАТЕЖИ[[#This Row],[СЎМ]]+([1]!ПЛАТЕЖИ[[#This Row],[ВАЛЮТА]]*[1]!ПЛАТЕЖИ[[#This Row],[КУРС]])</f>
        <v>1519000</v>
      </c>
      <c r="U839" s="28"/>
      <c r="V839" s="28" t="s">
        <v>279</v>
      </c>
    </row>
    <row r="840" spans="2:22" x14ac:dyDescent="0.25">
      <c r="B840" s="8">
        <v>46146</v>
      </c>
      <c r="C840" s="9" t="s">
        <v>33</v>
      </c>
      <c r="D840" s="10" t="s">
        <v>1</v>
      </c>
      <c r="E840" s="10" t="s">
        <v>2</v>
      </c>
      <c r="F840" s="11">
        <v>204.3</v>
      </c>
      <c r="G840" s="11">
        <v>25000</v>
      </c>
      <c r="H840" s="12">
        <f>[1]!РЕАЛИЗАЦИЯ[СОНИ]*[1]!РЕАЛИЗАЦИЯ[НАРХИ]</f>
        <v>2129400</v>
      </c>
      <c r="I840" s="11"/>
      <c r="J840" s="13">
        <v>23000</v>
      </c>
      <c r="K840" s="11">
        <f>[1]!РЕАЛИЗАЦИЯ[[#This Row],[СОНИ]]*[1]!РЕАЛИЗАЦИЯ[[#This Row],[ТАННАРХ]]</f>
        <v>0</v>
      </c>
      <c r="L840" s="14">
        <f>[1]!РЕАЛИЗАЦИЯ[[#This Row],[ЖАМИ]]-[1]!РЕАЛИЗАЦИЯ[[#This Row],[ЖАМИ2]]</f>
        <v>2129400</v>
      </c>
      <c r="O840" s="30">
        <v>46148</v>
      </c>
      <c r="P840" s="31" t="s">
        <v>93</v>
      </c>
      <c r="Q840" s="13">
        <v>1252500</v>
      </c>
      <c r="R840" s="13"/>
      <c r="S840" s="13"/>
      <c r="T840" s="32">
        <f>[1]!ПЛАТЕЖИ[[#This Row],[СЎМ]]+([1]!ПЛАТЕЖИ[[#This Row],[ВАЛЮТА]]*[1]!ПЛАТЕЖИ[[#This Row],[КУРС]])</f>
        <v>1580000</v>
      </c>
      <c r="U840" s="31"/>
      <c r="V840" s="31"/>
    </row>
    <row r="841" spans="2:22" x14ac:dyDescent="0.25">
      <c r="B841" s="1">
        <v>46146</v>
      </c>
      <c r="C841" s="2" t="s">
        <v>39</v>
      </c>
      <c r="D841" s="3" t="s">
        <v>1</v>
      </c>
      <c r="E841" s="3" t="s">
        <v>2</v>
      </c>
      <c r="F841" s="4">
        <v>381.8</v>
      </c>
      <c r="G841" s="4">
        <v>25000</v>
      </c>
      <c r="H841" s="5">
        <f>[1]!РЕАЛИЗАЦИЯ[СОНИ]*[1]!РЕАЛИЗАЦИЯ[НАРХИ]</f>
        <v>1190700</v>
      </c>
      <c r="I841" s="4"/>
      <c r="J841" s="6">
        <v>23000</v>
      </c>
      <c r="K841" s="4">
        <f>[1]!РЕАЛИЗАЦИЯ[[#This Row],[СОНИ]]*[1]!РЕАЛИЗАЦИЯ[[#This Row],[ТАННАРХ]]</f>
        <v>0</v>
      </c>
      <c r="L841" s="7">
        <f>[1]!РЕАЛИЗАЦИЯ[[#This Row],[ЖАМИ]]-[1]!РЕАЛИЗАЦИЯ[[#This Row],[ЖАМИ2]]</f>
        <v>1190700</v>
      </c>
      <c r="O841" s="27">
        <v>46148</v>
      </c>
      <c r="P841" s="28" t="s">
        <v>203</v>
      </c>
      <c r="Q841" s="6">
        <v>1953000</v>
      </c>
      <c r="R841" s="6"/>
      <c r="S841" s="6"/>
      <c r="T841" s="29">
        <f>[1]!ПЛАТЕЖИ[[#This Row],[СЎМ]]+([1]!ПЛАТЕЖИ[[#This Row],[ВАЛЮТА]]*[1]!ПЛАТЕЖИ[[#This Row],[КУРС]])</f>
        <v>861900</v>
      </c>
      <c r="U841" s="28"/>
      <c r="V841" s="28"/>
    </row>
    <row r="842" spans="2:22" x14ac:dyDescent="0.25">
      <c r="B842" s="8">
        <v>46146</v>
      </c>
      <c r="C842" s="9" t="s">
        <v>95</v>
      </c>
      <c r="D842" s="10" t="s">
        <v>1</v>
      </c>
      <c r="E842" s="10" t="s">
        <v>2</v>
      </c>
      <c r="F842" s="11">
        <v>101.3</v>
      </c>
      <c r="G842" s="11">
        <v>25000</v>
      </c>
      <c r="H842" s="12">
        <f>[1]!РЕАЛИЗАЦИЯ[СОНИ]*[1]!РЕАЛИЗАЦИЯ[НАРХИ]</f>
        <v>2104200</v>
      </c>
      <c r="I842" s="11"/>
      <c r="J842" s="13">
        <v>23000</v>
      </c>
      <c r="K842" s="11">
        <f>[1]!РЕАЛИЗАЦИЯ[[#This Row],[СОНИ]]*[1]!РЕАЛИЗАЦИЯ[[#This Row],[ТАННАРХ]]</f>
        <v>0</v>
      </c>
      <c r="L842" s="14">
        <f>[1]!РЕАЛИЗАЦИЯ[[#This Row],[ЖАМИ]]-[1]!РЕАЛИЗАЦИЯ[[#This Row],[ЖАМИ2]]</f>
        <v>2104200</v>
      </c>
      <c r="O842" s="30">
        <v>46148</v>
      </c>
      <c r="P842" s="31" t="s">
        <v>202</v>
      </c>
      <c r="Q842" s="13">
        <v>10000000</v>
      </c>
      <c r="R842" s="13"/>
      <c r="S842" s="13"/>
      <c r="T842" s="32">
        <f>[1]!ПЛАТЕЖИ[[#This Row],[СЎМ]]+([1]!ПЛАТЕЖИ[[#This Row],[ВАЛЮТА]]*[1]!ПЛАТЕЖИ[[#This Row],[КУРС]])</f>
        <v>122400</v>
      </c>
      <c r="U842" s="31"/>
      <c r="V842" s="31"/>
    </row>
    <row r="843" spans="2:22" x14ac:dyDescent="0.25">
      <c r="B843" s="1">
        <v>46146</v>
      </c>
      <c r="C843" s="2" t="s">
        <v>107</v>
      </c>
      <c r="D843" s="3" t="s">
        <v>1</v>
      </c>
      <c r="E843" s="3" t="s">
        <v>2</v>
      </c>
      <c r="F843" s="4">
        <v>144.1</v>
      </c>
      <c r="G843" s="4">
        <v>25000</v>
      </c>
      <c r="H843" s="5">
        <f>[1]!РЕАЛИЗАЦИЯ[СОНИ]*[1]!РЕАЛИЗАЦИЯ[НАРХИ]</f>
        <v>662400</v>
      </c>
      <c r="I843" s="4"/>
      <c r="J843" s="6">
        <v>23000</v>
      </c>
      <c r="K843" s="4">
        <f>[1]!РЕАЛИЗАЦИЯ[[#This Row],[СОНИ]]*[1]!РЕАЛИЗАЦИЯ[[#This Row],[ТАННАРХ]]</f>
        <v>0</v>
      </c>
      <c r="L843" s="7">
        <f>[1]!РЕАЛИЗАЦИЯ[[#This Row],[ЖАМИ]]-[1]!РЕАЛИЗАЦИЯ[[#This Row],[ЖАМИ2]]</f>
        <v>662400</v>
      </c>
      <c r="O843" s="27">
        <v>46148</v>
      </c>
      <c r="P843" s="28" t="s">
        <v>68</v>
      </c>
      <c r="Q843" s="6">
        <v>10000000</v>
      </c>
      <c r="R843" s="6"/>
      <c r="S843" s="6"/>
      <c r="T843" s="29">
        <f>[1]!ПЛАТЕЖИ[[#This Row],[СЎМ]]+([1]!ПЛАТЕЖИ[[#This Row],[ВАЛЮТА]]*[1]!ПЛАТЕЖИ[[#This Row],[КУРС]])</f>
        <v>2700000</v>
      </c>
      <c r="U843" s="28"/>
      <c r="V843" s="28" t="s">
        <v>279</v>
      </c>
    </row>
    <row r="844" spans="2:22" x14ac:dyDescent="0.25">
      <c r="B844" s="8">
        <v>46146</v>
      </c>
      <c r="C844" s="9" t="s">
        <v>205</v>
      </c>
      <c r="D844" s="10" t="s">
        <v>10</v>
      </c>
      <c r="E844" s="10" t="s">
        <v>2</v>
      </c>
      <c r="F844" s="11">
        <v>47.8</v>
      </c>
      <c r="G844" s="11">
        <v>17000</v>
      </c>
      <c r="H844" s="12">
        <f>[1]!РЕАЛИЗАЦИЯ[СОНИ]*[1]!РЕАЛИЗАЦИЯ[НАРХИ]</f>
        <v>832000</v>
      </c>
      <c r="I844" s="11"/>
      <c r="J844" s="13">
        <v>15000</v>
      </c>
      <c r="K844" s="11">
        <f>[1]!РЕАЛИЗАЦИЯ[[#This Row],[СОНИ]]*[1]!РЕАЛИЗАЦИЯ[[#This Row],[ТАННАРХ]]</f>
        <v>0</v>
      </c>
      <c r="L844" s="14">
        <f>[1]!РЕАЛИЗАЦИЯ[[#This Row],[ЖАМИ]]-[1]!РЕАЛИЗАЦИЯ[[#This Row],[ЖАМИ2]]</f>
        <v>832000</v>
      </c>
      <c r="O844" s="30">
        <v>46148</v>
      </c>
      <c r="P844" s="31" t="s">
        <v>96</v>
      </c>
      <c r="Q844" s="13">
        <v>900000</v>
      </c>
      <c r="R844" s="13"/>
      <c r="S844" s="13"/>
      <c r="T844" s="32">
        <f>[1]!ПЛАТЕЖИ[[#This Row],[СЎМ]]+([1]!ПЛАТЕЖИ[[#This Row],[ВАЛЮТА]]*[1]!ПЛАТЕЖИ[[#This Row],[КУРС]])</f>
        <v>1066359</v>
      </c>
      <c r="U844" s="31"/>
      <c r="V844" s="31"/>
    </row>
    <row r="845" spans="2:22" x14ac:dyDescent="0.25">
      <c r="B845" s="1">
        <v>46146</v>
      </c>
      <c r="C845" s="2" t="s">
        <v>205</v>
      </c>
      <c r="D845" s="3" t="s">
        <v>1</v>
      </c>
      <c r="E845" s="3" t="s">
        <v>2</v>
      </c>
      <c r="F845" s="4">
        <v>50.7</v>
      </c>
      <c r="G845" s="4">
        <v>25000</v>
      </c>
      <c r="H845" s="5">
        <f>[1]!РЕАЛИЗАЦИЯ[СОНИ]*[1]!РЕАЛИЗАЦИЯ[НАРХИ]</f>
        <v>1970000</v>
      </c>
      <c r="I845" s="4"/>
      <c r="J845" s="6">
        <v>23000</v>
      </c>
      <c r="K845" s="4">
        <f>[1]!РЕАЛИЗАЦИЯ[[#This Row],[СОНИ]]*[1]!РЕАЛИЗАЦИЯ[[#This Row],[ТАННАРХ]]</f>
        <v>0</v>
      </c>
      <c r="L845" s="7">
        <f>[1]!РЕАЛИЗАЦИЯ[[#This Row],[ЖАМИ]]-[1]!РЕАЛИЗАЦИЯ[[#This Row],[ЖАМИ2]]</f>
        <v>1970000</v>
      </c>
      <c r="O845" s="27">
        <v>46148</v>
      </c>
      <c r="P845" s="28" t="s">
        <v>62</v>
      </c>
      <c r="Q845" s="6">
        <v>13000</v>
      </c>
      <c r="R845" s="6">
        <v>100</v>
      </c>
      <c r="S845" s="6">
        <v>12000</v>
      </c>
      <c r="T845" s="29">
        <f>[1]!ПЛАТЕЖИ[[#This Row],[СЎМ]]+([1]!ПЛАТЕЖИ[[#This Row],[ВАЛЮТА]]*[1]!ПЛАТЕЖИ[[#This Row],[КУРС]])</f>
        <v>1503000</v>
      </c>
      <c r="U845" s="28"/>
      <c r="V845" s="28"/>
    </row>
    <row r="846" spans="2:22" x14ac:dyDescent="0.25">
      <c r="B846" s="8">
        <v>46147</v>
      </c>
      <c r="C846" s="9" t="s">
        <v>48</v>
      </c>
      <c r="D846" s="10" t="s">
        <v>8</v>
      </c>
      <c r="E846" s="10" t="s">
        <v>2</v>
      </c>
      <c r="F846" s="11">
        <v>203.2</v>
      </c>
      <c r="G846" s="11">
        <v>25000</v>
      </c>
      <c r="H846" s="12">
        <f>[1]!РЕАЛИЗАЦИЯ[СОНИ]*[1]!РЕАЛИЗАЦИЯ[НАРХИ]</f>
        <v>3000900</v>
      </c>
      <c r="I846" s="11"/>
      <c r="J846" s="13">
        <v>23000</v>
      </c>
      <c r="K846" s="11">
        <f>[1]!РЕАЛИЗАЦИЯ[[#This Row],[СОНИ]]*[1]!РЕАЛИЗАЦИЯ[[#This Row],[ТАННАРХ]]</f>
        <v>0</v>
      </c>
      <c r="L846" s="14">
        <f>[1]!РЕАЛИЗАЦИЯ[[#This Row],[ЖАМИ]]-[1]!РЕАЛИЗАЦИЯ[[#This Row],[ЖАМИ2]]</f>
        <v>3000900</v>
      </c>
      <c r="O846" s="30">
        <v>46148</v>
      </c>
      <c r="P846" s="31" t="s">
        <v>223</v>
      </c>
      <c r="Q846" s="13">
        <v>300000</v>
      </c>
      <c r="R846" s="13"/>
      <c r="S846" s="13"/>
      <c r="T846" s="32">
        <f>[1]!ПЛАТЕЖИ[[#This Row],[СЎМ]]+([1]!ПЛАТЕЖИ[[#This Row],[ВАЛЮТА]]*[1]!ПЛАТЕЖИ[[#This Row],[КУРС]])</f>
        <v>1761500</v>
      </c>
      <c r="U846" s="31"/>
      <c r="V846" s="31"/>
    </row>
    <row r="847" spans="2:22" x14ac:dyDescent="0.25">
      <c r="B847" s="1">
        <v>46147</v>
      </c>
      <c r="C847" s="2" t="s">
        <v>248</v>
      </c>
      <c r="D847" s="3" t="s">
        <v>1</v>
      </c>
      <c r="E847" s="3" t="s">
        <v>2</v>
      </c>
      <c r="F847" s="4">
        <v>100</v>
      </c>
      <c r="G847" s="4">
        <v>23000</v>
      </c>
      <c r="H847" s="5">
        <f>[1]!РЕАЛИЗАЦИЯ[СОНИ]*[1]!РЕАЛИЗАЦИЯ[НАРХИ]</f>
        <v>989100</v>
      </c>
      <c r="I847" s="4"/>
      <c r="J847" s="6">
        <v>23000</v>
      </c>
      <c r="K847" s="4">
        <f>[1]!РЕАЛИЗАЦИЯ[[#This Row],[СОНИ]]*[1]!РЕАЛИЗАЦИЯ[[#This Row],[ТАННАРХ]]</f>
        <v>0</v>
      </c>
      <c r="L847" s="7">
        <f>[1]!РЕАЛИЗАЦИЯ[[#This Row],[ЖАМИ]]-[1]!РЕАЛИЗАЦИЯ[[#This Row],[ЖАМИ2]]</f>
        <v>989100</v>
      </c>
      <c r="O847" s="27">
        <v>46148</v>
      </c>
      <c r="P847" s="28" t="s">
        <v>48</v>
      </c>
      <c r="Q847" s="6">
        <v>10000000</v>
      </c>
      <c r="R847" s="6"/>
      <c r="S847" s="6"/>
      <c r="T847" s="29">
        <f>[1]!ПЛАТЕЖИ[[#This Row],[СЎМ]]+([1]!ПЛАТЕЖИ[[#This Row],[ВАЛЮТА]]*[1]!ПЛАТЕЖИ[[#This Row],[КУРС]])</f>
        <v>500000</v>
      </c>
      <c r="U847" s="28"/>
      <c r="V847" s="28"/>
    </row>
    <row r="848" spans="2:22" x14ac:dyDescent="0.25">
      <c r="B848" s="8">
        <v>46147</v>
      </c>
      <c r="C848" s="9" t="s">
        <v>156</v>
      </c>
      <c r="D848" s="10" t="s">
        <v>10</v>
      </c>
      <c r="E848" s="10" t="s">
        <v>2</v>
      </c>
      <c r="F848" s="11">
        <v>50</v>
      </c>
      <c r="G848" s="11">
        <v>17000</v>
      </c>
      <c r="H848" s="12">
        <f>[1]!РЕАЛИЗАЦИЯ[СОНИ]*[1]!РЕАЛИЗАЦИЯ[НАРХИ]</f>
        <v>822400</v>
      </c>
      <c r="I848" s="11"/>
      <c r="J848" s="13">
        <v>15000</v>
      </c>
      <c r="K848" s="11">
        <f>[1]!РЕАЛИЗАЦИЯ[[#This Row],[СОНИ]]*[1]!РЕАЛИЗАЦИЯ[[#This Row],[ТАННАРХ]]</f>
        <v>0</v>
      </c>
      <c r="L848" s="14">
        <f>[1]!РЕАЛИЗАЦИЯ[[#This Row],[ЖАМИ]]-[1]!РЕАЛИЗАЦИЯ[[#This Row],[ЖАМИ2]]</f>
        <v>822400</v>
      </c>
      <c r="O848" s="30">
        <v>46148</v>
      </c>
      <c r="P848" s="31" t="s">
        <v>216</v>
      </c>
      <c r="Q848" s="13">
        <v>2513700</v>
      </c>
      <c r="R848" s="13"/>
      <c r="S848" s="13"/>
      <c r="T848" s="32">
        <f>[1]!ПЛАТЕЖИ[[#This Row],[СЎМ]]+([1]!ПЛАТЕЖИ[[#This Row],[ВАЛЮТА]]*[1]!ПЛАТЕЖИ[[#This Row],[КУРС]])</f>
        <v>1283000</v>
      </c>
      <c r="U848" s="31"/>
      <c r="V848" s="31"/>
    </row>
    <row r="849" spans="2:22" x14ac:dyDescent="0.25">
      <c r="B849" s="1">
        <v>46147</v>
      </c>
      <c r="C849" s="2" t="s">
        <v>156</v>
      </c>
      <c r="D849" s="3" t="s">
        <v>1</v>
      </c>
      <c r="E849" s="3" t="s">
        <v>2</v>
      </c>
      <c r="F849" s="4">
        <v>51.8</v>
      </c>
      <c r="G849" s="4">
        <v>25000</v>
      </c>
      <c r="H849" s="5">
        <f>[1]!РЕАЛИЗАЦИЯ[СОНИ]*[1]!РЕАЛИЗАЦИЯ[НАРХИ]</f>
        <v>1022400</v>
      </c>
      <c r="I849" s="4"/>
      <c r="J849" s="6">
        <v>23000</v>
      </c>
      <c r="K849" s="4">
        <f>[1]!РЕАЛИЗАЦИЯ[[#This Row],[СОНИ]]*[1]!РЕАЛИЗАЦИЯ[[#This Row],[ТАННАРХ]]</f>
        <v>0</v>
      </c>
      <c r="L849" s="7">
        <f>[1]!РЕАЛИЗАЦИЯ[[#This Row],[ЖАМИ]]-[1]!РЕАЛИЗАЦИЯ[[#This Row],[ЖАМИ2]]</f>
        <v>1022400</v>
      </c>
      <c r="O849" s="27">
        <v>46148</v>
      </c>
      <c r="P849" s="28" t="s">
        <v>79</v>
      </c>
      <c r="Q849" s="6">
        <v>6471000</v>
      </c>
      <c r="R849" s="6"/>
      <c r="S849" s="6"/>
      <c r="T849" s="29">
        <f>[1]!ПЛАТЕЖИ[[#This Row],[СЎМ]]+([1]!ПЛАТЕЖИ[[#This Row],[ВАЛЮТА]]*[1]!ПЛАТЕЖИ[[#This Row],[КУРС]])</f>
        <v>970200</v>
      </c>
      <c r="U849" s="28"/>
      <c r="V849" s="28" t="s">
        <v>314</v>
      </c>
    </row>
    <row r="850" spans="2:22" x14ac:dyDescent="0.25">
      <c r="B850" s="8">
        <v>46147</v>
      </c>
      <c r="C850" s="9" t="s">
        <v>88</v>
      </c>
      <c r="D850" s="10" t="s">
        <v>1</v>
      </c>
      <c r="E850" s="10" t="s">
        <v>2</v>
      </c>
      <c r="F850" s="11">
        <v>49.5</v>
      </c>
      <c r="G850" s="11">
        <v>25000</v>
      </c>
      <c r="H850" s="12">
        <f>[1]!РЕАЛИЗАЦИЯ[СОНИ]*[1]!РЕАЛИЗАЦИЯ[НАРХИ]</f>
        <v>5655300</v>
      </c>
      <c r="I850" s="11"/>
      <c r="J850" s="13">
        <v>23000</v>
      </c>
      <c r="K850" s="11">
        <f>[1]!РЕАЛИЗАЦИЯ[[#This Row],[СОНИ]]*[1]!РЕАЛИЗАЦИЯ[[#This Row],[ТАННАРХ]]</f>
        <v>0</v>
      </c>
      <c r="L850" s="14">
        <f>[1]!РЕАЛИЗАЦИЯ[[#This Row],[ЖАМИ]]-[1]!РЕАЛИЗАЦИЯ[[#This Row],[ЖАМИ2]]</f>
        <v>5655300</v>
      </c>
      <c r="O850" s="30">
        <v>46149</v>
      </c>
      <c r="P850" s="31" t="s">
        <v>174</v>
      </c>
      <c r="Q850" s="13">
        <v>1126000</v>
      </c>
      <c r="R850" s="13"/>
      <c r="S850" s="13"/>
      <c r="T850" s="32">
        <f>[1]!ПЛАТЕЖИ[[#This Row],[СЎМ]]+([1]!ПЛАТЕЖИ[[#This Row],[ВАЛЮТА]]*[1]!ПЛАТЕЖИ[[#This Row],[КУРС]])</f>
        <v>1863450</v>
      </c>
      <c r="U850" s="31"/>
      <c r="V850" s="31" t="s">
        <v>275</v>
      </c>
    </row>
    <row r="851" spans="2:22" x14ac:dyDescent="0.25">
      <c r="B851" s="1">
        <v>46147</v>
      </c>
      <c r="C851" s="2" t="s">
        <v>88</v>
      </c>
      <c r="D851" s="3" t="s">
        <v>10</v>
      </c>
      <c r="E851" s="3" t="s">
        <v>2</v>
      </c>
      <c r="F851" s="4">
        <v>48</v>
      </c>
      <c r="G851" s="4">
        <v>16500</v>
      </c>
      <c r="H851" s="5">
        <f>[1]!РЕАЛИЗАЦИЯ[СОНИ]*[1]!РЕАЛИЗАЦИЯ[НАРХИ]</f>
        <v>2070500</v>
      </c>
      <c r="I851" s="4"/>
      <c r="J851" s="6">
        <v>15000</v>
      </c>
      <c r="K851" s="4">
        <f>[1]!РЕАЛИЗАЦИЯ[[#This Row],[СОНИ]]*[1]!РЕАЛИЗАЦИЯ[[#This Row],[ТАННАРХ]]</f>
        <v>0</v>
      </c>
      <c r="L851" s="7">
        <f>[1]!РЕАЛИЗАЦИЯ[[#This Row],[ЖАМИ]]-[1]!РЕАЛИЗАЦИЯ[[#This Row],[ЖАМИ2]]</f>
        <v>2070500</v>
      </c>
      <c r="O851" s="27">
        <v>46149</v>
      </c>
      <c r="P851" s="28" t="s">
        <v>243</v>
      </c>
      <c r="Q851" s="6">
        <v>2953400</v>
      </c>
      <c r="R851" s="6"/>
      <c r="S851" s="6"/>
      <c r="T851" s="29">
        <f>[1]!ПЛАТЕЖИ[[#This Row],[СЎМ]]+([1]!ПЛАТЕЖИ[[#This Row],[ВАЛЮТА]]*[1]!ПЛАТЕЖИ[[#This Row],[КУРС]])</f>
        <v>1054000</v>
      </c>
      <c r="U851" s="28"/>
      <c r="V851" s="28" t="s">
        <v>275</v>
      </c>
    </row>
    <row r="852" spans="2:22" x14ac:dyDescent="0.25">
      <c r="B852" s="8">
        <v>46147</v>
      </c>
      <c r="C852" s="9" t="s">
        <v>100</v>
      </c>
      <c r="D852" s="10" t="s">
        <v>1</v>
      </c>
      <c r="E852" s="10" t="s">
        <v>2</v>
      </c>
      <c r="F852" s="11">
        <v>48.1</v>
      </c>
      <c r="G852" s="11">
        <v>25000</v>
      </c>
      <c r="H852" s="12">
        <f>[1]!РЕАЛИЗАЦИЯ[СОНИ]*[1]!РЕАЛИЗАЦИЯ[НАРХИ]</f>
        <v>1261700</v>
      </c>
      <c r="I852" s="11"/>
      <c r="J852" s="13">
        <v>23000</v>
      </c>
      <c r="K852" s="11">
        <f>[1]!РЕАЛИЗАЦИЯ[[#This Row],[СОНИ]]*[1]!РЕАЛИЗАЦИЯ[[#This Row],[ТАННАРХ]]</f>
        <v>0</v>
      </c>
      <c r="L852" s="14">
        <f>[1]!РЕАЛИЗАЦИЯ[[#This Row],[ЖАМИ]]-[1]!РЕАЛИЗАЦИЯ[[#This Row],[ЖАМИ2]]</f>
        <v>1261700</v>
      </c>
      <c r="O852" s="30">
        <v>46149</v>
      </c>
      <c r="P852" s="31" t="s">
        <v>248</v>
      </c>
      <c r="Q852" s="13">
        <v>1000000</v>
      </c>
      <c r="R852" s="13"/>
      <c r="S852" s="13"/>
      <c r="T852" s="32">
        <f>[1]!ПЛАТЕЖИ[[#This Row],[СЎМ]]+([1]!ПЛАТЕЖИ[[#This Row],[ВАЛЮТА]]*[1]!ПЛАТЕЖИ[[#This Row],[КУРС]])</f>
        <v>1520000</v>
      </c>
      <c r="U852" s="31"/>
      <c r="V852" s="31"/>
    </row>
    <row r="853" spans="2:22" x14ac:dyDescent="0.25">
      <c r="B853" s="1">
        <v>46147</v>
      </c>
      <c r="C853" s="2" t="s">
        <v>74</v>
      </c>
      <c r="D853" s="3" t="s">
        <v>10</v>
      </c>
      <c r="E853" s="3" t="s">
        <v>2</v>
      </c>
      <c r="F853" s="4">
        <v>96</v>
      </c>
      <c r="G853" s="4">
        <v>17000</v>
      </c>
      <c r="H853" s="5">
        <f>[1]!РЕАЛИЗАЦИЯ[СОНИ]*[1]!РЕАЛИЗАЦИЯ[НАРХИ]</f>
        <v>2219700</v>
      </c>
      <c r="I853" s="4"/>
      <c r="J853" s="6">
        <v>15000</v>
      </c>
      <c r="K853" s="4">
        <f>[1]!РЕАЛИЗАЦИЯ[[#This Row],[СОНИ]]*[1]!РЕАЛИЗАЦИЯ[[#This Row],[ТАННАРХ]]</f>
        <v>0</v>
      </c>
      <c r="L853" s="7">
        <f>[1]!РЕАЛИЗАЦИЯ[[#This Row],[ЖАМИ]]-[1]!РЕАЛИЗАЦИЯ[[#This Row],[ЖАМИ2]]</f>
        <v>2219700</v>
      </c>
      <c r="O853" s="27">
        <v>46149</v>
      </c>
      <c r="P853" s="28" t="s">
        <v>9</v>
      </c>
      <c r="Q853" s="6">
        <v>7611000</v>
      </c>
      <c r="R853" s="6"/>
      <c r="S853" s="6"/>
      <c r="T853" s="29">
        <f>[1]!ПЛАТЕЖИ[[#This Row],[СЎМ]]+([1]!ПЛАТЕЖИ[[#This Row],[ВАЛЮТА]]*[1]!ПЛАТЕЖИ[[#This Row],[КУРС]])</f>
        <v>1500000</v>
      </c>
      <c r="U853" s="28"/>
      <c r="V853" s="28" t="s">
        <v>279</v>
      </c>
    </row>
    <row r="854" spans="2:22" x14ac:dyDescent="0.25">
      <c r="B854" s="8">
        <v>46147</v>
      </c>
      <c r="C854" s="9" t="s">
        <v>65</v>
      </c>
      <c r="D854" s="10" t="s">
        <v>8</v>
      </c>
      <c r="E854" s="10" t="s">
        <v>2</v>
      </c>
      <c r="F854" s="11">
        <v>139.80000000000001</v>
      </c>
      <c r="G854" s="11">
        <v>25000</v>
      </c>
      <c r="H854" s="12">
        <f>[1]!РЕАЛИЗАЦИЯ[СОНИ]*[1]!РЕАЛИЗАЦИЯ[НАРХИ]</f>
        <v>587200</v>
      </c>
      <c r="I854" s="11"/>
      <c r="J854" s="13">
        <v>23000</v>
      </c>
      <c r="K854" s="11">
        <f>[1]!РЕАЛИЗАЦИЯ[[#This Row],[СОНИ]]*[1]!РЕАЛИЗАЦИЯ[[#This Row],[ТАННАРХ]]</f>
        <v>0</v>
      </c>
      <c r="L854" s="14">
        <f>[1]!РЕАЛИЗАЦИЯ[[#This Row],[ЖАМИ]]-[1]!РЕАЛИЗАЦИЯ[[#This Row],[ЖАМИ2]]</f>
        <v>587200</v>
      </c>
      <c r="O854" s="30">
        <v>46149</v>
      </c>
      <c r="P854" s="31" t="s">
        <v>113</v>
      </c>
      <c r="Q854" s="13">
        <v>8000000</v>
      </c>
      <c r="R854" s="13"/>
      <c r="S854" s="13"/>
      <c r="T854" s="32">
        <f>[1]!ПЛАТЕЖИ[[#This Row],[СЎМ]]+([1]!ПЛАТЕЖИ[[#This Row],[ВАЛЮТА]]*[1]!ПЛАТЕЖИ[[#This Row],[КУРС]])</f>
        <v>1117200</v>
      </c>
      <c r="U854" s="31"/>
      <c r="V854" s="31" t="s">
        <v>279</v>
      </c>
    </row>
    <row r="855" spans="2:22" x14ac:dyDescent="0.25">
      <c r="B855" s="1">
        <v>46147</v>
      </c>
      <c r="C855" s="2" t="s">
        <v>12</v>
      </c>
      <c r="D855" s="3" t="s">
        <v>16</v>
      </c>
      <c r="E855" s="3" t="s">
        <v>2</v>
      </c>
      <c r="F855" s="4">
        <v>1623.6</v>
      </c>
      <c r="G855" s="4">
        <v>24000</v>
      </c>
      <c r="H855" s="5">
        <f>[1]!РЕАЛИЗАЦИЯ[СОНИ]*[1]!РЕАЛИЗАЦИЯ[НАРХИ]</f>
        <v>2008000</v>
      </c>
      <c r="I855" s="4">
        <v>6</v>
      </c>
      <c r="J855" s="6">
        <v>20000</v>
      </c>
      <c r="K855" s="4">
        <f>[1]!РЕАЛИЗАЦИЯ[[#This Row],[СОНИ]]*[1]!РЕАЛИЗАЦИЯ[[#This Row],[ТАННАРХ]]</f>
        <v>0</v>
      </c>
      <c r="L855" s="7">
        <f>[1]!РЕАЛИЗАЦИЯ[[#This Row],[ЖАМИ]]-[1]!РЕАЛИЗАЦИЯ[[#This Row],[ЖАМИ2]]</f>
        <v>2008000</v>
      </c>
      <c r="O855" s="27">
        <v>46149</v>
      </c>
      <c r="P855" s="28" t="s">
        <v>65</v>
      </c>
      <c r="Q855" s="6">
        <v>15000000</v>
      </c>
      <c r="R855" s="6"/>
      <c r="S855" s="6"/>
      <c r="T855" s="29">
        <f>[1]!ПЛАТЕЖИ[[#This Row],[СЎМ]]+([1]!ПЛАТЕЖИ[[#This Row],[ВАЛЮТА]]*[1]!ПЛАТЕЖИ[[#This Row],[КУРС]])</f>
        <v>200000</v>
      </c>
      <c r="U855" s="28"/>
      <c r="V855" s="28" t="s">
        <v>279</v>
      </c>
    </row>
    <row r="856" spans="2:22" x14ac:dyDescent="0.25">
      <c r="B856" s="8">
        <v>46148</v>
      </c>
      <c r="C856" s="9" t="s">
        <v>59</v>
      </c>
      <c r="D856" s="10" t="s">
        <v>1</v>
      </c>
      <c r="E856" s="10" t="s">
        <v>2</v>
      </c>
      <c r="F856" s="11">
        <v>49</v>
      </c>
      <c r="G856" s="11">
        <v>25000</v>
      </c>
      <c r="H856" s="12">
        <f>[1]!РЕАЛИЗАЦИЯ[СОНИ]*[1]!РЕАЛИЗАЦИЯ[НАРХИ]</f>
        <v>2265900</v>
      </c>
      <c r="I856" s="11"/>
      <c r="J856" s="13">
        <v>23000</v>
      </c>
      <c r="K856" s="11">
        <f>[1]!РЕАЛИЗАЦИЯ[[#This Row],[СОНИ]]*[1]!РЕАЛИЗАЦИЯ[[#This Row],[ТАННАРХ]]</f>
        <v>0</v>
      </c>
      <c r="L856" s="14">
        <f>[1]!РЕАЛИЗАЦИЯ[[#This Row],[ЖАМИ]]-[1]!РЕАЛИЗАЦИЯ[[#This Row],[ЖАМИ2]]</f>
        <v>2265900</v>
      </c>
      <c r="O856" s="30">
        <v>46149</v>
      </c>
      <c r="P856" s="31" t="s">
        <v>99</v>
      </c>
      <c r="Q856" s="13">
        <v>928000</v>
      </c>
      <c r="R856" s="13"/>
      <c r="S856" s="13"/>
      <c r="T856" s="32">
        <f>[1]!ПЛАТЕЖИ[[#This Row],[СЎМ]]+([1]!ПЛАТЕЖИ[[#This Row],[ВАЛЮТА]]*[1]!ПЛАТЕЖИ[[#This Row],[КУРС]])</f>
        <v>500000</v>
      </c>
      <c r="U856" s="31"/>
      <c r="V856" s="31" t="s">
        <v>275</v>
      </c>
    </row>
    <row r="857" spans="2:22" x14ac:dyDescent="0.25">
      <c r="B857" s="1">
        <v>46148</v>
      </c>
      <c r="C857" s="2" t="s">
        <v>59</v>
      </c>
      <c r="D857" s="3" t="s">
        <v>10</v>
      </c>
      <c r="E857" s="3" t="s">
        <v>2</v>
      </c>
      <c r="F857" s="4">
        <v>48.9</v>
      </c>
      <c r="G857" s="4">
        <v>17000</v>
      </c>
      <c r="H857" s="5">
        <f>[1]!РЕАЛИЗАЦИЯ[СОНИ]*[1]!РЕАЛИЗАЦИЯ[НАРХИ]</f>
        <v>2104200</v>
      </c>
      <c r="I857" s="4"/>
      <c r="J857" s="6">
        <v>15000</v>
      </c>
      <c r="K857" s="4">
        <f>[1]!РЕАЛИЗАЦИЯ[[#This Row],[СОНИ]]*[1]!РЕАЛИЗАЦИЯ[[#This Row],[ТАННАРХ]]</f>
        <v>0</v>
      </c>
      <c r="L857" s="7">
        <f>[1]!РЕАЛИЗАЦИЯ[[#This Row],[ЖАМИ]]-[1]!РЕАЛИЗАЦИЯ[[#This Row],[ЖАМИ2]]</f>
        <v>2104200</v>
      </c>
      <c r="O857" s="27">
        <v>46149</v>
      </c>
      <c r="P857" s="28" t="s">
        <v>89</v>
      </c>
      <c r="Q857" s="6">
        <v>611655</v>
      </c>
      <c r="R857" s="6"/>
      <c r="S857" s="6"/>
      <c r="T857" s="29">
        <f>[1]!ПЛАТЕЖИ[[#This Row],[СЎМ]]+([1]!ПЛАТЕЖИ[[#This Row],[ВАЛЮТА]]*[1]!ПЛАТЕЖИ[[#This Row],[КУРС]])</f>
        <v>600000</v>
      </c>
      <c r="U857" s="28"/>
      <c r="V857" s="28"/>
    </row>
    <row r="858" spans="2:22" x14ac:dyDescent="0.25">
      <c r="B858" s="8">
        <v>46148</v>
      </c>
      <c r="C858" s="9" t="s">
        <v>65</v>
      </c>
      <c r="D858" s="10" t="s">
        <v>8</v>
      </c>
      <c r="E858" s="10" t="s">
        <v>2</v>
      </c>
      <c r="F858" s="11">
        <v>464.3</v>
      </c>
      <c r="G858" s="11">
        <v>25000</v>
      </c>
      <c r="H858" s="12">
        <f>[1]!РЕАЛИЗАЦИЯ[СОНИ]*[1]!РЕАЛИЗАЦИЯ[НАРХИ]</f>
        <v>636800</v>
      </c>
      <c r="I858" s="11"/>
      <c r="J858" s="13">
        <v>23000</v>
      </c>
      <c r="K858" s="11">
        <f>[1]!РЕАЛИЗАЦИЯ[[#This Row],[СОНИ]]*[1]!РЕАЛИЗАЦИЯ[[#This Row],[ТАННАРХ]]</f>
        <v>0</v>
      </c>
      <c r="L858" s="14">
        <f>[1]!РЕАЛИЗАЦИЯ[[#This Row],[ЖАМИ]]-[1]!РЕАЛИЗАЦИЯ[[#This Row],[ЖАМИ2]]</f>
        <v>636800</v>
      </c>
      <c r="O858" s="30">
        <v>46149</v>
      </c>
      <c r="P858" s="31" t="s">
        <v>240</v>
      </c>
      <c r="Q858" s="13">
        <v>1503900</v>
      </c>
      <c r="R858" s="13"/>
      <c r="S858" s="13"/>
      <c r="T858" s="32">
        <f>[1]!ПЛАТЕЖИ[[#This Row],[СЎМ]]+([1]!ПЛАТЕЖИ[[#This Row],[ВАЛЮТА]]*[1]!ПЛАТЕЖИ[[#This Row],[КУРС]])</f>
        <v>886900</v>
      </c>
      <c r="U858" s="31"/>
      <c r="V858" s="31" t="s">
        <v>279</v>
      </c>
    </row>
    <row r="859" spans="2:22" x14ac:dyDescent="0.25">
      <c r="B859" s="1">
        <v>46148</v>
      </c>
      <c r="C859" s="2" t="s">
        <v>249</v>
      </c>
      <c r="D859" s="3" t="s">
        <v>29</v>
      </c>
      <c r="E859" s="3" t="s">
        <v>2</v>
      </c>
      <c r="F859" s="4">
        <v>50.9</v>
      </c>
      <c r="G859" s="4">
        <v>21000</v>
      </c>
      <c r="H859" s="5">
        <f>[1]!РЕАЛИЗАЦИЯ[СОНИ]*[1]!РЕАЛИЗАЦИЯ[НАРХИ]</f>
        <v>2165100</v>
      </c>
      <c r="I859" s="4"/>
      <c r="J859" s="6">
        <v>20000</v>
      </c>
      <c r="K859" s="4">
        <f>[1]!РЕАЛИЗАЦИЯ[[#This Row],[СОНИ]]*[1]!РЕАЛИЗАЦИЯ[[#This Row],[ТАННАРХ]]</f>
        <v>0</v>
      </c>
      <c r="L859" s="7">
        <f>[1]!РЕАЛИЗАЦИЯ[[#This Row],[ЖАМИ]]-[1]!РЕАЛИЗАЦИЯ[[#This Row],[ЖАМИ2]]</f>
        <v>2165100</v>
      </c>
      <c r="O859" s="27">
        <v>46150</v>
      </c>
      <c r="P859" s="28" t="s">
        <v>32</v>
      </c>
      <c r="Q859" s="6">
        <v>500000</v>
      </c>
      <c r="R859" s="6"/>
      <c r="S859" s="6"/>
      <c r="T859" s="29">
        <f>[1]!ПЛАТЕЖИ[[#This Row],[СЎМ]]+([1]!ПЛАТЕЖИ[[#This Row],[ВАЛЮТА]]*[1]!ПЛАТЕЖИ[[#This Row],[КУРС]])</f>
        <v>1965900</v>
      </c>
      <c r="U859" s="28"/>
      <c r="V859" s="28"/>
    </row>
    <row r="860" spans="2:22" x14ac:dyDescent="0.25">
      <c r="B860" s="8">
        <v>46148</v>
      </c>
      <c r="C860" s="9" t="s">
        <v>249</v>
      </c>
      <c r="D860" s="10" t="s">
        <v>1</v>
      </c>
      <c r="E860" s="10" t="s">
        <v>2</v>
      </c>
      <c r="F860" s="11">
        <v>358.5</v>
      </c>
      <c r="G860" s="11">
        <v>25000</v>
      </c>
      <c r="H860" s="12">
        <f>[1]!РЕАЛИЗАЦИЯ[СОНИ]*[1]!РЕАЛИЗАЦИЯ[НАРХИ]</f>
        <v>-1087800</v>
      </c>
      <c r="I860" s="11"/>
      <c r="J860" s="13">
        <v>23000</v>
      </c>
      <c r="K860" s="11">
        <f>[1]!РЕАЛИЗАЦИЯ[[#This Row],[СОНИ]]*[1]!РЕАЛИЗАЦИЯ[[#This Row],[ТАННАРХ]]</f>
        <v>0</v>
      </c>
      <c r="L860" s="14">
        <f>[1]!РЕАЛИЗАЦИЯ[[#This Row],[ЖАМИ]]-[1]!РЕАЛИЗАЦИЯ[[#This Row],[ЖАМИ2]]</f>
        <v>-1087800</v>
      </c>
      <c r="O860" s="30">
        <v>46150</v>
      </c>
      <c r="P860" s="31" t="s">
        <v>81</v>
      </c>
      <c r="Q860" s="13">
        <v>2206000</v>
      </c>
      <c r="R860" s="13"/>
      <c r="S860" s="13"/>
      <c r="T860" s="32">
        <f>[1]!ПЛАТЕЖИ[[#This Row],[СЎМ]]+([1]!ПЛАТЕЖИ[[#This Row],[ВАЛЮТА]]*[1]!ПЛАТЕЖИ[[#This Row],[КУРС]])</f>
        <v>4000000</v>
      </c>
      <c r="U860" s="31"/>
      <c r="V860" s="31"/>
    </row>
    <row r="861" spans="2:22" x14ac:dyDescent="0.25">
      <c r="B861" s="1">
        <v>46148</v>
      </c>
      <c r="C861" s="2" t="s">
        <v>249</v>
      </c>
      <c r="D861" s="3" t="s">
        <v>10</v>
      </c>
      <c r="E861" s="3" t="s">
        <v>2</v>
      </c>
      <c r="F861" s="4">
        <v>336.6</v>
      </c>
      <c r="G861" s="4">
        <v>17000</v>
      </c>
      <c r="H861" s="5">
        <f>[1]!РЕАЛИЗАЦИЯ[СОНИ]*[1]!РЕАЛИЗАЦИЯ[НАРХИ]</f>
        <v>1978200</v>
      </c>
      <c r="I861" s="4"/>
      <c r="J861" s="6">
        <v>15000</v>
      </c>
      <c r="K861" s="4">
        <f>[1]!РЕАЛИЗАЦИЯ[[#This Row],[СОНИ]]*[1]!РЕАЛИЗАЦИЯ[[#This Row],[ТАННАРХ]]</f>
        <v>0</v>
      </c>
      <c r="L861" s="7">
        <f>[1]!РЕАЛИЗАЦИЯ[[#This Row],[ЖАМИ]]-[1]!РЕАЛИЗАЦИЯ[[#This Row],[ЖАМИ2]]</f>
        <v>1978200</v>
      </c>
      <c r="O861" s="27">
        <v>46150</v>
      </c>
      <c r="P861" s="28" t="s">
        <v>181</v>
      </c>
      <c r="Q861" s="6">
        <v>363000</v>
      </c>
      <c r="R861" s="6"/>
      <c r="S861" s="6"/>
      <c r="T861" s="29">
        <f>[1]!ПЛАТЕЖИ[[#This Row],[СЎМ]]+([1]!ПЛАТЕЖИ[[#This Row],[ВАЛЮТА]]*[1]!ПЛАТЕЖИ[[#This Row],[КУРС]])</f>
        <v>2970000</v>
      </c>
      <c r="U861" s="28"/>
      <c r="V861" s="28"/>
    </row>
    <row r="862" spans="2:22" x14ac:dyDescent="0.25">
      <c r="B862" s="8">
        <v>46148</v>
      </c>
      <c r="C862" s="9" t="s">
        <v>62</v>
      </c>
      <c r="D862" s="10" t="s">
        <v>1</v>
      </c>
      <c r="E862" s="10" t="s">
        <v>2</v>
      </c>
      <c r="F862" s="11">
        <v>51.7</v>
      </c>
      <c r="G862" s="11">
        <v>25000</v>
      </c>
      <c r="H862" s="12">
        <f>[1]!РЕАЛИЗАЦИЯ[СОНИ]*[1]!РЕАЛИЗАЦИЯ[НАРХИ]</f>
        <v>963900</v>
      </c>
      <c r="I862" s="11"/>
      <c r="J862" s="13">
        <v>23000</v>
      </c>
      <c r="K862" s="11">
        <f>[1]!РЕАЛИЗАЦИЯ[[#This Row],[СОНИ]]*[1]!РЕАЛИЗАЦИЯ[[#This Row],[ТАННАРХ]]</f>
        <v>0</v>
      </c>
      <c r="L862" s="14">
        <f>[1]!РЕАЛИЗАЦИЯ[[#This Row],[ЖАМИ]]-[1]!РЕАЛИЗАЦИЯ[[#This Row],[ЖАМИ2]]</f>
        <v>963900</v>
      </c>
      <c r="O862" s="30">
        <v>46150</v>
      </c>
      <c r="P862" s="31" t="s">
        <v>225</v>
      </c>
      <c r="Q862" s="13">
        <v>848000</v>
      </c>
      <c r="R862" s="13"/>
      <c r="S862" s="13"/>
      <c r="T862" s="32">
        <f>[1]!ПЛАТЕЖИ[[#This Row],[СЎМ]]+([1]!ПЛАТЕЖИ[[#This Row],[ВАЛЮТА]]*[1]!ПЛАТЕЖИ[[#This Row],[КУРС]])</f>
        <v>1000000</v>
      </c>
      <c r="U862" s="31"/>
      <c r="V862" s="31"/>
    </row>
    <row r="863" spans="2:22" x14ac:dyDescent="0.25">
      <c r="B863" s="1">
        <v>46148</v>
      </c>
      <c r="C863" s="2" t="s">
        <v>239</v>
      </c>
      <c r="D863" s="3" t="s">
        <v>29</v>
      </c>
      <c r="E863" s="3" t="s">
        <v>2</v>
      </c>
      <c r="F863" s="4">
        <v>216.3</v>
      </c>
      <c r="G863" s="4">
        <v>22000</v>
      </c>
      <c r="H863" s="5">
        <f>[1]!РЕАЛИЗАЦИЯ[СОНИ]*[1]!РЕАЛИЗАЦИЯ[НАРХИ]</f>
        <v>742400</v>
      </c>
      <c r="I863" s="4"/>
      <c r="J863" s="6">
        <v>20000</v>
      </c>
      <c r="K863" s="4">
        <f>[1]!РЕАЛИЗАЦИЯ[[#This Row],[СОНИ]]*[1]!РЕАЛИЗАЦИЯ[[#This Row],[ТАННАРХ]]</f>
        <v>0</v>
      </c>
      <c r="L863" s="7">
        <f>[1]!РЕАЛИЗАЦИЯ[[#This Row],[ЖАМИ]]-[1]!РЕАЛИЗАЦИЯ[[#This Row],[ЖАМИ2]]</f>
        <v>742400</v>
      </c>
      <c r="O863" s="27">
        <v>46150</v>
      </c>
      <c r="P863" s="28" t="s">
        <v>42</v>
      </c>
      <c r="Q863" s="6">
        <v>1814000</v>
      </c>
      <c r="R863" s="6"/>
      <c r="S863" s="6"/>
      <c r="T863" s="29">
        <f>[1]!ПЛАТЕЖИ[[#This Row],[СЎМ]]+([1]!ПЛАТЕЖИ[[#This Row],[ВАЛЮТА]]*[1]!ПЛАТЕЖИ[[#This Row],[КУРС]])</f>
        <v>2000000</v>
      </c>
      <c r="U863" s="28"/>
      <c r="V863" s="28"/>
    </row>
    <row r="864" spans="2:22" x14ac:dyDescent="0.25">
      <c r="B864" s="8">
        <v>46148</v>
      </c>
      <c r="C864" s="9" t="s">
        <v>96</v>
      </c>
      <c r="D864" s="10" t="s">
        <v>10</v>
      </c>
      <c r="E864" s="10" t="s">
        <v>2</v>
      </c>
      <c r="F864" s="11">
        <v>50.6</v>
      </c>
      <c r="G864" s="11">
        <v>17000</v>
      </c>
      <c r="H864" s="12">
        <f>[1]!РЕАЛИЗАЦИЯ[СОНИ]*[1]!РЕАЛИЗАЦИЯ[НАРХИ]</f>
        <v>2154600</v>
      </c>
      <c r="I864" s="11"/>
      <c r="J864" s="13">
        <v>15000</v>
      </c>
      <c r="K864" s="11">
        <f>[1]!РЕАЛИЗАЦИЯ[[#This Row],[СОНИ]]*[1]!РЕАЛИЗАЦИЯ[[#This Row],[ТАННАРХ]]</f>
        <v>0</v>
      </c>
      <c r="L864" s="14">
        <f>[1]!РЕАЛИЗАЦИЯ[[#This Row],[ЖАМИ]]-[1]!РЕАЛИЗАЦИЯ[[#This Row],[ЖАМИ2]]</f>
        <v>2154600</v>
      </c>
      <c r="O864" s="30">
        <v>46151</v>
      </c>
      <c r="P864" s="31" t="s">
        <v>244</v>
      </c>
      <c r="Q864" s="13">
        <v>1000000</v>
      </c>
      <c r="R864" s="13"/>
      <c r="S864" s="13"/>
      <c r="T864" s="32">
        <f>[1]!ПЛАТЕЖИ[[#This Row],[СЎМ]]+([1]!ПЛАТЕЖИ[[#This Row],[ВАЛЮТА]]*[1]!ПЛАТЕЖИ[[#This Row],[КУРС]])</f>
        <v>1280000</v>
      </c>
      <c r="U864" s="31"/>
      <c r="V864" s="31"/>
    </row>
    <row r="865" spans="2:22" x14ac:dyDescent="0.25">
      <c r="B865" s="1">
        <v>46148</v>
      </c>
      <c r="C865" s="2" t="s">
        <v>96</v>
      </c>
      <c r="D865" s="3" t="s">
        <v>1</v>
      </c>
      <c r="E865" s="3" t="s">
        <v>2</v>
      </c>
      <c r="F865" s="4">
        <v>49.7</v>
      </c>
      <c r="G865" s="4">
        <v>25000</v>
      </c>
      <c r="H865" s="5">
        <f>[1]!РЕАЛИЗАЦИЯ[СОНИ]*[1]!РЕАЛИЗАЦИЯ[НАРХИ]</f>
        <v>824000</v>
      </c>
      <c r="I865" s="4"/>
      <c r="J865" s="6">
        <v>23000</v>
      </c>
      <c r="K865" s="4">
        <f>[1]!РЕАЛИЗАЦИЯ[[#This Row],[СОНИ]]*[1]!РЕАЛИЗАЦИЯ[[#This Row],[ТАННАРХ]]</f>
        <v>0</v>
      </c>
      <c r="L865" s="7">
        <f>[1]!РЕАЛИЗАЦИЯ[[#This Row],[ЖАМИ]]-[1]!РЕАЛИЗАЦИЯ[[#This Row],[ЖАМИ2]]</f>
        <v>824000</v>
      </c>
      <c r="O865" s="27">
        <v>46151</v>
      </c>
      <c r="P865" s="28" t="s">
        <v>71</v>
      </c>
      <c r="Q865" s="6">
        <v>1000000</v>
      </c>
      <c r="R865" s="6"/>
      <c r="S865" s="6"/>
      <c r="T865" s="29">
        <f>[1]!ПЛАТЕЖИ[[#This Row],[СЎМ]]+([1]!ПЛАТЕЖИ[[#This Row],[ВАЛЮТА]]*[1]!ПЛАТЕЖИ[[#This Row],[КУРС]])</f>
        <v>622000</v>
      </c>
      <c r="U865" s="28"/>
      <c r="V865" s="28"/>
    </row>
    <row r="866" spans="2:22" x14ac:dyDescent="0.25">
      <c r="B866" s="8">
        <v>46146</v>
      </c>
      <c r="C866" s="9" t="s">
        <v>39</v>
      </c>
      <c r="D866" s="10" t="s">
        <v>1</v>
      </c>
      <c r="E866" s="10" t="s">
        <v>2</v>
      </c>
      <c r="F866" s="11">
        <v>-74.400000000000006</v>
      </c>
      <c r="G866" s="11">
        <v>20000</v>
      </c>
      <c r="H866" s="12">
        <f>[1]!РЕАЛИЗАЦИЯ[СОНИ]*[1]!РЕАЛИЗАЦИЯ[НАРХИ]</f>
        <v>4306400</v>
      </c>
      <c r="I866" s="11"/>
      <c r="J866" s="13">
        <v>19000</v>
      </c>
      <c r="K866" s="11">
        <f>[1]!РЕАЛИЗАЦИЯ[[#This Row],[СОНИ]]*[1]!РЕАЛИЗАЦИЯ[[#This Row],[ТАННАРХ]]</f>
        <v>0</v>
      </c>
      <c r="L866" s="14">
        <f>[1]!РЕАЛИЗАЦИЯ[[#This Row],[ЖАМИ]]-[1]!РЕАЛИЗАЦИЯ[[#This Row],[ЖАМИ2]]</f>
        <v>4306400</v>
      </c>
      <c r="O866" s="30">
        <v>46151</v>
      </c>
      <c r="P866" s="31" t="s">
        <v>190</v>
      </c>
      <c r="Q866" s="13">
        <v>1695000</v>
      </c>
      <c r="R866" s="13"/>
      <c r="S866" s="13"/>
      <c r="T866" s="32">
        <f>[1]!ПЛАТЕЖИ[[#This Row],[СЎМ]]+([1]!ПЛАТЕЖИ[[#This Row],[ВАЛЮТА]]*[1]!ПЛАТЕЖИ[[#This Row],[КУРС]])</f>
        <v>500000</v>
      </c>
      <c r="U866" s="31"/>
      <c r="V866" s="31"/>
    </row>
    <row r="867" spans="2:22" x14ac:dyDescent="0.25">
      <c r="B867" s="1">
        <v>46146</v>
      </c>
      <c r="C867" s="2" t="s">
        <v>39</v>
      </c>
      <c r="D867" s="3" t="s">
        <v>1</v>
      </c>
      <c r="E867" s="3" t="s">
        <v>2</v>
      </c>
      <c r="F867" s="4">
        <v>-502.9</v>
      </c>
      <c r="G867" s="4">
        <v>20000</v>
      </c>
      <c r="H867" s="5">
        <f>[1]!РЕАЛИЗАЦИЯ[СОНИ]*[1]!РЕАЛИЗАЦИЯ[НАРХИ]</f>
        <v>1052000</v>
      </c>
      <c r="I867" s="4"/>
      <c r="J867" s="6">
        <v>19000</v>
      </c>
      <c r="K867" s="4">
        <f>[1]!РЕАЛИЗАЦИЯ[[#This Row],[СОНИ]]*[1]!РЕАЛИЗАЦИЯ[[#This Row],[ТАННАРХ]]</f>
        <v>0</v>
      </c>
      <c r="L867" s="7">
        <f>[1]!РЕАЛИЗАЦИЯ[[#This Row],[ЖАМИ]]-[1]!РЕАЛИЗАЦИЯ[[#This Row],[ЖАМИ2]]</f>
        <v>1052000</v>
      </c>
      <c r="O867" s="27">
        <v>46151</v>
      </c>
      <c r="P867" s="28" t="s">
        <v>246</v>
      </c>
      <c r="Q867" s="6">
        <v>1347300</v>
      </c>
      <c r="R867" s="6"/>
      <c r="S867" s="6"/>
      <c r="T867" s="29">
        <f>[1]!ПЛАТЕЖИ[[#This Row],[СЎМ]]+([1]!ПЛАТЕЖИ[[#This Row],[ВАЛЮТА]]*[1]!ПЛАТЕЖИ[[#This Row],[КУРС]])</f>
        <v>3240300</v>
      </c>
      <c r="U867" s="28"/>
      <c r="V867" s="28"/>
    </row>
    <row r="868" spans="2:22" x14ac:dyDescent="0.25">
      <c r="B868" s="8">
        <v>46149</v>
      </c>
      <c r="C868" s="9" t="s">
        <v>142</v>
      </c>
      <c r="D868" s="10" t="s">
        <v>1</v>
      </c>
      <c r="E868" s="10" t="s">
        <v>2</v>
      </c>
      <c r="F868" s="11">
        <v>103.6</v>
      </c>
      <c r="G868" s="11">
        <v>25000</v>
      </c>
      <c r="H868" s="12">
        <f>[1]!РЕАЛИЗАЦИЯ[СОНИ]*[1]!РЕАЛИЗАЦИЯ[НАРХИ]</f>
        <v>991800</v>
      </c>
      <c r="I868" s="11"/>
      <c r="J868" s="13">
        <v>23000</v>
      </c>
      <c r="K868" s="11">
        <f>[1]!РЕАЛИЗАЦИЯ[[#This Row],[СОНИ]]*[1]!РЕАЛИЗАЦИЯ[[#This Row],[ТАННАРХ]]</f>
        <v>0</v>
      </c>
      <c r="L868" s="14">
        <f>[1]!РЕАЛИЗАЦИЯ[[#This Row],[ЖАМИ]]-[1]!РЕАЛИЗАЦИЯ[[#This Row],[ЖАМИ2]]</f>
        <v>991800</v>
      </c>
      <c r="O868" s="30">
        <v>46152</v>
      </c>
      <c r="P868" s="31" t="s">
        <v>69</v>
      </c>
      <c r="Q868" s="13">
        <v>6013300</v>
      </c>
      <c r="R868" s="13"/>
      <c r="S868" s="13"/>
      <c r="T868" s="32">
        <f>[1]!ПЛАТЕЖИ[[#This Row],[СЎМ]]+([1]!ПЛАТЕЖИ[[#This Row],[ВАЛЮТА]]*[1]!ПЛАТЕЖИ[[#This Row],[КУРС]])</f>
        <v>800000</v>
      </c>
      <c r="U868" s="31"/>
      <c r="V868" s="31" t="s">
        <v>279</v>
      </c>
    </row>
    <row r="869" spans="2:22" x14ac:dyDescent="0.25">
      <c r="B869" s="1">
        <v>46149</v>
      </c>
      <c r="C869" s="2" t="s">
        <v>142</v>
      </c>
      <c r="D869" s="3" t="s">
        <v>10</v>
      </c>
      <c r="E869" s="3" t="s">
        <v>2</v>
      </c>
      <c r="F869" s="4">
        <v>53</v>
      </c>
      <c r="G869" s="4">
        <v>17000</v>
      </c>
      <c r="H869" s="5">
        <f>[1]!РЕАЛИЗАЦИЯ[СОНИ]*[1]!РЕАЛИЗАЦИЯ[НАРХИ]</f>
        <v>1024799.9999999999</v>
      </c>
      <c r="I869" s="4"/>
      <c r="J869" s="6">
        <v>15000</v>
      </c>
      <c r="K869" s="4">
        <f>[1]!РЕАЛИЗАЦИЯ[[#This Row],[СОНИ]]*[1]!РЕАЛИЗАЦИЯ[[#This Row],[ТАННАРХ]]</f>
        <v>0</v>
      </c>
      <c r="L869" s="7">
        <f>[1]!РЕАЛИЗАЦИЯ[[#This Row],[ЖАМИ]]-[1]!РЕАЛИЗАЦИЯ[[#This Row],[ЖАМИ2]]</f>
        <v>1024799.9999999999</v>
      </c>
      <c r="O869" s="27">
        <v>46152</v>
      </c>
      <c r="P869" s="28" t="s">
        <v>55</v>
      </c>
      <c r="Q869" s="6">
        <v>472000</v>
      </c>
      <c r="R869" s="6"/>
      <c r="S869" s="6"/>
      <c r="T869" s="29">
        <f>[1]!ПЛАТЕЖИ[[#This Row],[СЎМ]]+([1]!ПЛАТЕЖИ[[#This Row],[ВАЛЮТА]]*[1]!ПЛАТЕЖИ[[#This Row],[КУРС]])</f>
        <v>1682000</v>
      </c>
      <c r="U869" s="28"/>
      <c r="V869" s="28" t="s">
        <v>275</v>
      </c>
    </row>
    <row r="870" spans="2:22" x14ac:dyDescent="0.25">
      <c r="B870" s="8">
        <v>46149</v>
      </c>
      <c r="C870" s="9" t="s">
        <v>181</v>
      </c>
      <c r="D870" s="10" t="s">
        <v>1</v>
      </c>
      <c r="E870" s="10" t="s">
        <v>2</v>
      </c>
      <c r="F870" s="11">
        <v>104.4</v>
      </c>
      <c r="G870" s="11">
        <v>25000</v>
      </c>
      <c r="H870" s="12">
        <f>[1]!РЕАЛИЗАЦИЯ[СОНИ]*[1]!РЕАЛИЗАЦИЯ[НАРХИ]</f>
        <v>2954699.9999999995</v>
      </c>
      <c r="I870" s="11"/>
      <c r="J870" s="13">
        <v>23000</v>
      </c>
      <c r="K870" s="11">
        <f>[1]!РЕАЛИЗАЦИЯ[[#This Row],[СОНИ]]*[1]!РЕАЛИЗАЦИЯ[[#This Row],[ТАННАРХ]]</f>
        <v>0</v>
      </c>
      <c r="L870" s="14">
        <f>[1]!РЕАЛИЗАЦИЯ[[#This Row],[ЖАМИ]]-[1]!РЕАЛИЗАЦИЯ[[#This Row],[ЖАМИ2]]</f>
        <v>2954699.9999999995</v>
      </c>
      <c r="O870" s="30">
        <v>46152</v>
      </c>
      <c r="P870" s="31" t="s">
        <v>70</v>
      </c>
      <c r="Q870" s="13">
        <v>200000</v>
      </c>
      <c r="R870" s="13"/>
      <c r="S870" s="13"/>
      <c r="T870" s="32">
        <f>[1]!ПЛАТЕЖИ[[#This Row],[СЎМ]]+([1]!ПЛАТЕЖИ[[#This Row],[ВАЛЮТА]]*[1]!ПЛАТЕЖИ[[#This Row],[КУРС]])</f>
        <v>832000</v>
      </c>
      <c r="U870" s="31"/>
      <c r="V870" s="31" t="s">
        <v>275</v>
      </c>
    </row>
    <row r="871" spans="2:22" x14ac:dyDescent="0.25">
      <c r="B871" s="1">
        <v>46150</v>
      </c>
      <c r="C871" s="2" t="s">
        <v>42</v>
      </c>
      <c r="D871" s="3" t="s">
        <v>10</v>
      </c>
      <c r="E871" s="3" t="s">
        <v>2</v>
      </c>
      <c r="F871" s="4">
        <v>47.9</v>
      </c>
      <c r="G871" s="4">
        <v>17000</v>
      </c>
      <c r="H871" s="5">
        <f>[1]!РЕАЛИЗАЦИЯ[СОНИ]*[1]!РЕАЛИЗАЦИЯ[НАРХИ]</f>
        <v>1077300</v>
      </c>
      <c r="I871" s="4"/>
      <c r="J871" s="6">
        <v>15000</v>
      </c>
      <c r="K871" s="4">
        <f>[1]!РЕАЛИЗАЦИЯ[[#This Row],[СОНИ]]*[1]!РЕАЛИЗАЦИЯ[[#This Row],[ТАННАРХ]]</f>
        <v>0</v>
      </c>
      <c r="L871" s="7">
        <f>[1]!РЕАЛИЗАЦИЯ[[#This Row],[ЖАМИ]]-[1]!РЕАЛИЗАЦИЯ[[#This Row],[ЖАМИ2]]</f>
        <v>1077300</v>
      </c>
      <c r="O871" s="27">
        <v>46152</v>
      </c>
      <c r="P871" s="28" t="s">
        <v>89</v>
      </c>
      <c r="Q871" s="6">
        <v>10000000</v>
      </c>
      <c r="R871" s="6"/>
      <c r="S871" s="6"/>
      <c r="T871" s="29">
        <f>[1]!ПЛАТЕЖИ[[#This Row],[СЎМ]]+([1]!ПЛАТЕЖИ[[#This Row],[ВАЛЮТА]]*[1]!ПЛАТЕЖИ[[#This Row],[КУРС]])</f>
        <v>2400000</v>
      </c>
      <c r="U871" s="28"/>
      <c r="V871" s="28" t="s">
        <v>275</v>
      </c>
    </row>
    <row r="872" spans="2:22" x14ac:dyDescent="0.25">
      <c r="B872" s="8">
        <v>46150</v>
      </c>
      <c r="C872" s="9" t="s">
        <v>32</v>
      </c>
      <c r="D872" s="10" t="s">
        <v>1</v>
      </c>
      <c r="E872" s="10" t="s">
        <v>2</v>
      </c>
      <c r="F872" s="11">
        <v>100.5</v>
      </c>
      <c r="G872" s="11">
        <v>25000</v>
      </c>
      <c r="H872" s="12">
        <f>[1]!РЕАЛИЗАЦИЯ[СОНИ]*[1]!РЕАЛИЗАЦИЯ[НАРХИ]</f>
        <v>2024400.0000000002</v>
      </c>
      <c r="I872" s="11"/>
      <c r="J872" s="13">
        <v>23000</v>
      </c>
      <c r="K872" s="11">
        <f>[1]!РЕАЛИЗАЦИЯ[[#This Row],[СОНИ]]*[1]!РЕАЛИЗАЦИЯ[[#This Row],[ТАННАРХ]]</f>
        <v>0</v>
      </c>
      <c r="L872" s="14">
        <f>[1]!РЕАЛИЗАЦИЯ[[#This Row],[ЖАМИ]]-[1]!РЕАЛИЗАЦИЯ[[#This Row],[ЖАМИ2]]</f>
        <v>2024400.0000000002</v>
      </c>
      <c r="O872" s="30">
        <v>46152</v>
      </c>
      <c r="P872" s="31" t="s">
        <v>45</v>
      </c>
      <c r="Q872" s="13">
        <v>784400</v>
      </c>
      <c r="R872" s="13"/>
      <c r="S872" s="13"/>
      <c r="T872" s="32">
        <f>[1]!ПЛАТЕЖИ[[#This Row],[СЎМ]]+([1]!ПЛАТЕЖИ[[#This Row],[ВАЛЮТА]]*[1]!ПЛАТЕЖИ[[#This Row],[КУРС]])</f>
        <v>1720000</v>
      </c>
      <c r="U872" s="31"/>
      <c r="V872" s="31" t="s">
        <v>275</v>
      </c>
    </row>
    <row r="873" spans="2:22" x14ac:dyDescent="0.25">
      <c r="B873" s="1">
        <v>46150</v>
      </c>
      <c r="C873" s="2" t="s">
        <v>81</v>
      </c>
      <c r="D873" s="3" t="s">
        <v>1</v>
      </c>
      <c r="E873" s="3" t="s">
        <v>2</v>
      </c>
      <c r="F873" s="4">
        <v>253.6</v>
      </c>
      <c r="G873" s="4">
        <v>24000</v>
      </c>
      <c r="H873" s="5">
        <f>[1]!РЕАЛИЗАЦИЯ[СОНИ]*[1]!РЕАЛИЗАЦИЯ[НАРХИ]</f>
        <v>3315900</v>
      </c>
      <c r="I873" s="4"/>
      <c r="J873" s="6">
        <v>23000</v>
      </c>
      <c r="K873" s="4">
        <f>[1]!РЕАЛИЗАЦИЯ[[#This Row],[СОНИ]]*[1]!РЕАЛИЗАЦИЯ[[#This Row],[ТАННАРХ]]</f>
        <v>0</v>
      </c>
      <c r="L873" s="7">
        <f>[1]!РЕАЛИЗАЦИЯ[[#This Row],[ЖАМИ]]-[1]!РЕАЛИЗАЦИЯ[[#This Row],[ЖАМИ2]]</f>
        <v>3315900</v>
      </c>
      <c r="O873" s="27">
        <v>46152</v>
      </c>
      <c r="P873" s="28" t="s">
        <v>310</v>
      </c>
      <c r="Q873" s="6">
        <v>300000</v>
      </c>
      <c r="R873" s="6"/>
      <c r="S873" s="6"/>
      <c r="T873" s="29">
        <f>[1]!ПЛАТЕЖИ[[#This Row],[СЎМ]]+([1]!ПЛАТЕЖИ[[#This Row],[ВАЛЮТА]]*[1]!ПЛАТЕЖИ[[#This Row],[КУРС]])</f>
        <v>500000</v>
      </c>
      <c r="U873" s="28"/>
      <c r="V873" s="28" t="s">
        <v>275</v>
      </c>
    </row>
    <row r="874" spans="2:22" x14ac:dyDescent="0.25">
      <c r="B874" s="8">
        <v>46150</v>
      </c>
      <c r="C874" s="9" t="s">
        <v>225</v>
      </c>
      <c r="D874" s="10" t="s">
        <v>10</v>
      </c>
      <c r="E874" s="10" t="s">
        <v>2</v>
      </c>
      <c r="F874" s="11">
        <v>49.9</v>
      </c>
      <c r="G874" s="11">
        <v>17000</v>
      </c>
      <c r="H874" s="12">
        <f>[1]!РЕАЛИЗАЦИЯ[СОНИ]*[1]!РЕАЛИЗАЦИЯ[НАРХИ]</f>
        <v>2070599.9999999998</v>
      </c>
      <c r="I874" s="11"/>
      <c r="J874" s="13">
        <v>15000</v>
      </c>
      <c r="K874" s="11">
        <f>[1]!РЕАЛИЗАЦИЯ[[#This Row],[СОНИ]]*[1]!РЕАЛИЗАЦИЯ[[#This Row],[ТАННАРХ]]</f>
        <v>0</v>
      </c>
      <c r="L874" s="14">
        <f>[1]!РЕАЛИЗАЦИЯ[[#This Row],[ЖАМИ]]-[1]!РЕАЛИЗАЦИЯ[[#This Row],[ЖАМИ2]]</f>
        <v>2070599.9999999998</v>
      </c>
      <c r="O874" s="30">
        <v>46154</v>
      </c>
      <c r="P874" s="31" t="s">
        <v>247</v>
      </c>
      <c r="Q874" s="13">
        <v>798400</v>
      </c>
      <c r="R874" s="13"/>
      <c r="S874" s="13"/>
      <c r="T874" s="32">
        <f>[1]!ПЛАТЕЖИ[[#This Row],[СЎМ]]+([1]!ПЛАТЕЖИ[[#This Row],[ВАЛЮТА]]*[1]!ПЛАТЕЖИ[[#This Row],[КУРС]])</f>
        <v>1002000</v>
      </c>
      <c r="U874" s="31"/>
      <c r="V874" s="31" t="s">
        <v>275</v>
      </c>
    </row>
    <row r="875" spans="2:22" x14ac:dyDescent="0.25">
      <c r="B875" s="1">
        <v>46150</v>
      </c>
      <c r="C875" s="2" t="s">
        <v>78</v>
      </c>
      <c r="D875" s="3" t="s">
        <v>10</v>
      </c>
      <c r="E875" s="3" t="s">
        <v>2</v>
      </c>
      <c r="F875" s="4">
        <v>-49.9</v>
      </c>
      <c r="G875" s="4">
        <v>16000</v>
      </c>
      <c r="H875" s="5">
        <f>[1]!РЕАЛИЗАЦИЯ[СОНИ]*[1]!РЕАЛИЗАЦИЯ[НАРХИ]</f>
        <v>1785000</v>
      </c>
      <c r="I875" s="4"/>
      <c r="J875" s="6">
        <v>13000</v>
      </c>
      <c r="K875" s="4">
        <f>[1]!РЕАЛИЗАЦИЯ[[#This Row],[СОНИ]]*[1]!РЕАЛИЗАЦИЯ[[#This Row],[ТАННАРХ]]</f>
        <v>0</v>
      </c>
      <c r="L875" s="7">
        <f>[1]!РЕАЛИЗАЦИЯ[[#This Row],[ЖАМИ]]-[1]!РЕАЛИЗАЦИЯ[[#This Row],[ЖАМИ2]]</f>
        <v>1785000</v>
      </c>
      <c r="O875" s="27">
        <v>46154</v>
      </c>
      <c r="P875" s="28" t="s">
        <v>106</v>
      </c>
      <c r="Q875" s="6">
        <v>4159200</v>
      </c>
      <c r="R875" s="6"/>
      <c r="S875" s="6"/>
      <c r="T875" s="29">
        <f>[1]!ПЛАТЕЖИ[[#This Row],[СЎМ]]+([1]!ПЛАТЕЖИ[[#This Row],[ВАЛЮТА]]*[1]!ПЛАТЕЖИ[[#This Row],[КУРС]])</f>
        <v>2450000</v>
      </c>
      <c r="U875" s="28"/>
      <c r="V875" s="28"/>
    </row>
    <row r="876" spans="2:22" x14ac:dyDescent="0.25">
      <c r="B876" s="8">
        <v>46151</v>
      </c>
      <c r="C876" s="9" t="s">
        <v>190</v>
      </c>
      <c r="D876" s="10" t="s">
        <v>1</v>
      </c>
      <c r="E876" s="10" t="s">
        <v>2</v>
      </c>
      <c r="F876" s="11">
        <v>50.3</v>
      </c>
      <c r="G876" s="11">
        <v>25000</v>
      </c>
      <c r="H876" s="12">
        <f>[1]!РЕАЛИЗАЦИЯ[СОНИ]*[1]!РЕАЛИЗАЦИЯ[НАРХИ]</f>
        <v>3196199.9999999995</v>
      </c>
      <c r="I876" s="11"/>
      <c r="J876" s="13">
        <v>23000</v>
      </c>
      <c r="K876" s="11">
        <f>[1]!РЕАЛИЗАЦИЯ[[#This Row],[СОНИ]]*[1]!РЕАЛИЗАЦИЯ[[#This Row],[ТАННАРХ]]</f>
        <v>0</v>
      </c>
      <c r="L876" s="14">
        <f>[1]!РЕАЛИЗАЦИЯ[[#This Row],[ЖАМИ]]-[1]!РЕАЛИЗАЦИЯ[[#This Row],[ЖАМИ2]]</f>
        <v>3196199.9999999995</v>
      </c>
      <c r="O876" s="30">
        <v>46154</v>
      </c>
      <c r="P876" s="31" t="s">
        <v>109</v>
      </c>
      <c r="Q876" s="13">
        <v>700000</v>
      </c>
      <c r="R876" s="13"/>
      <c r="S876" s="13"/>
      <c r="T876" s="32">
        <f>[1]!ПЛАТЕЖИ[[#This Row],[СЎМ]]+([1]!ПЛАТЕЖИ[[#This Row],[ВАЛЮТА]]*[1]!ПЛАТЕЖИ[[#This Row],[КУРС]])</f>
        <v>27823800</v>
      </c>
      <c r="U876" s="31"/>
      <c r="V876" s="31"/>
    </row>
    <row r="877" spans="2:22" x14ac:dyDescent="0.25">
      <c r="B877" s="1">
        <v>46151</v>
      </c>
      <c r="C877" s="2" t="s">
        <v>33</v>
      </c>
      <c r="D877" s="3" t="s">
        <v>10</v>
      </c>
      <c r="E877" s="3" t="s">
        <v>2</v>
      </c>
      <c r="F877" s="4">
        <v>749</v>
      </c>
      <c r="G877" s="4">
        <v>17000</v>
      </c>
      <c r="H877" s="5">
        <f>[1]!РЕАЛИЗАЦИЯ[СОНИ]*[1]!РЕАЛИЗАЦИЯ[НАРХИ]</f>
        <v>1085700</v>
      </c>
      <c r="I877" s="4"/>
      <c r="J877" s="6">
        <v>15000</v>
      </c>
      <c r="K877" s="4">
        <f>[1]!РЕАЛИЗАЦИЯ[[#This Row],[СОНИ]]*[1]!РЕАЛИЗАЦИЯ[[#This Row],[ТАННАРХ]]</f>
        <v>0</v>
      </c>
      <c r="L877" s="7">
        <f>[1]!РЕАЛИЗАЦИЯ[[#This Row],[ЖАМИ]]-[1]!РЕАЛИЗАЦИЯ[[#This Row],[ЖАМИ2]]</f>
        <v>1085700</v>
      </c>
      <c r="O877" s="27">
        <v>46154</v>
      </c>
      <c r="P877" s="28" t="s">
        <v>157</v>
      </c>
      <c r="Q877" s="6">
        <v>1235000</v>
      </c>
      <c r="R877" s="6"/>
      <c r="S877" s="6"/>
      <c r="T877" s="29">
        <f>[1]!ПЛАТЕЖИ[[#This Row],[СЎМ]]+([1]!ПЛАТЕЖИ[[#This Row],[ВАЛЮТА]]*[1]!ПЛАТЕЖИ[[#This Row],[КУРС]])</f>
        <v>2138700</v>
      </c>
      <c r="U877" s="28"/>
      <c r="V877" s="28"/>
    </row>
    <row r="878" spans="2:22" x14ac:dyDescent="0.25">
      <c r="B878" s="8">
        <v>46151</v>
      </c>
      <c r="C878" s="9" t="s">
        <v>15</v>
      </c>
      <c r="D878" s="10" t="s">
        <v>1</v>
      </c>
      <c r="E878" s="10" t="s">
        <v>2</v>
      </c>
      <c r="F878" s="11">
        <v>243.3</v>
      </c>
      <c r="G878" s="11">
        <v>25000</v>
      </c>
      <c r="H878" s="12">
        <f>[1]!РЕАЛИЗАЦИЯ[СОНИ]*[1]!РЕАЛИЗАЦИЯ[НАРХИ]</f>
        <v>2190300</v>
      </c>
      <c r="I878" s="11"/>
      <c r="J878" s="13">
        <v>23000</v>
      </c>
      <c r="K878" s="11">
        <f>[1]!РЕАЛИЗАЦИЯ[[#This Row],[СОНИ]]*[1]!РЕАЛИЗАЦИЯ[[#This Row],[ТАННАРХ]]</f>
        <v>0</v>
      </c>
      <c r="L878" s="14">
        <f>[1]!РЕАЛИЗАЦИЯ[[#This Row],[ЖАМИ]]-[1]!РЕАЛИЗАЦИЯ[[#This Row],[ЖАМИ2]]</f>
        <v>2190300</v>
      </c>
      <c r="O878" s="30">
        <v>46154</v>
      </c>
      <c r="P878" s="31" t="s">
        <v>50</v>
      </c>
      <c r="Q878" s="13">
        <v>1193445</v>
      </c>
      <c r="R878" s="13"/>
      <c r="S878" s="13"/>
      <c r="T878" s="32">
        <f>[1]!ПЛАТЕЖИ[[#This Row],[СЎМ]]+([1]!ПЛАТЕЖИ[[#This Row],[ВАЛЮТА]]*[1]!ПЛАТЕЖИ[[#This Row],[КУРС]])</f>
        <v>2000000</v>
      </c>
      <c r="U878" s="31"/>
      <c r="V878" s="31"/>
    </row>
    <row r="879" spans="2:22" x14ac:dyDescent="0.25">
      <c r="B879" s="1">
        <v>46153</v>
      </c>
      <c r="C879" s="2" t="s">
        <v>160</v>
      </c>
      <c r="D879" s="3" t="s">
        <v>1</v>
      </c>
      <c r="E879" s="3" t="s">
        <v>2</v>
      </c>
      <c r="F879" s="4">
        <v>41.9</v>
      </c>
      <c r="G879" s="4">
        <v>25000</v>
      </c>
      <c r="H879" s="5">
        <f>[1]!РЕАЛИЗАЦИЯ[СОНИ]*[1]!РЕАЛИЗАЦИЯ[НАРХИ]</f>
        <v>1380800</v>
      </c>
      <c r="I879" s="4"/>
      <c r="J879" s="6">
        <v>23000</v>
      </c>
      <c r="K879" s="4">
        <f>[1]!РЕАЛИЗАЦИЯ[[#This Row],[СОНИ]]*[1]!РЕАЛИЗАЦИЯ[[#This Row],[ТАННАРХ]]</f>
        <v>0</v>
      </c>
      <c r="L879" s="7">
        <f>[1]!РЕАЛИЗАЦИЯ[[#This Row],[ЖАМИ]]-[1]!РЕАЛИЗАЦИЯ[[#This Row],[ЖАМИ2]]</f>
        <v>1380800</v>
      </c>
      <c r="O879" s="27">
        <v>46154</v>
      </c>
      <c r="P879" s="28" t="s">
        <v>310</v>
      </c>
      <c r="Q879" s="6">
        <v>400000</v>
      </c>
      <c r="R879" s="6"/>
      <c r="S879" s="6"/>
      <c r="T879" s="29">
        <f>[1]!ПЛАТЕЖИ[[#This Row],[СЎМ]]+([1]!ПЛАТЕЖИ[[#This Row],[ВАЛЮТА]]*[1]!ПЛАТЕЖИ[[#This Row],[КУРС]])</f>
        <v>5047000</v>
      </c>
      <c r="U879" s="28"/>
      <c r="V879" s="28"/>
    </row>
    <row r="880" spans="2:22" x14ac:dyDescent="0.25">
      <c r="B880" s="8">
        <v>46153</v>
      </c>
      <c r="C880" s="9" t="s">
        <v>160</v>
      </c>
      <c r="D880" s="10" t="s">
        <v>10</v>
      </c>
      <c r="E880" s="10" t="s">
        <v>2</v>
      </c>
      <c r="F880" s="11">
        <v>44.5</v>
      </c>
      <c r="G880" s="11">
        <v>17000</v>
      </c>
      <c r="H880" s="12">
        <f>[1]!РЕАЛИЗАЦИЯ[СОНИ]*[1]!РЕАЛИЗАЦИЯ[НАРХИ]</f>
        <v>3332699.9999999995</v>
      </c>
      <c r="I880" s="11"/>
      <c r="J880" s="13">
        <v>15000</v>
      </c>
      <c r="K880" s="11">
        <f>[1]!РЕАЛИЗАЦИЯ[[#This Row],[СОНИ]]*[1]!РЕАЛИЗАЦИЯ[[#This Row],[ТАННАРХ]]</f>
        <v>0</v>
      </c>
      <c r="L880" s="14">
        <f>[1]!РЕАЛИЗАЦИЯ[[#This Row],[ЖАМИ]]-[1]!РЕАЛИЗАЦИЯ[[#This Row],[ЖАМИ2]]</f>
        <v>3332699.9999999995</v>
      </c>
      <c r="O880" s="30">
        <v>46154</v>
      </c>
      <c r="P880" s="31" t="s">
        <v>189</v>
      </c>
      <c r="Q880" s="13">
        <v>1000000</v>
      </c>
      <c r="R880" s="13"/>
      <c r="S880" s="13"/>
      <c r="T880" s="32">
        <f>[1]!ПЛАТЕЖИ[[#This Row],[СЎМ]]+([1]!ПЛАТЕЖИ[[#This Row],[ВАЛЮТА]]*[1]!ПЛАТЕЖИ[[#This Row],[КУРС]])</f>
        <v>1000000</v>
      </c>
      <c r="U880" s="31"/>
      <c r="V880" s="31"/>
    </row>
    <row r="881" spans="2:22" x14ac:dyDescent="0.25">
      <c r="B881" s="1">
        <v>46153</v>
      </c>
      <c r="C881" s="2" t="s">
        <v>180</v>
      </c>
      <c r="D881" s="3" t="s">
        <v>1</v>
      </c>
      <c r="E881" s="3" t="s">
        <v>2</v>
      </c>
      <c r="F881" s="4">
        <v>97.1</v>
      </c>
      <c r="G881" s="4">
        <v>25000</v>
      </c>
      <c r="H881" s="5">
        <f>[1]!РЕАЛИЗАЦИЯ[СОНИ]*[1]!РЕАЛИЗАЦИЯ[НАРХИ]</f>
        <v>9325450</v>
      </c>
      <c r="I881" s="4"/>
      <c r="J881" s="6">
        <v>23000</v>
      </c>
      <c r="K881" s="4">
        <f>[1]!РЕАЛИЗАЦИЯ[[#This Row],[СОНИ]]*[1]!РЕАЛИЗАЦИЯ[[#This Row],[ТАННАРХ]]</f>
        <v>0</v>
      </c>
      <c r="L881" s="7">
        <f>[1]!РЕАЛИЗАЦИЯ[[#This Row],[ЖАМИ]]-[1]!РЕАЛИЗАЦИЯ[[#This Row],[ЖАМИ2]]</f>
        <v>9325450</v>
      </c>
      <c r="O881" s="27">
        <v>46154</v>
      </c>
      <c r="P881" s="28" t="s">
        <v>239</v>
      </c>
      <c r="Q881" s="6">
        <v>1758600</v>
      </c>
      <c r="R881" s="6"/>
      <c r="S881" s="6"/>
      <c r="T881" s="29">
        <f>[1]!ПЛАТЕЖИ[[#This Row],[СЎМ]]+([1]!ПЛАТЕЖИ[[#This Row],[ВАЛЮТА]]*[1]!ПЛАТЕЖИ[[#This Row],[КУРС]])</f>
        <v>8190000</v>
      </c>
      <c r="U881" s="28"/>
      <c r="V881" s="28"/>
    </row>
    <row r="882" spans="2:22" x14ac:dyDescent="0.25">
      <c r="B882" s="8">
        <v>46153</v>
      </c>
      <c r="C882" s="9" t="s">
        <v>180</v>
      </c>
      <c r="D882" s="10" t="s">
        <v>10</v>
      </c>
      <c r="E882" s="10" t="s">
        <v>2</v>
      </c>
      <c r="F882" s="11">
        <v>41</v>
      </c>
      <c r="G882" s="11">
        <v>17000</v>
      </c>
      <c r="H882" s="12">
        <f>[1]!РЕАЛИЗАЦИЯ[СОНИ]*[1]!РЕАЛИЗАЦИЯ[НАРХИ]</f>
        <v>3910000</v>
      </c>
      <c r="I882" s="11"/>
      <c r="J882" s="13">
        <v>15000</v>
      </c>
      <c r="K882" s="11">
        <f>[1]!РЕАЛИЗАЦИЯ[[#This Row],[СОНИ]]*[1]!РЕАЛИЗАЦИЯ[[#This Row],[ТАННАРХ]]</f>
        <v>0</v>
      </c>
      <c r="L882" s="14">
        <f>[1]!РЕАЛИЗАЦИЯ[[#This Row],[ЖАМИ]]-[1]!РЕАЛИЗАЦИЯ[[#This Row],[ЖАМИ2]]</f>
        <v>3910000</v>
      </c>
      <c r="O882" s="30">
        <v>46154</v>
      </c>
      <c r="P882" s="31" t="s">
        <v>22</v>
      </c>
      <c r="Q882" s="13">
        <v>1415000</v>
      </c>
      <c r="R882" s="13"/>
      <c r="S882" s="13"/>
      <c r="T882" s="32">
        <f>[1]!ПЛАТЕЖИ[[#This Row],[СЎМ]]+([1]!ПЛАТЕЖИ[[#This Row],[ВАЛЮТА]]*[1]!ПЛАТЕЖИ[[#This Row],[КУРС]])</f>
        <v>4109100</v>
      </c>
      <c r="U882" s="31"/>
      <c r="V882" s="31"/>
    </row>
    <row r="883" spans="2:22" x14ac:dyDescent="0.25">
      <c r="B883" s="1">
        <v>46153</v>
      </c>
      <c r="C883" s="2" t="s">
        <v>65</v>
      </c>
      <c r="D883" s="3" t="s">
        <v>8</v>
      </c>
      <c r="E883" s="3" t="s">
        <v>2</v>
      </c>
      <c r="F883" s="4">
        <v>525.29999999999995</v>
      </c>
      <c r="G883" s="4">
        <v>25000</v>
      </c>
      <c r="H883" s="5">
        <f>[1]!РЕАЛИЗАЦИЯ[СОНИ]*[1]!РЕАЛИЗАЦИЯ[НАРХИ]</f>
        <v>906000</v>
      </c>
      <c r="I883" s="4"/>
      <c r="J883" s="6">
        <v>23000</v>
      </c>
      <c r="K883" s="4">
        <f>[1]!РЕАЛИЗАЦИЯ[[#This Row],[СОНИ]]*[1]!РЕАЛИЗАЦИЯ[[#This Row],[ТАННАРХ]]</f>
        <v>0</v>
      </c>
      <c r="L883" s="7">
        <f>[1]!РЕАЛИЗАЦИЯ[[#This Row],[ЖАМИ]]-[1]!РЕАЛИЗАЦИЯ[[#This Row],[ЖАМИ2]]</f>
        <v>906000</v>
      </c>
      <c r="O883" s="27">
        <v>46154</v>
      </c>
      <c r="P883" s="28" t="s">
        <v>251</v>
      </c>
      <c r="Q883" s="6">
        <v>795200</v>
      </c>
      <c r="R883" s="6"/>
      <c r="S883" s="6"/>
      <c r="T883" s="29">
        <f>[1]!ПЛАТЕЖИ[[#This Row],[СЎМ]]+([1]!ПЛАТЕЖИ[[#This Row],[ВАЛЮТА]]*[1]!ПЛАТЕЖИ[[#This Row],[КУРС]])</f>
        <v>920000</v>
      </c>
      <c r="U883" s="28"/>
      <c r="V883" s="28"/>
    </row>
    <row r="884" spans="2:22" x14ac:dyDescent="0.25">
      <c r="B884" s="8">
        <v>46153</v>
      </c>
      <c r="C884" s="9" t="s">
        <v>19</v>
      </c>
      <c r="D884" s="10" t="s">
        <v>1</v>
      </c>
      <c r="E884" s="10" t="s">
        <v>2</v>
      </c>
      <c r="F884" s="11">
        <v>49</v>
      </c>
      <c r="G884" s="11">
        <v>25000</v>
      </c>
      <c r="H884" s="12">
        <f>[1]!РЕАЛИЗАЦИЯ[СОНИ]*[1]!РЕАЛИЗАЦИЯ[НАРХИ]</f>
        <v>982000</v>
      </c>
      <c r="I884" s="11"/>
      <c r="J884" s="13">
        <v>23000</v>
      </c>
      <c r="K884" s="11">
        <f>[1]!РЕАЛИЗАЦИЯ[[#This Row],[СОНИ]]*[1]!РЕАЛИЗАЦИЯ[[#This Row],[ТАННАРХ]]</f>
        <v>0</v>
      </c>
      <c r="L884" s="14">
        <f>[1]!РЕАЛИЗАЦИЯ[[#This Row],[ЖАМИ]]-[1]!РЕАЛИЗАЦИЯ[[#This Row],[ЖАМИ2]]</f>
        <v>982000</v>
      </c>
      <c r="O884" s="30">
        <v>46156</v>
      </c>
      <c r="P884" s="31" t="s">
        <v>174</v>
      </c>
      <c r="Q884" s="13">
        <v>1500200</v>
      </c>
      <c r="R884" s="13"/>
      <c r="S884" s="13"/>
      <c r="T884" s="32">
        <f>[1]!ПЛАТЕЖИ[[#This Row],[СЎМ]]+([1]!ПЛАТЕЖИ[[#This Row],[ВАЛЮТА]]*[1]!ПЛАТЕЖИ[[#This Row],[КУРС]])</f>
        <v>2121000</v>
      </c>
      <c r="U884" s="31"/>
      <c r="V884" s="31"/>
    </row>
    <row r="885" spans="2:22" x14ac:dyDescent="0.25">
      <c r="B885" s="1">
        <v>46153</v>
      </c>
      <c r="C885" s="2" t="s">
        <v>167</v>
      </c>
      <c r="D885" s="3" t="s">
        <v>1</v>
      </c>
      <c r="E885" s="3" t="s">
        <v>2</v>
      </c>
      <c r="F885" s="4">
        <v>363.6</v>
      </c>
      <c r="G885" s="4">
        <v>25000</v>
      </c>
      <c r="H885" s="5">
        <f>[1]!РЕАЛИЗАЦИЯ[СОНИ]*[1]!РЕАЛИЗАЦИЯ[НАРХИ]</f>
        <v>682500</v>
      </c>
      <c r="I885" s="4"/>
      <c r="J885" s="6">
        <v>23000</v>
      </c>
      <c r="K885" s="4">
        <f>[1]!РЕАЛИЗАЦИЯ[[#This Row],[СОНИ]]*[1]!РЕАЛИЗАЦИЯ[[#This Row],[ТАННАРХ]]</f>
        <v>0</v>
      </c>
      <c r="L885" s="7">
        <f>[1]!РЕАЛИЗАЦИЯ[[#This Row],[ЖАМИ]]-[1]!РЕАЛИЗАЦИЯ[[#This Row],[ЖАМИ2]]</f>
        <v>682500</v>
      </c>
      <c r="O885" s="27">
        <v>46156</v>
      </c>
      <c r="P885" s="28" t="s">
        <v>109</v>
      </c>
      <c r="Q885" s="6"/>
      <c r="R885" s="6">
        <v>100</v>
      </c>
      <c r="S885" s="6">
        <v>12000</v>
      </c>
      <c r="T885" s="29">
        <f>[1]!ПЛАТЕЖИ[[#This Row],[СЎМ]]+([1]!ПЛАТЕЖИ[[#This Row],[ВАЛЮТА]]*[1]!ПЛАТЕЖИ[[#This Row],[КУРС]])</f>
        <v>2000000</v>
      </c>
      <c r="U885" s="28"/>
      <c r="V885" s="28"/>
    </row>
    <row r="886" spans="2:22" x14ac:dyDescent="0.25">
      <c r="B886" s="8">
        <v>46153</v>
      </c>
      <c r="C886" s="9" t="s">
        <v>201</v>
      </c>
      <c r="D886" s="10" t="s">
        <v>8</v>
      </c>
      <c r="E886" s="10" t="s">
        <v>2</v>
      </c>
      <c r="F886" s="11">
        <v>103</v>
      </c>
      <c r="G886" s="11">
        <v>25000</v>
      </c>
      <c r="H886" s="12">
        <f>[1]!РЕАЛИЗАЦИЯ[СОНИ]*[1]!РЕАЛИЗАЦИЯ[НАРХИ]</f>
        <v>3776599.9999999995</v>
      </c>
      <c r="I886" s="11"/>
      <c r="J886" s="13">
        <v>23000</v>
      </c>
      <c r="K886" s="11">
        <f>[1]!РЕАЛИЗАЦИЯ[[#This Row],[СОНИ]]*[1]!РЕАЛИЗАЦИЯ[[#This Row],[ТАННАРХ]]</f>
        <v>552713620</v>
      </c>
      <c r="L886" s="14">
        <f>[1]!РЕАЛИЗАЦИЯ[[#This Row],[ЖАМИ]]-[1]!РЕАЛИЗАЦИЯ[[#This Row],[ЖАМИ2]]</f>
        <v>3776435.7999999993</v>
      </c>
      <c r="O886" s="30">
        <v>46156</v>
      </c>
      <c r="P886" s="31" t="s">
        <v>201</v>
      </c>
      <c r="Q886" s="13">
        <v>2575000</v>
      </c>
      <c r="R886" s="13"/>
      <c r="S886" s="13"/>
      <c r="T886" s="32">
        <f>[1]!ПЛАТЕЖИ[[#This Row],[СЎМ]]+([1]!ПЛАТЕЖИ[[#This Row],[ВАЛЮТА]]*[1]!ПЛАТЕЖИ[[#This Row],[КУРС]])</f>
        <v>1598100</v>
      </c>
      <c r="U886" s="31"/>
      <c r="V886" s="31"/>
    </row>
    <row r="887" spans="2:22" x14ac:dyDescent="0.25">
      <c r="B887" s="1">
        <v>46153</v>
      </c>
      <c r="C887" s="2" t="s">
        <v>7</v>
      </c>
      <c r="D887" s="3" t="s">
        <v>8</v>
      </c>
      <c r="E887" s="3" t="s">
        <v>2</v>
      </c>
      <c r="F887" s="4">
        <v>974.8</v>
      </c>
      <c r="G887" s="4">
        <v>25000</v>
      </c>
      <c r="H887" s="5">
        <f>[1]!РЕАЛИЗАЦИЯ[СОНИ]*[1]!РЕАЛИЗАЦИЯ[НАРХИ]</f>
        <v>2058000</v>
      </c>
      <c r="I887" s="4"/>
      <c r="J887" s="6">
        <v>23000</v>
      </c>
      <c r="K887" s="4">
        <f>[1]!РЕАЛИЗАЦИЯ[[#This Row],[СОНИ]]*[1]!РЕАЛИЗАЦИЯ[[#This Row],[ТАННАРХ]]</f>
        <v>0</v>
      </c>
      <c r="L887" s="7">
        <f>[1]!РЕАЛИЗАЦИЯ[[#This Row],[ЖАМИ]]-[1]!РЕАЛИЗАЦИЯ[[#This Row],[ЖАМИ2]]</f>
        <v>2058000</v>
      </c>
      <c r="O887" s="27">
        <v>46156</v>
      </c>
      <c r="P887" s="28" t="s">
        <v>28</v>
      </c>
      <c r="Q887" s="6">
        <v>700000</v>
      </c>
      <c r="R887" s="6"/>
      <c r="S887" s="6"/>
      <c r="T887" s="29">
        <f>[1]!ПЛАТЕЖИ[[#This Row],[СЎМ]]+([1]!ПЛАТЕЖИ[[#This Row],[ВАЛЮТА]]*[1]!ПЛАТЕЖИ[[#This Row],[КУРС]])</f>
        <v>3315900</v>
      </c>
      <c r="U887" s="28"/>
      <c r="V887" s="28"/>
    </row>
    <row r="888" spans="2:22" x14ac:dyDescent="0.25">
      <c r="B888" s="8">
        <v>46154</v>
      </c>
      <c r="C888" s="9" t="s">
        <v>12</v>
      </c>
      <c r="D888" s="10" t="s">
        <v>16</v>
      </c>
      <c r="E888" s="10" t="s">
        <v>2</v>
      </c>
      <c r="F888" s="11">
        <v>1552.8</v>
      </c>
      <c r="G888" s="11">
        <v>24000</v>
      </c>
      <c r="H888" s="12">
        <f>[1]!РЕАЛИЗАЦИЯ[СОНИ]*[1]!РЕАЛИЗАЦИЯ[НАРХИ]</f>
        <v>1108800</v>
      </c>
      <c r="I888" s="11">
        <v>6</v>
      </c>
      <c r="J888" s="13">
        <v>20000</v>
      </c>
      <c r="K888" s="11">
        <f>[1]!РЕАЛИЗАЦИЯ[[#This Row],[СОНИ]]*[1]!РЕАЛИЗАЦИЯ[[#This Row],[ТАННАРХ]]</f>
        <v>0</v>
      </c>
      <c r="L888" s="14">
        <f>[1]!РЕАЛИЗАЦИЯ[[#This Row],[ЖАМИ]]-[1]!РЕАЛИЗАЦИЯ[[#This Row],[ЖАМИ2]]</f>
        <v>1108800</v>
      </c>
      <c r="O888" s="30">
        <v>46156</v>
      </c>
      <c r="P888" s="31" t="s">
        <v>62</v>
      </c>
      <c r="Q888" s="13">
        <v>775000</v>
      </c>
      <c r="R888" s="13"/>
      <c r="S888" s="13"/>
      <c r="T888" s="32">
        <f>[1]!ПЛАТЕЖИ[[#This Row],[СЎМ]]+([1]!ПЛАТЕЖИ[[#This Row],[ВАЛЮТА]]*[1]!ПЛАТЕЖИ[[#This Row],[КУРС]])</f>
        <v>2399600</v>
      </c>
      <c r="U888" s="31"/>
      <c r="V888" s="31"/>
    </row>
    <row r="889" spans="2:22" x14ac:dyDescent="0.25">
      <c r="B889" s="1">
        <v>46154</v>
      </c>
      <c r="C889" s="2" t="s">
        <v>108</v>
      </c>
      <c r="D889" s="3" t="s">
        <v>1</v>
      </c>
      <c r="E889" s="3" t="s">
        <v>2</v>
      </c>
      <c r="F889" s="4">
        <v>97.3</v>
      </c>
      <c r="G889" s="4">
        <v>25000</v>
      </c>
      <c r="H889" s="5">
        <f>[1]!РЕАЛИЗАЦИЯ[СОНИ]*[1]!РЕАЛИЗАЦИЯ[НАРХИ]</f>
        <v>1058400</v>
      </c>
      <c r="I889" s="4"/>
      <c r="J889" s="6">
        <v>23000</v>
      </c>
      <c r="K889" s="4">
        <f>[1]!РЕАЛИЗАЦИЯ[[#This Row],[СОНИ]]*[1]!РЕАЛИЗАЦИЯ[[#This Row],[ТАННАРХ]]</f>
        <v>0</v>
      </c>
      <c r="L889" s="7">
        <f>[1]!РЕАЛИЗАЦИЯ[[#This Row],[ЖАМИ]]-[1]!РЕАЛИЗАЦИЯ[[#This Row],[ЖАМИ2]]</f>
        <v>1058400</v>
      </c>
      <c r="O889" s="27">
        <v>46156</v>
      </c>
      <c r="P889" s="28" t="s">
        <v>17</v>
      </c>
      <c r="Q889" s="6">
        <v>1200000</v>
      </c>
      <c r="R889" s="6"/>
      <c r="S889" s="6"/>
      <c r="T889" s="29">
        <f>[1]!ПЛАТЕЖИ[[#This Row],[СЎМ]]+([1]!ПЛАТЕЖИ[[#This Row],[ВАЛЮТА]]*[1]!ПЛАТЕЖИ[[#This Row],[КУРС]])</f>
        <v>812800</v>
      </c>
      <c r="U889" s="28"/>
      <c r="V889" s="28" t="s">
        <v>279</v>
      </c>
    </row>
    <row r="890" spans="2:22" x14ac:dyDescent="0.25">
      <c r="B890" s="8">
        <v>46154</v>
      </c>
      <c r="C890" s="9" t="s">
        <v>250</v>
      </c>
      <c r="D890" s="10" t="s">
        <v>1</v>
      </c>
      <c r="E890" s="10" t="s">
        <v>2</v>
      </c>
      <c r="F890" s="11">
        <v>153</v>
      </c>
      <c r="G890" s="11">
        <v>24000</v>
      </c>
      <c r="H890" s="12">
        <f>[1]!РЕАЛИЗАЦИЯ[СОНИ]*[1]!РЕАЛИЗАЦИЯ[НАРХИ]</f>
        <v>1005900</v>
      </c>
      <c r="I890" s="11"/>
      <c r="J890" s="13">
        <v>23000</v>
      </c>
      <c r="K890" s="11">
        <f>[1]!РЕАЛИЗАЦИЯ[[#This Row],[СОНИ]]*[1]!РЕАЛИЗАЦИЯ[[#This Row],[ТАННАРХ]]</f>
        <v>0</v>
      </c>
      <c r="L890" s="14">
        <f>[1]!РЕАЛИЗАЦИЯ[[#This Row],[ЖАМИ]]-[1]!РЕАЛИЗАЦИЯ[[#This Row],[ЖАМИ2]]</f>
        <v>1005900</v>
      </c>
      <c r="O890" s="30">
        <v>46156</v>
      </c>
      <c r="P890" s="31" t="s">
        <v>187</v>
      </c>
      <c r="Q890" s="13">
        <v>2868000</v>
      </c>
      <c r="R890" s="13"/>
      <c r="S890" s="13"/>
      <c r="T890" s="32">
        <f>[1]!ПЛАТЕЖИ[[#This Row],[СЎМ]]+([1]!ПЛАТЕЖИ[[#This Row],[ВАЛЮТА]]*[1]!ПЛАТЕЖИ[[#This Row],[КУРС]])</f>
        <v>1864200</v>
      </c>
      <c r="U890" s="31"/>
      <c r="V890" s="31"/>
    </row>
    <row r="891" spans="2:22" x14ac:dyDescent="0.25">
      <c r="B891" s="1">
        <v>46154</v>
      </c>
      <c r="C891" s="2" t="s">
        <v>6</v>
      </c>
      <c r="D891" s="3" t="s">
        <v>1</v>
      </c>
      <c r="E891" s="3" t="s">
        <v>2</v>
      </c>
      <c r="F891" s="4">
        <v>104.8</v>
      </c>
      <c r="G891" s="4">
        <v>25000</v>
      </c>
      <c r="H891" s="5">
        <f>[1]!РЕАЛИЗАЦИЯ[СОНИ]*[1]!РЕАЛИЗАЦИЯ[НАРХИ]</f>
        <v>934500</v>
      </c>
      <c r="I891" s="4"/>
      <c r="J891" s="6">
        <v>23000</v>
      </c>
      <c r="K891" s="4">
        <f>[1]!РЕАЛИЗАЦИЯ[[#This Row],[СОНИ]]*[1]!РЕАЛИЗАЦИЯ[[#This Row],[ТАННАРХ]]</f>
        <v>0</v>
      </c>
      <c r="L891" s="7">
        <f>[1]!РЕАЛИЗАЦИЯ[[#This Row],[ЖАМИ]]-[1]!РЕАЛИЗАЦИЯ[[#This Row],[ЖАМИ2]]</f>
        <v>934500</v>
      </c>
      <c r="O891" s="27">
        <v>46156</v>
      </c>
      <c r="P891" s="28" t="s">
        <v>17</v>
      </c>
      <c r="Q891" s="6" t="s">
        <v>259</v>
      </c>
      <c r="R891" s="6"/>
      <c r="S891" s="6"/>
      <c r="T891" s="29">
        <f>[1]!ПЛАТЕЖИ[[#This Row],[СЎМ]]+([1]!ПЛАТЕЖИ[[#This Row],[ВАЛЮТА]]*[1]!ПЛАТЕЖИ[[#This Row],[КУРС]])</f>
        <v>2691800</v>
      </c>
      <c r="U891" s="28"/>
      <c r="V891" s="28" t="s">
        <v>279</v>
      </c>
    </row>
    <row r="892" spans="2:22" x14ac:dyDescent="0.25">
      <c r="B892" s="8">
        <v>46154</v>
      </c>
      <c r="C892" s="9" t="s">
        <v>89</v>
      </c>
      <c r="D892" s="10" t="s">
        <v>10</v>
      </c>
      <c r="E892" s="10" t="s">
        <v>2</v>
      </c>
      <c r="F892" s="11">
        <v>2604.6</v>
      </c>
      <c r="G892" s="11">
        <v>14000</v>
      </c>
      <c r="H892" s="12">
        <f>[1]!РЕАЛИЗАЦИЯ[СОНИ]*[1]!РЕАЛИЗАЦИЯ[НАРХИ]</f>
        <v>1193250</v>
      </c>
      <c r="I892" s="11"/>
      <c r="J892" s="13">
        <v>14500</v>
      </c>
      <c r="K892" s="11">
        <f>[1]!РЕАЛИЗАЦИЯ[[#This Row],[СОНИ]]*[1]!РЕАЛИЗАЦИЯ[[#This Row],[ТАННАРХ]]</f>
        <v>0</v>
      </c>
      <c r="L892" s="14">
        <f>[1]!РЕАЛИЗАЦИЯ[[#This Row],[ЖАМИ]]-[1]!РЕАЛИЗАЦИЯ[[#This Row],[ЖАМИ2]]</f>
        <v>1193250</v>
      </c>
      <c r="O892" s="30">
        <v>46156</v>
      </c>
      <c r="P892" s="31" t="s">
        <v>310</v>
      </c>
      <c r="Q892" s="13">
        <v>300000</v>
      </c>
      <c r="R892" s="13"/>
      <c r="S892" s="13"/>
      <c r="T892" s="32">
        <f>[1]!ПЛАТЕЖИ[[#This Row],[СЎМ]]+([1]!ПЛАТЕЖИ[[#This Row],[ВАЛЮТА]]*[1]!ПЛАТЕЖИ[[#This Row],[КУРС]])</f>
        <v>2015000</v>
      </c>
      <c r="U892" s="31"/>
      <c r="V892" s="31"/>
    </row>
    <row r="893" spans="2:22" x14ac:dyDescent="0.25">
      <c r="B893" s="1">
        <v>46154</v>
      </c>
      <c r="C893" s="2" t="s">
        <v>6</v>
      </c>
      <c r="D893" s="3" t="s">
        <v>10</v>
      </c>
      <c r="E893" s="3" t="s">
        <v>2</v>
      </c>
      <c r="F893" s="4">
        <v>49.2</v>
      </c>
      <c r="G893" s="4">
        <v>17000</v>
      </c>
      <c r="H893" s="5">
        <f>[1]!РЕАЛИЗАЦИЯ[СОНИ]*[1]!РЕАЛИЗАЦИЯ[НАРХИ]</f>
        <v>1062600</v>
      </c>
      <c r="I893" s="4"/>
      <c r="J893" s="6">
        <v>15000</v>
      </c>
      <c r="K893" s="4">
        <f>[1]!РЕАЛИЗАЦИЯ[[#This Row],[СОНИ]]*[1]!РЕАЛИЗАЦИЯ[[#This Row],[ТАННАРХ]]</f>
        <v>0</v>
      </c>
      <c r="L893" s="7">
        <f>[1]!РЕАЛИЗАЦИЯ[[#This Row],[ЖАМИ]]-[1]!РЕАЛИЗАЦИЯ[[#This Row],[ЖАМИ2]]</f>
        <v>1062600</v>
      </c>
      <c r="O893" s="27">
        <v>46156</v>
      </c>
      <c r="P893" s="28" t="s">
        <v>89</v>
      </c>
      <c r="Q893" s="6">
        <v>17367000</v>
      </c>
      <c r="R893" s="6"/>
      <c r="S893" s="6"/>
      <c r="T893" s="29">
        <f>[1]!ПЛАТЕЖИ[[#This Row],[СЎМ]]+([1]!ПЛАТЕЖИ[[#This Row],[ВАЛЮТА]]*[1]!ПЛАТЕЖИ[[#This Row],[КУРС]])</f>
        <v>758400</v>
      </c>
      <c r="U893" s="28"/>
      <c r="V893" s="28" t="s">
        <v>275</v>
      </c>
    </row>
    <row r="894" spans="2:22" x14ac:dyDescent="0.25">
      <c r="B894" s="8">
        <v>46155</v>
      </c>
      <c r="C894" s="9" t="s">
        <v>12</v>
      </c>
      <c r="D894" s="10" t="s">
        <v>16</v>
      </c>
      <c r="E894" s="10" t="s">
        <v>2</v>
      </c>
      <c r="F894" s="11">
        <v>1034.5999999999999</v>
      </c>
      <c r="G894" s="11">
        <v>24000</v>
      </c>
      <c r="H894" s="12">
        <f>[1]!РЕАЛИЗАЦИЯ[СОНИ]*[1]!РЕАЛИЗАЦИЯ[НАРХИ]</f>
        <v>4386000</v>
      </c>
      <c r="I894" s="11">
        <v>130</v>
      </c>
      <c r="J894" s="13">
        <v>20000</v>
      </c>
      <c r="K894" s="11">
        <f>[1]!РЕАЛИЗАЦИЯ[[#This Row],[СОНИ]]*[1]!РЕАЛИЗАЦИЯ[[#This Row],[ТАННАРХ]]</f>
        <v>0</v>
      </c>
      <c r="L894" s="14">
        <f>[1]!РЕАЛИЗАЦИЯ[[#This Row],[ЖАМИ]]-[1]!РЕАЛИЗАЦИЯ[[#This Row],[ЖАМИ2]]</f>
        <v>4386000</v>
      </c>
      <c r="O894" s="30">
        <v>46156</v>
      </c>
      <c r="P894" s="31" t="s">
        <v>154</v>
      </c>
      <c r="Q894" s="13">
        <v>1745900</v>
      </c>
      <c r="R894" s="13"/>
      <c r="S894" s="13"/>
      <c r="T894" s="32">
        <f>[1]!ПЛАТЕЖИ[[#This Row],[СЎМ]]+([1]!ПЛАТЕЖИ[[#This Row],[ВАЛЮТА]]*[1]!ПЛАТЕЖИ[[#This Row],[КУРС]])</f>
        <v>2800000</v>
      </c>
      <c r="U894" s="31"/>
      <c r="V894" s="31"/>
    </row>
    <row r="895" spans="2:22" x14ac:dyDescent="0.25">
      <c r="B895" s="1">
        <v>46155</v>
      </c>
      <c r="C895" s="2" t="s">
        <v>251</v>
      </c>
      <c r="D895" s="3" t="s">
        <v>10</v>
      </c>
      <c r="E895" s="3" t="s">
        <v>2</v>
      </c>
      <c r="F895" s="4">
        <v>49.7</v>
      </c>
      <c r="G895" s="4">
        <v>16000</v>
      </c>
      <c r="H895" s="5">
        <f>[1]!РЕАЛИЗАЦИЯ[СОНИ]*[1]!РЕАЛИЗАЦИЯ[НАРХИ]</f>
        <v>2946000</v>
      </c>
      <c r="I895" s="4"/>
      <c r="J895" s="6">
        <v>15000</v>
      </c>
      <c r="K895" s="4">
        <f>[1]!РЕАЛИЗАЦИЯ[[#This Row],[СОНИ]]*[1]!РЕАЛИЗАЦИЯ[[#This Row],[ТАННАРХ]]</f>
        <v>0</v>
      </c>
      <c r="L895" s="7">
        <f>[1]!РЕАЛИЗАЦИЯ[[#This Row],[ЖАМИ]]-[1]!РЕАЛИЗАЦИЯ[[#This Row],[ЖАМИ2]]</f>
        <v>2946000</v>
      </c>
      <c r="O895" s="27">
        <v>46157</v>
      </c>
      <c r="P895" s="28" t="s">
        <v>61</v>
      </c>
      <c r="Q895" s="6">
        <v>2440700</v>
      </c>
      <c r="R895" s="6"/>
      <c r="S895" s="6"/>
      <c r="T895" s="29">
        <f>[1]!ПЛАТЕЖИ[[#This Row],[СЎМ]]+([1]!ПЛАТЕЖИ[[#This Row],[ВАЛЮТА]]*[1]!ПЛАТЕЖИ[[#This Row],[КУРС]])</f>
        <v>3128000</v>
      </c>
      <c r="U895" s="28"/>
      <c r="V895" s="28" t="s">
        <v>275</v>
      </c>
    </row>
    <row r="896" spans="2:22" x14ac:dyDescent="0.25">
      <c r="B896" s="8">
        <v>46155</v>
      </c>
      <c r="C896" s="9" t="s">
        <v>17</v>
      </c>
      <c r="D896" s="10" t="s">
        <v>1</v>
      </c>
      <c r="E896" s="10" t="s">
        <v>2</v>
      </c>
      <c r="F896" s="11">
        <v>51</v>
      </c>
      <c r="G896" s="11">
        <v>25000</v>
      </c>
      <c r="H896" s="12">
        <f>[1]!РЕАЛИЗАЦИЯ[СОНИ]*[1]!РЕАЛИЗАЦИЯ[НАРХИ]</f>
        <v>8597400</v>
      </c>
      <c r="I896" s="11"/>
      <c r="J896" s="13">
        <v>23000</v>
      </c>
      <c r="K896" s="11">
        <f>[1]!РЕАЛИЗАЦИЯ[[#This Row],[СОНИ]]*[1]!РЕАЛИЗАЦИЯ[[#This Row],[ТАННАРХ]]</f>
        <v>2864392020</v>
      </c>
      <c r="L896" s="14">
        <f>[1]!РЕАЛИЗАЦИЯ[[#This Row],[ЖАМИ]]-[1]!РЕАЛИЗАЦИЯ[[#This Row],[ЖАМИ2]]</f>
        <v>8597026.1999999993</v>
      </c>
      <c r="O896" s="30">
        <v>46157</v>
      </c>
      <c r="P896" s="31" t="s">
        <v>70</v>
      </c>
      <c r="Q896" s="13">
        <v>170300</v>
      </c>
      <c r="R896" s="13"/>
      <c r="S896" s="13"/>
      <c r="T896" s="32">
        <f>[1]!ПЛАТЕЖИ[[#This Row],[СЎМ]]+([1]!ПЛАТЕЖИ[[#This Row],[ВАЛЮТА]]*[1]!ПЛАТЕЖИ[[#This Row],[КУРС]])</f>
        <v>1490000</v>
      </c>
      <c r="U896" s="31"/>
      <c r="V896" s="31" t="s">
        <v>275</v>
      </c>
    </row>
    <row r="897" spans="2:22" x14ac:dyDescent="0.25">
      <c r="B897" s="1">
        <v>46155</v>
      </c>
      <c r="C897" s="2" t="s">
        <v>17</v>
      </c>
      <c r="D897" s="3" t="s">
        <v>10</v>
      </c>
      <c r="E897" s="3" t="s">
        <v>2</v>
      </c>
      <c r="F897" s="4">
        <v>48.1</v>
      </c>
      <c r="G897" s="4">
        <v>17000</v>
      </c>
      <c r="H897" s="5">
        <f>[1]!РЕАЛИЗАЦИЯ[СОНИ]*[1]!РЕАЛИЗАЦИЯ[НАРХИ]</f>
        <v>1024799.9999999999</v>
      </c>
      <c r="I897" s="4"/>
      <c r="J897" s="6">
        <v>15000</v>
      </c>
      <c r="K897" s="4">
        <f>[1]!РЕАЛИЗАЦИЯ[[#This Row],[СОНИ]]*[1]!РЕАЛИЗАЦИЯ[[#This Row],[ТАННАРХ]]</f>
        <v>0</v>
      </c>
      <c r="L897" s="7">
        <f>[1]!РЕАЛИЗАЦИЯ[[#This Row],[ЖАМИ]]-[1]!РЕАЛИЗАЦИЯ[[#This Row],[ЖАМИ2]]</f>
        <v>1024799.9999999999</v>
      </c>
      <c r="O897" s="27">
        <v>46157</v>
      </c>
      <c r="P897" s="28" t="s">
        <v>12</v>
      </c>
      <c r="Q897" s="6">
        <v>300000000</v>
      </c>
      <c r="R897" s="6"/>
      <c r="S897" s="6"/>
      <c r="T897" s="29">
        <f>[1]!ПЛАТЕЖИ[[#This Row],[СЎМ]]+([1]!ПЛАТЕЖИ[[#This Row],[ВАЛЮТА]]*[1]!ПЛАТЕЖИ[[#This Row],[КУРС]])</f>
        <v>1500000</v>
      </c>
      <c r="U897" s="28"/>
      <c r="V897" s="3" t="s">
        <v>279</v>
      </c>
    </row>
    <row r="898" spans="2:22" x14ac:dyDescent="0.25">
      <c r="B898" s="8">
        <v>46155</v>
      </c>
      <c r="C898" s="9" t="s">
        <v>33</v>
      </c>
      <c r="D898" s="10" t="s">
        <v>10</v>
      </c>
      <c r="E898" s="10" t="s">
        <v>2</v>
      </c>
      <c r="F898" s="11">
        <v>702.4</v>
      </c>
      <c r="G898" s="11">
        <v>17000</v>
      </c>
      <c r="H898" s="12">
        <f>[1]!РЕАЛИЗАЦИЯ[СОНИ]*[1]!РЕАЛИЗАЦИЯ[НАРХИ]</f>
        <v>621000</v>
      </c>
      <c r="I898" s="11"/>
      <c r="J898" s="13">
        <v>15000</v>
      </c>
      <c r="K898" s="11">
        <f>[1]!РЕАЛИЗАЦИЯ[[#This Row],[СОНИ]]*[1]!РЕАЛИЗАЦИЯ[[#This Row],[ТАННАРХ]]</f>
        <v>0</v>
      </c>
      <c r="L898" s="14">
        <f>[1]!РЕАЛИЗАЦИЯ[[#This Row],[ЖАМИ]]-[1]!РЕАЛИЗАЦИЯ[[#This Row],[ЖАМИ2]]</f>
        <v>621000</v>
      </c>
      <c r="O898" s="30">
        <v>46157</v>
      </c>
      <c r="P898" s="31" t="s">
        <v>65</v>
      </c>
      <c r="Q898" s="13">
        <v>10000000</v>
      </c>
      <c r="R898" s="13"/>
      <c r="S898" s="13"/>
      <c r="T898" s="32">
        <f>[1]!ПЛАТЕЖИ[[#This Row],[СЎМ]]+([1]!ПЛАТЕЖИ[[#This Row],[ВАЛЮТА]]*[1]!ПЛАТЕЖИ[[#This Row],[КУРС]])</f>
        <v>926100</v>
      </c>
      <c r="U898" s="31"/>
      <c r="V898" s="10" t="s">
        <v>287</v>
      </c>
    </row>
    <row r="899" spans="2:22" x14ac:dyDescent="0.25">
      <c r="B899" s="1">
        <v>46155</v>
      </c>
      <c r="C899" s="2" t="s">
        <v>33</v>
      </c>
      <c r="D899" s="3" t="s">
        <v>1</v>
      </c>
      <c r="E899" s="3" t="s">
        <v>2</v>
      </c>
      <c r="F899" s="4">
        <v>299.7</v>
      </c>
      <c r="G899" s="4">
        <v>25000</v>
      </c>
      <c r="H899" s="5">
        <f>[1]!РЕАЛИЗАЦИЯ[СОНИ]*[1]!РЕАЛИЗАЦИЯ[НАРХИ]</f>
        <v>1902000</v>
      </c>
      <c r="I899" s="4"/>
      <c r="J899" s="6">
        <v>23000</v>
      </c>
      <c r="K899" s="4">
        <f>[1]!РЕАЛИЗАЦИЯ[[#This Row],[СОНИ]]*[1]!РЕАЛИЗАЦИЯ[[#This Row],[ТАННАРХ]]</f>
        <v>0</v>
      </c>
      <c r="L899" s="7">
        <f>[1]!РЕАЛИЗАЦИЯ[[#This Row],[ЖАМИ]]-[1]!РЕАЛИЗАЦИЯ[[#This Row],[ЖАМИ2]]</f>
        <v>1902000</v>
      </c>
      <c r="O899" s="27">
        <v>46157</v>
      </c>
      <c r="P899" s="28" t="s">
        <v>27</v>
      </c>
      <c r="Q899" s="6">
        <v>17322540</v>
      </c>
      <c r="R899" s="6"/>
      <c r="S899" s="6"/>
      <c r="T899" s="29">
        <f>[1]!ПЛАТЕЖИ[[#This Row],[СЎМ]]+([1]!ПЛАТЕЖИ[[#This Row],[ВАЛЮТА]]*[1]!ПЛАТЕЖИ[[#This Row],[КУРС]])</f>
        <v>0</v>
      </c>
      <c r="U899" s="28"/>
      <c r="V899" s="3" t="s">
        <v>287</v>
      </c>
    </row>
    <row r="900" spans="2:22" x14ac:dyDescent="0.25">
      <c r="B900" s="8">
        <v>46155</v>
      </c>
      <c r="C900" s="9" t="s">
        <v>252</v>
      </c>
      <c r="D900" s="10" t="s">
        <v>1</v>
      </c>
      <c r="E900" s="10" t="s">
        <v>2</v>
      </c>
      <c r="F900" s="11">
        <v>44</v>
      </c>
      <c r="G900" s="11">
        <v>25000</v>
      </c>
      <c r="H900" s="12">
        <f>[1]!РЕАЛИЗАЦИЯ[СОНИ]*[1]!РЕАЛИЗАЦИЯ[НАРХИ]</f>
        <v>1521800</v>
      </c>
      <c r="I900" s="11"/>
      <c r="J900" s="13">
        <v>23000</v>
      </c>
      <c r="K900" s="11">
        <f>[1]!РЕАЛИЗАЦИЯ[[#This Row],[СОНИ]]*[1]!РЕАЛИЗАЦИЯ[[#This Row],[ТАННАРХ]]</f>
        <v>0</v>
      </c>
      <c r="L900" s="14">
        <f>[1]!РЕАЛИЗАЦИЯ[[#This Row],[ЖАМИ]]-[1]!РЕАЛИЗАЦИЯ[[#This Row],[ЖАМИ2]]</f>
        <v>1521800</v>
      </c>
      <c r="O900" s="30">
        <v>46157</v>
      </c>
      <c r="P900" s="31" t="s">
        <v>51</v>
      </c>
      <c r="Q900" s="13">
        <v>1265000</v>
      </c>
      <c r="R900" s="13"/>
      <c r="S900" s="13"/>
      <c r="T900" s="32">
        <f>[1]!ПЛАТЕЖИ[[#This Row],[СЎМ]]+([1]!ПЛАТЕЖИ[[#This Row],[ВАЛЮТА]]*[1]!ПЛАТЕЖИ[[#This Row],[КУРС]])</f>
        <v>9446400</v>
      </c>
      <c r="U900" s="31"/>
      <c r="V900" s="31"/>
    </row>
    <row r="901" spans="2:22" x14ac:dyDescent="0.25">
      <c r="B901" s="1">
        <v>46155</v>
      </c>
      <c r="C901" s="2" t="s">
        <v>19</v>
      </c>
      <c r="D901" s="3" t="s">
        <v>10</v>
      </c>
      <c r="E901" s="3" t="s">
        <v>2</v>
      </c>
      <c r="F901" s="4">
        <v>50.2</v>
      </c>
      <c r="G901" s="4">
        <v>17000</v>
      </c>
      <c r="H901" s="5">
        <f>[1]!РЕАЛИЗАЦИЯ[СОНИ]*[1]!РЕАЛИЗАЦИЯ[НАРХИ]</f>
        <v>4859400</v>
      </c>
      <c r="I901" s="4"/>
      <c r="J901" s="6">
        <v>15000</v>
      </c>
      <c r="K901" s="4">
        <f>[1]!РЕАЛИЗАЦИЯ[[#This Row],[СОНИ]]*[1]!РЕАЛИЗАЦИЯ[[#This Row],[ТАННАРХ]]</f>
        <v>0</v>
      </c>
      <c r="L901" s="7">
        <f>[1]!РЕАЛИЗАЦИЯ[[#This Row],[ЖАМИ]]-[1]!РЕАЛИЗАЦИЯ[[#This Row],[ЖАМИ2]]</f>
        <v>4859400</v>
      </c>
      <c r="O901" s="27">
        <v>46157</v>
      </c>
      <c r="P901" s="28" t="s">
        <v>258</v>
      </c>
      <c r="Q901" s="6">
        <v>200000</v>
      </c>
      <c r="R901" s="6"/>
      <c r="S901" s="6"/>
      <c r="T901" s="29">
        <f>[1]!ПЛАТЕЖИ[[#This Row],[СЎМ]]+([1]!ПЛАТЕЖИ[[#This Row],[ВАЛЮТА]]*[1]!ПЛАТЕЖИ[[#This Row],[КУРС]])</f>
        <v>1039500</v>
      </c>
      <c r="U901" s="28"/>
      <c r="V901" s="28"/>
    </row>
    <row r="902" spans="2:22" x14ac:dyDescent="0.25">
      <c r="B902" s="8">
        <v>46155</v>
      </c>
      <c r="C902" s="9" t="s">
        <v>48</v>
      </c>
      <c r="D902" s="10" t="s">
        <v>8</v>
      </c>
      <c r="E902" s="10" t="s">
        <v>2</v>
      </c>
      <c r="F902" s="11">
        <v>215.9</v>
      </c>
      <c r="G902" s="11">
        <v>25000</v>
      </c>
      <c r="H902" s="12">
        <f>[1]!РЕАЛИЗАЦИЯ[СОНИ]*[1]!РЕАЛИЗАЦИЯ[НАРХИ]</f>
        <v>563550</v>
      </c>
      <c r="I902" s="11"/>
      <c r="J902" s="13">
        <v>23000</v>
      </c>
      <c r="K902" s="11">
        <f>[1]!РЕАЛИЗАЦИЯ[[#This Row],[СОНИ]]*[1]!РЕАЛИЗАЦИЯ[[#This Row],[ТАННАРХ]]</f>
        <v>0</v>
      </c>
      <c r="L902" s="14">
        <f>[1]!РЕАЛИЗАЦИЯ[[#This Row],[ЖАМИ]]-[1]!РЕАЛИЗАЦИЯ[[#This Row],[ЖАМИ2]]</f>
        <v>563550</v>
      </c>
      <c r="O902" s="30">
        <v>46157</v>
      </c>
      <c r="P902" s="31" t="s">
        <v>202</v>
      </c>
      <c r="Q902" s="13">
        <v>8500000</v>
      </c>
      <c r="R902" s="13"/>
      <c r="S902" s="13"/>
      <c r="T902" s="32">
        <f>[1]!ПЛАТЕЖИ[[#This Row],[СЎМ]]+([1]!ПЛАТЕЖИ[[#This Row],[ВАЛЮТА]]*[1]!ПЛАТЕЖИ[[#This Row],[КУРС]])</f>
        <v>1492000</v>
      </c>
      <c r="U902" s="31"/>
      <c r="V902" s="31"/>
    </row>
    <row r="903" spans="2:22" x14ac:dyDescent="0.25">
      <c r="B903" s="1">
        <v>46155</v>
      </c>
      <c r="C903" s="2" t="s">
        <v>78</v>
      </c>
      <c r="D903" s="3" t="s">
        <v>10</v>
      </c>
      <c r="E903" s="3" t="s">
        <v>2</v>
      </c>
      <c r="F903" s="4">
        <v>348.8</v>
      </c>
      <c r="G903" s="4">
        <v>16000</v>
      </c>
      <c r="H903" s="5">
        <f>[1]!РЕАЛИЗАЦИЯ[СОНИ]*[1]!РЕАЛИЗАЦИЯ[НАРХИ]</f>
        <v>13312399.999999998</v>
      </c>
      <c r="I903" s="4"/>
      <c r="J903" s="6">
        <v>15000</v>
      </c>
      <c r="K903" s="4">
        <f>[1]!РЕАЛИЗАЦИЯ[[#This Row],[СОНИ]]*[1]!РЕАЛИЗАЦИЯ[[#This Row],[ТАННАРХ]]</f>
        <v>6867693519.999999</v>
      </c>
      <c r="L903" s="7">
        <f>[1]!РЕАЛИЗАЦИЯ[[#This Row],[ЖАМИ]]-[1]!РЕАЛИЗАЦИЯ[[#This Row],[ЖАМИ2]]</f>
        <v>13311821.199999997</v>
      </c>
      <c r="O903" s="27">
        <v>46157</v>
      </c>
      <c r="P903" s="28" t="s">
        <v>167</v>
      </c>
      <c r="Q903" s="6">
        <v>9090000</v>
      </c>
      <c r="R903" s="6"/>
      <c r="S903" s="6"/>
      <c r="T903" s="29">
        <f>[1]!ПЛАТЕЖИ[[#This Row],[СЎМ]]+([1]!ПЛАТЕЖИ[[#This Row],[ВАЛЮТА]]*[1]!ПЛАТЕЖИ[[#This Row],[КУРС]])</f>
        <v>2017000</v>
      </c>
      <c r="U903" s="28"/>
      <c r="V903" s="28"/>
    </row>
    <row r="904" spans="2:22" x14ac:dyDescent="0.25">
      <c r="B904" s="8">
        <v>46155</v>
      </c>
      <c r="C904" s="9" t="s">
        <v>78</v>
      </c>
      <c r="D904" s="10" t="s">
        <v>29</v>
      </c>
      <c r="E904" s="10" t="s">
        <v>2</v>
      </c>
      <c r="F904" s="11">
        <v>144.6</v>
      </c>
      <c r="G904" s="11">
        <v>22000</v>
      </c>
      <c r="H904" s="12">
        <f>[1]!РЕАЛИЗАЦИЯ[СОНИ]*[1]!РЕАЛИЗАЦИЯ[НАРХИ]</f>
        <v>3059699.9999999995</v>
      </c>
      <c r="I904" s="11"/>
      <c r="J904" s="13">
        <v>20000</v>
      </c>
      <c r="K904" s="11">
        <f>[1]!РЕАЛИЗАЦИЯ[[#This Row],[СОНИ]]*[1]!РЕАЛИЗАЦИЯ[[#This Row],[ТАННАРХ]]</f>
        <v>0</v>
      </c>
      <c r="L904" s="14">
        <f>[1]!РЕАЛИЗАЦИЯ[[#This Row],[ЖАМИ]]-[1]!РЕАЛИЗАЦИЯ[[#This Row],[ЖАМИ2]]</f>
        <v>3059699.9999999995</v>
      </c>
      <c r="O904" s="30">
        <v>46157</v>
      </c>
      <c r="P904" s="31" t="s">
        <v>163</v>
      </c>
      <c r="Q904" s="13">
        <v>1077300</v>
      </c>
      <c r="R904" s="13"/>
      <c r="S904" s="13"/>
      <c r="T904" s="32">
        <f>[1]!ПЛАТЕЖИ[[#This Row],[СЎМ]]+([1]!ПЛАТЕЖИ[[#This Row],[ВАЛЮТА]]*[1]!ПЛАТЕЖИ[[#This Row],[КУРС]])</f>
        <v>1600000</v>
      </c>
      <c r="U904" s="31"/>
      <c r="V904" s="31"/>
    </row>
    <row r="905" spans="2:22" x14ac:dyDescent="0.25">
      <c r="B905" s="1">
        <v>46155</v>
      </c>
      <c r="C905" s="2" t="s">
        <v>22</v>
      </c>
      <c r="D905" s="3" t="s">
        <v>8</v>
      </c>
      <c r="E905" s="3" t="s">
        <v>2</v>
      </c>
      <c r="F905" s="4">
        <v>56.6</v>
      </c>
      <c r="G905" s="4">
        <v>25000</v>
      </c>
      <c r="H905" s="5">
        <f>[1]!РЕАЛИЗАЦИЯ[СОНИ]*[1]!РЕАЛИЗАЦИЯ[НАРХИ]</f>
        <v>737600</v>
      </c>
      <c r="I905" s="4"/>
      <c r="J905" s="6">
        <v>23000</v>
      </c>
      <c r="K905" s="4">
        <f>[1]!РЕАЛИЗАЦИЯ[[#This Row],[СОНИ]]*[1]!РЕАЛИЗАЦИЯ[[#This Row],[ТАННАРХ]]</f>
        <v>0</v>
      </c>
      <c r="L905" s="7">
        <f>[1]!РЕАЛИЗАЦИЯ[[#This Row],[ЖАМИ]]-[1]!РЕАЛИЗАЦИЯ[[#This Row],[ЖАМИ2]]</f>
        <v>737600</v>
      </c>
      <c r="O905" s="27">
        <v>46157</v>
      </c>
      <c r="P905" s="28" t="s">
        <v>172</v>
      </c>
      <c r="Q905" s="6">
        <v>11520000</v>
      </c>
      <c r="R905" s="6"/>
      <c r="S905" s="6"/>
      <c r="T905" s="29">
        <f>[1]!ПЛАТЕЖИ[[#This Row],[СЎМ]]+([1]!ПЛАТЕЖИ[[#This Row],[ВАЛЮТА]]*[1]!ПЛАТЕЖИ[[#This Row],[КУРС]])</f>
        <v>968100</v>
      </c>
      <c r="U905" s="28"/>
      <c r="V905" s="28" t="s">
        <v>279</v>
      </c>
    </row>
    <row r="906" spans="2:22" x14ac:dyDescent="0.25">
      <c r="B906" s="8">
        <v>46156</v>
      </c>
      <c r="C906" s="9" t="s">
        <v>78</v>
      </c>
      <c r="D906" s="10" t="s">
        <v>10</v>
      </c>
      <c r="E906" s="10" t="s">
        <v>2</v>
      </c>
      <c r="F906" s="11">
        <v>400.3</v>
      </c>
      <c r="G906" s="11">
        <v>17000</v>
      </c>
      <c r="H906" s="12">
        <f>[1]!РЕАЛИЗАЦИЯ[СОНИ]*[1]!РЕАЛИЗАЦИЯ[НАРХИ]</f>
        <v>990000</v>
      </c>
      <c r="I906" s="11"/>
      <c r="J906" s="13">
        <v>15000</v>
      </c>
      <c r="K906" s="11">
        <f>[1]!РЕАЛИЗАЦИЯ[[#This Row],[СОНИ]]*[1]!РЕАЛИЗАЦИЯ[[#This Row],[ТАННАРХ]]</f>
        <v>0</v>
      </c>
      <c r="L906" s="14">
        <f>[1]!РЕАЛИЗАЦИЯ[[#This Row],[ЖАМИ]]-[1]!РЕАЛИЗАЦИЯ[[#This Row],[ЖАМИ2]]</f>
        <v>990000</v>
      </c>
      <c r="O906" s="30">
        <v>46158</v>
      </c>
      <c r="P906" s="31" t="s">
        <v>89</v>
      </c>
      <c r="Q906" s="13">
        <v>6160000</v>
      </c>
      <c r="R906" s="13"/>
      <c r="S906" s="13"/>
      <c r="T906" s="32">
        <f>[1]!ПЛАТЕЖИ[[#This Row],[СЎМ]]+([1]!ПЛАТЕЖИ[[#This Row],[ВАЛЮТА]]*[1]!ПЛАТЕЖИ[[#This Row],[КУРС]])</f>
        <v>922000</v>
      </c>
      <c r="U906" s="31"/>
      <c r="V906" s="31" t="s">
        <v>275</v>
      </c>
    </row>
    <row r="907" spans="2:22" x14ac:dyDescent="0.25">
      <c r="B907" s="1">
        <v>46156</v>
      </c>
      <c r="C907" s="2" t="s">
        <v>62</v>
      </c>
      <c r="D907" s="3" t="s">
        <v>10</v>
      </c>
      <c r="E907" s="3" t="s">
        <v>2</v>
      </c>
      <c r="F907" s="4">
        <v>45.6</v>
      </c>
      <c r="G907" s="4">
        <v>17000</v>
      </c>
      <c r="H907" s="5">
        <f>[1]!РЕАЛИЗАЦИЯ[СОНИ]*[1]!РЕАЛИЗАЦИЯ[НАРХИ]</f>
        <v>654400</v>
      </c>
      <c r="I907" s="4"/>
      <c r="J907" s="6">
        <v>15000</v>
      </c>
      <c r="K907" s="4">
        <f>[1]!РЕАЛИЗАЦИЯ[[#This Row],[СОНИ]]*[1]!РЕАЛИЗАЦИЯ[[#This Row],[ТАННАРХ]]</f>
        <v>0</v>
      </c>
      <c r="L907" s="7">
        <f>[1]!РЕАЛИЗАЦИЯ[[#This Row],[ЖАМИ]]-[1]!РЕАЛИЗАЦИЯ[[#This Row],[ЖАМИ2]]</f>
        <v>654400</v>
      </c>
      <c r="O907" s="27">
        <v>46158</v>
      </c>
      <c r="P907" s="28" t="s">
        <v>256</v>
      </c>
      <c r="Q907" s="6">
        <v>1670000</v>
      </c>
      <c r="R907" s="6"/>
      <c r="S907" s="6"/>
      <c r="T907" s="29">
        <f>[1]!ПЛАТЕЖИ[[#This Row],[СЎМ]]+([1]!ПЛАТЕЖИ[[#This Row],[ВАЛЮТА]]*[1]!ПЛАТЕЖИ[[#This Row],[КУРС]])</f>
        <v>2753000</v>
      </c>
      <c r="U907" s="28"/>
      <c r="V907" s="28"/>
    </row>
    <row r="908" spans="2:22" x14ac:dyDescent="0.25">
      <c r="B908" s="8">
        <v>46156</v>
      </c>
      <c r="C908" s="9" t="s">
        <v>139</v>
      </c>
      <c r="D908" s="10" t="s">
        <v>1</v>
      </c>
      <c r="E908" s="10" t="s">
        <v>2</v>
      </c>
      <c r="F908" s="11">
        <v>48.9</v>
      </c>
      <c r="G908" s="11">
        <v>25000</v>
      </c>
      <c r="H908" s="12">
        <f>[1]!РЕАЛИЗАЦИЯ[СОНИ]*[1]!РЕАЛИЗАЦИЯ[НАРХИ]</f>
        <v>1035299.9999999999</v>
      </c>
      <c r="I908" s="11"/>
      <c r="J908" s="13">
        <v>23000</v>
      </c>
      <c r="K908" s="11">
        <f>[1]!РЕАЛИЗАЦИЯ[[#This Row],[СОНИ]]*[1]!РЕАЛИЗАЦИЯ[[#This Row],[ТАННАРХ]]</f>
        <v>0</v>
      </c>
      <c r="L908" s="14">
        <f>[1]!РЕАЛИЗАЦИЯ[[#This Row],[ЖАМИ]]-[1]!РЕАЛИЗАЦИЯ[[#This Row],[ЖАМИ2]]</f>
        <v>1035299.9999999999</v>
      </c>
      <c r="O908" s="30">
        <v>46158</v>
      </c>
      <c r="P908" s="31" t="s">
        <v>32</v>
      </c>
      <c r="Q908" s="13">
        <v>600000</v>
      </c>
      <c r="R908" s="13"/>
      <c r="S908" s="13"/>
      <c r="T908" s="32">
        <f>[1]!ПЛАТЕЖИ[[#This Row],[СЎМ]]+([1]!ПЛАТЕЖИ[[#This Row],[ВАЛЮТА]]*[1]!ПЛАТЕЖИ[[#This Row],[КУРС]])</f>
        <v>500000</v>
      </c>
      <c r="U908" s="31"/>
      <c r="V908" s="31"/>
    </row>
    <row r="909" spans="2:22" x14ac:dyDescent="0.25">
      <c r="B909" s="1">
        <v>46156</v>
      </c>
      <c r="C909" s="2" t="s">
        <v>17</v>
      </c>
      <c r="D909" s="3" t="s">
        <v>1</v>
      </c>
      <c r="E909" s="3" t="s">
        <v>2</v>
      </c>
      <c r="F909" s="4">
        <v>-50.8</v>
      </c>
      <c r="G909" s="4">
        <v>25000</v>
      </c>
      <c r="H909" s="5">
        <f>[1]!РЕАЛИЗАЦИЯ[СОНИ]*[1]!РЕАЛИЗАЦИЯ[НАРХИ]</f>
        <v>2070599.9999999998</v>
      </c>
      <c r="I909" s="4"/>
      <c r="J909" s="6">
        <v>23000</v>
      </c>
      <c r="K909" s="4">
        <f>[1]!РЕАЛИЗАЦИЯ[[#This Row],[СОНИ]]*[1]!РЕАЛИЗАЦИЯ[[#This Row],[ТАННАРХ]]</f>
        <v>0</v>
      </c>
      <c r="L909" s="7">
        <f>[1]!РЕАЛИЗАЦИЯ[[#This Row],[ЖАМИ]]-[1]!РЕАЛИЗАЦИЯ[[#This Row],[ЖАМИ2]]</f>
        <v>2070599.9999999998</v>
      </c>
      <c r="O909" s="27">
        <v>46158</v>
      </c>
      <c r="P909" s="28" t="s">
        <v>89</v>
      </c>
      <c r="Q909" s="6">
        <v>3000000</v>
      </c>
      <c r="R909" s="6"/>
      <c r="S909" s="6"/>
      <c r="T909" s="29">
        <f>[1]!ПЛАТЕЖИ[[#This Row],[СЎМ]]+([1]!ПЛАТЕЖИ[[#This Row],[ВАЛЮТА]]*[1]!ПЛАТЕЖИ[[#This Row],[КУРС]])</f>
        <v>968000</v>
      </c>
      <c r="U909" s="28"/>
      <c r="V909" s="28"/>
    </row>
    <row r="910" spans="2:22" x14ac:dyDescent="0.25">
      <c r="B910" s="8">
        <v>46156</v>
      </c>
      <c r="C910" s="9" t="s">
        <v>17</v>
      </c>
      <c r="D910" s="10" t="s">
        <v>10</v>
      </c>
      <c r="E910" s="10" t="s">
        <v>2</v>
      </c>
      <c r="F910" s="11">
        <v>-47.8</v>
      </c>
      <c r="G910" s="11">
        <v>17000</v>
      </c>
      <c r="H910" s="12">
        <f>[1]!РЕАЛИЗАЦИЯ[СОНИ]*[1]!РЕАЛИЗАЦИЯ[НАРХИ]</f>
        <v>3141600</v>
      </c>
      <c r="I910" s="11"/>
      <c r="J910" s="13">
        <v>15000</v>
      </c>
      <c r="K910" s="11">
        <f>[1]!РЕАЛИЗАЦИЯ[[#This Row],[СОНИ]]*[1]!РЕАЛИЗАЦИЯ[[#This Row],[ТАННАРХ]]</f>
        <v>0</v>
      </c>
      <c r="L910" s="14">
        <f>[1]!РЕАЛИЗАЦИЯ[[#This Row],[ЖАМИ]]-[1]!РЕАЛИЗАЦИЯ[[#This Row],[ЖАМИ2]]</f>
        <v>3141600</v>
      </c>
      <c r="O910" s="30">
        <v>46158</v>
      </c>
      <c r="P910" s="31" t="s">
        <v>89</v>
      </c>
      <c r="Q910" s="13">
        <v>325000</v>
      </c>
      <c r="R910" s="13"/>
      <c r="S910" s="13"/>
      <c r="T910" s="32">
        <f>[1]!ПЛАТЕЖИ[[#This Row],[СЎМ]]+([1]!ПЛАТЕЖИ[[#This Row],[ВАЛЮТА]]*[1]!ПЛАТЕЖИ[[#This Row],[КУРС]])</f>
        <v>932000</v>
      </c>
      <c r="U910" s="31"/>
      <c r="V910" s="31"/>
    </row>
    <row r="911" spans="2:22" x14ac:dyDescent="0.25">
      <c r="B911" s="1">
        <v>46156</v>
      </c>
      <c r="C911" s="2" t="s">
        <v>18</v>
      </c>
      <c r="D911" s="3" t="s">
        <v>1</v>
      </c>
      <c r="E911" s="3" t="s">
        <v>2</v>
      </c>
      <c r="F911" s="4">
        <v>98.1</v>
      </c>
      <c r="G911" s="4">
        <v>25000</v>
      </c>
      <c r="H911" s="5">
        <f>[1]!РЕАЛИЗАЦИЯ[СОНИ]*[1]!РЕАЛИЗАЦИЯ[НАРХИ]</f>
        <v>1995000</v>
      </c>
      <c r="I911" s="4"/>
      <c r="J911" s="6">
        <v>23000</v>
      </c>
      <c r="K911" s="4">
        <f>[1]!РЕАЛИЗАЦИЯ[[#This Row],[СОНИ]]*[1]!РЕАЛИЗАЦИЯ[[#This Row],[ТАННАРХ]]</f>
        <v>0</v>
      </c>
      <c r="L911" s="7">
        <f>[1]!РЕАЛИЗАЦИЯ[[#This Row],[ЖАМИ]]-[1]!РЕАЛИЗАЦИЯ[[#This Row],[ЖАМИ2]]</f>
        <v>1995000</v>
      </c>
      <c r="O911" s="27">
        <v>46159</v>
      </c>
      <c r="P911" s="28" t="s">
        <v>311</v>
      </c>
      <c r="Q911" s="6">
        <v>464000</v>
      </c>
      <c r="R911" s="6"/>
      <c r="S911" s="6"/>
      <c r="T911" s="29">
        <f>[1]!ПЛАТЕЖИ[[#This Row],[СЎМ]]+([1]!ПЛАТЕЖИ[[#This Row],[ВАЛЮТА]]*[1]!ПЛАТЕЖИ[[#This Row],[КУРС]])</f>
        <v>7045000</v>
      </c>
      <c r="U911" s="28"/>
      <c r="V911" s="28" t="s">
        <v>275</v>
      </c>
    </row>
    <row r="912" spans="2:22" x14ac:dyDescent="0.25">
      <c r="B912" s="8">
        <v>46156</v>
      </c>
      <c r="C912" s="9" t="s">
        <v>154</v>
      </c>
      <c r="D912" s="10" t="s">
        <v>10</v>
      </c>
      <c r="E912" s="10" t="s">
        <v>2</v>
      </c>
      <c r="F912" s="11">
        <v>102.7</v>
      </c>
      <c r="G912" s="11">
        <v>17000</v>
      </c>
      <c r="H912" s="12">
        <f>[1]!РЕАЛИЗАЦИЯ[СОНИ]*[1]!РЕАЛИЗАЦИЯ[НАРХИ]</f>
        <v>1108800</v>
      </c>
      <c r="I912" s="11"/>
      <c r="J912" s="13">
        <v>15000</v>
      </c>
      <c r="K912" s="11">
        <f>[1]!РЕАЛИЗАЦИЯ[[#This Row],[СОНИ]]*[1]!РЕАЛИЗАЦИЯ[[#This Row],[ТАННАРХ]]</f>
        <v>0</v>
      </c>
      <c r="L912" s="14">
        <f>[1]!РЕАЛИЗАЦИЯ[[#This Row],[ЖАМИ]]-[1]!РЕАЛИЗАЦИЯ[[#This Row],[ЖАМИ2]]</f>
        <v>1108800</v>
      </c>
      <c r="O912" s="30">
        <v>46159</v>
      </c>
      <c r="P912" s="31" t="s">
        <v>71</v>
      </c>
      <c r="Q912" s="13">
        <v>1500000</v>
      </c>
      <c r="R912" s="13"/>
      <c r="S912" s="13"/>
      <c r="T912" s="32">
        <f>[1]!ПЛАТЕЖИ[[#This Row],[СЎМ]]+([1]!ПЛАТЕЖИ[[#This Row],[ВАЛЮТА]]*[1]!ПЛАТЕЖИ[[#This Row],[КУРС]])</f>
        <v>1200000</v>
      </c>
      <c r="U912" s="31"/>
      <c r="V912" s="31"/>
    </row>
    <row r="913" spans="2:22" x14ac:dyDescent="0.25">
      <c r="B913" s="1">
        <v>46156</v>
      </c>
      <c r="C913" s="2" t="s">
        <v>126</v>
      </c>
      <c r="D913" s="3" t="s">
        <v>25</v>
      </c>
      <c r="E913" s="3" t="s">
        <v>2</v>
      </c>
      <c r="F913" s="4">
        <v>180.2</v>
      </c>
      <c r="G913" s="4">
        <v>28000</v>
      </c>
      <c r="H913" s="5">
        <f>[1]!РЕАЛИЗАЦИЯ[СОНИ]*[1]!РЕАЛИЗАЦИЯ[НАРХИ]</f>
        <v>1976099.9999999998</v>
      </c>
      <c r="I913" s="4"/>
      <c r="J913" s="6">
        <v>26000</v>
      </c>
      <c r="K913" s="4">
        <f>[1]!РЕАЛИЗАЦИЯ[[#This Row],[СОНИ]]*[1]!РЕАЛИЗАЦИЯ[[#This Row],[ТАННАРХ]]</f>
        <v>0</v>
      </c>
      <c r="L913" s="7">
        <f>[1]!РЕАЛИЗАЦИЯ[[#This Row],[ЖАМИ]]-[1]!РЕАЛИЗАЦИЯ[[#This Row],[ЖАМИ2]]</f>
        <v>1976099.9999999998</v>
      </c>
      <c r="O913" s="27">
        <v>46159</v>
      </c>
      <c r="P913" s="28" t="s">
        <v>188</v>
      </c>
      <c r="Q913" s="6">
        <v>1647000</v>
      </c>
      <c r="R913" s="6"/>
      <c r="S913" s="6"/>
      <c r="T913" s="29">
        <f>[1]!ПЛАТЕЖИ[[#This Row],[СЎМ]]+([1]!ПЛАТЕЖИ[[#This Row],[ВАЛЮТА]]*[1]!ПЛАТЕЖИ[[#This Row],[КУРС]])</f>
        <v>2014000</v>
      </c>
      <c r="U913" s="28"/>
      <c r="V913" s="28"/>
    </row>
    <row r="914" spans="2:22" x14ac:dyDescent="0.25">
      <c r="B914" s="8">
        <v>46156</v>
      </c>
      <c r="C914" s="9" t="s">
        <v>15</v>
      </c>
      <c r="D914" s="10" t="s">
        <v>1</v>
      </c>
      <c r="E914" s="10" t="s">
        <v>2</v>
      </c>
      <c r="F914" s="11">
        <v>48</v>
      </c>
      <c r="G914" s="11">
        <v>25000</v>
      </c>
      <c r="H914" s="12">
        <f>[1]!РЕАЛИЗАЦИЯ[СОНИ]*[1]!РЕАЛИЗАЦИЯ[НАРХИ]</f>
        <v>2230200</v>
      </c>
      <c r="I914" s="11"/>
      <c r="J914" s="13">
        <v>23000</v>
      </c>
      <c r="K914" s="11">
        <f>[1]!РЕАЛИЗАЦИЯ[[#This Row],[СОНИ]]*[1]!РЕАЛИЗАЦИЯ[[#This Row],[ТАННАРХ]]</f>
        <v>0</v>
      </c>
      <c r="L914" s="14">
        <f>[1]!РЕАЛИЗАЦИЯ[[#This Row],[ЖАМИ]]-[1]!РЕАЛИЗАЦИЯ[[#This Row],[ЖАМИ2]]</f>
        <v>2230200</v>
      </c>
      <c r="O914" s="30">
        <v>46159</v>
      </c>
      <c r="P914" s="31" t="s">
        <v>150</v>
      </c>
      <c r="Q914" s="13">
        <v>1000000</v>
      </c>
      <c r="R914" s="13"/>
      <c r="S914" s="13"/>
      <c r="T914" s="32">
        <f>[1]!ПЛАТЕЖИ[[#This Row],[СЎМ]]+([1]!ПЛАТЕЖИ[[#This Row],[ВАЛЮТА]]*[1]!ПЛАТЕЖИ[[#This Row],[КУРС]])</f>
        <v>1000000</v>
      </c>
      <c r="U914" s="31"/>
      <c r="V914" s="31"/>
    </row>
    <row r="915" spans="2:22" x14ac:dyDescent="0.25">
      <c r="B915" s="1">
        <v>46156</v>
      </c>
      <c r="C915" s="2" t="s">
        <v>17</v>
      </c>
      <c r="D915" s="3" t="s">
        <v>10</v>
      </c>
      <c r="E915" s="3" t="s">
        <v>2</v>
      </c>
      <c r="F915" s="4">
        <v>46.9</v>
      </c>
      <c r="G915" s="4">
        <v>17000</v>
      </c>
      <c r="H915" s="5">
        <f>[1]!РЕАЛИЗАЦИЯ[СОНИ]*[1]!РЕАЛИЗАЦИЯ[НАРХИ]</f>
        <v>2120000</v>
      </c>
      <c r="I915" s="4"/>
      <c r="J915" s="6">
        <v>15000</v>
      </c>
      <c r="K915" s="4">
        <f>[1]!РЕАЛИЗАЦИЯ[[#This Row],[СОНИ]]*[1]!РЕАЛИЗАЦИЯ[[#This Row],[ТАННАРХ]]</f>
        <v>0</v>
      </c>
      <c r="L915" s="7">
        <f>[1]!РЕАЛИЗАЦИЯ[[#This Row],[ЖАМИ]]-[1]!РЕАЛИЗАЦИЯ[[#This Row],[ЖАМИ2]]</f>
        <v>2120000</v>
      </c>
      <c r="O915" s="27">
        <v>46159</v>
      </c>
      <c r="P915" s="28" t="s">
        <v>100</v>
      </c>
      <c r="Q915" s="6">
        <v>1202000</v>
      </c>
      <c r="R915" s="6"/>
      <c r="S915" s="6"/>
      <c r="T915" s="29">
        <f>[1]!ПЛАТЕЖИ[[#This Row],[СЎМ]]+([1]!ПЛАТЕЖИ[[#This Row],[ВАЛЮТА]]*[1]!ПЛАТЕЖИ[[#This Row],[КУРС]])</f>
        <v>3449800</v>
      </c>
      <c r="U915" s="28"/>
      <c r="V915" s="28"/>
    </row>
    <row r="916" spans="2:22" x14ac:dyDescent="0.25">
      <c r="B916" s="8">
        <v>46156</v>
      </c>
      <c r="C916" s="9" t="s">
        <v>17</v>
      </c>
      <c r="D916" s="10" t="s">
        <v>1</v>
      </c>
      <c r="E916" s="10" t="s">
        <v>2</v>
      </c>
      <c r="F916" s="11">
        <v>45.3</v>
      </c>
      <c r="G916" s="11">
        <v>25000</v>
      </c>
      <c r="H916" s="12">
        <f>[1]!РЕАЛИЗАЦИЯ[СОНИ]*[1]!РЕАЛИЗАЦИЯ[НАРХИ]</f>
        <v>2043300</v>
      </c>
      <c r="I916" s="11"/>
      <c r="J916" s="13">
        <v>23000</v>
      </c>
      <c r="K916" s="11">
        <f>[1]!РЕАЛИЗАЦИЯ[[#This Row],[СОНИ]]*[1]!РЕАЛИЗАЦИЯ[[#This Row],[ТАННАРХ]]</f>
        <v>0</v>
      </c>
      <c r="L916" s="14">
        <f>[1]!РЕАЛИЗАЦИЯ[[#This Row],[ЖАМИ]]-[1]!РЕАЛИЗАЦИЯ[[#This Row],[ЖАМИ2]]</f>
        <v>2043300</v>
      </c>
      <c r="O916" s="30">
        <v>46159</v>
      </c>
      <c r="P916" s="31" t="s">
        <v>196</v>
      </c>
      <c r="Q916" s="13">
        <v>777600</v>
      </c>
      <c r="R916" s="13"/>
      <c r="S916" s="13"/>
      <c r="T916" s="32">
        <f>[1]!ПЛАТЕЖИ[[#This Row],[СЎМ]]+([1]!ПЛАТЕЖИ[[#This Row],[ВАЛЮТА]]*[1]!ПЛАТЕЖИ[[#This Row],[КУРС]])</f>
        <v>10000000</v>
      </c>
      <c r="U916" s="31"/>
      <c r="V916" s="31" t="s">
        <v>275</v>
      </c>
    </row>
    <row r="917" spans="2:22" x14ac:dyDescent="0.25">
      <c r="B917" s="1">
        <v>46156</v>
      </c>
      <c r="C917" s="2" t="s">
        <v>187</v>
      </c>
      <c r="D917" s="3" t="s">
        <v>1</v>
      </c>
      <c r="E917" s="3" t="s">
        <v>2</v>
      </c>
      <c r="F917" s="4">
        <v>52.5</v>
      </c>
      <c r="G917" s="4">
        <v>24000</v>
      </c>
      <c r="H917" s="5">
        <f>[1]!РЕАЛИЗАЦИЯ[СОНИ]*[1]!РЕАЛИЗАЦИЯ[НАРХИ]</f>
        <v>1014299.9999999999</v>
      </c>
      <c r="I917" s="4"/>
      <c r="J917" s="6">
        <v>23000</v>
      </c>
      <c r="K917" s="4">
        <f>[1]!РЕАЛИЗАЦИЯ[[#This Row],[СОНИ]]*[1]!РЕАЛИЗАЦИЯ[[#This Row],[ТАННАРХ]]</f>
        <v>0</v>
      </c>
      <c r="L917" s="7">
        <f>[1]!РЕАЛИЗАЦИЯ[[#This Row],[ЖАМИ]]-[1]!РЕАЛИЗАЦИЯ[[#This Row],[ЖАМИ2]]</f>
        <v>1014299.9999999999</v>
      </c>
      <c r="O917" s="27">
        <v>46159</v>
      </c>
      <c r="P917" s="28" t="s">
        <v>74</v>
      </c>
      <c r="Q917" s="6">
        <v>1632000</v>
      </c>
      <c r="R917" s="6"/>
      <c r="S917" s="6"/>
      <c r="T917" s="29">
        <f>[1]!ПЛАТЕЖИ[[#This Row],[СЎМ]]+([1]!ПЛАТЕЖИ[[#This Row],[ВАЛЮТА]]*[1]!ПЛАТЕЖИ[[#This Row],[КУРС]])</f>
        <v>20000000</v>
      </c>
      <c r="U917" s="28"/>
      <c r="V917" s="28" t="s">
        <v>275</v>
      </c>
    </row>
    <row r="918" spans="2:22" x14ac:dyDescent="0.25">
      <c r="B918" s="8">
        <v>46156</v>
      </c>
      <c r="C918" s="9" t="s">
        <v>187</v>
      </c>
      <c r="D918" s="10" t="s">
        <v>10</v>
      </c>
      <c r="E918" s="10" t="s">
        <v>2</v>
      </c>
      <c r="F918" s="11">
        <v>100.5</v>
      </c>
      <c r="G918" s="11">
        <v>16000</v>
      </c>
      <c r="H918" s="12">
        <f>[1]!РЕАЛИЗАЦИЯ[СОНИ]*[1]!РЕАЛИЗАЦИЯ[НАРХИ]</f>
        <v>6339899.9999999991</v>
      </c>
      <c r="I918" s="11"/>
      <c r="J918" s="13">
        <v>15000</v>
      </c>
      <c r="K918" s="11">
        <f>[1]!РЕАЛИЗАЦИЯ[[#This Row],[СОНИ]]*[1]!РЕАЛИЗАЦИЯ[[#This Row],[ТАННАРХ]]</f>
        <v>0</v>
      </c>
      <c r="L918" s="14">
        <f>[1]!РЕАЛИЗАЦИЯ[[#This Row],[ЖАМИ]]-[1]!РЕАЛИЗАЦИЯ[[#This Row],[ЖАМИ2]]</f>
        <v>6339899.9999999991</v>
      </c>
      <c r="O918" s="30">
        <v>46159</v>
      </c>
      <c r="P918" s="31" t="s">
        <v>173</v>
      </c>
      <c r="Q918" s="13">
        <v>119500</v>
      </c>
      <c r="R918" s="13"/>
      <c r="S918" s="13"/>
      <c r="T918" s="32">
        <f>[1]!ПЛАТЕЖИ[[#This Row],[СЎМ]]+([1]!ПЛАТЕЖИ[[#This Row],[ВАЛЮТА]]*[1]!ПЛАТЕЖИ[[#This Row],[КУРС]])</f>
        <v>5726700</v>
      </c>
      <c r="U918" s="31"/>
      <c r="V918" s="31" t="s">
        <v>275</v>
      </c>
    </row>
    <row r="919" spans="2:22" x14ac:dyDescent="0.25">
      <c r="B919" s="1">
        <v>46156</v>
      </c>
      <c r="C919" s="2" t="s">
        <v>68</v>
      </c>
      <c r="D919" s="3" t="s">
        <v>36</v>
      </c>
      <c r="E919" s="3" t="s">
        <v>2</v>
      </c>
      <c r="F919" s="4">
        <v>38.4</v>
      </c>
      <c r="G919" s="4">
        <v>19000</v>
      </c>
      <c r="H919" s="5">
        <f>[1]!РЕАЛИЗАЦИЯ[СОНИ]*[1]!РЕАЛИЗАЦИЯ[НАРХИ]</f>
        <v>1344000</v>
      </c>
      <c r="I919" s="4" t="s">
        <v>253</v>
      </c>
      <c r="J919" s="6">
        <v>17500</v>
      </c>
      <c r="K919" s="4">
        <f>[1]!РЕАЛИЗАЦИЯ[[#This Row],[СОНИ]]*[1]!РЕАЛИЗАЦИЯ[[#This Row],[ТАННАРХ]]</f>
        <v>0</v>
      </c>
      <c r="L919" s="7">
        <f>[1]!РЕАЛИЗАЦИЯ[[#This Row],[ЖАМИ]]-[1]!РЕАЛИЗАЦИЯ[[#This Row],[ЖАМИ2]]</f>
        <v>1344000</v>
      </c>
      <c r="O919" s="27">
        <v>46159</v>
      </c>
      <c r="P919" s="28" t="s">
        <v>244</v>
      </c>
      <c r="Q919" s="6">
        <v>611900</v>
      </c>
      <c r="R919" s="6"/>
      <c r="S919" s="6"/>
      <c r="T919" s="29">
        <f>[1]!ПЛАТЕЖИ[[#This Row],[СЎМ]]+([1]!ПЛАТЕЖИ[[#This Row],[ВАЛЮТА]]*[1]!ПЛАТЕЖИ[[#This Row],[КУРС]])</f>
        <v>1775000</v>
      </c>
      <c r="U919" s="28"/>
      <c r="V919" s="28" t="s">
        <v>275</v>
      </c>
    </row>
    <row r="920" spans="2:22" x14ac:dyDescent="0.25">
      <c r="B920" s="8">
        <v>46157</v>
      </c>
      <c r="C920" s="9" t="s">
        <v>51</v>
      </c>
      <c r="D920" s="10" t="s">
        <v>1</v>
      </c>
      <c r="E920" s="10" t="s">
        <v>2</v>
      </c>
      <c r="F920" s="11">
        <v>50.6</v>
      </c>
      <c r="G920" s="11">
        <v>25000</v>
      </c>
      <c r="H920" s="12">
        <f>[1]!РЕАЛИЗАЦИЯ[СОНИ]*[1]!РЕАЛИЗАЦИЯ[НАРХИ]</f>
        <v>2026000</v>
      </c>
      <c r="I920" s="11"/>
      <c r="J920" s="13">
        <v>23000</v>
      </c>
      <c r="K920" s="11">
        <f>[1]!РЕАЛИЗАЦИЯ[[#This Row],[СОНИ]]*[1]!РЕАЛИЗАЦИЯ[[#This Row],[ТАННАРХ]]</f>
        <v>0</v>
      </c>
      <c r="L920" s="14">
        <f>[1]!РЕАЛИЗАЦИЯ[[#This Row],[ЖАМИ]]-[1]!РЕАЛИЗАЦИЯ[[#This Row],[ЖАМИ2]]</f>
        <v>2026000</v>
      </c>
      <c r="O920" s="30">
        <v>46159</v>
      </c>
      <c r="P920" s="31" t="s">
        <v>140</v>
      </c>
      <c r="Q920" s="13">
        <v>1915200</v>
      </c>
      <c r="R920" s="13"/>
      <c r="S920" s="13"/>
      <c r="T920" s="32">
        <f>[1]!ПЛАТЕЖИ[[#This Row],[СЎМ]]+([1]!ПЛАТЕЖИ[[#This Row],[ВАЛЮТА]]*[1]!ПЛАТЕЖИ[[#This Row],[КУРС]])</f>
        <v>2016000</v>
      </c>
      <c r="U920" s="31"/>
      <c r="V920" s="31"/>
    </row>
    <row r="921" spans="2:22" x14ac:dyDescent="0.25">
      <c r="B921" s="1">
        <v>46157</v>
      </c>
      <c r="C921" s="2" t="s">
        <v>254</v>
      </c>
      <c r="D921" s="3" t="s">
        <v>1</v>
      </c>
      <c r="E921" s="3" t="s">
        <v>2</v>
      </c>
      <c r="F921" s="4">
        <v>40.799999999999997</v>
      </c>
      <c r="G921" s="4">
        <v>25000</v>
      </c>
      <c r="H921" s="5">
        <f>[1]!РЕАЛИЗАЦИЯ[СОНИ]*[1]!РЕАЛИЗАЦИЯ[НАРХИ]</f>
        <v>2240000</v>
      </c>
      <c r="I921" s="4"/>
      <c r="J921" s="6">
        <v>23000</v>
      </c>
      <c r="K921" s="4">
        <f>[1]!РЕАЛИЗАЦИЯ[[#This Row],[СОНИ]]*[1]!РЕАЛИЗАЦИЯ[[#This Row],[ТАННАРХ]]</f>
        <v>0</v>
      </c>
      <c r="L921" s="7">
        <f>[1]!РЕАЛИЗАЦИЯ[[#This Row],[ЖАМИ]]-[1]!РЕАЛИЗАЦИЯ[[#This Row],[ЖАМИ2]]</f>
        <v>2240000</v>
      </c>
      <c r="O921" s="27">
        <v>46160</v>
      </c>
      <c r="P921" s="28" t="s">
        <v>257</v>
      </c>
      <c r="Q921" s="6">
        <v>1286250</v>
      </c>
      <c r="R921" s="6"/>
      <c r="S921" s="6"/>
      <c r="T921" s="29">
        <f>[1]!ПЛАТЕЖИ[[#This Row],[СЎМ]]+([1]!ПЛАТЕЖИ[[#This Row],[ВАЛЮТА]]*[1]!ПЛАТЕЖИ[[#This Row],[КУРС]])</f>
        <v>952000</v>
      </c>
      <c r="U921" s="28"/>
      <c r="V921" s="28"/>
    </row>
    <row r="922" spans="2:22" x14ac:dyDescent="0.25">
      <c r="B922" s="8">
        <v>46157</v>
      </c>
      <c r="C922" s="9" t="s">
        <v>34</v>
      </c>
      <c r="D922" s="10" t="s">
        <v>10</v>
      </c>
      <c r="E922" s="10" t="s">
        <v>2</v>
      </c>
      <c r="F922" s="11">
        <v>160.9</v>
      </c>
      <c r="G922" s="11">
        <v>18000</v>
      </c>
      <c r="H922" s="12">
        <f>[1]!РЕАЛИЗАЦИЯ[СОНИ]*[1]!РЕАЛИЗАЦИЯ[НАРХИ]</f>
        <v>940800.00000000012</v>
      </c>
      <c r="I922" s="11"/>
      <c r="J922" s="13">
        <v>15000</v>
      </c>
      <c r="K922" s="11">
        <f>[1]!РЕАЛИЗАЦИЯ[[#This Row],[СОНИ]]*[1]!РЕАЛИЗАЦИЯ[[#This Row],[ТАННАРХ]]</f>
        <v>34574400</v>
      </c>
      <c r="L922" s="14">
        <f>[1]!РЕАЛИЗАЦИЯ[[#This Row],[ЖАМИ]]-[1]!РЕАЛИЗАЦИЯ[[#This Row],[ЖАМИ2]]</f>
        <v>940760.80000000016</v>
      </c>
      <c r="O922" s="30">
        <v>46160</v>
      </c>
      <c r="P922" s="31" t="s">
        <v>168</v>
      </c>
      <c r="Q922" s="13">
        <v>4716600</v>
      </c>
      <c r="R922" s="13"/>
      <c r="S922" s="13"/>
      <c r="T922" s="32">
        <f>[1]!ПЛАТЕЖИ[[#This Row],[СЎМ]]+([1]!ПЛАТЕЖИ[[#This Row],[ВАЛЮТА]]*[1]!ПЛАТЕЖИ[[#This Row],[КУРС]])</f>
        <v>987000</v>
      </c>
      <c r="U922" s="31"/>
      <c r="V922" s="31"/>
    </row>
    <row r="923" spans="2:22" x14ac:dyDescent="0.25">
      <c r="B923" s="1">
        <v>46157</v>
      </c>
      <c r="C923" s="2" t="s">
        <v>61</v>
      </c>
      <c r="D923" s="3" t="s">
        <v>1</v>
      </c>
      <c r="E923" s="3" t="s">
        <v>2</v>
      </c>
      <c r="F923" s="4">
        <v>53.8</v>
      </c>
      <c r="G923" s="4">
        <v>25000</v>
      </c>
      <c r="H923" s="5">
        <f>[1]!РЕАЛИЗАЦИЯ[СОНИ]*[1]!РЕАЛИЗАЦИЯ[НАРХИ]</f>
        <v>432000</v>
      </c>
      <c r="I923" s="4" t="s">
        <v>255</v>
      </c>
      <c r="J923" s="6">
        <v>23000</v>
      </c>
      <c r="K923" s="4">
        <f>[1]!РЕАЛИЗАЦИЯ[[#This Row],[СОНИ]]*[1]!РЕАЛИЗАЦИЯ[[#This Row],[ТАННАРХ]]</f>
        <v>0</v>
      </c>
      <c r="L923" s="7">
        <f>[1]!РЕАЛИЗАЦИЯ[[#This Row],[ЖАМИ]]-[1]!РЕАЛИЗАЦИЯ[[#This Row],[ЖАМИ2]]</f>
        <v>432000</v>
      </c>
      <c r="O923" s="27">
        <v>46160</v>
      </c>
      <c r="P923" s="28" t="s">
        <v>202</v>
      </c>
      <c r="Q923" s="6">
        <v>2270000</v>
      </c>
      <c r="R923" s="6"/>
      <c r="S923" s="6"/>
      <c r="T923" s="29">
        <f>[1]!ПЛАТЕЖИ[[#This Row],[СЎМ]]+([1]!ПЛАТЕЖИ[[#This Row],[ВАЛЮТА]]*[1]!ПЛАТЕЖИ[[#This Row],[КУРС]])</f>
        <v>907200</v>
      </c>
      <c r="U923" s="28"/>
      <c r="V923" s="28"/>
    </row>
    <row r="924" spans="2:22" x14ac:dyDescent="0.25">
      <c r="B924" s="8">
        <v>46157</v>
      </c>
      <c r="C924" s="9" t="s">
        <v>61</v>
      </c>
      <c r="D924" s="10" t="s">
        <v>1</v>
      </c>
      <c r="E924" s="10" t="s">
        <v>2</v>
      </c>
      <c r="F924" s="11">
        <v>289.39999999999998</v>
      </c>
      <c r="G924" s="11">
        <v>25000</v>
      </c>
      <c r="H924" s="12">
        <f>[1]!РЕАЛИЗАЦИЯ[СОНИ]*[1]!РЕАЛИЗАЦИЯ[НАРХИ]</f>
        <v>3057600</v>
      </c>
      <c r="I924" s="11"/>
      <c r="J924" s="13">
        <v>23000</v>
      </c>
      <c r="K924" s="11">
        <f>[1]!РЕАЛИЗАЦИЯ[[#This Row],[СОНИ]]*[1]!РЕАЛИЗАЦИЯ[[#This Row],[ТАННАРХ]]</f>
        <v>0</v>
      </c>
      <c r="L924" s="14">
        <f>[1]!РЕАЛИЗАЦИЯ[[#This Row],[ЖАМИ]]-[1]!РЕАЛИЗАЦИЯ[[#This Row],[ЖАМИ2]]</f>
        <v>3057600</v>
      </c>
      <c r="O924" s="30">
        <v>46160</v>
      </c>
      <c r="P924" s="31" t="s">
        <v>188</v>
      </c>
      <c r="Q924" s="13">
        <v>2480300</v>
      </c>
      <c r="R924" s="13"/>
      <c r="S924" s="13"/>
      <c r="T924" s="32">
        <f>[1]!ПЛАТЕЖИ[[#This Row],[СЎМ]]+([1]!ПЛАТЕЖИ[[#This Row],[ВАЛЮТА]]*[1]!ПЛАТЕЖИ[[#This Row],[КУРС]])</f>
        <v>1014300</v>
      </c>
      <c r="U924" s="31"/>
      <c r="V924" s="31"/>
    </row>
    <row r="925" spans="2:22" x14ac:dyDescent="0.25">
      <c r="B925" s="1">
        <v>46157</v>
      </c>
      <c r="C925" s="2" t="s">
        <v>61</v>
      </c>
      <c r="D925" s="3" t="s">
        <v>10</v>
      </c>
      <c r="E925" s="3" t="s">
        <v>2</v>
      </c>
      <c r="F925" s="4">
        <v>514.79999999999995</v>
      </c>
      <c r="G925" s="4">
        <v>17000</v>
      </c>
      <c r="H925" s="5">
        <f>[1]!РЕАЛИЗАЦИЯ[СОНИ]*[1]!РЕАЛИЗАЦИЯ[НАРХИ]</f>
        <v>1034000</v>
      </c>
      <c r="I925" s="4"/>
      <c r="J925" s="6">
        <v>15000</v>
      </c>
      <c r="K925" s="4">
        <f>[1]!РЕАЛИЗАЦИЯ[[#This Row],[СОНИ]]*[1]!РЕАЛИЗАЦИЯ[[#This Row],[ТАННАРХ]]</f>
        <v>0</v>
      </c>
      <c r="L925" s="7">
        <f>[1]!РЕАЛИЗАЦИЯ[[#This Row],[ЖАМИ]]-[1]!РЕАЛИЗАЦИЯ[[#This Row],[ЖАМИ2]]</f>
        <v>1034000</v>
      </c>
      <c r="O925" s="27">
        <v>46160</v>
      </c>
      <c r="P925" s="28" t="s">
        <v>101</v>
      </c>
      <c r="Q925" s="6">
        <v>1409400</v>
      </c>
      <c r="R925" s="6"/>
      <c r="S925" s="6"/>
      <c r="T925" s="29">
        <f>[1]!ПЛАТЕЖИ[[#This Row],[СЎМ]]+([1]!ПЛАТЕЖИ[[#This Row],[ВАЛЮТА]]*[1]!ПЛАТЕЖИ[[#This Row],[КУРС]])</f>
        <v>4174000</v>
      </c>
      <c r="U925" s="28"/>
      <c r="V925" s="28"/>
    </row>
    <row r="926" spans="2:22" x14ac:dyDescent="0.25">
      <c r="B926" s="8">
        <v>46157</v>
      </c>
      <c r="C926" s="9" t="s">
        <v>214</v>
      </c>
      <c r="D926" s="10" t="s">
        <v>1</v>
      </c>
      <c r="E926" s="10" t="s">
        <v>2</v>
      </c>
      <c r="F926" s="11">
        <v>49.6</v>
      </c>
      <c r="G926" s="11">
        <v>24000</v>
      </c>
      <c r="H926" s="12">
        <f>[1]!РЕАЛИЗАЦИЯ[СОНИ]*[1]!РЕАЛИЗАЦИЯ[НАРХИ]</f>
        <v>1390500</v>
      </c>
      <c r="I926" s="11"/>
      <c r="J926" s="13">
        <v>23000</v>
      </c>
      <c r="K926" s="11">
        <f>[1]!РЕАЛИЗАЦИЯ[[#This Row],[СОНИ]]*[1]!РЕАЛИЗАЦИЯ[[#This Row],[ТАННАРХ]]</f>
        <v>0</v>
      </c>
      <c r="L926" s="14">
        <f>[1]!РЕАЛИЗАЦИЯ[[#This Row],[ЖАМИ]]-[1]!РЕАЛИЗАЦИЯ[[#This Row],[ЖАМИ2]]</f>
        <v>1390500</v>
      </c>
      <c r="O926" s="30">
        <v>46160</v>
      </c>
      <c r="P926" s="31" t="s">
        <v>156</v>
      </c>
      <c r="Q926" s="13">
        <v>500000</v>
      </c>
      <c r="R926" s="13"/>
      <c r="S926" s="13"/>
      <c r="T926" s="32">
        <f>[1]!ПЛАТЕЖИ[[#This Row],[СЎМ]]+([1]!ПЛАТЕЖИ[[#This Row],[ВАЛЮТА]]*[1]!ПЛАТЕЖИ[[#This Row],[КУРС]])</f>
        <v>752000</v>
      </c>
      <c r="U926" s="31"/>
      <c r="V926" s="31"/>
    </row>
    <row r="927" spans="2:22" x14ac:dyDescent="0.25">
      <c r="B927" s="1">
        <v>46157</v>
      </c>
      <c r="C927" s="2" t="s">
        <v>15</v>
      </c>
      <c r="D927" s="3" t="s">
        <v>1</v>
      </c>
      <c r="E927" s="3" t="s">
        <v>2</v>
      </c>
      <c r="F927" s="4">
        <v>94</v>
      </c>
      <c r="G927" s="4">
        <v>25000</v>
      </c>
      <c r="H927" s="5">
        <f>[1]!РЕАЛИЗАЦИЯ[СОНИ]*[1]!РЕАЛИЗАЦИЯ[НАРХИ]</f>
        <v>1119300</v>
      </c>
      <c r="I927" s="4"/>
      <c r="J927" s="6">
        <v>23000</v>
      </c>
      <c r="K927" s="4">
        <f>[1]!РЕАЛИЗАЦИЯ[[#This Row],[СОНИ]]*[1]!РЕАЛИЗАЦИЯ[[#This Row],[ТАННАРХ]]</f>
        <v>0</v>
      </c>
      <c r="L927" s="7">
        <f>[1]!РЕАЛИЗАЦИЯ[[#This Row],[ЖАМИ]]-[1]!РЕАЛИЗАЦИЯ[[#This Row],[ЖАМИ2]]</f>
        <v>1119300</v>
      </c>
      <c r="O927" s="27">
        <v>46160</v>
      </c>
      <c r="P927" s="28" t="s">
        <v>55</v>
      </c>
      <c r="Q927" s="6">
        <v>500700</v>
      </c>
      <c r="R927" s="6"/>
      <c r="S927" s="6"/>
      <c r="T927" s="29">
        <f>[1]!ПЛАТЕЖИ[[#This Row],[СЎМ]]+([1]!ПЛАТЕЖИ[[#This Row],[ВАЛЮТА]]*[1]!ПЛАТЕЖИ[[#This Row],[КУРС]])</f>
        <v>1800000</v>
      </c>
      <c r="U927" s="28"/>
      <c r="V927" s="28"/>
    </row>
    <row r="928" spans="2:22" x14ac:dyDescent="0.25">
      <c r="B928" s="8">
        <v>46157</v>
      </c>
      <c r="C928" s="9" t="s">
        <v>254</v>
      </c>
      <c r="D928" s="10" t="s">
        <v>1</v>
      </c>
      <c r="E928" s="10" t="s">
        <v>2</v>
      </c>
      <c r="F928" s="11">
        <v>-40.799999999999997</v>
      </c>
      <c r="G928" s="11">
        <v>25000</v>
      </c>
      <c r="H928" s="12">
        <f>[1]!РЕАЛИЗАЦИЯ[СОНИ]*[1]!РЕАЛИЗАЦИЯ[НАРХИ]</f>
        <v>490590</v>
      </c>
      <c r="I928" s="11"/>
      <c r="J928" s="13">
        <v>23000</v>
      </c>
      <c r="K928" s="11">
        <f>[1]!РЕАЛИЗАЦИЯ[[#This Row],[СОНИ]]*[1]!РЕАЛИЗАЦИЯ[[#This Row],[ТАННАРХ]]</f>
        <v>9641025</v>
      </c>
      <c r="L928" s="14">
        <f>[1]!РЕАЛИЗАЦИЯ[[#This Row],[ЖАМИ]]-[1]!РЕАЛИЗАЦИЯ[[#This Row],[ЖАМИ2]]</f>
        <v>490569.3</v>
      </c>
      <c r="O928" s="30">
        <v>46160</v>
      </c>
      <c r="P928" s="31" t="s">
        <v>39</v>
      </c>
      <c r="Q928" s="13"/>
      <c r="R928" s="13">
        <v>500</v>
      </c>
      <c r="S928" s="13">
        <v>12000</v>
      </c>
      <c r="T928" s="32">
        <f>[1]!ПЛАТЕЖИ[[#This Row],[СЎМ]]+([1]!ПЛАТЕЖИ[[#This Row],[ВАЛЮТА]]*[1]!ПЛАТЕЖИ[[#This Row],[КУРС]])</f>
        <v>4500000</v>
      </c>
      <c r="U928" s="31"/>
      <c r="V928" s="31" t="s">
        <v>313</v>
      </c>
    </row>
    <row r="929" spans="2:22" x14ac:dyDescent="0.25">
      <c r="B929" s="1">
        <v>46158</v>
      </c>
      <c r="C929" s="2" t="s">
        <v>32</v>
      </c>
      <c r="D929" s="3" t="s">
        <v>1</v>
      </c>
      <c r="E929" s="3" t="s">
        <v>2</v>
      </c>
      <c r="F929" s="4">
        <v>48.2</v>
      </c>
      <c r="G929" s="4">
        <v>25000</v>
      </c>
      <c r="H929" s="5">
        <f>[1]!РЕАЛИЗАЦИЯ[СОНИ]*[1]!РЕАЛИЗАЦИЯ[НАРХИ]</f>
        <v>1039500</v>
      </c>
      <c r="I929" s="4"/>
      <c r="J929" s="6">
        <v>23000</v>
      </c>
      <c r="K929" s="4">
        <f>[1]!РЕАЛИЗАЦИЯ[[#This Row],[СОНИ]]*[1]!РЕАЛИЗАЦИЯ[[#This Row],[ТАННАРХ]]</f>
        <v>0</v>
      </c>
      <c r="L929" s="7">
        <f>[1]!РЕАЛИЗАЦИЯ[[#This Row],[ЖАМИ]]-[1]!РЕАЛИЗАЦИЯ[[#This Row],[ЖАМИ2]]</f>
        <v>1039500</v>
      </c>
      <c r="O929" s="27">
        <v>46160</v>
      </c>
      <c r="P929" s="28" t="s">
        <v>89</v>
      </c>
      <c r="Q929" s="6">
        <v>900000</v>
      </c>
      <c r="R929" s="6"/>
      <c r="S929" s="6"/>
      <c r="T929" s="29">
        <f>[1]!ПЛАТЕЖИ[[#This Row],[СЎМ]]+([1]!ПЛАТЕЖИ[[#This Row],[ВАЛЮТА]]*[1]!ПЛАТЕЖИ[[#This Row],[КУРС]])</f>
        <v>1999800</v>
      </c>
      <c r="U929" s="28"/>
      <c r="V929" s="28" t="s">
        <v>275</v>
      </c>
    </row>
    <row r="930" spans="2:22" x14ac:dyDescent="0.25">
      <c r="B930" s="8">
        <v>46158</v>
      </c>
      <c r="C930" s="9" t="s">
        <v>9</v>
      </c>
      <c r="D930" s="10" t="s">
        <v>25</v>
      </c>
      <c r="E930" s="10" t="s">
        <v>2</v>
      </c>
      <c r="F930" s="11">
        <v>399.9</v>
      </c>
      <c r="G930" s="11">
        <v>29000</v>
      </c>
      <c r="H930" s="12">
        <f>[1]!РЕАЛИЗАЦИЯ[СОНИ]*[1]!РЕАЛИЗАЦИЯ[НАРХИ]</f>
        <v>1904700</v>
      </c>
      <c r="I930" s="11"/>
      <c r="J930" s="13">
        <v>26000</v>
      </c>
      <c r="K930" s="11">
        <f>[1]!РЕАЛИЗАЦИЯ[[#This Row],[СОНИ]]*[1]!РЕАЛИЗАЦИЯ[[#This Row],[ТАННАРХ]]</f>
        <v>0</v>
      </c>
      <c r="L930" s="14">
        <f>[1]!РЕАЛИЗАЦИЯ[[#This Row],[ЖАМИ]]-[1]!РЕАЛИЗАЦИЯ[[#This Row],[ЖАМИ2]]</f>
        <v>1904700</v>
      </c>
      <c r="O930" s="30">
        <v>46160</v>
      </c>
      <c r="P930" s="31" t="s">
        <v>59</v>
      </c>
      <c r="Q930" s="13">
        <v>657000</v>
      </c>
      <c r="R930" s="13"/>
      <c r="S930" s="13"/>
      <c r="T930" s="32">
        <f>[1]!ПЛАТЕЖИ[[#This Row],[СЎМ]]+([1]!ПЛАТЕЖИ[[#This Row],[ВАЛЮТА]]*[1]!ПЛАТЕЖИ[[#This Row],[КУРС]])</f>
        <v>1127700</v>
      </c>
      <c r="U930" s="31"/>
      <c r="V930" s="31" t="s">
        <v>275</v>
      </c>
    </row>
    <row r="931" spans="2:22" x14ac:dyDescent="0.25">
      <c r="B931" s="1">
        <v>46158</v>
      </c>
      <c r="C931" s="2" t="s">
        <v>15</v>
      </c>
      <c r="D931" s="3" t="s">
        <v>1</v>
      </c>
      <c r="E931" s="3" t="s">
        <v>2</v>
      </c>
      <c r="F931" s="4">
        <v>471.4</v>
      </c>
      <c r="G931" s="4">
        <v>25000</v>
      </c>
      <c r="H931" s="5">
        <f>[1]!РЕАЛИЗАЦИЯ[СОНИ]*[1]!РЕАЛИЗАЦИЯ[НАРХИ]</f>
        <v>2872800.0000000005</v>
      </c>
      <c r="I931" s="4"/>
      <c r="J931" s="6">
        <v>23000</v>
      </c>
      <c r="K931" s="4">
        <f>[1]!РЕАЛИЗАЦИЯ[[#This Row],[СОНИ]]*[1]!РЕАЛИЗАЦИЯ[[#This Row],[ТАННАРХ]]</f>
        <v>0</v>
      </c>
      <c r="L931" s="7">
        <f>[1]!РЕАЛИЗАЦИЯ[[#This Row],[ЖАМИ]]-[1]!РЕАЛИЗАЦИЯ[[#This Row],[ЖАМИ2]]</f>
        <v>2872800.0000000005</v>
      </c>
      <c r="O931" s="27">
        <v>46160</v>
      </c>
      <c r="P931" s="28" t="s">
        <v>315</v>
      </c>
      <c r="Q931" s="6">
        <v>1000000</v>
      </c>
      <c r="R931" s="6"/>
      <c r="S931" s="6"/>
      <c r="T931" s="29">
        <f>[1]!ПЛАТЕЖИ[[#This Row],[СЎМ]]+([1]!ПЛАТЕЖИ[[#This Row],[ВАЛЮТА]]*[1]!ПЛАТЕЖИ[[#This Row],[КУРС]])</f>
        <v>3574000</v>
      </c>
      <c r="U931" s="28"/>
      <c r="V931" s="28" t="s">
        <v>275</v>
      </c>
    </row>
    <row r="932" spans="2:22" x14ac:dyDescent="0.25">
      <c r="B932" s="8">
        <v>46158</v>
      </c>
      <c r="C932" s="9" t="s">
        <v>256</v>
      </c>
      <c r="D932" s="10" t="s">
        <v>1</v>
      </c>
      <c r="E932" s="10" t="s">
        <v>2</v>
      </c>
      <c r="F932" s="11">
        <v>139.6</v>
      </c>
      <c r="G932" s="11">
        <v>25000</v>
      </c>
      <c r="H932" s="12">
        <f>[1]!РЕАЛИЗАЦИЯ[СОНИ]*[1]!РЕАЛИЗАЦИЯ[НАРХИ]</f>
        <v>1441600</v>
      </c>
      <c r="I932" s="11"/>
      <c r="J932" s="13">
        <v>23000</v>
      </c>
      <c r="K932" s="11">
        <f>[1]!РЕАЛИЗАЦИЯ[[#This Row],[СОНИ]]*[1]!РЕАЛИЗАЦИЯ[[#This Row],[ТАННАРХ]]</f>
        <v>0</v>
      </c>
      <c r="L932" s="14">
        <f>[1]!РЕАЛИЗАЦИЯ[[#This Row],[ЖАМИ]]-[1]!РЕАЛИЗАЦИЯ[[#This Row],[ЖАМИ2]]</f>
        <v>1441600</v>
      </c>
      <c r="O932" s="30">
        <v>46161</v>
      </c>
      <c r="P932" s="31" t="s">
        <v>28</v>
      </c>
      <c r="Q932" s="13">
        <v>1003000</v>
      </c>
      <c r="R932" s="13"/>
      <c r="S932" s="13"/>
      <c r="T932" s="32">
        <f>[1]!ПЛАТЕЖИ[[#This Row],[СЎМ]]+([1]!ПЛАТЕЖИ[[#This Row],[ВАЛЮТА]]*[1]!ПЛАТЕЖИ[[#This Row],[КУРС]])</f>
        <v>5290000</v>
      </c>
      <c r="U932" s="31"/>
      <c r="V932" s="31"/>
    </row>
    <row r="933" spans="2:22" x14ac:dyDescent="0.25">
      <c r="B933" s="1">
        <v>46158</v>
      </c>
      <c r="C933" s="2" t="s">
        <v>256</v>
      </c>
      <c r="D933" s="3" t="s">
        <v>10</v>
      </c>
      <c r="E933" s="3" t="s">
        <v>2</v>
      </c>
      <c r="F933" s="4">
        <v>45.9</v>
      </c>
      <c r="G933" s="4">
        <v>17000</v>
      </c>
      <c r="H933" s="5">
        <f>[1]!РЕАЛИЗАЦИЯ[СОНИ]*[1]!РЕАЛИЗАЦИЯ[НАРХИ]</f>
        <v>5130000</v>
      </c>
      <c r="I933" s="4"/>
      <c r="J933" s="6">
        <v>15000</v>
      </c>
      <c r="K933" s="4">
        <f>[1]!РЕАЛИЗАЦИЯ[[#This Row],[СОНИ]]*[1]!РЕАЛИЗАЦИЯ[[#This Row],[ТАННАРХ]]</f>
        <v>0</v>
      </c>
      <c r="L933" s="7">
        <f>[1]!РЕАЛИЗАЦИЯ[[#This Row],[ЖАМИ]]-[1]!РЕАЛИЗАЦИЯ[[#This Row],[ЖАМИ2]]</f>
        <v>5130000</v>
      </c>
      <c r="O933" s="27">
        <v>46161</v>
      </c>
      <c r="P933" s="28" t="s">
        <v>4</v>
      </c>
      <c r="Q933" s="6">
        <v>1050000</v>
      </c>
      <c r="R933" s="6"/>
      <c r="S933" s="6"/>
      <c r="T933" s="29">
        <f>[1]!ПЛАТЕЖИ[[#This Row],[СЎМ]]+([1]!ПЛАТЕЖИ[[#This Row],[ВАЛЮТА]]*[1]!ПЛАТЕЖИ[[#This Row],[КУРС]])</f>
        <v>8864000</v>
      </c>
      <c r="U933" s="28"/>
      <c r="V933" s="28"/>
    </row>
    <row r="934" spans="2:22" x14ac:dyDescent="0.25">
      <c r="B934" s="8">
        <v>46159</v>
      </c>
      <c r="C934" s="9" t="s">
        <v>188</v>
      </c>
      <c r="D934" s="10" t="s">
        <v>10</v>
      </c>
      <c r="E934" s="10" t="s">
        <v>2</v>
      </c>
      <c r="F934" s="11">
        <v>96.9</v>
      </c>
      <c r="G934" s="11">
        <v>17000</v>
      </c>
      <c r="H934" s="12">
        <f>[1]!РЕАЛИЗАЦИЯ[СОНИ]*[1]!РЕАЛИЗАЦИЯ[НАРХИ]</f>
        <v>3049199.9999999995</v>
      </c>
      <c r="I934" s="11"/>
      <c r="J934" s="13">
        <v>15000</v>
      </c>
      <c r="K934" s="11">
        <f>[1]!РЕАЛИЗАЦИЯ[[#This Row],[СОНИ]]*[1]!РЕАЛИЗАЦИЯ[[#This Row],[ТАННАРХ]]</f>
        <v>0</v>
      </c>
      <c r="L934" s="14">
        <f>[1]!РЕАЛИЗАЦИЯ[[#This Row],[ЖАМИ]]-[1]!РЕАЛИЗАЦИЯ[[#This Row],[ЖАМИ2]]</f>
        <v>3049199.9999999995</v>
      </c>
      <c r="O934" s="30">
        <v>46161</v>
      </c>
      <c r="P934" s="31" t="s">
        <v>56</v>
      </c>
      <c r="Q934" s="13">
        <v>816000</v>
      </c>
      <c r="R934" s="13"/>
      <c r="S934" s="13"/>
      <c r="T934" s="32">
        <f>[1]!ПЛАТЕЖИ[[#This Row],[СЎМ]]+([1]!ПЛАТЕЖИ[[#This Row],[ВАЛЮТА]]*[1]!ПЛАТЕЖИ[[#This Row],[КУРС]])</f>
        <v>22400000</v>
      </c>
      <c r="U934" s="31"/>
      <c r="V934" s="31" t="s">
        <v>279</v>
      </c>
    </row>
    <row r="935" spans="2:22" x14ac:dyDescent="0.25">
      <c r="B935" s="1">
        <v>46159</v>
      </c>
      <c r="C935" s="2" t="s">
        <v>71</v>
      </c>
      <c r="D935" s="3" t="s">
        <v>1</v>
      </c>
      <c r="E935" s="3" t="s">
        <v>2</v>
      </c>
      <c r="F935" s="4">
        <v>113.2</v>
      </c>
      <c r="G935" s="4">
        <v>25000</v>
      </c>
      <c r="H935" s="5">
        <f>[1]!РЕАЛИЗАЦИЯ[СОНИ]*[1]!РЕАЛИЗАЦИЯ[НАРХИ]</f>
        <v>1284800</v>
      </c>
      <c r="I935" s="4"/>
      <c r="J935" s="6">
        <v>23000</v>
      </c>
      <c r="K935" s="4">
        <f>[1]!РЕАЛИЗАЦИЯ[[#This Row],[СОНИ]]*[1]!РЕАЛИЗАЦИЯ[[#This Row],[ТАННАРХ]]</f>
        <v>0</v>
      </c>
      <c r="L935" s="7">
        <f>[1]!РЕАЛИЗАЦИЯ[[#This Row],[ЖАМИ]]-[1]!РЕАЛИЗАЦИЯ[[#This Row],[ЖАМИ2]]</f>
        <v>1284800</v>
      </c>
      <c r="O935" s="27">
        <v>46161</v>
      </c>
      <c r="P935" s="28" t="s">
        <v>39</v>
      </c>
      <c r="Q935" s="6">
        <v>10000000</v>
      </c>
      <c r="R935" s="6"/>
      <c r="S935" s="6"/>
      <c r="T935" s="29">
        <f>[1]!ПЛАТЕЖИ[[#This Row],[СЎМ]]+([1]!ПЛАТЕЖИ[[#This Row],[ВАЛЮТА]]*[1]!ПЛАТЕЖИ[[#This Row],[КУРС]])</f>
        <v>1000000</v>
      </c>
      <c r="U935" s="28"/>
      <c r="V935" s="28" t="s">
        <v>275</v>
      </c>
    </row>
    <row r="936" spans="2:22" x14ac:dyDescent="0.25">
      <c r="B936" s="8">
        <v>46159</v>
      </c>
      <c r="C936" s="9" t="s">
        <v>27</v>
      </c>
      <c r="D936" s="10" t="s">
        <v>10</v>
      </c>
      <c r="E936" s="10" t="s">
        <v>2</v>
      </c>
      <c r="F936" s="11">
        <v>747.5</v>
      </c>
      <c r="G936" s="11">
        <v>16000</v>
      </c>
      <c r="H936" s="12">
        <f>[1]!РЕАЛИЗАЦИЯ[СОНИ]*[1]!РЕАЛИЗАЦИЯ[НАРХИ]</f>
        <v>1971900.0000000002</v>
      </c>
      <c r="I936" s="11"/>
      <c r="J936" s="13">
        <v>14000</v>
      </c>
      <c r="K936" s="11">
        <f>[1]!РЕАЛИЗАЦИЯ[[#This Row],[СОНИ]]*[1]!РЕАЛИЗАЦИЯ[[#This Row],[ТАННАРХ]]</f>
        <v>0</v>
      </c>
      <c r="L936" s="14">
        <f>[1]!РЕАЛИЗАЦИЯ[[#This Row],[ЖАМИ]]-[1]!РЕАЛИЗАЦИЯ[[#This Row],[ЖАМИ2]]</f>
        <v>1971900.0000000002</v>
      </c>
      <c r="O936" s="30">
        <v>46161</v>
      </c>
      <c r="P936" s="31" t="s">
        <v>59</v>
      </c>
      <c r="Q936" s="13">
        <v>500000</v>
      </c>
      <c r="R936" s="13"/>
      <c r="S936" s="13"/>
      <c r="T936" s="32">
        <f>[1]!ПЛАТЕЖИ[[#This Row],[СЎМ]]+([1]!ПЛАТЕЖИ[[#This Row],[ВАЛЮТА]]*[1]!ПЛАТЕЖИ[[#This Row],[КУРС]])</f>
        <v>2022000</v>
      </c>
      <c r="U936" s="31"/>
      <c r="V936" s="31"/>
    </row>
    <row r="937" spans="2:22" x14ac:dyDescent="0.25">
      <c r="B937" s="1">
        <v>46159</v>
      </c>
      <c r="C937" s="2" t="s">
        <v>68</v>
      </c>
      <c r="D937" s="3" t="s">
        <v>36</v>
      </c>
      <c r="E937" s="3" t="s">
        <v>2</v>
      </c>
      <c r="F937" s="4">
        <v>516.79999999999995</v>
      </c>
      <c r="G937" s="4">
        <v>19000</v>
      </c>
      <c r="H937" s="5">
        <f>[1]!РЕАЛИЗАЦИЯ[СОНИ]*[1]!РЕАЛИЗАЦИЯ[НАРХИ]</f>
        <v>1184400</v>
      </c>
      <c r="I937" s="4" t="s">
        <v>253</v>
      </c>
      <c r="J937" s="6">
        <v>17500</v>
      </c>
      <c r="K937" s="4">
        <f>[1]!РЕАЛИЗАЦИЯ[[#This Row],[СОНИ]]*[1]!РЕАЛИЗАЦИЯ[[#This Row],[ТАННАРХ]]</f>
        <v>0</v>
      </c>
      <c r="L937" s="7">
        <f>[1]!РЕАЛИЗАЦИЯ[[#This Row],[ЖАМИ]]-[1]!РЕАЛИЗАЦИЯ[[#This Row],[ЖАМИ2]]</f>
        <v>1184400</v>
      </c>
      <c r="O937" s="27">
        <v>46161</v>
      </c>
      <c r="P937" s="28" t="s">
        <v>89</v>
      </c>
      <c r="Q937" s="6">
        <v>1000000</v>
      </c>
      <c r="R937" s="6"/>
      <c r="S937" s="6"/>
      <c r="T937" s="29">
        <f>[1]!ПЛАТЕЖИ[[#This Row],[СЎМ]]+([1]!ПЛАТЕЖИ[[#This Row],[ВАЛЮТА]]*[1]!ПЛАТЕЖИ[[#This Row],[КУРС]])</f>
        <v>1030000</v>
      </c>
      <c r="U937" s="28"/>
      <c r="V937" s="28" t="s">
        <v>275</v>
      </c>
    </row>
    <row r="938" spans="2:22" x14ac:dyDescent="0.25">
      <c r="B938" s="8">
        <v>46160</v>
      </c>
      <c r="C938" s="9" t="s">
        <v>257</v>
      </c>
      <c r="D938" s="10" t="s">
        <v>1</v>
      </c>
      <c r="E938" s="10" t="s">
        <v>2</v>
      </c>
      <c r="F938" s="11">
        <v>52.5</v>
      </c>
      <c r="G938" s="11">
        <v>24500</v>
      </c>
      <c r="H938" s="12">
        <f>[1]!РЕАЛИЗАЦИЯ[СОНИ]*[1]!РЕАЛИЗАЦИЯ[НАРХИ]</f>
        <v>1012200.0000000001</v>
      </c>
      <c r="I938" s="11"/>
      <c r="J938" s="13">
        <v>23000</v>
      </c>
      <c r="K938" s="11">
        <f>[1]!РЕАЛИЗАЦИЯ[[#This Row],[СОНИ]]*[1]!РЕАЛИЗАЦИЯ[[#This Row],[ТАННАРХ]]</f>
        <v>0</v>
      </c>
      <c r="L938" s="14">
        <f>[1]!РЕАЛИЗАЦИЯ[[#This Row],[ЖАМИ]]-[1]!РЕАЛИЗАЦИЯ[[#This Row],[ЖАМИ2]]</f>
        <v>1012200.0000000001</v>
      </c>
      <c r="O938" s="30">
        <v>46161</v>
      </c>
      <c r="P938" s="31" t="s">
        <v>49</v>
      </c>
      <c r="Q938" s="13">
        <v>600000</v>
      </c>
      <c r="R938" s="13"/>
      <c r="S938" s="13"/>
      <c r="T938" s="32">
        <f>[1]!ПЛАТЕЖИ[[#This Row],[СЎМ]]+([1]!ПЛАТЕЖИ[[#This Row],[ВАЛЮТА]]*[1]!ПЛАТЕЖИ[[#This Row],[КУРС]])</f>
        <v>2158800</v>
      </c>
      <c r="U938" s="31"/>
      <c r="V938" s="31"/>
    </row>
    <row r="939" spans="2:22" x14ac:dyDescent="0.25">
      <c r="B939" s="1">
        <v>46160</v>
      </c>
      <c r="C939" s="2" t="s">
        <v>140</v>
      </c>
      <c r="D939" s="3" t="s">
        <v>1</v>
      </c>
      <c r="E939" s="3" t="s">
        <v>2</v>
      </c>
      <c r="F939" s="4">
        <v>48.8</v>
      </c>
      <c r="G939" s="4">
        <v>24000</v>
      </c>
      <c r="H939" s="5">
        <f>[1]!РЕАЛИЗАЦИЯ[СОНИ]*[1]!РЕАЛИЗАЦИЯ[НАРХИ]</f>
        <v>742400</v>
      </c>
      <c r="I939" s="4"/>
      <c r="J939" s="6">
        <v>23000</v>
      </c>
      <c r="K939" s="4">
        <f>[1]!РЕАЛИЗАЦИЯ[[#This Row],[СОНИ]]*[1]!РЕАЛИЗАЦИЯ[[#This Row],[ТАННАРХ]]</f>
        <v>0</v>
      </c>
      <c r="L939" s="7">
        <f>[1]!РЕАЛИЗАЦИЯ[[#This Row],[ЖАМИ]]-[1]!РЕАЛИЗАЦИЯ[[#This Row],[ЖАМИ2]]</f>
        <v>742400</v>
      </c>
      <c r="O939" s="27">
        <v>46161</v>
      </c>
      <c r="P939" s="28" t="s">
        <v>89</v>
      </c>
      <c r="Q939" s="6">
        <v>1053000</v>
      </c>
      <c r="R939" s="6"/>
      <c r="S939" s="6"/>
      <c r="T939" s="29">
        <f>[1]!ПЛАТЕЖИ[[#This Row],[СЎМ]]+([1]!ПЛАТЕЖИ[[#This Row],[ВАЛЮТА]]*[1]!ПЛАТЕЖИ[[#This Row],[КУРС]])</f>
        <v>1262000</v>
      </c>
      <c r="U939" s="28"/>
      <c r="V939" s="28" t="s">
        <v>275</v>
      </c>
    </row>
    <row r="940" spans="2:22" x14ac:dyDescent="0.25">
      <c r="B940" s="8">
        <v>46160</v>
      </c>
      <c r="C940" s="9" t="s">
        <v>140</v>
      </c>
      <c r="D940" s="10" t="s">
        <v>10</v>
      </c>
      <c r="E940" s="10" t="s">
        <v>2</v>
      </c>
      <c r="F940" s="11">
        <v>46.5</v>
      </c>
      <c r="G940" s="11">
        <v>16000</v>
      </c>
      <c r="H940" s="12">
        <f>[1]!РЕАЛИЗАЦИЯ[СОНИ]*[1]!РЕАЛИЗАЦИЯ[НАРХИ]</f>
        <v>689600</v>
      </c>
      <c r="I940" s="11"/>
      <c r="J940" s="13">
        <v>14000</v>
      </c>
      <c r="K940" s="11">
        <f>[1]!РЕАЛИЗАЦИЯ[[#This Row],[СОНИ]]*[1]!РЕАЛИЗАЦИЯ[[#This Row],[ТАННАРХ]]</f>
        <v>0</v>
      </c>
      <c r="L940" s="14">
        <f>[1]!РЕАЛИЗАЦИЯ[[#This Row],[ЖАМИ]]-[1]!РЕАЛИЗАЦИЯ[[#This Row],[ЖАМИ2]]</f>
        <v>689600</v>
      </c>
      <c r="O940" s="30">
        <v>46162</v>
      </c>
      <c r="P940" s="31" t="s">
        <v>258</v>
      </c>
      <c r="Q940" s="13">
        <v>2967500</v>
      </c>
      <c r="R940" s="13"/>
      <c r="S940" s="13"/>
      <c r="T940" s="32">
        <f>[1]!ПЛАТЕЖИ[[#This Row],[СЎМ]]+([1]!ПЛАТЕЖИ[[#This Row],[ВАЛЮТА]]*[1]!ПЛАТЕЖИ[[#This Row],[КУРС]])</f>
        <v>5692000</v>
      </c>
      <c r="U940" s="31"/>
      <c r="V940" s="31" t="s">
        <v>275</v>
      </c>
    </row>
    <row r="941" spans="2:22" x14ac:dyDescent="0.25">
      <c r="B941" s="1">
        <v>46160</v>
      </c>
      <c r="C941" s="2" t="s">
        <v>100</v>
      </c>
      <c r="D941" s="3" t="s">
        <v>10</v>
      </c>
      <c r="E941" s="3" t="s">
        <v>2</v>
      </c>
      <c r="F941" s="4">
        <v>45.9</v>
      </c>
      <c r="G941" s="4">
        <v>16000</v>
      </c>
      <c r="H941" s="5">
        <f>[1]!РЕАЛИЗАЦИЯ[СОНИ]*[1]!РЕАЛИЗАЦИЯ[НАРХИ]</f>
        <v>926100</v>
      </c>
      <c r="I941" s="4"/>
      <c r="J941" s="6">
        <v>14000</v>
      </c>
      <c r="K941" s="4">
        <f>[1]!РЕАЛИЗАЦИЯ[[#This Row],[СОНИ]]*[1]!РЕАЛИЗАЦИЯ[[#This Row],[ТАННАРХ]]</f>
        <v>0</v>
      </c>
      <c r="L941" s="7">
        <f>[1]!РЕАЛИЗАЦИЯ[[#This Row],[ЖАМИ]]-[1]!РЕАЛИЗАЦИЯ[[#This Row],[ЖАМИ2]]</f>
        <v>926100</v>
      </c>
      <c r="O941" s="27">
        <v>46162</v>
      </c>
      <c r="P941" s="28" t="s">
        <v>89</v>
      </c>
      <c r="Q941" s="6">
        <v>1108000</v>
      </c>
      <c r="R941" s="6"/>
      <c r="S941" s="6"/>
      <c r="T941" s="29">
        <f>[1]!ПЛАТЕЖИ[[#This Row],[СЎМ]]+([1]!ПЛАТЕЖИ[[#This Row],[ВАЛЮТА]]*[1]!ПЛАТЕЖИ[[#This Row],[КУРС]])</f>
        <v>900000</v>
      </c>
      <c r="U941" s="28"/>
      <c r="V941" s="28" t="s">
        <v>275</v>
      </c>
    </row>
    <row r="942" spans="2:22" x14ac:dyDescent="0.25">
      <c r="B942" s="8">
        <v>46160</v>
      </c>
      <c r="C942" s="9" t="s">
        <v>20</v>
      </c>
      <c r="D942" s="10" t="s">
        <v>1</v>
      </c>
      <c r="E942" s="10" t="s">
        <v>2</v>
      </c>
      <c r="F942" s="11">
        <v>50.3</v>
      </c>
      <c r="G942" s="11">
        <v>25000</v>
      </c>
      <c r="H942" s="12">
        <f>[1]!РЕАЛИЗАЦИЯ[СОНИ]*[1]!РЕАЛИЗАЦИЯ[НАРХИ]</f>
        <v>12854880</v>
      </c>
      <c r="I942" s="11"/>
      <c r="J942" s="13">
        <v>23000</v>
      </c>
      <c r="K942" s="11">
        <f>[1]!РЕАЛИЗАЦИЯ[[#This Row],[СОНИ]]*[1]!РЕАЛИЗАЦИЯ[[#This Row],[ТАННАРХ]]</f>
        <v>6619449600</v>
      </c>
      <c r="L942" s="14">
        <f>[1]!РЕАЛИЗАЦИЯ[[#This Row],[ЖАМИ]]-[1]!РЕАЛИЗАЦИЯ[[#This Row],[ЖАМИ2]]</f>
        <v>12854337.6</v>
      </c>
      <c r="O942" s="30">
        <v>46162</v>
      </c>
      <c r="P942" s="31" t="s">
        <v>19</v>
      </c>
      <c r="Q942" s="13">
        <v>1050000</v>
      </c>
      <c r="R942" s="13"/>
      <c r="S942" s="13"/>
      <c r="T942" s="32">
        <f>[1]!ПЛАТЕЖИ[[#This Row],[СЎМ]]+([1]!ПЛАТЕЖИ[[#This Row],[ВАЛЮТА]]*[1]!ПЛАТЕЖИ[[#This Row],[КУРС]])</f>
        <v>2766200</v>
      </c>
      <c r="U942" s="31"/>
      <c r="V942" s="31"/>
    </row>
    <row r="943" spans="2:22" x14ac:dyDescent="0.25">
      <c r="B943" s="1">
        <v>46160</v>
      </c>
      <c r="C943" s="2" t="s">
        <v>79</v>
      </c>
      <c r="D943" s="3" t="s">
        <v>29</v>
      </c>
      <c r="E943" s="3" t="s">
        <v>2</v>
      </c>
      <c r="F943" s="4">
        <v>209.3</v>
      </c>
      <c r="G943" s="4">
        <v>21000</v>
      </c>
      <c r="H943" s="5">
        <f>[1]!РЕАЛИЗАЦИЯ[СОНИ]*[1]!РЕАЛИЗАЦИЯ[НАРХИ]</f>
        <v>12804000</v>
      </c>
      <c r="I943" s="4"/>
      <c r="J943" s="6">
        <v>18000</v>
      </c>
      <c r="K943" s="4">
        <f>[1]!РЕАЛИЗАЦИЯ[[#This Row],[СОНИ]]*[1]!РЕАЛИЗАЦИЯ[[#This Row],[ТАННАРХ]]</f>
        <v>0</v>
      </c>
      <c r="L943" s="7">
        <f>[1]!РЕАЛИЗАЦИЯ[[#This Row],[ЖАМИ]]-[1]!РЕАЛИЗАЦИЯ[[#This Row],[ЖАМИ2]]</f>
        <v>12804000</v>
      </c>
      <c r="O943" s="27">
        <v>46162</v>
      </c>
      <c r="P943" s="28" t="s">
        <v>12</v>
      </c>
      <c r="Q943" s="6">
        <v>55172000</v>
      </c>
      <c r="R943" s="6"/>
      <c r="S943" s="6"/>
      <c r="T943" s="29">
        <f>[1]!ПЛАТЕЖИ[[#This Row],[СЎМ]]+([1]!ПЛАТЕЖИ[[#This Row],[ВАЛЮТА]]*[1]!ПЛАТЕЖИ[[#This Row],[КУРС]])</f>
        <v>854000</v>
      </c>
      <c r="U943" s="28"/>
      <c r="V943" s="28" t="s">
        <v>279</v>
      </c>
    </row>
    <row r="944" spans="2:22" x14ac:dyDescent="0.25">
      <c r="B944" s="8">
        <v>46160</v>
      </c>
      <c r="C944" s="9" t="s">
        <v>188</v>
      </c>
      <c r="D944" s="10" t="s">
        <v>1</v>
      </c>
      <c r="E944" s="10" t="s">
        <v>2</v>
      </c>
      <c r="F944" s="11">
        <v>99.2</v>
      </c>
      <c r="G944" s="11">
        <v>25000</v>
      </c>
      <c r="H944" s="12">
        <f>[1]!РЕАЛИЗАЦИЯ[СОНИ]*[1]!РЕАЛИЗАЦИЯ[НАРХИ]</f>
        <v>3576000</v>
      </c>
      <c r="I944" s="11"/>
      <c r="J944" s="13">
        <v>23000</v>
      </c>
      <c r="K944" s="11">
        <f>[1]!РЕАЛИЗАЦИЯ[[#This Row],[СОНИ]]*[1]!РЕАЛИЗАЦИЯ[[#This Row],[ТАННАРХ]]</f>
        <v>0</v>
      </c>
      <c r="L944" s="14">
        <f>[1]!РЕАЛИЗАЦИЯ[[#This Row],[ЖАМИ]]-[1]!РЕАЛИЗАЦИЯ[[#This Row],[ЖАМИ2]]</f>
        <v>3576000</v>
      </c>
      <c r="O944" s="30">
        <v>46162</v>
      </c>
      <c r="P944" s="31" t="s">
        <v>107</v>
      </c>
      <c r="Q944" s="13">
        <v>3603000</v>
      </c>
      <c r="R944" s="13"/>
      <c r="S944" s="13"/>
      <c r="T944" s="32">
        <f>[1]!ПЛАТЕЖИ[[#This Row],[СЎМ]]+([1]!ПЛАТЕЖИ[[#This Row],[ВАЛЮТА]]*[1]!ПЛАТЕЖИ[[#This Row],[КУРС]])</f>
        <v>9760400</v>
      </c>
      <c r="U944" s="31"/>
      <c r="V944" s="31" t="s">
        <v>279</v>
      </c>
    </row>
    <row r="945" spans="2:22" x14ac:dyDescent="0.25">
      <c r="B945" s="1">
        <v>46160</v>
      </c>
      <c r="C945" s="2" t="s">
        <v>202</v>
      </c>
      <c r="D945" s="3" t="s">
        <v>1</v>
      </c>
      <c r="E945" s="3" t="s">
        <v>2</v>
      </c>
      <c r="F945" s="4">
        <v>94.5</v>
      </c>
      <c r="G945" s="4">
        <v>24000</v>
      </c>
      <c r="H945" s="5">
        <f>[1]!РЕАЛИЗАЦИЯ[СОНИ]*[1]!РЕАЛИЗАЦИЯ[НАРХИ]</f>
        <v>-1146000</v>
      </c>
      <c r="I945" s="4"/>
      <c r="J945" s="6">
        <v>23000</v>
      </c>
      <c r="K945" s="4">
        <f>[1]!РЕАЛИЗАЦИЯ[[#This Row],[СОНИ]]*[1]!РЕАЛИЗАЦИЯ[[#This Row],[ТАННАРХ]]</f>
        <v>0</v>
      </c>
      <c r="L945" s="7">
        <f>[1]!РЕАЛИЗАЦИЯ[[#This Row],[ЖАМИ]]-[1]!РЕАЛИЗАЦИЯ[[#This Row],[ЖАМИ2]]</f>
        <v>-1146000</v>
      </c>
      <c r="O945" s="27">
        <v>46162</v>
      </c>
      <c r="P945" s="28" t="s">
        <v>53</v>
      </c>
      <c r="Q945" s="6">
        <v>10000000</v>
      </c>
      <c r="R945" s="6"/>
      <c r="S945" s="6"/>
      <c r="T945" s="29">
        <f>[1]!ПЛАТЕЖИ[[#This Row],[СЎМ]]+([1]!ПЛАТЕЖИ[[#This Row],[ВАЛЮТА]]*[1]!ПЛАТЕЖИ[[#This Row],[КУРС]])</f>
        <v>500000</v>
      </c>
      <c r="U945" s="28"/>
      <c r="V945" s="28" t="s">
        <v>279</v>
      </c>
    </row>
    <row r="946" spans="2:22" x14ac:dyDescent="0.25">
      <c r="B946" s="8">
        <v>46160</v>
      </c>
      <c r="C946" s="9" t="s">
        <v>12</v>
      </c>
      <c r="D946" s="10" t="s">
        <v>10</v>
      </c>
      <c r="E946" s="10" t="s">
        <v>2</v>
      </c>
      <c r="F946" s="11">
        <v>2122</v>
      </c>
      <c r="G946" s="11">
        <v>26000</v>
      </c>
      <c r="H946" s="12">
        <f>[1]!РЕАЛИЗАЦИЯ[СОНИ]*[1]!РЕАЛИЗАЦИЯ[НАРХИ]</f>
        <v>1802000</v>
      </c>
      <c r="I946" s="11">
        <v>315</v>
      </c>
      <c r="J946" s="13">
        <v>22000</v>
      </c>
      <c r="K946" s="11">
        <f>[1]!РЕАЛИЗАЦИЯ[[#This Row],[СОНИ]]*[1]!РЕАЛИЗАЦИЯ[[#This Row],[ТАННАРХ]]</f>
        <v>0</v>
      </c>
      <c r="L946" s="14">
        <f>[1]!РЕАЛИЗАЦИЯ[[#This Row],[ЖАМИ]]-[1]!РЕАЛИЗАЦИЯ[[#This Row],[ЖАМИ2]]</f>
        <v>1802000</v>
      </c>
      <c r="O946" s="30">
        <v>46162</v>
      </c>
      <c r="P946" s="31" t="s">
        <v>14</v>
      </c>
      <c r="Q946" s="13">
        <v>907600</v>
      </c>
      <c r="R946" s="13"/>
      <c r="S946" s="13"/>
      <c r="T946" s="32">
        <f>[1]!ПЛАТЕЖИ[[#This Row],[СЎМ]]+([1]!ПЛАТЕЖИ[[#This Row],[ВАЛЮТА]]*[1]!ПЛАТЕЖИ[[#This Row],[КУРС]])</f>
        <v>1138270</v>
      </c>
      <c r="U946" s="31"/>
      <c r="V946" s="31" t="s">
        <v>275</v>
      </c>
    </row>
    <row r="947" spans="2:22" x14ac:dyDescent="0.25">
      <c r="B947" s="1">
        <v>46160</v>
      </c>
      <c r="C947" s="2" t="s">
        <v>258</v>
      </c>
      <c r="D947" s="3" t="s">
        <v>1</v>
      </c>
      <c r="E947" s="3" t="s">
        <v>2</v>
      </c>
      <c r="F947" s="4">
        <v>126.7</v>
      </c>
      <c r="G947" s="4">
        <v>25000</v>
      </c>
      <c r="H947" s="5">
        <f>[1]!РЕАЛИЗАЦИЯ[СОНИ]*[1]!РЕАЛИЗАЦИЯ[НАРХИ]</f>
        <v>2846000</v>
      </c>
      <c r="I947" s="4"/>
      <c r="J947" s="6">
        <v>23000</v>
      </c>
      <c r="K947" s="4">
        <f>[1]!РЕАЛИЗАЦИЯ[[#This Row],[СОНИ]]*[1]!РЕАЛИЗАЦИЯ[[#This Row],[ТАННАРХ]]</f>
        <v>0</v>
      </c>
      <c r="L947" s="7">
        <f>[1]!РЕАЛИЗАЦИЯ[[#This Row],[ЖАМИ]]-[1]!РЕАЛИЗАЦИЯ[[#This Row],[ЖАМИ2]]</f>
        <v>2846000</v>
      </c>
      <c r="O947" s="27">
        <v>46162</v>
      </c>
      <c r="P947" s="28" t="s">
        <v>236</v>
      </c>
      <c r="Q947" s="6">
        <v>2103200</v>
      </c>
      <c r="R947" s="6"/>
      <c r="S947" s="6"/>
      <c r="T947" s="29">
        <f>[1]!ПЛАТЕЖИ[[#This Row],[СЎМ]]+([1]!ПЛАТЕЖИ[[#This Row],[ВАЛЮТА]]*[1]!ПЛАТЕЖИ[[#This Row],[КУРС]])</f>
        <v>872000</v>
      </c>
      <c r="U947" s="28"/>
      <c r="V947" s="28"/>
    </row>
    <row r="948" spans="2:22" x14ac:dyDescent="0.25">
      <c r="B948" s="8">
        <v>46160</v>
      </c>
      <c r="C948" s="9" t="s">
        <v>196</v>
      </c>
      <c r="D948" s="10" t="s">
        <v>10</v>
      </c>
      <c r="E948" s="10" t="s">
        <v>2</v>
      </c>
      <c r="F948" s="11">
        <v>48.6</v>
      </c>
      <c r="G948" s="11">
        <v>16000</v>
      </c>
      <c r="H948" s="12">
        <f>[1]!РЕАЛИЗАЦИЯ[СОНИ]*[1]!РЕАЛИЗАЦИЯ[НАРХИ]</f>
        <v>1963500</v>
      </c>
      <c r="I948" s="11"/>
      <c r="J948" s="13">
        <v>14000</v>
      </c>
      <c r="K948" s="11">
        <f>[1]!РЕАЛИЗАЦИЯ[[#This Row],[СОНИ]]*[1]!РЕАЛИЗАЦИЯ[[#This Row],[ТАННАРХ]]</f>
        <v>0</v>
      </c>
      <c r="L948" s="14">
        <f>[1]!РЕАЛИЗАЦИЯ[[#This Row],[ЖАМИ]]-[1]!РЕАЛИЗАЦИЯ[[#This Row],[ЖАМИ2]]</f>
        <v>1963500</v>
      </c>
      <c r="O948" s="30">
        <v>46162</v>
      </c>
      <c r="P948" s="31" t="s">
        <v>81</v>
      </c>
      <c r="Q948" s="13"/>
      <c r="R948" s="13">
        <v>100</v>
      </c>
      <c r="S948" s="13">
        <v>12000</v>
      </c>
      <c r="T948" s="32">
        <f>[1]!ПЛАТЕЖИ[[#This Row],[СЎМ]]+([1]!ПЛАТЕЖИ[[#This Row],[ВАЛЮТА]]*[1]!ПЛАТЕЖИ[[#This Row],[КУРС]])</f>
        <v>2108400</v>
      </c>
      <c r="U948" s="31"/>
      <c r="V948" s="31"/>
    </row>
    <row r="949" spans="2:22" x14ac:dyDescent="0.25">
      <c r="B949" s="1">
        <v>46160</v>
      </c>
      <c r="C949" s="2" t="s">
        <v>89</v>
      </c>
      <c r="D949" s="3" t="s">
        <v>10</v>
      </c>
      <c r="E949" s="3" t="s">
        <v>2</v>
      </c>
      <c r="F949" s="4">
        <v>2767.8</v>
      </c>
      <c r="G949" s="4">
        <v>14000</v>
      </c>
      <c r="H949" s="5">
        <f>[1]!РЕАЛИЗАЦИЯ[СОНИ]*[1]!РЕАЛИЗАЦИЯ[НАРХИ]</f>
        <v>1033200.0000000001</v>
      </c>
      <c r="I949" s="4" t="s">
        <v>259</v>
      </c>
      <c r="J949" s="6">
        <v>14000</v>
      </c>
      <c r="K949" s="4">
        <f>[1]!РЕАЛИЗАЦИЯ[[#This Row],[СОНИ]]*[1]!РЕАЛИЗАЦИЯ[[#This Row],[ТАННАРХ]]</f>
        <v>0</v>
      </c>
      <c r="L949" s="7">
        <f>[1]!РЕАЛИЗАЦИЯ[[#This Row],[ЖАМИ]]-[1]!РЕАЛИЗАЦИЯ[[#This Row],[ЖАМИ2]]</f>
        <v>1033200.0000000001</v>
      </c>
      <c r="O949" s="27">
        <v>46162</v>
      </c>
      <c r="P949" s="28" t="s">
        <v>96</v>
      </c>
      <c r="Q949" s="6">
        <v>500000</v>
      </c>
      <c r="R949" s="6"/>
      <c r="S949" s="6"/>
      <c r="T949" s="29">
        <f>[1]!ПЛАТЕЖИ[[#This Row],[СЎМ]]+([1]!ПЛАТЕЖИ[[#This Row],[ВАЛЮТА]]*[1]!ПЛАТЕЖИ[[#This Row],[КУРС]])</f>
        <v>600000</v>
      </c>
      <c r="U949" s="28"/>
      <c r="V949" s="28"/>
    </row>
    <row r="950" spans="2:22" x14ac:dyDescent="0.25">
      <c r="B950" s="8">
        <v>46161</v>
      </c>
      <c r="C950" s="9" t="s">
        <v>196</v>
      </c>
      <c r="D950" s="10" t="s">
        <v>10</v>
      </c>
      <c r="E950" s="10" t="s">
        <v>2</v>
      </c>
      <c r="F950" s="11">
        <v>49.3</v>
      </c>
      <c r="G950" s="11">
        <v>16000</v>
      </c>
      <c r="H950" s="12">
        <f>[1]!РЕАЛИЗАЦИЯ[СОНИ]*[1]!РЕАЛИЗАЦИЯ[НАРХИ]</f>
        <v>744000</v>
      </c>
      <c r="I950" s="11"/>
      <c r="J950" s="13">
        <v>14000</v>
      </c>
      <c r="K950" s="11">
        <f>[1]!РЕАЛИЗАЦИЯ[[#This Row],[СОНИ]]*[1]!РЕАЛИЗАЦИЯ[[#This Row],[ТАННАРХ]]</f>
        <v>0</v>
      </c>
      <c r="L950" s="14">
        <f>[1]!РЕАЛИЗАЦИЯ[[#This Row],[ЖАМИ]]-[1]!РЕАЛИЗАЦИЯ[[#This Row],[ЖАМИ2]]</f>
        <v>744000</v>
      </c>
      <c r="O950" s="30">
        <v>46162</v>
      </c>
      <c r="P950" s="31" t="s">
        <v>4</v>
      </c>
      <c r="Q950" s="13">
        <v>29400</v>
      </c>
      <c r="R950" s="13"/>
      <c r="S950" s="13"/>
      <c r="T950" s="32">
        <f>[1]!ПЛАТЕЖИ[[#This Row],[СЎМ]]+([1]!ПЛАТЕЖИ[[#This Row],[ВАЛЮТА]]*[1]!ПЛАТЕЖИ[[#This Row],[КУРС]])</f>
        <v>3507000</v>
      </c>
      <c r="U950" s="31"/>
      <c r="V950" s="31"/>
    </row>
    <row r="951" spans="2:22" x14ac:dyDescent="0.25">
      <c r="B951" s="1">
        <v>46161</v>
      </c>
      <c r="C951" s="2" t="s">
        <v>56</v>
      </c>
      <c r="D951" s="3" t="s">
        <v>10</v>
      </c>
      <c r="E951" s="3" t="s">
        <v>2</v>
      </c>
      <c r="F951" s="4">
        <v>51</v>
      </c>
      <c r="G951" s="4">
        <v>16000</v>
      </c>
      <c r="H951" s="5">
        <f>[1]!РЕАЛИЗАЦИЯ[СОНИ]*[1]!РЕАЛИЗАЦИЯ[НАРХИ]</f>
        <v>4899300</v>
      </c>
      <c r="I951" s="4"/>
      <c r="J951" s="6">
        <v>14000</v>
      </c>
      <c r="K951" s="4">
        <f>[1]!РЕАЛИЗАЦИЯ[[#This Row],[СОНИ]]*[1]!РЕАЛИЗАЦИЯ[[#This Row],[ТАННАРХ]]</f>
        <v>0</v>
      </c>
      <c r="L951" s="7">
        <f>[1]!РЕАЛИЗАЦИЯ[[#This Row],[ЖАМИ]]-[1]!РЕАЛИЗАЦИЯ[[#This Row],[ЖАМИ2]]</f>
        <v>4899300</v>
      </c>
      <c r="O951" s="27">
        <v>46162</v>
      </c>
      <c r="P951" s="28" t="s">
        <v>181</v>
      </c>
      <c r="Q951" s="6">
        <v>1000000</v>
      </c>
      <c r="R951" s="6"/>
      <c r="S951" s="6"/>
      <c r="T951" s="29">
        <f>[1]!ПЛАТЕЖИ[[#This Row],[СЎМ]]+([1]!ПЛАТЕЖИ[[#This Row],[ВАЛЮТА]]*[1]!ПЛАТЕЖИ[[#This Row],[КУРС]])</f>
        <v>11870400</v>
      </c>
      <c r="U951" s="28"/>
      <c r="V951" s="28" t="s">
        <v>279</v>
      </c>
    </row>
    <row r="952" spans="2:22" x14ac:dyDescent="0.25">
      <c r="B952" s="8">
        <v>46161</v>
      </c>
      <c r="C952" s="9" t="s">
        <v>19</v>
      </c>
      <c r="D952" s="10" t="s">
        <v>1</v>
      </c>
      <c r="E952" s="10" t="s">
        <v>2</v>
      </c>
      <c r="F952" s="11">
        <v>54.9</v>
      </c>
      <c r="G952" s="11">
        <v>25000</v>
      </c>
      <c r="H952" s="12">
        <f>[1]!РЕАЛИЗАЦИЯ[СОНИ]*[1]!РЕАЛИЗАЦИЯ[НАРХИ]</f>
        <v>1430400</v>
      </c>
      <c r="I952" s="11"/>
      <c r="J952" s="13">
        <v>23000</v>
      </c>
      <c r="K952" s="11">
        <f>[1]!РЕАЛИЗАЦИЯ[[#This Row],[СОНИ]]*[1]!РЕАЛИЗАЦИЯ[[#This Row],[ТАННАРХ]]</f>
        <v>0</v>
      </c>
      <c r="L952" s="14">
        <f>[1]!РЕАЛИЗАЦИЯ[[#This Row],[ЖАМИ]]-[1]!РЕАЛИЗАЦИЯ[[#This Row],[ЖАМИ2]]</f>
        <v>1430400</v>
      </c>
      <c r="O952" s="30">
        <v>46162</v>
      </c>
      <c r="P952" s="31" t="s">
        <v>159</v>
      </c>
      <c r="Q952" s="13">
        <v>1258200</v>
      </c>
      <c r="R952" s="13"/>
      <c r="S952" s="13"/>
      <c r="T952" s="32">
        <f>[1]!ПЛАТЕЖИ[[#This Row],[СЎМ]]+([1]!ПЛАТЕЖИ[[#This Row],[ВАЛЮТА]]*[1]!ПЛАТЕЖИ[[#This Row],[КУРС]])</f>
        <v>1077300</v>
      </c>
      <c r="U952" s="31"/>
      <c r="V952" s="31" t="s">
        <v>279</v>
      </c>
    </row>
    <row r="953" spans="2:22" x14ac:dyDescent="0.25">
      <c r="B953" s="1">
        <v>46161</v>
      </c>
      <c r="C953" s="2" t="s">
        <v>27</v>
      </c>
      <c r="D953" s="3" t="s">
        <v>1</v>
      </c>
      <c r="E953" s="3" t="s">
        <v>2</v>
      </c>
      <c r="F953" s="4">
        <v>1233.0999999999999</v>
      </c>
      <c r="G953" s="4">
        <v>24500</v>
      </c>
      <c r="H953" s="5">
        <f>[1]!РЕАЛИЗАЦИЯ[СОНИ]*[1]!РЕАЛИЗАЦИЯ[НАРХИ]</f>
        <v>2022300</v>
      </c>
      <c r="I953" s="4"/>
      <c r="J953" s="6">
        <v>23000</v>
      </c>
      <c r="K953" s="4">
        <f>[1]!РЕАЛИЗАЦИЯ[[#This Row],[СОНИ]]*[1]!РЕАЛИЗАЦИЯ[[#This Row],[ТАННАРХ]]</f>
        <v>0</v>
      </c>
      <c r="L953" s="7">
        <f>[1]!РЕАЛИЗАЦИЯ[[#This Row],[ЖАМИ]]-[1]!РЕАЛИЗАЦИЯ[[#This Row],[ЖАМИ2]]</f>
        <v>2022300</v>
      </c>
      <c r="O953" s="27">
        <v>46162</v>
      </c>
      <c r="P953" s="28" t="s">
        <v>7</v>
      </c>
      <c r="Q953" s="6">
        <v>35000000</v>
      </c>
      <c r="R953" s="6"/>
      <c r="S953" s="6"/>
      <c r="T953" s="29">
        <f>[1]!ПЛАТЕЖИ[[#This Row],[СЎМ]]+([1]!ПЛАТЕЖИ[[#This Row],[ВАЛЮТА]]*[1]!ПЛАТЕЖИ[[#This Row],[КУРС]])</f>
        <v>642000</v>
      </c>
      <c r="U953" s="28"/>
      <c r="V953" s="28" t="s">
        <v>279</v>
      </c>
    </row>
    <row r="954" spans="2:22" x14ac:dyDescent="0.25">
      <c r="B954" s="8">
        <v>46161</v>
      </c>
      <c r="C954" s="9" t="s">
        <v>73</v>
      </c>
      <c r="D954" s="10" t="s">
        <v>10</v>
      </c>
      <c r="E954" s="10" t="s">
        <v>2</v>
      </c>
      <c r="F954" s="11">
        <v>96</v>
      </c>
      <c r="G954" s="11">
        <v>16000</v>
      </c>
      <c r="H954" s="12">
        <f>[1]!РЕАЛИЗАЦИЯ[СОНИ]*[1]!РЕАЛИЗАЦИЯ[НАРХИ]</f>
        <v>3920699.9999999995</v>
      </c>
      <c r="I954" s="11"/>
      <c r="J954" s="13">
        <v>14000</v>
      </c>
      <c r="K954" s="11">
        <f>[1]!РЕАЛИЗАЦИЯ[[#This Row],[СОНИ]]*[1]!РЕАЛИЗАЦИЯ[[#This Row],[ТАННАРХ]]</f>
        <v>0</v>
      </c>
      <c r="L954" s="14">
        <f>[1]!РЕАЛИЗАЦИЯ[[#This Row],[ЖАМИ]]-[1]!РЕАЛИЗАЦИЯ[[#This Row],[ЖАМИ2]]</f>
        <v>3920699.9999999995</v>
      </c>
      <c r="O954" s="30">
        <v>46163</v>
      </c>
      <c r="P954" s="31" t="s">
        <v>39</v>
      </c>
      <c r="Q954" s="13"/>
      <c r="R954" s="13">
        <v>500</v>
      </c>
      <c r="S954" s="13">
        <v>12050</v>
      </c>
      <c r="T954" s="32">
        <f>[1]!ПЛАТЕЖИ[[#This Row],[СЎМ]]+([1]!ПЛАТЕЖИ[[#This Row],[ВАЛЮТА]]*[1]!ПЛАТЕЖИ[[#This Row],[КУРС]])</f>
        <v>902000</v>
      </c>
      <c r="U954" s="31"/>
      <c r="V954" s="31" t="s">
        <v>313</v>
      </c>
    </row>
    <row r="955" spans="2:22" x14ac:dyDescent="0.25">
      <c r="B955" s="1">
        <v>46161</v>
      </c>
      <c r="C955" s="2" t="s">
        <v>12</v>
      </c>
      <c r="D955" s="3" t="s">
        <v>16</v>
      </c>
      <c r="E955" s="3" t="s">
        <v>2</v>
      </c>
      <c r="F955" s="4">
        <v>963.6</v>
      </c>
      <c r="G955" s="4">
        <v>24000</v>
      </c>
      <c r="H955" s="5">
        <f>[1]!РЕАЛИЗАЦИЯ[СОНИ]*[1]!РЕАЛИЗАЦИЯ[НАРХИ]</f>
        <v>1460800</v>
      </c>
      <c r="I955" s="4">
        <v>6</v>
      </c>
      <c r="J955" s="6">
        <v>20000</v>
      </c>
      <c r="K955" s="4">
        <f>[1]!РЕАЛИЗАЦИЯ[[#This Row],[СОНИ]]*[1]!РЕАЛИЗАЦИЯ[[#This Row],[ТАННАРХ]]</f>
        <v>0</v>
      </c>
      <c r="L955" s="7">
        <f>[1]!РЕАЛИЗАЦИЯ[[#This Row],[ЖАМИ]]-[1]!РЕАЛИЗАЦИЯ[[#This Row],[ЖАМИ2]]</f>
        <v>1460800</v>
      </c>
      <c r="O955" s="27">
        <v>46163</v>
      </c>
      <c r="P955" s="28" t="s">
        <v>89</v>
      </c>
      <c r="Q955" s="6">
        <v>1752000</v>
      </c>
      <c r="R955" s="6"/>
      <c r="S955" s="6"/>
      <c r="T955" s="29">
        <f>[1]!ПЛАТЕЖИ[[#This Row],[СЎМ]]+([1]!ПЛАТЕЖИ[[#This Row],[ВАЛЮТА]]*[1]!ПЛАТЕЖИ[[#This Row],[КУРС]])</f>
        <v>2199650</v>
      </c>
      <c r="U955" s="28"/>
      <c r="V955" s="28" t="s">
        <v>275</v>
      </c>
    </row>
    <row r="956" spans="2:22" x14ac:dyDescent="0.25">
      <c r="B956" s="8">
        <v>46162</v>
      </c>
      <c r="C956" s="9" t="s">
        <v>204</v>
      </c>
      <c r="D956" s="10" t="s">
        <v>10</v>
      </c>
      <c r="E956" s="10" t="s">
        <v>2</v>
      </c>
      <c r="F956" s="11">
        <v>45.3</v>
      </c>
      <c r="G956" s="11">
        <v>16000</v>
      </c>
      <c r="H956" s="12">
        <f>[1]!РЕАЛИЗАЦИЯ[СОНИ]*[1]!РЕАЛИЗАЦИЯ[НАРХИ]</f>
        <v>2022300</v>
      </c>
      <c r="I956" s="11"/>
      <c r="J956" s="13">
        <v>14000</v>
      </c>
      <c r="K956" s="11">
        <f>[1]!РЕАЛИЗАЦИЯ[[#This Row],[СОНИ]]*[1]!РЕАЛИЗАЦИЯ[[#This Row],[ТАННАРХ]]</f>
        <v>0</v>
      </c>
      <c r="L956" s="14">
        <f>[1]!РЕАЛИЗАЦИЯ[[#This Row],[ЖАМИ]]-[1]!РЕАЛИЗАЦИЯ[[#This Row],[ЖАМИ2]]</f>
        <v>2022300</v>
      </c>
      <c r="O956" s="30">
        <v>46163</v>
      </c>
      <c r="P956" s="31" t="s">
        <v>117</v>
      </c>
      <c r="Q956" s="13">
        <v>2000000</v>
      </c>
      <c r="R956" s="13"/>
      <c r="S956" s="13"/>
      <c r="T956" s="32">
        <f>[1]!ПЛАТЕЖИ[[#This Row],[СЎМ]]+([1]!ПЛАТЕЖИ[[#This Row],[ВАЛЮТА]]*[1]!ПЛАТЕЖИ[[#This Row],[КУРС]])</f>
        <v>5000000</v>
      </c>
      <c r="U956" s="31"/>
      <c r="V956" s="31" t="s">
        <v>279</v>
      </c>
    </row>
    <row r="957" spans="2:22" x14ac:dyDescent="0.25">
      <c r="B957" s="1">
        <v>46162</v>
      </c>
      <c r="C957" s="2" t="s">
        <v>204</v>
      </c>
      <c r="D957" s="3" t="s">
        <v>1</v>
      </c>
      <c r="E957" s="3" t="s">
        <v>2</v>
      </c>
      <c r="F957" s="4">
        <v>44.2</v>
      </c>
      <c r="G957" s="4">
        <v>25000</v>
      </c>
      <c r="H957" s="5">
        <f>[1]!РЕАЛИЗАЦИЯ[СОНИ]*[1]!РЕАЛИЗАЦИЯ[НАРХИ]</f>
        <v>926600.00000000012</v>
      </c>
      <c r="I957" s="4"/>
      <c r="J957" s="6">
        <v>23000</v>
      </c>
      <c r="K957" s="4">
        <f>[1]!РЕАЛИЗАЦИЯ[[#This Row],[СОНИ]]*[1]!РЕАЛИЗАЦИЯ[[#This Row],[ТАННАРХ]]</f>
        <v>0</v>
      </c>
      <c r="L957" s="7">
        <f>[1]!РЕАЛИЗАЦИЯ[[#This Row],[ЖАМИ]]-[1]!РЕАЛИЗАЦИЯ[[#This Row],[ЖАМИ2]]</f>
        <v>926600.00000000012</v>
      </c>
      <c r="O957" s="27">
        <v>46163</v>
      </c>
      <c r="P957" s="28" t="s">
        <v>89</v>
      </c>
      <c r="Q957" s="6">
        <v>425000</v>
      </c>
      <c r="R957" s="6"/>
      <c r="S957" s="6"/>
      <c r="T957" s="29">
        <f>[1]!ПЛАТЕЖИ[[#This Row],[СЎМ]]+([1]!ПЛАТЕЖИ[[#This Row],[ВАЛЮТА]]*[1]!ПЛАТЕЖИ[[#This Row],[КУРС]])</f>
        <v>697600</v>
      </c>
      <c r="U957" s="28"/>
      <c r="V957" s="28" t="s">
        <v>275</v>
      </c>
    </row>
    <row r="958" spans="2:22" x14ac:dyDescent="0.25">
      <c r="B958" s="8">
        <v>46162</v>
      </c>
      <c r="C958" s="9" t="s">
        <v>19</v>
      </c>
      <c r="D958" s="10" t="s">
        <v>1</v>
      </c>
      <c r="E958" s="10" t="s">
        <v>2</v>
      </c>
      <c r="F958" s="11">
        <v>45.3</v>
      </c>
      <c r="G958" s="11">
        <v>25000</v>
      </c>
      <c r="H958" s="12">
        <f>[1]!РЕАЛИЗАЦИЯ[СОНИ]*[1]!РЕАЛИЗАЦИЯ[НАРХИ]</f>
        <v>3609900</v>
      </c>
      <c r="I958" s="11"/>
      <c r="J958" s="13">
        <v>23000</v>
      </c>
      <c r="K958" s="11">
        <f>[1]!РЕАЛИЗАЦИЯ[[#This Row],[СОНИ]]*[1]!РЕАЛИЗАЦИЯ[[#This Row],[ТАННАРХ]]</f>
        <v>0</v>
      </c>
      <c r="L958" s="14">
        <f>[1]!РЕАЛИЗАЦИЯ[[#This Row],[ЖАМИ]]-[1]!РЕАЛИЗАЦИЯ[[#This Row],[ЖАМИ2]]</f>
        <v>3609900</v>
      </c>
      <c r="O958" s="30">
        <v>46163</v>
      </c>
      <c r="P958" s="31" t="s">
        <v>239</v>
      </c>
      <c r="Q958" s="13">
        <v>1000000</v>
      </c>
      <c r="R958" s="13"/>
      <c r="S958" s="13"/>
      <c r="T958" s="32">
        <f>[1]!ПЛАТЕЖИ[[#This Row],[СЎМ]]+([1]!ПЛАТЕЖИ[[#This Row],[ВАЛЮТА]]*[1]!ПЛАТЕЖИ[[#This Row],[КУРС]])</f>
        <v>1034000</v>
      </c>
      <c r="U958" s="31"/>
      <c r="V958" s="31" t="s">
        <v>275</v>
      </c>
    </row>
    <row r="959" spans="2:22" x14ac:dyDescent="0.25">
      <c r="B959" s="1">
        <v>46162</v>
      </c>
      <c r="C959" s="2" t="s">
        <v>19</v>
      </c>
      <c r="D959" s="3" t="s">
        <v>260</v>
      </c>
      <c r="E959" s="3" t="s">
        <v>2</v>
      </c>
      <c r="F959" s="4">
        <v>42.6</v>
      </c>
      <c r="G959" s="4">
        <v>22500</v>
      </c>
      <c r="H959" s="5">
        <f>[1]!РЕАЛИЗАЦИЯ[СОНИ]*[1]!РЕАЛИЗАЦИЯ[НАРХИ]</f>
        <v>3368000</v>
      </c>
      <c r="I959" s="4"/>
      <c r="J959" s="6">
        <v>21000</v>
      </c>
      <c r="K959" s="4">
        <f>[1]!РЕАЛИЗАЦИЯ[[#This Row],[СОНИ]]*[1]!РЕАЛИЗАЦИЯ[[#This Row],[ТАННАРХ]]</f>
        <v>0</v>
      </c>
      <c r="L959" s="7">
        <f>[1]!РЕАЛИЗАЦИЯ[[#This Row],[ЖАМИ]]-[1]!РЕАЛИЗАЦИЯ[[#This Row],[ЖАМИ2]]</f>
        <v>3368000</v>
      </c>
      <c r="O959" s="27">
        <v>46163</v>
      </c>
      <c r="P959" s="28" t="s">
        <v>189</v>
      </c>
      <c r="Q959" s="6">
        <v>552500</v>
      </c>
      <c r="R959" s="6"/>
      <c r="S959" s="6"/>
      <c r="T959" s="29">
        <f>[1]!ПЛАТЕЖИ[[#This Row],[СЎМ]]+([1]!ПЛАТЕЖИ[[#This Row],[ВАЛЮТА]]*[1]!ПЛАТЕЖИ[[#This Row],[КУРС]])</f>
        <v>11400000</v>
      </c>
      <c r="U959" s="28"/>
      <c r="V959" s="28" t="s">
        <v>275</v>
      </c>
    </row>
    <row r="960" spans="2:22" x14ac:dyDescent="0.25">
      <c r="B960" s="8">
        <v>46162</v>
      </c>
      <c r="C960" s="9" t="s">
        <v>65</v>
      </c>
      <c r="D960" s="10" t="s">
        <v>8</v>
      </c>
      <c r="E960" s="10" t="s">
        <v>2</v>
      </c>
      <c r="F960" s="11">
        <v>661.5</v>
      </c>
      <c r="G960" s="11">
        <v>25000</v>
      </c>
      <c r="H960" s="12">
        <f>[1]!РЕАЛИЗАЦИЯ[СОНИ]*[1]!РЕАЛИЗАЦИЯ[НАРХИ]</f>
        <v>4807200</v>
      </c>
      <c r="I960" s="11"/>
      <c r="J960" s="13">
        <v>22000</v>
      </c>
      <c r="K960" s="11">
        <f>[1]!РЕАЛИЗАЦИЯ[[#This Row],[СОНИ]]*[1]!РЕАЛИЗАЦИЯ[[#This Row],[ТАННАРХ]]</f>
        <v>902702025</v>
      </c>
      <c r="L960" s="14">
        <f>[1]!РЕАЛИЗАЦИЯ[[#This Row],[ЖАМИ]]-[1]!РЕАЛИЗАЦИЯ[[#This Row],[ЖАМИ2]]</f>
        <v>4806999.7</v>
      </c>
      <c r="O960" s="30">
        <v>46163</v>
      </c>
      <c r="P960" s="31" t="s">
        <v>33</v>
      </c>
      <c r="Q960" s="13">
        <v>50000000</v>
      </c>
      <c r="R960" s="13"/>
      <c r="S960" s="13"/>
      <c r="T960" s="32">
        <f>[1]!ПЛАТЕЖИ[[#This Row],[СЎМ]]+([1]!ПЛАТЕЖИ[[#This Row],[ВАЛЮТА]]*[1]!ПЛАТЕЖИ[[#This Row],[КУРС]])</f>
        <v>399800</v>
      </c>
      <c r="U960" s="31"/>
      <c r="V960" s="31" t="s">
        <v>279</v>
      </c>
    </row>
    <row r="961" spans="2:22" x14ac:dyDescent="0.25">
      <c r="B961" s="1">
        <v>46162</v>
      </c>
      <c r="C961" s="2" t="s">
        <v>236</v>
      </c>
      <c r="D961" s="3" t="s">
        <v>10</v>
      </c>
      <c r="E961" s="3" t="s">
        <v>2</v>
      </c>
      <c r="F961" s="4">
        <v>51.2</v>
      </c>
      <c r="G961" s="4">
        <v>16000</v>
      </c>
      <c r="H961" s="5">
        <f>[1]!РЕАЛИЗАЦИЯ[СОНИ]*[1]!РЕАЛИЗАЦИЯ[НАРХИ]</f>
        <v>4040400</v>
      </c>
      <c r="I961" s="4"/>
      <c r="J961" s="6">
        <v>14000</v>
      </c>
      <c r="K961" s="4">
        <f>[1]!РЕАЛИЗАЦИЯ[[#This Row],[СОНИ]]*[1]!РЕАЛИЗАЦИЯ[[#This Row],[ТАННАРХ]]</f>
        <v>0</v>
      </c>
      <c r="L961" s="7">
        <f>[1]!РЕАЛИЗАЦИЯ[[#This Row],[ЖАМИ]]-[1]!РЕАЛИЗАЦИЯ[[#This Row],[ЖАМИ2]]</f>
        <v>4040400</v>
      </c>
      <c r="O961" s="27">
        <v>46163</v>
      </c>
      <c r="P961" s="28" t="s">
        <v>126</v>
      </c>
      <c r="Q961" s="6">
        <v>5050000</v>
      </c>
      <c r="R961" s="6"/>
      <c r="S961" s="6"/>
      <c r="T961" s="29">
        <f>[1]!ПЛАТЕЖИ[[#This Row],[СЎМ]]+([1]!ПЛАТЕЖИ[[#This Row],[ВАЛЮТА]]*[1]!ПЛАТЕЖИ[[#This Row],[КУРС]])</f>
        <v>2272000</v>
      </c>
      <c r="U961" s="28"/>
      <c r="V961" s="28"/>
    </row>
    <row r="962" spans="2:22" x14ac:dyDescent="0.25">
      <c r="B962" s="8">
        <v>46162</v>
      </c>
      <c r="C962" s="9" t="s">
        <v>236</v>
      </c>
      <c r="D962" s="10" t="s">
        <v>1</v>
      </c>
      <c r="E962" s="10" t="s">
        <v>2</v>
      </c>
      <c r="F962" s="11">
        <v>53.5</v>
      </c>
      <c r="G962" s="11">
        <v>24000</v>
      </c>
      <c r="H962" s="12">
        <f>[1]!РЕАЛИЗАЦИЯ[СОНИ]*[1]!РЕАЛИЗАЦИЯ[НАРХИ]</f>
        <v>1132800</v>
      </c>
      <c r="I962" s="11"/>
      <c r="J962" s="13">
        <v>23000</v>
      </c>
      <c r="K962" s="11">
        <f>[1]!РЕАЛИЗАЦИЯ[[#This Row],[СОНИ]]*[1]!РЕАЛИЗАЦИЯ[[#This Row],[ТАННАРХ]]</f>
        <v>0</v>
      </c>
      <c r="L962" s="14">
        <f>[1]!РЕАЛИЗАЦИЯ[[#This Row],[ЖАМИ]]-[1]!РЕАЛИЗАЦИЯ[[#This Row],[ЖАМИ2]]</f>
        <v>1132800</v>
      </c>
      <c r="O962" s="30">
        <v>46163</v>
      </c>
      <c r="P962" s="31" t="s">
        <v>202</v>
      </c>
      <c r="Q962" s="13">
        <v>6000000</v>
      </c>
      <c r="R962" s="13"/>
      <c r="S962" s="13"/>
      <c r="T962" s="32">
        <f>[1]!ПЛАТЕЖИ[[#This Row],[СЎМ]]+([1]!ПЛАТЕЖИ[[#This Row],[ВАЛЮТА]]*[1]!ПЛАТЕЖИ[[#This Row],[КУРС]])</f>
        <v>1007340</v>
      </c>
      <c r="U962" s="31"/>
      <c r="V962" s="31"/>
    </row>
    <row r="963" spans="2:22" x14ac:dyDescent="0.25">
      <c r="B963" s="1">
        <v>46162</v>
      </c>
      <c r="C963" s="2" t="s">
        <v>33</v>
      </c>
      <c r="D963" s="3" t="s">
        <v>10</v>
      </c>
      <c r="E963" s="3" t="s">
        <v>2</v>
      </c>
      <c r="F963" s="4">
        <v>500</v>
      </c>
      <c r="G963" s="4">
        <v>16000</v>
      </c>
      <c r="H963" s="5">
        <f>[1]!РЕАЛИЗАЦИЯ[СОНИ]*[1]!РЕАЛИЗАЦИЯ[НАРХИ]</f>
        <v>8077260.0000000009</v>
      </c>
      <c r="I963" s="4"/>
      <c r="J963" s="6">
        <v>14000</v>
      </c>
      <c r="K963" s="4">
        <f>[1]!РЕАЛИЗАЦИЯ[[#This Row],[СОНИ]]*[1]!РЕАЛИЗАЦИЯ[[#This Row],[ТАННАРХ]]</f>
        <v>0</v>
      </c>
      <c r="L963" s="7">
        <f>[1]!РЕАЛИЗАЦИЯ[[#This Row],[ЖАМИ]]-[1]!РЕАЛИЗАЦИЯ[[#This Row],[ЖАМИ2]]</f>
        <v>8077260.0000000009</v>
      </c>
      <c r="O963" s="27">
        <v>46163</v>
      </c>
      <c r="P963" s="28" t="s">
        <v>78</v>
      </c>
      <c r="Q963" s="6"/>
      <c r="R963" s="6">
        <v>1000</v>
      </c>
      <c r="S963" s="6">
        <v>12050</v>
      </c>
      <c r="T963" s="29">
        <f>[1]!ПЛАТЕЖИ[[#This Row],[СЎМ]]+([1]!ПЛАТЕЖИ[[#This Row],[ВАЛЮТА]]*[1]!ПЛАТЕЖИ[[#This Row],[КУРС]])</f>
        <v>4090000</v>
      </c>
      <c r="U963" s="28"/>
      <c r="V963" s="28"/>
    </row>
    <row r="964" spans="2:22" x14ac:dyDescent="0.25">
      <c r="B964" s="8">
        <v>46162</v>
      </c>
      <c r="C964" s="9" t="s">
        <v>33</v>
      </c>
      <c r="D964" s="10" t="s">
        <v>10</v>
      </c>
      <c r="E964" s="10" t="s">
        <v>2</v>
      </c>
      <c r="F964" s="11">
        <v>437.4</v>
      </c>
      <c r="G964" s="11">
        <v>16000</v>
      </c>
      <c r="H964" s="12">
        <f>[1]!РЕАЛИЗАЦИЯ[СОНИ]*[1]!РЕАЛИЗАЦИЯ[НАРХИ]</f>
        <v>24133900</v>
      </c>
      <c r="I964" s="11"/>
      <c r="J964" s="13">
        <v>14000</v>
      </c>
      <c r="K964" s="11">
        <f>[1]!РЕАЛИЗАЦИЯ[[#This Row],[СОНИ]]*[1]!РЕАЛИЗАЦИЯ[[#This Row],[ТАННАРХ]]</f>
        <v>0</v>
      </c>
      <c r="L964" s="14">
        <f>[1]!РЕАЛИЗАЦИЯ[[#This Row],[ЖАМИ]]-[1]!РЕАЛИЗАЦИЯ[[#This Row],[ЖАМИ2]]</f>
        <v>24133900</v>
      </c>
      <c r="O964" s="30">
        <v>46164</v>
      </c>
      <c r="P964" s="31" t="s">
        <v>108</v>
      </c>
      <c r="Q964" s="13">
        <v>1550000</v>
      </c>
      <c r="R964" s="13"/>
      <c r="S964" s="13"/>
      <c r="T964" s="32">
        <f>[1]!ПЛАТЕЖИ[[#This Row],[СЎМ]]+([1]!ПЛАТЕЖИ[[#This Row],[ВАЛЮТА]]*[1]!ПЛАТЕЖИ[[#This Row],[КУРС]])</f>
        <v>965000</v>
      </c>
      <c r="U964" s="31"/>
      <c r="V964" s="31" t="s">
        <v>275</v>
      </c>
    </row>
    <row r="965" spans="2:22" x14ac:dyDescent="0.25">
      <c r="B965" s="1">
        <v>46163</v>
      </c>
      <c r="C965" s="2" t="s">
        <v>12</v>
      </c>
      <c r="D965" s="3" t="s">
        <v>16</v>
      </c>
      <c r="E965" s="3" t="s">
        <v>2</v>
      </c>
      <c r="F965" s="4">
        <v>1597.8</v>
      </c>
      <c r="G965" s="4">
        <v>30000</v>
      </c>
      <c r="H965" s="5">
        <f>[1]!РЕАЛИЗАЦИЯ[СОНИ]*[1]!РЕАЛИЗАЦИЯ[НАРХИ]</f>
        <v>1222095</v>
      </c>
      <c r="I965" s="4">
        <v>351</v>
      </c>
      <c r="J965" s="6">
        <v>25000</v>
      </c>
      <c r="K965" s="4">
        <f>[1]!РЕАЛИЗАЦИЯ[[#This Row],[СОНИ]]*[1]!РЕАЛИЗАЦИЯ[[#This Row],[ТАННАРХ]]</f>
        <v>0</v>
      </c>
      <c r="L965" s="7">
        <f>[1]!РЕАЛИЗАЦИЯ[[#This Row],[ЖАМИ]]-[1]!РЕАЛИЗАЦИЯ[[#This Row],[ЖАМИ2]]</f>
        <v>1222095</v>
      </c>
      <c r="O965" s="27">
        <v>46164</v>
      </c>
      <c r="P965" s="28" t="s">
        <v>60</v>
      </c>
      <c r="Q965" s="6">
        <v>10000000</v>
      </c>
      <c r="R965" s="6"/>
      <c r="S965" s="6"/>
      <c r="T965" s="29">
        <f>[1]!ПЛАТЕЖИ[[#This Row],[СЎМ]]+([1]!ПЛАТЕЖИ[[#This Row],[ВАЛЮТА]]*[1]!ПЛАТЕЖИ[[#This Row],[КУРС]])</f>
        <v>2070600</v>
      </c>
      <c r="U965" s="28"/>
      <c r="V965" s="28" t="s">
        <v>275</v>
      </c>
    </row>
    <row r="966" spans="2:22" x14ac:dyDescent="0.25">
      <c r="B966" s="8">
        <v>46163</v>
      </c>
      <c r="C966" s="9" t="s">
        <v>122</v>
      </c>
      <c r="D966" s="10" t="s">
        <v>1</v>
      </c>
      <c r="E966" s="10" t="s">
        <v>2</v>
      </c>
      <c r="F966" s="11">
        <v>300.7</v>
      </c>
      <c r="G966" s="11">
        <v>25000</v>
      </c>
      <c r="H966" s="12">
        <f>[1]!РЕАЛИЗАЦИЯ[СОНИ]*[1]!РЕАЛИЗАЦИЯ[НАРХИ]</f>
        <v>-1150050</v>
      </c>
      <c r="I966" s="11"/>
      <c r="J966" s="13">
        <v>23000</v>
      </c>
      <c r="K966" s="11">
        <f>[1]!РЕАЛИЗАЦИЯ[[#This Row],[СОНИ]]*[1]!РЕАЛИЗАЦИЯ[[#This Row],[ТАННАРХ]]</f>
        <v>0</v>
      </c>
      <c r="L966" s="14">
        <f>[1]!РЕАЛИЗАЦИЯ[[#This Row],[ЖАМИ]]-[1]!РЕАЛИЗАЦИЯ[[#This Row],[ЖАМИ2]]</f>
        <v>-1150050</v>
      </c>
      <c r="O966" s="30">
        <v>46164</v>
      </c>
      <c r="P966" s="31" t="s">
        <v>196</v>
      </c>
      <c r="Q966" s="13">
        <v>788800</v>
      </c>
      <c r="R966" s="13"/>
      <c r="S966" s="13"/>
      <c r="T966" s="32">
        <f>[1]!ПЛАТЕЖИ[[#This Row],[СЎМ]]+([1]!ПЛАТЕЖИ[[#This Row],[ВАЛЮТА]]*[1]!ПЛАТЕЖИ[[#This Row],[КУРС]])</f>
        <v>3244400</v>
      </c>
      <c r="U966" s="31"/>
      <c r="V966" s="31" t="s">
        <v>275</v>
      </c>
    </row>
    <row r="967" spans="2:22" x14ac:dyDescent="0.25">
      <c r="B967" s="1">
        <v>46163</v>
      </c>
      <c r="C967" s="2" t="s">
        <v>9</v>
      </c>
      <c r="D967" s="3" t="s">
        <v>25</v>
      </c>
      <c r="E967" s="3" t="s">
        <v>2</v>
      </c>
      <c r="F967" s="4">
        <v>426.7</v>
      </c>
      <c r="G967" s="4">
        <v>29000</v>
      </c>
      <c r="H967" s="5">
        <f>[1]!РЕАЛИЗАЦИЯ[СОНИ]*[1]!РЕАЛИЗАЦИЯ[НАРХИ]</f>
        <v>1035299.9999999999</v>
      </c>
      <c r="I967" s="4"/>
      <c r="J967" s="6">
        <v>26000</v>
      </c>
      <c r="K967" s="4">
        <f>[1]!РЕАЛИЗАЦИЯ[[#This Row],[СОНИ]]*[1]!РЕАЛИЗАЦИЯ[[#This Row],[ТАННАРХ]]</f>
        <v>0</v>
      </c>
      <c r="L967" s="7">
        <f>[1]!РЕАЛИЗАЦИЯ[[#This Row],[ЖАМИ]]-[1]!РЕАЛИЗАЦИЯ[[#This Row],[ЖАМИ2]]</f>
        <v>1035299.9999999999</v>
      </c>
      <c r="O967" s="27">
        <v>46164</v>
      </c>
      <c r="P967" s="28" t="s">
        <v>59</v>
      </c>
      <c r="Q967" s="6">
        <v>899300</v>
      </c>
      <c r="R967" s="6"/>
      <c r="S967" s="6"/>
      <c r="T967" s="29">
        <f>[1]!ПЛАТЕЖИ[[#This Row],[СЎМ]]+([1]!ПЛАТЕЖИ[[#This Row],[ВАЛЮТА]]*[1]!ПЛАТЕЖИ[[#This Row],[КУРС]])</f>
        <v>880000</v>
      </c>
      <c r="U967" s="28"/>
      <c r="V967" s="28"/>
    </row>
    <row r="968" spans="2:22" x14ac:dyDescent="0.25">
      <c r="B968" s="8">
        <v>46163</v>
      </c>
      <c r="C968" s="9" t="s">
        <v>261</v>
      </c>
      <c r="D968" s="10" t="s">
        <v>1</v>
      </c>
      <c r="E968" s="10" t="s">
        <v>2</v>
      </c>
      <c r="F968" s="11">
        <v>42</v>
      </c>
      <c r="G968" s="11">
        <v>25000</v>
      </c>
      <c r="H968" s="12">
        <f>[1]!РЕАЛИЗАЦИЯ[СОНИ]*[1]!РЕАЛИЗАЦИЯ[НАРХИ]</f>
        <v>2016000</v>
      </c>
      <c r="I968" s="11"/>
      <c r="J968" s="13">
        <v>23000</v>
      </c>
      <c r="K968" s="11">
        <f>[1]!РЕАЛИЗАЦИЯ[[#This Row],[СОНИ]]*[1]!РЕАЛИЗАЦИЯ[[#This Row],[ТАННАРХ]]</f>
        <v>0</v>
      </c>
      <c r="L968" s="14">
        <f>[1]!РЕАЛИЗАЦИЯ[[#This Row],[ЖАМИ]]-[1]!РЕАЛИЗАЦИЯ[[#This Row],[ЖАМИ2]]</f>
        <v>2016000</v>
      </c>
      <c r="O968" s="30">
        <v>46164</v>
      </c>
      <c r="P968" s="31" t="s">
        <v>48</v>
      </c>
      <c r="Q968" s="13">
        <v>10000000</v>
      </c>
      <c r="R968" s="13"/>
      <c r="S968" s="13"/>
      <c r="T968" s="32">
        <f>[1]!ПЛАТЕЖИ[[#This Row],[СЎМ]]+([1]!ПЛАТЕЖИ[[#This Row],[ВАЛЮТА]]*[1]!ПЛАТЕЖИ[[#This Row],[КУРС]])</f>
        <v>8215000</v>
      </c>
      <c r="U968" s="31"/>
      <c r="V968" s="31"/>
    </row>
    <row r="969" spans="2:22" x14ac:dyDescent="0.25">
      <c r="B969" s="1">
        <v>46163</v>
      </c>
      <c r="C969" s="2" t="s">
        <v>33</v>
      </c>
      <c r="D969" s="3" t="s">
        <v>10</v>
      </c>
      <c r="E969" s="3" t="s">
        <v>2</v>
      </c>
      <c r="F969" s="4">
        <v>1294.5999999999999</v>
      </c>
      <c r="G969" s="4">
        <v>16000</v>
      </c>
      <c r="H969" s="5">
        <f>[1]!РЕАЛИЗАЦИЯ[СОНИ]*[1]!РЕАЛИЗАЦИЯ[НАРХИ]</f>
        <v>950400</v>
      </c>
      <c r="I969" s="4"/>
      <c r="J969" s="6">
        <v>14000</v>
      </c>
      <c r="K969" s="4">
        <f>[1]!РЕАЛИЗАЦИЯ[[#This Row],[СОНИ]]*[1]!РЕАЛИЗАЦИЯ[[#This Row],[ТАННАРХ]]</f>
        <v>0</v>
      </c>
      <c r="L969" s="7">
        <f>[1]!РЕАЛИЗАЦИЯ[[#This Row],[ЖАМИ]]-[1]!РЕАЛИЗАЦИЯ[[#This Row],[ЖАМИ2]]</f>
        <v>950400</v>
      </c>
      <c r="O969" s="27">
        <v>46164</v>
      </c>
      <c r="P969" s="28" t="s">
        <v>108</v>
      </c>
      <c r="Q969" s="6">
        <v>882500</v>
      </c>
      <c r="R969" s="6"/>
      <c r="S969" s="6"/>
      <c r="T969" s="29">
        <f>[1]!ПЛАТЕЖИ[[#This Row],[СЎМ]]+([1]!ПЛАТЕЖИ[[#This Row],[ВАЛЮТА]]*[1]!ПЛАТЕЖИ[[#This Row],[КУРС]])</f>
        <v>1228500</v>
      </c>
      <c r="U969" s="28"/>
      <c r="V969" s="28"/>
    </row>
    <row r="970" spans="2:22" x14ac:dyDescent="0.25">
      <c r="B970" s="8">
        <v>46163</v>
      </c>
      <c r="C970" s="9" t="s">
        <v>107</v>
      </c>
      <c r="D970" s="10" t="s">
        <v>10</v>
      </c>
      <c r="E970" s="10" t="s">
        <v>2</v>
      </c>
      <c r="F970" s="11">
        <v>52.3</v>
      </c>
      <c r="G970" s="11">
        <v>16000</v>
      </c>
      <c r="H970" s="12">
        <f>[1]!РЕАЛИЗАЦИЯ[СОНИ]*[1]!РЕАЛИЗАЦИЯ[НАРХИ]</f>
        <v>5619600.0000000009</v>
      </c>
      <c r="I970" s="11"/>
      <c r="J970" s="13">
        <v>14000</v>
      </c>
      <c r="K970" s="11">
        <f>[1]!РЕАЛИЗАЦИЯ[[#This Row],[СОНИ]]*[1]!РЕАЛИЗАЦИЯ[[#This Row],[ТАННАРХ]]</f>
        <v>0</v>
      </c>
      <c r="L970" s="14">
        <f>[1]!РЕАЛИЗАЦИЯ[[#This Row],[ЖАМИ]]-[1]!РЕАЛИЗАЦИЯ[[#This Row],[ЖАМИ2]]</f>
        <v>5619600.0000000009</v>
      </c>
      <c r="O970" s="30">
        <v>46164</v>
      </c>
      <c r="P970" s="31" t="s">
        <v>142</v>
      </c>
      <c r="Q970" s="13">
        <v>3491000</v>
      </c>
      <c r="R970" s="13"/>
      <c r="S970" s="13"/>
      <c r="T970" s="32">
        <f>[1]!ПЛАТЕЖИ[[#This Row],[СЎМ]]+([1]!ПЛАТЕЖИ[[#This Row],[ВАЛЮТА]]*[1]!ПЛАТЕЖИ[[#This Row],[КУРС]])</f>
        <v>3000000</v>
      </c>
      <c r="U970" s="31"/>
      <c r="V970" s="31" t="s">
        <v>287</v>
      </c>
    </row>
    <row r="971" spans="2:22" x14ac:dyDescent="0.25">
      <c r="B971" s="1">
        <v>46163</v>
      </c>
      <c r="C971" s="2" t="s">
        <v>27</v>
      </c>
      <c r="D971" s="3" t="s">
        <v>10</v>
      </c>
      <c r="E971" s="3" t="s">
        <v>2</v>
      </c>
      <c r="F971" s="4">
        <v>481.8</v>
      </c>
      <c r="G971" s="4">
        <v>16000</v>
      </c>
      <c r="H971" s="5">
        <f>[1]!РЕАЛИЗАЦИЯ[СОНИ]*[1]!РЕАЛИЗАЦИЯ[НАРХИ]</f>
        <v>2083200</v>
      </c>
      <c r="I971" s="4"/>
      <c r="J971" s="6">
        <v>14000</v>
      </c>
      <c r="K971" s="4">
        <f>[1]!РЕАЛИЗАЦИЯ[[#This Row],[СОНИ]]*[1]!РЕАЛИЗАЦИЯ[[#This Row],[ТАННАРХ]]</f>
        <v>0</v>
      </c>
      <c r="L971" s="7">
        <f>[1]!РЕАЛИЗАЦИЯ[[#This Row],[ЖАМИ]]-[1]!РЕАЛИЗАЦИЯ[[#This Row],[ЖАМИ2]]</f>
        <v>2083200</v>
      </c>
      <c r="O971" s="27">
        <v>46164</v>
      </c>
      <c r="P971" s="28" t="s">
        <v>65</v>
      </c>
      <c r="Q971" s="6">
        <v>10000000</v>
      </c>
      <c r="R971" s="6"/>
      <c r="S971" s="6"/>
      <c r="T971" s="29">
        <f>[1]!ПЛАТЕЖИ[[#This Row],[СЎМ]]+([1]!ПЛАТЕЖИ[[#This Row],[ВАЛЮТА]]*[1]!ПЛАТЕЖИ[[#This Row],[КУРС]])</f>
        <v>2422000</v>
      </c>
      <c r="U971" s="28"/>
      <c r="V971" s="28" t="s">
        <v>287</v>
      </c>
    </row>
    <row r="972" spans="2:22" x14ac:dyDescent="0.25">
      <c r="B972" s="8">
        <v>46163</v>
      </c>
      <c r="C972" s="9" t="s">
        <v>78</v>
      </c>
      <c r="D972" s="10" t="s">
        <v>29</v>
      </c>
      <c r="E972" s="10" t="s">
        <v>2</v>
      </c>
      <c r="F972" s="11">
        <v>231.6</v>
      </c>
      <c r="G972" s="11">
        <v>20000</v>
      </c>
      <c r="H972" s="12">
        <f>[1]!РЕАЛИЗАЦИЯ[СОНИ]*[1]!РЕАЛИЗАЦИЯ[НАРХИ]</f>
        <v>3187800.0000000005</v>
      </c>
      <c r="I972" s="11"/>
      <c r="J972" s="13">
        <v>18000</v>
      </c>
      <c r="K972" s="11">
        <f>[1]!РЕАЛИЗАЦИЯ[[#This Row],[СОНИ]]*[1]!РЕАЛИЗАЦИЯ[[#This Row],[ТАННАРХ]]</f>
        <v>0</v>
      </c>
      <c r="L972" s="14">
        <f>[1]!РЕАЛИЗАЦИЯ[[#This Row],[ЖАМИ]]-[1]!РЕАЛИЗАЦИЯ[[#This Row],[ЖАМИ2]]</f>
        <v>3187800.0000000005</v>
      </c>
      <c r="O972" s="30">
        <v>46164</v>
      </c>
      <c r="P972" s="31" t="s">
        <v>63</v>
      </c>
      <c r="Q972" s="13">
        <v>943000</v>
      </c>
      <c r="R972" s="13"/>
      <c r="S972" s="13"/>
      <c r="T972" s="32">
        <f>[1]!ПЛАТЕЖИ[[#This Row],[СЎМ]]+([1]!ПЛАТЕЖИ[[#This Row],[ВАЛЮТА]]*[1]!ПЛАТЕЖИ[[#This Row],[КУРС]])</f>
        <v>4047800</v>
      </c>
      <c r="U972" s="31"/>
      <c r="V972" s="31"/>
    </row>
    <row r="973" spans="2:22" x14ac:dyDescent="0.25">
      <c r="B973" s="1">
        <v>46163</v>
      </c>
      <c r="C973" s="2" t="s">
        <v>78</v>
      </c>
      <c r="D973" s="3" t="s">
        <v>8</v>
      </c>
      <c r="E973" s="3" t="s">
        <v>2</v>
      </c>
      <c r="F973" s="4">
        <v>223.8</v>
      </c>
      <c r="G973" s="4">
        <v>24000</v>
      </c>
      <c r="H973" s="5">
        <f>[1]!РЕАЛИЗАЦИЯ[СОНИ]*[1]!РЕАЛИЗАЦИЯ[НАРХИ]</f>
        <v>1491200</v>
      </c>
      <c r="I973" s="4"/>
      <c r="J973" s="6">
        <v>22000</v>
      </c>
      <c r="K973" s="4">
        <f>[1]!РЕАЛИЗАЦИЯ[[#This Row],[СОНИ]]*[1]!РЕАЛИЗАЦИЯ[[#This Row],[ТАННАРХ]]</f>
        <v>0</v>
      </c>
      <c r="L973" s="7">
        <f>[1]!РЕАЛИЗАЦИЯ[[#This Row],[ЖАМИ]]-[1]!РЕАЛИЗАЦИЯ[[#This Row],[ЖАМИ2]]</f>
        <v>1491200</v>
      </c>
      <c r="O973" s="27">
        <v>46164</v>
      </c>
      <c r="P973" s="28" t="s">
        <v>190</v>
      </c>
      <c r="Q973" s="6">
        <v>1257300</v>
      </c>
      <c r="R973" s="6"/>
      <c r="S973" s="6"/>
      <c r="T973" s="29">
        <f>[1]!ПЛАТЕЖИ[[#This Row],[СЎМ]]+([1]!ПЛАТЕЖИ[[#This Row],[ВАЛЮТА]]*[1]!ПЛАТЕЖИ[[#This Row],[КУРС]])</f>
        <v>1066000</v>
      </c>
      <c r="U973" s="28"/>
      <c r="V973" s="28"/>
    </row>
    <row r="974" spans="2:22" x14ac:dyDescent="0.25">
      <c r="B974" s="8">
        <v>46163</v>
      </c>
      <c r="C974" s="9" t="s">
        <v>129</v>
      </c>
      <c r="D974" s="10" t="s">
        <v>36</v>
      </c>
      <c r="E974" s="10" t="s">
        <v>2</v>
      </c>
      <c r="F974" s="11">
        <v>210.4</v>
      </c>
      <c r="G974" s="11">
        <v>19500</v>
      </c>
      <c r="H974" s="12">
        <f>[1]!РЕАЛИЗАЦИЯ[СОНИ]*[1]!РЕАЛИЗАЦИЯ[НАРХИ]</f>
        <v>1035299.9999999999</v>
      </c>
      <c r="I974" s="11"/>
      <c r="J974" s="13">
        <v>18000</v>
      </c>
      <c r="K974" s="11">
        <f>[1]!РЕАЛИЗАЦИЯ[[#This Row],[СОНИ]]*[1]!РЕАЛИЗАЦИЯ[[#This Row],[ТАННАРХ]]</f>
        <v>0</v>
      </c>
      <c r="L974" s="14">
        <f>[1]!РЕАЛИЗАЦИЯ[[#This Row],[ЖАМИ]]-[1]!РЕАЛИЗАЦИЯ[[#This Row],[ЖАМИ2]]</f>
        <v>1035299.9999999999</v>
      </c>
      <c r="O974" s="30">
        <v>46164</v>
      </c>
      <c r="P974" s="31" t="s">
        <v>220</v>
      </c>
      <c r="Q974" s="13">
        <v>1000000</v>
      </c>
      <c r="R974" s="13"/>
      <c r="S974" s="13"/>
      <c r="T974" s="32">
        <f>[1]!ПЛАТЕЖИ[[#This Row],[СЎМ]]+([1]!ПЛАТЕЖИ[[#This Row],[ВАЛЮТА]]*[1]!ПЛАТЕЖИ[[#This Row],[КУРС]])</f>
        <v>1178100</v>
      </c>
      <c r="U974" s="31"/>
      <c r="V974" s="31"/>
    </row>
    <row r="975" spans="2:22" x14ac:dyDescent="0.25">
      <c r="B975" s="1">
        <v>46163</v>
      </c>
      <c r="C975" s="2" t="s">
        <v>146</v>
      </c>
      <c r="D975" s="3" t="s">
        <v>1</v>
      </c>
      <c r="E975" s="3" t="s">
        <v>2</v>
      </c>
      <c r="F975" s="4">
        <v>153.30000000000001</v>
      </c>
      <c r="G975" s="4">
        <v>25000</v>
      </c>
      <c r="H975" s="5">
        <f>[1]!РЕАЛИЗАЦИЯ[СОНИ]*[1]!РЕАЛИЗАЦИЯ[НАРХИ]</f>
        <v>3036000</v>
      </c>
      <c r="I975" s="4"/>
      <c r="J975" s="6">
        <v>23000</v>
      </c>
      <c r="K975" s="4">
        <f>[1]!РЕАЛИЗАЦИЯ[[#This Row],[СОНИ]]*[1]!РЕАЛИЗАЦИЯ[[#This Row],[ТАННАРХ]]</f>
        <v>0</v>
      </c>
      <c r="L975" s="7">
        <f>[1]!РЕАЛИЗАЦИЯ[[#This Row],[ЖАМИ]]-[1]!РЕАЛИЗАЦИЯ[[#This Row],[ЖАМИ2]]</f>
        <v>3036000</v>
      </c>
      <c r="O975" s="27">
        <v>46165</v>
      </c>
      <c r="P975" s="28" t="s">
        <v>129</v>
      </c>
      <c r="Q975" s="6">
        <v>4102800</v>
      </c>
      <c r="R975" s="6"/>
      <c r="S975" s="6"/>
      <c r="T975" s="29">
        <f>[1]!ПЛАТЕЖИ[[#This Row],[СЎМ]]+([1]!ПЛАТЕЖИ[[#This Row],[ВАЛЮТА]]*[1]!ПЛАТЕЖИ[[#This Row],[КУРС]])</f>
        <v>3814000</v>
      </c>
      <c r="U975" s="28"/>
      <c r="V975" s="28"/>
    </row>
    <row r="976" spans="2:22" x14ac:dyDescent="0.25">
      <c r="B976" s="8">
        <v>46163</v>
      </c>
      <c r="C976" s="9" t="s">
        <v>202</v>
      </c>
      <c r="D976" s="10" t="s">
        <v>1</v>
      </c>
      <c r="E976" s="10" t="s">
        <v>2</v>
      </c>
      <c r="F976" s="11">
        <v>422.6</v>
      </c>
      <c r="G976" s="11">
        <v>24000</v>
      </c>
      <c r="H976" s="12">
        <f>[1]!РЕАЛИЗАЦИЯ[СОНИ]*[1]!РЕАЛИЗАЦИЯ[НАРХИ]</f>
        <v>4468800</v>
      </c>
      <c r="I976" s="11"/>
      <c r="J976" s="13">
        <v>23000</v>
      </c>
      <c r="K976" s="11">
        <f>[1]!РЕАЛИЗАЦИЯ[[#This Row],[СОНИ]]*[1]!РЕАЛИЗАЦИЯ[[#This Row],[ТАННАРХ]]</f>
        <v>815109120</v>
      </c>
      <c r="L976" s="14">
        <f>[1]!РЕАЛИЗАЦИЯ[[#This Row],[ЖАМИ]]-[1]!РЕАЛИЗАЦИЯ[[#This Row],[ЖАМИ2]]</f>
        <v>4468587.2</v>
      </c>
      <c r="O976" s="30">
        <v>46165</v>
      </c>
      <c r="P976" s="31" t="s">
        <v>250</v>
      </c>
      <c r="Q976" s="13">
        <v>3672000</v>
      </c>
      <c r="R976" s="13"/>
      <c r="S976" s="13"/>
      <c r="T976" s="32">
        <f>[1]!ПЛАТЕЖИ[[#This Row],[СЎМ]]+([1]!ПЛАТЕЖИ[[#This Row],[ВАЛЮТА]]*[1]!ПЛАТЕЖИ[[#This Row],[КУРС]])</f>
        <v>909000</v>
      </c>
      <c r="U976" s="31"/>
      <c r="V976" s="31" t="s">
        <v>316</v>
      </c>
    </row>
    <row r="977" spans="2:22" x14ac:dyDescent="0.25">
      <c r="B977" s="1">
        <v>46163</v>
      </c>
      <c r="C977" s="2" t="s">
        <v>202</v>
      </c>
      <c r="D977" s="3" t="s">
        <v>10</v>
      </c>
      <c r="E977" s="3" t="s">
        <v>2</v>
      </c>
      <c r="F977" s="4">
        <v>195</v>
      </c>
      <c r="G977" s="4">
        <v>16000</v>
      </c>
      <c r="H977" s="5">
        <f>[1]!РЕАЛИЗАЦИЯ[СОНИ]*[1]!РЕАЛИЗАЦИЯ[НАРХИ]</f>
        <v>1879500</v>
      </c>
      <c r="I977" s="4"/>
      <c r="J977" s="6">
        <v>14000</v>
      </c>
      <c r="K977" s="4">
        <f>[1]!РЕАЛИЗАЦИЯ[[#This Row],[СОНИ]]*[1]!РЕАЛИЗАЦИЯ[[#This Row],[ТАННАРХ]]</f>
        <v>0</v>
      </c>
      <c r="L977" s="7">
        <f>[1]!РЕАЛИЗАЦИЯ[[#This Row],[ЖАМИ]]-[1]!РЕАЛИЗАЦИЯ[[#This Row],[ЖАМИ2]]</f>
        <v>1879500</v>
      </c>
      <c r="O977" s="27">
        <v>46165</v>
      </c>
      <c r="P977" s="28" t="s">
        <v>256</v>
      </c>
      <c r="Q977" s="6">
        <v>280000</v>
      </c>
      <c r="R977" s="6"/>
      <c r="S977" s="6"/>
      <c r="T977" s="29">
        <f>[1]!ПЛАТЕЖИ[[#This Row],[СЎМ]]+([1]!ПЛАТЕЖИ[[#This Row],[ВАЛЮТА]]*[1]!ПЛАТЕЖИ[[#This Row],[КУРС]])</f>
        <v>1820700</v>
      </c>
      <c r="U977" s="28"/>
      <c r="V977" s="28" t="s">
        <v>275</v>
      </c>
    </row>
    <row r="978" spans="2:22" x14ac:dyDescent="0.25">
      <c r="B978" s="8">
        <v>46163</v>
      </c>
      <c r="C978" s="9" t="s">
        <v>202</v>
      </c>
      <c r="D978" s="10" t="s">
        <v>260</v>
      </c>
      <c r="E978" s="10" t="s">
        <v>2</v>
      </c>
      <c r="F978" s="11">
        <v>96.2</v>
      </c>
      <c r="G978" s="11">
        <v>21000</v>
      </c>
      <c r="H978" s="12">
        <f>[1]!РЕАЛИЗАЦИЯ[СОНИ]*[1]!РЕАЛИЗАЦИЯ[НАРХИ]</f>
        <v>24067800</v>
      </c>
      <c r="I978" s="11"/>
      <c r="J978" s="13">
        <v>21000</v>
      </c>
      <c r="K978" s="11">
        <f>[1]!РЕАЛИЗАЦИЯ[[#This Row],[СОНИ]]*[1]!РЕАЛИЗАЦИЯ[[#This Row],[ТАННАРХ]]</f>
        <v>0</v>
      </c>
      <c r="L978" s="14">
        <f>[1]!РЕАЛИЗАЦИЯ[[#This Row],[ЖАМИ]]-[1]!РЕАЛИЗАЦИЯ[[#This Row],[ЖАМИ2]]</f>
        <v>24067800</v>
      </c>
      <c r="O978" s="30">
        <v>46167</v>
      </c>
      <c r="P978" s="31" t="s">
        <v>39</v>
      </c>
      <c r="Q978" s="13">
        <v>10000000</v>
      </c>
      <c r="R978" s="13"/>
      <c r="S978" s="13"/>
      <c r="T978" s="32">
        <f>[1]!ПЛАТЕЖИ[[#This Row],[СЎМ]]+([1]!ПЛАТЕЖИ[[#This Row],[ВАЛЮТА]]*[1]!ПЛАТЕЖИ[[#This Row],[КУРС]])</f>
        <v>1000000</v>
      </c>
      <c r="U978" s="31"/>
      <c r="V978" s="31"/>
    </row>
    <row r="979" spans="2:22" x14ac:dyDescent="0.25">
      <c r="B979" s="1">
        <v>46164</v>
      </c>
      <c r="C979" s="2" t="s">
        <v>262</v>
      </c>
      <c r="D979" s="3" t="s">
        <v>1</v>
      </c>
      <c r="E979" s="3" t="s">
        <v>2</v>
      </c>
      <c r="F979" s="4">
        <v>498.6</v>
      </c>
      <c r="G979" s="4">
        <v>26000</v>
      </c>
      <c r="H979" s="5">
        <f>[1]!РЕАЛИЗАЦИЯ[СОНИ]*[1]!РЕАЛИЗАЦИЯ[НАРХИ]</f>
        <v>5560100</v>
      </c>
      <c r="I979" s="4"/>
      <c r="J979" s="6">
        <v>23000</v>
      </c>
      <c r="K979" s="4">
        <f>[1]!РЕАЛИЗАЦИЯ[[#This Row],[СОНИ]]*[1]!РЕАЛИЗАЦИЯ[[#This Row],[ТАННАРХ]]</f>
        <v>0</v>
      </c>
      <c r="L979" s="7">
        <f>[1]!РЕАЛИЗАЦИЯ[[#This Row],[ЖАМИ]]-[1]!РЕАЛИЗАЦИЯ[[#This Row],[ЖАМИ2]]</f>
        <v>5560100</v>
      </c>
      <c r="O979" s="27">
        <v>46167</v>
      </c>
      <c r="P979" s="28" t="s">
        <v>67</v>
      </c>
      <c r="Q979" s="6">
        <v>6918800</v>
      </c>
      <c r="R979" s="6"/>
      <c r="S979" s="6"/>
      <c r="T979" s="29">
        <f>[1]!ПЛАТЕЖИ[[#This Row],[СЎМ]]+([1]!ПЛАТЕЖИ[[#This Row],[ВАЛЮТА]]*[1]!ПЛАТЕЖИ[[#This Row],[КУРС]])</f>
        <v>2024000</v>
      </c>
      <c r="U979" s="28"/>
      <c r="V979" s="28" t="s">
        <v>279</v>
      </c>
    </row>
    <row r="980" spans="2:22" x14ac:dyDescent="0.25">
      <c r="B980" s="8">
        <v>46164</v>
      </c>
      <c r="C980" s="9" t="s">
        <v>34</v>
      </c>
      <c r="D980" s="10" t="s">
        <v>1</v>
      </c>
      <c r="E980" s="10" t="s">
        <v>2</v>
      </c>
      <c r="F980" s="11">
        <v>190.4</v>
      </c>
      <c r="G980" s="11">
        <v>26000</v>
      </c>
      <c r="H980" s="12">
        <f>[1]!РЕАЛИЗАЦИЯ[СОНИ]*[1]!РЕАЛИЗАЦИЯ[НАРХИ]</f>
        <v>1790000</v>
      </c>
      <c r="I980" s="11"/>
      <c r="J980" s="13">
        <v>23000</v>
      </c>
      <c r="K980" s="11">
        <f>[1]!РЕАЛИЗАЦИЯ[[#This Row],[СОНИ]]*[1]!РЕАЛИЗАЦИЯ[[#This Row],[ТАННАРХ]]</f>
        <v>0</v>
      </c>
      <c r="L980" s="14">
        <f>[1]!РЕАЛИЗАЦИЯ[[#This Row],[ЖАМИ]]-[1]!РЕАЛИЗАЦИЯ[[#This Row],[ЖАМИ2]]</f>
        <v>1790000</v>
      </c>
      <c r="O980" s="30">
        <v>46167</v>
      </c>
      <c r="P980" s="31" t="s">
        <v>143</v>
      </c>
      <c r="Q980" s="13">
        <v>3000000</v>
      </c>
      <c r="R980" s="13"/>
      <c r="S980" s="13"/>
      <c r="T980" s="32">
        <f>[1]!ПЛАТЕЖИ[[#This Row],[СЎМ]]+([1]!ПЛАТЕЖИ[[#This Row],[ВАЛЮТА]]*[1]!ПЛАТЕЖИ[[#This Row],[КУРС]])</f>
        <v>3700000</v>
      </c>
      <c r="U980" s="31"/>
      <c r="V980" s="31" t="s">
        <v>275</v>
      </c>
    </row>
    <row r="981" spans="2:22" x14ac:dyDescent="0.25">
      <c r="B981" s="1">
        <v>46164</v>
      </c>
      <c r="C981" s="2" t="s">
        <v>34</v>
      </c>
      <c r="D981" s="3" t="s">
        <v>10</v>
      </c>
      <c r="E981" s="3" t="s">
        <v>2</v>
      </c>
      <c r="F981" s="4">
        <v>104.1</v>
      </c>
      <c r="G981" s="4">
        <v>17000</v>
      </c>
      <c r="H981" s="5">
        <f>[1]!РЕАЛИЗАЦИЯ[СОНИ]*[1]!РЕАЛИЗАЦИЯ[НАРХИ]</f>
        <v>2942400</v>
      </c>
      <c r="I981" s="4"/>
      <c r="J981" s="6">
        <v>14000</v>
      </c>
      <c r="K981" s="4">
        <f>[1]!РЕАЛИЗАЦИЯ[[#This Row],[СОНИ]]*[1]!РЕАЛИЗАЦИЯ[[#This Row],[ТАННАРХ]]</f>
        <v>338192100</v>
      </c>
      <c r="L981" s="7">
        <f>[1]!РЕАЛИЗАЦИЯ[[#This Row],[ЖАМИ]]-[1]!РЕАЛИЗАЦИЯ[[#This Row],[ЖАМИ2]]</f>
        <v>2942277.4</v>
      </c>
      <c r="O981" s="27">
        <v>46168</v>
      </c>
      <c r="P981" s="28" t="s">
        <v>34</v>
      </c>
      <c r="Q981" s="6">
        <v>9264392</v>
      </c>
      <c r="R981" s="6"/>
      <c r="S981" s="6"/>
      <c r="T981" s="29">
        <f>[1]!ПЛАТЕЖИ[[#This Row],[СЎМ]]+([1]!ПЛАТЕЖИ[[#This Row],[ВАЛЮТА]]*[1]!ПЛАТЕЖИ[[#This Row],[КУРС]])</f>
        <v>1500000</v>
      </c>
      <c r="U981" s="28"/>
      <c r="V981" s="28" t="s">
        <v>279</v>
      </c>
    </row>
    <row r="982" spans="2:22" x14ac:dyDescent="0.25">
      <c r="B982" s="8">
        <v>46164</v>
      </c>
      <c r="C982" s="9" t="s">
        <v>220</v>
      </c>
      <c r="D982" s="10" t="s">
        <v>10</v>
      </c>
      <c r="E982" s="10" t="s">
        <v>2</v>
      </c>
      <c r="F982" s="11">
        <v>48</v>
      </c>
      <c r="G982" s="11">
        <v>16000</v>
      </c>
      <c r="H982" s="12">
        <f>[1]!РЕАЛИЗАЦИЯ[СОНИ]*[1]!РЕАЛИЗАЦИЯ[НАРХИ]</f>
        <v>-564000</v>
      </c>
      <c r="I982" s="11"/>
      <c r="J982" s="13">
        <v>14000</v>
      </c>
      <c r="K982" s="11">
        <f>[1]!РЕАЛИЗАЦИЯ[[#This Row],[СОНИ]]*[1]!РЕАЛИЗАЦИЯ[[#This Row],[ТАННАРХ]]</f>
        <v>-12425625</v>
      </c>
      <c r="L982" s="14">
        <f>[1]!РЕАЛИЗАЦИЯ[[#This Row],[ЖАМИ]]-[1]!РЕАЛИЗАЦИЯ[[#This Row],[ЖАМИ2]]</f>
        <v>-563976.5</v>
      </c>
      <c r="O982" s="30">
        <v>46168</v>
      </c>
      <c r="P982" s="31" t="s">
        <v>89</v>
      </c>
      <c r="Q982" s="13">
        <v>8307000</v>
      </c>
      <c r="R982" s="13"/>
      <c r="S982" s="13"/>
      <c r="T982" s="32">
        <f>[1]!ПЛАТЕЖИ[[#This Row],[СЎМ]]+([1]!ПЛАТЕЖИ[[#This Row],[ВАЛЮТА]]*[1]!ПЛАТЕЖИ[[#This Row],[КУРС]])</f>
        <v>1750000</v>
      </c>
      <c r="U982" s="31"/>
      <c r="V982" s="31"/>
    </row>
    <row r="983" spans="2:22" x14ac:dyDescent="0.25">
      <c r="B983" s="1">
        <v>46164</v>
      </c>
      <c r="C983" s="2" t="s">
        <v>198</v>
      </c>
      <c r="D983" s="3" t="s">
        <v>1</v>
      </c>
      <c r="E983" s="3" t="s">
        <v>2</v>
      </c>
      <c r="F983" s="4">
        <v>179</v>
      </c>
      <c r="G983" s="4">
        <v>25000</v>
      </c>
      <c r="H983" s="5">
        <f>[1]!РЕАЛИЗАЦИЯ[СОНИ]*[1]!РЕАЛИЗАЦИЯ[НАРХИ]</f>
        <v>-940800.00000000012</v>
      </c>
      <c r="I983" s="4"/>
      <c r="J983" s="6">
        <v>23000</v>
      </c>
      <c r="K983" s="4">
        <f>[1]!РЕАЛИЗАЦИЯ[[#This Row],[СОНИ]]*[1]!РЕАЛИЗАЦИЯ[[#This Row],[ТАННАРХ]]</f>
        <v>-34574400</v>
      </c>
      <c r="L983" s="7">
        <f>[1]!РЕАЛИЗАЦИЯ[[#This Row],[ЖАМИ]]-[1]!РЕАЛИЗАЦИЯ[[#This Row],[ЖАМИ2]]</f>
        <v>-940760.80000000016</v>
      </c>
      <c r="O983" s="27">
        <v>46168</v>
      </c>
      <c r="P983" s="28" t="s">
        <v>160</v>
      </c>
      <c r="Q983" s="6">
        <v>1200000</v>
      </c>
      <c r="R983" s="6"/>
      <c r="S983" s="6"/>
      <c r="T983" s="29">
        <f>[1]!ПЛАТЕЖИ[[#This Row],[СЎМ]]+([1]!ПЛАТЕЖИ[[#This Row],[ВАЛЮТА]]*[1]!ПЛАТЕЖИ[[#This Row],[КУРС]])</f>
        <v>3840000</v>
      </c>
      <c r="U983" s="28"/>
      <c r="V983" s="28"/>
    </row>
    <row r="984" spans="2:22" x14ac:dyDescent="0.25">
      <c r="B984" s="8">
        <v>46164</v>
      </c>
      <c r="C984" s="9" t="s">
        <v>198</v>
      </c>
      <c r="D984" s="10" t="s">
        <v>10</v>
      </c>
      <c r="E984" s="10" t="s">
        <v>2</v>
      </c>
      <c r="F984" s="11">
        <v>50.1</v>
      </c>
      <c r="G984" s="11">
        <v>16000</v>
      </c>
      <c r="H984" s="12">
        <f>[1]!РЕАЛИЗАЦИЯ[СОНИ]*[1]!РЕАЛИЗАЦИЯ[НАРХИ]</f>
        <v>959700.00000000012</v>
      </c>
      <c r="I984" s="11"/>
      <c r="J984" s="13">
        <v>14000</v>
      </c>
      <c r="K984" s="11">
        <f>[1]!РЕАЛИЗАЦИЯ[[#This Row],[СОНИ]]*[1]!РЕАЛИЗАЦИЯ[[#This Row],[ТАННАРХ]]</f>
        <v>0</v>
      </c>
      <c r="L984" s="14">
        <f>[1]!РЕАЛИЗАЦИЯ[[#This Row],[ЖАМИ]]-[1]!РЕАЛИЗАЦИЯ[[#This Row],[ЖАМИ2]]</f>
        <v>959700.00000000012</v>
      </c>
      <c r="O984" s="30">
        <v>46171</v>
      </c>
      <c r="P984" s="31" t="s">
        <v>6</v>
      </c>
      <c r="Q984" s="13">
        <v>3456400</v>
      </c>
      <c r="R984" s="13"/>
      <c r="S984" s="13"/>
      <c r="T984" s="32">
        <f>[1]!ПЛАТЕЖИ[[#This Row],[СЎМ]]+([1]!ПЛАТЕЖИ[[#This Row],[ВАЛЮТА]]*[1]!ПЛАТЕЖИ[[#This Row],[КУРС]])</f>
        <v>4845000</v>
      </c>
      <c r="U984" s="31"/>
      <c r="V984" s="31"/>
    </row>
    <row r="985" spans="2:22" x14ac:dyDescent="0.25">
      <c r="B985" s="1">
        <v>46164</v>
      </c>
      <c r="C985" s="2" t="s">
        <v>63</v>
      </c>
      <c r="D985" s="3" t="s">
        <v>1</v>
      </c>
      <c r="E985" s="3" t="s">
        <v>2</v>
      </c>
      <c r="F985" s="4">
        <v>41</v>
      </c>
      <c r="G985" s="4">
        <v>23000</v>
      </c>
      <c r="H985" s="5">
        <f>[1]!РЕАЛИЗАЦИЯ[СОНИ]*[1]!РЕАЛИЗАЦИЯ[НАРХИ]</f>
        <v>4200000</v>
      </c>
      <c r="I985" s="4"/>
      <c r="J985" s="6">
        <v>21000</v>
      </c>
      <c r="K985" s="4">
        <f>[1]!РЕАЛИЗАЦИЯ[[#This Row],[СОНИ]]*[1]!РЕАЛИЗАЦИЯ[[#This Row],[ТАННАРХ]]</f>
        <v>0</v>
      </c>
      <c r="L985" s="7">
        <f>[1]!РЕАЛИЗАЦИЯ[[#This Row],[ЖАМИ]]-[1]!РЕАЛИЗАЦИЯ[[#This Row],[ЖАМИ2]]</f>
        <v>4200000</v>
      </c>
      <c r="O985" s="27">
        <v>46171</v>
      </c>
      <c r="P985" s="28" t="s">
        <v>101</v>
      </c>
      <c r="Q985" s="6">
        <v>1170000</v>
      </c>
      <c r="R985" s="6"/>
      <c r="S985" s="6"/>
      <c r="T985" s="29">
        <f>[1]!ПЛАТЕЖИ[[#This Row],[СЎМ]]+([1]!ПЛАТЕЖИ[[#This Row],[ВАЛЮТА]]*[1]!ПЛАТЕЖИ[[#This Row],[КУРС]])</f>
        <v>11950000</v>
      </c>
      <c r="U985" s="28"/>
      <c r="V985" s="28" t="s">
        <v>279</v>
      </c>
    </row>
    <row r="986" spans="2:22" x14ac:dyDescent="0.25">
      <c r="B986" s="8">
        <v>46164</v>
      </c>
      <c r="C986" s="9" t="s">
        <v>195</v>
      </c>
      <c r="D986" s="10" t="s">
        <v>1</v>
      </c>
      <c r="E986" s="10" t="s">
        <v>2</v>
      </c>
      <c r="F986" s="11">
        <v>43.3</v>
      </c>
      <c r="G986" s="11">
        <v>25000</v>
      </c>
      <c r="H986" s="12">
        <f>[1]!РЕАЛИЗАЦИЯ[СОНИ]*[1]!РЕАЛИЗАЦИЯ[НАРХИ]</f>
        <v>952000</v>
      </c>
      <c r="I986" s="11"/>
      <c r="J986" s="13">
        <v>23000</v>
      </c>
      <c r="K986" s="11">
        <f>[1]!РЕАЛИЗАЦИЯ[[#This Row],[СОНИ]]*[1]!РЕАЛИЗАЦИЯ[[#This Row],[ТАННАРХ]]</f>
        <v>0</v>
      </c>
      <c r="L986" s="14">
        <f>[1]!РЕАЛИЗАЦИЯ[[#This Row],[ЖАМИ]]-[1]!РЕАЛИЗАЦИЯ[[#This Row],[ЖАМИ2]]</f>
        <v>952000</v>
      </c>
      <c r="O986" s="30">
        <v>46171</v>
      </c>
      <c r="P986" s="31" t="s">
        <v>205</v>
      </c>
      <c r="Q986" s="13">
        <v>2080100</v>
      </c>
      <c r="R986" s="13"/>
      <c r="S986" s="13"/>
      <c r="T986" s="32">
        <f>[1]!ПЛАТЕЖИ[[#This Row],[СЎМ]]+([1]!ПЛАТЕЖИ[[#This Row],[ВАЛЮТА]]*[1]!ПЛАТЕЖИ[[#This Row],[КУРС]])</f>
        <v>1050000</v>
      </c>
      <c r="U986" s="31"/>
      <c r="V986" s="31" t="s">
        <v>279</v>
      </c>
    </row>
    <row r="987" spans="2:22" x14ac:dyDescent="0.25">
      <c r="B987" s="1">
        <v>46165</v>
      </c>
      <c r="C987" s="2" t="s">
        <v>9</v>
      </c>
      <c r="D987" s="3" t="s">
        <v>25</v>
      </c>
      <c r="E987" s="3" t="s">
        <v>2</v>
      </c>
      <c r="F987" s="4">
        <v>641.20000000000005</v>
      </c>
      <c r="G987" s="4">
        <v>29000</v>
      </c>
      <c r="H987" s="5">
        <f>[1]!РЕАЛИЗАЦИЯ[СОНИ]*[1]!РЕАЛИЗАЦИЯ[НАРХИ]</f>
        <v>867299.99999999988</v>
      </c>
      <c r="I987" s="4"/>
      <c r="J987" s="6">
        <v>26000</v>
      </c>
      <c r="K987" s="4">
        <f>[1]!РЕАЛИЗАЦИЯ[[#This Row],[СОНИ]]*[1]!РЕАЛИЗАЦИЯ[[#This Row],[ТАННАРХ]]</f>
        <v>0</v>
      </c>
      <c r="L987" s="7">
        <f>[1]!РЕАЛИЗАЦИЯ[[#This Row],[ЖАМИ]]-[1]!РЕАЛИЗАЦИЯ[[#This Row],[ЖАМИ2]]</f>
        <v>867299.99999999988</v>
      </c>
      <c r="O987" s="27">
        <v>46172</v>
      </c>
      <c r="P987" s="28" t="s">
        <v>96</v>
      </c>
      <c r="Q987" s="6">
        <v>700000</v>
      </c>
      <c r="R987" s="6"/>
      <c r="S987" s="6"/>
      <c r="T987" s="29">
        <f>[1]!ПЛАТЕЖИ[[#This Row],[СЎМ]]+([1]!ПЛАТЕЖИ[[#This Row],[ВАЛЮТА]]*[1]!ПЛАТЕЖИ[[#This Row],[КУРС]])</f>
        <v>2679000</v>
      </c>
      <c r="U987" s="28"/>
      <c r="V987" s="28"/>
    </row>
    <row r="988" spans="2:22" x14ac:dyDescent="0.25">
      <c r="B988" s="8">
        <v>46165</v>
      </c>
      <c r="C988" s="9" t="s">
        <v>124</v>
      </c>
      <c r="D988" s="10" t="s">
        <v>1</v>
      </c>
      <c r="E988" s="10" t="s">
        <v>2</v>
      </c>
      <c r="F988" s="11">
        <v>46.6</v>
      </c>
      <c r="G988" s="11">
        <v>25000</v>
      </c>
      <c r="H988" s="12">
        <f>[1]!РЕАЛИЗАЦИЯ[СОНИ]*[1]!РЕАЛИЗАЦИЯ[НАРХИ]</f>
        <v>978600</v>
      </c>
      <c r="I988" s="11"/>
      <c r="J988" s="13">
        <v>23000</v>
      </c>
      <c r="K988" s="11">
        <f>[1]!РЕАЛИЗАЦИЯ[[#This Row],[СОНИ]]*[1]!РЕАЛИЗАЦИЯ[[#This Row],[ТАННАРХ]]</f>
        <v>0</v>
      </c>
      <c r="L988" s="14">
        <f>[1]!РЕАЛИЗАЦИЯ[[#This Row],[ЖАМИ]]-[1]!РЕАЛИЗАЦИЯ[[#This Row],[ЖАМИ2]]</f>
        <v>978600</v>
      </c>
      <c r="O988" s="30">
        <v>46172</v>
      </c>
      <c r="P988" s="31" t="s">
        <v>62</v>
      </c>
      <c r="Q988" s="13"/>
      <c r="R988" s="13">
        <v>100</v>
      </c>
      <c r="S988" s="13">
        <v>12000</v>
      </c>
      <c r="T988" s="32">
        <f>[1]!ПЛАТЕЖИ[[#This Row],[СЎМ]]+([1]!ПЛАТЕЖИ[[#This Row],[ВАЛЮТА]]*[1]!ПЛАТЕЖИ[[#This Row],[КУРС]])</f>
        <v>846300</v>
      </c>
      <c r="U988" s="31"/>
      <c r="V988" s="31"/>
    </row>
    <row r="989" spans="2:22" x14ac:dyDescent="0.25">
      <c r="B989" s="1">
        <v>46166</v>
      </c>
      <c r="C989" s="2" t="s">
        <v>263</v>
      </c>
      <c r="D989" s="3" t="s">
        <v>1</v>
      </c>
      <c r="E989" s="3" t="s">
        <v>2</v>
      </c>
      <c r="F989" s="4">
        <v>90.7</v>
      </c>
      <c r="G989" s="4">
        <v>25000</v>
      </c>
      <c r="H989" s="5">
        <f>[1]!РЕАЛИЗАЦИЯ[СОНИ]*[1]!РЕАЛИЗАЦИЯ[НАРХИ]</f>
        <v>672000</v>
      </c>
      <c r="I989" s="4"/>
      <c r="J989" s="6">
        <v>23000</v>
      </c>
      <c r="K989" s="4">
        <f>[1]!РЕАЛИЗАЦИЯ[[#This Row],[СОНИ]]*[1]!РЕАЛИЗАЦИЯ[[#This Row],[ТАННАРХ]]</f>
        <v>0</v>
      </c>
      <c r="L989" s="7">
        <f>[1]!РЕАЛИЗАЦИЯ[[#This Row],[ЖАМИ]]-[1]!РЕАЛИЗАЦИЯ[[#This Row],[ЖАМИ2]]</f>
        <v>672000</v>
      </c>
      <c r="O989" s="33">
        <v>46174</v>
      </c>
      <c r="P989" s="3" t="s">
        <v>139</v>
      </c>
      <c r="Q989" s="4">
        <v>1222500</v>
      </c>
      <c r="R989" s="4"/>
      <c r="S989" s="4"/>
      <c r="T989" s="12">
        <v>1222500</v>
      </c>
      <c r="U989" s="3"/>
      <c r="V989" s="3" t="s">
        <v>275</v>
      </c>
    </row>
    <row r="990" spans="2:22" x14ac:dyDescent="0.25">
      <c r="B990" s="8">
        <v>46166</v>
      </c>
      <c r="C990" s="9" t="s">
        <v>263</v>
      </c>
      <c r="D990" s="10" t="s">
        <v>10</v>
      </c>
      <c r="E990" s="10" t="s">
        <v>2</v>
      </c>
      <c r="F990" s="11">
        <v>52</v>
      </c>
      <c r="G990" s="11">
        <v>16000</v>
      </c>
      <c r="H990" s="12">
        <f>[1]!РЕАЛИЗАЦИЯ[СОНИ]*[1]!РЕАЛИЗАЦИЯ[НАРХИ]</f>
        <v>1021250</v>
      </c>
      <c r="I990" s="11"/>
      <c r="J990" s="13">
        <v>14000</v>
      </c>
      <c r="K990" s="11">
        <f>[1]!РЕАЛИЗАЦИЯ[[#This Row],[СОНИ]]*[1]!РЕАЛИЗАЦИЯ[[#This Row],[ТАННАРХ]]</f>
        <v>0</v>
      </c>
      <c r="L990" s="14">
        <f>[1]!РЕАЛИЗАЦИЯ[[#This Row],[ЖАМИ]]-[1]!РЕАЛИЗАЦИЯ[[#This Row],[ЖАМИ2]]</f>
        <v>1021250</v>
      </c>
      <c r="O990" s="34">
        <v>46174</v>
      </c>
      <c r="P990" s="10" t="s">
        <v>138</v>
      </c>
      <c r="Q990" s="11">
        <v>5149248</v>
      </c>
      <c r="R990" s="11"/>
      <c r="S990" s="11"/>
      <c r="T990" s="12">
        <v>5149248</v>
      </c>
      <c r="U990" s="10"/>
      <c r="V990" s="10" t="s">
        <v>279</v>
      </c>
    </row>
    <row r="991" spans="2:22" x14ac:dyDescent="0.25">
      <c r="B991" s="1">
        <v>46166</v>
      </c>
      <c r="C991" s="2" t="s">
        <v>144</v>
      </c>
      <c r="D991" s="3" t="s">
        <v>1</v>
      </c>
      <c r="E991" s="3" t="s">
        <v>2</v>
      </c>
      <c r="F991" s="4">
        <v>194</v>
      </c>
      <c r="G991" s="4">
        <v>25000</v>
      </c>
      <c r="H991" s="5">
        <f>[1]!РЕАЛИЗАЦИЯ[СОНИ]*[1]!РЕАЛИЗАЦИЯ[НАРХИ]</f>
        <v>916350.00000000012</v>
      </c>
      <c r="I991" s="4"/>
      <c r="J991" s="6">
        <v>23000</v>
      </c>
      <c r="K991" s="4">
        <f>[1]!РЕАЛИЗАЦИЯ[[#This Row],[СОНИ]]*[1]!РЕАЛИЗАЦИЯ[[#This Row],[ТАННАРХ]]</f>
        <v>0</v>
      </c>
      <c r="L991" s="7">
        <f>[1]!РЕАЛИЗАЦИЯ[[#This Row],[ЖАМИ]]-[1]!РЕАЛИЗАЦИЯ[[#This Row],[ЖАМИ2]]</f>
        <v>916350.00000000012</v>
      </c>
      <c r="O991" s="33">
        <v>46174</v>
      </c>
      <c r="P991" s="3" t="s">
        <v>20</v>
      </c>
      <c r="Q991" s="4">
        <v>1257500</v>
      </c>
      <c r="R991" s="4"/>
      <c r="S991" s="4"/>
      <c r="T991" s="12">
        <v>1257500</v>
      </c>
      <c r="U991" s="3"/>
      <c r="V991" s="3" t="s">
        <v>275</v>
      </c>
    </row>
    <row r="992" spans="2:22" x14ac:dyDescent="0.25">
      <c r="B992" s="8">
        <v>46167</v>
      </c>
      <c r="C992" s="9" t="s">
        <v>39</v>
      </c>
      <c r="D992" s="10" t="s">
        <v>1</v>
      </c>
      <c r="E992" s="10" t="s">
        <v>2</v>
      </c>
      <c r="F992" s="11">
        <v>969.7</v>
      </c>
      <c r="G992" s="11">
        <v>25000</v>
      </c>
      <c r="H992" s="12">
        <f>[1]!РЕАЛИЗАЦИЯ[СОНИ]*[1]!РЕАЛИЗАЦИЯ[НАРХИ]</f>
        <v>753600</v>
      </c>
      <c r="I992" s="11"/>
      <c r="J992" s="13">
        <v>23000</v>
      </c>
      <c r="K992" s="11">
        <f>[1]!РЕАЛИЗАЦИЯ[[#This Row],[СОНИ]]*[1]!РЕАЛИЗАЦИЯ[[#This Row],[ТАННАРХ]]</f>
        <v>0</v>
      </c>
      <c r="L992" s="14">
        <f>[1]!РЕАЛИЗАЦИЯ[[#This Row],[ЖАМИ]]-[1]!РЕАЛИЗАЦИЯ[[#This Row],[ЖАМИ2]]</f>
        <v>753600</v>
      </c>
      <c r="O992" s="34">
        <v>46174</v>
      </c>
      <c r="P992" s="10" t="s">
        <v>239</v>
      </c>
      <c r="Q992" s="11">
        <v>1000000</v>
      </c>
      <c r="R992" s="11"/>
      <c r="S992" s="11"/>
      <c r="T992" s="12">
        <v>1000000</v>
      </c>
      <c r="U992" s="10"/>
      <c r="V992" s="10" t="s">
        <v>275</v>
      </c>
    </row>
    <row r="993" spans="2:22" x14ac:dyDescent="0.25">
      <c r="B993" s="1">
        <v>46167</v>
      </c>
      <c r="C993" s="2" t="s">
        <v>60</v>
      </c>
      <c r="D993" s="3" t="s">
        <v>1</v>
      </c>
      <c r="E993" s="3" t="s">
        <v>2</v>
      </c>
      <c r="F993" s="4">
        <v>597.20000000000005</v>
      </c>
      <c r="G993" s="4">
        <v>23000</v>
      </c>
      <c r="H993" s="5">
        <f>[1]!РЕАЛИЗАЦИЯ[СОНИ]*[1]!РЕАЛИЗАЦИЯ[НАРХИ]</f>
        <v>704000</v>
      </c>
      <c r="I993" s="4"/>
      <c r="J993" s="6">
        <v>21000</v>
      </c>
      <c r="K993" s="4">
        <f>[1]!РЕАЛИЗАЦИЯ[[#This Row],[СОНИ]]*[1]!РЕАЛИЗАЦИЯ[[#This Row],[ТАННАРХ]]</f>
        <v>0</v>
      </c>
      <c r="L993" s="7">
        <f>[1]!РЕАЛИЗАЦИЯ[[#This Row],[ЖАМИ]]-[1]!РЕАЛИЗАЦИЯ[[#This Row],[ЖАМИ2]]</f>
        <v>704000</v>
      </c>
      <c r="O993" s="33">
        <v>46174</v>
      </c>
      <c r="P993" s="3" t="s">
        <v>200</v>
      </c>
      <c r="Q993" s="4">
        <v>2912500</v>
      </c>
      <c r="R993" s="4">
        <v>200</v>
      </c>
      <c r="S993" s="4">
        <v>12000</v>
      </c>
      <c r="T993" s="12">
        <v>5312500</v>
      </c>
      <c r="U993" s="3"/>
      <c r="V993" s="3"/>
    </row>
    <row r="994" spans="2:22" x14ac:dyDescent="0.25">
      <c r="B994" s="8">
        <v>46167</v>
      </c>
      <c r="C994" s="9" t="s">
        <v>39</v>
      </c>
      <c r="D994" s="10" t="s">
        <v>1</v>
      </c>
      <c r="E994" s="10" t="s">
        <v>2</v>
      </c>
      <c r="F994" s="11">
        <v>-56.7</v>
      </c>
      <c r="G994" s="11">
        <v>20000</v>
      </c>
      <c r="H994" s="12">
        <f>[1]!РЕАЛИЗАЦИЯ[СОНИ]*[1]!РЕАЛИЗАЦИЯ[НАРХИ]</f>
        <v>2171400</v>
      </c>
      <c r="I994" s="11"/>
      <c r="J994" s="13">
        <v>19000</v>
      </c>
      <c r="K994" s="11">
        <f>[1]!РЕАЛИЗАЦИЯ[[#This Row],[СОНИ]]*[1]!РЕАЛИЗАЦИЯ[[#This Row],[ТАННАРХ]]</f>
        <v>0</v>
      </c>
      <c r="L994" s="14">
        <f>[1]!РЕАЛИЗАЦИЯ[[#This Row],[ЖАМИ]]-[1]!РЕАЛИЗАЦИЯ[[#This Row],[ЖАМИ2]]</f>
        <v>2171400</v>
      </c>
      <c r="O994" s="34">
        <v>46174</v>
      </c>
      <c r="P994" s="10" t="s">
        <v>217</v>
      </c>
      <c r="Q994" s="11">
        <v>1349600</v>
      </c>
      <c r="R994" s="11"/>
      <c r="S994" s="11"/>
      <c r="T994" s="12">
        <v>1349600</v>
      </c>
      <c r="U994" s="10"/>
      <c r="V994" s="10"/>
    </row>
    <row r="995" spans="2:22" x14ac:dyDescent="0.25">
      <c r="B995" s="1">
        <v>46167</v>
      </c>
      <c r="C995" s="2" t="s">
        <v>137</v>
      </c>
      <c r="D995" s="3" t="s">
        <v>10</v>
      </c>
      <c r="E995" s="3" t="s">
        <v>2</v>
      </c>
      <c r="F995" s="4">
        <v>104.9</v>
      </c>
      <c r="G995" s="4">
        <v>16000</v>
      </c>
      <c r="H995" s="5">
        <f>[1]!РЕАЛИЗАЦИЯ[СОНИ]*[1]!РЕАЛИЗАЦИЯ[НАРХИ]</f>
        <v>4353900</v>
      </c>
      <c r="I995" s="4"/>
      <c r="J995" s="6">
        <v>14000</v>
      </c>
      <c r="K995" s="4">
        <f>[1]!РЕАЛИЗАЦИЯ[[#This Row],[СОНИ]]*[1]!РЕАЛИЗАЦИЯ[[#This Row],[ТАННАРХ]]</f>
        <v>734607045</v>
      </c>
      <c r="L995" s="7">
        <f>[1]!РЕАЛИЗАЦИЯ[[#This Row],[ЖАМИ]]-[1]!РЕАЛИЗАЦИЯ[[#This Row],[ЖАМИ2]]</f>
        <v>4353710.7</v>
      </c>
      <c r="O995" s="33">
        <v>46174</v>
      </c>
      <c r="P995" s="3" t="s">
        <v>41</v>
      </c>
      <c r="Q995" s="4">
        <v>3119500</v>
      </c>
      <c r="R995" s="4"/>
      <c r="S995" s="4"/>
      <c r="T995" s="12">
        <v>3119500</v>
      </c>
      <c r="U995" s="3"/>
      <c r="V995" s="3"/>
    </row>
    <row r="996" spans="2:22" x14ac:dyDescent="0.25">
      <c r="B996" s="8">
        <v>46167</v>
      </c>
      <c r="C996" s="9" t="s">
        <v>33</v>
      </c>
      <c r="D996" s="10" t="s">
        <v>10</v>
      </c>
      <c r="E996" s="10" t="s">
        <v>2</v>
      </c>
      <c r="F996" s="11">
        <v>1146.9000000000001</v>
      </c>
      <c r="G996" s="11">
        <v>16000</v>
      </c>
      <c r="H996" s="12">
        <f>[1]!РЕАЛИЗАЦИЯ[СОНИ]*[1]!РЕАЛИЗАЦИЯ[НАРХИ]</f>
        <v>8089200</v>
      </c>
      <c r="I996" s="11"/>
      <c r="J996" s="13">
        <v>14000</v>
      </c>
      <c r="K996" s="11">
        <f>[1]!РЕАЛИЗАЦИЯ[[#This Row],[СОНИ]]*[1]!РЕАЛИЗАЦИЯ[[#This Row],[ТАННАРХ]]</f>
        <v>0</v>
      </c>
      <c r="L996" s="14">
        <f>[1]!РЕАЛИЗАЦИЯ[[#This Row],[ЖАМИ]]-[1]!РЕАЛИЗАЦИЯ[[#This Row],[ЖАМИ2]]</f>
        <v>8089200</v>
      </c>
      <c r="O996" s="34">
        <v>46175</v>
      </c>
      <c r="P996" s="10" t="s">
        <v>99</v>
      </c>
      <c r="Q996" s="11">
        <v>774400</v>
      </c>
      <c r="R996" s="11"/>
      <c r="S996" s="11"/>
      <c r="T996" s="12">
        <v>774400</v>
      </c>
      <c r="U996" s="10"/>
      <c r="V996" s="10" t="s">
        <v>275</v>
      </c>
    </row>
    <row r="997" spans="2:22" x14ac:dyDescent="0.25">
      <c r="B997" s="1">
        <v>46167</v>
      </c>
      <c r="C997" s="2" t="s">
        <v>79</v>
      </c>
      <c r="D997" s="3" t="s">
        <v>29</v>
      </c>
      <c r="E997" s="3" t="s">
        <v>2</v>
      </c>
      <c r="F997" s="4">
        <v>212.7</v>
      </c>
      <c r="G997" s="4">
        <v>21000</v>
      </c>
      <c r="H997" s="5">
        <f>[1]!РЕАЛИЗАЦИЯ[СОНИ]*[1]!РЕАЛИЗАЦИЯ[НАРХИ]</f>
        <v>2604800</v>
      </c>
      <c r="I997" s="4"/>
      <c r="J997" s="6">
        <v>18000</v>
      </c>
      <c r="K997" s="4">
        <f>[1]!РЕАЛИЗАЦИЯ[[#This Row],[СОНИ]]*[1]!РЕАЛИЗАЦИЯ[[#This Row],[ТАННАРХ]]</f>
        <v>0</v>
      </c>
      <c r="L997" s="7">
        <f>[1]!РЕАЛИЗАЦИЯ[[#This Row],[ЖАМИ]]-[1]!РЕАЛИЗАЦИЯ[[#This Row],[ЖАМИ2]]</f>
        <v>2604800</v>
      </c>
      <c r="O997" s="33">
        <v>46175</v>
      </c>
      <c r="P997" s="3" t="s">
        <v>33</v>
      </c>
      <c r="Q997" s="4">
        <v>50000000</v>
      </c>
      <c r="R997" s="4"/>
      <c r="S997" s="4"/>
      <c r="T997" s="5">
        <v>50000000</v>
      </c>
      <c r="U997" s="3"/>
      <c r="V997" s="3" t="s">
        <v>279</v>
      </c>
    </row>
    <row r="998" spans="2:22" x14ac:dyDescent="0.25">
      <c r="B998" s="8">
        <v>46168</v>
      </c>
      <c r="C998" s="9" t="s">
        <v>67</v>
      </c>
      <c r="D998" s="10" t="s">
        <v>29</v>
      </c>
      <c r="E998" s="10" t="s">
        <v>2</v>
      </c>
      <c r="F998" s="11">
        <v>533</v>
      </c>
      <c r="G998" s="11">
        <v>20000</v>
      </c>
      <c r="H998" s="12">
        <f>[1]!РЕАЛИЗАЦИЯ[СОНИ]*[1]!РЕАЛИЗАЦИЯ[НАРХИ]</f>
        <v>764800</v>
      </c>
      <c r="I998" s="11"/>
      <c r="J998" s="13">
        <v>18000</v>
      </c>
      <c r="K998" s="11">
        <f>[1]!РЕАЛИЗАЦИЯ[[#This Row],[СОНИ]]*[1]!РЕАЛИЗАЦИЯ[[#This Row],[ТАННАРХ]]</f>
        <v>0</v>
      </c>
      <c r="L998" s="14">
        <f>[1]!РЕАЛИЗАЦИЯ[[#This Row],[ЖАМИ]]-[1]!РЕАЛИЗАЦИЯ[[#This Row],[ЖАМИ2]]</f>
        <v>764800</v>
      </c>
      <c r="O998" s="34">
        <v>46175</v>
      </c>
      <c r="P998" s="10" t="s">
        <v>122</v>
      </c>
      <c r="Q998" s="11">
        <v>7517500</v>
      </c>
      <c r="R998" s="11"/>
      <c r="S998" s="11"/>
      <c r="T998" s="12">
        <v>7517500</v>
      </c>
      <c r="U998" s="10"/>
      <c r="V998" s="10" t="s">
        <v>279</v>
      </c>
    </row>
    <row r="999" spans="2:22" x14ac:dyDescent="0.25">
      <c r="B999" s="1">
        <v>46168</v>
      </c>
      <c r="C999" s="2" t="s">
        <v>101</v>
      </c>
      <c r="D999" s="3" t="s">
        <v>1</v>
      </c>
      <c r="E999" s="3" t="s">
        <v>2</v>
      </c>
      <c r="F999" s="4">
        <v>46.8</v>
      </c>
      <c r="G999" s="4">
        <v>25000</v>
      </c>
      <c r="H999" s="5">
        <f>[1]!РЕАЛИЗАЦИЯ[СОНИ]*[1]!РЕАЛИЗАЦИЯ[НАРХИ]</f>
        <v>1327500</v>
      </c>
      <c r="I999" s="4"/>
      <c r="J999" s="6">
        <v>23000</v>
      </c>
      <c r="K999" s="4">
        <f>[1]!РЕАЛИЗАЦИЯ[[#This Row],[СОНИ]]*[1]!РЕАЛИЗАЦИЯ[[#This Row],[ТАННАРХ]]</f>
        <v>0</v>
      </c>
      <c r="L999" s="7">
        <f>[1]!РЕАЛИЗАЦИЯ[[#This Row],[ЖАМИ]]-[1]!РЕАЛИЗАЦИЯ[[#This Row],[ЖАМИ2]]</f>
        <v>1327500</v>
      </c>
      <c r="O999" s="33">
        <v>46175</v>
      </c>
      <c r="P999" s="3" t="s">
        <v>145</v>
      </c>
      <c r="Q999" s="4">
        <v>900000</v>
      </c>
      <c r="R999" s="4"/>
      <c r="S999" s="4"/>
      <c r="T999" s="5">
        <v>900000</v>
      </c>
      <c r="U999" s="3"/>
      <c r="V999" s="3" t="s">
        <v>275</v>
      </c>
    </row>
    <row r="1000" spans="2:22" x14ac:dyDescent="0.25">
      <c r="B1000" s="8">
        <v>46172</v>
      </c>
      <c r="C1000" s="9" t="s">
        <v>96</v>
      </c>
      <c r="D1000" s="10" t="s">
        <v>10</v>
      </c>
      <c r="E1000" s="10" t="s">
        <v>2</v>
      </c>
      <c r="F1000" s="11">
        <v>49.5</v>
      </c>
      <c r="G1000" s="11">
        <v>16000</v>
      </c>
      <c r="H1000" s="12">
        <f>[1]!РЕАЛИЗАЦИЯ[СОНИ]*[1]!РЕАЛИЗАЦИЯ[НАРХИ]</f>
        <v>2810500</v>
      </c>
      <c r="I1000" s="11"/>
      <c r="J1000" s="13">
        <v>14000</v>
      </c>
      <c r="K1000" s="11">
        <f>[1]!РЕАЛИЗАЦИЯ[[#This Row],[СОНИ]]*[1]!РЕАЛИЗАЦИЯ[[#This Row],[ТАННАРХ]]</f>
        <v>0</v>
      </c>
      <c r="L1000" s="14">
        <f>[1]!РЕАЛИЗАЦИЯ[[#This Row],[ЖАМИ]]-[1]!РЕАЛИЗАЦИЯ[[#This Row],[ЖАМИ2]]</f>
        <v>2810500</v>
      </c>
      <c r="O1000" s="34">
        <v>46175</v>
      </c>
      <c r="P1000" s="10" t="s">
        <v>22</v>
      </c>
      <c r="Q1000" s="11">
        <v>1393800</v>
      </c>
      <c r="R1000" s="11"/>
      <c r="S1000" s="11"/>
      <c r="T1000" s="12">
        <v>1393800</v>
      </c>
      <c r="U1000" s="10"/>
      <c r="V1000" s="10"/>
    </row>
    <row r="1001" spans="2:22" x14ac:dyDescent="0.25">
      <c r="B1001" s="1">
        <v>46172</v>
      </c>
      <c r="C1001" s="2" t="s">
        <v>96</v>
      </c>
      <c r="D1001" s="3" t="s">
        <v>1</v>
      </c>
      <c r="E1001" s="3" t="s">
        <v>2</v>
      </c>
      <c r="F1001" s="4">
        <v>47.3</v>
      </c>
      <c r="G1001" s="4">
        <v>25000</v>
      </c>
      <c r="H1001" s="5">
        <f>[1]!РЕАЛИЗАЦИЯ[СОНИ]*[1]!РЕАЛИЗАЦИЯ[НАРХИ]</f>
        <v>14504700.000000002</v>
      </c>
      <c r="I1001" s="4"/>
      <c r="J1001" s="6">
        <v>23000</v>
      </c>
      <c r="K1001" s="4">
        <f>[1]!РЕАЛИЗАЦИЯ[[#This Row],[СОНИ]]*[1]!РЕАЛИЗАЦИЯ[[#This Row],[ТАННАРХ]]</f>
        <v>0</v>
      </c>
      <c r="L1001" s="7">
        <f>[1]!РЕАЛИЗАЦИЯ[[#This Row],[ЖАМИ]]-[1]!РЕАЛИЗАЦИЯ[[#This Row],[ЖАМИ2]]</f>
        <v>14504700.000000002</v>
      </c>
      <c r="O1001" s="33">
        <v>46175</v>
      </c>
      <c r="P1001" s="3" t="s">
        <v>262</v>
      </c>
      <c r="Q1001" s="4">
        <v>12963600</v>
      </c>
      <c r="R1001" s="4"/>
      <c r="S1001" s="4"/>
      <c r="T1001" s="5">
        <v>12963600</v>
      </c>
      <c r="U1001" s="3"/>
      <c r="V1001" s="3" t="s">
        <v>279</v>
      </c>
    </row>
    <row r="1002" spans="2:22" x14ac:dyDescent="0.25">
      <c r="B1002" s="8">
        <v>46172</v>
      </c>
      <c r="C1002" s="9" t="s">
        <v>221</v>
      </c>
      <c r="D1002" s="10" t="s">
        <v>1</v>
      </c>
      <c r="E1002" s="10" t="s">
        <v>2</v>
      </c>
      <c r="F1002" s="11">
        <v>148.1</v>
      </c>
      <c r="G1002" s="11">
        <v>25000</v>
      </c>
      <c r="H1002" s="12">
        <f>[1]!РЕАЛИЗАЦИЯ[СОНИ]*[1]!РЕАЛИЗАЦИЯ[НАРХИ]</f>
        <v>1060500</v>
      </c>
      <c r="I1002" s="11"/>
      <c r="J1002" s="13">
        <v>23000</v>
      </c>
      <c r="K1002" s="11">
        <f>[1]!РЕАЛИЗАЦИЯ[[#This Row],[СОНИ]]*[1]!РЕАЛИЗАЦИЯ[[#This Row],[ТАННАРХ]]</f>
        <v>0</v>
      </c>
      <c r="L1002" s="14">
        <f>[1]!РЕАЛИЗАЦИЯ[[#This Row],[ЖАМИ]]-[1]!РЕАЛИЗАЦИЯ[[#This Row],[ЖАМИ2]]</f>
        <v>1060500</v>
      </c>
      <c r="O1002" s="34">
        <v>46176</v>
      </c>
      <c r="P1002" s="10" t="s">
        <v>9</v>
      </c>
      <c r="Q1002" s="11">
        <v>11597100</v>
      </c>
      <c r="R1002" s="11"/>
      <c r="S1002" s="11"/>
      <c r="T1002" s="12">
        <v>11597100</v>
      </c>
      <c r="U1002" s="10"/>
      <c r="V1002" s="10" t="s">
        <v>279</v>
      </c>
    </row>
    <row r="1003" spans="2:22" x14ac:dyDescent="0.25">
      <c r="B1003" s="1">
        <v>46172</v>
      </c>
      <c r="C1003" s="2" t="s">
        <v>62</v>
      </c>
      <c r="D1003" s="3" t="s">
        <v>1</v>
      </c>
      <c r="E1003" s="3" t="s">
        <v>2</v>
      </c>
      <c r="F1003" s="4">
        <v>47.4</v>
      </c>
      <c r="G1003" s="4">
        <v>25000</v>
      </c>
      <c r="H1003" s="5">
        <f>[1]!РЕАЛИЗАЦИЯ[СОНИ]*[1]!РЕАЛИЗАЦИЯ[НАРХИ]</f>
        <v>784000</v>
      </c>
      <c r="I1003" s="4"/>
      <c r="J1003" s="6">
        <v>23000</v>
      </c>
      <c r="K1003" s="4">
        <f>[1]!РЕАЛИЗАЦИЯ[[#This Row],[СОНИ]]*[1]!РЕАЛИЗАЦИЯ[[#This Row],[ТАННАРХ]]</f>
        <v>0</v>
      </c>
      <c r="L1003" s="7">
        <f>[1]!РЕАЛИЗАЦИЯ[[#This Row],[ЖАМИ]]-[1]!РЕАЛИЗАЦИЯ[[#This Row],[ЖАМИ2]]</f>
        <v>784000</v>
      </c>
      <c r="O1003" s="33">
        <v>46176</v>
      </c>
      <c r="P1003" s="3" t="s">
        <v>9</v>
      </c>
      <c r="Q1003" s="4">
        <v>12374300</v>
      </c>
      <c r="R1003" s="4"/>
      <c r="S1003" s="4"/>
      <c r="T1003" s="5">
        <v>12374300</v>
      </c>
      <c r="U1003" s="3"/>
      <c r="V1003" s="3" t="s">
        <v>279</v>
      </c>
    </row>
    <row r="1004" spans="2:22" x14ac:dyDescent="0.25">
      <c r="B1004" s="8">
        <v>46172</v>
      </c>
      <c r="C1004" s="9" t="s">
        <v>62</v>
      </c>
      <c r="D1004" s="10" t="s">
        <v>10</v>
      </c>
      <c r="E1004" s="10" t="s">
        <v>2</v>
      </c>
      <c r="F1004" s="11">
        <v>44.7</v>
      </c>
      <c r="G1004" s="11">
        <v>16000</v>
      </c>
      <c r="H1004" s="12">
        <f>[1]!РЕАЛИЗАЦИЯ[СОНИ]*[1]!РЕАЛИЗАЦИЯ[НАРХИ]</f>
        <v>1047900</v>
      </c>
      <c r="I1004" s="11"/>
      <c r="J1004" s="13">
        <v>14000</v>
      </c>
      <c r="K1004" s="11">
        <f>[1]!РЕАЛИЗАЦИЯ[[#This Row],[СОНИ]]*[1]!РЕАЛИЗАЦИЯ[[#This Row],[ТАННАРХ]]</f>
        <v>0</v>
      </c>
      <c r="L1004" s="14">
        <f>[1]!РЕАЛИЗАЦИЯ[[#This Row],[ЖАМИ]]-[1]!РЕАЛИЗАЦИЯ[[#This Row],[ЖАМИ2]]</f>
        <v>1047900</v>
      </c>
      <c r="O1004" s="34">
        <v>46176</v>
      </c>
      <c r="P1004" s="10" t="s">
        <v>9</v>
      </c>
      <c r="Q1004" s="11">
        <v>18594800</v>
      </c>
      <c r="R1004" s="11"/>
      <c r="S1004" s="11"/>
      <c r="T1004" s="12">
        <v>18594800</v>
      </c>
      <c r="U1004" s="10"/>
      <c r="V1004" s="10" t="s">
        <v>279</v>
      </c>
    </row>
    <row r="1005" spans="2:22" x14ac:dyDescent="0.25">
      <c r="B1005" s="1">
        <v>46172</v>
      </c>
      <c r="C1005" s="2" t="s">
        <v>127</v>
      </c>
      <c r="D1005" s="3" t="s">
        <v>1</v>
      </c>
      <c r="E1005" s="3" t="s">
        <v>2</v>
      </c>
      <c r="F1005" s="4">
        <v>88</v>
      </c>
      <c r="G1005" s="4">
        <v>25000</v>
      </c>
      <c r="H1005" s="5">
        <f>[1]!РЕАЛИЗАЦИЯ[СОНИ]*[1]!РЕАЛИЗАЦИЯ[НАРХИ]</f>
        <v>2076750</v>
      </c>
      <c r="I1005" s="4"/>
      <c r="J1005" s="6">
        <v>23000</v>
      </c>
      <c r="K1005" s="4">
        <f>[1]!РЕАЛИЗАЦИЯ[[#This Row],[СОНИ]]*[1]!РЕАЛИЗАЦИЯ[[#This Row],[ТАННАРХ]]</f>
        <v>0</v>
      </c>
      <c r="L1005" s="7">
        <f>[1]!РЕАЛИЗАЦИЯ[[#This Row],[ЖАМИ]]-[1]!РЕАЛИЗАЦИЯ[[#This Row],[ЖАМИ2]]</f>
        <v>2076750</v>
      </c>
      <c r="O1005" s="33">
        <v>46176</v>
      </c>
      <c r="P1005" s="3" t="s">
        <v>60</v>
      </c>
      <c r="Q1005" s="4">
        <v>10000000</v>
      </c>
      <c r="R1005" s="4"/>
      <c r="S1005" s="4"/>
      <c r="T1005" s="5">
        <v>10000000</v>
      </c>
      <c r="U1005" s="3"/>
      <c r="V1005" s="3" t="s">
        <v>275</v>
      </c>
    </row>
    <row r="1006" spans="2:22" x14ac:dyDescent="0.25">
      <c r="B1006" s="1">
        <v>46174</v>
      </c>
      <c r="C1006" s="2" t="s">
        <v>99</v>
      </c>
      <c r="D1006" s="3" t="s">
        <v>10</v>
      </c>
      <c r="E1006" s="3" t="s">
        <v>2</v>
      </c>
      <c r="F1006" s="4">
        <v>48.4</v>
      </c>
      <c r="G1006" s="4">
        <v>16000</v>
      </c>
      <c r="H1006" s="5">
        <v>774400</v>
      </c>
      <c r="I1006" s="4"/>
      <c r="J1006" s="4">
        <v>14000</v>
      </c>
      <c r="K1006" s="4">
        <v>677600</v>
      </c>
      <c r="L1006" s="4">
        <v>96800</v>
      </c>
      <c r="O1006" s="34">
        <v>46176</v>
      </c>
      <c r="P1006" s="10" t="s">
        <v>127</v>
      </c>
      <c r="Q1006" s="11">
        <v>2200000</v>
      </c>
      <c r="R1006" s="11"/>
      <c r="S1006" s="11"/>
      <c r="T1006" s="12">
        <v>2200000</v>
      </c>
      <c r="U1006" s="10"/>
      <c r="V1006" s="10" t="s">
        <v>287</v>
      </c>
    </row>
    <row r="1007" spans="2:22" x14ac:dyDescent="0.25">
      <c r="B1007" s="8">
        <v>46174</v>
      </c>
      <c r="C1007" s="9" t="s">
        <v>322</v>
      </c>
      <c r="D1007" s="10" t="s">
        <v>10</v>
      </c>
      <c r="E1007" s="10" t="s">
        <v>2</v>
      </c>
      <c r="F1007" s="11">
        <v>49.4</v>
      </c>
      <c r="G1007" s="11">
        <v>16000</v>
      </c>
      <c r="H1007" s="12">
        <v>790400</v>
      </c>
      <c r="I1007" s="11"/>
      <c r="J1007" s="11">
        <v>14000</v>
      </c>
      <c r="K1007" s="11">
        <v>691600</v>
      </c>
      <c r="L1007" s="11">
        <v>98800</v>
      </c>
      <c r="O1007" s="33">
        <v>46176</v>
      </c>
      <c r="P1007" s="3" t="s">
        <v>324</v>
      </c>
      <c r="Q1007" s="4">
        <v>1895800</v>
      </c>
      <c r="R1007" s="4"/>
      <c r="S1007" s="4"/>
      <c r="T1007" s="5">
        <v>1895800</v>
      </c>
      <c r="U1007" s="3"/>
      <c r="V1007" s="3"/>
    </row>
    <row r="1008" spans="2:22" x14ac:dyDescent="0.25">
      <c r="B1008" s="1">
        <v>46174</v>
      </c>
      <c r="C1008" s="2" t="s">
        <v>65</v>
      </c>
      <c r="D1008" s="3" t="s">
        <v>8</v>
      </c>
      <c r="E1008" s="3" t="s">
        <v>2</v>
      </c>
      <c r="F1008" s="4">
        <v>415.9</v>
      </c>
      <c r="G1008" s="4">
        <v>25000</v>
      </c>
      <c r="H1008" s="5">
        <v>10397500</v>
      </c>
      <c r="I1008" s="4"/>
      <c r="J1008" s="4">
        <v>22000</v>
      </c>
      <c r="K1008" s="4">
        <v>9149800</v>
      </c>
      <c r="L1008" s="4">
        <v>1247700</v>
      </c>
      <c r="O1008" s="34">
        <v>46176</v>
      </c>
      <c r="P1008" s="10" t="s">
        <v>41</v>
      </c>
      <c r="Q1008" s="11">
        <v>1135000</v>
      </c>
      <c r="R1008" s="11"/>
      <c r="S1008" s="11"/>
      <c r="T1008" s="12">
        <v>1135000</v>
      </c>
      <c r="U1008" s="10"/>
      <c r="V1008" s="10"/>
    </row>
    <row r="1009" spans="2:22" x14ac:dyDescent="0.25">
      <c r="B1009" s="8">
        <v>46174</v>
      </c>
      <c r="C1009" s="9" t="s">
        <v>41</v>
      </c>
      <c r="D1009" s="10" t="s">
        <v>1</v>
      </c>
      <c r="E1009" s="10" t="s">
        <v>2</v>
      </c>
      <c r="F1009" s="11">
        <v>96.3</v>
      </c>
      <c r="G1009" s="11">
        <v>25000</v>
      </c>
      <c r="H1009" s="12">
        <v>2407500</v>
      </c>
      <c r="I1009" s="11"/>
      <c r="J1009" s="11">
        <v>23000</v>
      </c>
      <c r="K1009" s="11">
        <v>2214900</v>
      </c>
      <c r="L1009" s="11">
        <v>192600</v>
      </c>
      <c r="O1009" s="33">
        <v>46176</v>
      </c>
      <c r="P1009" s="3" t="s">
        <v>392</v>
      </c>
      <c r="Q1009" s="4">
        <v>543600</v>
      </c>
      <c r="R1009" s="4"/>
      <c r="S1009" s="4"/>
      <c r="T1009" s="5">
        <v>543600</v>
      </c>
      <c r="U1009" s="3"/>
      <c r="V1009" s="3" t="s">
        <v>393</v>
      </c>
    </row>
    <row r="1010" spans="2:22" x14ac:dyDescent="0.25">
      <c r="B1010" s="1">
        <v>46174</v>
      </c>
      <c r="C1010" s="2" t="s">
        <v>41</v>
      </c>
      <c r="D1010" s="3" t="s">
        <v>10</v>
      </c>
      <c r="E1010" s="3" t="s">
        <v>2</v>
      </c>
      <c r="F1010" s="4">
        <v>94.1</v>
      </c>
      <c r="G1010" s="4">
        <v>16000</v>
      </c>
      <c r="H1010" s="5">
        <v>1505600</v>
      </c>
      <c r="I1010" s="4"/>
      <c r="J1010" s="4">
        <v>14000</v>
      </c>
      <c r="K1010" s="4">
        <v>1317400</v>
      </c>
      <c r="L1010" s="4">
        <v>188200</v>
      </c>
      <c r="O1010" s="34">
        <v>46176</v>
      </c>
      <c r="P1010" s="10" t="s">
        <v>202</v>
      </c>
      <c r="Q1010" s="11">
        <v>7000000</v>
      </c>
      <c r="R1010" s="11"/>
      <c r="S1010" s="11"/>
      <c r="T1010" s="12">
        <v>7000000</v>
      </c>
      <c r="U1010" s="10"/>
      <c r="V1010" s="10"/>
    </row>
    <row r="1011" spans="2:22" x14ac:dyDescent="0.25">
      <c r="B1011" s="8">
        <v>46174</v>
      </c>
      <c r="C1011" s="37" t="s">
        <v>217</v>
      </c>
      <c r="D1011" s="38" t="s">
        <v>1</v>
      </c>
      <c r="E1011" s="10" t="s">
        <v>2</v>
      </c>
      <c r="F1011" s="11">
        <v>47.9</v>
      </c>
      <c r="G1011" s="11">
        <v>24000</v>
      </c>
      <c r="H1011" s="12">
        <v>1149600</v>
      </c>
      <c r="I1011" s="11"/>
      <c r="J1011" s="11">
        <v>23000</v>
      </c>
      <c r="K1011" s="11">
        <v>1101700</v>
      </c>
      <c r="L1011" s="11">
        <v>47900</v>
      </c>
      <c r="O1011" s="33">
        <v>46176</v>
      </c>
      <c r="P1011" s="3" t="s">
        <v>81</v>
      </c>
      <c r="Q1011" s="4">
        <v>1736000</v>
      </c>
      <c r="R1011" s="4"/>
      <c r="S1011" s="4"/>
      <c r="T1011" s="5">
        <v>1736000</v>
      </c>
      <c r="U1011" s="3"/>
      <c r="V1011" s="3"/>
    </row>
    <row r="1012" spans="2:22" x14ac:dyDescent="0.25">
      <c r="B1012" s="1">
        <v>46174</v>
      </c>
      <c r="C1012" s="39" t="s">
        <v>19</v>
      </c>
      <c r="D1012" s="3" t="s">
        <v>323</v>
      </c>
      <c r="E1012" s="3" t="s">
        <v>2</v>
      </c>
      <c r="F1012" s="4">
        <v>48.7</v>
      </c>
      <c r="G1012" s="4">
        <v>23000</v>
      </c>
      <c r="H1012" s="5">
        <v>1120100</v>
      </c>
      <c r="I1012" s="4"/>
      <c r="J1012" s="4">
        <v>21000</v>
      </c>
      <c r="K1012" s="4">
        <v>1022700.0000000001</v>
      </c>
      <c r="L1012" s="4">
        <v>97399.999999999884</v>
      </c>
      <c r="O1012" s="34">
        <v>46176</v>
      </c>
      <c r="P1012" s="10" t="s">
        <v>38</v>
      </c>
      <c r="Q1012" s="11">
        <v>993300</v>
      </c>
      <c r="R1012" s="11"/>
      <c r="S1012" s="11"/>
      <c r="T1012" s="12">
        <v>993300</v>
      </c>
      <c r="U1012" s="10"/>
      <c r="V1012" s="10"/>
    </row>
    <row r="1013" spans="2:22" x14ac:dyDescent="0.25">
      <c r="B1013" s="8">
        <v>46174</v>
      </c>
      <c r="C1013" s="37" t="s">
        <v>47</v>
      </c>
      <c r="D1013" s="10" t="s">
        <v>1</v>
      </c>
      <c r="E1013" s="10" t="s">
        <v>2</v>
      </c>
      <c r="F1013" s="11">
        <v>150.4</v>
      </c>
      <c r="G1013" s="11">
        <v>25000</v>
      </c>
      <c r="H1013" s="12">
        <v>3760000</v>
      </c>
      <c r="I1013" s="11"/>
      <c r="J1013" s="11">
        <v>23000</v>
      </c>
      <c r="K1013" s="11">
        <v>3459200</v>
      </c>
      <c r="L1013" s="11">
        <v>300800</v>
      </c>
      <c r="O1013" s="33">
        <v>46176</v>
      </c>
      <c r="P1013" s="3" t="s">
        <v>0</v>
      </c>
      <c r="Q1013" s="4">
        <v>804800</v>
      </c>
      <c r="R1013" s="4"/>
      <c r="S1013" s="4"/>
      <c r="T1013" s="5">
        <v>804800</v>
      </c>
      <c r="U1013" s="3"/>
      <c r="V1013" s="3"/>
    </row>
    <row r="1014" spans="2:22" x14ac:dyDescent="0.25">
      <c r="B1014" s="1">
        <v>46174</v>
      </c>
      <c r="C1014" s="39" t="s">
        <v>47</v>
      </c>
      <c r="D1014" s="3" t="s">
        <v>10</v>
      </c>
      <c r="E1014" s="3" t="s">
        <v>2</v>
      </c>
      <c r="F1014" s="4">
        <v>201</v>
      </c>
      <c r="G1014" s="4">
        <v>16000</v>
      </c>
      <c r="H1014" s="5">
        <v>3216000</v>
      </c>
      <c r="I1014" s="4"/>
      <c r="J1014" s="4">
        <v>14000</v>
      </c>
      <c r="K1014" s="4">
        <v>2814000</v>
      </c>
      <c r="L1014" s="4">
        <v>402000</v>
      </c>
      <c r="O1014" s="34">
        <v>46176</v>
      </c>
      <c r="P1014" s="10" t="s">
        <v>53</v>
      </c>
      <c r="Q1014" s="11">
        <v>36000000</v>
      </c>
      <c r="R1014" s="11"/>
      <c r="S1014" s="11"/>
      <c r="T1014" s="12">
        <v>36000000</v>
      </c>
      <c r="U1014" s="10"/>
      <c r="V1014" s="10" t="s">
        <v>287</v>
      </c>
    </row>
    <row r="1015" spans="2:22" x14ac:dyDescent="0.25">
      <c r="B1015" s="8">
        <v>46174</v>
      </c>
      <c r="C1015" s="37" t="s">
        <v>49</v>
      </c>
      <c r="D1015" s="10" t="s">
        <v>10</v>
      </c>
      <c r="E1015" s="10" t="s">
        <v>2</v>
      </c>
      <c r="F1015" s="11">
        <v>43.1</v>
      </c>
      <c r="G1015" s="11">
        <v>16000</v>
      </c>
      <c r="H1015" s="12">
        <v>689600</v>
      </c>
      <c r="I1015" s="11"/>
      <c r="J1015" s="11">
        <v>14000</v>
      </c>
      <c r="K1015" s="11">
        <v>603400</v>
      </c>
      <c r="L1015" s="11">
        <v>86200</v>
      </c>
      <c r="O1015" s="33">
        <v>46176</v>
      </c>
      <c r="P1015" s="3" t="s">
        <v>53</v>
      </c>
      <c r="Q1015" s="4">
        <v>55789050</v>
      </c>
      <c r="R1015" s="4"/>
      <c r="S1015" s="4"/>
      <c r="T1015" s="5">
        <v>55789050</v>
      </c>
      <c r="U1015" s="3"/>
      <c r="V1015" s="3"/>
    </row>
    <row r="1016" spans="2:22" x14ac:dyDescent="0.25">
      <c r="B1016" s="1">
        <v>46174</v>
      </c>
      <c r="C1016" s="39" t="s">
        <v>138</v>
      </c>
      <c r="D1016" s="3" t="s">
        <v>8</v>
      </c>
      <c r="E1016" s="3" t="s">
        <v>2</v>
      </c>
      <c r="F1016" s="4">
        <v>206.3</v>
      </c>
      <c r="G1016" s="4">
        <v>24960</v>
      </c>
      <c r="H1016" s="5">
        <v>5149248</v>
      </c>
      <c r="I1016" s="4"/>
      <c r="J1016" s="4">
        <v>22000</v>
      </c>
      <c r="K1016" s="4">
        <v>4538600</v>
      </c>
      <c r="L1016" s="4">
        <v>610648</v>
      </c>
      <c r="O1016" s="34">
        <v>46176</v>
      </c>
      <c r="P1016" s="10" t="s">
        <v>310</v>
      </c>
      <c r="Q1016" s="11">
        <v>985000</v>
      </c>
      <c r="R1016" s="11"/>
      <c r="S1016" s="11"/>
      <c r="T1016" s="12">
        <v>985000</v>
      </c>
      <c r="U1016" s="10"/>
      <c r="V1016" s="10"/>
    </row>
    <row r="1017" spans="2:22" x14ac:dyDescent="0.25">
      <c r="B1017" s="8">
        <v>46174</v>
      </c>
      <c r="C1017" s="37" t="s">
        <v>200</v>
      </c>
      <c r="D1017" s="10" t="s">
        <v>8</v>
      </c>
      <c r="E1017" s="10" t="s">
        <v>2</v>
      </c>
      <c r="F1017" s="11">
        <v>212.5</v>
      </c>
      <c r="G1017" s="11">
        <v>25000</v>
      </c>
      <c r="H1017" s="12">
        <v>5312500</v>
      </c>
      <c r="I1017" s="11"/>
      <c r="J1017" s="11">
        <v>22000</v>
      </c>
      <c r="K1017" s="11">
        <v>4675000</v>
      </c>
      <c r="L1017" s="11">
        <v>637500</v>
      </c>
      <c r="O1017" s="33">
        <v>46176</v>
      </c>
      <c r="P1017" s="3" t="s">
        <v>160</v>
      </c>
      <c r="Q1017" s="4">
        <v>604000</v>
      </c>
      <c r="R1017" s="4"/>
      <c r="S1017" s="4"/>
      <c r="T1017" s="5">
        <v>604000</v>
      </c>
      <c r="U1017" s="3"/>
      <c r="V1017" s="3"/>
    </row>
    <row r="1018" spans="2:22" x14ac:dyDescent="0.25">
      <c r="B1018" s="1">
        <v>46174</v>
      </c>
      <c r="C1018" s="39" t="s">
        <v>79</v>
      </c>
      <c r="D1018" s="3" t="s">
        <v>29</v>
      </c>
      <c r="E1018" s="3" t="s">
        <v>2</v>
      </c>
      <c r="F1018" s="4">
        <v>205.4</v>
      </c>
      <c r="G1018" s="4">
        <v>21000</v>
      </c>
      <c r="H1018" s="5">
        <v>4313400</v>
      </c>
      <c r="I1018" s="4"/>
      <c r="J1018" s="4">
        <v>18000</v>
      </c>
      <c r="K1018" s="4">
        <v>3697200</v>
      </c>
      <c r="L1018" s="4">
        <v>616200</v>
      </c>
      <c r="O1018" s="34">
        <v>46177</v>
      </c>
      <c r="P1018" s="10" t="s">
        <v>220</v>
      </c>
      <c r="Q1018" s="11">
        <v>787000</v>
      </c>
      <c r="R1018" s="11"/>
      <c r="S1018" s="11"/>
      <c r="T1018" s="12">
        <v>787000</v>
      </c>
      <c r="U1018" s="10"/>
      <c r="V1018" s="10"/>
    </row>
    <row r="1019" spans="2:22" x14ac:dyDescent="0.25">
      <c r="B1019" s="8">
        <v>46174</v>
      </c>
      <c r="C1019" s="37" t="s">
        <v>41</v>
      </c>
      <c r="D1019" s="10" t="s">
        <v>10</v>
      </c>
      <c r="E1019" s="10" t="s">
        <v>2</v>
      </c>
      <c r="F1019" s="11">
        <v>-49.6</v>
      </c>
      <c r="G1019" s="11">
        <v>16000</v>
      </c>
      <c r="H1019" s="12">
        <v>-793600</v>
      </c>
      <c r="I1019" s="11"/>
      <c r="J1019" s="11">
        <v>13000</v>
      </c>
      <c r="K1019" s="11">
        <v>-644800</v>
      </c>
      <c r="L1019" s="11">
        <v>-148800</v>
      </c>
      <c r="O1019" s="33">
        <v>46177</v>
      </c>
      <c r="P1019" s="3" t="s">
        <v>329</v>
      </c>
      <c r="Q1019" s="4">
        <v>1076400</v>
      </c>
      <c r="R1019" s="4"/>
      <c r="S1019" s="4"/>
      <c r="T1019" s="5">
        <v>1076400</v>
      </c>
      <c r="U1019" s="3"/>
      <c r="V1019" s="3"/>
    </row>
    <row r="1020" spans="2:22" x14ac:dyDescent="0.25">
      <c r="B1020" s="1">
        <v>46174</v>
      </c>
      <c r="C1020" s="39" t="s">
        <v>12</v>
      </c>
      <c r="D1020" s="3" t="s">
        <v>16</v>
      </c>
      <c r="E1020" s="3" t="s">
        <v>2</v>
      </c>
      <c r="F1020" s="4">
        <v>1682.8</v>
      </c>
      <c r="G1020" s="4">
        <v>30000</v>
      </c>
      <c r="H1020" s="5">
        <v>50484000</v>
      </c>
      <c r="I1020" s="4">
        <v>240</v>
      </c>
      <c r="J1020" s="4">
        <v>25000</v>
      </c>
      <c r="K1020" s="4">
        <v>42070000</v>
      </c>
      <c r="L1020" s="4">
        <v>8414000</v>
      </c>
      <c r="O1020" s="34">
        <v>46177</v>
      </c>
      <c r="P1020" s="10" t="s">
        <v>330</v>
      </c>
      <c r="Q1020" s="11">
        <v>1891200</v>
      </c>
      <c r="R1020" s="11"/>
      <c r="S1020" s="11"/>
      <c r="T1020" s="12">
        <v>1891200</v>
      </c>
      <c r="U1020" s="10"/>
      <c r="V1020" s="10"/>
    </row>
    <row r="1021" spans="2:22" x14ac:dyDescent="0.25">
      <c r="B1021" s="8">
        <v>46175</v>
      </c>
      <c r="C1021" s="9" t="s">
        <v>12</v>
      </c>
      <c r="D1021" s="10" t="s">
        <v>16</v>
      </c>
      <c r="E1021" s="10" t="s">
        <v>2</v>
      </c>
      <c r="F1021" s="11">
        <v>957.6</v>
      </c>
      <c r="G1021" s="11">
        <v>30000</v>
      </c>
      <c r="H1021" s="12">
        <v>28728000</v>
      </c>
      <c r="I1021" s="11">
        <v>280</v>
      </c>
      <c r="J1021" s="11">
        <v>25000</v>
      </c>
      <c r="K1021" s="11">
        <v>23940000</v>
      </c>
      <c r="L1021" s="11">
        <v>4788000</v>
      </c>
      <c r="O1021" s="33">
        <v>46177</v>
      </c>
      <c r="P1021" s="3" t="s">
        <v>89</v>
      </c>
      <c r="Q1021" s="4">
        <v>13300000</v>
      </c>
      <c r="R1021" s="4"/>
      <c r="S1021" s="4"/>
      <c r="T1021" s="5">
        <v>13300000</v>
      </c>
      <c r="U1021" s="3"/>
      <c r="V1021" s="3"/>
    </row>
    <row r="1022" spans="2:22" x14ac:dyDescent="0.25">
      <c r="B1022" s="1">
        <v>46175</v>
      </c>
      <c r="C1022" s="39" t="s">
        <v>137</v>
      </c>
      <c r="D1022" s="3" t="s">
        <v>10</v>
      </c>
      <c r="E1022" s="3" t="s">
        <v>2</v>
      </c>
      <c r="F1022" s="4">
        <v>803</v>
      </c>
      <c r="G1022" s="4">
        <v>16000</v>
      </c>
      <c r="H1022" s="5">
        <v>12848000</v>
      </c>
      <c r="I1022" s="4"/>
      <c r="J1022" s="4"/>
      <c r="K1022" s="4">
        <v>0</v>
      </c>
      <c r="L1022" s="4">
        <v>12848000</v>
      </c>
      <c r="O1022" s="34">
        <v>46178</v>
      </c>
      <c r="P1022" s="10" t="s">
        <v>55</v>
      </c>
      <c r="Q1022" s="11">
        <v>443000</v>
      </c>
      <c r="R1022" s="11"/>
      <c r="S1022" s="11"/>
      <c r="T1022" s="12">
        <v>443000</v>
      </c>
      <c r="U1022" s="10"/>
      <c r="V1022" s="10"/>
    </row>
    <row r="1023" spans="2:22" x14ac:dyDescent="0.25">
      <c r="B1023" s="8">
        <v>46175</v>
      </c>
      <c r="C1023" s="37" t="s">
        <v>324</v>
      </c>
      <c r="D1023" s="10" t="s">
        <v>10</v>
      </c>
      <c r="E1023" s="10" t="s">
        <v>2</v>
      </c>
      <c r="F1023" s="11">
        <v>46.9</v>
      </c>
      <c r="G1023" s="11">
        <v>16000</v>
      </c>
      <c r="H1023" s="12">
        <v>750400</v>
      </c>
      <c r="I1023" s="11"/>
      <c r="J1023" s="11"/>
      <c r="K1023" s="11">
        <v>0</v>
      </c>
      <c r="L1023" s="11">
        <v>750400</v>
      </c>
      <c r="O1023" s="33">
        <v>46178</v>
      </c>
      <c r="P1023" s="3" t="s">
        <v>332</v>
      </c>
      <c r="Q1023" s="4">
        <v>913100</v>
      </c>
      <c r="R1023" s="4"/>
      <c r="S1023" s="4"/>
      <c r="T1023" s="5">
        <v>913100</v>
      </c>
      <c r="U1023" s="3"/>
      <c r="V1023" s="3"/>
    </row>
    <row r="1024" spans="2:22" x14ac:dyDescent="0.25">
      <c r="B1024" s="1">
        <v>46175</v>
      </c>
      <c r="C1024" s="39" t="s">
        <v>324</v>
      </c>
      <c r="D1024" s="3" t="s">
        <v>323</v>
      </c>
      <c r="E1024" s="3" t="s">
        <v>2</v>
      </c>
      <c r="F1024" s="4">
        <v>49.8</v>
      </c>
      <c r="G1024" s="4">
        <v>23000</v>
      </c>
      <c r="H1024" s="5">
        <v>1145400</v>
      </c>
      <c r="I1024" s="4"/>
      <c r="J1024" s="4"/>
      <c r="K1024" s="4">
        <v>0</v>
      </c>
      <c r="L1024" s="4">
        <v>1145400</v>
      </c>
      <c r="O1024" s="34">
        <v>46178</v>
      </c>
      <c r="P1024" s="10" t="s">
        <v>283</v>
      </c>
      <c r="Q1024" s="11">
        <v>1099700</v>
      </c>
      <c r="R1024" s="11"/>
      <c r="S1024" s="11"/>
      <c r="T1024" s="12">
        <v>1099700</v>
      </c>
      <c r="U1024" s="10"/>
      <c r="V1024" s="10"/>
    </row>
    <row r="1025" spans="2:22" x14ac:dyDescent="0.25">
      <c r="B1025" s="8">
        <v>46175</v>
      </c>
      <c r="C1025" s="37" t="s">
        <v>41</v>
      </c>
      <c r="D1025" s="10" t="s">
        <v>1</v>
      </c>
      <c r="E1025" s="10" t="s">
        <v>2</v>
      </c>
      <c r="F1025" s="11">
        <v>53.4</v>
      </c>
      <c r="G1025" s="11">
        <v>25000</v>
      </c>
      <c r="H1025" s="12">
        <v>1335000</v>
      </c>
      <c r="I1025" s="11"/>
      <c r="J1025" s="11"/>
      <c r="K1025" s="11">
        <v>0</v>
      </c>
      <c r="L1025" s="11">
        <v>1335000</v>
      </c>
      <c r="O1025" s="33">
        <v>46178</v>
      </c>
      <c r="P1025" s="3" t="s">
        <v>18</v>
      </c>
      <c r="Q1025" s="4">
        <v>613300</v>
      </c>
      <c r="R1025" s="4"/>
      <c r="S1025" s="4"/>
      <c r="T1025" s="5">
        <v>613300</v>
      </c>
      <c r="U1025" s="3"/>
      <c r="V1025" s="3"/>
    </row>
    <row r="1026" spans="2:22" x14ac:dyDescent="0.25">
      <c r="B1026" s="1">
        <v>46175</v>
      </c>
      <c r="C1026" s="39" t="s">
        <v>145</v>
      </c>
      <c r="D1026" s="3" t="s">
        <v>1</v>
      </c>
      <c r="E1026" s="3" t="s">
        <v>2</v>
      </c>
      <c r="F1026" s="4">
        <v>43.8</v>
      </c>
      <c r="G1026" s="4">
        <v>25000</v>
      </c>
      <c r="H1026" s="5">
        <v>1095000</v>
      </c>
      <c r="I1026" s="4"/>
      <c r="J1026" s="4"/>
      <c r="K1026" s="4">
        <v>0</v>
      </c>
      <c r="L1026" s="4">
        <v>1095000</v>
      </c>
      <c r="O1026" s="34">
        <v>46178</v>
      </c>
      <c r="P1026" s="10" t="s">
        <v>236</v>
      </c>
      <c r="Q1026" s="11">
        <v>858000</v>
      </c>
      <c r="R1026" s="11"/>
      <c r="S1026" s="11"/>
      <c r="T1026" s="12">
        <v>858000</v>
      </c>
      <c r="U1026" s="10"/>
      <c r="V1026" s="10"/>
    </row>
    <row r="1027" spans="2:22" x14ac:dyDescent="0.25">
      <c r="B1027" s="8">
        <v>46175</v>
      </c>
      <c r="C1027" s="37" t="s">
        <v>17</v>
      </c>
      <c r="D1027" s="10" t="s">
        <v>1</v>
      </c>
      <c r="E1027" s="10" t="s">
        <v>2</v>
      </c>
      <c r="F1027" s="11">
        <v>93.1</v>
      </c>
      <c r="G1027" s="11">
        <v>25000</v>
      </c>
      <c r="H1027" s="12">
        <v>2327500</v>
      </c>
      <c r="I1027" s="11" t="s">
        <v>325</v>
      </c>
      <c r="J1027" s="11"/>
      <c r="K1027" s="11">
        <v>0</v>
      </c>
      <c r="L1027" s="11">
        <v>2327500</v>
      </c>
      <c r="O1027" s="33">
        <v>46178</v>
      </c>
      <c r="P1027" s="3" t="s">
        <v>91</v>
      </c>
      <c r="Q1027" s="4">
        <v>2588900</v>
      </c>
      <c r="R1027" s="4"/>
      <c r="S1027" s="4"/>
      <c r="T1027" s="5">
        <v>2588900</v>
      </c>
      <c r="U1027" s="3"/>
      <c r="V1027" s="3"/>
    </row>
    <row r="1028" spans="2:22" x14ac:dyDescent="0.25">
      <c r="B1028" s="1">
        <v>46175</v>
      </c>
      <c r="C1028" s="39" t="s">
        <v>17</v>
      </c>
      <c r="D1028" s="3" t="s">
        <v>1</v>
      </c>
      <c r="E1028" s="3" t="s">
        <v>2</v>
      </c>
      <c r="F1028" s="4">
        <v>49.1</v>
      </c>
      <c r="G1028" s="4">
        <v>25000</v>
      </c>
      <c r="H1028" s="5">
        <v>1227500</v>
      </c>
      <c r="I1028" s="4"/>
      <c r="J1028" s="4"/>
      <c r="K1028" s="4">
        <v>0</v>
      </c>
      <c r="L1028" s="4">
        <v>1227500</v>
      </c>
      <c r="O1028" s="34">
        <v>46178</v>
      </c>
      <c r="P1028" s="10" t="s">
        <v>68</v>
      </c>
      <c r="Q1028" s="11">
        <v>20000000</v>
      </c>
      <c r="R1028" s="11"/>
      <c r="S1028" s="11"/>
      <c r="T1028" s="12">
        <v>20000000</v>
      </c>
      <c r="U1028" s="10"/>
      <c r="V1028" s="10" t="s">
        <v>279</v>
      </c>
    </row>
    <row r="1029" spans="2:22" x14ac:dyDescent="0.25">
      <c r="B1029" s="8">
        <v>46175</v>
      </c>
      <c r="C1029" s="37" t="s">
        <v>33</v>
      </c>
      <c r="D1029" s="10" t="s">
        <v>10</v>
      </c>
      <c r="E1029" s="10" t="s">
        <v>2</v>
      </c>
      <c r="F1029" s="11">
        <v>1056</v>
      </c>
      <c r="G1029" s="11">
        <v>15000</v>
      </c>
      <c r="H1029" s="12">
        <v>15840000</v>
      </c>
      <c r="I1029" s="11"/>
      <c r="J1029" s="11"/>
      <c r="K1029" s="11">
        <v>0</v>
      </c>
      <c r="L1029" s="11">
        <v>15840000</v>
      </c>
      <c r="O1029" s="33">
        <v>46178</v>
      </c>
      <c r="P1029" s="3" t="s">
        <v>143</v>
      </c>
      <c r="Q1029" s="4">
        <v>2757600</v>
      </c>
      <c r="R1029" s="4"/>
      <c r="S1029" s="4"/>
      <c r="T1029" s="5">
        <v>2757600</v>
      </c>
      <c r="U1029" s="3"/>
      <c r="V1029" s="3" t="s">
        <v>275</v>
      </c>
    </row>
    <row r="1030" spans="2:22" x14ac:dyDescent="0.25">
      <c r="B1030" s="1">
        <v>46175</v>
      </c>
      <c r="C1030" s="39" t="s">
        <v>68</v>
      </c>
      <c r="D1030" s="3" t="s">
        <v>36</v>
      </c>
      <c r="E1030" s="3" t="s">
        <v>2</v>
      </c>
      <c r="F1030" s="4">
        <v>206</v>
      </c>
      <c r="G1030" s="4">
        <v>19000</v>
      </c>
      <c r="H1030" s="5">
        <v>3914000</v>
      </c>
      <c r="I1030" s="4"/>
      <c r="J1030" s="4"/>
      <c r="K1030" s="4">
        <v>0</v>
      </c>
      <c r="L1030" s="4">
        <v>3914000</v>
      </c>
      <c r="O1030" s="34">
        <v>46178</v>
      </c>
      <c r="P1030" s="10" t="s">
        <v>204</v>
      </c>
      <c r="Q1030" s="11">
        <v>1000000</v>
      </c>
      <c r="R1030" s="11"/>
      <c r="S1030" s="11"/>
      <c r="T1030" s="12">
        <v>1000000</v>
      </c>
      <c r="U1030" s="10"/>
      <c r="V1030" s="10" t="s">
        <v>275</v>
      </c>
    </row>
    <row r="1031" spans="2:22" x14ac:dyDescent="0.25">
      <c r="B1031" s="8">
        <v>46175</v>
      </c>
      <c r="C1031" s="37" t="s">
        <v>22</v>
      </c>
      <c r="D1031" s="10" t="s">
        <v>8</v>
      </c>
      <c r="E1031" s="10" t="s">
        <v>2</v>
      </c>
      <c r="F1031" s="11">
        <v>60.6</v>
      </c>
      <c r="G1031" s="11">
        <v>23000</v>
      </c>
      <c r="H1031" s="12">
        <v>1393800</v>
      </c>
      <c r="I1031" s="11"/>
      <c r="J1031" s="11"/>
      <c r="K1031" s="11">
        <v>0</v>
      </c>
      <c r="L1031" s="11">
        <v>1393800</v>
      </c>
      <c r="O1031" s="33">
        <v>46178</v>
      </c>
      <c r="P1031" s="3" t="s">
        <v>12</v>
      </c>
      <c r="Q1031" s="4">
        <v>28728000</v>
      </c>
      <c r="R1031" s="4"/>
      <c r="S1031" s="4"/>
      <c r="T1031" s="5">
        <v>28728000</v>
      </c>
      <c r="U1031" s="3"/>
      <c r="V1031" s="3"/>
    </row>
    <row r="1032" spans="2:22" x14ac:dyDescent="0.25">
      <c r="B1032" s="1">
        <v>46175</v>
      </c>
      <c r="C1032" s="39" t="s">
        <v>326</v>
      </c>
      <c r="D1032" s="3" t="s">
        <v>1</v>
      </c>
      <c r="E1032" s="3" t="s">
        <v>2</v>
      </c>
      <c r="F1032" s="4">
        <v>278.39999999999998</v>
      </c>
      <c r="G1032" s="4">
        <v>25000</v>
      </c>
      <c r="H1032" s="5">
        <v>6959999.9999999991</v>
      </c>
      <c r="I1032" s="4"/>
      <c r="J1032" s="4"/>
      <c r="K1032" s="4">
        <v>0</v>
      </c>
      <c r="L1032" s="4">
        <v>6959999.9999999991</v>
      </c>
      <c r="O1032" s="34">
        <v>46178</v>
      </c>
      <c r="P1032" s="10" t="s">
        <v>117</v>
      </c>
      <c r="Q1032" s="11">
        <v>1192000</v>
      </c>
      <c r="R1032" s="11"/>
      <c r="S1032" s="11"/>
      <c r="T1032" s="12">
        <v>1192000</v>
      </c>
      <c r="U1032" s="10"/>
      <c r="V1032" s="10" t="s">
        <v>279</v>
      </c>
    </row>
    <row r="1033" spans="2:22" x14ac:dyDescent="0.25">
      <c r="B1033" s="8">
        <v>46175</v>
      </c>
      <c r="C1033" s="37" t="s">
        <v>326</v>
      </c>
      <c r="D1033" s="10" t="s">
        <v>10</v>
      </c>
      <c r="E1033" s="10" t="s">
        <v>2</v>
      </c>
      <c r="F1033" s="11">
        <v>93.6</v>
      </c>
      <c r="G1033" s="11">
        <v>16000</v>
      </c>
      <c r="H1033" s="12">
        <v>1497600</v>
      </c>
      <c r="I1033" s="11"/>
      <c r="J1033" s="11"/>
      <c r="K1033" s="11">
        <v>0</v>
      </c>
      <c r="L1033" s="11">
        <v>1497600</v>
      </c>
      <c r="O1033" s="33">
        <v>46178</v>
      </c>
      <c r="P1033" s="3" t="s">
        <v>65</v>
      </c>
      <c r="Q1033" s="4">
        <v>10400000</v>
      </c>
      <c r="R1033" s="4"/>
      <c r="S1033" s="4"/>
      <c r="T1033" s="5">
        <v>10400000</v>
      </c>
      <c r="U1033" s="3"/>
      <c r="V1033" s="3"/>
    </row>
    <row r="1034" spans="2:22" x14ac:dyDescent="0.25">
      <c r="B1034" s="1">
        <v>46176</v>
      </c>
      <c r="C1034" s="39" t="s">
        <v>0</v>
      </c>
      <c r="D1034" s="3" t="s">
        <v>10</v>
      </c>
      <c r="E1034" s="3" t="s">
        <v>2</v>
      </c>
      <c r="F1034" s="4">
        <v>50.3</v>
      </c>
      <c r="G1034" s="4">
        <v>16000</v>
      </c>
      <c r="H1034" s="5">
        <v>804800</v>
      </c>
      <c r="I1034" s="4"/>
      <c r="J1034" s="4"/>
      <c r="K1034" s="4">
        <v>0</v>
      </c>
      <c r="L1034" s="4">
        <v>804800</v>
      </c>
      <c r="O1034" s="34">
        <v>46179</v>
      </c>
      <c r="P1034" s="10" t="s">
        <v>32</v>
      </c>
      <c r="Q1034" s="11"/>
      <c r="R1034" s="11">
        <v>100</v>
      </c>
      <c r="S1034" s="11">
        <v>12000</v>
      </c>
      <c r="T1034" s="12">
        <v>1200000</v>
      </c>
      <c r="U1034" s="10"/>
      <c r="V1034" s="10"/>
    </row>
    <row r="1035" spans="2:22" x14ac:dyDescent="0.25">
      <c r="B1035" s="8">
        <v>46176</v>
      </c>
      <c r="C1035" s="37" t="s">
        <v>173</v>
      </c>
      <c r="D1035" s="10" t="s">
        <v>323</v>
      </c>
      <c r="E1035" s="10" t="s">
        <v>2</v>
      </c>
      <c r="F1035" s="11">
        <v>39</v>
      </c>
      <c r="G1035" s="11">
        <v>23000</v>
      </c>
      <c r="H1035" s="12">
        <v>897000</v>
      </c>
      <c r="I1035" s="11"/>
      <c r="J1035" s="11"/>
      <c r="K1035" s="11">
        <v>0</v>
      </c>
      <c r="L1035" s="11">
        <v>897000</v>
      </c>
      <c r="O1035" s="33">
        <v>46179</v>
      </c>
      <c r="P1035" s="3" t="s">
        <v>195</v>
      </c>
      <c r="Q1035" s="4">
        <v>1082500</v>
      </c>
      <c r="R1035" s="4"/>
      <c r="S1035" s="4"/>
      <c r="T1035" s="5">
        <v>1082500</v>
      </c>
      <c r="U1035" s="3"/>
      <c r="V1035" s="3"/>
    </row>
    <row r="1036" spans="2:22" x14ac:dyDescent="0.25">
      <c r="B1036" s="1">
        <v>46176</v>
      </c>
      <c r="C1036" s="39" t="s">
        <v>327</v>
      </c>
      <c r="D1036" s="3" t="s">
        <v>1</v>
      </c>
      <c r="E1036" s="3" t="s">
        <v>2</v>
      </c>
      <c r="F1036" s="4">
        <v>50.3</v>
      </c>
      <c r="G1036" s="4">
        <v>24000</v>
      </c>
      <c r="H1036" s="5">
        <v>1207200</v>
      </c>
      <c r="I1036" s="4"/>
      <c r="J1036" s="4"/>
      <c r="K1036" s="4">
        <v>0</v>
      </c>
      <c r="L1036" s="4">
        <v>1207200</v>
      </c>
      <c r="O1036" s="34">
        <v>46179</v>
      </c>
      <c r="P1036" s="10" t="s">
        <v>249</v>
      </c>
      <c r="Q1036" s="11">
        <v>954000</v>
      </c>
      <c r="R1036" s="11">
        <v>400</v>
      </c>
      <c r="S1036" s="11">
        <v>12000</v>
      </c>
      <c r="T1036" s="12">
        <v>5754000</v>
      </c>
      <c r="U1036" s="10"/>
      <c r="V1036" s="10"/>
    </row>
    <row r="1037" spans="2:22" x14ac:dyDescent="0.25">
      <c r="B1037" s="8">
        <v>46176</v>
      </c>
      <c r="C1037" s="37" t="s">
        <v>327</v>
      </c>
      <c r="D1037" s="10" t="s">
        <v>10</v>
      </c>
      <c r="E1037" s="10" t="s">
        <v>2</v>
      </c>
      <c r="F1037" s="11">
        <v>88.5</v>
      </c>
      <c r="G1037" s="11">
        <v>15000</v>
      </c>
      <c r="H1037" s="12">
        <v>1327500</v>
      </c>
      <c r="I1037" s="11"/>
      <c r="J1037" s="11"/>
      <c r="K1037" s="11">
        <v>0</v>
      </c>
      <c r="L1037" s="11">
        <v>1327500</v>
      </c>
      <c r="O1037" s="33">
        <v>46181</v>
      </c>
      <c r="P1037" s="3" t="s">
        <v>214</v>
      </c>
      <c r="Q1037" s="4">
        <v>756000</v>
      </c>
      <c r="R1037" s="4"/>
      <c r="S1037" s="4"/>
      <c r="T1037" s="5">
        <v>756000</v>
      </c>
      <c r="U1037" s="3"/>
      <c r="V1037" s="3"/>
    </row>
    <row r="1038" spans="2:22" x14ac:dyDescent="0.25">
      <c r="B1038" s="1">
        <v>46176</v>
      </c>
      <c r="C1038" s="39" t="s">
        <v>328</v>
      </c>
      <c r="D1038" s="3" t="s">
        <v>323</v>
      </c>
      <c r="E1038" s="3" t="s">
        <v>2</v>
      </c>
      <c r="F1038" s="4">
        <v>96.4</v>
      </c>
      <c r="G1038" s="4">
        <v>23000</v>
      </c>
      <c r="H1038" s="5">
        <v>2217200</v>
      </c>
      <c r="I1038" s="4"/>
      <c r="J1038" s="4"/>
      <c r="K1038" s="4">
        <v>0</v>
      </c>
      <c r="L1038" s="4">
        <v>2217200</v>
      </c>
      <c r="O1038" s="34">
        <v>46181</v>
      </c>
      <c r="P1038" s="10" t="s">
        <v>51</v>
      </c>
      <c r="Q1038" s="11">
        <v>1099400</v>
      </c>
      <c r="R1038" s="11"/>
      <c r="S1038" s="11"/>
      <c r="T1038" s="12">
        <v>1099400</v>
      </c>
      <c r="U1038" s="10"/>
      <c r="V1038" s="10" t="s">
        <v>275</v>
      </c>
    </row>
    <row r="1039" spans="2:22" x14ac:dyDescent="0.25">
      <c r="B1039" s="8">
        <v>46176</v>
      </c>
      <c r="C1039" s="37" t="s">
        <v>38</v>
      </c>
      <c r="D1039" s="10" t="s">
        <v>323</v>
      </c>
      <c r="E1039" s="10" t="s">
        <v>2</v>
      </c>
      <c r="F1039" s="11">
        <v>47.3</v>
      </c>
      <c r="G1039" s="11">
        <v>21000</v>
      </c>
      <c r="H1039" s="12">
        <v>993299.99999999988</v>
      </c>
      <c r="I1039" s="11"/>
      <c r="J1039" s="11"/>
      <c r="K1039" s="11">
        <v>0</v>
      </c>
      <c r="L1039" s="11">
        <v>993299.99999999988</v>
      </c>
      <c r="O1039" s="33">
        <v>46181</v>
      </c>
      <c r="P1039" s="3" t="s">
        <v>124</v>
      </c>
      <c r="Q1039" s="4">
        <v>1165000</v>
      </c>
      <c r="R1039" s="4"/>
      <c r="S1039" s="4"/>
      <c r="T1039" s="5">
        <v>1165000</v>
      </c>
      <c r="U1039" s="3"/>
      <c r="V1039" s="3" t="s">
        <v>275</v>
      </c>
    </row>
    <row r="1040" spans="2:22" x14ac:dyDescent="0.25">
      <c r="B1040" s="1">
        <v>46177</v>
      </c>
      <c r="C1040" s="39" t="s">
        <v>55</v>
      </c>
      <c r="D1040" s="3" t="s">
        <v>323</v>
      </c>
      <c r="E1040" s="3" t="s">
        <v>2</v>
      </c>
      <c r="F1040" s="4">
        <v>48.6</v>
      </c>
      <c r="G1040" s="4">
        <v>23000</v>
      </c>
      <c r="H1040" s="5">
        <v>1117800</v>
      </c>
      <c r="I1040" s="4"/>
      <c r="J1040" s="4"/>
      <c r="K1040" s="4">
        <v>0</v>
      </c>
      <c r="L1040" s="4">
        <v>1117800</v>
      </c>
      <c r="O1040" s="34">
        <v>46181</v>
      </c>
      <c r="P1040" s="10" t="s">
        <v>72</v>
      </c>
      <c r="Q1040" s="11">
        <v>5000000</v>
      </c>
      <c r="R1040" s="11"/>
      <c r="S1040" s="11"/>
      <c r="T1040" s="12">
        <v>5000000</v>
      </c>
      <c r="U1040" s="10"/>
      <c r="V1040" s="10" t="s">
        <v>279</v>
      </c>
    </row>
    <row r="1041" spans="2:22" x14ac:dyDescent="0.25">
      <c r="B1041" s="8">
        <v>46177</v>
      </c>
      <c r="C1041" s="37" t="s">
        <v>55</v>
      </c>
      <c r="D1041" s="10" t="s">
        <v>10</v>
      </c>
      <c r="E1041" s="10" t="s">
        <v>2</v>
      </c>
      <c r="F1041" s="11">
        <v>51.6</v>
      </c>
      <c r="G1041" s="11">
        <v>16000</v>
      </c>
      <c r="H1041" s="12">
        <v>825600</v>
      </c>
      <c r="I1041" s="11"/>
      <c r="J1041" s="11"/>
      <c r="K1041" s="11">
        <v>0</v>
      </c>
      <c r="L1041" s="11">
        <v>825600</v>
      </c>
      <c r="O1041" s="33">
        <v>46181</v>
      </c>
      <c r="P1041" s="3" t="s">
        <v>56</v>
      </c>
      <c r="Q1041" s="4">
        <v>784000</v>
      </c>
      <c r="R1041" s="4"/>
      <c r="S1041" s="4"/>
      <c r="T1041" s="5">
        <v>784000</v>
      </c>
      <c r="U1041" s="3"/>
      <c r="V1041" s="3" t="s">
        <v>279</v>
      </c>
    </row>
    <row r="1042" spans="2:22" x14ac:dyDescent="0.25">
      <c r="B1042" s="1">
        <v>46177</v>
      </c>
      <c r="C1042" s="39" t="s">
        <v>329</v>
      </c>
      <c r="D1042" s="3" t="s">
        <v>323</v>
      </c>
      <c r="E1042" s="3" t="s">
        <v>2</v>
      </c>
      <c r="F1042" s="4">
        <v>46.8</v>
      </c>
      <c r="G1042" s="4">
        <v>23000</v>
      </c>
      <c r="H1042" s="5">
        <v>1076400</v>
      </c>
      <c r="I1042" s="4"/>
      <c r="J1042" s="4"/>
      <c r="K1042" s="4">
        <v>0</v>
      </c>
      <c r="L1042" s="4">
        <v>1076400</v>
      </c>
      <c r="O1042" s="34">
        <v>46181</v>
      </c>
      <c r="P1042" s="10" t="s">
        <v>322</v>
      </c>
      <c r="Q1042" s="11">
        <v>790400</v>
      </c>
      <c r="R1042" s="11"/>
      <c r="S1042" s="11"/>
      <c r="T1042" s="12">
        <v>790400</v>
      </c>
      <c r="U1042" s="10"/>
      <c r="V1042" s="10" t="s">
        <v>279</v>
      </c>
    </row>
    <row r="1043" spans="2:22" x14ac:dyDescent="0.25">
      <c r="B1043" s="8">
        <v>46177</v>
      </c>
      <c r="C1043" s="9" t="s">
        <v>220</v>
      </c>
      <c r="D1043" s="10" t="s">
        <v>323</v>
      </c>
      <c r="E1043" s="10" t="s">
        <v>2</v>
      </c>
      <c r="F1043" s="11">
        <v>43.6</v>
      </c>
      <c r="G1043" s="11">
        <v>23000</v>
      </c>
      <c r="H1043" s="12">
        <v>1002800</v>
      </c>
      <c r="I1043" s="11"/>
      <c r="J1043" s="11"/>
      <c r="K1043" s="11">
        <v>0</v>
      </c>
      <c r="L1043" s="11">
        <v>1002800</v>
      </c>
      <c r="O1043" s="33">
        <v>46181</v>
      </c>
      <c r="P1043" s="3" t="s">
        <v>107</v>
      </c>
      <c r="Q1043" s="4">
        <v>836100</v>
      </c>
      <c r="R1043" s="4"/>
      <c r="S1043" s="4"/>
      <c r="T1043" s="5">
        <v>836100</v>
      </c>
      <c r="U1043" s="3"/>
      <c r="V1043" s="3" t="s">
        <v>279</v>
      </c>
    </row>
    <row r="1044" spans="2:22" x14ac:dyDescent="0.25">
      <c r="B1044" s="1">
        <v>46177</v>
      </c>
      <c r="C1044" s="2" t="s">
        <v>7</v>
      </c>
      <c r="D1044" s="3" t="s">
        <v>8</v>
      </c>
      <c r="E1044" s="3" t="s">
        <v>2</v>
      </c>
      <c r="F1044" s="4">
        <v>529.1</v>
      </c>
      <c r="G1044" s="4">
        <v>25000</v>
      </c>
      <c r="H1044" s="5">
        <v>13227500</v>
      </c>
      <c r="I1044" s="4"/>
      <c r="J1044" s="4"/>
      <c r="K1044" s="4">
        <v>0</v>
      </c>
      <c r="L1044" s="4">
        <v>13227500</v>
      </c>
      <c r="O1044" s="34">
        <v>46181</v>
      </c>
      <c r="P1044" s="10" t="s">
        <v>7</v>
      </c>
      <c r="Q1044" s="11">
        <v>10000000</v>
      </c>
      <c r="R1044" s="11"/>
      <c r="S1044" s="11"/>
      <c r="T1044" s="12">
        <v>10000000</v>
      </c>
      <c r="U1044" s="10"/>
      <c r="V1044" s="10" t="s">
        <v>279</v>
      </c>
    </row>
    <row r="1045" spans="2:22" x14ac:dyDescent="0.25">
      <c r="B1045" s="8">
        <v>46177</v>
      </c>
      <c r="C1045" s="9" t="s">
        <v>7</v>
      </c>
      <c r="D1045" s="10" t="s">
        <v>8</v>
      </c>
      <c r="E1045" s="10" t="s">
        <v>2</v>
      </c>
      <c r="F1045" s="11">
        <v>-87.8</v>
      </c>
      <c r="G1045" s="11">
        <v>25000</v>
      </c>
      <c r="H1045" s="12">
        <v>-2195000</v>
      </c>
      <c r="I1045" s="11"/>
      <c r="J1045" s="11"/>
      <c r="K1045" s="11">
        <v>0</v>
      </c>
      <c r="L1045" s="11">
        <v>-2195000</v>
      </c>
      <c r="O1045" s="33">
        <v>46181</v>
      </c>
      <c r="P1045" s="3" t="s">
        <v>18</v>
      </c>
      <c r="Q1045" s="4">
        <v>1000000</v>
      </c>
      <c r="R1045" s="4"/>
      <c r="S1045" s="4"/>
      <c r="T1045" s="5">
        <v>1000000</v>
      </c>
      <c r="U1045" s="3"/>
      <c r="V1045" s="3" t="s">
        <v>279</v>
      </c>
    </row>
    <row r="1046" spans="2:22" x14ac:dyDescent="0.25">
      <c r="B1046" s="1">
        <v>46177</v>
      </c>
      <c r="C1046" s="2" t="s">
        <v>330</v>
      </c>
      <c r="D1046" s="3" t="s">
        <v>323</v>
      </c>
      <c r="E1046" s="3" t="s">
        <v>2</v>
      </c>
      <c r="F1046" s="4">
        <v>48</v>
      </c>
      <c r="G1046" s="4">
        <v>23000</v>
      </c>
      <c r="H1046" s="5">
        <v>1104000</v>
      </c>
      <c r="I1046" s="4"/>
      <c r="J1046" s="4"/>
      <c r="K1046" s="4">
        <v>0</v>
      </c>
      <c r="L1046" s="4">
        <v>1104000</v>
      </c>
      <c r="O1046" s="34">
        <v>46181</v>
      </c>
      <c r="P1046" s="10" t="s">
        <v>261</v>
      </c>
      <c r="Q1046" s="11">
        <v>500000</v>
      </c>
      <c r="R1046" s="11"/>
      <c r="S1046" s="11"/>
      <c r="T1046" s="12">
        <v>500000</v>
      </c>
      <c r="U1046" s="10"/>
      <c r="V1046" s="10" t="s">
        <v>275</v>
      </c>
    </row>
    <row r="1047" spans="2:22" x14ac:dyDescent="0.25">
      <c r="B1047" s="8">
        <v>46177</v>
      </c>
      <c r="C1047" s="9" t="s">
        <v>330</v>
      </c>
      <c r="D1047" s="10" t="s">
        <v>10</v>
      </c>
      <c r="E1047" s="10" t="s">
        <v>2</v>
      </c>
      <c r="F1047" s="11">
        <v>49.2</v>
      </c>
      <c r="G1047" s="11">
        <v>16000</v>
      </c>
      <c r="H1047" s="12">
        <v>787200</v>
      </c>
      <c r="I1047" s="11"/>
      <c r="J1047" s="11"/>
      <c r="K1047" s="11">
        <v>0</v>
      </c>
      <c r="L1047" s="11">
        <v>787200</v>
      </c>
      <c r="O1047" s="33">
        <v>46182</v>
      </c>
      <c r="P1047" s="3" t="s">
        <v>71</v>
      </c>
      <c r="Q1047" s="4">
        <v>800000</v>
      </c>
      <c r="R1047" s="4">
        <v>100</v>
      </c>
      <c r="S1047" s="4">
        <v>12000</v>
      </c>
      <c r="T1047" s="5">
        <v>2000000</v>
      </c>
      <c r="U1047" s="3"/>
      <c r="V1047" s="3"/>
    </row>
    <row r="1048" spans="2:22" x14ac:dyDescent="0.25">
      <c r="B1048" s="1">
        <v>46177</v>
      </c>
      <c r="C1048" s="2" t="s">
        <v>331</v>
      </c>
      <c r="D1048" s="3" t="s">
        <v>323</v>
      </c>
      <c r="E1048" s="3" t="s">
        <v>2</v>
      </c>
      <c r="F1048" s="4">
        <v>95.9</v>
      </c>
      <c r="G1048" s="4">
        <v>23000</v>
      </c>
      <c r="H1048" s="5">
        <v>2205700</v>
      </c>
      <c r="I1048" s="4"/>
      <c r="J1048" s="4"/>
      <c r="K1048" s="4">
        <v>0</v>
      </c>
      <c r="L1048" s="4">
        <v>2205700</v>
      </c>
      <c r="O1048" s="34">
        <v>46182</v>
      </c>
      <c r="P1048" s="10" t="s">
        <v>118</v>
      </c>
      <c r="Q1048" s="11">
        <v>988800</v>
      </c>
      <c r="R1048" s="11"/>
      <c r="S1048" s="11"/>
      <c r="T1048" s="12">
        <v>988800</v>
      </c>
      <c r="U1048" s="10"/>
      <c r="V1048" s="10"/>
    </row>
    <row r="1049" spans="2:22" x14ac:dyDescent="0.25">
      <c r="B1049" s="8">
        <v>46177</v>
      </c>
      <c r="C1049" s="9" t="s">
        <v>136</v>
      </c>
      <c r="D1049" s="10" t="s">
        <v>323</v>
      </c>
      <c r="E1049" s="10" t="s">
        <v>2</v>
      </c>
      <c r="F1049" s="11">
        <v>44.1</v>
      </c>
      <c r="G1049" s="11">
        <v>23000</v>
      </c>
      <c r="H1049" s="12">
        <v>1014300</v>
      </c>
      <c r="I1049" s="11"/>
      <c r="J1049" s="11"/>
      <c r="K1049" s="11">
        <v>0</v>
      </c>
      <c r="L1049" s="11">
        <v>1014300</v>
      </c>
      <c r="O1049" s="33">
        <v>46182</v>
      </c>
      <c r="P1049" s="3" t="s">
        <v>32</v>
      </c>
      <c r="Q1049" s="4">
        <v>600000</v>
      </c>
      <c r="R1049" s="4"/>
      <c r="S1049" s="4"/>
      <c r="T1049" s="5">
        <v>600000</v>
      </c>
      <c r="U1049" s="3"/>
      <c r="V1049" s="3"/>
    </row>
    <row r="1050" spans="2:22" x14ac:dyDescent="0.25">
      <c r="B1050" s="1">
        <v>46177</v>
      </c>
      <c r="C1050" s="2" t="s">
        <v>141</v>
      </c>
      <c r="D1050" s="3" t="s">
        <v>323</v>
      </c>
      <c r="E1050" s="3" t="s">
        <v>2</v>
      </c>
      <c r="F1050" s="4">
        <v>180.1</v>
      </c>
      <c r="G1050" s="4">
        <v>24000</v>
      </c>
      <c r="H1050" s="5">
        <v>4322400</v>
      </c>
      <c r="I1050" s="4"/>
      <c r="J1050" s="4"/>
      <c r="K1050" s="4">
        <v>0</v>
      </c>
      <c r="L1050" s="4">
        <v>4322400</v>
      </c>
      <c r="O1050" s="34">
        <v>46182</v>
      </c>
      <c r="P1050" s="10" t="s">
        <v>337</v>
      </c>
      <c r="Q1050" s="11">
        <v>17000</v>
      </c>
      <c r="R1050" s="11">
        <v>200</v>
      </c>
      <c r="S1050" s="11">
        <v>12000</v>
      </c>
      <c r="T1050" s="12">
        <v>2417000</v>
      </c>
      <c r="U1050" s="10"/>
      <c r="V1050" s="10"/>
    </row>
    <row r="1051" spans="2:22" x14ac:dyDescent="0.25">
      <c r="B1051" s="8">
        <v>46177</v>
      </c>
      <c r="C1051" s="9" t="s">
        <v>141</v>
      </c>
      <c r="D1051" s="10" t="s">
        <v>10</v>
      </c>
      <c r="E1051" s="10" t="s">
        <v>2</v>
      </c>
      <c r="F1051" s="11">
        <v>96</v>
      </c>
      <c r="G1051" s="11">
        <v>15000</v>
      </c>
      <c r="H1051" s="12">
        <v>1440000</v>
      </c>
      <c r="I1051" s="11"/>
      <c r="J1051" s="11"/>
      <c r="K1051" s="11">
        <v>0</v>
      </c>
      <c r="L1051" s="11">
        <v>1440000</v>
      </c>
      <c r="O1051" s="33">
        <v>46182</v>
      </c>
      <c r="P1051" s="3" t="s">
        <v>196</v>
      </c>
      <c r="Q1051" s="4">
        <v>873000</v>
      </c>
      <c r="R1051" s="4"/>
      <c r="S1051" s="4"/>
      <c r="T1051" s="5">
        <v>873000</v>
      </c>
      <c r="U1051" s="3"/>
      <c r="V1051" s="3"/>
    </row>
    <row r="1052" spans="2:22" x14ac:dyDescent="0.25">
      <c r="B1052" s="1">
        <v>46178</v>
      </c>
      <c r="C1052" s="2" t="s">
        <v>108</v>
      </c>
      <c r="D1052" s="3" t="s">
        <v>10</v>
      </c>
      <c r="E1052" s="3" t="s">
        <v>2</v>
      </c>
      <c r="F1052" s="4">
        <v>102.6</v>
      </c>
      <c r="G1052" s="4">
        <v>16000</v>
      </c>
      <c r="H1052" s="5">
        <v>1641600</v>
      </c>
      <c r="I1052" s="4"/>
      <c r="J1052" s="4"/>
      <c r="K1052" s="4">
        <v>0</v>
      </c>
      <c r="L1052" s="4">
        <v>1641600</v>
      </c>
      <c r="O1052" s="34">
        <v>46182</v>
      </c>
      <c r="P1052" s="10" t="s">
        <v>180</v>
      </c>
      <c r="Q1052" s="11">
        <v>3124500</v>
      </c>
      <c r="R1052" s="11"/>
      <c r="S1052" s="11"/>
      <c r="T1052" s="12">
        <v>3124500</v>
      </c>
      <c r="U1052" s="10"/>
      <c r="V1052" s="10" t="s">
        <v>275</v>
      </c>
    </row>
    <row r="1053" spans="2:22" x14ac:dyDescent="0.25">
      <c r="B1053" s="8">
        <v>46178</v>
      </c>
      <c r="C1053" s="9" t="s">
        <v>74</v>
      </c>
      <c r="D1053" s="10" t="s">
        <v>10</v>
      </c>
      <c r="E1053" s="10" t="s">
        <v>2</v>
      </c>
      <c r="F1053" s="11">
        <v>150</v>
      </c>
      <c r="G1053" s="11">
        <v>16000</v>
      </c>
      <c r="H1053" s="12">
        <v>2400000</v>
      </c>
      <c r="I1053" s="11"/>
      <c r="J1053" s="11"/>
      <c r="K1053" s="11">
        <v>0</v>
      </c>
      <c r="L1053" s="11">
        <v>2400000</v>
      </c>
      <c r="O1053" s="33">
        <v>46182</v>
      </c>
      <c r="P1053" s="3" t="s">
        <v>55</v>
      </c>
      <c r="Q1053" s="4">
        <v>500000</v>
      </c>
      <c r="R1053" s="41"/>
      <c r="S1053" s="4"/>
      <c r="T1053" s="5">
        <v>500000</v>
      </c>
      <c r="U1053" s="3"/>
      <c r="V1053" s="3" t="s">
        <v>275</v>
      </c>
    </row>
    <row r="1054" spans="2:22" x14ac:dyDescent="0.25">
      <c r="B1054" s="1">
        <v>46178</v>
      </c>
      <c r="C1054" s="2" t="s">
        <v>74</v>
      </c>
      <c r="D1054" s="3" t="s">
        <v>323</v>
      </c>
      <c r="E1054" s="3" t="s">
        <v>2</v>
      </c>
      <c r="F1054" s="4">
        <v>93.3</v>
      </c>
      <c r="G1054" s="4">
        <v>23000</v>
      </c>
      <c r="H1054" s="5">
        <v>2145900</v>
      </c>
      <c r="I1054" s="4"/>
      <c r="J1054" s="4"/>
      <c r="K1054" s="4">
        <v>0</v>
      </c>
      <c r="L1054" s="4">
        <v>2145900</v>
      </c>
      <c r="O1054" s="34">
        <v>46182</v>
      </c>
      <c r="P1054" s="10" t="s">
        <v>73</v>
      </c>
      <c r="Q1054" s="11">
        <v>1536000</v>
      </c>
      <c r="R1054" s="11"/>
      <c r="S1054" s="11"/>
      <c r="T1054" s="12">
        <v>1536000</v>
      </c>
      <c r="U1054" s="10"/>
      <c r="V1054" s="10"/>
    </row>
    <row r="1055" spans="2:22" x14ac:dyDescent="0.25">
      <c r="B1055" s="8">
        <v>46178</v>
      </c>
      <c r="C1055" s="9" t="s">
        <v>12</v>
      </c>
      <c r="D1055" s="10" t="s">
        <v>16</v>
      </c>
      <c r="E1055" s="10" t="s">
        <v>2</v>
      </c>
      <c r="F1055" s="11">
        <v>1719.9</v>
      </c>
      <c r="G1055" s="11">
        <v>30000</v>
      </c>
      <c r="H1055" s="12">
        <v>51597000</v>
      </c>
      <c r="I1055" s="11">
        <v>240</v>
      </c>
      <c r="J1055" s="11">
        <v>25000</v>
      </c>
      <c r="K1055" s="11">
        <v>42997500</v>
      </c>
      <c r="L1055" s="11">
        <v>8599500</v>
      </c>
      <c r="O1055" s="33">
        <v>46182</v>
      </c>
      <c r="P1055" s="3" t="s">
        <v>89</v>
      </c>
      <c r="Q1055" s="4">
        <v>11159000</v>
      </c>
      <c r="R1055" s="4"/>
      <c r="S1055" s="4"/>
      <c r="T1055" s="5">
        <v>11159000</v>
      </c>
      <c r="U1055" s="3"/>
      <c r="V1055" s="3" t="s">
        <v>316</v>
      </c>
    </row>
    <row r="1056" spans="2:22" x14ac:dyDescent="0.25">
      <c r="B1056" s="1">
        <v>46178</v>
      </c>
      <c r="C1056" s="2" t="s">
        <v>18</v>
      </c>
      <c r="D1056" s="3" t="s">
        <v>10</v>
      </c>
      <c r="E1056" s="3" t="s">
        <v>2</v>
      </c>
      <c r="F1056" s="4">
        <v>44.6</v>
      </c>
      <c r="G1056" s="4">
        <v>16000</v>
      </c>
      <c r="H1056" s="5">
        <v>713600</v>
      </c>
      <c r="I1056" s="4"/>
      <c r="J1056" s="4"/>
      <c r="K1056" s="4">
        <v>0</v>
      </c>
      <c r="L1056" s="4">
        <v>713600</v>
      </c>
      <c r="O1056" s="34">
        <v>46182</v>
      </c>
      <c r="P1056" s="10" t="s">
        <v>336</v>
      </c>
      <c r="Q1056" s="11">
        <v>6250000</v>
      </c>
      <c r="R1056" s="11"/>
      <c r="S1056" s="11"/>
      <c r="T1056" s="12">
        <v>6250000</v>
      </c>
      <c r="U1056" s="10"/>
      <c r="V1056" s="10" t="s">
        <v>287</v>
      </c>
    </row>
    <row r="1057" spans="2:22" x14ac:dyDescent="0.25">
      <c r="B1057" s="8">
        <v>46178</v>
      </c>
      <c r="C1057" s="9" t="s">
        <v>286</v>
      </c>
      <c r="D1057" s="10" t="s">
        <v>323</v>
      </c>
      <c r="E1057" s="10" t="s">
        <v>2</v>
      </c>
      <c r="F1057" s="11">
        <v>144.5</v>
      </c>
      <c r="G1057" s="11">
        <v>23000</v>
      </c>
      <c r="H1057" s="12">
        <v>3323500</v>
      </c>
      <c r="I1057" s="11"/>
      <c r="J1057" s="11"/>
      <c r="K1057" s="11">
        <v>0</v>
      </c>
      <c r="L1057" s="11">
        <v>3323500</v>
      </c>
      <c r="O1057" s="33">
        <v>46182</v>
      </c>
      <c r="P1057" s="3" t="s">
        <v>100</v>
      </c>
      <c r="Q1057" s="4">
        <v>734900</v>
      </c>
      <c r="R1057" s="4"/>
      <c r="S1057" s="4"/>
      <c r="T1057" s="5">
        <v>734900</v>
      </c>
      <c r="U1057" s="3"/>
      <c r="V1057" s="3"/>
    </row>
    <row r="1058" spans="2:22" x14ac:dyDescent="0.25">
      <c r="B1058" s="1">
        <v>46178</v>
      </c>
      <c r="C1058" s="2" t="s">
        <v>286</v>
      </c>
      <c r="D1058" s="3" t="s">
        <v>10</v>
      </c>
      <c r="E1058" s="3" t="s">
        <v>2</v>
      </c>
      <c r="F1058" s="4">
        <v>92.2</v>
      </c>
      <c r="G1058" s="4">
        <v>16000</v>
      </c>
      <c r="H1058" s="5">
        <v>1475200</v>
      </c>
      <c r="I1058" s="4"/>
      <c r="J1058" s="4"/>
      <c r="K1058" s="4">
        <v>0</v>
      </c>
      <c r="L1058" s="4">
        <v>1475200</v>
      </c>
      <c r="O1058" s="34">
        <v>46182</v>
      </c>
      <c r="P1058" s="10" t="s">
        <v>144</v>
      </c>
      <c r="Q1058" s="11">
        <v>1200000</v>
      </c>
      <c r="R1058" s="11"/>
      <c r="S1058" s="11"/>
      <c r="T1058" s="12">
        <v>1200000</v>
      </c>
      <c r="U1058" s="10"/>
      <c r="V1058" s="10"/>
    </row>
    <row r="1059" spans="2:22" x14ac:dyDescent="0.25">
      <c r="B1059" s="8">
        <v>46178</v>
      </c>
      <c r="C1059" s="9" t="s">
        <v>332</v>
      </c>
      <c r="D1059" s="10" t="s">
        <v>323</v>
      </c>
      <c r="E1059" s="10" t="s">
        <v>2</v>
      </c>
      <c r="F1059" s="11">
        <v>39.700000000000003</v>
      </c>
      <c r="G1059" s="11">
        <v>23000</v>
      </c>
      <c r="H1059" s="12">
        <v>913100.00000000012</v>
      </c>
      <c r="I1059" s="11"/>
      <c r="J1059" s="11"/>
      <c r="K1059" s="11">
        <v>0</v>
      </c>
      <c r="L1059" s="11">
        <v>913100.00000000012</v>
      </c>
      <c r="O1059" s="33">
        <v>46182</v>
      </c>
      <c r="P1059" s="3" t="s">
        <v>175</v>
      </c>
      <c r="Q1059" s="4">
        <v>2000000</v>
      </c>
      <c r="R1059" s="4"/>
      <c r="S1059" s="4"/>
      <c r="T1059" s="5">
        <v>2000000</v>
      </c>
      <c r="U1059" s="3"/>
      <c r="V1059" s="3"/>
    </row>
    <row r="1060" spans="2:22" x14ac:dyDescent="0.25">
      <c r="B1060" s="1">
        <v>46178</v>
      </c>
      <c r="C1060" s="2" t="s">
        <v>91</v>
      </c>
      <c r="D1060" s="3" t="s">
        <v>323</v>
      </c>
      <c r="E1060" s="3" t="s">
        <v>2</v>
      </c>
      <c r="F1060" s="4">
        <v>91.7</v>
      </c>
      <c r="G1060" s="4">
        <v>22000</v>
      </c>
      <c r="H1060" s="5">
        <v>2017400</v>
      </c>
      <c r="I1060" s="4"/>
      <c r="J1060" s="4"/>
      <c r="K1060" s="4">
        <v>0</v>
      </c>
      <c r="L1060" s="4">
        <v>2017400</v>
      </c>
      <c r="O1060" s="34">
        <v>46182</v>
      </c>
      <c r="P1060" s="10" t="s">
        <v>263</v>
      </c>
      <c r="Q1060" s="11">
        <v>3099500</v>
      </c>
      <c r="R1060" s="11"/>
      <c r="S1060" s="11"/>
      <c r="T1060" s="12">
        <v>3099500</v>
      </c>
      <c r="U1060" s="10"/>
      <c r="V1060" s="10"/>
    </row>
    <row r="1061" spans="2:22" x14ac:dyDescent="0.25">
      <c r="B1061" s="8">
        <v>46178</v>
      </c>
      <c r="C1061" s="9" t="s">
        <v>91</v>
      </c>
      <c r="D1061" s="10" t="s">
        <v>10</v>
      </c>
      <c r="E1061" s="10" t="s">
        <v>2</v>
      </c>
      <c r="F1061" s="11">
        <v>38.1</v>
      </c>
      <c r="G1061" s="11">
        <v>15000</v>
      </c>
      <c r="H1061" s="12">
        <v>571500</v>
      </c>
      <c r="I1061" s="11"/>
      <c r="J1061" s="11"/>
      <c r="K1061" s="11">
        <v>0</v>
      </c>
      <c r="L1061" s="11">
        <v>571500</v>
      </c>
      <c r="O1061" s="33">
        <v>46183</v>
      </c>
      <c r="P1061" s="3" t="s">
        <v>71</v>
      </c>
      <c r="Q1061" s="4">
        <v>577000</v>
      </c>
      <c r="R1061" s="4"/>
      <c r="S1061" s="4"/>
      <c r="T1061" s="5">
        <v>577000</v>
      </c>
      <c r="U1061" s="3"/>
      <c r="V1061" s="3"/>
    </row>
    <row r="1062" spans="2:22" x14ac:dyDescent="0.25">
      <c r="B1062" s="1">
        <v>46178</v>
      </c>
      <c r="C1062" s="2" t="s">
        <v>236</v>
      </c>
      <c r="D1062" s="3" t="s">
        <v>10</v>
      </c>
      <c r="E1062" s="3" t="s">
        <v>2</v>
      </c>
      <c r="F1062" s="4">
        <v>57.2</v>
      </c>
      <c r="G1062" s="4">
        <v>15000</v>
      </c>
      <c r="H1062" s="5">
        <v>858000</v>
      </c>
      <c r="I1062" s="4"/>
      <c r="J1062" s="4"/>
      <c r="K1062" s="4">
        <v>0</v>
      </c>
      <c r="L1062" s="4">
        <v>858000</v>
      </c>
      <c r="O1062" s="34">
        <v>46183</v>
      </c>
      <c r="P1062" s="10" t="s">
        <v>202</v>
      </c>
      <c r="Q1062" s="11">
        <v>4284000</v>
      </c>
      <c r="R1062" s="11"/>
      <c r="S1062" s="11"/>
      <c r="T1062" s="12">
        <v>4284000</v>
      </c>
      <c r="U1062" s="10"/>
      <c r="V1062" s="10"/>
    </row>
    <row r="1063" spans="2:22" x14ac:dyDescent="0.25">
      <c r="B1063" s="8">
        <v>46178</v>
      </c>
      <c r="C1063" s="9" t="s">
        <v>333</v>
      </c>
      <c r="D1063" s="10" t="s">
        <v>1</v>
      </c>
      <c r="E1063" s="10" t="s">
        <v>2</v>
      </c>
      <c r="F1063" s="11">
        <v>95.6</v>
      </c>
      <c r="G1063" s="11">
        <v>23000</v>
      </c>
      <c r="H1063" s="12">
        <v>2198800</v>
      </c>
      <c r="I1063" s="11"/>
      <c r="J1063" s="11"/>
      <c r="K1063" s="11">
        <v>0</v>
      </c>
      <c r="L1063" s="11">
        <v>2198800</v>
      </c>
      <c r="O1063" s="33">
        <v>46183</v>
      </c>
      <c r="P1063" s="3" t="s">
        <v>101</v>
      </c>
      <c r="Q1063" s="4">
        <v>808000</v>
      </c>
      <c r="R1063" s="4"/>
      <c r="S1063" s="4"/>
      <c r="T1063" s="5">
        <v>808000</v>
      </c>
      <c r="U1063" s="3"/>
      <c r="V1063" s="3" t="s">
        <v>287</v>
      </c>
    </row>
    <row r="1064" spans="2:22" x14ac:dyDescent="0.25">
      <c r="B1064" s="1">
        <v>46178</v>
      </c>
      <c r="C1064" s="2" t="s">
        <v>333</v>
      </c>
      <c r="D1064" s="3" t="s">
        <v>10</v>
      </c>
      <c r="E1064" s="3" t="s">
        <v>2</v>
      </c>
      <c r="F1064" s="4">
        <v>48.7</v>
      </c>
      <c r="G1064" s="4">
        <v>16000</v>
      </c>
      <c r="H1064" s="5">
        <v>779200</v>
      </c>
      <c r="I1064" s="4"/>
      <c r="J1064" s="4"/>
      <c r="K1064" s="4">
        <v>0</v>
      </c>
      <c r="L1064" s="4">
        <v>779200</v>
      </c>
      <c r="O1064" s="34">
        <v>46183</v>
      </c>
      <c r="P1064" s="10" t="s">
        <v>89</v>
      </c>
      <c r="Q1064" s="11">
        <v>16814000</v>
      </c>
      <c r="R1064" s="11"/>
      <c r="S1064" s="11"/>
      <c r="T1064" s="12">
        <v>16814000</v>
      </c>
      <c r="U1064" s="10"/>
      <c r="V1064" s="10"/>
    </row>
    <row r="1065" spans="2:22" x14ac:dyDescent="0.25">
      <c r="B1065" s="8">
        <v>46178</v>
      </c>
      <c r="C1065" s="9" t="s">
        <v>53</v>
      </c>
      <c r="D1065" s="10" t="s">
        <v>334</v>
      </c>
      <c r="E1065" s="10" t="s">
        <v>2</v>
      </c>
      <c r="F1065" s="11">
        <v>106.6</v>
      </c>
      <c r="G1065" s="11">
        <v>23500</v>
      </c>
      <c r="H1065" s="12">
        <v>2505100</v>
      </c>
      <c r="I1065" s="11"/>
      <c r="J1065" s="11"/>
      <c r="K1065" s="11">
        <v>0</v>
      </c>
      <c r="L1065" s="11">
        <v>2505100</v>
      </c>
      <c r="O1065" s="33">
        <v>46184</v>
      </c>
      <c r="P1065" s="3" t="s">
        <v>215</v>
      </c>
      <c r="Q1065" s="4">
        <v>2683700</v>
      </c>
      <c r="R1065" s="4"/>
      <c r="S1065" s="4"/>
      <c r="T1065" s="5">
        <v>2683700</v>
      </c>
      <c r="U1065" s="3"/>
      <c r="V1065" s="3"/>
    </row>
    <row r="1066" spans="2:22" x14ac:dyDescent="0.25">
      <c r="B1066" s="1">
        <v>46178</v>
      </c>
      <c r="C1066" s="2" t="s">
        <v>190</v>
      </c>
      <c r="D1066" s="3" t="s">
        <v>323</v>
      </c>
      <c r="E1066" s="3" t="s">
        <v>2</v>
      </c>
      <c r="F1066" s="4">
        <v>60.9</v>
      </c>
      <c r="G1066" s="4">
        <v>23000</v>
      </c>
      <c r="H1066" s="5">
        <v>1400700</v>
      </c>
      <c r="I1066" s="4"/>
      <c r="J1066" s="4"/>
      <c r="K1066" s="4">
        <v>0</v>
      </c>
      <c r="L1066" s="4">
        <v>1400700</v>
      </c>
      <c r="O1066" s="34">
        <v>46184</v>
      </c>
      <c r="P1066" s="10" t="s">
        <v>335</v>
      </c>
      <c r="Q1066" s="11">
        <v>10232500</v>
      </c>
      <c r="R1066" s="11"/>
      <c r="S1066" s="11"/>
      <c r="T1066" s="12">
        <v>10232500</v>
      </c>
      <c r="U1066" s="10"/>
      <c r="V1066" s="10" t="s">
        <v>279</v>
      </c>
    </row>
    <row r="1067" spans="2:22" x14ac:dyDescent="0.25">
      <c r="B1067" s="8">
        <v>46178</v>
      </c>
      <c r="C1067" s="9" t="s">
        <v>335</v>
      </c>
      <c r="D1067" s="10" t="s">
        <v>25</v>
      </c>
      <c r="E1067" s="10" t="s">
        <v>2</v>
      </c>
      <c r="F1067" s="11">
        <v>409.3</v>
      </c>
      <c r="G1067" s="11">
        <v>25000</v>
      </c>
      <c r="H1067" s="12">
        <v>10232500</v>
      </c>
      <c r="I1067" s="11"/>
      <c r="J1067" s="11"/>
      <c r="K1067" s="11">
        <v>0</v>
      </c>
      <c r="L1067" s="11">
        <v>10232500</v>
      </c>
      <c r="O1067" s="33">
        <v>46184</v>
      </c>
      <c r="P1067" s="3" t="s">
        <v>256</v>
      </c>
      <c r="Q1067" s="4">
        <v>2320000</v>
      </c>
      <c r="R1067" s="4"/>
      <c r="S1067" s="4"/>
      <c r="T1067" s="5">
        <v>2320000</v>
      </c>
      <c r="U1067" s="3"/>
      <c r="V1067" s="3"/>
    </row>
    <row r="1068" spans="2:22" x14ac:dyDescent="0.25">
      <c r="B1068" s="1">
        <v>46178</v>
      </c>
      <c r="C1068" s="2" t="s">
        <v>296</v>
      </c>
      <c r="D1068" s="3" t="s">
        <v>323</v>
      </c>
      <c r="E1068" s="3" t="s">
        <v>2</v>
      </c>
      <c r="F1068" s="4">
        <v>51.6</v>
      </c>
      <c r="G1068" s="4">
        <v>22000</v>
      </c>
      <c r="H1068" s="5">
        <v>1135200</v>
      </c>
      <c r="I1068" s="4"/>
      <c r="J1068" s="4"/>
      <c r="K1068" s="4">
        <v>0</v>
      </c>
      <c r="L1068" s="4">
        <v>1135200</v>
      </c>
      <c r="O1068" s="34">
        <v>46185</v>
      </c>
      <c r="P1068" s="10" t="s">
        <v>340</v>
      </c>
      <c r="Q1068" s="11">
        <v>1041900</v>
      </c>
      <c r="R1068" s="11"/>
      <c r="S1068" s="11"/>
      <c r="T1068" s="12">
        <v>1041900</v>
      </c>
      <c r="U1068" s="10"/>
      <c r="V1068" s="10"/>
    </row>
    <row r="1069" spans="2:22" x14ac:dyDescent="0.25">
      <c r="B1069" s="8">
        <v>46178</v>
      </c>
      <c r="C1069" s="9" t="s">
        <v>79</v>
      </c>
      <c r="D1069" s="10" t="s">
        <v>29</v>
      </c>
      <c r="E1069" s="10" t="s">
        <v>2</v>
      </c>
      <c r="F1069" s="11">
        <v>194.5</v>
      </c>
      <c r="G1069" s="11">
        <v>21000</v>
      </c>
      <c r="H1069" s="12">
        <v>4084500</v>
      </c>
      <c r="I1069" s="11"/>
      <c r="J1069" s="11"/>
      <c r="K1069" s="11">
        <v>0</v>
      </c>
      <c r="L1069" s="11">
        <v>4084500</v>
      </c>
      <c r="O1069" s="33">
        <v>46185</v>
      </c>
      <c r="P1069" s="3" t="s">
        <v>82</v>
      </c>
      <c r="Q1069" s="4">
        <v>2028600</v>
      </c>
      <c r="R1069" s="4"/>
      <c r="S1069" s="4"/>
      <c r="T1069" s="5">
        <v>2028600</v>
      </c>
      <c r="U1069" s="3"/>
      <c r="V1069" s="3"/>
    </row>
    <row r="1070" spans="2:22" x14ac:dyDescent="0.25">
      <c r="B1070" s="1">
        <v>46179</v>
      </c>
      <c r="C1070" s="2" t="s">
        <v>68</v>
      </c>
      <c r="D1070" s="3" t="s">
        <v>36</v>
      </c>
      <c r="E1070" s="3" t="s">
        <v>2</v>
      </c>
      <c r="F1070" s="4">
        <v>231</v>
      </c>
      <c r="G1070" s="4">
        <v>19000</v>
      </c>
      <c r="H1070" s="5">
        <v>4389000</v>
      </c>
      <c r="I1070" s="4"/>
      <c r="J1070" s="4"/>
      <c r="K1070" s="4">
        <v>0</v>
      </c>
      <c r="L1070" s="4">
        <v>4389000</v>
      </c>
      <c r="O1070" s="34">
        <v>46185</v>
      </c>
      <c r="P1070" s="10" t="s">
        <v>34</v>
      </c>
      <c r="Q1070" s="11">
        <v>14787516</v>
      </c>
      <c r="R1070" s="11"/>
      <c r="S1070" s="11"/>
      <c r="T1070" s="12">
        <v>14787516</v>
      </c>
      <c r="U1070" s="10"/>
      <c r="V1070" s="10" t="s">
        <v>279</v>
      </c>
    </row>
    <row r="1071" spans="2:22" x14ac:dyDescent="0.25">
      <c r="B1071" s="8">
        <v>46179</v>
      </c>
      <c r="C1071" s="9" t="s">
        <v>65</v>
      </c>
      <c r="D1071" s="10" t="s">
        <v>8</v>
      </c>
      <c r="E1071" s="10" t="s">
        <v>2</v>
      </c>
      <c r="F1071" s="11">
        <v>1152.7</v>
      </c>
      <c r="G1071" s="11">
        <v>24000</v>
      </c>
      <c r="H1071" s="12">
        <v>27664800</v>
      </c>
      <c r="I1071" s="11"/>
      <c r="J1071" s="11"/>
      <c r="K1071" s="11">
        <v>0</v>
      </c>
      <c r="L1071" s="11">
        <v>27664800</v>
      </c>
      <c r="O1071" s="33">
        <v>46185</v>
      </c>
      <c r="P1071" s="3" t="s">
        <v>34</v>
      </c>
      <c r="Q1071" s="4">
        <v>9341257</v>
      </c>
      <c r="R1071" s="4"/>
      <c r="S1071" s="4"/>
      <c r="T1071" s="5">
        <v>9341257</v>
      </c>
      <c r="U1071" s="3"/>
      <c r="V1071" s="3" t="s">
        <v>279</v>
      </c>
    </row>
    <row r="1072" spans="2:22" x14ac:dyDescent="0.25">
      <c r="B1072" s="1">
        <v>46179</v>
      </c>
      <c r="C1072" s="2" t="s">
        <v>53</v>
      </c>
      <c r="D1072" s="3" t="s">
        <v>334</v>
      </c>
      <c r="E1072" s="3" t="s">
        <v>2</v>
      </c>
      <c r="F1072" s="4">
        <v>324.89999999999998</v>
      </c>
      <c r="G1072" s="4">
        <v>23500</v>
      </c>
      <c r="H1072" s="5">
        <v>7635149.9999999991</v>
      </c>
      <c r="I1072" s="4"/>
      <c r="J1072" s="4"/>
      <c r="K1072" s="4">
        <v>0</v>
      </c>
      <c r="L1072" s="4">
        <v>7635149.9999999991</v>
      </c>
      <c r="O1072" s="34">
        <v>46186</v>
      </c>
      <c r="P1072" s="10" t="s">
        <v>65</v>
      </c>
      <c r="Q1072" s="11">
        <v>3000000</v>
      </c>
      <c r="R1072" s="11"/>
      <c r="S1072" s="11"/>
      <c r="T1072" s="12">
        <v>3000000</v>
      </c>
      <c r="U1072" s="10"/>
      <c r="V1072" s="10" t="s">
        <v>275</v>
      </c>
    </row>
    <row r="1073" spans="2:22" x14ac:dyDescent="0.25">
      <c r="B1073" s="8">
        <v>46179</v>
      </c>
      <c r="C1073" s="9" t="s">
        <v>53</v>
      </c>
      <c r="D1073" s="10" t="s">
        <v>334</v>
      </c>
      <c r="E1073" s="10" t="s">
        <v>2</v>
      </c>
      <c r="F1073" s="11">
        <v>67.400000000000006</v>
      </c>
      <c r="G1073" s="11">
        <v>23500</v>
      </c>
      <c r="H1073" s="12">
        <v>1583900.0000000002</v>
      </c>
      <c r="I1073" s="11"/>
      <c r="J1073" s="11"/>
      <c r="K1073" s="11">
        <v>0</v>
      </c>
      <c r="L1073" s="11">
        <v>1583900.0000000002</v>
      </c>
      <c r="O1073" s="33">
        <v>46186</v>
      </c>
      <c r="P1073" s="3" t="s">
        <v>65</v>
      </c>
      <c r="Q1073" s="4">
        <v>2115000</v>
      </c>
      <c r="R1073" s="4"/>
      <c r="S1073" s="4"/>
      <c r="T1073" s="5">
        <v>2115000</v>
      </c>
      <c r="U1073" s="3"/>
      <c r="V1073" s="3" t="s">
        <v>275</v>
      </c>
    </row>
    <row r="1074" spans="2:22" x14ac:dyDescent="0.25">
      <c r="B1074" s="1">
        <v>46179</v>
      </c>
      <c r="C1074" s="2" t="s">
        <v>336</v>
      </c>
      <c r="D1074" s="3" t="s">
        <v>8</v>
      </c>
      <c r="E1074" s="3" t="s">
        <v>2</v>
      </c>
      <c r="F1074" s="4">
        <v>72.2</v>
      </c>
      <c r="G1074" s="4">
        <v>25000</v>
      </c>
      <c r="H1074" s="5">
        <v>1805000</v>
      </c>
      <c r="I1074" s="4"/>
      <c r="J1074" s="4"/>
      <c r="K1074" s="4">
        <v>0</v>
      </c>
      <c r="L1074" s="4">
        <v>1805000</v>
      </c>
      <c r="O1074" s="34">
        <v>46186</v>
      </c>
      <c r="P1074" s="10" t="s">
        <v>286</v>
      </c>
      <c r="Q1074" s="11">
        <v>700000</v>
      </c>
      <c r="R1074" s="11"/>
      <c r="S1074" s="11"/>
      <c r="T1074" s="12">
        <v>700000</v>
      </c>
      <c r="U1074" s="10"/>
      <c r="V1074" s="10"/>
    </row>
    <row r="1075" spans="2:22" x14ac:dyDescent="0.25">
      <c r="B1075" s="8">
        <v>46179</v>
      </c>
      <c r="C1075" s="9" t="s">
        <v>33</v>
      </c>
      <c r="D1075" s="10" t="s">
        <v>323</v>
      </c>
      <c r="E1075" s="10" t="s">
        <v>2</v>
      </c>
      <c r="F1075" s="11">
        <v>606.29999999999995</v>
      </c>
      <c r="G1075" s="11">
        <v>23000</v>
      </c>
      <c r="H1075" s="12">
        <v>13944899.999999998</v>
      </c>
      <c r="I1075" s="11"/>
      <c r="J1075" s="11"/>
      <c r="K1075" s="11">
        <v>0</v>
      </c>
      <c r="L1075" s="11">
        <v>13944899.999999998</v>
      </c>
      <c r="O1075" s="33">
        <v>46186</v>
      </c>
      <c r="P1075" s="3" t="s">
        <v>218</v>
      </c>
      <c r="Q1075" s="4">
        <v>2109600</v>
      </c>
      <c r="R1075" s="4"/>
      <c r="S1075" s="4"/>
      <c r="T1075" s="5">
        <v>2109600</v>
      </c>
      <c r="U1075" s="3"/>
      <c r="V1075" s="3"/>
    </row>
    <row r="1076" spans="2:22" x14ac:dyDescent="0.25">
      <c r="B1076" s="1">
        <v>46179</v>
      </c>
      <c r="C1076" s="2" t="s">
        <v>33</v>
      </c>
      <c r="D1076" s="3" t="s">
        <v>10</v>
      </c>
      <c r="E1076" s="3" t="s">
        <v>2</v>
      </c>
      <c r="F1076" s="4">
        <v>99.9</v>
      </c>
      <c r="G1076" s="4">
        <v>15000</v>
      </c>
      <c r="H1076" s="5">
        <v>1498500</v>
      </c>
      <c r="I1076" s="4"/>
      <c r="J1076" s="4"/>
      <c r="K1076" s="4">
        <v>0</v>
      </c>
      <c r="L1076" s="4">
        <v>1498500</v>
      </c>
      <c r="O1076" s="34">
        <v>46186</v>
      </c>
      <c r="P1076" s="10" t="s">
        <v>343</v>
      </c>
      <c r="Q1076" s="11">
        <v>1890200</v>
      </c>
      <c r="R1076" s="11"/>
      <c r="S1076" s="11"/>
      <c r="T1076" s="12">
        <v>1890200</v>
      </c>
      <c r="U1076" s="10"/>
      <c r="V1076" s="10"/>
    </row>
    <row r="1077" spans="2:22" x14ac:dyDescent="0.25">
      <c r="B1077" s="8">
        <v>46179</v>
      </c>
      <c r="C1077" s="9" t="s">
        <v>214</v>
      </c>
      <c r="D1077" s="10" t="s">
        <v>10</v>
      </c>
      <c r="E1077" s="10" t="s">
        <v>2</v>
      </c>
      <c r="F1077" s="11">
        <v>50.4</v>
      </c>
      <c r="G1077" s="11">
        <v>15000</v>
      </c>
      <c r="H1077" s="12">
        <v>756000</v>
      </c>
      <c r="I1077" s="11"/>
      <c r="J1077" s="11"/>
      <c r="K1077" s="11">
        <v>0</v>
      </c>
      <c r="L1077" s="11">
        <v>756000</v>
      </c>
      <c r="O1077" s="33">
        <v>46186</v>
      </c>
      <c r="P1077" s="3" t="s">
        <v>19</v>
      </c>
      <c r="Q1077" s="4">
        <v>2036000</v>
      </c>
      <c r="R1077" s="4"/>
      <c r="S1077" s="4"/>
      <c r="T1077" s="5">
        <v>2036000</v>
      </c>
      <c r="U1077" s="3"/>
      <c r="V1077" s="3"/>
    </row>
    <row r="1078" spans="2:22" x14ac:dyDescent="0.25">
      <c r="B1078" s="1">
        <v>46179</v>
      </c>
      <c r="C1078" s="2" t="s">
        <v>51</v>
      </c>
      <c r="D1078" s="3" t="s">
        <v>323</v>
      </c>
      <c r="E1078" s="3" t="s">
        <v>2</v>
      </c>
      <c r="F1078" s="4">
        <v>47.8</v>
      </c>
      <c r="G1078" s="4">
        <v>23000</v>
      </c>
      <c r="H1078" s="5">
        <v>1099400</v>
      </c>
      <c r="I1078" s="4"/>
      <c r="J1078" s="4"/>
      <c r="K1078" s="4">
        <v>0</v>
      </c>
      <c r="L1078" s="4">
        <v>1099400</v>
      </c>
      <c r="O1078" s="34">
        <v>46186</v>
      </c>
      <c r="P1078" s="10" t="s">
        <v>342</v>
      </c>
      <c r="Q1078" s="11">
        <v>2848200</v>
      </c>
      <c r="R1078" s="11"/>
      <c r="S1078" s="11"/>
      <c r="T1078" s="12">
        <v>2848200</v>
      </c>
      <c r="U1078" s="10"/>
      <c r="V1078" s="10"/>
    </row>
    <row r="1079" spans="2:22" x14ac:dyDescent="0.25">
      <c r="B1079" s="8">
        <v>46179</v>
      </c>
      <c r="C1079" s="9" t="s">
        <v>56</v>
      </c>
      <c r="D1079" s="10" t="s">
        <v>10</v>
      </c>
      <c r="E1079" s="10" t="s">
        <v>2</v>
      </c>
      <c r="F1079" s="11">
        <v>49</v>
      </c>
      <c r="G1079" s="11">
        <v>16000</v>
      </c>
      <c r="H1079" s="12">
        <v>784000</v>
      </c>
      <c r="I1079" s="11"/>
      <c r="J1079" s="11"/>
      <c r="K1079" s="11">
        <v>0</v>
      </c>
      <c r="L1079" s="11">
        <v>784000</v>
      </c>
      <c r="O1079" s="33">
        <v>46186</v>
      </c>
      <c r="P1079" s="3" t="s">
        <v>129</v>
      </c>
      <c r="Q1079" s="4">
        <v>2000000</v>
      </c>
      <c r="R1079" s="4"/>
      <c r="S1079" s="4"/>
      <c r="T1079" s="5">
        <v>2000000</v>
      </c>
      <c r="U1079" s="3"/>
      <c r="V1079" s="3"/>
    </row>
    <row r="1080" spans="2:22" x14ac:dyDescent="0.25">
      <c r="B1080" s="1">
        <v>46179</v>
      </c>
      <c r="C1080" s="2" t="s">
        <v>332</v>
      </c>
      <c r="D1080" s="3" t="s">
        <v>323</v>
      </c>
      <c r="E1080" s="3" t="s">
        <v>2</v>
      </c>
      <c r="F1080" s="4">
        <v>50.8</v>
      </c>
      <c r="G1080" s="4">
        <v>23000</v>
      </c>
      <c r="H1080" s="5">
        <v>1168400</v>
      </c>
      <c r="I1080" s="4"/>
      <c r="J1080" s="4"/>
      <c r="K1080" s="4">
        <v>0</v>
      </c>
      <c r="L1080" s="4">
        <v>1168400</v>
      </c>
      <c r="O1080" s="34">
        <v>46186</v>
      </c>
      <c r="P1080" s="10" t="s">
        <v>198</v>
      </c>
      <c r="Q1080" s="11">
        <v>2660000</v>
      </c>
      <c r="R1080" s="11"/>
      <c r="S1080" s="11"/>
      <c r="T1080" s="12">
        <v>2660000</v>
      </c>
      <c r="U1080" s="10"/>
      <c r="V1080" s="10" t="s">
        <v>275</v>
      </c>
    </row>
    <row r="1081" spans="2:22" x14ac:dyDescent="0.25">
      <c r="B1081" s="8">
        <v>46180</v>
      </c>
      <c r="C1081" s="9" t="s">
        <v>249</v>
      </c>
      <c r="D1081" s="10" t="s">
        <v>323</v>
      </c>
      <c r="E1081" s="10" t="s">
        <v>2</v>
      </c>
      <c r="F1081" s="11">
        <v>288.60000000000002</v>
      </c>
      <c r="G1081" s="11">
        <v>22500</v>
      </c>
      <c r="H1081" s="12">
        <v>6493500.0000000009</v>
      </c>
      <c r="I1081" s="11"/>
      <c r="J1081" s="11"/>
      <c r="K1081" s="11">
        <v>0</v>
      </c>
      <c r="L1081" s="11">
        <v>6493500.0000000009</v>
      </c>
      <c r="O1081" s="33">
        <v>46187</v>
      </c>
      <c r="P1081" s="3" t="s">
        <v>187</v>
      </c>
      <c r="Q1081" s="4">
        <v>1022000</v>
      </c>
      <c r="R1081" s="4"/>
      <c r="S1081" s="4"/>
      <c r="T1081" s="5">
        <v>1022000</v>
      </c>
      <c r="U1081" s="3"/>
      <c r="V1081" s="3"/>
    </row>
    <row r="1082" spans="2:22" x14ac:dyDescent="0.25">
      <c r="B1082" s="1">
        <v>46180</v>
      </c>
      <c r="C1082" s="2" t="s">
        <v>249</v>
      </c>
      <c r="D1082" s="3" t="s">
        <v>10</v>
      </c>
      <c r="E1082" s="3" t="s">
        <v>2</v>
      </c>
      <c r="F1082" s="4">
        <v>197.5</v>
      </c>
      <c r="G1082" s="4">
        <v>15000</v>
      </c>
      <c r="H1082" s="5">
        <v>2962500</v>
      </c>
      <c r="I1082" s="4"/>
      <c r="J1082" s="4"/>
      <c r="K1082" s="4">
        <v>0</v>
      </c>
      <c r="L1082" s="4">
        <v>2962500</v>
      </c>
      <c r="O1082" s="34">
        <v>46187</v>
      </c>
      <c r="P1082" s="10" t="s">
        <v>344</v>
      </c>
      <c r="Q1082" s="11">
        <v>976800</v>
      </c>
      <c r="R1082" s="11"/>
      <c r="S1082" s="11"/>
      <c r="T1082" s="12">
        <v>976800</v>
      </c>
      <c r="U1082" s="10"/>
      <c r="V1082" s="10"/>
    </row>
    <row r="1083" spans="2:22" x14ac:dyDescent="0.25">
      <c r="B1083" s="8">
        <v>46181</v>
      </c>
      <c r="C1083" s="9" t="s">
        <v>101</v>
      </c>
      <c r="D1083" s="10" t="s">
        <v>10</v>
      </c>
      <c r="E1083" s="10" t="s">
        <v>2</v>
      </c>
      <c r="F1083" s="11">
        <v>50.5</v>
      </c>
      <c r="G1083" s="11">
        <v>16000</v>
      </c>
      <c r="H1083" s="12">
        <v>808000</v>
      </c>
      <c r="I1083" s="11"/>
      <c r="J1083" s="11"/>
      <c r="K1083" s="11">
        <v>0</v>
      </c>
      <c r="L1083" s="11">
        <v>808000</v>
      </c>
      <c r="O1083" s="33">
        <v>46187</v>
      </c>
      <c r="P1083" s="3" t="s">
        <v>96</v>
      </c>
      <c r="Q1083" s="4">
        <v>600000</v>
      </c>
      <c r="R1083" s="4"/>
      <c r="S1083" s="4"/>
      <c r="T1083" s="5">
        <v>600000</v>
      </c>
      <c r="U1083" s="3"/>
      <c r="V1083" s="3"/>
    </row>
    <row r="1084" spans="2:22" x14ac:dyDescent="0.25">
      <c r="B1084" s="1">
        <v>46181</v>
      </c>
      <c r="C1084" s="2" t="s">
        <v>53</v>
      </c>
      <c r="D1084" s="3" t="s">
        <v>334</v>
      </c>
      <c r="E1084" s="3" t="s">
        <v>2</v>
      </c>
      <c r="F1084" s="4">
        <v>589.70000000000005</v>
      </c>
      <c r="G1084" s="4">
        <v>23500</v>
      </c>
      <c r="H1084" s="5">
        <v>13857950.000000002</v>
      </c>
      <c r="I1084" s="4"/>
      <c r="J1084" s="4"/>
      <c r="K1084" s="4">
        <v>0</v>
      </c>
      <c r="L1084" s="4">
        <v>13857950.000000002</v>
      </c>
      <c r="O1084" s="34">
        <v>46187</v>
      </c>
      <c r="P1084" s="10" t="s">
        <v>324</v>
      </c>
      <c r="Q1084" s="11">
        <v>796800</v>
      </c>
      <c r="R1084" s="11"/>
      <c r="S1084" s="11"/>
      <c r="T1084" s="12">
        <v>796800</v>
      </c>
      <c r="U1084" s="10"/>
      <c r="V1084" s="10"/>
    </row>
    <row r="1085" spans="2:22" x14ac:dyDescent="0.25">
      <c r="B1085" s="8">
        <v>46181</v>
      </c>
      <c r="C1085" s="9" t="s">
        <v>39</v>
      </c>
      <c r="D1085" s="10" t="s">
        <v>1</v>
      </c>
      <c r="E1085" s="10" t="s">
        <v>2</v>
      </c>
      <c r="F1085" s="11">
        <v>66</v>
      </c>
      <c r="G1085" s="11">
        <v>25000</v>
      </c>
      <c r="H1085" s="12">
        <v>1650000</v>
      </c>
      <c r="I1085" s="11"/>
      <c r="J1085" s="11"/>
      <c r="K1085" s="11">
        <v>0</v>
      </c>
      <c r="L1085" s="11">
        <v>1650000</v>
      </c>
      <c r="O1085" s="33">
        <v>46187</v>
      </c>
      <c r="P1085" s="3" t="s">
        <v>337</v>
      </c>
      <c r="Q1085" s="4"/>
      <c r="R1085" s="4">
        <v>100</v>
      </c>
      <c r="S1085" s="4">
        <v>12000</v>
      </c>
      <c r="T1085" s="5">
        <v>1200000</v>
      </c>
      <c r="U1085" s="3"/>
      <c r="V1085" s="3"/>
    </row>
    <row r="1086" spans="2:22" x14ac:dyDescent="0.25">
      <c r="B1086" s="1">
        <v>46181</v>
      </c>
      <c r="C1086" s="2" t="s">
        <v>336</v>
      </c>
      <c r="D1086" s="3" t="s">
        <v>8</v>
      </c>
      <c r="E1086" s="3" t="s">
        <v>2</v>
      </c>
      <c r="F1086" s="4">
        <v>225.6</v>
      </c>
      <c r="G1086" s="4">
        <v>25000</v>
      </c>
      <c r="H1086" s="5">
        <v>5640000</v>
      </c>
      <c r="I1086" s="4"/>
      <c r="J1086" s="4"/>
      <c r="K1086" s="4">
        <v>0</v>
      </c>
      <c r="L1086" s="4">
        <v>5640000</v>
      </c>
      <c r="O1086" s="34">
        <v>46187</v>
      </c>
      <c r="P1086" s="10" t="s">
        <v>81</v>
      </c>
      <c r="Q1086" s="11">
        <v>1000000</v>
      </c>
      <c r="R1086" s="11"/>
      <c r="S1086" s="11"/>
      <c r="T1086" s="12">
        <v>1000000</v>
      </c>
      <c r="U1086" s="10"/>
      <c r="V1086" s="10"/>
    </row>
    <row r="1087" spans="2:22" x14ac:dyDescent="0.25">
      <c r="B1087" s="8">
        <v>46181</v>
      </c>
      <c r="C1087" s="9" t="s">
        <v>7</v>
      </c>
      <c r="D1087" s="10" t="s">
        <v>8</v>
      </c>
      <c r="E1087" s="10" t="s">
        <v>2</v>
      </c>
      <c r="F1087" s="11">
        <v>500.3</v>
      </c>
      <c r="G1087" s="11">
        <v>25000</v>
      </c>
      <c r="H1087" s="12">
        <v>12507500</v>
      </c>
      <c r="I1087" s="11"/>
      <c r="J1087" s="11"/>
      <c r="K1087" s="11">
        <v>0</v>
      </c>
      <c r="L1087" s="11">
        <v>12507500</v>
      </c>
      <c r="O1087" s="33">
        <v>46187</v>
      </c>
      <c r="P1087" s="3" t="s">
        <v>289</v>
      </c>
      <c r="Q1087" s="4">
        <v>520000</v>
      </c>
      <c r="R1087" s="4">
        <v>100</v>
      </c>
      <c r="S1087" s="4">
        <v>12000</v>
      </c>
      <c r="T1087" s="5">
        <v>1720000</v>
      </c>
      <c r="U1087" s="3"/>
      <c r="V1087" s="3"/>
    </row>
    <row r="1088" spans="2:22" x14ac:dyDescent="0.25">
      <c r="B1088" s="1">
        <v>46181</v>
      </c>
      <c r="C1088" s="2" t="s">
        <v>68</v>
      </c>
      <c r="D1088" s="3" t="s">
        <v>36</v>
      </c>
      <c r="E1088" s="3" t="s">
        <v>2</v>
      </c>
      <c r="F1088" s="4">
        <v>465.2</v>
      </c>
      <c r="G1088" s="4">
        <v>19000</v>
      </c>
      <c r="H1088" s="5">
        <v>8838800</v>
      </c>
      <c r="I1088" s="4"/>
      <c r="J1088" s="4"/>
      <c r="K1088" s="4">
        <v>0</v>
      </c>
      <c r="L1088" s="4">
        <v>8838800</v>
      </c>
      <c r="O1088" s="34">
        <v>46187</v>
      </c>
      <c r="P1088" s="10" t="s">
        <v>163</v>
      </c>
      <c r="Q1088" s="11">
        <v>862600</v>
      </c>
      <c r="R1088" s="11"/>
      <c r="S1088" s="11"/>
      <c r="T1088" s="12">
        <v>862600</v>
      </c>
      <c r="U1088" s="10"/>
      <c r="V1088" s="10"/>
    </row>
    <row r="1089" spans="2:22" x14ac:dyDescent="0.25">
      <c r="B1089" s="8">
        <v>46181</v>
      </c>
      <c r="C1089" s="9" t="s">
        <v>332</v>
      </c>
      <c r="D1089" s="10" t="s">
        <v>323</v>
      </c>
      <c r="E1089" s="10" t="s">
        <v>2</v>
      </c>
      <c r="F1089" s="11">
        <v>-50.8</v>
      </c>
      <c r="G1089" s="11">
        <v>23000</v>
      </c>
      <c r="H1089" s="12">
        <v>-1168400</v>
      </c>
      <c r="I1089" s="11"/>
      <c r="J1089" s="11"/>
      <c r="K1089" s="11">
        <v>0</v>
      </c>
      <c r="L1089" s="11">
        <v>-1168400</v>
      </c>
      <c r="O1089" s="33">
        <v>46187</v>
      </c>
      <c r="P1089" s="3" t="s">
        <v>345</v>
      </c>
      <c r="Q1089" s="4">
        <v>1084000</v>
      </c>
      <c r="R1089" s="4"/>
      <c r="S1089" s="4"/>
      <c r="T1089" s="5">
        <v>1084000</v>
      </c>
      <c r="U1089" s="3"/>
      <c r="V1089" s="3" t="s">
        <v>275</v>
      </c>
    </row>
    <row r="1090" spans="2:22" x14ac:dyDescent="0.25">
      <c r="B1090" s="1">
        <v>46181</v>
      </c>
      <c r="C1090" s="2" t="s">
        <v>33</v>
      </c>
      <c r="D1090" s="3" t="s">
        <v>10</v>
      </c>
      <c r="E1090" s="3" t="s">
        <v>2</v>
      </c>
      <c r="F1090" s="4">
        <v>1043.8</v>
      </c>
      <c r="G1090" s="4">
        <v>15500</v>
      </c>
      <c r="H1090" s="5">
        <v>16178900</v>
      </c>
      <c r="I1090" s="4"/>
      <c r="J1090" s="4"/>
      <c r="K1090" s="4">
        <v>0</v>
      </c>
      <c r="L1090" s="4">
        <v>16178900</v>
      </c>
      <c r="O1090" s="34">
        <v>46187</v>
      </c>
      <c r="P1090" s="10" t="s">
        <v>101</v>
      </c>
      <c r="Q1090" s="11">
        <v>1071800</v>
      </c>
      <c r="R1090" s="11"/>
      <c r="S1090" s="11"/>
      <c r="T1090" s="12">
        <v>1071800</v>
      </c>
      <c r="U1090" s="10"/>
      <c r="V1090" s="10" t="s">
        <v>279</v>
      </c>
    </row>
    <row r="1091" spans="2:22" x14ac:dyDescent="0.25">
      <c r="B1091" s="8">
        <v>46181</v>
      </c>
      <c r="C1091" s="9" t="s">
        <v>33</v>
      </c>
      <c r="D1091" s="10" t="s">
        <v>1</v>
      </c>
      <c r="E1091" s="10" t="s">
        <v>2</v>
      </c>
      <c r="F1091" s="11">
        <v>667.2</v>
      </c>
      <c r="G1091" s="11">
        <v>23000</v>
      </c>
      <c r="H1091" s="12">
        <v>15345600.000000002</v>
      </c>
      <c r="I1091" s="11"/>
      <c r="J1091" s="11"/>
      <c r="K1091" s="11">
        <v>0</v>
      </c>
      <c r="L1091" s="11">
        <v>15345600.000000002</v>
      </c>
      <c r="O1091" s="33">
        <v>46187</v>
      </c>
      <c r="P1091" s="3" t="s">
        <v>105</v>
      </c>
      <c r="Q1091" s="4">
        <v>11105550</v>
      </c>
      <c r="R1091" s="4"/>
      <c r="S1091" s="4"/>
      <c r="T1091" s="5">
        <v>11105550</v>
      </c>
      <c r="U1091" s="3"/>
      <c r="V1091" s="3" t="s">
        <v>275</v>
      </c>
    </row>
    <row r="1092" spans="2:22" x14ac:dyDescent="0.25">
      <c r="B1092" s="1">
        <v>46181</v>
      </c>
      <c r="C1092" s="2" t="s">
        <v>336</v>
      </c>
      <c r="D1092" s="3" t="s">
        <v>8</v>
      </c>
      <c r="E1092" s="3" t="s">
        <v>2</v>
      </c>
      <c r="F1092" s="4">
        <v>-47.8</v>
      </c>
      <c r="G1092" s="4">
        <v>25000</v>
      </c>
      <c r="H1092" s="5">
        <v>-1195000</v>
      </c>
      <c r="I1092" s="4"/>
      <c r="J1092" s="4"/>
      <c r="K1092" s="4">
        <v>0</v>
      </c>
      <c r="L1092" s="4">
        <v>-1195000</v>
      </c>
      <c r="O1092" s="34">
        <v>46187</v>
      </c>
      <c r="P1092" s="10" t="s">
        <v>198</v>
      </c>
      <c r="Q1092" s="11">
        <v>933000</v>
      </c>
      <c r="R1092" s="11"/>
      <c r="S1092" s="11"/>
      <c r="T1092" s="12">
        <v>933000</v>
      </c>
      <c r="U1092" s="10"/>
      <c r="V1092" s="10" t="s">
        <v>275</v>
      </c>
    </row>
    <row r="1093" spans="2:22" x14ac:dyDescent="0.25">
      <c r="B1093" s="8">
        <v>46182</v>
      </c>
      <c r="C1093" s="9" t="s">
        <v>337</v>
      </c>
      <c r="D1093" s="10" t="s">
        <v>323</v>
      </c>
      <c r="E1093" s="10" t="s">
        <v>2</v>
      </c>
      <c r="F1093" s="11">
        <v>148.5</v>
      </c>
      <c r="G1093" s="11">
        <v>23000</v>
      </c>
      <c r="H1093" s="12">
        <v>3415500</v>
      </c>
      <c r="I1093" s="11"/>
      <c r="J1093" s="11"/>
      <c r="K1093" s="11">
        <v>0</v>
      </c>
      <c r="L1093" s="11">
        <v>3415500</v>
      </c>
      <c r="O1093" s="33">
        <v>46187</v>
      </c>
      <c r="P1093" s="3" t="s">
        <v>65</v>
      </c>
      <c r="Q1093" s="4">
        <v>800000</v>
      </c>
      <c r="R1093" s="4"/>
      <c r="S1093" s="4"/>
      <c r="T1093" s="5">
        <v>800000</v>
      </c>
      <c r="U1093" s="3"/>
      <c r="V1093" s="3" t="s">
        <v>275</v>
      </c>
    </row>
    <row r="1094" spans="2:22" x14ac:dyDescent="0.25">
      <c r="B1094" s="1">
        <v>46182</v>
      </c>
      <c r="C1094" s="2" t="s">
        <v>337</v>
      </c>
      <c r="D1094" s="3" t="s">
        <v>10</v>
      </c>
      <c r="E1094" s="3" t="s">
        <v>2</v>
      </c>
      <c r="F1094" s="4">
        <v>106.4</v>
      </c>
      <c r="G1094" s="4">
        <v>16000</v>
      </c>
      <c r="H1094" s="5">
        <v>1702400</v>
      </c>
      <c r="I1094" s="4"/>
      <c r="J1094" s="4"/>
      <c r="K1094" s="4">
        <v>0</v>
      </c>
      <c r="L1094" s="4">
        <v>1702400</v>
      </c>
      <c r="O1094" s="34">
        <v>46187</v>
      </c>
      <c r="P1094" s="10" t="s">
        <v>55</v>
      </c>
      <c r="Q1094" s="11">
        <v>500000</v>
      </c>
      <c r="R1094" s="11"/>
      <c r="S1094" s="11"/>
      <c r="T1094" s="12">
        <v>500000</v>
      </c>
      <c r="U1094" s="10"/>
      <c r="V1094" s="10" t="s">
        <v>275</v>
      </c>
    </row>
    <row r="1095" spans="2:22" x14ac:dyDescent="0.25">
      <c r="B1095" s="8">
        <v>46182</v>
      </c>
      <c r="C1095" s="9" t="s">
        <v>72</v>
      </c>
      <c r="D1095" s="10" t="s">
        <v>323</v>
      </c>
      <c r="E1095" s="10" t="s">
        <v>2</v>
      </c>
      <c r="F1095" s="11">
        <v>192.7</v>
      </c>
      <c r="G1095" s="11">
        <v>23000</v>
      </c>
      <c r="H1095" s="12">
        <v>4432100</v>
      </c>
      <c r="I1095" s="11"/>
      <c r="J1095" s="11"/>
      <c r="K1095" s="11">
        <v>0</v>
      </c>
      <c r="L1095" s="11">
        <v>4432100</v>
      </c>
      <c r="O1095" s="27">
        <v>46188</v>
      </c>
      <c r="P1095" s="28" t="s">
        <v>12</v>
      </c>
      <c r="Q1095" s="6">
        <v>38013000</v>
      </c>
      <c r="R1095" s="6"/>
      <c r="S1095" s="6"/>
      <c r="T1095" s="29">
        <v>38013000</v>
      </c>
      <c r="U1095" s="28"/>
      <c r="V1095" s="28" t="s">
        <v>287</v>
      </c>
    </row>
    <row r="1096" spans="2:22" x14ac:dyDescent="0.25">
      <c r="B1096" s="1">
        <v>46182</v>
      </c>
      <c r="C1096" s="2" t="s">
        <v>72</v>
      </c>
      <c r="D1096" s="3" t="s">
        <v>10</v>
      </c>
      <c r="E1096" s="3" t="s">
        <v>2</v>
      </c>
      <c r="F1096" s="4">
        <v>48.2</v>
      </c>
      <c r="G1096" s="4">
        <v>16000</v>
      </c>
      <c r="H1096" s="5">
        <v>771200</v>
      </c>
      <c r="I1096" s="4"/>
      <c r="J1096" s="4"/>
      <c r="K1096" s="4">
        <v>0</v>
      </c>
      <c r="L1096" s="4">
        <v>771200</v>
      </c>
      <c r="O1096" s="30">
        <v>46188</v>
      </c>
      <c r="P1096" s="31" t="s">
        <v>61</v>
      </c>
      <c r="Q1096" s="13">
        <v>17320000</v>
      </c>
      <c r="R1096" s="13"/>
      <c r="S1096" s="13"/>
      <c r="T1096" s="32">
        <v>17320000</v>
      </c>
      <c r="U1096" s="31"/>
      <c r="V1096" s="31" t="s">
        <v>287</v>
      </c>
    </row>
    <row r="1097" spans="2:22" x14ac:dyDescent="0.25">
      <c r="B1097" s="8">
        <v>46182</v>
      </c>
      <c r="C1097" s="9" t="s">
        <v>72</v>
      </c>
      <c r="D1097" s="10" t="s">
        <v>29</v>
      </c>
      <c r="E1097" s="10" t="s">
        <v>2</v>
      </c>
      <c r="F1097" s="11">
        <v>50.6</v>
      </c>
      <c r="G1097" s="11">
        <v>21000</v>
      </c>
      <c r="H1097" s="12">
        <v>1062600</v>
      </c>
      <c r="I1097" s="11"/>
      <c r="J1097" s="11"/>
      <c r="K1097" s="11">
        <v>0</v>
      </c>
      <c r="L1097" s="11">
        <v>1062600</v>
      </c>
      <c r="O1097" s="27">
        <v>46188</v>
      </c>
      <c r="P1097" s="28" t="s">
        <v>89</v>
      </c>
      <c r="Q1097" s="6">
        <v>13460000</v>
      </c>
      <c r="R1097" s="6"/>
      <c r="S1097" s="6"/>
      <c r="T1097" s="29">
        <v>13460000</v>
      </c>
      <c r="U1097" s="28"/>
      <c r="V1097" s="28" t="s">
        <v>275</v>
      </c>
    </row>
    <row r="1098" spans="2:22" x14ac:dyDescent="0.25">
      <c r="B1098" s="1">
        <v>46182</v>
      </c>
      <c r="C1098" s="2" t="s">
        <v>61</v>
      </c>
      <c r="D1098" s="3" t="s">
        <v>10</v>
      </c>
      <c r="E1098" s="3" t="s">
        <v>2</v>
      </c>
      <c r="F1098" s="4">
        <v>514.6</v>
      </c>
      <c r="G1098" s="4">
        <v>16000</v>
      </c>
      <c r="H1098" s="5">
        <v>8233600</v>
      </c>
      <c r="I1098" s="4"/>
      <c r="J1098" s="4"/>
      <c r="K1098" s="4">
        <v>0</v>
      </c>
      <c r="L1098" s="4">
        <v>8233600</v>
      </c>
      <c r="O1098" s="30">
        <v>46188</v>
      </c>
      <c r="P1098" s="31" t="s">
        <v>60</v>
      </c>
      <c r="Q1098" s="13">
        <v>15000000</v>
      </c>
      <c r="R1098" s="13"/>
      <c r="S1098" s="13"/>
      <c r="T1098" s="32">
        <v>15000000</v>
      </c>
      <c r="U1098" s="31"/>
      <c r="V1098" s="31" t="s">
        <v>287</v>
      </c>
    </row>
    <row r="1099" spans="2:22" x14ac:dyDescent="0.25">
      <c r="B1099" s="8">
        <v>46182</v>
      </c>
      <c r="C1099" s="9" t="s">
        <v>61</v>
      </c>
      <c r="D1099" s="10" t="s">
        <v>323</v>
      </c>
      <c r="E1099" s="10" t="s">
        <v>2</v>
      </c>
      <c r="F1099" s="11">
        <v>147.1</v>
      </c>
      <c r="G1099" s="11">
        <v>23000</v>
      </c>
      <c r="H1099" s="12">
        <v>3383300</v>
      </c>
      <c r="I1099" s="11"/>
      <c r="J1099" s="11"/>
      <c r="K1099" s="11">
        <v>0</v>
      </c>
      <c r="L1099" s="11">
        <v>3383300</v>
      </c>
      <c r="O1099" s="27">
        <v>46188</v>
      </c>
      <c r="P1099" s="28" t="s">
        <v>347</v>
      </c>
      <c r="Q1099" s="6">
        <v>1655000</v>
      </c>
      <c r="R1099" s="6"/>
      <c r="S1099" s="6"/>
      <c r="T1099" s="29">
        <v>1655000</v>
      </c>
      <c r="U1099" s="28"/>
      <c r="V1099" s="28"/>
    </row>
    <row r="1100" spans="2:22" x14ac:dyDescent="0.25">
      <c r="B1100" s="1">
        <v>46182</v>
      </c>
      <c r="C1100" s="2" t="s">
        <v>288</v>
      </c>
      <c r="D1100" s="3" t="s">
        <v>323</v>
      </c>
      <c r="E1100" s="3" t="s">
        <v>2</v>
      </c>
      <c r="F1100" s="4">
        <v>45.5</v>
      </c>
      <c r="G1100" s="4">
        <v>23000</v>
      </c>
      <c r="H1100" s="5">
        <v>1046500</v>
      </c>
      <c r="I1100" s="4"/>
      <c r="J1100" s="4"/>
      <c r="K1100" s="4">
        <v>0</v>
      </c>
      <c r="L1100" s="4">
        <v>1046500</v>
      </c>
      <c r="O1100" s="30">
        <v>46188</v>
      </c>
      <c r="P1100" s="31" t="s">
        <v>144</v>
      </c>
      <c r="Q1100" s="13">
        <v>500000</v>
      </c>
      <c r="R1100" s="13"/>
      <c r="S1100" s="13"/>
      <c r="T1100" s="32">
        <v>500000</v>
      </c>
      <c r="U1100" s="31"/>
      <c r="V1100" s="31"/>
    </row>
    <row r="1101" spans="2:22" x14ac:dyDescent="0.25">
      <c r="B1101" s="8">
        <v>46182</v>
      </c>
      <c r="C1101" s="9" t="s">
        <v>288</v>
      </c>
      <c r="D1101" s="10" t="s">
        <v>10</v>
      </c>
      <c r="E1101" s="10" t="s">
        <v>2</v>
      </c>
      <c r="F1101" s="11">
        <v>48.6</v>
      </c>
      <c r="G1101" s="11">
        <v>16000</v>
      </c>
      <c r="H1101" s="12">
        <v>777600</v>
      </c>
      <c r="I1101" s="11"/>
      <c r="J1101" s="11"/>
      <c r="K1101" s="11">
        <v>0</v>
      </c>
      <c r="L1101" s="11">
        <v>777600</v>
      </c>
      <c r="O1101" s="33">
        <v>46190</v>
      </c>
      <c r="P1101" s="3" t="s">
        <v>33</v>
      </c>
      <c r="Q1101" s="4">
        <v>50000000</v>
      </c>
      <c r="R1101" s="4"/>
      <c r="S1101" s="4"/>
      <c r="T1101" s="5">
        <v>50000000</v>
      </c>
      <c r="U1101" s="3"/>
      <c r="V1101" s="3" t="s">
        <v>279</v>
      </c>
    </row>
    <row r="1102" spans="2:22" x14ac:dyDescent="0.25">
      <c r="B1102" s="1">
        <v>46182</v>
      </c>
      <c r="C1102" s="2" t="s">
        <v>196</v>
      </c>
      <c r="D1102" s="3" t="s">
        <v>10</v>
      </c>
      <c r="E1102" s="3" t="s">
        <v>2</v>
      </c>
      <c r="F1102" s="4">
        <v>58.2</v>
      </c>
      <c r="G1102" s="4">
        <v>15000</v>
      </c>
      <c r="H1102" s="5">
        <v>873000</v>
      </c>
      <c r="I1102" s="4"/>
      <c r="J1102" s="4"/>
      <c r="K1102" s="4">
        <v>0</v>
      </c>
      <c r="L1102" s="4">
        <v>873000</v>
      </c>
      <c r="O1102" s="34">
        <v>46190</v>
      </c>
      <c r="P1102" s="10" t="s">
        <v>331</v>
      </c>
      <c r="Q1102" s="11">
        <v>2205700</v>
      </c>
      <c r="R1102" s="11"/>
      <c r="S1102" s="11"/>
      <c r="T1102" s="12">
        <v>2205700</v>
      </c>
      <c r="U1102" s="10"/>
      <c r="V1102" s="10" t="s">
        <v>279</v>
      </c>
    </row>
    <row r="1103" spans="2:22" x14ac:dyDescent="0.25">
      <c r="B1103" s="8">
        <v>46182</v>
      </c>
      <c r="C1103" s="9" t="s">
        <v>172</v>
      </c>
      <c r="D1103" s="10" t="s">
        <v>1</v>
      </c>
      <c r="E1103" s="10" t="s">
        <v>2</v>
      </c>
      <c r="F1103" s="11">
        <v>304.5</v>
      </c>
      <c r="G1103" s="11">
        <v>25000</v>
      </c>
      <c r="H1103" s="12">
        <v>7612500</v>
      </c>
      <c r="I1103" s="11"/>
      <c r="J1103" s="11"/>
      <c r="K1103" s="11">
        <v>0</v>
      </c>
      <c r="L1103" s="11">
        <v>7612500</v>
      </c>
      <c r="O1103" s="33">
        <v>46190</v>
      </c>
      <c r="P1103" s="3" t="s">
        <v>202</v>
      </c>
      <c r="Q1103" s="4">
        <v>8000000</v>
      </c>
      <c r="R1103" s="4"/>
      <c r="S1103" s="4"/>
      <c r="T1103" s="5">
        <v>8000000</v>
      </c>
      <c r="U1103" s="3"/>
      <c r="V1103" s="3" t="s">
        <v>275</v>
      </c>
    </row>
    <row r="1104" spans="2:22" x14ac:dyDescent="0.25">
      <c r="B1104" s="1">
        <v>46182</v>
      </c>
      <c r="C1104" s="2" t="s">
        <v>163</v>
      </c>
      <c r="D1104" s="3" t="s">
        <v>29</v>
      </c>
      <c r="E1104" s="3" t="s">
        <v>2</v>
      </c>
      <c r="F1104" s="4">
        <v>45.4</v>
      </c>
      <c r="G1104" s="4">
        <v>19000</v>
      </c>
      <c r="H1104" s="5">
        <v>862600</v>
      </c>
      <c r="I1104" s="4"/>
      <c r="J1104" s="4"/>
      <c r="K1104" s="4">
        <v>0</v>
      </c>
      <c r="L1104" s="4">
        <v>862600</v>
      </c>
      <c r="O1104" s="34">
        <v>46190</v>
      </c>
      <c r="P1104" s="10" t="s">
        <v>65</v>
      </c>
      <c r="Q1104" s="11">
        <v>10000000</v>
      </c>
      <c r="R1104" s="11"/>
      <c r="S1104" s="11"/>
      <c r="T1104" s="12">
        <v>10000000</v>
      </c>
      <c r="U1104" s="10"/>
      <c r="V1104" s="10" t="s">
        <v>275</v>
      </c>
    </row>
    <row r="1105" spans="2:22" x14ac:dyDescent="0.25">
      <c r="B1105" s="8">
        <v>46182</v>
      </c>
      <c r="C1105" s="9" t="s">
        <v>32</v>
      </c>
      <c r="D1105" s="10" t="s">
        <v>323</v>
      </c>
      <c r="E1105" s="10" t="s">
        <v>2</v>
      </c>
      <c r="F1105" s="11">
        <v>88.2</v>
      </c>
      <c r="G1105" s="11">
        <v>23000</v>
      </c>
      <c r="H1105" s="12">
        <v>2028600</v>
      </c>
      <c r="I1105" s="11"/>
      <c r="J1105" s="11"/>
      <c r="K1105" s="11">
        <v>0</v>
      </c>
      <c r="L1105" s="11">
        <v>2028600</v>
      </c>
      <c r="O1105" s="33">
        <v>46190</v>
      </c>
      <c r="P1105" s="3" t="s">
        <v>47</v>
      </c>
      <c r="Q1105" s="4">
        <v>76000</v>
      </c>
      <c r="R1105" s="4">
        <v>200</v>
      </c>
      <c r="S1105" s="4">
        <v>12000</v>
      </c>
      <c r="T1105" s="5">
        <v>2476000</v>
      </c>
      <c r="U1105" s="3"/>
      <c r="V1105" s="3"/>
    </row>
    <row r="1106" spans="2:22" x14ac:dyDescent="0.25">
      <c r="B1106" s="1">
        <v>46182</v>
      </c>
      <c r="C1106" s="2" t="s">
        <v>71</v>
      </c>
      <c r="D1106" s="3" t="s">
        <v>323</v>
      </c>
      <c r="E1106" s="3" t="s">
        <v>2</v>
      </c>
      <c r="F1106" s="4">
        <v>141.4</v>
      </c>
      <c r="G1106" s="4">
        <v>23000</v>
      </c>
      <c r="H1106" s="5">
        <v>3252200</v>
      </c>
      <c r="I1106" s="4"/>
      <c r="J1106" s="4"/>
      <c r="K1106" s="4">
        <v>0</v>
      </c>
      <c r="L1106" s="4">
        <v>3252200</v>
      </c>
      <c r="O1106" s="34">
        <v>46190</v>
      </c>
      <c r="P1106" s="10" t="s">
        <v>28</v>
      </c>
      <c r="Q1106" s="11">
        <v>700000</v>
      </c>
      <c r="R1106" s="11"/>
      <c r="S1106" s="11"/>
      <c r="T1106" s="12">
        <v>700000</v>
      </c>
      <c r="U1106" s="10"/>
      <c r="V1106" s="10" t="s">
        <v>275</v>
      </c>
    </row>
    <row r="1107" spans="2:22" x14ac:dyDescent="0.25">
      <c r="B1107" s="8">
        <v>46183</v>
      </c>
      <c r="C1107" s="9" t="s">
        <v>281</v>
      </c>
      <c r="D1107" s="10" t="s">
        <v>323</v>
      </c>
      <c r="E1107" s="10" t="s">
        <v>2</v>
      </c>
      <c r="F1107" s="11">
        <v>44.3</v>
      </c>
      <c r="G1107" s="11">
        <v>23000</v>
      </c>
      <c r="H1107" s="12">
        <v>1018899.9999999999</v>
      </c>
      <c r="I1107" s="11"/>
      <c r="J1107" s="11"/>
      <c r="K1107" s="11">
        <v>0</v>
      </c>
      <c r="L1107" s="11">
        <v>1018899.9999999999</v>
      </c>
      <c r="O1107" s="33">
        <v>46190</v>
      </c>
      <c r="P1107" s="3" t="s">
        <v>210</v>
      </c>
      <c r="Q1107" s="4">
        <v>7787000</v>
      </c>
      <c r="R1107" s="4"/>
      <c r="S1107" s="4"/>
      <c r="T1107" s="5">
        <v>7787000</v>
      </c>
      <c r="U1107" s="3"/>
      <c r="V1107" s="3"/>
    </row>
    <row r="1108" spans="2:22" x14ac:dyDescent="0.25">
      <c r="B1108" s="1">
        <v>46183</v>
      </c>
      <c r="C1108" s="2" t="s">
        <v>48</v>
      </c>
      <c r="D1108" s="3" t="s">
        <v>8</v>
      </c>
      <c r="E1108" s="3" t="s">
        <v>2</v>
      </c>
      <c r="F1108" s="4">
        <v>396.5</v>
      </c>
      <c r="G1108" s="4">
        <v>25000</v>
      </c>
      <c r="H1108" s="5">
        <v>9912500</v>
      </c>
      <c r="I1108" s="4"/>
      <c r="J1108" s="4"/>
      <c r="K1108" s="4">
        <v>0</v>
      </c>
      <c r="L1108" s="4">
        <v>9912500</v>
      </c>
      <c r="O1108" s="34">
        <v>46190</v>
      </c>
      <c r="P1108" s="10" t="s">
        <v>204</v>
      </c>
      <c r="Q1108" s="11">
        <v>1040000</v>
      </c>
      <c r="R1108" s="11"/>
      <c r="S1108" s="11"/>
      <c r="T1108" s="12">
        <v>1040000</v>
      </c>
      <c r="U1108" s="10"/>
      <c r="V1108" s="10"/>
    </row>
    <row r="1109" spans="2:22" x14ac:dyDescent="0.25">
      <c r="B1109" s="8">
        <v>46183</v>
      </c>
      <c r="C1109" s="9" t="s">
        <v>71</v>
      </c>
      <c r="D1109" s="10" t="s">
        <v>1</v>
      </c>
      <c r="E1109" s="10" t="s">
        <v>2</v>
      </c>
      <c r="F1109" s="11">
        <v>143.19999999999999</v>
      </c>
      <c r="G1109" s="11">
        <v>25000</v>
      </c>
      <c r="H1109" s="12">
        <v>3579999.9999999995</v>
      </c>
      <c r="I1109" s="11"/>
      <c r="J1109" s="11"/>
      <c r="K1109" s="11">
        <v>0</v>
      </c>
      <c r="L1109" s="11">
        <v>3579999.9999999995</v>
      </c>
      <c r="O1109" s="33">
        <v>46190</v>
      </c>
      <c r="P1109" s="3" t="s">
        <v>349</v>
      </c>
      <c r="Q1109" s="4">
        <v>1124200</v>
      </c>
      <c r="R1109" s="4"/>
      <c r="S1109" s="4"/>
      <c r="T1109" s="5">
        <v>1124200</v>
      </c>
      <c r="U1109" s="3"/>
      <c r="V1109" s="3"/>
    </row>
    <row r="1110" spans="2:22" x14ac:dyDescent="0.25">
      <c r="B1110" s="1">
        <v>46183</v>
      </c>
      <c r="C1110" s="2" t="s">
        <v>33</v>
      </c>
      <c r="D1110" s="3" t="s">
        <v>10</v>
      </c>
      <c r="E1110" s="3" t="s">
        <v>2</v>
      </c>
      <c r="F1110" s="4">
        <v>305.39999999999998</v>
      </c>
      <c r="G1110" s="4">
        <v>15500</v>
      </c>
      <c r="H1110" s="5">
        <v>4733700</v>
      </c>
      <c r="I1110" s="4"/>
      <c r="J1110" s="4"/>
      <c r="K1110" s="4">
        <v>0</v>
      </c>
      <c r="L1110" s="4">
        <v>4733700</v>
      </c>
      <c r="O1110" s="34">
        <v>46190</v>
      </c>
      <c r="P1110" s="10" t="s">
        <v>85</v>
      </c>
      <c r="Q1110" s="11">
        <v>1000000</v>
      </c>
      <c r="R1110" s="11"/>
      <c r="S1110" s="11"/>
      <c r="T1110" s="12">
        <v>1000000</v>
      </c>
      <c r="U1110" s="10"/>
      <c r="V1110" s="10"/>
    </row>
    <row r="1111" spans="2:22" x14ac:dyDescent="0.25">
      <c r="B1111" s="8">
        <v>46183</v>
      </c>
      <c r="C1111" s="9" t="s">
        <v>33</v>
      </c>
      <c r="D1111" s="10" t="s">
        <v>323</v>
      </c>
      <c r="E1111" s="10" t="s">
        <v>2</v>
      </c>
      <c r="F1111" s="11">
        <v>283.7</v>
      </c>
      <c r="G1111" s="11">
        <v>23000</v>
      </c>
      <c r="H1111" s="12">
        <v>6525100</v>
      </c>
      <c r="I1111" s="11"/>
      <c r="J1111" s="11"/>
      <c r="K1111" s="11">
        <v>0</v>
      </c>
      <c r="L1111" s="11">
        <v>6525100</v>
      </c>
      <c r="O1111" s="33">
        <v>46190</v>
      </c>
      <c r="P1111" s="3" t="s">
        <v>108</v>
      </c>
      <c r="Q1111" s="4">
        <v>1670000</v>
      </c>
      <c r="R1111" s="4"/>
      <c r="S1111" s="4"/>
      <c r="T1111" s="5">
        <v>1670000</v>
      </c>
      <c r="U1111" s="3"/>
      <c r="V1111" s="3"/>
    </row>
    <row r="1112" spans="2:22" x14ac:dyDescent="0.25">
      <c r="B1112" s="1">
        <v>46183</v>
      </c>
      <c r="C1112" s="2" t="s">
        <v>338</v>
      </c>
      <c r="D1112" s="3" t="s">
        <v>10</v>
      </c>
      <c r="E1112" s="3" t="s">
        <v>2</v>
      </c>
      <c r="F1112" s="4">
        <v>47.8</v>
      </c>
      <c r="G1112" s="4">
        <v>16000</v>
      </c>
      <c r="H1112" s="5">
        <v>764800</v>
      </c>
      <c r="I1112" s="4"/>
      <c r="J1112" s="4"/>
      <c r="K1112" s="4">
        <v>0</v>
      </c>
      <c r="L1112" s="4">
        <v>764800</v>
      </c>
      <c r="O1112" s="34">
        <v>46190</v>
      </c>
      <c r="P1112" s="10" t="s">
        <v>59</v>
      </c>
      <c r="Q1112" s="11">
        <v>718000</v>
      </c>
      <c r="R1112" s="11"/>
      <c r="S1112" s="11"/>
      <c r="T1112" s="12">
        <v>718000</v>
      </c>
      <c r="U1112" s="10"/>
      <c r="V1112" s="10"/>
    </row>
    <row r="1113" spans="2:22" x14ac:dyDescent="0.25">
      <c r="B1113" s="8">
        <v>46183</v>
      </c>
      <c r="C1113" s="9" t="s">
        <v>338</v>
      </c>
      <c r="D1113" s="10" t="s">
        <v>323</v>
      </c>
      <c r="E1113" s="10" t="s">
        <v>2</v>
      </c>
      <c r="F1113" s="11">
        <v>43.7</v>
      </c>
      <c r="G1113" s="11">
        <v>23000</v>
      </c>
      <c r="H1113" s="12">
        <v>1005100.0000000001</v>
      </c>
      <c r="I1113" s="11">
        <v>43.7</v>
      </c>
      <c r="J1113" s="13"/>
      <c r="K1113" s="11">
        <v>0</v>
      </c>
      <c r="L1113" s="11">
        <v>1005100.0000000001</v>
      </c>
      <c r="O1113" s="33">
        <v>46191</v>
      </c>
      <c r="P1113" s="3" t="s">
        <v>146</v>
      </c>
      <c r="Q1113" s="4">
        <v>3832500</v>
      </c>
      <c r="R1113" s="4"/>
      <c r="S1113" s="4"/>
      <c r="T1113" s="5">
        <v>3832500</v>
      </c>
      <c r="U1113" s="3"/>
      <c r="V1113" s="3"/>
    </row>
    <row r="1114" spans="2:22" x14ac:dyDescent="0.25">
      <c r="B1114" s="1">
        <v>46183</v>
      </c>
      <c r="C1114" s="2" t="s">
        <v>338</v>
      </c>
      <c r="D1114" s="3" t="s">
        <v>323</v>
      </c>
      <c r="E1114" s="3" t="s">
        <v>2</v>
      </c>
      <c r="F1114" s="4">
        <v>-43.7</v>
      </c>
      <c r="G1114" s="4">
        <v>23000</v>
      </c>
      <c r="H1114" s="5">
        <v>-1005100.0000000001</v>
      </c>
      <c r="I1114" s="4"/>
      <c r="J1114" s="4"/>
      <c r="K1114" s="4">
        <v>0</v>
      </c>
      <c r="L1114" s="4">
        <v>-1005100.0000000001</v>
      </c>
      <c r="O1114" s="34">
        <v>46191</v>
      </c>
      <c r="P1114" s="10" t="s">
        <v>108</v>
      </c>
      <c r="Q1114" s="11">
        <v>520000</v>
      </c>
      <c r="R1114" s="11"/>
      <c r="S1114" s="11"/>
      <c r="T1114" s="12">
        <v>520000</v>
      </c>
      <c r="U1114" s="10"/>
      <c r="V1114" s="10"/>
    </row>
    <row r="1115" spans="2:22" x14ac:dyDescent="0.25">
      <c r="B1115" s="8">
        <v>46183</v>
      </c>
      <c r="C1115" s="9" t="s">
        <v>202</v>
      </c>
      <c r="D1115" s="10" t="s">
        <v>10</v>
      </c>
      <c r="E1115" s="10" t="s">
        <v>2</v>
      </c>
      <c r="F1115" s="11">
        <v>285.60000000000002</v>
      </c>
      <c r="G1115" s="11">
        <v>15000</v>
      </c>
      <c r="H1115" s="12">
        <v>4284000</v>
      </c>
      <c r="I1115" s="11"/>
      <c r="J1115" s="11"/>
      <c r="K1115" s="11">
        <v>0</v>
      </c>
      <c r="L1115" s="11">
        <v>4284000</v>
      </c>
      <c r="O1115" s="33">
        <v>46191</v>
      </c>
      <c r="P1115" s="3" t="s">
        <v>86</v>
      </c>
      <c r="Q1115" s="4">
        <v>10000000</v>
      </c>
      <c r="R1115" s="4"/>
      <c r="S1115" s="4"/>
      <c r="T1115" s="5">
        <v>10000000</v>
      </c>
      <c r="U1115" s="3"/>
      <c r="V1115" s="3"/>
    </row>
    <row r="1116" spans="2:22" x14ac:dyDescent="0.25">
      <c r="B1116" s="1">
        <v>46183</v>
      </c>
      <c r="C1116" s="2" t="s">
        <v>289</v>
      </c>
      <c r="D1116" s="3" t="s">
        <v>25</v>
      </c>
      <c r="E1116" s="3" t="s">
        <v>2</v>
      </c>
      <c r="F1116" s="4">
        <v>61.3</v>
      </c>
      <c r="G1116" s="4">
        <v>28000</v>
      </c>
      <c r="H1116" s="5">
        <v>1716400</v>
      </c>
      <c r="I1116" s="4"/>
      <c r="J1116" s="4"/>
      <c r="K1116" s="4">
        <v>0</v>
      </c>
      <c r="L1116" s="4">
        <v>1716400</v>
      </c>
      <c r="O1116" s="34">
        <v>46191</v>
      </c>
      <c r="P1116" s="10" t="s">
        <v>328</v>
      </c>
      <c r="Q1116" s="11">
        <v>2215000</v>
      </c>
      <c r="R1116" s="11"/>
      <c r="S1116" s="11"/>
      <c r="T1116" s="12">
        <v>2215000</v>
      </c>
      <c r="U1116" s="10"/>
      <c r="V1116" s="10"/>
    </row>
    <row r="1117" spans="2:22" x14ac:dyDescent="0.25">
      <c r="B1117" s="8">
        <v>46184</v>
      </c>
      <c r="C1117" s="9" t="s">
        <v>339</v>
      </c>
      <c r="D1117" s="10" t="s">
        <v>1</v>
      </c>
      <c r="E1117" s="10" t="s">
        <v>2</v>
      </c>
      <c r="F1117" s="11">
        <v>135.80000000000001</v>
      </c>
      <c r="G1117" s="11">
        <v>25000</v>
      </c>
      <c r="H1117" s="12">
        <v>3395000.0000000005</v>
      </c>
      <c r="I1117" s="11"/>
      <c r="J1117" s="11"/>
      <c r="K1117" s="11">
        <v>0</v>
      </c>
      <c r="L1117" s="11">
        <v>3395000.0000000005</v>
      </c>
      <c r="O1117" s="33">
        <v>46191</v>
      </c>
      <c r="P1117" s="3" t="s">
        <v>39</v>
      </c>
      <c r="Q1117" s="4"/>
      <c r="R1117" s="4">
        <v>1000</v>
      </c>
      <c r="S1117" s="4">
        <v>12000</v>
      </c>
      <c r="T1117" s="5">
        <v>12000000</v>
      </c>
      <c r="U1117" s="3"/>
      <c r="V1117" s="3"/>
    </row>
    <row r="1118" spans="2:22" x14ac:dyDescent="0.25">
      <c r="B1118" s="1">
        <v>46184</v>
      </c>
      <c r="C1118" s="2" t="s">
        <v>85</v>
      </c>
      <c r="D1118" s="3" t="s">
        <v>323</v>
      </c>
      <c r="E1118" s="3" t="s">
        <v>2</v>
      </c>
      <c r="F1118" s="4">
        <v>148.9</v>
      </c>
      <c r="G1118" s="4">
        <v>23000</v>
      </c>
      <c r="H1118" s="5">
        <v>3424700</v>
      </c>
      <c r="I1118" s="4"/>
      <c r="J1118" s="4"/>
      <c r="K1118" s="4">
        <v>0</v>
      </c>
      <c r="L1118" s="4">
        <v>3424700</v>
      </c>
      <c r="O1118" s="34">
        <v>46191</v>
      </c>
      <c r="P1118" s="10" t="s">
        <v>172</v>
      </c>
      <c r="Q1118" s="11">
        <v>14550000</v>
      </c>
      <c r="R1118" s="11"/>
      <c r="S1118" s="11"/>
      <c r="T1118" s="12">
        <v>14550000</v>
      </c>
      <c r="U1118" s="10"/>
      <c r="V1118" s="10" t="s">
        <v>287</v>
      </c>
    </row>
    <row r="1119" spans="2:22" x14ac:dyDescent="0.25">
      <c r="B1119" s="8">
        <v>46184</v>
      </c>
      <c r="C1119" s="9" t="s">
        <v>85</v>
      </c>
      <c r="D1119" s="10" t="s">
        <v>10</v>
      </c>
      <c r="E1119" s="10" t="s">
        <v>2</v>
      </c>
      <c r="F1119" s="11">
        <v>49.9</v>
      </c>
      <c r="G1119" s="11">
        <v>16000</v>
      </c>
      <c r="H1119" s="12">
        <v>798400</v>
      </c>
      <c r="I1119" s="11"/>
      <c r="J1119" s="11"/>
      <c r="K1119" s="11">
        <v>0</v>
      </c>
      <c r="L1119" s="11">
        <v>798400</v>
      </c>
      <c r="O1119" s="33">
        <v>46191</v>
      </c>
      <c r="P1119" s="3" t="s">
        <v>27</v>
      </c>
      <c r="Q1119" s="4">
        <v>22400000</v>
      </c>
      <c r="R1119" s="4"/>
      <c r="S1119" s="4"/>
      <c r="T1119" s="5">
        <v>22400000</v>
      </c>
      <c r="U1119" s="3"/>
      <c r="V1119" s="3" t="s">
        <v>287</v>
      </c>
    </row>
    <row r="1120" spans="2:22" x14ac:dyDescent="0.25">
      <c r="B1120" s="1">
        <v>46184</v>
      </c>
      <c r="C1120" s="2" t="s">
        <v>70</v>
      </c>
      <c r="D1120" s="3" t="s">
        <v>323</v>
      </c>
      <c r="E1120" s="3" t="s">
        <v>2</v>
      </c>
      <c r="F1120" s="4">
        <v>48.9</v>
      </c>
      <c r="G1120" s="4">
        <v>23000</v>
      </c>
      <c r="H1120" s="5">
        <v>1124700</v>
      </c>
      <c r="I1120" s="4"/>
      <c r="J1120" s="4"/>
      <c r="K1120" s="4">
        <v>0</v>
      </c>
      <c r="L1120" s="4">
        <v>1124700</v>
      </c>
      <c r="O1120" s="34">
        <v>46191</v>
      </c>
      <c r="P1120" s="10" t="s">
        <v>221</v>
      </c>
      <c r="Q1120" s="11">
        <v>1000000</v>
      </c>
      <c r="R1120" s="11"/>
      <c r="S1120" s="11"/>
      <c r="T1120" s="12">
        <v>1000000</v>
      </c>
      <c r="U1120" s="10"/>
      <c r="V1120" s="10" t="s">
        <v>287</v>
      </c>
    </row>
    <row r="1121" spans="2:22" x14ac:dyDescent="0.25">
      <c r="B1121" s="8">
        <v>46184</v>
      </c>
      <c r="C1121" s="9" t="s">
        <v>340</v>
      </c>
      <c r="D1121" s="10" t="s">
        <v>323</v>
      </c>
      <c r="E1121" s="10" t="s">
        <v>2</v>
      </c>
      <c r="F1121" s="11">
        <v>45.3</v>
      </c>
      <c r="G1121" s="11">
        <v>23000</v>
      </c>
      <c r="H1121" s="12">
        <v>1041899.9999999999</v>
      </c>
      <c r="I1121" s="11"/>
      <c r="J1121" s="11"/>
      <c r="K1121" s="11">
        <v>0</v>
      </c>
      <c r="L1121" s="11">
        <v>1041899.9999999999</v>
      </c>
      <c r="O1121" s="33">
        <v>46191</v>
      </c>
      <c r="P1121" s="3" t="s">
        <v>53</v>
      </c>
      <c r="Q1121" s="4">
        <v>25582100</v>
      </c>
      <c r="R1121" s="4"/>
      <c r="S1121" s="4"/>
      <c r="T1121" s="5">
        <v>25582100</v>
      </c>
      <c r="U1121" s="3"/>
      <c r="V1121" s="3" t="s">
        <v>287</v>
      </c>
    </row>
    <row r="1122" spans="2:22" x14ac:dyDescent="0.25">
      <c r="B1122" s="1">
        <v>46184</v>
      </c>
      <c r="C1122" s="2" t="s">
        <v>82</v>
      </c>
      <c r="D1122" s="3" t="s">
        <v>323</v>
      </c>
      <c r="E1122" s="3" t="s">
        <v>2</v>
      </c>
      <c r="F1122" s="4">
        <v>88.2</v>
      </c>
      <c r="G1122" s="4">
        <v>23000</v>
      </c>
      <c r="H1122" s="5">
        <v>2028600</v>
      </c>
      <c r="I1122" s="4"/>
      <c r="J1122" s="4"/>
      <c r="K1122" s="4">
        <v>0</v>
      </c>
      <c r="L1122" s="4">
        <v>2028600</v>
      </c>
      <c r="O1122" s="34">
        <v>46192</v>
      </c>
      <c r="P1122" s="10" t="s">
        <v>108</v>
      </c>
      <c r="Q1122" s="11">
        <v>325200</v>
      </c>
      <c r="R1122" s="11"/>
      <c r="S1122" s="11"/>
      <c r="T1122" s="12">
        <v>325200</v>
      </c>
      <c r="U1122" s="10"/>
      <c r="V1122" s="10" t="s">
        <v>275</v>
      </c>
    </row>
    <row r="1123" spans="2:22" x14ac:dyDescent="0.25">
      <c r="B1123" s="8">
        <v>46184</v>
      </c>
      <c r="C1123" s="9" t="s">
        <v>39</v>
      </c>
      <c r="D1123" s="10" t="s">
        <v>16</v>
      </c>
      <c r="E1123" s="10" t="s">
        <v>2</v>
      </c>
      <c r="F1123" s="11">
        <v>40.1</v>
      </c>
      <c r="G1123" s="11">
        <v>27000</v>
      </c>
      <c r="H1123" s="12">
        <v>1082700</v>
      </c>
      <c r="I1123" s="11"/>
      <c r="J1123" s="11"/>
      <c r="K1123" s="11">
        <v>0</v>
      </c>
      <c r="L1123" s="11">
        <v>1082700</v>
      </c>
      <c r="O1123" s="33">
        <v>46192</v>
      </c>
      <c r="P1123" s="3" t="s">
        <v>198</v>
      </c>
      <c r="Q1123" s="4">
        <v>417000</v>
      </c>
      <c r="R1123" s="4"/>
      <c r="S1123" s="4"/>
      <c r="T1123" s="5">
        <v>417000</v>
      </c>
      <c r="U1123" s="3"/>
      <c r="V1123" s="3" t="s">
        <v>275</v>
      </c>
    </row>
    <row r="1124" spans="2:22" x14ac:dyDescent="0.25">
      <c r="B1124" s="1">
        <v>46184</v>
      </c>
      <c r="C1124" s="2" t="s">
        <v>341</v>
      </c>
      <c r="D1124" s="3" t="s">
        <v>10</v>
      </c>
      <c r="E1124" s="3" t="s">
        <v>2</v>
      </c>
      <c r="F1124" s="4">
        <v>978.6</v>
      </c>
      <c r="G1124" s="4">
        <v>15000</v>
      </c>
      <c r="H1124" s="5">
        <v>14679000</v>
      </c>
      <c r="I1124" s="4"/>
      <c r="J1124" s="4"/>
      <c r="K1124" s="4">
        <v>0</v>
      </c>
      <c r="L1124" s="4">
        <v>14679000</v>
      </c>
      <c r="O1124" s="34">
        <v>46192</v>
      </c>
      <c r="P1124" s="10" t="s">
        <v>217</v>
      </c>
      <c r="Q1124" s="11">
        <v>2103200</v>
      </c>
      <c r="R1124" s="11"/>
      <c r="S1124" s="11"/>
      <c r="T1124" s="12">
        <v>2103200</v>
      </c>
      <c r="U1124" s="10"/>
      <c r="V1124" s="10" t="s">
        <v>275</v>
      </c>
    </row>
    <row r="1125" spans="2:22" x14ac:dyDescent="0.25">
      <c r="B1125" s="8">
        <v>46184</v>
      </c>
      <c r="C1125" s="9" t="s">
        <v>215</v>
      </c>
      <c r="D1125" s="10" t="s">
        <v>1</v>
      </c>
      <c r="E1125" s="10" t="s">
        <v>2</v>
      </c>
      <c r="F1125" s="11">
        <v>49.8</v>
      </c>
      <c r="G1125" s="11">
        <v>22000</v>
      </c>
      <c r="H1125" s="12">
        <v>1095600</v>
      </c>
      <c r="I1125" s="11"/>
      <c r="J1125" s="11"/>
      <c r="K1125" s="11">
        <v>0</v>
      </c>
      <c r="L1125" s="11">
        <v>1095600</v>
      </c>
      <c r="O1125" s="33">
        <v>46192</v>
      </c>
      <c r="P1125" s="3" t="s">
        <v>173</v>
      </c>
      <c r="Q1125" s="4">
        <v>397000</v>
      </c>
      <c r="R1125" s="4"/>
      <c r="S1125" s="4"/>
      <c r="T1125" s="5">
        <v>397000</v>
      </c>
      <c r="U1125" s="3"/>
      <c r="V1125" s="3" t="s">
        <v>275</v>
      </c>
    </row>
    <row r="1126" spans="2:22" x14ac:dyDescent="0.25">
      <c r="B1126" s="1">
        <v>46184</v>
      </c>
      <c r="C1126" s="2" t="s">
        <v>215</v>
      </c>
      <c r="D1126" s="3" t="s">
        <v>25</v>
      </c>
      <c r="E1126" s="3" t="s">
        <v>2</v>
      </c>
      <c r="F1126" s="4">
        <v>22.7</v>
      </c>
      <c r="G1126" s="4">
        <v>28000</v>
      </c>
      <c r="H1126" s="5">
        <v>635600</v>
      </c>
      <c r="I1126" s="4"/>
      <c r="J1126" s="4"/>
      <c r="K1126" s="4">
        <v>0</v>
      </c>
      <c r="L1126" s="4">
        <v>635600</v>
      </c>
      <c r="O1126" s="34">
        <v>46192</v>
      </c>
      <c r="P1126" s="10" t="s">
        <v>14</v>
      </c>
      <c r="Q1126" s="11">
        <v>1400000</v>
      </c>
      <c r="R1126" s="11"/>
      <c r="S1126" s="11"/>
      <c r="T1126" s="12">
        <v>1400000</v>
      </c>
      <c r="U1126" s="10"/>
      <c r="V1126" s="10" t="s">
        <v>275</v>
      </c>
    </row>
    <row r="1127" spans="2:22" x14ac:dyDescent="0.25">
      <c r="B1127" s="8">
        <v>46184</v>
      </c>
      <c r="C1127" s="9" t="s">
        <v>105</v>
      </c>
      <c r="D1127" s="10" t="s">
        <v>29</v>
      </c>
      <c r="E1127" s="10" t="s">
        <v>2</v>
      </c>
      <c r="F1127" s="11">
        <v>600.29999999999995</v>
      </c>
      <c r="G1127" s="11">
        <v>18500</v>
      </c>
      <c r="H1127" s="12">
        <v>11105550</v>
      </c>
      <c r="I1127" s="11"/>
      <c r="J1127" s="11"/>
      <c r="K1127" s="11">
        <v>0</v>
      </c>
      <c r="L1127" s="11">
        <v>11105550</v>
      </c>
      <c r="O1127" s="33">
        <v>46192</v>
      </c>
      <c r="P1127" s="3" t="s">
        <v>88</v>
      </c>
      <c r="Q1127" s="4">
        <v>2996300</v>
      </c>
      <c r="R1127" s="4"/>
      <c r="S1127" s="4"/>
      <c r="T1127" s="5">
        <v>2996300</v>
      </c>
      <c r="U1127" s="3"/>
      <c r="V1127" s="3" t="s">
        <v>279</v>
      </c>
    </row>
    <row r="1128" spans="2:22" x14ac:dyDescent="0.25">
      <c r="B1128" s="1">
        <v>46184</v>
      </c>
      <c r="C1128" s="2" t="s">
        <v>126</v>
      </c>
      <c r="D1128" s="3" t="s">
        <v>25</v>
      </c>
      <c r="E1128" s="3" t="s">
        <v>2</v>
      </c>
      <c r="F1128" s="4">
        <v>176.9</v>
      </c>
      <c r="G1128" s="4">
        <v>28000</v>
      </c>
      <c r="H1128" s="5">
        <v>4953200</v>
      </c>
      <c r="I1128" s="4"/>
      <c r="J1128" s="4"/>
      <c r="K1128" s="4">
        <v>0</v>
      </c>
      <c r="L1128" s="4">
        <v>4953200</v>
      </c>
      <c r="O1128" s="34">
        <v>46192</v>
      </c>
      <c r="P1128" s="10" t="s">
        <v>252</v>
      </c>
      <c r="Q1128" s="11">
        <v>805000</v>
      </c>
      <c r="R1128" s="11"/>
      <c r="S1128" s="11"/>
      <c r="T1128" s="12">
        <v>805000</v>
      </c>
      <c r="U1128" s="10"/>
      <c r="V1128" s="10" t="s">
        <v>275</v>
      </c>
    </row>
    <row r="1129" spans="2:22" x14ac:dyDescent="0.25">
      <c r="B1129" s="8">
        <v>46184</v>
      </c>
      <c r="C1129" s="9" t="s">
        <v>12</v>
      </c>
      <c r="D1129" s="10" t="s">
        <v>16</v>
      </c>
      <c r="E1129" s="10" t="s">
        <v>2</v>
      </c>
      <c r="F1129" s="11">
        <v>1622.6</v>
      </c>
      <c r="G1129" s="11">
        <v>30000</v>
      </c>
      <c r="H1129" s="12">
        <v>48678000</v>
      </c>
      <c r="I1129" s="11">
        <v>240</v>
      </c>
      <c r="J1129" s="11">
        <v>25000</v>
      </c>
      <c r="K1129" s="11">
        <v>40565000</v>
      </c>
      <c r="L1129" s="11">
        <v>8113000</v>
      </c>
      <c r="O1129" s="33">
        <v>46192</v>
      </c>
      <c r="P1129" s="3" t="s">
        <v>145</v>
      </c>
      <c r="Q1129" s="4">
        <v>195000</v>
      </c>
      <c r="R1129" s="4"/>
      <c r="S1129" s="4"/>
      <c r="T1129" s="5">
        <v>195000</v>
      </c>
      <c r="U1129" s="3"/>
      <c r="V1129" s="3" t="s">
        <v>275</v>
      </c>
    </row>
    <row r="1130" spans="2:22" x14ac:dyDescent="0.25">
      <c r="B1130" s="1">
        <v>46185</v>
      </c>
      <c r="C1130" s="2" t="s">
        <v>12</v>
      </c>
      <c r="D1130" s="3" t="s">
        <v>16</v>
      </c>
      <c r="E1130" s="3" t="s">
        <v>2</v>
      </c>
      <c r="F1130" s="4">
        <v>1658.4</v>
      </c>
      <c r="G1130" s="4">
        <v>30000</v>
      </c>
      <c r="H1130" s="5">
        <v>49752000</v>
      </c>
      <c r="I1130" s="4">
        <v>240</v>
      </c>
      <c r="J1130" s="4">
        <v>25000</v>
      </c>
      <c r="K1130" s="4">
        <v>41460000</v>
      </c>
      <c r="L1130" s="4">
        <v>8292000</v>
      </c>
      <c r="O1130" s="34">
        <v>46192</v>
      </c>
      <c r="P1130" s="10" t="s">
        <v>99</v>
      </c>
      <c r="Q1130" s="11">
        <v>1000000</v>
      </c>
      <c r="R1130" s="11"/>
      <c r="S1130" s="11"/>
      <c r="T1130" s="12">
        <v>1000000</v>
      </c>
      <c r="U1130" s="10"/>
      <c r="V1130" s="10" t="s">
        <v>275</v>
      </c>
    </row>
    <row r="1131" spans="2:22" x14ac:dyDescent="0.25">
      <c r="B1131" s="8">
        <v>46185</v>
      </c>
      <c r="C1131" s="9" t="s">
        <v>59</v>
      </c>
      <c r="D1131" s="10" t="s">
        <v>323</v>
      </c>
      <c r="E1131" s="10" t="s">
        <v>2</v>
      </c>
      <c r="F1131" s="11">
        <v>43.6</v>
      </c>
      <c r="G1131" s="11">
        <v>23000</v>
      </c>
      <c r="H1131" s="12">
        <v>1002800</v>
      </c>
      <c r="I1131" s="11"/>
      <c r="J1131" s="11"/>
      <c r="K1131" s="11">
        <v>0</v>
      </c>
      <c r="L1131" s="11">
        <v>1002800</v>
      </c>
      <c r="O1131" s="33">
        <v>46193</v>
      </c>
      <c r="P1131" s="3" t="s">
        <v>134</v>
      </c>
      <c r="Q1131" s="4">
        <v>15000000</v>
      </c>
      <c r="R1131" s="4"/>
      <c r="S1131" s="4"/>
      <c r="T1131" s="5">
        <v>15000000</v>
      </c>
      <c r="U1131" s="3"/>
      <c r="V1131" s="3" t="s">
        <v>279</v>
      </c>
    </row>
    <row r="1132" spans="2:22" x14ac:dyDescent="0.25">
      <c r="B1132" s="1">
        <v>46185</v>
      </c>
      <c r="C1132" s="2" t="s">
        <v>59</v>
      </c>
      <c r="D1132" s="3" t="s">
        <v>10</v>
      </c>
      <c r="E1132" s="3" t="s">
        <v>2</v>
      </c>
      <c r="F1132" s="4">
        <v>44.7</v>
      </c>
      <c r="G1132" s="4">
        <v>16000</v>
      </c>
      <c r="H1132" s="5">
        <v>715200</v>
      </c>
      <c r="I1132" s="4"/>
      <c r="J1132" s="4"/>
      <c r="K1132" s="4">
        <v>0</v>
      </c>
      <c r="L1132" s="4">
        <v>715200</v>
      </c>
      <c r="O1132" s="34">
        <v>46193</v>
      </c>
      <c r="P1132" s="10" t="s">
        <v>187</v>
      </c>
      <c r="Q1132" s="11">
        <v>2000400</v>
      </c>
      <c r="R1132" s="11"/>
      <c r="S1132" s="11"/>
      <c r="T1132" s="12">
        <v>2000400</v>
      </c>
      <c r="U1132" s="10"/>
      <c r="V1132" s="10"/>
    </row>
    <row r="1133" spans="2:22" x14ac:dyDescent="0.25">
      <c r="B1133" s="8">
        <v>46185</v>
      </c>
      <c r="C1133" s="9" t="s">
        <v>19</v>
      </c>
      <c r="D1133" s="10" t="s">
        <v>10</v>
      </c>
      <c r="E1133" s="10" t="s">
        <v>2</v>
      </c>
      <c r="F1133" s="11">
        <v>51.5</v>
      </c>
      <c r="G1133" s="11">
        <v>16000</v>
      </c>
      <c r="H1133" s="12">
        <v>824000</v>
      </c>
      <c r="I1133" s="11"/>
      <c r="J1133" s="11"/>
      <c r="K1133" s="11">
        <v>0</v>
      </c>
      <c r="L1133" s="11">
        <v>824000</v>
      </c>
      <c r="O1133" s="33">
        <v>46193</v>
      </c>
      <c r="P1133" s="3" t="s">
        <v>150</v>
      </c>
      <c r="Q1133" s="4"/>
      <c r="R1133" s="4">
        <v>100</v>
      </c>
      <c r="S1133" s="4">
        <v>12000</v>
      </c>
      <c r="T1133" s="5">
        <v>1200000</v>
      </c>
      <c r="U1133" s="3"/>
      <c r="V1133" s="3"/>
    </row>
    <row r="1134" spans="2:22" x14ac:dyDescent="0.25">
      <c r="B1134" s="1">
        <v>46185</v>
      </c>
      <c r="C1134" s="2" t="s">
        <v>195</v>
      </c>
      <c r="D1134" s="3" t="s">
        <v>323</v>
      </c>
      <c r="E1134" s="3" t="s">
        <v>2</v>
      </c>
      <c r="F1134" s="4">
        <v>94.5</v>
      </c>
      <c r="G1134" s="4">
        <v>23000</v>
      </c>
      <c r="H1134" s="5">
        <v>2173500</v>
      </c>
      <c r="I1134" s="4"/>
      <c r="J1134" s="4"/>
      <c r="K1134" s="4">
        <v>0</v>
      </c>
      <c r="L1134" s="4">
        <v>2173500</v>
      </c>
      <c r="O1134" s="34">
        <v>46193</v>
      </c>
      <c r="P1134" s="10" t="s">
        <v>81</v>
      </c>
      <c r="Q1134" s="11">
        <v>1600000</v>
      </c>
      <c r="R1134" s="11"/>
      <c r="S1134" s="11"/>
      <c r="T1134" s="12">
        <v>1600000</v>
      </c>
      <c r="U1134" s="10"/>
      <c r="V1134" s="10"/>
    </row>
    <row r="1135" spans="2:22" x14ac:dyDescent="0.25">
      <c r="B1135" s="8">
        <v>46185</v>
      </c>
      <c r="C1135" s="9" t="s">
        <v>76</v>
      </c>
      <c r="D1135" s="10" t="s">
        <v>323</v>
      </c>
      <c r="E1135" s="10" t="s">
        <v>2</v>
      </c>
      <c r="F1135" s="11">
        <v>46.5</v>
      </c>
      <c r="G1135" s="11">
        <v>23000</v>
      </c>
      <c r="H1135" s="12">
        <v>1069500</v>
      </c>
      <c r="I1135" s="11"/>
      <c r="J1135" s="11"/>
      <c r="K1135" s="11">
        <v>0</v>
      </c>
      <c r="L1135" s="11">
        <v>1069500</v>
      </c>
      <c r="O1135" s="33">
        <v>46193</v>
      </c>
      <c r="P1135" s="3" t="s">
        <v>62</v>
      </c>
      <c r="Q1135" s="4">
        <v>400000</v>
      </c>
      <c r="R1135" s="4">
        <v>100</v>
      </c>
      <c r="S1135" s="4">
        <v>12000</v>
      </c>
      <c r="T1135" s="5">
        <v>1600000</v>
      </c>
      <c r="U1135" s="3"/>
      <c r="V1135" s="3"/>
    </row>
    <row r="1136" spans="2:22" x14ac:dyDescent="0.25">
      <c r="B1136" s="1">
        <v>46185</v>
      </c>
      <c r="C1136" s="2" t="s">
        <v>342</v>
      </c>
      <c r="D1136" s="3" t="s">
        <v>10</v>
      </c>
      <c r="E1136" s="3" t="s">
        <v>2</v>
      </c>
      <c r="F1136" s="4">
        <v>48.2</v>
      </c>
      <c r="G1136" s="4">
        <v>15000</v>
      </c>
      <c r="H1136" s="5">
        <v>723000</v>
      </c>
      <c r="I1136" s="4"/>
      <c r="J1136" s="4"/>
      <c r="K1136" s="4">
        <v>0</v>
      </c>
      <c r="L1136" s="4">
        <v>723000</v>
      </c>
      <c r="O1136" s="34">
        <v>46193</v>
      </c>
      <c r="P1136" s="10" t="s">
        <v>41</v>
      </c>
      <c r="Q1136" s="11">
        <v>200000</v>
      </c>
      <c r="R1136" s="11"/>
      <c r="S1136" s="11"/>
      <c r="T1136" s="12">
        <v>200000</v>
      </c>
      <c r="U1136" s="10"/>
      <c r="V1136" s="10"/>
    </row>
    <row r="1137" spans="2:22" x14ac:dyDescent="0.25">
      <c r="B1137" s="8">
        <v>46185</v>
      </c>
      <c r="C1137" s="9" t="s">
        <v>342</v>
      </c>
      <c r="D1137" s="10" t="s">
        <v>323</v>
      </c>
      <c r="E1137" s="10" t="s">
        <v>2</v>
      </c>
      <c r="F1137" s="11">
        <v>96.6</v>
      </c>
      <c r="G1137" s="11">
        <v>22000</v>
      </c>
      <c r="H1137" s="12">
        <v>2125200</v>
      </c>
      <c r="I1137" s="11"/>
      <c r="J1137" s="11"/>
      <c r="K1137" s="11">
        <v>0</v>
      </c>
      <c r="L1137" s="11">
        <v>2125200</v>
      </c>
      <c r="O1137" s="33">
        <v>46194</v>
      </c>
      <c r="P1137" s="3" t="s">
        <v>42</v>
      </c>
      <c r="Q1137" s="4">
        <v>1000000</v>
      </c>
      <c r="R1137" s="4"/>
      <c r="S1137" s="4"/>
      <c r="T1137" s="5">
        <v>1000000</v>
      </c>
      <c r="U1137" s="3"/>
      <c r="V1137" s="3" t="s">
        <v>275</v>
      </c>
    </row>
    <row r="1138" spans="2:22" x14ac:dyDescent="0.25">
      <c r="B1138" s="1">
        <v>46185</v>
      </c>
      <c r="C1138" s="2" t="s">
        <v>33</v>
      </c>
      <c r="D1138" s="3" t="s">
        <v>10</v>
      </c>
      <c r="E1138" s="3" t="s">
        <v>2</v>
      </c>
      <c r="F1138" s="4">
        <v>968.6</v>
      </c>
      <c r="G1138" s="4">
        <v>15500</v>
      </c>
      <c r="H1138" s="5">
        <v>15013300</v>
      </c>
      <c r="I1138" s="4"/>
      <c r="J1138" s="4"/>
      <c r="K1138" s="4">
        <v>0</v>
      </c>
      <c r="L1138" s="4">
        <v>15013300</v>
      </c>
      <c r="O1138" s="30">
        <v>46194</v>
      </c>
      <c r="P1138" s="31" t="s">
        <v>41</v>
      </c>
      <c r="Q1138" s="13">
        <v>1189100</v>
      </c>
      <c r="R1138" s="13"/>
      <c r="S1138" s="13"/>
      <c r="T1138" s="32">
        <v>1189100</v>
      </c>
      <c r="U1138" s="31"/>
      <c r="V1138" s="31"/>
    </row>
    <row r="1139" spans="2:22" x14ac:dyDescent="0.25">
      <c r="B1139" s="8">
        <v>46185</v>
      </c>
      <c r="C1139" s="9" t="s">
        <v>11</v>
      </c>
      <c r="D1139" s="10" t="s">
        <v>10</v>
      </c>
      <c r="E1139" s="10" t="s">
        <v>2</v>
      </c>
      <c r="F1139" s="11">
        <v>50.7</v>
      </c>
      <c r="G1139" s="11">
        <v>16000</v>
      </c>
      <c r="H1139" s="12">
        <v>811200</v>
      </c>
      <c r="I1139" s="11"/>
      <c r="J1139" s="11"/>
      <c r="K1139" s="11">
        <v>0</v>
      </c>
      <c r="L1139" s="11">
        <v>811200</v>
      </c>
      <c r="O1139" s="27">
        <v>46194</v>
      </c>
      <c r="P1139" s="28" t="s">
        <v>110</v>
      </c>
      <c r="Q1139" s="6">
        <v>1000000</v>
      </c>
      <c r="R1139" s="6"/>
      <c r="S1139" s="6"/>
      <c r="T1139" s="29">
        <v>1000000</v>
      </c>
      <c r="U1139" s="28"/>
      <c r="V1139" s="28"/>
    </row>
    <row r="1140" spans="2:22" x14ac:dyDescent="0.25">
      <c r="B1140" s="1">
        <v>46185</v>
      </c>
      <c r="C1140" s="2" t="s">
        <v>11</v>
      </c>
      <c r="D1140" s="3" t="s">
        <v>323</v>
      </c>
      <c r="E1140" s="3" t="s">
        <v>2</v>
      </c>
      <c r="F1140" s="4">
        <v>51</v>
      </c>
      <c r="G1140" s="4">
        <v>23000</v>
      </c>
      <c r="H1140" s="5">
        <v>1173000</v>
      </c>
      <c r="I1140" s="4"/>
      <c r="J1140" s="4"/>
      <c r="K1140" s="4">
        <v>0</v>
      </c>
      <c r="L1140" s="4">
        <v>1173000</v>
      </c>
      <c r="O1140" s="30">
        <v>46194</v>
      </c>
      <c r="P1140" s="31" t="s">
        <v>337</v>
      </c>
      <c r="Q1140" s="13">
        <v>1500900</v>
      </c>
      <c r="R1140" s="13"/>
      <c r="S1140" s="13"/>
      <c r="T1140" s="32">
        <v>1500900</v>
      </c>
      <c r="U1140" s="31"/>
      <c r="V1140" s="31"/>
    </row>
    <row r="1141" spans="2:22" x14ac:dyDescent="0.25">
      <c r="B1141" s="8">
        <v>46185</v>
      </c>
      <c r="C1141" s="9" t="s">
        <v>256</v>
      </c>
      <c r="D1141" s="10" t="s">
        <v>10</v>
      </c>
      <c r="E1141" s="10" t="s">
        <v>2</v>
      </c>
      <c r="F1141" s="11">
        <v>46.3</v>
      </c>
      <c r="G1141" s="11">
        <v>16000</v>
      </c>
      <c r="H1141" s="12">
        <v>740800</v>
      </c>
      <c r="I1141" s="11"/>
      <c r="J1141" s="11"/>
      <c r="K1141" s="11">
        <v>0</v>
      </c>
      <c r="L1141" s="11">
        <v>740800</v>
      </c>
      <c r="O1141" s="27">
        <v>46194</v>
      </c>
      <c r="P1141" s="28" t="s">
        <v>62</v>
      </c>
      <c r="Q1141" s="6">
        <v>99000</v>
      </c>
      <c r="R1141" s="6"/>
      <c r="S1141" s="6"/>
      <c r="T1141" s="29">
        <v>99000</v>
      </c>
      <c r="U1141" s="28"/>
      <c r="V1141" s="28"/>
    </row>
    <row r="1142" spans="2:22" x14ac:dyDescent="0.25">
      <c r="B1142" s="1">
        <v>46185</v>
      </c>
      <c r="C1142" s="2" t="s">
        <v>256</v>
      </c>
      <c r="D1142" s="3" t="s">
        <v>323</v>
      </c>
      <c r="E1142" s="3" t="s">
        <v>2</v>
      </c>
      <c r="F1142" s="4">
        <v>51.2</v>
      </c>
      <c r="G1142" s="4">
        <v>23000</v>
      </c>
      <c r="H1142" s="5">
        <v>1177600</v>
      </c>
      <c r="I1142" s="4"/>
      <c r="J1142" s="4"/>
      <c r="K1142" s="4">
        <v>0</v>
      </c>
      <c r="L1142" s="4">
        <v>1177600</v>
      </c>
      <c r="O1142" s="34">
        <v>46195</v>
      </c>
      <c r="P1142" s="10" t="s">
        <v>217</v>
      </c>
      <c r="Q1142" s="11">
        <v>825600</v>
      </c>
      <c r="R1142" s="11"/>
      <c r="S1142" s="11"/>
      <c r="T1142" s="12">
        <v>825600</v>
      </c>
      <c r="U1142" s="10"/>
      <c r="V1142" s="10" t="s">
        <v>275</v>
      </c>
    </row>
    <row r="1143" spans="2:22" x14ac:dyDescent="0.25">
      <c r="B1143" s="8">
        <v>46185</v>
      </c>
      <c r="C1143" s="9" t="s">
        <v>338</v>
      </c>
      <c r="D1143" s="10" t="s">
        <v>1</v>
      </c>
      <c r="E1143" s="10" t="s">
        <v>2</v>
      </c>
      <c r="F1143" s="11">
        <v>45.3</v>
      </c>
      <c r="G1143" s="11">
        <v>25000</v>
      </c>
      <c r="H1143" s="12">
        <v>1132500</v>
      </c>
      <c r="I1143" s="11"/>
      <c r="J1143" s="11"/>
      <c r="K1143" s="11">
        <v>0</v>
      </c>
      <c r="L1143" s="11">
        <v>1132500</v>
      </c>
      <c r="O1143" s="33">
        <v>46195</v>
      </c>
      <c r="P1143" s="3" t="s">
        <v>333</v>
      </c>
      <c r="Q1143" s="4">
        <v>1300000</v>
      </c>
      <c r="R1143" s="4"/>
      <c r="S1143" s="4"/>
      <c r="T1143" s="5">
        <v>1300000</v>
      </c>
      <c r="U1143" s="3"/>
      <c r="V1143" s="3" t="s">
        <v>279</v>
      </c>
    </row>
    <row r="1144" spans="2:22" x14ac:dyDescent="0.25">
      <c r="B1144" s="1">
        <v>46185</v>
      </c>
      <c r="C1144" s="2" t="s">
        <v>218</v>
      </c>
      <c r="D1144" s="3" t="s">
        <v>1</v>
      </c>
      <c r="E1144" s="3" t="s">
        <v>2</v>
      </c>
      <c r="F1144" s="4">
        <v>87.9</v>
      </c>
      <c r="G1144" s="4">
        <v>24000</v>
      </c>
      <c r="H1144" s="5">
        <v>2109600</v>
      </c>
      <c r="I1144" s="4"/>
      <c r="J1144" s="4"/>
      <c r="K1144" s="4">
        <v>0</v>
      </c>
      <c r="L1144" s="4">
        <v>2109600</v>
      </c>
      <c r="O1144" s="34">
        <v>46195</v>
      </c>
      <c r="P1144" s="10" t="s">
        <v>18</v>
      </c>
      <c r="Q1144" s="11">
        <v>1000000</v>
      </c>
      <c r="R1144" s="11"/>
      <c r="S1144" s="11"/>
      <c r="T1144" s="12">
        <v>1000000</v>
      </c>
      <c r="U1144" s="10"/>
      <c r="V1144" s="10" t="s">
        <v>279</v>
      </c>
    </row>
    <row r="1145" spans="2:22" x14ac:dyDescent="0.25">
      <c r="B1145" s="8">
        <v>46185</v>
      </c>
      <c r="C1145" s="9" t="s">
        <v>343</v>
      </c>
      <c r="D1145" s="10" t="s">
        <v>323</v>
      </c>
      <c r="E1145" s="10" t="s">
        <v>2</v>
      </c>
      <c r="F1145" s="11">
        <v>50.6</v>
      </c>
      <c r="G1145" s="11">
        <v>22000</v>
      </c>
      <c r="H1145" s="12">
        <v>1113200</v>
      </c>
      <c r="I1145" s="11"/>
      <c r="J1145" s="11"/>
      <c r="K1145" s="11">
        <v>0</v>
      </c>
      <c r="L1145" s="11">
        <v>1113200</v>
      </c>
      <c r="O1145" s="33">
        <v>46195</v>
      </c>
      <c r="P1145" s="3" t="s">
        <v>74</v>
      </c>
      <c r="Q1145" s="4">
        <v>945900</v>
      </c>
      <c r="R1145" s="4">
        <v>300</v>
      </c>
      <c r="S1145" s="4">
        <v>12000</v>
      </c>
      <c r="T1145" s="5">
        <v>4545900</v>
      </c>
      <c r="U1145" s="3"/>
      <c r="V1145" s="3"/>
    </row>
    <row r="1146" spans="2:22" x14ac:dyDescent="0.25">
      <c r="B1146" s="1">
        <v>46185</v>
      </c>
      <c r="C1146" s="2" t="s">
        <v>343</v>
      </c>
      <c r="D1146" s="3" t="s">
        <v>10</v>
      </c>
      <c r="E1146" s="3" t="s">
        <v>2</v>
      </c>
      <c r="F1146" s="4">
        <v>51.8</v>
      </c>
      <c r="G1146" s="4">
        <v>15000</v>
      </c>
      <c r="H1146" s="5">
        <v>777000</v>
      </c>
      <c r="I1146" s="4"/>
      <c r="J1146" s="4"/>
      <c r="K1146" s="4">
        <v>0</v>
      </c>
      <c r="L1146" s="4">
        <v>777000</v>
      </c>
      <c r="O1146" s="34">
        <v>46195</v>
      </c>
      <c r="P1146" s="42" t="s">
        <v>126</v>
      </c>
      <c r="Q1146" s="11">
        <v>7822600</v>
      </c>
      <c r="R1146" s="11"/>
      <c r="S1146" s="11"/>
      <c r="T1146" s="12">
        <v>7822600</v>
      </c>
      <c r="U1146" s="10"/>
      <c r="V1146" s="10" t="s">
        <v>275</v>
      </c>
    </row>
    <row r="1147" spans="2:22" x14ac:dyDescent="0.25">
      <c r="B1147" s="8">
        <v>46186</v>
      </c>
      <c r="C1147" s="9" t="s">
        <v>134</v>
      </c>
      <c r="D1147" s="10" t="s">
        <v>323</v>
      </c>
      <c r="E1147" s="10" t="s">
        <v>2</v>
      </c>
      <c r="F1147" s="11">
        <v>731</v>
      </c>
      <c r="G1147" s="11">
        <v>24000</v>
      </c>
      <c r="H1147" s="12">
        <v>17544000</v>
      </c>
      <c r="I1147" s="11"/>
      <c r="J1147" s="11">
        <v>21000</v>
      </c>
      <c r="K1147" s="11">
        <v>15351000</v>
      </c>
      <c r="L1147" s="11">
        <v>2193000</v>
      </c>
      <c r="O1147" s="33">
        <v>46195</v>
      </c>
      <c r="P1147" s="3" t="s">
        <v>261</v>
      </c>
      <c r="Q1147" s="4">
        <v>450000</v>
      </c>
      <c r="R1147" s="4"/>
      <c r="S1147" s="4"/>
      <c r="T1147" s="5">
        <v>450000</v>
      </c>
      <c r="U1147" s="3"/>
      <c r="V1147" s="3" t="s">
        <v>275</v>
      </c>
    </row>
    <row r="1148" spans="2:22" x14ac:dyDescent="0.25">
      <c r="B1148" s="1">
        <v>46186</v>
      </c>
      <c r="C1148" s="2" t="s">
        <v>7</v>
      </c>
      <c r="D1148" s="3" t="s">
        <v>8</v>
      </c>
      <c r="E1148" s="3" t="s">
        <v>2</v>
      </c>
      <c r="F1148" s="4">
        <v>1318.7</v>
      </c>
      <c r="G1148" s="4">
        <v>25000</v>
      </c>
      <c r="H1148" s="5">
        <v>32967500</v>
      </c>
      <c r="I1148" s="4"/>
      <c r="J1148" s="4"/>
      <c r="K1148" s="4">
        <v>0</v>
      </c>
      <c r="L1148" s="4">
        <v>32967500</v>
      </c>
      <c r="O1148" s="34">
        <v>46195</v>
      </c>
      <c r="P1148" s="10" t="s">
        <v>141</v>
      </c>
      <c r="Q1148" s="11">
        <v>3000000</v>
      </c>
      <c r="R1148" s="11"/>
      <c r="S1148" s="11"/>
      <c r="T1148" s="12">
        <v>3000000</v>
      </c>
      <c r="U1148" s="10"/>
      <c r="V1148" s="10" t="s">
        <v>275</v>
      </c>
    </row>
    <row r="1149" spans="2:22" x14ac:dyDescent="0.25">
      <c r="B1149" s="8">
        <v>46186</v>
      </c>
      <c r="C1149" s="9" t="s">
        <v>101</v>
      </c>
      <c r="D1149" s="10" t="s">
        <v>323</v>
      </c>
      <c r="E1149" s="10" t="s">
        <v>2</v>
      </c>
      <c r="F1149" s="11">
        <v>46.6</v>
      </c>
      <c r="G1149" s="11">
        <v>23000</v>
      </c>
      <c r="H1149" s="12">
        <v>1071800</v>
      </c>
      <c r="I1149" s="11"/>
      <c r="J1149" s="11"/>
      <c r="K1149" s="11">
        <v>0</v>
      </c>
      <c r="L1149" s="11">
        <v>1071800</v>
      </c>
      <c r="O1149" s="33">
        <v>46195</v>
      </c>
      <c r="P1149" s="3" t="s">
        <v>353</v>
      </c>
      <c r="Q1149" s="4">
        <v>1235250</v>
      </c>
      <c r="R1149" s="4"/>
      <c r="S1149" s="4"/>
      <c r="T1149" s="5">
        <v>1235250</v>
      </c>
      <c r="U1149" s="3"/>
      <c r="V1149" s="3"/>
    </row>
    <row r="1150" spans="2:22" x14ac:dyDescent="0.25">
      <c r="B1150" s="1">
        <v>46186</v>
      </c>
      <c r="C1150" s="2" t="s">
        <v>68</v>
      </c>
      <c r="D1150" s="3" t="s">
        <v>36</v>
      </c>
      <c r="E1150" s="3" t="s">
        <v>2</v>
      </c>
      <c r="F1150" s="4">
        <v>1035.5999999999999</v>
      </c>
      <c r="G1150" s="4">
        <v>19000</v>
      </c>
      <c r="H1150" s="5">
        <v>19676400</v>
      </c>
      <c r="I1150" s="4"/>
      <c r="J1150" s="4"/>
      <c r="K1150" s="4">
        <v>0</v>
      </c>
      <c r="L1150" s="4">
        <v>19676400</v>
      </c>
      <c r="O1150" s="34">
        <v>46195</v>
      </c>
      <c r="P1150" s="10" t="s">
        <v>355</v>
      </c>
      <c r="Q1150" s="11">
        <v>432000</v>
      </c>
      <c r="R1150" s="11"/>
      <c r="S1150" s="11"/>
      <c r="T1150" s="12">
        <v>432000</v>
      </c>
      <c r="U1150" s="10"/>
      <c r="V1150" s="10"/>
    </row>
    <row r="1151" spans="2:22" x14ac:dyDescent="0.25">
      <c r="B1151" s="8">
        <v>46186</v>
      </c>
      <c r="C1151" s="9" t="s">
        <v>129</v>
      </c>
      <c r="D1151" s="10" t="s">
        <v>36</v>
      </c>
      <c r="E1151" s="10" t="s">
        <v>2</v>
      </c>
      <c r="F1151" s="11">
        <v>246.1</v>
      </c>
      <c r="G1151" s="11">
        <v>19500</v>
      </c>
      <c r="H1151" s="12">
        <v>4798950</v>
      </c>
      <c r="I1151" s="11"/>
      <c r="J1151" s="11"/>
      <c r="K1151" s="11">
        <v>0</v>
      </c>
      <c r="L1151" s="11">
        <v>4798950</v>
      </c>
      <c r="O1151" s="33">
        <v>46195</v>
      </c>
      <c r="P1151" s="3" t="s">
        <v>221</v>
      </c>
      <c r="Q1151" s="4">
        <v>1391800</v>
      </c>
      <c r="R1151" s="4"/>
      <c r="S1151" s="4"/>
      <c r="T1151" s="5">
        <v>1391800</v>
      </c>
      <c r="U1151" s="3"/>
      <c r="V1151" s="3" t="s">
        <v>287</v>
      </c>
    </row>
    <row r="1152" spans="2:22" x14ac:dyDescent="0.25">
      <c r="B1152" s="1">
        <v>46187</v>
      </c>
      <c r="C1152" s="2" t="s">
        <v>117</v>
      </c>
      <c r="D1152" s="3" t="s">
        <v>323</v>
      </c>
      <c r="E1152" s="3" t="s">
        <v>2</v>
      </c>
      <c r="F1152" s="4">
        <v>138.69999999999999</v>
      </c>
      <c r="G1152" s="4">
        <v>23000</v>
      </c>
      <c r="H1152" s="5">
        <v>3190099.9999999995</v>
      </c>
      <c r="I1152" s="4"/>
      <c r="J1152" s="4"/>
      <c r="K1152" s="4">
        <v>0</v>
      </c>
      <c r="L1152" s="4">
        <v>3190099.9999999995</v>
      </c>
      <c r="O1152" s="34">
        <v>46196</v>
      </c>
      <c r="P1152" s="10" t="s">
        <v>144</v>
      </c>
      <c r="Q1152" s="11">
        <v>500000</v>
      </c>
      <c r="R1152" s="11"/>
      <c r="S1152" s="11"/>
      <c r="T1152" s="12">
        <v>500000</v>
      </c>
      <c r="U1152" s="10"/>
      <c r="V1152" s="10" t="s">
        <v>275</v>
      </c>
    </row>
    <row r="1153" spans="2:22" x14ac:dyDescent="0.25">
      <c r="B1153" s="8">
        <v>46187</v>
      </c>
      <c r="C1153" s="9" t="s">
        <v>344</v>
      </c>
      <c r="D1153" s="10" t="s">
        <v>323</v>
      </c>
      <c r="E1153" s="10" t="s">
        <v>2</v>
      </c>
      <c r="F1153" s="11">
        <v>44.4</v>
      </c>
      <c r="G1153" s="11">
        <v>22000</v>
      </c>
      <c r="H1153" s="12">
        <v>976800</v>
      </c>
      <c r="I1153" s="11"/>
      <c r="J1153" s="11"/>
      <c r="K1153" s="11">
        <v>0</v>
      </c>
      <c r="L1153" s="11">
        <v>976800</v>
      </c>
      <c r="O1153" s="33">
        <v>46196</v>
      </c>
      <c r="P1153" s="3" t="s">
        <v>236</v>
      </c>
      <c r="Q1153" s="4">
        <v>1991000</v>
      </c>
      <c r="R1153" s="4"/>
      <c r="S1153" s="4"/>
      <c r="T1153" s="5">
        <v>1991000</v>
      </c>
      <c r="U1153" s="3"/>
      <c r="V1153" s="3" t="s">
        <v>275</v>
      </c>
    </row>
    <row r="1154" spans="2:22" x14ac:dyDescent="0.25">
      <c r="B1154" s="1">
        <v>46187</v>
      </c>
      <c r="C1154" s="2" t="s">
        <v>187</v>
      </c>
      <c r="D1154" s="3" t="s">
        <v>10</v>
      </c>
      <c r="E1154" s="3" t="s">
        <v>2</v>
      </c>
      <c r="F1154" s="4">
        <v>188.9</v>
      </c>
      <c r="G1154" s="4">
        <v>16000</v>
      </c>
      <c r="H1154" s="5">
        <v>3022400</v>
      </c>
      <c r="I1154" s="4"/>
      <c r="J1154" s="4"/>
      <c r="K1154" s="4">
        <v>0</v>
      </c>
      <c r="L1154" s="4">
        <v>3022400</v>
      </c>
      <c r="O1154" s="34">
        <v>46196</v>
      </c>
      <c r="P1154" s="10" t="s">
        <v>286</v>
      </c>
      <c r="Q1154" s="11"/>
      <c r="R1154" s="11">
        <v>100</v>
      </c>
      <c r="S1154" s="11">
        <v>12000</v>
      </c>
      <c r="T1154" s="12">
        <v>1200000</v>
      </c>
      <c r="U1154" s="10"/>
      <c r="V1154" s="10" t="s">
        <v>275</v>
      </c>
    </row>
    <row r="1155" spans="2:22" x14ac:dyDescent="0.25">
      <c r="B1155" s="8">
        <v>46187</v>
      </c>
      <c r="C1155" s="9" t="s">
        <v>345</v>
      </c>
      <c r="D1155" s="10" t="s">
        <v>29</v>
      </c>
      <c r="E1155" s="10" t="s">
        <v>2</v>
      </c>
      <c r="F1155" s="11">
        <v>54.2</v>
      </c>
      <c r="G1155" s="11">
        <v>20000</v>
      </c>
      <c r="H1155" s="12">
        <v>1084000</v>
      </c>
      <c r="I1155" s="11"/>
      <c r="J1155" s="11"/>
      <c r="K1155" s="11">
        <v>0</v>
      </c>
      <c r="L1155" s="11">
        <v>1084000</v>
      </c>
      <c r="O1155" s="33">
        <v>46196</v>
      </c>
      <c r="P1155" s="3" t="s">
        <v>204</v>
      </c>
      <c r="Q1155" s="4">
        <v>829400</v>
      </c>
      <c r="R1155" s="4"/>
      <c r="S1155" s="4"/>
      <c r="T1155" s="5">
        <v>829400</v>
      </c>
      <c r="U1155" s="3"/>
      <c r="V1155" s="3" t="s">
        <v>275</v>
      </c>
    </row>
    <row r="1156" spans="2:22" x14ac:dyDescent="0.25">
      <c r="B1156" s="1">
        <v>46187</v>
      </c>
      <c r="C1156" s="2" t="s">
        <v>346</v>
      </c>
      <c r="D1156" s="3" t="s">
        <v>323</v>
      </c>
      <c r="E1156" s="3" t="s">
        <v>2</v>
      </c>
      <c r="F1156" s="4">
        <v>45</v>
      </c>
      <c r="G1156" s="4">
        <v>23000</v>
      </c>
      <c r="H1156" s="5">
        <v>1035000</v>
      </c>
      <c r="I1156" s="4"/>
      <c r="J1156" s="4"/>
      <c r="K1156" s="4">
        <v>0</v>
      </c>
      <c r="L1156" s="4">
        <v>1035000</v>
      </c>
      <c r="O1156" s="34">
        <v>46196</v>
      </c>
      <c r="P1156" s="10" t="s">
        <v>249</v>
      </c>
      <c r="Q1156" s="11">
        <v>1200000</v>
      </c>
      <c r="R1156" s="11"/>
      <c r="S1156" s="11"/>
      <c r="T1156" s="12">
        <v>1200000</v>
      </c>
      <c r="U1156" s="10"/>
      <c r="V1156" s="10" t="s">
        <v>275</v>
      </c>
    </row>
    <row r="1157" spans="2:22" x14ac:dyDescent="0.25">
      <c r="B1157" s="8">
        <v>46188</v>
      </c>
      <c r="C1157" s="9" t="s">
        <v>108</v>
      </c>
      <c r="D1157" s="10" t="s">
        <v>10</v>
      </c>
      <c r="E1157" s="10" t="s">
        <v>2</v>
      </c>
      <c r="F1157" s="11">
        <v>54.6</v>
      </c>
      <c r="G1157" s="11">
        <v>16000</v>
      </c>
      <c r="H1157" s="12">
        <v>873600</v>
      </c>
      <c r="I1157" s="11"/>
      <c r="J1157" s="11"/>
      <c r="K1157" s="11">
        <v>0</v>
      </c>
      <c r="L1157" s="11">
        <v>873600</v>
      </c>
      <c r="O1157" s="33">
        <v>46196</v>
      </c>
      <c r="P1157" s="3" t="s">
        <v>198</v>
      </c>
      <c r="Q1157" s="4">
        <v>1266600</v>
      </c>
      <c r="R1157" s="4"/>
      <c r="S1157" s="4"/>
      <c r="T1157" s="5">
        <v>1266600</v>
      </c>
      <c r="U1157" s="3"/>
      <c r="V1157" s="3" t="s">
        <v>275</v>
      </c>
    </row>
    <row r="1158" spans="2:22" x14ac:dyDescent="0.25">
      <c r="B1158" s="1">
        <v>46188</v>
      </c>
      <c r="C1158" s="2" t="s">
        <v>244</v>
      </c>
      <c r="D1158" s="3" t="s">
        <v>10</v>
      </c>
      <c r="E1158" s="3" t="s">
        <v>2</v>
      </c>
      <c r="F1158" s="4">
        <v>52.7</v>
      </c>
      <c r="G1158" s="4">
        <v>16000</v>
      </c>
      <c r="H1158" s="5">
        <v>843200</v>
      </c>
      <c r="I1158" s="4"/>
      <c r="J1158" s="4"/>
      <c r="K1158" s="4">
        <v>0</v>
      </c>
      <c r="L1158" s="4">
        <v>843200</v>
      </c>
      <c r="O1158" s="34">
        <v>46196</v>
      </c>
      <c r="P1158" s="10" t="s">
        <v>7</v>
      </c>
      <c r="Q1158" s="11">
        <v>20000000</v>
      </c>
      <c r="R1158" s="11"/>
      <c r="S1158" s="11"/>
      <c r="T1158" s="12">
        <v>20000000</v>
      </c>
      <c r="U1158" s="10"/>
      <c r="V1158" s="10" t="s">
        <v>279</v>
      </c>
    </row>
    <row r="1159" spans="2:22" x14ac:dyDescent="0.25">
      <c r="B1159" s="8">
        <v>46188</v>
      </c>
      <c r="C1159" s="9" t="s">
        <v>244</v>
      </c>
      <c r="D1159" s="10" t="s">
        <v>323</v>
      </c>
      <c r="E1159" s="10" t="s">
        <v>2</v>
      </c>
      <c r="F1159" s="11">
        <v>51.1</v>
      </c>
      <c r="G1159" s="11">
        <v>23000</v>
      </c>
      <c r="H1159" s="12">
        <v>1175300</v>
      </c>
      <c r="I1159" s="11"/>
      <c r="J1159" s="11"/>
      <c r="K1159" s="11">
        <v>0</v>
      </c>
      <c r="L1159" s="11">
        <v>1175300</v>
      </c>
      <c r="O1159" s="33">
        <v>46196</v>
      </c>
      <c r="P1159" s="3" t="s">
        <v>76</v>
      </c>
      <c r="Q1159" s="4">
        <v>1069500</v>
      </c>
      <c r="R1159" s="4"/>
      <c r="S1159" s="4"/>
      <c r="T1159" s="5">
        <v>1069500</v>
      </c>
      <c r="U1159" s="3"/>
      <c r="V1159" s="3" t="s">
        <v>275</v>
      </c>
    </row>
    <row r="1160" spans="2:22" x14ac:dyDescent="0.25">
      <c r="B1160" s="1">
        <v>46188</v>
      </c>
      <c r="C1160" s="2" t="s">
        <v>12</v>
      </c>
      <c r="D1160" s="3" t="s">
        <v>16</v>
      </c>
      <c r="E1160" s="3" t="s">
        <v>2</v>
      </c>
      <c r="F1160" s="4">
        <v>1267.0999999999999</v>
      </c>
      <c r="G1160" s="4">
        <v>30000</v>
      </c>
      <c r="H1160" s="5">
        <v>38013000</v>
      </c>
      <c r="I1160" s="4">
        <v>260</v>
      </c>
      <c r="J1160" s="6">
        <v>25000</v>
      </c>
      <c r="K1160" s="4">
        <v>31677499.999999996</v>
      </c>
      <c r="L1160" s="4">
        <v>6335500.0000000037</v>
      </c>
      <c r="O1160" s="34">
        <v>46196</v>
      </c>
      <c r="P1160" s="10" t="s">
        <v>63</v>
      </c>
      <c r="Q1160" s="11">
        <v>1074100</v>
      </c>
      <c r="R1160" s="11"/>
      <c r="S1160" s="11"/>
      <c r="T1160" s="12">
        <v>1074100</v>
      </c>
      <c r="U1160" s="10"/>
      <c r="V1160" s="10" t="s">
        <v>275</v>
      </c>
    </row>
    <row r="1161" spans="2:22" x14ac:dyDescent="0.25">
      <c r="B1161" s="8">
        <v>46188</v>
      </c>
      <c r="C1161" s="9" t="s">
        <v>324</v>
      </c>
      <c r="D1161" s="10" t="s">
        <v>10</v>
      </c>
      <c r="E1161" s="10" t="s">
        <v>2</v>
      </c>
      <c r="F1161" s="11">
        <v>49.8</v>
      </c>
      <c r="G1161" s="11">
        <v>16000</v>
      </c>
      <c r="H1161" s="12">
        <v>796800</v>
      </c>
      <c r="I1161" s="11"/>
      <c r="J1161" s="11"/>
      <c r="K1161" s="11">
        <v>0</v>
      </c>
      <c r="L1161" s="11">
        <v>796800</v>
      </c>
      <c r="O1161" s="33">
        <v>46197</v>
      </c>
      <c r="P1161" s="3" t="s">
        <v>49</v>
      </c>
      <c r="Q1161" s="4">
        <v>600000</v>
      </c>
      <c r="R1161" s="4"/>
      <c r="S1161" s="4"/>
      <c r="T1161" s="5">
        <v>600000</v>
      </c>
      <c r="U1161" s="3"/>
      <c r="V1161" s="3" t="s">
        <v>275</v>
      </c>
    </row>
    <row r="1162" spans="2:22" x14ac:dyDescent="0.25">
      <c r="B1162" s="1">
        <v>46188</v>
      </c>
      <c r="C1162" s="2" t="s">
        <v>19</v>
      </c>
      <c r="D1162" s="3" t="s">
        <v>323</v>
      </c>
      <c r="E1162" s="3" t="s">
        <v>2</v>
      </c>
      <c r="F1162" s="4">
        <v>52.2</v>
      </c>
      <c r="G1162" s="4">
        <v>23000</v>
      </c>
      <c r="H1162" s="5">
        <v>1200600</v>
      </c>
      <c r="I1162" s="4"/>
      <c r="J1162" s="4"/>
      <c r="K1162" s="4">
        <v>0</v>
      </c>
      <c r="L1162" s="4">
        <v>1200600</v>
      </c>
      <c r="O1162" s="34">
        <v>46197</v>
      </c>
      <c r="P1162" s="10" t="s">
        <v>59</v>
      </c>
      <c r="Q1162" s="11">
        <v>1000000</v>
      </c>
      <c r="R1162" s="11"/>
      <c r="S1162" s="11"/>
      <c r="T1162" s="12">
        <v>1000000</v>
      </c>
      <c r="U1162" s="10"/>
      <c r="V1162" s="10" t="s">
        <v>275</v>
      </c>
    </row>
    <row r="1163" spans="2:22" x14ac:dyDescent="0.25">
      <c r="B1163" s="8">
        <v>46189</v>
      </c>
      <c r="C1163" s="9" t="s">
        <v>77</v>
      </c>
      <c r="D1163" s="10" t="s">
        <v>323</v>
      </c>
      <c r="E1163" s="10" t="s">
        <v>2</v>
      </c>
      <c r="F1163" s="11">
        <v>85.8</v>
      </c>
      <c r="G1163" s="11">
        <v>22000</v>
      </c>
      <c r="H1163" s="12">
        <v>1887600</v>
      </c>
      <c r="I1163" s="11"/>
      <c r="J1163" s="11"/>
      <c r="K1163" s="11">
        <v>0</v>
      </c>
      <c r="L1163" s="11">
        <v>1887600</v>
      </c>
      <c r="O1163" s="33">
        <v>46197</v>
      </c>
      <c r="P1163" s="3" t="s">
        <v>14</v>
      </c>
      <c r="Q1163" s="4">
        <v>2600000</v>
      </c>
      <c r="R1163" s="4"/>
      <c r="S1163" s="4"/>
      <c r="T1163" s="5">
        <v>2600000</v>
      </c>
      <c r="U1163" s="3"/>
      <c r="V1163" s="3" t="s">
        <v>275</v>
      </c>
    </row>
    <row r="1164" spans="2:22" x14ac:dyDescent="0.25">
      <c r="B1164" s="1">
        <v>46189</v>
      </c>
      <c r="C1164" s="2" t="s">
        <v>106</v>
      </c>
      <c r="D1164" s="3" t="s">
        <v>323</v>
      </c>
      <c r="E1164" s="3" t="s">
        <v>2</v>
      </c>
      <c r="F1164" s="4">
        <v>99.1</v>
      </c>
      <c r="G1164" s="4">
        <v>23000</v>
      </c>
      <c r="H1164" s="5">
        <v>2279300</v>
      </c>
      <c r="I1164" s="4"/>
      <c r="J1164" s="4"/>
      <c r="K1164" s="4">
        <v>0</v>
      </c>
      <c r="L1164" s="4">
        <v>2279300</v>
      </c>
      <c r="O1164" s="34">
        <v>46197</v>
      </c>
      <c r="P1164" s="10" t="s">
        <v>78</v>
      </c>
      <c r="Q1164" s="11">
        <v>6000000</v>
      </c>
      <c r="R1164" s="11"/>
      <c r="S1164" s="11"/>
      <c r="T1164" s="12">
        <v>6000000</v>
      </c>
      <c r="U1164" s="10"/>
      <c r="V1164" s="10" t="s">
        <v>275</v>
      </c>
    </row>
    <row r="1165" spans="2:22" x14ac:dyDescent="0.25">
      <c r="B1165" s="8">
        <v>46189</v>
      </c>
      <c r="C1165" s="9" t="s">
        <v>106</v>
      </c>
      <c r="D1165" s="10" t="s">
        <v>10</v>
      </c>
      <c r="E1165" s="10" t="s">
        <v>2</v>
      </c>
      <c r="F1165" s="11">
        <v>46.2</v>
      </c>
      <c r="G1165" s="11">
        <v>16000</v>
      </c>
      <c r="H1165" s="12">
        <v>739200</v>
      </c>
      <c r="I1165" s="11"/>
      <c r="J1165" s="11"/>
      <c r="K1165" s="11">
        <v>0</v>
      </c>
      <c r="L1165" s="11">
        <v>739200</v>
      </c>
      <c r="O1165" s="33">
        <v>46197</v>
      </c>
      <c r="P1165" s="3" t="s">
        <v>249</v>
      </c>
      <c r="Q1165" s="4">
        <v>3255600</v>
      </c>
      <c r="R1165" s="4"/>
      <c r="S1165" s="4"/>
      <c r="T1165" s="5">
        <v>3255600</v>
      </c>
      <c r="U1165" s="3"/>
      <c r="V1165" s="3" t="s">
        <v>275</v>
      </c>
    </row>
    <row r="1166" spans="2:22" x14ac:dyDescent="0.25">
      <c r="B1166" s="1">
        <v>46189</v>
      </c>
      <c r="C1166" s="2" t="s">
        <v>233</v>
      </c>
      <c r="D1166" s="3" t="s">
        <v>10</v>
      </c>
      <c r="E1166" s="3" t="s">
        <v>2</v>
      </c>
      <c r="F1166" s="4">
        <v>47.7</v>
      </c>
      <c r="G1166" s="4">
        <v>16000</v>
      </c>
      <c r="H1166" s="5">
        <v>763200</v>
      </c>
      <c r="I1166" s="4"/>
      <c r="J1166" s="4"/>
      <c r="K1166" s="4">
        <v>0</v>
      </c>
      <c r="L1166" s="4">
        <v>763200</v>
      </c>
      <c r="O1166" s="34">
        <v>46197</v>
      </c>
      <c r="P1166" s="10" t="s">
        <v>160</v>
      </c>
      <c r="Q1166" s="11"/>
      <c r="R1166" s="11">
        <v>100</v>
      </c>
      <c r="S1166" s="11">
        <v>12000</v>
      </c>
      <c r="T1166" s="12">
        <v>1200000</v>
      </c>
      <c r="U1166" s="10"/>
      <c r="V1166" s="10"/>
    </row>
    <row r="1167" spans="2:22" x14ac:dyDescent="0.25">
      <c r="B1167" s="8">
        <v>46189</v>
      </c>
      <c r="C1167" s="9" t="s">
        <v>347</v>
      </c>
      <c r="D1167" s="10" t="s">
        <v>10</v>
      </c>
      <c r="E1167" s="10" t="s">
        <v>2</v>
      </c>
      <c r="F1167" s="11">
        <v>45</v>
      </c>
      <c r="G1167" s="11">
        <v>16000</v>
      </c>
      <c r="H1167" s="12">
        <v>720000</v>
      </c>
      <c r="I1167" s="11"/>
      <c r="J1167" s="11"/>
      <c r="K1167" s="11">
        <v>0</v>
      </c>
      <c r="L1167" s="11">
        <v>720000</v>
      </c>
      <c r="O1167" s="33">
        <v>46197</v>
      </c>
      <c r="P1167" s="3" t="s">
        <v>232</v>
      </c>
      <c r="Q1167" s="4">
        <v>763200</v>
      </c>
      <c r="R1167" s="4"/>
      <c r="S1167" s="4"/>
      <c r="T1167" s="5">
        <v>763200</v>
      </c>
      <c r="U1167" s="3"/>
      <c r="V1167" s="3"/>
    </row>
    <row r="1168" spans="2:22" x14ac:dyDescent="0.25">
      <c r="B1168" s="1">
        <v>46189</v>
      </c>
      <c r="C1168" s="2" t="s">
        <v>347</v>
      </c>
      <c r="D1168" s="3" t="s">
        <v>1</v>
      </c>
      <c r="E1168" s="3" t="s">
        <v>2</v>
      </c>
      <c r="F1168" s="4">
        <v>37.4</v>
      </c>
      <c r="G1168" s="4">
        <v>25000</v>
      </c>
      <c r="H1168" s="5">
        <v>935000</v>
      </c>
      <c r="I1168" s="4"/>
      <c r="J1168" s="4"/>
      <c r="K1168" s="4">
        <v>0</v>
      </c>
      <c r="L1168" s="4">
        <v>935000</v>
      </c>
      <c r="O1168" s="34">
        <v>46197</v>
      </c>
      <c r="P1168" s="10" t="s">
        <v>154</v>
      </c>
      <c r="Q1168" s="11">
        <v>833600</v>
      </c>
      <c r="R1168" s="11"/>
      <c r="S1168" s="11"/>
      <c r="T1168" s="12">
        <v>833600</v>
      </c>
      <c r="U1168" s="10"/>
      <c r="V1168" s="10"/>
    </row>
    <row r="1169" spans="2:22" x14ac:dyDescent="0.25">
      <c r="B1169" s="8">
        <v>46189</v>
      </c>
      <c r="C1169" s="9" t="s">
        <v>348</v>
      </c>
      <c r="D1169" s="10" t="s">
        <v>323</v>
      </c>
      <c r="E1169" s="10" t="s">
        <v>2</v>
      </c>
      <c r="F1169" s="11">
        <v>48.5</v>
      </c>
      <c r="G1169" s="11">
        <v>23000</v>
      </c>
      <c r="H1169" s="12">
        <v>1115500</v>
      </c>
      <c r="I1169" s="11"/>
      <c r="J1169" s="11"/>
      <c r="K1169" s="11">
        <v>0</v>
      </c>
      <c r="L1169" s="11">
        <v>1115500</v>
      </c>
      <c r="O1169" s="33">
        <v>46197</v>
      </c>
      <c r="P1169" s="3" t="s">
        <v>339</v>
      </c>
      <c r="Q1169" s="4">
        <v>1395000</v>
      </c>
      <c r="R1169" s="4"/>
      <c r="S1169" s="4"/>
      <c r="T1169" s="5">
        <v>1395000</v>
      </c>
      <c r="U1169" s="3"/>
      <c r="V1169" s="3"/>
    </row>
    <row r="1170" spans="2:22" x14ac:dyDescent="0.25">
      <c r="B1170" s="1">
        <v>46190</v>
      </c>
      <c r="C1170" s="2" t="s">
        <v>230</v>
      </c>
      <c r="D1170" s="3" t="s">
        <v>323</v>
      </c>
      <c r="E1170" s="3" t="s">
        <v>2</v>
      </c>
      <c r="F1170" s="4">
        <v>48.6</v>
      </c>
      <c r="G1170" s="4">
        <v>22000</v>
      </c>
      <c r="H1170" s="5">
        <v>1069200</v>
      </c>
      <c r="I1170" s="4"/>
      <c r="J1170" s="4"/>
      <c r="K1170" s="4">
        <v>0</v>
      </c>
      <c r="L1170" s="4">
        <v>1069200</v>
      </c>
      <c r="O1170" s="34">
        <v>46197</v>
      </c>
      <c r="P1170" s="10" t="s">
        <v>71</v>
      </c>
      <c r="Q1170" s="11">
        <v>400000</v>
      </c>
      <c r="R1170" s="11">
        <v>100</v>
      </c>
      <c r="S1170" s="11">
        <v>12000</v>
      </c>
      <c r="T1170" s="12">
        <v>1600000</v>
      </c>
      <c r="U1170" s="10"/>
      <c r="V1170" s="10"/>
    </row>
    <row r="1171" spans="2:22" x14ac:dyDescent="0.25">
      <c r="B1171" s="8">
        <v>46190</v>
      </c>
      <c r="C1171" s="9" t="s">
        <v>210</v>
      </c>
      <c r="D1171" s="10" t="s">
        <v>323</v>
      </c>
      <c r="E1171" s="10" t="s">
        <v>2</v>
      </c>
      <c r="F1171" s="11">
        <v>136</v>
      </c>
      <c r="G1171" s="11">
        <v>23000</v>
      </c>
      <c r="H1171" s="12">
        <v>3128000</v>
      </c>
      <c r="I1171" s="11"/>
      <c r="J1171" s="11"/>
      <c r="K1171" s="11">
        <v>0</v>
      </c>
      <c r="L1171" s="11">
        <v>3128000</v>
      </c>
      <c r="O1171" s="33">
        <v>46197</v>
      </c>
      <c r="P1171" s="3" t="s">
        <v>288</v>
      </c>
      <c r="Q1171" s="4">
        <v>1824100</v>
      </c>
      <c r="R1171" s="4"/>
      <c r="S1171" s="4"/>
      <c r="T1171" s="5">
        <v>1824100</v>
      </c>
      <c r="U1171" s="3"/>
      <c r="V1171" s="3"/>
    </row>
    <row r="1172" spans="2:22" x14ac:dyDescent="0.25">
      <c r="B1172" s="1">
        <v>46190</v>
      </c>
      <c r="C1172" s="2" t="s">
        <v>210</v>
      </c>
      <c r="D1172" s="3" t="s">
        <v>10</v>
      </c>
      <c r="E1172" s="3" t="s">
        <v>2</v>
      </c>
      <c r="F1172" s="4">
        <v>103.1</v>
      </c>
      <c r="G1172" s="4">
        <v>16000</v>
      </c>
      <c r="H1172" s="5">
        <v>1649600</v>
      </c>
      <c r="I1172" s="4"/>
      <c r="J1172" s="4"/>
      <c r="K1172" s="4">
        <v>0</v>
      </c>
      <c r="L1172" s="4">
        <v>1649600</v>
      </c>
      <c r="O1172" s="34">
        <v>46197</v>
      </c>
      <c r="P1172" s="10" t="s">
        <v>47</v>
      </c>
      <c r="Q1172" s="11">
        <v>100000</v>
      </c>
      <c r="R1172" s="11">
        <v>200</v>
      </c>
      <c r="S1172" s="11">
        <v>12000</v>
      </c>
      <c r="T1172" s="12">
        <v>2500000</v>
      </c>
      <c r="U1172" s="10"/>
      <c r="V1172" s="10"/>
    </row>
    <row r="1173" spans="2:22" x14ac:dyDescent="0.25">
      <c r="B1173" s="8">
        <v>46190</v>
      </c>
      <c r="C1173" s="9" t="s">
        <v>210</v>
      </c>
      <c r="D1173" s="10" t="s">
        <v>29</v>
      </c>
      <c r="E1173" s="10" t="s">
        <v>2</v>
      </c>
      <c r="F1173" s="11">
        <v>49.3</v>
      </c>
      <c r="G1173" s="11">
        <v>19000</v>
      </c>
      <c r="H1173" s="12">
        <v>936700</v>
      </c>
      <c r="I1173" s="11"/>
      <c r="J1173" s="11"/>
      <c r="K1173" s="11">
        <v>0</v>
      </c>
      <c r="L1173" s="11">
        <v>936700</v>
      </c>
      <c r="O1173" s="33">
        <v>46198</v>
      </c>
      <c r="P1173" s="3" t="s">
        <v>239</v>
      </c>
      <c r="Q1173" s="4">
        <v>1000000</v>
      </c>
      <c r="R1173" s="4"/>
      <c r="S1173" s="4"/>
      <c r="T1173" s="5">
        <v>1000000</v>
      </c>
      <c r="U1173" s="3"/>
      <c r="V1173" s="3"/>
    </row>
    <row r="1174" spans="2:22" x14ac:dyDescent="0.25">
      <c r="B1174" s="1">
        <v>46190</v>
      </c>
      <c r="C1174" s="2" t="s">
        <v>33</v>
      </c>
      <c r="D1174" s="3" t="s">
        <v>10</v>
      </c>
      <c r="E1174" s="3" t="s">
        <v>2</v>
      </c>
      <c r="F1174" s="4">
        <v>780</v>
      </c>
      <c r="G1174" s="4">
        <v>15000</v>
      </c>
      <c r="H1174" s="5">
        <v>11700000</v>
      </c>
      <c r="I1174" s="4"/>
      <c r="J1174" s="4"/>
      <c r="K1174" s="4">
        <v>0</v>
      </c>
      <c r="L1174" s="4">
        <v>11700000</v>
      </c>
      <c r="O1174" s="34">
        <v>46198</v>
      </c>
      <c r="P1174" s="10" t="s">
        <v>138</v>
      </c>
      <c r="Q1174" s="11">
        <v>4267500</v>
      </c>
      <c r="R1174" s="11"/>
      <c r="S1174" s="11"/>
      <c r="T1174" s="12">
        <v>4267500</v>
      </c>
      <c r="U1174" s="10"/>
      <c r="V1174" s="10" t="s">
        <v>279</v>
      </c>
    </row>
    <row r="1175" spans="2:22" x14ac:dyDescent="0.25">
      <c r="B1175" s="8">
        <v>46190</v>
      </c>
      <c r="C1175" s="9" t="s">
        <v>33</v>
      </c>
      <c r="D1175" s="10" t="s">
        <v>323</v>
      </c>
      <c r="E1175" s="10" t="s">
        <v>2</v>
      </c>
      <c r="F1175" s="11">
        <v>199.1</v>
      </c>
      <c r="G1175" s="11">
        <v>23000</v>
      </c>
      <c r="H1175" s="12">
        <v>4579300</v>
      </c>
      <c r="I1175" s="11"/>
      <c r="J1175" s="11"/>
      <c r="K1175" s="11">
        <v>0</v>
      </c>
      <c r="L1175" s="11">
        <v>4579300</v>
      </c>
      <c r="O1175" s="33">
        <v>46198</v>
      </c>
      <c r="P1175" s="3" t="s">
        <v>12</v>
      </c>
      <c r="Q1175" s="4">
        <v>60438000</v>
      </c>
      <c r="R1175" s="4"/>
      <c r="S1175" s="4"/>
      <c r="T1175" s="5">
        <v>60438000</v>
      </c>
      <c r="U1175" s="3"/>
      <c r="V1175" s="3" t="s">
        <v>279</v>
      </c>
    </row>
    <row r="1176" spans="2:22" x14ac:dyDescent="0.25">
      <c r="B1176" s="1">
        <v>46190</v>
      </c>
      <c r="C1176" s="2" t="s">
        <v>328</v>
      </c>
      <c r="D1176" s="3" t="s">
        <v>323</v>
      </c>
      <c r="E1176" s="3" t="s">
        <v>2</v>
      </c>
      <c r="F1176" s="4">
        <v>50.8</v>
      </c>
      <c r="G1176" s="4">
        <v>23000</v>
      </c>
      <c r="H1176" s="5">
        <v>1168400</v>
      </c>
      <c r="I1176" s="4"/>
      <c r="J1176" s="4"/>
      <c r="K1176" s="4">
        <v>0</v>
      </c>
      <c r="L1176" s="4">
        <v>1168400</v>
      </c>
      <c r="O1176" s="34">
        <v>46198</v>
      </c>
      <c r="P1176" s="10" t="s">
        <v>202</v>
      </c>
      <c r="Q1176" s="11">
        <v>6785000</v>
      </c>
      <c r="R1176" s="11"/>
      <c r="S1176" s="11"/>
      <c r="T1176" s="12">
        <v>6785000</v>
      </c>
      <c r="U1176" s="10"/>
      <c r="V1176" s="10"/>
    </row>
    <row r="1177" spans="2:22" x14ac:dyDescent="0.25">
      <c r="B1177" s="8">
        <v>46190</v>
      </c>
      <c r="C1177" s="9" t="s">
        <v>349</v>
      </c>
      <c r="D1177" s="10" t="s">
        <v>323</v>
      </c>
      <c r="E1177" s="10" t="s">
        <v>2</v>
      </c>
      <c r="F1177" s="11">
        <v>51.1</v>
      </c>
      <c r="G1177" s="11">
        <v>22000</v>
      </c>
      <c r="H1177" s="12">
        <v>1124200</v>
      </c>
      <c r="I1177" s="11"/>
      <c r="J1177" s="11"/>
      <c r="K1177" s="11">
        <v>0</v>
      </c>
      <c r="L1177" s="11">
        <v>1124200</v>
      </c>
      <c r="O1177" s="33">
        <v>46198</v>
      </c>
      <c r="P1177" s="3" t="s">
        <v>358</v>
      </c>
      <c r="Q1177" s="4">
        <v>9212500</v>
      </c>
      <c r="R1177" s="4"/>
      <c r="S1177" s="4"/>
      <c r="T1177" s="5">
        <v>9212500</v>
      </c>
      <c r="U1177" s="3"/>
      <c r="V1177" s="3"/>
    </row>
    <row r="1178" spans="2:22" x14ac:dyDescent="0.25">
      <c r="B1178" s="1">
        <v>46190</v>
      </c>
      <c r="C1178" s="2" t="s">
        <v>204</v>
      </c>
      <c r="D1178" s="3" t="s">
        <v>323</v>
      </c>
      <c r="E1178" s="3" t="s">
        <v>2</v>
      </c>
      <c r="F1178" s="4">
        <v>45.2</v>
      </c>
      <c r="G1178" s="4">
        <v>23000</v>
      </c>
      <c r="H1178" s="5">
        <v>1039600.0000000001</v>
      </c>
      <c r="I1178" s="4"/>
      <c r="J1178" s="4"/>
      <c r="K1178" s="4">
        <v>0</v>
      </c>
      <c r="L1178" s="4">
        <v>1039600.0000000001</v>
      </c>
      <c r="O1178" s="34">
        <v>46201</v>
      </c>
      <c r="P1178" s="10" t="s">
        <v>19</v>
      </c>
      <c r="Q1178" s="11">
        <v>1020000</v>
      </c>
      <c r="R1178" s="11"/>
      <c r="S1178" s="11"/>
      <c r="T1178" s="12">
        <v>1020000</v>
      </c>
      <c r="U1178" s="10"/>
      <c r="V1178" s="10"/>
    </row>
    <row r="1179" spans="2:22" x14ac:dyDescent="0.25">
      <c r="B1179" s="8">
        <v>46190</v>
      </c>
      <c r="C1179" s="9" t="s">
        <v>172</v>
      </c>
      <c r="D1179" s="10" t="s">
        <v>323</v>
      </c>
      <c r="E1179" s="10" t="s">
        <v>2</v>
      </c>
      <c r="F1179" s="11">
        <v>112.2</v>
      </c>
      <c r="G1179" s="11">
        <v>23000</v>
      </c>
      <c r="H1179" s="12">
        <v>2580600</v>
      </c>
      <c r="I1179" s="11"/>
      <c r="J1179" s="11"/>
      <c r="K1179" s="11">
        <v>0</v>
      </c>
      <c r="L1179" s="11">
        <v>2580600</v>
      </c>
      <c r="O1179" s="33">
        <v>46201</v>
      </c>
      <c r="P1179" s="3" t="s">
        <v>12</v>
      </c>
      <c r="Q1179" s="4">
        <v>300000000</v>
      </c>
      <c r="R1179" s="4"/>
      <c r="S1179" s="4"/>
      <c r="T1179" s="5">
        <v>300000000</v>
      </c>
      <c r="U1179" s="3"/>
      <c r="V1179" s="3" t="s">
        <v>279</v>
      </c>
    </row>
    <row r="1180" spans="2:22" x14ac:dyDescent="0.25">
      <c r="B1180" s="1">
        <v>46191</v>
      </c>
      <c r="C1180" s="2" t="s">
        <v>12</v>
      </c>
      <c r="D1180" s="3" t="s">
        <v>16</v>
      </c>
      <c r="E1180" s="3" t="s">
        <v>2</v>
      </c>
      <c r="F1180" s="4">
        <v>1636.9</v>
      </c>
      <c r="G1180" s="4">
        <v>30000</v>
      </c>
      <c r="H1180" s="5">
        <v>49107000</v>
      </c>
      <c r="I1180" s="4">
        <v>240</v>
      </c>
      <c r="J1180" s="6">
        <v>25000</v>
      </c>
      <c r="K1180" s="4">
        <v>40922500</v>
      </c>
      <c r="L1180" s="4">
        <v>8184500</v>
      </c>
      <c r="O1180" s="34">
        <v>46201</v>
      </c>
      <c r="P1180" s="10" t="s">
        <v>326</v>
      </c>
      <c r="Q1180" s="11">
        <v>8250000</v>
      </c>
      <c r="R1180" s="11"/>
      <c r="S1180" s="11"/>
      <c r="T1180" s="12">
        <v>8250000</v>
      </c>
      <c r="U1180" s="10"/>
      <c r="V1180" s="10" t="s">
        <v>279</v>
      </c>
    </row>
    <row r="1181" spans="2:22" x14ac:dyDescent="0.25">
      <c r="B1181" s="8">
        <v>46191</v>
      </c>
      <c r="C1181" s="9" t="s">
        <v>109</v>
      </c>
      <c r="D1181" s="10" t="s">
        <v>323</v>
      </c>
      <c r="E1181" s="10" t="s">
        <v>2</v>
      </c>
      <c r="F1181" s="11">
        <v>53.3</v>
      </c>
      <c r="G1181" s="11">
        <v>23000</v>
      </c>
      <c r="H1181" s="12">
        <v>1225900</v>
      </c>
      <c r="I1181" s="11"/>
      <c r="J1181" s="11"/>
      <c r="K1181" s="11">
        <v>0</v>
      </c>
      <c r="L1181" s="11">
        <v>1225900</v>
      </c>
      <c r="O1181" s="33">
        <v>46201</v>
      </c>
      <c r="P1181" s="3" t="s">
        <v>53</v>
      </c>
      <c r="Q1181" s="4">
        <v>26000000</v>
      </c>
      <c r="R1181" s="4"/>
      <c r="S1181" s="4"/>
      <c r="T1181" s="5">
        <v>26000000</v>
      </c>
      <c r="U1181" s="3"/>
      <c r="V1181" s="3" t="s">
        <v>279</v>
      </c>
    </row>
    <row r="1182" spans="2:22" x14ac:dyDescent="0.25">
      <c r="B1182" s="1">
        <v>46191</v>
      </c>
      <c r="C1182" s="2" t="s">
        <v>109</v>
      </c>
      <c r="D1182" s="3" t="s">
        <v>10</v>
      </c>
      <c r="E1182" s="3" t="s">
        <v>2</v>
      </c>
      <c r="F1182" s="4">
        <v>47.2</v>
      </c>
      <c r="G1182" s="4">
        <v>16000</v>
      </c>
      <c r="H1182" s="5">
        <v>755200</v>
      </c>
      <c r="I1182" s="4"/>
      <c r="J1182" s="4"/>
      <c r="K1182" s="4">
        <v>0</v>
      </c>
      <c r="L1182" s="4">
        <v>755200</v>
      </c>
      <c r="O1182" s="34">
        <v>46201</v>
      </c>
      <c r="P1182" s="10" t="s">
        <v>78</v>
      </c>
      <c r="Q1182" s="11"/>
      <c r="R1182" s="11">
        <v>300</v>
      </c>
      <c r="S1182" s="11">
        <v>12000</v>
      </c>
      <c r="T1182" s="12">
        <v>3600000</v>
      </c>
      <c r="U1182" s="10"/>
      <c r="V1182" s="10"/>
    </row>
    <row r="1183" spans="2:22" x14ac:dyDescent="0.25">
      <c r="B1183" s="8">
        <v>46191</v>
      </c>
      <c r="C1183" s="9" t="s">
        <v>58</v>
      </c>
      <c r="D1183" s="10" t="s">
        <v>323</v>
      </c>
      <c r="E1183" s="10" t="s">
        <v>2</v>
      </c>
      <c r="F1183" s="11">
        <v>104.3</v>
      </c>
      <c r="G1183" s="11">
        <v>23000</v>
      </c>
      <c r="H1183" s="12">
        <v>2398900</v>
      </c>
      <c r="I1183" s="11"/>
      <c r="J1183" s="11"/>
      <c r="K1183" s="11">
        <v>0</v>
      </c>
      <c r="L1183" s="11">
        <v>2398900</v>
      </c>
      <c r="O1183" s="33">
        <v>46201</v>
      </c>
      <c r="P1183" s="3" t="s">
        <v>230</v>
      </c>
      <c r="Q1183" s="4">
        <v>1070000</v>
      </c>
      <c r="R1183" s="4"/>
      <c r="S1183" s="4"/>
      <c r="T1183" s="5">
        <v>1070000</v>
      </c>
      <c r="U1183" s="3"/>
      <c r="V1183" s="3"/>
    </row>
    <row r="1184" spans="2:22" x14ac:dyDescent="0.25">
      <c r="B1184" s="1">
        <v>46191</v>
      </c>
      <c r="C1184" s="2" t="s">
        <v>58</v>
      </c>
      <c r="D1184" s="3" t="s">
        <v>10</v>
      </c>
      <c r="E1184" s="3" t="s">
        <v>2</v>
      </c>
      <c r="F1184" s="4">
        <v>49.6</v>
      </c>
      <c r="G1184" s="4">
        <v>16000</v>
      </c>
      <c r="H1184" s="5">
        <v>793600</v>
      </c>
      <c r="I1184" s="4"/>
      <c r="J1184" s="4"/>
      <c r="K1184" s="4">
        <v>0</v>
      </c>
      <c r="L1184" s="4">
        <v>793600</v>
      </c>
      <c r="O1184" s="34">
        <v>46201</v>
      </c>
      <c r="P1184" s="10" t="s">
        <v>131</v>
      </c>
      <c r="Q1184" s="11"/>
      <c r="R1184" s="11">
        <v>1160</v>
      </c>
      <c r="S1184" s="11">
        <v>12000</v>
      </c>
      <c r="T1184" s="12">
        <v>13920000</v>
      </c>
      <c r="U1184" s="10"/>
      <c r="V1184" s="10"/>
    </row>
    <row r="1185" spans="2:22" x14ac:dyDescent="0.25">
      <c r="B1185" s="8">
        <v>46191</v>
      </c>
      <c r="C1185" s="9" t="s">
        <v>28</v>
      </c>
      <c r="D1185" s="10" t="s">
        <v>10</v>
      </c>
      <c r="E1185" s="10" t="s">
        <v>2</v>
      </c>
      <c r="F1185" s="11">
        <v>91.8</v>
      </c>
      <c r="G1185" s="11">
        <v>16000</v>
      </c>
      <c r="H1185" s="12">
        <v>1468800</v>
      </c>
      <c r="I1185" s="11"/>
      <c r="J1185" s="11"/>
      <c r="K1185" s="11">
        <v>0</v>
      </c>
      <c r="L1185" s="11">
        <v>1468800</v>
      </c>
      <c r="O1185" s="33">
        <v>46201</v>
      </c>
      <c r="P1185" s="3" t="s">
        <v>104</v>
      </c>
      <c r="Q1185" s="4">
        <v>1163800</v>
      </c>
      <c r="R1185" s="4"/>
      <c r="S1185" s="4"/>
      <c r="T1185" s="5">
        <v>1163800</v>
      </c>
      <c r="U1185" s="3"/>
      <c r="V1185" s="3"/>
    </row>
    <row r="1186" spans="2:22" x14ac:dyDescent="0.25">
      <c r="B1186" s="1">
        <v>46191</v>
      </c>
      <c r="C1186" s="2" t="s">
        <v>28</v>
      </c>
      <c r="D1186" s="3" t="s">
        <v>323</v>
      </c>
      <c r="E1186" s="3" t="s">
        <v>2</v>
      </c>
      <c r="F1186" s="4">
        <v>104.5</v>
      </c>
      <c r="G1186" s="4">
        <v>23000</v>
      </c>
      <c r="H1186" s="5">
        <v>2403500</v>
      </c>
      <c r="I1186" s="4"/>
      <c r="J1186" s="4"/>
      <c r="K1186" s="4">
        <v>0</v>
      </c>
      <c r="L1186" s="4">
        <v>2403500</v>
      </c>
      <c r="O1186" s="34">
        <v>46201</v>
      </c>
      <c r="P1186" s="10" t="s">
        <v>239</v>
      </c>
      <c r="Q1186" s="11">
        <v>1000000</v>
      </c>
      <c r="R1186" s="11"/>
      <c r="S1186" s="11"/>
      <c r="T1186" s="12">
        <v>1000000</v>
      </c>
      <c r="U1186" s="10"/>
      <c r="V1186" s="10" t="s">
        <v>275</v>
      </c>
    </row>
    <row r="1187" spans="2:22" x14ac:dyDescent="0.25">
      <c r="B1187" s="8">
        <v>46191</v>
      </c>
      <c r="C1187" s="9" t="s">
        <v>185</v>
      </c>
      <c r="D1187" s="10" t="s">
        <v>1</v>
      </c>
      <c r="E1187" s="10" t="s">
        <v>2</v>
      </c>
      <c r="F1187" s="11">
        <v>233.1</v>
      </c>
      <c r="G1187" s="11">
        <v>24500</v>
      </c>
      <c r="H1187" s="12">
        <v>5710950</v>
      </c>
      <c r="I1187" s="11"/>
      <c r="J1187" s="11"/>
      <c r="K1187" s="11">
        <v>0</v>
      </c>
      <c r="L1187" s="11">
        <v>5710950</v>
      </c>
      <c r="O1187" s="33">
        <v>46201</v>
      </c>
      <c r="P1187" s="3" t="s">
        <v>65</v>
      </c>
      <c r="Q1187" s="4">
        <v>10000000</v>
      </c>
      <c r="R1187" s="4"/>
      <c r="S1187" s="4"/>
      <c r="T1187" s="5">
        <v>10000000</v>
      </c>
      <c r="U1187" s="3"/>
      <c r="V1187" s="3" t="s">
        <v>279</v>
      </c>
    </row>
    <row r="1188" spans="2:22" x14ac:dyDescent="0.25">
      <c r="B1188" s="1">
        <v>46191</v>
      </c>
      <c r="C1188" s="2" t="s">
        <v>185</v>
      </c>
      <c r="D1188" s="3" t="s">
        <v>10</v>
      </c>
      <c r="E1188" s="3" t="s">
        <v>2</v>
      </c>
      <c r="F1188" s="4">
        <v>243.5</v>
      </c>
      <c r="G1188" s="4">
        <v>16000</v>
      </c>
      <c r="H1188" s="5">
        <v>3896000</v>
      </c>
      <c r="I1188" s="4"/>
      <c r="J1188" s="4"/>
      <c r="K1188" s="4">
        <v>0</v>
      </c>
      <c r="L1188" s="4">
        <v>3896000</v>
      </c>
      <c r="O1188" s="34">
        <v>46201</v>
      </c>
      <c r="P1188" s="10" t="s">
        <v>289</v>
      </c>
      <c r="Q1188" s="11">
        <v>1385000</v>
      </c>
      <c r="R1188" s="11"/>
      <c r="S1188" s="11"/>
      <c r="T1188" s="12">
        <v>1385000</v>
      </c>
      <c r="U1188" s="10"/>
      <c r="V1188" s="10"/>
    </row>
    <row r="1189" spans="2:22" x14ac:dyDescent="0.25">
      <c r="B1189" s="8">
        <v>46191</v>
      </c>
      <c r="C1189" s="9" t="s">
        <v>39</v>
      </c>
      <c r="D1189" s="10" t="s">
        <v>16</v>
      </c>
      <c r="E1189" s="10" t="s">
        <v>2</v>
      </c>
      <c r="F1189" s="11">
        <v>353.9</v>
      </c>
      <c r="G1189" s="11">
        <v>27000</v>
      </c>
      <c r="H1189" s="12">
        <v>9555300</v>
      </c>
      <c r="I1189" s="11"/>
      <c r="J1189" s="11"/>
      <c r="K1189" s="11">
        <v>0</v>
      </c>
      <c r="L1189" s="11">
        <v>9555300</v>
      </c>
      <c r="O1189" s="33">
        <v>46201</v>
      </c>
      <c r="P1189" s="3" t="s">
        <v>181</v>
      </c>
      <c r="Q1189" s="4">
        <v>1610000</v>
      </c>
      <c r="R1189" s="4"/>
      <c r="S1189" s="4"/>
      <c r="T1189" s="5">
        <v>1610000</v>
      </c>
      <c r="U1189" s="3"/>
      <c r="V1189" s="3" t="s">
        <v>279</v>
      </c>
    </row>
    <row r="1190" spans="2:22" x14ac:dyDescent="0.25">
      <c r="B1190" s="1">
        <v>46191</v>
      </c>
      <c r="C1190" s="2" t="s">
        <v>53</v>
      </c>
      <c r="D1190" s="3" t="s">
        <v>334</v>
      </c>
      <c r="E1190" s="3" t="s">
        <v>2</v>
      </c>
      <c r="F1190" s="4">
        <v>1106.7</v>
      </c>
      <c r="G1190" s="4">
        <v>23500</v>
      </c>
      <c r="H1190" s="5">
        <v>26007450</v>
      </c>
      <c r="I1190" s="4" t="s">
        <v>350</v>
      </c>
      <c r="J1190" s="4"/>
      <c r="K1190" s="4">
        <v>0</v>
      </c>
      <c r="L1190" s="4">
        <v>26007450</v>
      </c>
      <c r="O1190" s="34">
        <v>46202</v>
      </c>
      <c r="P1190" s="10" t="s">
        <v>34</v>
      </c>
      <c r="Q1190" s="11">
        <v>6720740</v>
      </c>
      <c r="R1190" s="11"/>
      <c r="S1190" s="11"/>
      <c r="T1190" s="12">
        <v>6720740</v>
      </c>
      <c r="U1190" s="10"/>
      <c r="V1190" s="10" t="s">
        <v>279</v>
      </c>
    </row>
    <row r="1191" spans="2:22" x14ac:dyDescent="0.25">
      <c r="B1191" s="8">
        <v>46192</v>
      </c>
      <c r="C1191" s="9" t="s">
        <v>48</v>
      </c>
      <c r="D1191" s="10" t="s">
        <v>8</v>
      </c>
      <c r="E1191" s="10" t="s">
        <v>2</v>
      </c>
      <c r="F1191" s="11">
        <v>374.1</v>
      </c>
      <c r="G1191" s="11">
        <v>25000</v>
      </c>
      <c r="H1191" s="12">
        <v>9352500</v>
      </c>
      <c r="I1191" s="11"/>
      <c r="J1191" s="11"/>
      <c r="K1191" s="11">
        <v>0</v>
      </c>
      <c r="L1191" s="11">
        <v>9352500</v>
      </c>
      <c r="O1191" s="33">
        <v>46202</v>
      </c>
      <c r="P1191" s="3" t="s">
        <v>55</v>
      </c>
      <c r="Q1191" s="4">
        <v>500000</v>
      </c>
      <c r="R1191" s="4"/>
      <c r="S1191" s="4"/>
      <c r="T1191" s="5">
        <v>500000</v>
      </c>
      <c r="U1191" s="3"/>
      <c r="V1191" s="3" t="s">
        <v>275</v>
      </c>
    </row>
    <row r="1192" spans="2:22" x14ac:dyDescent="0.25">
      <c r="B1192" s="1">
        <v>46192</v>
      </c>
      <c r="C1192" s="2" t="s">
        <v>217</v>
      </c>
      <c r="D1192" s="3" t="s">
        <v>323</v>
      </c>
      <c r="E1192" s="3" t="s">
        <v>2</v>
      </c>
      <c r="F1192" s="4">
        <v>95.6</v>
      </c>
      <c r="G1192" s="4">
        <v>22000</v>
      </c>
      <c r="H1192" s="5">
        <v>2103200</v>
      </c>
      <c r="I1192" s="4"/>
      <c r="J1192" s="4"/>
      <c r="K1192" s="4">
        <v>0</v>
      </c>
      <c r="L1192" s="4">
        <v>2103200</v>
      </c>
      <c r="O1192" s="30">
        <v>46202</v>
      </c>
      <c r="P1192" s="31" t="s">
        <v>55</v>
      </c>
      <c r="Q1192" s="13">
        <v>800000</v>
      </c>
      <c r="R1192" s="13"/>
      <c r="S1192" s="13"/>
      <c r="T1192" s="32">
        <v>800000</v>
      </c>
      <c r="U1192" s="31"/>
      <c r="V1192" s="31"/>
    </row>
    <row r="1193" spans="2:22" x14ac:dyDescent="0.25">
      <c r="B1193" s="8">
        <v>46192</v>
      </c>
      <c r="C1193" s="9" t="s">
        <v>351</v>
      </c>
      <c r="D1193" s="10" t="s">
        <v>323</v>
      </c>
      <c r="E1193" s="10" t="s">
        <v>2</v>
      </c>
      <c r="F1193" s="11">
        <v>100.5</v>
      </c>
      <c r="G1193" s="11">
        <v>23000</v>
      </c>
      <c r="H1193" s="12">
        <v>2311500</v>
      </c>
      <c r="I1193" s="11"/>
      <c r="J1193" s="11"/>
      <c r="K1193" s="11">
        <v>0</v>
      </c>
      <c r="L1193" s="11">
        <v>2311500</v>
      </c>
      <c r="O1193" s="33">
        <v>46202</v>
      </c>
      <c r="P1193" s="3" t="s">
        <v>17</v>
      </c>
      <c r="Q1193" s="4">
        <v>1227500</v>
      </c>
      <c r="R1193" s="4"/>
      <c r="S1193" s="4"/>
      <c r="T1193" s="5">
        <v>1227500</v>
      </c>
      <c r="U1193" s="3"/>
      <c r="V1193" s="3" t="s">
        <v>279</v>
      </c>
    </row>
    <row r="1194" spans="2:22" x14ac:dyDescent="0.25">
      <c r="B1194" s="1">
        <v>46192</v>
      </c>
      <c r="C1194" s="2" t="s">
        <v>88</v>
      </c>
      <c r="D1194" s="3" t="s">
        <v>323</v>
      </c>
      <c r="E1194" s="3" t="s">
        <v>2</v>
      </c>
      <c r="F1194" s="4">
        <v>98.9</v>
      </c>
      <c r="G1194" s="4">
        <v>23000</v>
      </c>
      <c r="H1194" s="5">
        <v>2274700</v>
      </c>
      <c r="I1194" s="4"/>
      <c r="J1194" s="4"/>
      <c r="K1194" s="4">
        <v>0</v>
      </c>
      <c r="L1194" s="4">
        <v>2274700</v>
      </c>
      <c r="O1194" s="34">
        <v>46202</v>
      </c>
      <c r="P1194" s="10" t="s">
        <v>17</v>
      </c>
      <c r="Q1194" s="11">
        <v>2327300</v>
      </c>
      <c r="R1194" s="11"/>
      <c r="S1194" s="11"/>
      <c r="T1194" s="12">
        <v>2327300</v>
      </c>
      <c r="U1194" s="10"/>
      <c r="V1194" s="10" t="s">
        <v>279</v>
      </c>
    </row>
    <row r="1195" spans="2:22" x14ac:dyDescent="0.25">
      <c r="B1195" s="8">
        <v>46192</v>
      </c>
      <c r="C1195" s="9" t="s">
        <v>88</v>
      </c>
      <c r="D1195" s="10" t="s">
        <v>10</v>
      </c>
      <c r="E1195" s="10" t="s">
        <v>2</v>
      </c>
      <c r="F1195" s="11">
        <v>45.1</v>
      </c>
      <c r="G1195" s="11">
        <v>16000</v>
      </c>
      <c r="H1195" s="12">
        <v>721600</v>
      </c>
      <c r="I1195" s="11"/>
      <c r="J1195" s="11"/>
      <c r="K1195" s="11">
        <v>0</v>
      </c>
      <c r="L1195" s="11">
        <v>721600</v>
      </c>
      <c r="O1195" s="33">
        <v>46202</v>
      </c>
      <c r="P1195" s="3" t="s">
        <v>362</v>
      </c>
      <c r="Q1195" s="4">
        <v>1476100</v>
      </c>
      <c r="R1195" s="4"/>
      <c r="S1195" s="4"/>
      <c r="T1195" s="5">
        <v>1476100</v>
      </c>
      <c r="U1195" s="3"/>
      <c r="V1195" s="3"/>
    </row>
    <row r="1196" spans="2:22" x14ac:dyDescent="0.25">
      <c r="B1196" s="1">
        <v>46192</v>
      </c>
      <c r="C1196" s="2" t="s">
        <v>99</v>
      </c>
      <c r="D1196" s="3" t="s">
        <v>10</v>
      </c>
      <c r="E1196" s="3" t="s">
        <v>2</v>
      </c>
      <c r="F1196" s="4">
        <v>48.7</v>
      </c>
      <c r="G1196" s="4">
        <v>16000</v>
      </c>
      <c r="H1196" s="5">
        <v>779200</v>
      </c>
      <c r="I1196" s="4"/>
      <c r="J1196" s="4"/>
      <c r="K1196" s="4">
        <v>0</v>
      </c>
      <c r="L1196" s="4">
        <v>779200</v>
      </c>
      <c r="O1196" s="34">
        <v>46202</v>
      </c>
      <c r="P1196" s="10" t="s">
        <v>96</v>
      </c>
      <c r="Q1196" s="11">
        <v>500000</v>
      </c>
      <c r="R1196" s="11"/>
      <c r="S1196" s="11"/>
      <c r="T1196" s="12">
        <v>500000</v>
      </c>
      <c r="U1196" s="10"/>
      <c r="V1196" s="10"/>
    </row>
    <row r="1197" spans="2:22" x14ac:dyDescent="0.25">
      <c r="B1197" s="8">
        <v>46192</v>
      </c>
      <c r="C1197" s="9" t="s">
        <v>99</v>
      </c>
      <c r="D1197" s="10" t="s">
        <v>323</v>
      </c>
      <c r="E1197" s="10" t="s">
        <v>2</v>
      </c>
      <c r="F1197" s="11">
        <v>50.4</v>
      </c>
      <c r="G1197" s="11">
        <v>23000</v>
      </c>
      <c r="H1197" s="12">
        <v>1159200</v>
      </c>
      <c r="I1197" s="11"/>
      <c r="J1197" s="11"/>
      <c r="K1197" s="11">
        <v>0</v>
      </c>
      <c r="L1197" s="11">
        <v>1159200</v>
      </c>
      <c r="O1197" s="33">
        <v>46202</v>
      </c>
      <c r="P1197" s="3" t="s">
        <v>218</v>
      </c>
      <c r="Q1197" s="4">
        <v>2407200</v>
      </c>
      <c r="R1197" s="4"/>
      <c r="S1197" s="4"/>
      <c r="T1197" s="5">
        <v>2407200</v>
      </c>
      <c r="U1197" s="3"/>
      <c r="V1197" s="3"/>
    </row>
    <row r="1198" spans="2:22" x14ac:dyDescent="0.25">
      <c r="B1198" s="1">
        <v>46192</v>
      </c>
      <c r="C1198" s="2" t="s">
        <v>126</v>
      </c>
      <c r="D1198" s="3" t="s">
        <v>25</v>
      </c>
      <c r="E1198" s="3" t="s">
        <v>2</v>
      </c>
      <c r="F1198" s="4">
        <v>103.6</v>
      </c>
      <c r="G1198" s="4">
        <v>28000</v>
      </c>
      <c r="H1198" s="5">
        <v>2900800</v>
      </c>
      <c r="I1198" s="4"/>
      <c r="J1198" s="4"/>
      <c r="K1198" s="4">
        <v>0</v>
      </c>
      <c r="L1198" s="4">
        <v>2900800</v>
      </c>
      <c r="O1198" s="34">
        <v>46202</v>
      </c>
      <c r="P1198" s="10" t="s">
        <v>110</v>
      </c>
      <c r="Q1198" s="11">
        <v>800000</v>
      </c>
      <c r="R1198" s="11">
        <v>100</v>
      </c>
      <c r="S1198" s="11">
        <v>12000</v>
      </c>
      <c r="T1198" s="12">
        <v>2000000</v>
      </c>
      <c r="U1198" s="10"/>
      <c r="V1198" s="10"/>
    </row>
    <row r="1199" spans="2:22" x14ac:dyDescent="0.25">
      <c r="B1199" s="8">
        <v>46192</v>
      </c>
      <c r="C1199" s="9" t="s">
        <v>7</v>
      </c>
      <c r="D1199" s="10" t="s">
        <v>8</v>
      </c>
      <c r="E1199" s="10" t="s">
        <v>2</v>
      </c>
      <c r="F1199" s="11">
        <v>-526.4</v>
      </c>
      <c r="G1199" s="11">
        <v>25000</v>
      </c>
      <c r="H1199" s="12">
        <v>-13160000</v>
      </c>
      <c r="I1199" s="11"/>
      <c r="J1199" s="11">
        <v>22000</v>
      </c>
      <c r="K1199" s="11">
        <v>-11580800</v>
      </c>
      <c r="L1199" s="11">
        <v>-1579200</v>
      </c>
      <c r="O1199" s="33">
        <v>46202</v>
      </c>
      <c r="P1199" s="3" t="s">
        <v>106</v>
      </c>
      <c r="Q1199" s="4">
        <v>87000</v>
      </c>
      <c r="R1199" s="4">
        <v>200</v>
      </c>
      <c r="S1199" s="4">
        <v>12000</v>
      </c>
      <c r="T1199" s="5">
        <v>2487000</v>
      </c>
      <c r="U1199" s="3"/>
      <c r="V1199" s="3"/>
    </row>
    <row r="1200" spans="2:22" x14ac:dyDescent="0.25">
      <c r="B1200" s="1">
        <v>46192</v>
      </c>
      <c r="C1200" s="2" t="s">
        <v>131</v>
      </c>
      <c r="D1200" s="3" t="s">
        <v>16</v>
      </c>
      <c r="E1200" s="3" t="s">
        <v>2</v>
      </c>
      <c r="F1200" s="4">
        <v>556.4</v>
      </c>
      <c r="G1200" s="4">
        <v>25000</v>
      </c>
      <c r="H1200" s="5">
        <v>13910000</v>
      </c>
      <c r="I1200" s="4"/>
      <c r="J1200" s="4">
        <v>24500</v>
      </c>
      <c r="K1200" s="4">
        <v>13631800</v>
      </c>
      <c r="L1200" s="4">
        <v>278200</v>
      </c>
      <c r="O1200" s="34">
        <v>46202</v>
      </c>
      <c r="P1200" s="10" t="s">
        <v>141</v>
      </c>
      <c r="Q1200" s="11">
        <v>352400</v>
      </c>
      <c r="R1200" s="11">
        <v>200</v>
      </c>
      <c r="S1200" s="11">
        <v>12050</v>
      </c>
      <c r="T1200" s="12">
        <v>2762400</v>
      </c>
      <c r="U1200" s="10"/>
      <c r="V1200" s="10"/>
    </row>
    <row r="1201" spans="2:22" x14ac:dyDescent="0.25">
      <c r="B1201" s="8">
        <v>46193</v>
      </c>
      <c r="C1201" s="9" t="s">
        <v>150</v>
      </c>
      <c r="D1201" s="10" t="s">
        <v>10</v>
      </c>
      <c r="E1201" s="10" t="s">
        <v>2</v>
      </c>
      <c r="F1201" s="11">
        <v>49.2</v>
      </c>
      <c r="G1201" s="11">
        <v>16000</v>
      </c>
      <c r="H1201" s="12">
        <v>787200</v>
      </c>
      <c r="I1201" s="11"/>
      <c r="J1201" s="11"/>
      <c r="K1201" s="11">
        <v>0</v>
      </c>
      <c r="L1201" s="11">
        <v>787200</v>
      </c>
      <c r="O1201" s="33">
        <v>46202</v>
      </c>
      <c r="P1201" s="3" t="s">
        <v>68</v>
      </c>
      <c r="Q1201" s="4">
        <v>20000000</v>
      </c>
      <c r="R1201" s="4"/>
      <c r="S1201" s="4"/>
      <c r="T1201" s="5">
        <v>20000000</v>
      </c>
      <c r="U1201" s="3"/>
      <c r="V1201" s="3"/>
    </row>
    <row r="1202" spans="2:22" x14ac:dyDescent="0.25">
      <c r="B1202" s="1">
        <v>46193</v>
      </c>
      <c r="C1202" s="2" t="s">
        <v>150</v>
      </c>
      <c r="D1202" s="3" t="s">
        <v>29</v>
      </c>
      <c r="E1202" s="3" t="s">
        <v>2</v>
      </c>
      <c r="F1202" s="4">
        <v>47.2</v>
      </c>
      <c r="G1202" s="4">
        <v>19000</v>
      </c>
      <c r="H1202" s="5">
        <v>896800</v>
      </c>
      <c r="I1202" s="4"/>
      <c r="J1202" s="4"/>
      <c r="K1202" s="4">
        <v>0</v>
      </c>
      <c r="L1202" s="4">
        <v>896800</v>
      </c>
      <c r="O1202" s="34">
        <v>46202</v>
      </c>
      <c r="P1202" s="10" t="s">
        <v>22</v>
      </c>
      <c r="Q1202" s="11">
        <v>1159200</v>
      </c>
      <c r="R1202" s="11"/>
      <c r="S1202" s="11"/>
      <c r="T1202" s="12">
        <v>1159200</v>
      </c>
      <c r="U1202" s="10"/>
      <c r="V1202" s="10" t="s">
        <v>275</v>
      </c>
    </row>
    <row r="1203" spans="2:22" x14ac:dyDescent="0.25">
      <c r="B1203" s="8">
        <v>46193</v>
      </c>
      <c r="C1203" s="9" t="s">
        <v>33</v>
      </c>
      <c r="D1203" s="10" t="s">
        <v>10</v>
      </c>
      <c r="E1203" s="10" t="s">
        <v>2</v>
      </c>
      <c r="F1203" s="11">
        <v>179.9</v>
      </c>
      <c r="G1203" s="11">
        <v>15500</v>
      </c>
      <c r="H1203" s="12">
        <v>2788450</v>
      </c>
      <c r="I1203" s="11"/>
      <c r="J1203" s="11"/>
      <c r="K1203" s="11">
        <v>0</v>
      </c>
      <c r="L1203" s="11">
        <v>2788450</v>
      </c>
      <c r="O1203" s="33">
        <v>46202</v>
      </c>
      <c r="P1203" s="3" t="s">
        <v>173</v>
      </c>
      <c r="Q1203" s="4">
        <v>500000</v>
      </c>
      <c r="R1203" s="4"/>
      <c r="S1203" s="4"/>
      <c r="T1203" s="5">
        <v>500000</v>
      </c>
      <c r="U1203" s="3"/>
      <c r="V1203" s="3" t="s">
        <v>275</v>
      </c>
    </row>
    <row r="1204" spans="2:22" x14ac:dyDescent="0.25">
      <c r="B1204" s="1">
        <v>46193</v>
      </c>
      <c r="C1204" s="2" t="s">
        <v>33</v>
      </c>
      <c r="D1204" s="3" t="s">
        <v>16</v>
      </c>
      <c r="E1204" s="3" t="s">
        <v>2</v>
      </c>
      <c r="F1204" s="4">
        <v>161.4</v>
      </c>
      <c r="G1204" s="4">
        <v>23000</v>
      </c>
      <c r="H1204" s="5">
        <v>3712200</v>
      </c>
      <c r="I1204" s="4"/>
      <c r="J1204" s="4"/>
      <c r="K1204" s="4">
        <v>0</v>
      </c>
      <c r="L1204" s="4">
        <v>3712200</v>
      </c>
      <c r="O1204" s="30">
        <v>46202</v>
      </c>
      <c r="P1204" s="31" t="s">
        <v>33</v>
      </c>
      <c r="Q1204" s="13">
        <v>50000000</v>
      </c>
      <c r="R1204" s="13"/>
      <c r="S1204" s="13"/>
      <c r="T1204" s="32">
        <v>50000000</v>
      </c>
      <c r="U1204" s="31"/>
      <c r="V1204" s="31" t="s">
        <v>279</v>
      </c>
    </row>
    <row r="1205" spans="2:22" x14ac:dyDescent="0.25">
      <c r="B1205" s="8">
        <v>46193</v>
      </c>
      <c r="C1205" s="9" t="s">
        <v>352</v>
      </c>
      <c r="D1205" s="10" t="s">
        <v>16</v>
      </c>
      <c r="E1205" s="10" t="s">
        <v>2</v>
      </c>
      <c r="F1205" s="11">
        <v>48</v>
      </c>
      <c r="G1205" s="11">
        <v>23000</v>
      </c>
      <c r="H1205" s="12">
        <v>1104000</v>
      </c>
      <c r="I1205" s="11"/>
      <c r="J1205" s="11"/>
      <c r="K1205" s="11">
        <v>0</v>
      </c>
      <c r="L1205" s="11">
        <v>1104000</v>
      </c>
      <c r="O1205" s="33">
        <v>46202</v>
      </c>
      <c r="P1205" s="3" t="s">
        <v>326</v>
      </c>
      <c r="Q1205" s="4">
        <v>207000</v>
      </c>
      <c r="R1205" s="4"/>
      <c r="S1205" s="4"/>
      <c r="T1205" s="5">
        <v>207000</v>
      </c>
      <c r="U1205" s="3"/>
      <c r="V1205" s="3"/>
    </row>
    <row r="1206" spans="2:22" x14ac:dyDescent="0.25">
      <c r="B1206" s="1">
        <v>46193</v>
      </c>
      <c r="C1206" s="2" t="s">
        <v>352</v>
      </c>
      <c r="D1206" s="3" t="s">
        <v>10</v>
      </c>
      <c r="E1206" s="3" t="s">
        <v>2</v>
      </c>
      <c r="F1206" s="4">
        <v>50.6</v>
      </c>
      <c r="G1206" s="4">
        <v>16000</v>
      </c>
      <c r="H1206" s="5">
        <v>809600</v>
      </c>
      <c r="I1206" s="4"/>
      <c r="J1206" s="4"/>
      <c r="K1206" s="4">
        <v>0</v>
      </c>
      <c r="L1206" s="4">
        <v>809600</v>
      </c>
      <c r="O1206" s="34">
        <v>46203</v>
      </c>
      <c r="P1206" s="10" t="s">
        <v>235</v>
      </c>
      <c r="Q1206" s="11">
        <v>1055700</v>
      </c>
      <c r="R1206" s="11"/>
      <c r="S1206" s="11"/>
      <c r="T1206" s="12">
        <v>1055700</v>
      </c>
      <c r="U1206" s="10"/>
      <c r="V1206" s="10"/>
    </row>
    <row r="1207" spans="2:22" x14ac:dyDescent="0.25">
      <c r="B1207" s="8">
        <v>46193</v>
      </c>
      <c r="C1207" s="9" t="s">
        <v>15</v>
      </c>
      <c r="D1207" s="10" t="s">
        <v>25</v>
      </c>
      <c r="E1207" s="10" t="s">
        <v>2</v>
      </c>
      <c r="F1207" s="11">
        <v>218.7</v>
      </c>
      <c r="G1207" s="11">
        <v>27000</v>
      </c>
      <c r="H1207" s="12">
        <v>5904900</v>
      </c>
      <c r="I1207" s="11"/>
      <c r="J1207" s="11"/>
      <c r="K1207" s="11">
        <v>0</v>
      </c>
      <c r="L1207" s="11">
        <v>5904900</v>
      </c>
      <c r="O1207" s="33">
        <v>46203</v>
      </c>
      <c r="P1207" s="3" t="s">
        <v>65</v>
      </c>
      <c r="Q1207" s="4">
        <v>10000000</v>
      </c>
      <c r="R1207" s="4"/>
      <c r="S1207" s="4"/>
      <c r="T1207" s="5">
        <v>10000000</v>
      </c>
      <c r="U1207" s="3"/>
      <c r="V1207" s="3" t="s">
        <v>279</v>
      </c>
    </row>
    <row r="1208" spans="2:22" x14ac:dyDescent="0.25">
      <c r="B1208" s="1">
        <v>46175</v>
      </c>
      <c r="C1208" s="2" t="s">
        <v>89</v>
      </c>
      <c r="D1208" s="3" t="s">
        <v>10</v>
      </c>
      <c r="E1208" s="3" t="s">
        <v>2</v>
      </c>
      <c r="F1208" s="4">
        <v>3290.9</v>
      </c>
      <c r="G1208" s="4">
        <v>14000</v>
      </c>
      <c r="H1208" s="5">
        <v>46072600</v>
      </c>
      <c r="I1208" s="4"/>
      <c r="J1208" s="4"/>
      <c r="K1208" s="4">
        <v>0</v>
      </c>
      <c r="L1208" s="4">
        <v>46072600</v>
      </c>
      <c r="O1208" s="34">
        <v>46203</v>
      </c>
      <c r="P1208" s="10" t="s">
        <v>44</v>
      </c>
      <c r="Q1208" s="11">
        <v>5275400</v>
      </c>
      <c r="R1208" s="11"/>
      <c r="S1208" s="11"/>
      <c r="T1208" s="12">
        <v>5275400</v>
      </c>
      <c r="U1208" s="10"/>
      <c r="V1208" s="10" t="s">
        <v>275</v>
      </c>
    </row>
    <row r="1209" spans="2:22" x14ac:dyDescent="0.25">
      <c r="B1209" s="8">
        <v>46194</v>
      </c>
      <c r="C1209" s="9" t="s">
        <v>110</v>
      </c>
      <c r="D1209" s="10" t="s">
        <v>323</v>
      </c>
      <c r="E1209" s="10" t="s">
        <v>2</v>
      </c>
      <c r="F1209" s="11">
        <v>144.80000000000001</v>
      </c>
      <c r="G1209" s="11">
        <v>23000</v>
      </c>
      <c r="H1209" s="12">
        <v>3330400.0000000005</v>
      </c>
      <c r="I1209" s="11"/>
      <c r="J1209" s="11"/>
      <c r="K1209" s="11">
        <v>0</v>
      </c>
      <c r="L1209" s="11">
        <v>3330400.0000000005</v>
      </c>
      <c r="O1209" s="33">
        <v>46203</v>
      </c>
      <c r="P1209" s="3" t="s">
        <v>348</v>
      </c>
      <c r="Q1209" s="4">
        <v>700000</v>
      </c>
      <c r="R1209" s="4"/>
      <c r="S1209" s="4"/>
      <c r="T1209" s="5">
        <v>700000</v>
      </c>
      <c r="U1209" s="3"/>
      <c r="V1209" s="3" t="s">
        <v>275</v>
      </c>
    </row>
    <row r="1210" spans="2:22" x14ac:dyDescent="0.25">
      <c r="B1210" s="1">
        <v>46194</v>
      </c>
      <c r="C1210" s="2" t="s">
        <v>110</v>
      </c>
      <c r="D1210" s="3" t="s">
        <v>10</v>
      </c>
      <c r="E1210" s="3" t="s">
        <v>2</v>
      </c>
      <c r="F1210" s="4">
        <v>49.5</v>
      </c>
      <c r="G1210" s="4">
        <v>16000</v>
      </c>
      <c r="H1210" s="5">
        <v>792000</v>
      </c>
      <c r="I1210" s="4"/>
      <c r="J1210" s="4"/>
      <c r="K1210" s="4">
        <v>0</v>
      </c>
      <c r="L1210" s="4">
        <v>792000</v>
      </c>
      <c r="O1210" s="30"/>
      <c r="P1210" s="31"/>
      <c r="Q1210" s="13"/>
      <c r="R1210" s="13"/>
      <c r="S1210" s="13"/>
      <c r="T1210" s="32"/>
      <c r="U1210" s="31"/>
      <c r="V1210" s="31"/>
    </row>
    <row r="1211" spans="2:22" x14ac:dyDescent="0.25">
      <c r="B1211" s="8">
        <v>46194</v>
      </c>
      <c r="C1211" s="9" t="s">
        <v>34</v>
      </c>
      <c r="D1211" s="10" t="s">
        <v>323</v>
      </c>
      <c r="E1211" s="10" t="s">
        <v>2</v>
      </c>
      <c r="F1211" s="11">
        <v>119.7</v>
      </c>
      <c r="G1211" s="11">
        <v>24000</v>
      </c>
      <c r="H1211" s="12">
        <v>2872800</v>
      </c>
      <c r="I1211" s="11"/>
      <c r="J1211" s="11"/>
      <c r="K1211" s="11">
        <v>0</v>
      </c>
      <c r="L1211" s="11">
        <v>2872800</v>
      </c>
      <c r="O1211" s="33"/>
      <c r="P1211" s="3"/>
      <c r="Q1211" s="4"/>
      <c r="R1211" s="4"/>
      <c r="S1211" s="4"/>
      <c r="T1211" s="5"/>
      <c r="U1211" s="3"/>
      <c r="V1211" s="3"/>
    </row>
    <row r="1212" spans="2:22" x14ac:dyDescent="0.25">
      <c r="B1212" s="1">
        <v>46194</v>
      </c>
      <c r="C1212" s="2" t="s">
        <v>41</v>
      </c>
      <c r="D1212" s="3" t="s">
        <v>323</v>
      </c>
      <c r="E1212" s="3" t="s">
        <v>2</v>
      </c>
      <c r="F1212" s="4">
        <v>51.7</v>
      </c>
      <c r="G1212" s="4">
        <v>23000</v>
      </c>
      <c r="H1212" s="5">
        <v>1189100</v>
      </c>
      <c r="I1212" s="4"/>
      <c r="J1212" s="4"/>
      <c r="K1212" s="4">
        <v>0</v>
      </c>
      <c r="L1212" s="4">
        <v>1189100</v>
      </c>
      <c r="O1212" s="34">
        <v>46204</v>
      </c>
      <c r="P1212" s="10" t="s">
        <v>239</v>
      </c>
      <c r="Q1212" s="11">
        <v>1000000</v>
      </c>
      <c r="R1212" s="11"/>
      <c r="S1212" s="11"/>
      <c r="T1212" s="12">
        <v>1000000</v>
      </c>
      <c r="U1212" s="10"/>
      <c r="V1212" s="10" t="s">
        <v>275</v>
      </c>
    </row>
    <row r="1213" spans="2:22" x14ac:dyDescent="0.25">
      <c r="B1213" s="8">
        <v>46194</v>
      </c>
      <c r="C1213" s="9" t="s">
        <v>90</v>
      </c>
      <c r="D1213" s="10" t="s">
        <v>323</v>
      </c>
      <c r="E1213" s="10" t="s">
        <v>2</v>
      </c>
      <c r="F1213" s="11">
        <v>48.6</v>
      </c>
      <c r="G1213" s="11">
        <v>23000</v>
      </c>
      <c r="H1213" s="12">
        <v>1117800</v>
      </c>
      <c r="I1213" s="11"/>
      <c r="J1213" s="11"/>
      <c r="K1213" s="11">
        <v>0</v>
      </c>
      <c r="L1213" s="11">
        <v>1117800</v>
      </c>
      <c r="O1213" s="33">
        <v>46204</v>
      </c>
      <c r="P1213" s="3" t="s">
        <v>129</v>
      </c>
      <c r="Q1213" s="4">
        <v>2798950</v>
      </c>
      <c r="R1213" s="4"/>
      <c r="S1213" s="4"/>
      <c r="T1213" s="5">
        <v>2798950</v>
      </c>
      <c r="U1213" s="3"/>
      <c r="V1213" s="3"/>
    </row>
    <row r="1214" spans="2:22" x14ac:dyDescent="0.25">
      <c r="B1214" s="1">
        <v>46194</v>
      </c>
      <c r="C1214" s="2" t="s">
        <v>62</v>
      </c>
      <c r="D1214" s="3" t="s">
        <v>323</v>
      </c>
      <c r="E1214" s="3" t="s">
        <v>2</v>
      </c>
      <c r="F1214" s="4">
        <v>47.8</v>
      </c>
      <c r="G1214" s="4">
        <v>23000</v>
      </c>
      <c r="H1214" s="5">
        <v>1099400</v>
      </c>
      <c r="I1214" s="4"/>
      <c r="J1214" s="4"/>
      <c r="K1214" s="4">
        <v>0</v>
      </c>
      <c r="L1214" s="4">
        <v>1099400</v>
      </c>
      <c r="O1214" s="34">
        <v>46204</v>
      </c>
      <c r="P1214" s="10" t="s">
        <v>63</v>
      </c>
      <c r="Q1214" s="11">
        <v>1097100</v>
      </c>
      <c r="R1214" s="11"/>
      <c r="S1214" s="11"/>
      <c r="T1214" s="12">
        <v>1097100</v>
      </c>
      <c r="U1214" s="10"/>
      <c r="V1214" s="10"/>
    </row>
    <row r="1215" spans="2:22" x14ac:dyDescent="0.25">
      <c r="B1215" s="8">
        <v>46195</v>
      </c>
      <c r="C1215" s="9" t="s">
        <v>217</v>
      </c>
      <c r="D1215" s="10" t="s">
        <v>10</v>
      </c>
      <c r="E1215" s="10" t="s">
        <v>2</v>
      </c>
      <c r="F1215" s="11">
        <v>51.6</v>
      </c>
      <c r="G1215" s="11">
        <v>16000</v>
      </c>
      <c r="H1215" s="12">
        <v>825600</v>
      </c>
      <c r="I1215" s="11"/>
      <c r="J1215" s="11"/>
      <c r="K1215" s="11">
        <v>0</v>
      </c>
      <c r="L1215" s="11">
        <v>825600</v>
      </c>
      <c r="O1215" s="33">
        <v>46204</v>
      </c>
      <c r="P1215" s="3" t="s">
        <v>156</v>
      </c>
      <c r="Q1215" s="4">
        <v>1747400</v>
      </c>
      <c r="R1215" s="4"/>
      <c r="S1215" s="4"/>
      <c r="T1215" s="5">
        <v>1747400</v>
      </c>
      <c r="U1215" s="3"/>
      <c r="V1215" s="3"/>
    </row>
    <row r="1216" spans="2:22" x14ac:dyDescent="0.25">
      <c r="B1216" s="1">
        <v>46195</v>
      </c>
      <c r="C1216" s="2" t="s">
        <v>5</v>
      </c>
      <c r="D1216" s="3" t="s">
        <v>323</v>
      </c>
      <c r="E1216" s="3" t="s">
        <v>2</v>
      </c>
      <c r="F1216" s="4">
        <v>98.5</v>
      </c>
      <c r="G1216" s="4">
        <v>23000</v>
      </c>
      <c r="H1216" s="5">
        <v>2265500</v>
      </c>
      <c r="I1216" s="4"/>
      <c r="J1216" s="4"/>
      <c r="K1216" s="4">
        <v>0</v>
      </c>
      <c r="L1216" s="4">
        <v>2265500</v>
      </c>
      <c r="O1216" s="34">
        <v>46204</v>
      </c>
      <c r="P1216" s="10" t="s">
        <v>195</v>
      </c>
      <c r="Q1216" s="11">
        <v>2173500</v>
      </c>
      <c r="R1216" s="11"/>
      <c r="S1216" s="11"/>
      <c r="T1216" s="12">
        <v>2173500</v>
      </c>
      <c r="U1216" s="10"/>
      <c r="V1216" s="10"/>
    </row>
    <row r="1217" spans="2:22" x14ac:dyDescent="0.25">
      <c r="B1217" s="8">
        <v>46195</v>
      </c>
      <c r="C1217" s="9" t="s">
        <v>55</v>
      </c>
      <c r="D1217" s="10" t="s">
        <v>10</v>
      </c>
      <c r="E1217" s="10" t="s">
        <v>2</v>
      </c>
      <c r="F1217" s="11">
        <v>49.4</v>
      </c>
      <c r="G1217" s="11">
        <v>16000</v>
      </c>
      <c r="H1217" s="12">
        <v>790400</v>
      </c>
      <c r="I1217" s="11"/>
      <c r="J1217" s="11"/>
      <c r="K1217" s="11">
        <v>0</v>
      </c>
      <c r="L1217" s="11">
        <v>790400</v>
      </c>
      <c r="O1217" s="33">
        <v>46204</v>
      </c>
      <c r="P1217" s="3" t="s">
        <v>48</v>
      </c>
      <c r="Q1217" s="4">
        <v>10000000</v>
      </c>
      <c r="R1217" s="4"/>
      <c r="S1217" s="4"/>
      <c r="T1217" s="5">
        <v>10000000</v>
      </c>
      <c r="U1217" s="3"/>
      <c r="V1217" s="3"/>
    </row>
    <row r="1218" spans="2:22" x14ac:dyDescent="0.25">
      <c r="B1218" s="1">
        <v>46195</v>
      </c>
      <c r="C1218" s="2" t="s">
        <v>55</v>
      </c>
      <c r="D1218" s="3" t="s">
        <v>323</v>
      </c>
      <c r="E1218" s="3" t="s">
        <v>2</v>
      </c>
      <c r="F1218" s="4">
        <v>46.2</v>
      </c>
      <c r="G1218" s="4">
        <v>23000</v>
      </c>
      <c r="H1218" s="5">
        <v>1062600</v>
      </c>
      <c r="I1218" s="4"/>
      <c r="J1218" s="4"/>
      <c r="K1218" s="4">
        <v>0</v>
      </c>
      <c r="L1218" s="4">
        <v>1062600</v>
      </c>
      <c r="O1218" s="34">
        <v>46204</v>
      </c>
      <c r="P1218" s="10" t="s">
        <v>359</v>
      </c>
      <c r="Q1218" s="11"/>
      <c r="R1218" s="11">
        <v>100</v>
      </c>
      <c r="S1218" s="11">
        <v>12000</v>
      </c>
      <c r="T1218" s="12">
        <v>1200000</v>
      </c>
      <c r="U1218" s="10"/>
      <c r="V1218" s="10"/>
    </row>
    <row r="1219" spans="2:22" x14ac:dyDescent="0.25">
      <c r="B1219" s="8">
        <v>46195</v>
      </c>
      <c r="C1219" s="9" t="s">
        <v>353</v>
      </c>
      <c r="D1219" s="10" t="s">
        <v>323</v>
      </c>
      <c r="E1219" s="10" t="s">
        <v>2</v>
      </c>
      <c r="F1219" s="11">
        <v>54.9</v>
      </c>
      <c r="G1219" s="11">
        <v>22500</v>
      </c>
      <c r="H1219" s="12">
        <v>1235250</v>
      </c>
      <c r="I1219" s="11"/>
      <c r="J1219" s="13"/>
      <c r="K1219" s="11">
        <v>0</v>
      </c>
      <c r="L1219" s="11">
        <v>1235250</v>
      </c>
      <c r="O1219" s="33">
        <v>46204</v>
      </c>
      <c r="P1219" s="3" t="s">
        <v>39</v>
      </c>
      <c r="Q1219" s="4">
        <v>6012000</v>
      </c>
      <c r="R1219" s="4"/>
      <c r="S1219" s="4"/>
      <c r="T1219" s="5">
        <v>6012000</v>
      </c>
      <c r="U1219" s="3"/>
      <c r="V1219" s="3"/>
    </row>
    <row r="1220" spans="2:22" x14ac:dyDescent="0.25">
      <c r="B1220" s="1">
        <v>46195</v>
      </c>
      <c r="C1220" s="2" t="s">
        <v>354</v>
      </c>
      <c r="D1220" s="3" t="s">
        <v>10</v>
      </c>
      <c r="E1220" s="3" t="s">
        <v>2</v>
      </c>
      <c r="F1220" s="4">
        <v>50.8</v>
      </c>
      <c r="G1220" s="4">
        <v>16000</v>
      </c>
      <c r="H1220" s="5">
        <v>812800</v>
      </c>
      <c r="I1220" s="4"/>
      <c r="J1220" s="6"/>
      <c r="K1220" s="4">
        <v>0</v>
      </c>
      <c r="L1220" s="4">
        <v>812800</v>
      </c>
      <c r="O1220" s="34">
        <v>46204</v>
      </c>
      <c r="P1220" s="10" t="s">
        <v>261</v>
      </c>
      <c r="Q1220" s="11">
        <v>100000</v>
      </c>
      <c r="R1220" s="11"/>
      <c r="S1220" s="11"/>
      <c r="T1220" s="12">
        <v>100000</v>
      </c>
      <c r="U1220" s="10"/>
      <c r="V1220" s="10" t="s">
        <v>275</v>
      </c>
    </row>
    <row r="1221" spans="2:22" x14ac:dyDescent="0.25">
      <c r="B1221" s="8">
        <v>46195</v>
      </c>
      <c r="C1221" s="9" t="s">
        <v>355</v>
      </c>
      <c r="D1221" s="10" t="s">
        <v>8</v>
      </c>
      <c r="E1221" s="10" t="s">
        <v>2</v>
      </c>
      <c r="F1221" s="11">
        <v>18</v>
      </c>
      <c r="G1221" s="11">
        <v>24000</v>
      </c>
      <c r="H1221" s="12">
        <v>432000</v>
      </c>
      <c r="I1221" s="11"/>
      <c r="J1221" s="13"/>
      <c r="K1221" s="11">
        <v>0</v>
      </c>
      <c r="L1221" s="11">
        <v>432000</v>
      </c>
      <c r="O1221" s="33">
        <v>46206</v>
      </c>
      <c r="P1221" s="3" t="s">
        <v>51</v>
      </c>
      <c r="Q1221" s="4">
        <v>1071800</v>
      </c>
      <c r="R1221" s="4"/>
      <c r="S1221" s="4"/>
      <c r="T1221" s="5">
        <v>1071800</v>
      </c>
      <c r="U1221" s="3"/>
      <c r="V1221" s="3" t="s">
        <v>275</v>
      </c>
    </row>
    <row r="1222" spans="2:22" x14ac:dyDescent="0.25">
      <c r="B1222" s="1">
        <v>46195</v>
      </c>
      <c r="C1222" s="2" t="s">
        <v>172</v>
      </c>
      <c r="D1222" s="3" t="s">
        <v>323</v>
      </c>
      <c r="E1222" s="3" t="s">
        <v>2</v>
      </c>
      <c r="F1222" s="4">
        <v>439.5</v>
      </c>
      <c r="G1222" s="4">
        <v>23000</v>
      </c>
      <c r="H1222" s="5">
        <v>10108500</v>
      </c>
      <c r="I1222" s="4"/>
      <c r="J1222" s="4"/>
      <c r="K1222" s="4">
        <v>0</v>
      </c>
      <c r="L1222" s="4">
        <v>10108500</v>
      </c>
      <c r="O1222" s="34">
        <v>46206</v>
      </c>
      <c r="P1222" s="10" t="s">
        <v>32</v>
      </c>
      <c r="Q1222" s="11">
        <v>1000000</v>
      </c>
      <c r="R1222" s="11"/>
      <c r="S1222" s="11"/>
      <c r="T1222" s="12">
        <v>1000000</v>
      </c>
      <c r="U1222" s="10"/>
      <c r="V1222" s="10" t="s">
        <v>275</v>
      </c>
    </row>
    <row r="1223" spans="2:22" x14ac:dyDescent="0.25">
      <c r="B1223" s="8">
        <v>46195</v>
      </c>
      <c r="C1223" s="9" t="s">
        <v>12</v>
      </c>
      <c r="D1223" s="10" t="s">
        <v>16</v>
      </c>
      <c r="E1223" s="10" t="s">
        <v>2</v>
      </c>
      <c r="F1223" s="11">
        <v>1642.4</v>
      </c>
      <c r="G1223" s="11">
        <v>30000</v>
      </c>
      <c r="H1223" s="12">
        <v>49272000</v>
      </c>
      <c r="I1223" s="11" t="s">
        <v>356</v>
      </c>
      <c r="J1223" s="13">
        <v>25000</v>
      </c>
      <c r="K1223" s="11">
        <v>41060000</v>
      </c>
      <c r="L1223" s="11">
        <v>8212000</v>
      </c>
      <c r="O1223" s="33">
        <v>46206</v>
      </c>
      <c r="P1223" s="3" t="s">
        <v>341</v>
      </c>
      <c r="Q1223" s="4">
        <v>14679000</v>
      </c>
      <c r="R1223" s="4"/>
      <c r="S1223" s="4"/>
      <c r="T1223" s="5">
        <v>14679000</v>
      </c>
      <c r="U1223" s="3"/>
      <c r="V1223" s="3" t="s">
        <v>279</v>
      </c>
    </row>
    <row r="1224" spans="2:22" x14ac:dyDescent="0.25">
      <c r="B1224" s="1">
        <v>46195</v>
      </c>
      <c r="C1224" s="2" t="s">
        <v>60</v>
      </c>
      <c r="D1224" s="3" t="s">
        <v>323</v>
      </c>
      <c r="E1224" s="3" t="s">
        <v>2</v>
      </c>
      <c r="F1224" s="4">
        <v>484.5</v>
      </c>
      <c r="G1224" s="4">
        <v>23000</v>
      </c>
      <c r="H1224" s="5">
        <v>11143500</v>
      </c>
      <c r="I1224" s="4"/>
      <c r="J1224" s="4"/>
      <c r="K1224" s="4">
        <v>0</v>
      </c>
      <c r="L1224" s="4">
        <v>11143500</v>
      </c>
      <c r="O1224" s="34">
        <v>46206</v>
      </c>
      <c r="P1224" s="10" t="s">
        <v>343</v>
      </c>
      <c r="Q1224" s="11">
        <v>1182200</v>
      </c>
      <c r="R1224" s="11"/>
      <c r="S1224" s="11"/>
      <c r="T1224" s="12">
        <v>1182200</v>
      </c>
      <c r="U1224" s="10"/>
      <c r="V1224" s="10"/>
    </row>
    <row r="1225" spans="2:22" x14ac:dyDescent="0.25">
      <c r="B1225" s="8">
        <v>46196</v>
      </c>
      <c r="C1225" s="9" t="s">
        <v>236</v>
      </c>
      <c r="D1225" s="10" t="s">
        <v>323</v>
      </c>
      <c r="E1225" s="10" t="s">
        <v>2</v>
      </c>
      <c r="F1225" s="11">
        <v>90.5</v>
      </c>
      <c r="G1225" s="11">
        <v>22000</v>
      </c>
      <c r="H1225" s="12">
        <v>1991000</v>
      </c>
      <c r="I1225" s="11"/>
      <c r="J1225" s="11"/>
      <c r="K1225" s="11">
        <v>0</v>
      </c>
      <c r="L1225" s="11">
        <v>1991000</v>
      </c>
      <c r="O1225" s="33">
        <v>46206</v>
      </c>
      <c r="P1225" s="3" t="s">
        <v>0</v>
      </c>
      <c r="Q1225" s="4">
        <v>768000</v>
      </c>
      <c r="R1225" s="4"/>
      <c r="S1225" s="4"/>
      <c r="T1225" s="5">
        <v>768000</v>
      </c>
      <c r="U1225" s="3"/>
      <c r="V1225" s="3"/>
    </row>
    <row r="1226" spans="2:22" x14ac:dyDescent="0.25">
      <c r="B1226" s="1">
        <v>46196</v>
      </c>
      <c r="C1226" s="2" t="s">
        <v>108</v>
      </c>
      <c r="D1226" s="3" t="s">
        <v>323</v>
      </c>
      <c r="E1226" s="3" t="s">
        <v>2</v>
      </c>
      <c r="F1226" s="4">
        <v>63.1</v>
      </c>
      <c r="G1226" s="4">
        <v>23000</v>
      </c>
      <c r="H1226" s="5">
        <v>1451300</v>
      </c>
      <c r="I1226" s="4"/>
      <c r="J1226" s="4"/>
      <c r="K1226" s="4">
        <v>0</v>
      </c>
      <c r="L1226" s="4">
        <v>1451300</v>
      </c>
      <c r="O1226" s="34">
        <v>46206</v>
      </c>
      <c r="P1226" s="10" t="s">
        <v>99</v>
      </c>
      <c r="Q1226" s="11">
        <v>938400</v>
      </c>
      <c r="R1226" s="11"/>
      <c r="S1226" s="11"/>
      <c r="T1226" s="12">
        <v>938400</v>
      </c>
      <c r="U1226" s="10"/>
      <c r="V1226" s="10"/>
    </row>
    <row r="1227" spans="2:22" x14ac:dyDescent="0.25">
      <c r="B1227" s="8">
        <v>46196</v>
      </c>
      <c r="C1227" s="9" t="s">
        <v>63</v>
      </c>
      <c r="D1227" s="10" t="s">
        <v>323</v>
      </c>
      <c r="E1227" s="10" t="s">
        <v>2</v>
      </c>
      <c r="F1227" s="11">
        <v>46.7</v>
      </c>
      <c r="G1227" s="11">
        <v>23000</v>
      </c>
      <c r="H1227" s="12">
        <v>1074100</v>
      </c>
      <c r="I1227" s="11"/>
      <c r="J1227" s="11"/>
      <c r="K1227" s="11">
        <v>0</v>
      </c>
      <c r="L1227" s="11">
        <v>1074100</v>
      </c>
      <c r="O1227" s="33">
        <v>46206</v>
      </c>
      <c r="P1227" s="3" t="s">
        <v>233</v>
      </c>
      <c r="Q1227" s="4">
        <v>763200</v>
      </c>
      <c r="R1227" s="4"/>
      <c r="S1227" s="4"/>
      <c r="T1227" s="5">
        <v>763200</v>
      </c>
      <c r="U1227" s="3"/>
      <c r="V1227" s="3"/>
    </row>
    <row r="1228" spans="2:22" x14ac:dyDescent="0.25">
      <c r="B1228" s="1">
        <v>46197</v>
      </c>
      <c r="C1228" s="40" t="s">
        <v>138</v>
      </c>
      <c r="D1228" s="3" t="s">
        <v>8</v>
      </c>
      <c r="E1228" s="3" t="s">
        <v>2</v>
      </c>
      <c r="F1228" s="4">
        <v>170.7</v>
      </c>
      <c r="G1228" s="4">
        <v>25000</v>
      </c>
      <c r="H1228" s="5">
        <v>4267500</v>
      </c>
      <c r="I1228" s="4"/>
      <c r="J1228" s="4"/>
      <c r="K1228" s="4">
        <v>0</v>
      </c>
      <c r="L1228" s="4">
        <v>4267500</v>
      </c>
      <c r="O1228" s="34">
        <v>46206</v>
      </c>
      <c r="P1228" s="10" t="s">
        <v>17</v>
      </c>
      <c r="Q1228" s="11">
        <v>1940100</v>
      </c>
      <c r="R1228" s="11"/>
      <c r="S1228" s="11"/>
      <c r="T1228" s="12">
        <v>1940100</v>
      </c>
      <c r="U1228" s="10"/>
      <c r="V1228" s="10"/>
    </row>
    <row r="1229" spans="2:22" x14ac:dyDescent="0.25">
      <c r="B1229" s="8">
        <v>46197</v>
      </c>
      <c r="C1229" s="9" t="s">
        <v>160</v>
      </c>
      <c r="D1229" s="10" t="s">
        <v>323</v>
      </c>
      <c r="E1229" s="10" t="s">
        <v>2</v>
      </c>
      <c r="F1229" s="11">
        <v>97.9</v>
      </c>
      <c r="G1229" s="11">
        <v>23000</v>
      </c>
      <c r="H1229" s="12">
        <v>2251700</v>
      </c>
      <c r="I1229" s="11"/>
      <c r="J1229" s="13"/>
      <c r="K1229" s="11">
        <v>0</v>
      </c>
      <c r="L1229" s="11">
        <v>2251700</v>
      </c>
      <c r="O1229" s="33">
        <v>46207</v>
      </c>
      <c r="P1229" s="3" t="s">
        <v>14</v>
      </c>
      <c r="Q1229" s="4">
        <v>1149000</v>
      </c>
      <c r="R1229" s="4"/>
      <c r="S1229" s="4"/>
      <c r="T1229" s="5">
        <v>1149000</v>
      </c>
      <c r="U1229" s="3"/>
      <c r="V1229" s="3" t="s">
        <v>275</v>
      </c>
    </row>
    <row r="1230" spans="2:22" x14ac:dyDescent="0.25">
      <c r="B1230" s="1">
        <v>46197</v>
      </c>
      <c r="C1230" s="2" t="s">
        <v>157</v>
      </c>
      <c r="D1230" s="3" t="s">
        <v>323</v>
      </c>
      <c r="E1230" s="3" t="s">
        <v>2</v>
      </c>
      <c r="F1230" s="4">
        <v>95.9</v>
      </c>
      <c r="G1230" s="4">
        <v>23000</v>
      </c>
      <c r="H1230" s="5">
        <v>2205700</v>
      </c>
      <c r="I1230" s="4"/>
      <c r="J1230" s="4"/>
      <c r="K1230" s="4">
        <v>0</v>
      </c>
      <c r="L1230" s="4">
        <v>2205700</v>
      </c>
      <c r="O1230" s="34">
        <v>46207</v>
      </c>
      <c r="P1230" s="10" t="s">
        <v>221</v>
      </c>
      <c r="Q1230" s="11">
        <v>1000000</v>
      </c>
      <c r="R1230" s="11"/>
      <c r="S1230" s="11"/>
      <c r="T1230" s="12">
        <v>1000000</v>
      </c>
      <c r="U1230" s="10"/>
      <c r="V1230" s="10" t="s">
        <v>279</v>
      </c>
    </row>
    <row r="1231" spans="2:22" x14ac:dyDescent="0.25">
      <c r="B1231" s="8">
        <v>46197</v>
      </c>
      <c r="C1231" s="9" t="s">
        <v>113</v>
      </c>
      <c r="D1231" s="10" t="s">
        <v>323</v>
      </c>
      <c r="E1231" s="10" t="s">
        <v>2</v>
      </c>
      <c r="F1231" s="11">
        <v>418.8</v>
      </c>
      <c r="G1231" s="11">
        <v>25000</v>
      </c>
      <c r="H1231" s="12">
        <v>10470000</v>
      </c>
      <c r="I1231" s="11"/>
      <c r="J1231" s="11"/>
      <c r="K1231" s="11">
        <v>0</v>
      </c>
      <c r="L1231" s="11">
        <v>10470000</v>
      </c>
      <c r="O1231" s="27">
        <v>46207</v>
      </c>
      <c r="P1231" s="28" t="s">
        <v>366</v>
      </c>
      <c r="Q1231" s="6">
        <v>6129400</v>
      </c>
      <c r="R1231" s="6"/>
      <c r="S1231" s="6"/>
      <c r="T1231" s="29">
        <v>6129400</v>
      </c>
      <c r="U1231" s="28"/>
      <c r="V1231" s="28"/>
    </row>
    <row r="1232" spans="2:22" x14ac:dyDescent="0.25">
      <c r="B1232" s="1">
        <v>46197</v>
      </c>
      <c r="C1232" s="2" t="s">
        <v>181</v>
      </c>
      <c r="D1232" s="3" t="s">
        <v>323</v>
      </c>
      <c r="E1232" s="3" t="s">
        <v>2</v>
      </c>
      <c r="F1232" s="4">
        <v>96.7</v>
      </c>
      <c r="G1232" s="4">
        <v>23000</v>
      </c>
      <c r="H1232" s="5">
        <v>2224100</v>
      </c>
      <c r="I1232" s="4"/>
      <c r="J1232" s="4"/>
      <c r="K1232" s="4">
        <v>0</v>
      </c>
      <c r="L1232" s="4">
        <v>2224100</v>
      </c>
      <c r="O1232" s="30">
        <v>46207</v>
      </c>
      <c r="P1232" s="31" t="s">
        <v>244</v>
      </c>
      <c r="Q1232" s="13">
        <v>2018500</v>
      </c>
      <c r="R1232" s="13"/>
      <c r="S1232" s="13"/>
      <c r="T1232" s="32">
        <v>2018500</v>
      </c>
      <c r="U1232" s="31"/>
      <c r="V1232" s="31"/>
    </row>
    <row r="1233" spans="2:22" x14ac:dyDescent="0.25">
      <c r="B1233" s="8">
        <v>46197</v>
      </c>
      <c r="C1233" s="9" t="s">
        <v>154</v>
      </c>
      <c r="D1233" s="10" t="s">
        <v>10</v>
      </c>
      <c r="E1233" s="10" t="s">
        <v>2</v>
      </c>
      <c r="F1233" s="11">
        <v>52.1</v>
      </c>
      <c r="G1233" s="11">
        <v>16000</v>
      </c>
      <c r="H1233" s="12">
        <v>833600</v>
      </c>
      <c r="I1233" s="11"/>
      <c r="J1233" s="11"/>
      <c r="K1233" s="11">
        <v>0</v>
      </c>
      <c r="L1233" s="11">
        <v>833600</v>
      </c>
      <c r="O1233" s="33">
        <v>46207</v>
      </c>
      <c r="P1233" s="3" t="s">
        <v>338</v>
      </c>
      <c r="Q1233" s="4">
        <v>1000000</v>
      </c>
      <c r="R1233" s="4"/>
      <c r="S1233" s="4"/>
      <c r="T1233" s="5">
        <v>1000000</v>
      </c>
      <c r="U1233" s="3"/>
      <c r="V1233" s="3"/>
    </row>
    <row r="1234" spans="2:22" x14ac:dyDescent="0.25">
      <c r="B1234" s="1">
        <v>46197</v>
      </c>
      <c r="C1234" s="2" t="s">
        <v>354</v>
      </c>
      <c r="D1234" s="3" t="s">
        <v>10</v>
      </c>
      <c r="E1234" s="3" t="s">
        <v>2</v>
      </c>
      <c r="F1234" s="4">
        <v>99.8</v>
      </c>
      <c r="G1234" s="4">
        <v>16000</v>
      </c>
      <c r="H1234" s="5">
        <v>1596800</v>
      </c>
      <c r="I1234" s="4"/>
      <c r="J1234" s="4"/>
      <c r="K1234" s="4">
        <v>0</v>
      </c>
      <c r="L1234" s="4">
        <v>1596800</v>
      </c>
      <c r="O1234" s="34">
        <v>46207</v>
      </c>
      <c r="P1234" s="10" t="s">
        <v>108</v>
      </c>
      <c r="Q1234" s="11">
        <v>250000</v>
      </c>
      <c r="R1234" s="11"/>
      <c r="S1234" s="11"/>
      <c r="T1234" s="12">
        <v>250000</v>
      </c>
      <c r="U1234" s="10"/>
      <c r="V1234" s="10" t="s">
        <v>275</v>
      </c>
    </row>
    <row r="1235" spans="2:22" x14ac:dyDescent="0.25">
      <c r="B1235" s="8">
        <v>46197</v>
      </c>
      <c r="C1235" s="9" t="s">
        <v>12</v>
      </c>
      <c r="D1235" s="10" t="s">
        <v>16</v>
      </c>
      <c r="E1235" s="10" t="s">
        <v>2</v>
      </c>
      <c r="F1235" s="11">
        <v>1221.4000000000001</v>
      </c>
      <c r="G1235" s="11">
        <v>30000</v>
      </c>
      <c r="H1235" s="12">
        <v>36642000</v>
      </c>
      <c r="I1235" s="11" t="s">
        <v>356</v>
      </c>
      <c r="J1235" s="13">
        <v>25000</v>
      </c>
      <c r="K1235" s="11">
        <v>30535000.000000004</v>
      </c>
      <c r="L1235" s="11">
        <v>6106999.9999999963</v>
      </c>
      <c r="O1235" s="33">
        <v>46207</v>
      </c>
      <c r="P1235" s="3" t="s">
        <v>113</v>
      </c>
      <c r="Q1235" s="4">
        <v>312800</v>
      </c>
      <c r="R1235" s="4"/>
      <c r="S1235" s="4"/>
      <c r="T1235" s="5">
        <v>312800</v>
      </c>
      <c r="U1235" s="3"/>
      <c r="V1235" s="3" t="s">
        <v>275</v>
      </c>
    </row>
    <row r="1236" spans="2:22" x14ac:dyDescent="0.25">
      <c r="B1236" s="1">
        <v>46197</v>
      </c>
      <c r="C1236" s="2" t="s">
        <v>12</v>
      </c>
      <c r="D1236" s="3" t="s">
        <v>16</v>
      </c>
      <c r="E1236" s="3" t="s">
        <v>2</v>
      </c>
      <c r="F1236" s="4">
        <v>2014.6</v>
      </c>
      <c r="G1236" s="4">
        <v>30000</v>
      </c>
      <c r="H1236" s="5">
        <v>60438000</v>
      </c>
      <c r="I1236" s="4" t="s">
        <v>357</v>
      </c>
      <c r="J1236" s="6">
        <v>25000</v>
      </c>
      <c r="K1236" s="4">
        <v>50365000</v>
      </c>
      <c r="L1236" s="4">
        <v>10073000</v>
      </c>
      <c r="O1236" s="34">
        <v>46207</v>
      </c>
      <c r="P1236" s="10" t="s">
        <v>90</v>
      </c>
      <c r="Q1236" s="11">
        <v>1117800</v>
      </c>
      <c r="R1236" s="11"/>
      <c r="S1236" s="11"/>
      <c r="T1236" s="12">
        <v>1117800</v>
      </c>
      <c r="U1236" s="10"/>
      <c r="V1236" s="10"/>
    </row>
    <row r="1237" spans="2:22" x14ac:dyDescent="0.25">
      <c r="B1237" s="8">
        <v>46197</v>
      </c>
      <c r="C1237" s="9" t="s">
        <v>232</v>
      </c>
      <c r="D1237" s="10" t="s">
        <v>10</v>
      </c>
      <c r="E1237" s="10" t="s">
        <v>2</v>
      </c>
      <c r="F1237" s="11">
        <v>47.7</v>
      </c>
      <c r="G1237" s="11">
        <v>16000</v>
      </c>
      <c r="H1237" s="12">
        <v>763200</v>
      </c>
      <c r="I1237" s="11"/>
      <c r="J1237" s="11"/>
      <c r="K1237" s="11">
        <v>0</v>
      </c>
      <c r="L1237" s="11">
        <v>763200</v>
      </c>
      <c r="O1237" s="33">
        <v>46208</v>
      </c>
      <c r="P1237" s="3" t="s">
        <v>362</v>
      </c>
      <c r="Q1237" s="4">
        <v>1926900</v>
      </c>
      <c r="R1237" s="4"/>
      <c r="S1237" s="4"/>
      <c r="T1237" s="5">
        <v>1926900</v>
      </c>
      <c r="U1237" s="3"/>
      <c r="V1237" s="3"/>
    </row>
    <row r="1238" spans="2:22" x14ac:dyDescent="0.25">
      <c r="B1238" s="1">
        <v>46198</v>
      </c>
      <c r="C1238" s="2" t="s">
        <v>239</v>
      </c>
      <c r="D1238" s="3" t="s">
        <v>36</v>
      </c>
      <c r="E1238" s="3" t="s">
        <v>2</v>
      </c>
      <c r="F1238" s="4">
        <v>184.9</v>
      </c>
      <c r="G1238" s="4">
        <v>20500</v>
      </c>
      <c r="H1238" s="5">
        <v>3790450</v>
      </c>
      <c r="I1238" s="4"/>
      <c r="J1238" s="4"/>
      <c r="K1238" s="4">
        <v>0</v>
      </c>
      <c r="L1238" s="4">
        <v>3790450</v>
      </c>
      <c r="O1238" s="34">
        <v>46208</v>
      </c>
      <c r="P1238" s="10" t="s">
        <v>108</v>
      </c>
      <c r="Q1238" s="11">
        <v>1201300</v>
      </c>
      <c r="R1238" s="11"/>
      <c r="S1238" s="11"/>
      <c r="T1238" s="12">
        <v>1201300</v>
      </c>
      <c r="U1238" s="10"/>
      <c r="V1238" s="10" t="s">
        <v>275</v>
      </c>
    </row>
    <row r="1239" spans="2:22" x14ac:dyDescent="0.25">
      <c r="B1239" s="8">
        <v>46198</v>
      </c>
      <c r="C1239" s="9" t="s">
        <v>202</v>
      </c>
      <c r="D1239" s="10" t="s">
        <v>16</v>
      </c>
      <c r="E1239" s="10" t="s">
        <v>2</v>
      </c>
      <c r="F1239" s="11">
        <v>933.4</v>
      </c>
      <c r="G1239" s="11">
        <v>24000</v>
      </c>
      <c r="H1239" s="12">
        <v>22401600</v>
      </c>
      <c r="I1239" s="11"/>
      <c r="J1239" s="11"/>
      <c r="K1239" s="11">
        <v>0</v>
      </c>
      <c r="L1239" s="11">
        <v>22401600</v>
      </c>
      <c r="O1239" s="33">
        <v>46208</v>
      </c>
      <c r="P1239" s="3" t="s">
        <v>370</v>
      </c>
      <c r="Q1239" s="4">
        <v>768000</v>
      </c>
      <c r="R1239" s="4"/>
      <c r="S1239" s="4"/>
      <c r="T1239" s="5">
        <v>768000</v>
      </c>
      <c r="U1239" s="3"/>
      <c r="V1239" s="3" t="s">
        <v>275</v>
      </c>
    </row>
    <row r="1240" spans="2:22" x14ac:dyDescent="0.25">
      <c r="B1240" s="1">
        <v>46198</v>
      </c>
      <c r="C1240" s="2" t="s">
        <v>202</v>
      </c>
      <c r="D1240" s="3" t="s">
        <v>10</v>
      </c>
      <c r="E1240" s="3" t="s">
        <v>2</v>
      </c>
      <c r="F1240" s="4">
        <v>494.2</v>
      </c>
      <c r="G1240" s="4">
        <v>15000</v>
      </c>
      <c r="H1240" s="5">
        <v>7413000</v>
      </c>
      <c r="I1240" s="4"/>
      <c r="J1240" s="4"/>
      <c r="K1240" s="4">
        <v>0</v>
      </c>
      <c r="L1240" s="4">
        <v>7413000</v>
      </c>
      <c r="O1240" s="34">
        <v>46208</v>
      </c>
      <c r="P1240" s="10" t="s">
        <v>77</v>
      </c>
      <c r="Q1240" s="11">
        <v>1887600</v>
      </c>
      <c r="R1240" s="11"/>
      <c r="S1240" s="11"/>
      <c r="T1240" s="12">
        <v>1887600</v>
      </c>
      <c r="U1240" s="10"/>
      <c r="V1240" s="10"/>
    </row>
    <row r="1241" spans="2:22" x14ac:dyDescent="0.25">
      <c r="B1241" s="8">
        <v>46198</v>
      </c>
      <c r="C1241" s="9" t="s">
        <v>81</v>
      </c>
      <c r="D1241" s="10" t="s">
        <v>323</v>
      </c>
      <c r="E1241" s="10" t="s">
        <v>2</v>
      </c>
      <c r="F1241" s="11">
        <v>109.5</v>
      </c>
      <c r="G1241" s="11">
        <v>23000</v>
      </c>
      <c r="H1241" s="12">
        <v>2518500</v>
      </c>
      <c r="I1241" s="11"/>
      <c r="J1241" s="11"/>
      <c r="K1241" s="11">
        <v>0</v>
      </c>
      <c r="L1241" s="11">
        <v>2518500</v>
      </c>
      <c r="O1241" s="33">
        <v>46208</v>
      </c>
      <c r="P1241" s="3" t="s">
        <v>328</v>
      </c>
      <c r="Q1241" s="4">
        <v>1170600</v>
      </c>
      <c r="R1241" s="4"/>
      <c r="S1241" s="4"/>
      <c r="T1241" s="5">
        <v>1170600</v>
      </c>
      <c r="U1241" s="3"/>
      <c r="V1241" s="3"/>
    </row>
    <row r="1242" spans="2:22" x14ac:dyDescent="0.25">
      <c r="B1242" s="1">
        <v>46198</v>
      </c>
      <c r="C1242" s="2" t="s">
        <v>81</v>
      </c>
      <c r="D1242" s="3" t="s">
        <v>10</v>
      </c>
      <c r="E1242" s="3" t="s">
        <v>2</v>
      </c>
      <c r="F1242" s="4">
        <v>48.9</v>
      </c>
      <c r="G1242" s="4">
        <v>16000</v>
      </c>
      <c r="H1242" s="5">
        <v>782400</v>
      </c>
      <c r="I1242" s="4"/>
      <c r="J1242" s="4"/>
      <c r="K1242" s="4">
        <v>0</v>
      </c>
      <c r="L1242" s="4">
        <v>782400</v>
      </c>
      <c r="O1242" s="34">
        <v>46208</v>
      </c>
      <c r="P1242" s="10" t="s">
        <v>100</v>
      </c>
      <c r="Q1242" s="11">
        <v>1106300</v>
      </c>
      <c r="R1242" s="11"/>
      <c r="S1242" s="11"/>
      <c r="T1242" s="12">
        <v>1106300</v>
      </c>
      <c r="U1242" s="10"/>
      <c r="V1242" s="10"/>
    </row>
    <row r="1243" spans="2:22" x14ac:dyDescent="0.25">
      <c r="B1243" s="8">
        <v>46198</v>
      </c>
      <c r="C1243" s="9" t="s">
        <v>358</v>
      </c>
      <c r="D1243" s="10" t="s">
        <v>25</v>
      </c>
      <c r="E1243" s="10" t="s">
        <v>2</v>
      </c>
      <c r="F1243" s="11">
        <v>368.5</v>
      </c>
      <c r="G1243" s="11">
        <v>25000</v>
      </c>
      <c r="H1243" s="12">
        <v>9212500</v>
      </c>
      <c r="I1243" s="11"/>
      <c r="J1243" s="11"/>
      <c r="K1243" s="11">
        <v>0</v>
      </c>
      <c r="L1243" s="11">
        <v>9212500</v>
      </c>
      <c r="O1243" s="33">
        <v>46208</v>
      </c>
      <c r="P1243" s="3" t="s">
        <v>359</v>
      </c>
      <c r="Q1243" s="4">
        <v>976800</v>
      </c>
      <c r="R1243" s="4"/>
      <c r="S1243" s="4"/>
      <c r="T1243" s="5">
        <v>976800</v>
      </c>
      <c r="U1243" s="3"/>
      <c r="V1243" s="3"/>
    </row>
    <row r="1244" spans="2:22" x14ac:dyDescent="0.25">
      <c r="B1244" s="1">
        <v>46198</v>
      </c>
      <c r="C1244" s="2" t="s">
        <v>100</v>
      </c>
      <c r="D1244" s="3" t="s">
        <v>323</v>
      </c>
      <c r="E1244" s="3" t="s">
        <v>2</v>
      </c>
      <c r="F1244" s="4">
        <v>48.1</v>
      </c>
      <c r="G1244" s="4">
        <v>23000</v>
      </c>
      <c r="H1244" s="5">
        <v>1106300</v>
      </c>
      <c r="I1244" s="4"/>
      <c r="J1244" s="4"/>
      <c r="K1244" s="4">
        <v>0</v>
      </c>
      <c r="L1244" s="4">
        <v>1106300</v>
      </c>
      <c r="O1244" s="34">
        <v>46208</v>
      </c>
      <c r="P1244" s="10" t="s">
        <v>62</v>
      </c>
      <c r="Q1244" s="11">
        <v>1252000</v>
      </c>
      <c r="R1244" s="11"/>
      <c r="S1244" s="11"/>
      <c r="T1244" s="12">
        <v>1252000</v>
      </c>
      <c r="U1244" s="10"/>
      <c r="V1244" s="10"/>
    </row>
    <row r="1245" spans="2:22" x14ac:dyDescent="0.25">
      <c r="B1245" s="8">
        <v>46198</v>
      </c>
      <c r="C1245" s="9" t="s">
        <v>359</v>
      </c>
      <c r="D1245" s="10" t="s">
        <v>8</v>
      </c>
      <c r="E1245" s="10" t="s">
        <v>2</v>
      </c>
      <c r="F1245" s="11">
        <v>47.8</v>
      </c>
      <c r="G1245" s="11">
        <v>24000</v>
      </c>
      <c r="H1245" s="12">
        <v>1147200</v>
      </c>
      <c r="I1245" s="11"/>
      <c r="J1245" s="13"/>
      <c r="K1245" s="11">
        <v>0</v>
      </c>
      <c r="L1245" s="11">
        <v>1147200</v>
      </c>
      <c r="O1245" s="33">
        <v>46208</v>
      </c>
      <c r="P1245" s="3" t="s">
        <v>41</v>
      </c>
      <c r="Q1245" s="4">
        <v>3408600</v>
      </c>
      <c r="R1245" s="4"/>
      <c r="S1245" s="4"/>
      <c r="T1245" s="5">
        <v>3408600</v>
      </c>
      <c r="U1245" s="3"/>
      <c r="V1245" s="3"/>
    </row>
    <row r="1246" spans="2:22" x14ac:dyDescent="0.25">
      <c r="B1246" s="1">
        <v>46198</v>
      </c>
      <c r="C1246" s="2" t="s">
        <v>107</v>
      </c>
      <c r="D1246" s="3" t="s">
        <v>323</v>
      </c>
      <c r="E1246" s="3" t="s">
        <v>2</v>
      </c>
      <c r="F1246" s="4">
        <v>51.5</v>
      </c>
      <c r="G1246" s="4">
        <v>23000</v>
      </c>
      <c r="H1246" s="5">
        <v>1184500</v>
      </c>
      <c r="I1246" s="4"/>
      <c r="J1246" s="4"/>
      <c r="K1246" s="4">
        <v>0</v>
      </c>
      <c r="L1246" s="4">
        <v>1184500</v>
      </c>
      <c r="O1246" s="34">
        <v>46208</v>
      </c>
      <c r="P1246" s="10" t="s">
        <v>136</v>
      </c>
      <c r="Q1246" s="11">
        <v>1014300</v>
      </c>
      <c r="R1246" s="11"/>
      <c r="S1246" s="11"/>
      <c r="T1246" s="12">
        <v>1014300</v>
      </c>
      <c r="U1246" s="10"/>
      <c r="V1246" s="10"/>
    </row>
    <row r="1247" spans="2:22" x14ac:dyDescent="0.25">
      <c r="B1247" s="8">
        <v>46198</v>
      </c>
      <c r="C1247" s="9" t="s">
        <v>360</v>
      </c>
      <c r="D1247" s="10" t="s">
        <v>323</v>
      </c>
      <c r="E1247" s="10" t="s">
        <v>2</v>
      </c>
      <c r="F1247" s="11">
        <v>46.4</v>
      </c>
      <c r="G1247" s="11">
        <v>23000</v>
      </c>
      <c r="H1247" s="12">
        <v>1067200</v>
      </c>
      <c r="I1247" s="11"/>
      <c r="J1247" s="13"/>
      <c r="K1247" s="11">
        <v>0</v>
      </c>
      <c r="L1247" s="11">
        <v>1067200</v>
      </c>
      <c r="O1247" s="33">
        <v>46208</v>
      </c>
      <c r="P1247" s="3" t="s">
        <v>28</v>
      </c>
      <c r="Q1247" s="4">
        <v>872000</v>
      </c>
      <c r="R1247" s="4"/>
      <c r="S1247" s="4"/>
      <c r="T1247" s="5">
        <v>872000</v>
      </c>
      <c r="U1247" s="3"/>
      <c r="V1247" s="3"/>
    </row>
    <row r="1248" spans="2:22" x14ac:dyDescent="0.25">
      <c r="B1248" s="1">
        <v>46199</v>
      </c>
      <c r="C1248" s="2" t="s">
        <v>104</v>
      </c>
      <c r="D1248" s="3" t="s">
        <v>323</v>
      </c>
      <c r="E1248" s="3" t="s">
        <v>2</v>
      </c>
      <c r="F1248" s="4">
        <v>52.9</v>
      </c>
      <c r="G1248" s="4">
        <v>22000</v>
      </c>
      <c r="H1248" s="5">
        <v>1163800</v>
      </c>
      <c r="I1248" s="4"/>
      <c r="J1248" s="4"/>
      <c r="K1248" s="4">
        <v>0</v>
      </c>
      <c r="L1248" s="4">
        <v>1163800</v>
      </c>
      <c r="O1248" s="34">
        <v>46208</v>
      </c>
      <c r="P1248" s="10" t="s">
        <v>360</v>
      </c>
      <c r="Q1248" s="11">
        <v>1067000</v>
      </c>
      <c r="R1248" s="11"/>
      <c r="S1248" s="11"/>
      <c r="T1248" s="12">
        <v>1067000</v>
      </c>
      <c r="U1248" s="10"/>
      <c r="V1248" s="10"/>
    </row>
    <row r="1249" spans="2:22" x14ac:dyDescent="0.25">
      <c r="B1249" s="8">
        <v>46199</v>
      </c>
      <c r="C1249" s="9" t="s">
        <v>65</v>
      </c>
      <c r="D1249" s="10" t="s">
        <v>8</v>
      </c>
      <c r="E1249" s="10" t="s">
        <v>2</v>
      </c>
      <c r="F1249" s="11">
        <v>81.2</v>
      </c>
      <c r="G1249" s="11">
        <v>24000</v>
      </c>
      <c r="H1249" s="12">
        <v>1948800</v>
      </c>
      <c r="I1249" s="11"/>
      <c r="J1249" s="11"/>
      <c r="K1249" s="11">
        <v>0</v>
      </c>
      <c r="L1249" s="11">
        <v>1948800</v>
      </c>
      <c r="O1249" s="33">
        <v>46209</v>
      </c>
      <c r="P1249" s="3" t="s">
        <v>5</v>
      </c>
      <c r="Q1249" s="4">
        <v>2265500</v>
      </c>
      <c r="R1249" s="4"/>
      <c r="S1249" s="4"/>
      <c r="T1249" s="5">
        <v>2265500</v>
      </c>
      <c r="U1249" s="3"/>
      <c r="V1249" s="3"/>
    </row>
    <row r="1250" spans="2:22" x14ac:dyDescent="0.25">
      <c r="B1250" s="1">
        <v>46199</v>
      </c>
      <c r="C1250" s="2" t="s">
        <v>12</v>
      </c>
      <c r="D1250" s="3" t="s">
        <v>16</v>
      </c>
      <c r="E1250" s="3" t="s">
        <v>2</v>
      </c>
      <c r="F1250" s="4">
        <v>1607.8</v>
      </c>
      <c r="G1250" s="4">
        <v>30000</v>
      </c>
      <c r="H1250" s="5">
        <v>48234000</v>
      </c>
      <c r="I1250" s="4" t="s">
        <v>356</v>
      </c>
      <c r="J1250" s="6"/>
      <c r="K1250" s="4">
        <v>0</v>
      </c>
      <c r="L1250" s="4">
        <v>48234000</v>
      </c>
      <c r="O1250" s="34">
        <v>46209</v>
      </c>
      <c r="P1250" s="10" t="s">
        <v>220</v>
      </c>
      <c r="Q1250" s="11">
        <v>500000</v>
      </c>
      <c r="R1250" s="11"/>
      <c r="S1250" s="11"/>
      <c r="T1250" s="12">
        <v>500000</v>
      </c>
      <c r="U1250" s="10"/>
      <c r="V1250" s="10"/>
    </row>
    <row r="1251" spans="2:22" x14ac:dyDescent="0.25">
      <c r="B1251" s="8">
        <v>46199</v>
      </c>
      <c r="C1251" s="9" t="s">
        <v>53</v>
      </c>
      <c r="D1251" s="10" t="s">
        <v>323</v>
      </c>
      <c r="E1251" s="10" t="s">
        <v>2</v>
      </c>
      <c r="F1251" s="11">
        <v>976.1</v>
      </c>
      <c r="G1251" s="11">
        <v>23500</v>
      </c>
      <c r="H1251" s="12">
        <v>22938350</v>
      </c>
      <c r="I1251" s="11"/>
      <c r="J1251" s="11"/>
      <c r="K1251" s="11">
        <v>0</v>
      </c>
      <c r="L1251" s="11">
        <v>22938350</v>
      </c>
      <c r="O1251" s="33">
        <v>46209</v>
      </c>
      <c r="P1251" s="3" t="s">
        <v>131</v>
      </c>
      <c r="Q1251" s="4">
        <v>13782000</v>
      </c>
      <c r="R1251" s="4"/>
      <c r="S1251" s="4"/>
      <c r="T1251" s="5">
        <v>13782000</v>
      </c>
      <c r="U1251" s="3"/>
      <c r="V1251" s="3"/>
    </row>
    <row r="1252" spans="2:22" x14ac:dyDescent="0.25">
      <c r="B1252" s="1">
        <v>46199</v>
      </c>
      <c r="C1252" s="2" t="s">
        <v>33</v>
      </c>
      <c r="D1252" s="3" t="s">
        <v>10</v>
      </c>
      <c r="E1252" s="3" t="s">
        <v>2</v>
      </c>
      <c r="F1252" s="4">
        <v>389.2</v>
      </c>
      <c r="G1252" s="4">
        <v>15500</v>
      </c>
      <c r="H1252" s="5">
        <v>6032600</v>
      </c>
      <c r="I1252" s="4"/>
      <c r="J1252" s="4"/>
      <c r="K1252" s="4">
        <v>0</v>
      </c>
      <c r="L1252" s="4">
        <v>6032600</v>
      </c>
      <c r="O1252" s="34">
        <v>46209</v>
      </c>
      <c r="P1252" s="10" t="s">
        <v>117</v>
      </c>
      <c r="Q1252" s="11">
        <v>1000000</v>
      </c>
      <c r="R1252" s="11"/>
      <c r="S1252" s="11"/>
      <c r="T1252" s="12">
        <v>1000000</v>
      </c>
      <c r="U1252" s="10"/>
      <c r="V1252" s="10" t="s">
        <v>279</v>
      </c>
    </row>
    <row r="1253" spans="2:22" x14ac:dyDescent="0.25">
      <c r="B1253" s="8">
        <v>46200</v>
      </c>
      <c r="C1253" s="9" t="s">
        <v>65</v>
      </c>
      <c r="D1253" s="10" t="s">
        <v>8</v>
      </c>
      <c r="E1253" s="10" t="s">
        <v>2</v>
      </c>
      <c r="F1253" s="11">
        <v>513.1</v>
      </c>
      <c r="G1253" s="11">
        <v>24000</v>
      </c>
      <c r="H1253" s="12">
        <v>12314400</v>
      </c>
      <c r="I1253" s="11"/>
      <c r="J1253" s="11"/>
      <c r="K1253" s="11">
        <v>0</v>
      </c>
      <c r="L1253" s="11">
        <v>12314400</v>
      </c>
      <c r="O1253" s="33">
        <v>46209</v>
      </c>
      <c r="P1253" s="3" t="s">
        <v>346</v>
      </c>
      <c r="Q1253" s="4">
        <v>1035000</v>
      </c>
      <c r="R1253" s="4"/>
      <c r="S1253" s="4"/>
      <c r="T1253" s="5">
        <v>1035000</v>
      </c>
      <c r="U1253" s="3"/>
      <c r="V1253" s="3" t="s">
        <v>275</v>
      </c>
    </row>
    <row r="1254" spans="2:22" x14ac:dyDescent="0.25">
      <c r="B1254" s="1">
        <v>46200</v>
      </c>
      <c r="C1254" s="2" t="s">
        <v>18</v>
      </c>
      <c r="D1254" s="3" t="s">
        <v>10</v>
      </c>
      <c r="E1254" s="3" t="s">
        <v>2</v>
      </c>
      <c r="F1254" s="4">
        <v>33</v>
      </c>
      <c r="G1254" s="4">
        <v>16000</v>
      </c>
      <c r="H1254" s="5">
        <v>528000</v>
      </c>
      <c r="I1254" s="4"/>
      <c r="J1254" s="4"/>
      <c r="K1254" s="4">
        <v>0</v>
      </c>
      <c r="L1254" s="4">
        <v>528000</v>
      </c>
      <c r="O1254" s="34">
        <v>46209</v>
      </c>
      <c r="P1254" s="10" t="s">
        <v>60</v>
      </c>
      <c r="Q1254" s="11">
        <v>15000000</v>
      </c>
      <c r="R1254" s="11"/>
      <c r="S1254" s="11"/>
      <c r="T1254" s="12">
        <v>15000000</v>
      </c>
      <c r="U1254" s="10"/>
      <c r="V1254" s="10" t="s">
        <v>279</v>
      </c>
    </row>
    <row r="1255" spans="2:22" x14ac:dyDescent="0.25">
      <c r="B1255" s="8">
        <v>46200</v>
      </c>
      <c r="C1255" s="9" t="s">
        <v>18</v>
      </c>
      <c r="D1255" s="10" t="s">
        <v>323</v>
      </c>
      <c r="E1255" s="10" t="s">
        <v>2</v>
      </c>
      <c r="F1255" s="11">
        <v>95.5</v>
      </c>
      <c r="G1255" s="11">
        <v>23000</v>
      </c>
      <c r="H1255" s="12">
        <v>2196500</v>
      </c>
      <c r="I1255" s="11"/>
      <c r="J1255" s="11"/>
      <c r="K1255" s="11">
        <v>0</v>
      </c>
      <c r="L1255" s="11">
        <v>2196500</v>
      </c>
      <c r="O1255" s="33">
        <v>46209</v>
      </c>
      <c r="P1255" s="3" t="s">
        <v>11</v>
      </c>
      <c r="Q1255" s="4">
        <v>2023700</v>
      </c>
      <c r="R1255" s="4"/>
      <c r="S1255" s="4"/>
      <c r="T1255" s="5">
        <v>2023700</v>
      </c>
      <c r="U1255" s="3"/>
      <c r="V1255" s="3" t="s">
        <v>279</v>
      </c>
    </row>
    <row r="1256" spans="2:22" x14ac:dyDescent="0.25">
      <c r="B1256" s="1">
        <v>46200</v>
      </c>
      <c r="C1256" s="2" t="s">
        <v>44</v>
      </c>
      <c r="D1256" s="3" t="s">
        <v>25</v>
      </c>
      <c r="E1256" s="3" t="s">
        <v>2</v>
      </c>
      <c r="F1256" s="4">
        <v>202.9</v>
      </c>
      <c r="G1256" s="4">
        <v>29000</v>
      </c>
      <c r="H1256" s="5">
        <v>5884100</v>
      </c>
      <c r="I1256" s="4"/>
      <c r="J1256" s="6">
        <v>24000</v>
      </c>
      <c r="K1256" s="4">
        <v>4869600</v>
      </c>
      <c r="L1256" s="4">
        <v>1014500</v>
      </c>
      <c r="O1256" s="34">
        <v>46209</v>
      </c>
      <c r="P1256" s="10" t="s">
        <v>372</v>
      </c>
      <c r="Q1256" s="11">
        <v>4222200</v>
      </c>
      <c r="R1256" s="11"/>
      <c r="S1256" s="11"/>
      <c r="T1256" s="12">
        <v>4222200</v>
      </c>
      <c r="U1256" s="10"/>
      <c r="V1256" s="10" t="s">
        <v>279</v>
      </c>
    </row>
    <row r="1257" spans="2:22" x14ac:dyDescent="0.25">
      <c r="B1257" s="8">
        <v>46200</v>
      </c>
      <c r="C1257" s="9" t="s">
        <v>19</v>
      </c>
      <c r="D1257" s="10" t="s">
        <v>323</v>
      </c>
      <c r="E1257" s="10" t="s">
        <v>2</v>
      </c>
      <c r="F1257" s="11">
        <v>44.3</v>
      </c>
      <c r="G1257" s="11">
        <v>23000</v>
      </c>
      <c r="H1257" s="12">
        <v>1018899.9999999999</v>
      </c>
      <c r="I1257" s="11"/>
      <c r="J1257" s="11"/>
      <c r="K1257" s="11">
        <v>0</v>
      </c>
      <c r="L1257" s="11">
        <v>1018899.9999999999</v>
      </c>
      <c r="O1257" s="33">
        <v>46209</v>
      </c>
      <c r="P1257" s="3" t="s">
        <v>157</v>
      </c>
      <c r="Q1257" s="4">
        <v>2205700</v>
      </c>
      <c r="R1257" s="4"/>
      <c r="S1257" s="4"/>
      <c r="T1257" s="5">
        <v>2205700</v>
      </c>
      <c r="U1257" s="3"/>
      <c r="V1257" s="3" t="s">
        <v>279</v>
      </c>
    </row>
    <row r="1258" spans="2:22" x14ac:dyDescent="0.25">
      <c r="B1258" s="1">
        <v>46200</v>
      </c>
      <c r="C1258" s="2" t="s">
        <v>78</v>
      </c>
      <c r="D1258" s="3" t="s">
        <v>29</v>
      </c>
      <c r="E1258" s="3" t="s">
        <v>2</v>
      </c>
      <c r="F1258" s="4">
        <v>203.3</v>
      </c>
      <c r="G1258" s="4">
        <v>20000</v>
      </c>
      <c r="H1258" s="5">
        <v>4066000</v>
      </c>
      <c r="I1258" s="4"/>
      <c r="J1258" s="4"/>
      <c r="K1258" s="4">
        <v>0</v>
      </c>
      <c r="L1258" s="4">
        <v>4066000</v>
      </c>
      <c r="O1258" s="34">
        <v>46209</v>
      </c>
      <c r="P1258" s="10" t="s">
        <v>144</v>
      </c>
      <c r="Q1258" s="11">
        <v>300000</v>
      </c>
      <c r="R1258" s="11"/>
      <c r="S1258" s="11"/>
      <c r="T1258" s="12">
        <v>300000</v>
      </c>
      <c r="U1258" s="10"/>
      <c r="V1258" s="10"/>
    </row>
    <row r="1259" spans="2:22" x14ac:dyDescent="0.25">
      <c r="B1259" s="8">
        <v>46201</v>
      </c>
      <c r="C1259" s="9" t="s">
        <v>329</v>
      </c>
      <c r="D1259" s="10" t="s">
        <v>1</v>
      </c>
      <c r="E1259" s="10" t="s">
        <v>2</v>
      </c>
      <c r="F1259" s="11">
        <v>50.9</v>
      </c>
      <c r="G1259" s="11">
        <v>25000</v>
      </c>
      <c r="H1259" s="12">
        <v>1272500</v>
      </c>
      <c r="I1259" s="11"/>
      <c r="J1259" s="11"/>
      <c r="K1259" s="11">
        <v>0</v>
      </c>
      <c r="L1259" s="11">
        <v>1272500</v>
      </c>
      <c r="O1259" s="33">
        <v>46209</v>
      </c>
      <c r="P1259" s="3" t="s">
        <v>309</v>
      </c>
      <c r="Q1259" s="4">
        <v>152200</v>
      </c>
      <c r="R1259" s="4"/>
      <c r="S1259" s="4"/>
      <c r="T1259" s="5">
        <v>152200</v>
      </c>
      <c r="U1259" s="3"/>
      <c r="V1259" s="3"/>
    </row>
    <row r="1260" spans="2:22" x14ac:dyDescent="0.25">
      <c r="B1260" s="1">
        <v>46201</v>
      </c>
      <c r="C1260" s="2" t="s">
        <v>361</v>
      </c>
      <c r="D1260" s="3" t="s">
        <v>323</v>
      </c>
      <c r="E1260" s="3" t="s">
        <v>2</v>
      </c>
      <c r="F1260" s="4">
        <v>45.7</v>
      </c>
      <c r="G1260" s="4">
        <v>23000</v>
      </c>
      <c r="H1260" s="5">
        <v>1051100</v>
      </c>
      <c r="I1260" s="4"/>
      <c r="J1260" s="4"/>
      <c r="K1260" s="4">
        <v>0</v>
      </c>
      <c r="L1260" s="4">
        <v>1051100</v>
      </c>
      <c r="O1260" s="34">
        <v>46209</v>
      </c>
      <c r="P1260" s="10" t="s">
        <v>340</v>
      </c>
      <c r="Q1260" s="11">
        <v>599300</v>
      </c>
      <c r="R1260" s="11">
        <v>100</v>
      </c>
      <c r="S1260" s="11">
        <v>12000</v>
      </c>
      <c r="T1260" s="12">
        <v>1799300</v>
      </c>
      <c r="U1260" s="10"/>
      <c r="V1260" s="10"/>
    </row>
    <row r="1261" spans="2:22" x14ac:dyDescent="0.25">
      <c r="B1261" s="8">
        <v>46201</v>
      </c>
      <c r="C1261" s="9" t="s">
        <v>78</v>
      </c>
      <c r="D1261" s="10" t="s">
        <v>10</v>
      </c>
      <c r="E1261" s="10" t="s">
        <v>2</v>
      </c>
      <c r="F1261" s="11">
        <v>201.4</v>
      </c>
      <c r="G1261" s="11">
        <v>15000</v>
      </c>
      <c r="H1261" s="12">
        <v>3021000</v>
      </c>
      <c r="I1261" s="11"/>
      <c r="J1261" s="11"/>
      <c r="K1261" s="11">
        <v>0</v>
      </c>
      <c r="L1261" s="11">
        <v>3021000</v>
      </c>
      <c r="O1261" s="33">
        <v>46210</v>
      </c>
      <c r="P1261" s="3" t="s">
        <v>14</v>
      </c>
      <c r="Q1261" s="4">
        <v>1302800</v>
      </c>
      <c r="R1261" s="4"/>
      <c r="S1261" s="4"/>
      <c r="T1261" s="5">
        <v>1302800</v>
      </c>
      <c r="U1261" s="3"/>
      <c r="V1261" s="3" t="s">
        <v>275</v>
      </c>
    </row>
    <row r="1262" spans="2:22" x14ac:dyDescent="0.25">
      <c r="B1262" s="1">
        <v>46201</v>
      </c>
      <c r="C1262" s="2" t="s">
        <v>132</v>
      </c>
      <c r="D1262" s="3" t="s">
        <v>1</v>
      </c>
      <c r="E1262" s="3" t="s">
        <v>2</v>
      </c>
      <c r="F1262" s="4">
        <v>1004.1</v>
      </c>
      <c r="G1262" s="4">
        <v>24000</v>
      </c>
      <c r="H1262" s="5">
        <v>24098400</v>
      </c>
      <c r="I1262" s="4"/>
      <c r="J1262" s="4"/>
      <c r="K1262" s="4">
        <v>0</v>
      </c>
      <c r="L1262" s="4">
        <v>24098400</v>
      </c>
      <c r="O1262" s="34">
        <v>46210</v>
      </c>
      <c r="P1262" s="10" t="s">
        <v>230</v>
      </c>
      <c r="Q1262" s="11">
        <v>747700</v>
      </c>
      <c r="R1262" s="11"/>
      <c r="S1262" s="11"/>
      <c r="T1262" s="12">
        <v>747700</v>
      </c>
      <c r="U1262" s="10"/>
      <c r="V1262" s="10" t="s">
        <v>275</v>
      </c>
    </row>
    <row r="1263" spans="2:22" x14ac:dyDescent="0.25">
      <c r="B1263" s="8">
        <v>46201</v>
      </c>
      <c r="C1263" s="9" t="s">
        <v>230</v>
      </c>
      <c r="D1263" s="10" t="s">
        <v>10</v>
      </c>
      <c r="E1263" s="10" t="s">
        <v>2</v>
      </c>
      <c r="F1263" s="11">
        <v>49.9</v>
      </c>
      <c r="G1263" s="11">
        <v>15000</v>
      </c>
      <c r="H1263" s="12">
        <v>748500</v>
      </c>
      <c r="I1263" s="11"/>
      <c r="J1263" s="11"/>
      <c r="K1263" s="11">
        <v>0</v>
      </c>
      <c r="L1263" s="11">
        <v>748500</v>
      </c>
      <c r="O1263" s="33">
        <v>46210</v>
      </c>
      <c r="P1263" s="3" t="s">
        <v>122</v>
      </c>
      <c r="Q1263" s="4">
        <v>8965000</v>
      </c>
      <c r="R1263" s="4"/>
      <c r="S1263" s="4"/>
      <c r="T1263" s="5">
        <v>8965000</v>
      </c>
      <c r="U1263" s="3"/>
      <c r="V1263" s="3" t="s">
        <v>279</v>
      </c>
    </row>
    <row r="1264" spans="2:22" x14ac:dyDescent="0.25">
      <c r="B1264" s="1">
        <v>46201</v>
      </c>
      <c r="C1264" s="2" t="s">
        <v>289</v>
      </c>
      <c r="D1264" s="3" t="s">
        <v>25</v>
      </c>
      <c r="E1264" s="3" t="s">
        <v>2</v>
      </c>
      <c r="F1264" s="4">
        <v>164.9</v>
      </c>
      <c r="G1264" s="4">
        <v>25000</v>
      </c>
      <c r="H1264" s="5">
        <v>4122500</v>
      </c>
      <c r="I1264" s="4">
        <v>164.9</v>
      </c>
      <c r="J1264" s="6"/>
      <c r="K1264" s="4">
        <v>0</v>
      </c>
      <c r="L1264" s="4">
        <v>4122500</v>
      </c>
      <c r="O1264" s="34">
        <v>46210</v>
      </c>
      <c r="P1264" s="10" t="s">
        <v>68</v>
      </c>
      <c r="Q1264" s="11">
        <v>20000000</v>
      </c>
      <c r="R1264" s="11"/>
      <c r="S1264" s="11"/>
      <c r="T1264" s="12">
        <v>20000000</v>
      </c>
      <c r="U1264" s="10"/>
      <c r="V1264" s="10" t="s">
        <v>279</v>
      </c>
    </row>
    <row r="1265" spans="2:22" x14ac:dyDescent="0.25">
      <c r="B1265" s="8">
        <v>46201</v>
      </c>
      <c r="C1265" s="9" t="s">
        <v>289</v>
      </c>
      <c r="D1265" s="10" t="s">
        <v>25</v>
      </c>
      <c r="E1265" s="10" t="s">
        <v>2</v>
      </c>
      <c r="F1265" s="11">
        <v>-53.2</v>
      </c>
      <c r="G1265" s="11">
        <v>25000</v>
      </c>
      <c r="H1265" s="12">
        <v>-1330000</v>
      </c>
      <c r="I1265" s="11"/>
      <c r="J1265" s="11"/>
      <c r="K1265" s="11">
        <v>0</v>
      </c>
      <c r="L1265" s="11">
        <v>-1330000</v>
      </c>
      <c r="O1265" s="33">
        <v>46210</v>
      </c>
      <c r="P1265" s="3" t="s">
        <v>49</v>
      </c>
      <c r="Q1265" s="4">
        <v>500000</v>
      </c>
      <c r="R1265" s="4"/>
      <c r="S1265" s="4"/>
      <c r="T1265" s="5">
        <v>500000</v>
      </c>
      <c r="U1265" s="3"/>
      <c r="V1265" s="3" t="s">
        <v>275</v>
      </c>
    </row>
    <row r="1266" spans="2:22" x14ac:dyDescent="0.25">
      <c r="B1266" s="1">
        <v>46202</v>
      </c>
      <c r="C1266" s="2" t="s">
        <v>326</v>
      </c>
      <c r="D1266" s="3" t="s">
        <v>1</v>
      </c>
      <c r="E1266" s="3" t="s">
        <v>2</v>
      </c>
      <c r="F1266" s="4">
        <v>97.7</v>
      </c>
      <c r="G1266" s="4">
        <v>23000</v>
      </c>
      <c r="H1266" s="5">
        <v>2247100</v>
      </c>
      <c r="I1266" s="4"/>
      <c r="J1266" s="4"/>
      <c r="K1266" s="4">
        <v>0</v>
      </c>
      <c r="L1266" s="4">
        <v>2247100</v>
      </c>
      <c r="O1266" s="34">
        <v>46210</v>
      </c>
      <c r="P1266" s="10" t="s">
        <v>67</v>
      </c>
      <c r="Q1266" s="11">
        <v>10660000</v>
      </c>
      <c r="R1266" s="11"/>
      <c r="S1266" s="11"/>
      <c r="T1266" s="12">
        <v>10660000</v>
      </c>
      <c r="U1266" s="10"/>
      <c r="V1266" s="10" t="s">
        <v>279</v>
      </c>
    </row>
    <row r="1267" spans="2:22" x14ac:dyDescent="0.25">
      <c r="B1267" s="8">
        <v>46202</v>
      </c>
      <c r="C1267" s="9" t="s">
        <v>326</v>
      </c>
      <c r="D1267" s="10" t="s">
        <v>10</v>
      </c>
      <c r="E1267" s="10" t="s">
        <v>2</v>
      </c>
      <c r="F1267" s="11">
        <v>101.1</v>
      </c>
      <c r="G1267" s="11">
        <v>16000</v>
      </c>
      <c r="H1267" s="12">
        <v>1617600</v>
      </c>
      <c r="I1267" s="11"/>
      <c r="J1267" s="11"/>
      <c r="K1267" s="11">
        <v>0</v>
      </c>
      <c r="L1267" s="11">
        <v>1617600</v>
      </c>
      <c r="O1267" s="33">
        <v>46210</v>
      </c>
      <c r="P1267" s="3" t="s">
        <v>262</v>
      </c>
      <c r="Q1267" s="4">
        <v>13505400</v>
      </c>
      <c r="R1267" s="4"/>
      <c r="S1267" s="4"/>
      <c r="T1267" s="5">
        <v>13505400</v>
      </c>
      <c r="U1267" s="3"/>
      <c r="V1267" s="3"/>
    </row>
    <row r="1268" spans="2:22" x14ac:dyDescent="0.25">
      <c r="B1268" s="1">
        <v>46202</v>
      </c>
      <c r="C1268" s="2" t="s">
        <v>110</v>
      </c>
      <c r="D1268" s="3" t="s">
        <v>10</v>
      </c>
      <c r="E1268" s="3" t="s">
        <v>2</v>
      </c>
      <c r="F1268" s="4">
        <v>51.4</v>
      </c>
      <c r="G1268" s="4">
        <v>16000</v>
      </c>
      <c r="H1268" s="5">
        <v>822400</v>
      </c>
      <c r="I1268" s="4"/>
      <c r="J1268" s="4"/>
      <c r="K1268" s="4">
        <v>0</v>
      </c>
      <c r="L1268" s="4">
        <v>822400</v>
      </c>
      <c r="O1268" s="34">
        <v>46210</v>
      </c>
      <c r="P1268" s="10" t="s">
        <v>220</v>
      </c>
      <c r="Q1268" s="11">
        <v>500000</v>
      </c>
      <c r="R1268" s="11"/>
      <c r="S1268" s="11"/>
      <c r="T1268" s="12">
        <v>500000</v>
      </c>
      <c r="U1268" s="10"/>
      <c r="V1268" s="10"/>
    </row>
    <row r="1269" spans="2:22" x14ac:dyDescent="0.25">
      <c r="B1269" s="8">
        <v>46202</v>
      </c>
      <c r="C1269" s="9" t="s">
        <v>96</v>
      </c>
      <c r="D1269" s="10" t="s">
        <v>10</v>
      </c>
      <c r="E1269" s="10" t="s">
        <v>2</v>
      </c>
      <c r="F1269" s="11">
        <v>49.4</v>
      </c>
      <c r="G1269" s="11">
        <v>16000</v>
      </c>
      <c r="H1269" s="12">
        <v>790400</v>
      </c>
      <c r="I1269" s="11"/>
      <c r="J1269" s="11"/>
      <c r="K1269" s="11">
        <v>0</v>
      </c>
      <c r="L1269" s="11">
        <v>790400</v>
      </c>
      <c r="O1269" s="33">
        <v>46210</v>
      </c>
      <c r="P1269" s="3" t="s">
        <v>202</v>
      </c>
      <c r="Q1269" s="4">
        <v>5500000</v>
      </c>
      <c r="R1269" s="4"/>
      <c r="S1269" s="4"/>
      <c r="T1269" s="5">
        <v>5500000</v>
      </c>
      <c r="U1269" s="3"/>
      <c r="V1269" s="3"/>
    </row>
    <row r="1270" spans="2:22" x14ac:dyDescent="0.25">
      <c r="B1270" s="1">
        <v>46202</v>
      </c>
      <c r="C1270" s="2" t="s">
        <v>96</v>
      </c>
      <c r="D1270" s="3" t="s">
        <v>16</v>
      </c>
      <c r="E1270" s="3" t="s">
        <v>2</v>
      </c>
      <c r="F1270" s="4">
        <v>43.7</v>
      </c>
      <c r="G1270" s="4">
        <v>25000</v>
      </c>
      <c r="H1270" s="5">
        <v>1092500</v>
      </c>
      <c r="I1270" s="4"/>
      <c r="J1270" s="4"/>
      <c r="K1270" s="4">
        <v>0</v>
      </c>
      <c r="L1270" s="4">
        <v>1092500</v>
      </c>
      <c r="O1270" s="34">
        <v>46210</v>
      </c>
      <c r="P1270" s="10" t="s">
        <v>129</v>
      </c>
      <c r="Q1270" s="11">
        <v>3990000</v>
      </c>
      <c r="R1270" s="11"/>
      <c r="S1270" s="11"/>
      <c r="T1270" s="12">
        <v>3990000</v>
      </c>
      <c r="U1270" s="10"/>
      <c r="V1270" s="10"/>
    </row>
    <row r="1271" spans="2:22" x14ac:dyDescent="0.25">
      <c r="B1271" s="8">
        <v>46202</v>
      </c>
      <c r="C1271" s="9" t="s">
        <v>218</v>
      </c>
      <c r="D1271" s="10" t="s">
        <v>16</v>
      </c>
      <c r="E1271" s="10" t="s">
        <v>2</v>
      </c>
      <c r="F1271" s="11">
        <v>100.3</v>
      </c>
      <c r="G1271" s="11">
        <v>24000</v>
      </c>
      <c r="H1271" s="12">
        <v>2407200</v>
      </c>
      <c r="I1271" s="11"/>
      <c r="J1271" s="11"/>
      <c r="K1271" s="11">
        <v>0</v>
      </c>
      <c r="L1271" s="11">
        <v>2407200</v>
      </c>
      <c r="O1271" s="33">
        <v>46210</v>
      </c>
      <c r="P1271" s="3" t="s">
        <v>18</v>
      </c>
      <c r="Q1271" s="4">
        <v>1000000</v>
      </c>
      <c r="R1271" s="4"/>
      <c r="S1271" s="4"/>
      <c r="T1271" s="5">
        <v>1000000</v>
      </c>
      <c r="U1271" s="3"/>
      <c r="V1271" s="3" t="s">
        <v>279</v>
      </c>
    </row>
    <row r="1272" spans="2:22" x14ac:dyDescent="0.25">
      <c r="B1272" s="1">
        <v>46202</v>
      </c>
      <c r="C1272" s="2" t="s">
        <v>65</v>
      </c>
      <c r="D1272" s="3" t="s">
        <v>8</v>
      </c>
      <c r="E1272" s="3" t="s">
        <v>2</v>
      </c>
      <c r="F1272" s="4">
        <v>1013.6</v>
      </c>
      <c r="G1272" s="4">
        <v>24000</v>
      </c>
      <c r="H1272" s="5">
        <v>24326400</v>
      </c>
      <c r="I1272" s="4"/>
      <c r="J1272" s="4"/>
      <c r="K1272" s="4">
        <v>0</v>
      </c>
      <c r="L1272" s="4">
        <v>24326400</v>
      </c>
      <c r="O1272" s="34">
        <v>46210</v>
      </c>
      <c r="P1272" s="10" t="s">
        <v>42</v>
      </c>
      <c r="Q1272" s="11">
        <v>831000</v>
      </c>
      <c r="R1272" s="11"/>
      <c r="S1272" s="11"/>
      <c r="T1272" s="12">
        <v>831000</v>
      </c>
      <c r="U1272" s="10"/>
      <c r="V1272" s="10"/>
    </row>
    <row r="1273" spans="2:22" x14ac:dyDescent="0.25">
      <c r="B1273" s="8">
        <v>46202</v>
      </c>
      <c r="C1273" s="9" t="s">
        <v>106</v>
      </c>
      <c r="D1273" s="10" t="s">
        <v>16</v>
      </c>
      <c r="E1273" s="10" t="s">
        <v>2</v>
      </c>
      <c r="F1273" s="11">
        <v>99.5</v>
      </c>
      <c r="G1273" s="11">
        <v>25000</v>
      </c>
      <c r="H1273" s="12">
        <v>2487500</v>
      </c>
      <c r="I1273" s="11"/>
      <c r="J1273" s="11"/>
      <c r="K1273" s="11">
        <v>0</v>
      </c>
      <c r="L1273" s="11">
        <v>2487500</v>
      </c>
      <c r="O1273" s="33">
        <v>46210</v>
      </c>
      <c r="P1273" s="3" t="s">
        <v>374</v>
      </c>
      <c r="Q1273" s="4">
        <v>1039600</v>
      </c>
      <c r="R1273" s="4"/>
      <c r="S1273" s="4"/>
      <c r="T1273" s="5">
        <v>1039600</v>
      </c>
      <c r="U1273" s="3"/>
      <c r="V1273" s="3"/>
    </row>
    <row r="1274" spans="2:22" x14ac:dyDescent="0.25">
      <c r="B1274" s="1">
        <v>46202</v>
      </c>
      <c r="C1274" s="2" t="s">
        <v>362</v>
      </c>
      <c r="D1274" s="3" t="s">
        <v>10</v>
      </c>
      <c r="E1274" s="3" t="s">
        <v>2</v>
      </c>
      <c r="F1274" s="4">
        <v>101.8</v>
      </c>
      <c r="G1274" s="4">
        <v>14500</v>
      </c>
      <c r="H1274" s="5">
        <v>1476100</v>
      </c>
      <c r="I1274" s="4"/>
      <c r="J1274" s="6"/>
      <c r="K1274" s="4">
        <v>0</v>
      </c>
      <c r="L1274" s="4">
        <v>1476100</v>
      </c>
      <c r="O1274" s="34">
        <v>46211</v>
      </c>
      <c r="P1274" s="10" t="s">
        <v>375</v>
      </c>
      <c r="Q1274" s="11">
        <v>3168000</v>
      </c>
      <c r="R1274" s="11"/>
      <c r="S1274" s="11"/>
      <c r="T1274" s="12">
        <v>3168000</v>
      </c>
      <c r="U1274" s="10"/>
      <c r="V1274" s="10"/>
    </row>
    <row r="1275" spans="2:22" x14ac:dyDescent="0.25">
      <c r="B1275" s="8">
        <v>46202</v>
      </c>
      <c r="C1275" s="9" t="s">
        <v>55</v>
      </c>
      <c r="D1275" s="10" t="s">
        <v>10</v>
      </c>
      <c r="E1275" s="10" t="s">
        <v>2</v>
      </c>
      <c r="F1275" s="11">
        <v>49.9</v>
      </c>
      <c r="G1275" s="11">
        <v>16000</v>
      </c>
      <c r="H1275" s="12">
        <v>798400</v>
      </c>
      <c r="I1275" s="11"/>
      <c r="J1275" s="11"/>
      <c r="K1275" s="11">
        <v>0</v>
      </c>
      <c r="L1275" s="11">
        <v>798400</v>
      </c>
      <c r="O1275" s="33">
        <v>46211</v>
      </c>
      <c r="P1275" s="3" t="s">
        <v>329</v>
      </c>
      <c r="Q1275" s="4">
        <v>1272500</v>
      </c>
      <c r="R1275" s="4"/>
      <c r="S1275" s="4"/>
      <c r="T1275" s="5">
        <v>1272500</v>
      </c>
      <c r="U1275" s="3"/>
      <c r="V1275" s="3"/>
    </row>
    <row r="1276" spans="2:22" x14ac:dyDescent="0.25">
      <c r="B1276" s="1">
        <v>46202</v>
      </c>
      <c r="C1276" s="2" t="s">
        <v>22</v>
      </c>
      <c r="D1276" s="3" t="s">
        <v>36</v>
      </c>
      <c r="E1276" s="3" t="s">
        <v>2</v>
      </c>
      <c r="F1276" s="4">
        <v>48.3</v>
      </c>
      <c r="G1276" s="4">
        <v>24000</v>
      </c>
      <c r="H1276" s="5">
        <v>1159200</v>
      </c>
      <c r="I1276" s="4"/>
      <c r="J1276" s="4"/>
      <c r="K1276" s="4">
        <v>0</v>
      </c>
      <c r="L1276" s="4">
        <v>1159200</v>
      </c>
      <c r="O1276" s="34">
        <v>46211</v>
      </c>
      <c r="P1276" s="10" t="s">
        <v>372</v>
      </c>
      <c r="Q1276" s="11">
        <v>576600</v>
      </c>
      <c r="R1276" s="11"/>
      <c r="S1276" s="11"/>
      <c r="T1276" s="12">
        <v>576600</v>
      </c>
      <c r="U1276" s="10"/>
      <c r="V1276" s="10" t="s">
        <v>279</v>
      </c>
    </row>
    <row r="1277" spans="2:22" x14ac:dyDescent="0.25">
      <c r="B1277" s="8">
        <v>46203</v>
      </c>
      <c r="C1277" s="9" t="s">
        <v>33</v>
      </c>
      <c r="D1277" s="10" t="s">
        <v>10</v>
      </c>
      <c r="E1277" s="10" t="s">
        <v>2</v>
      </c>
      <c r="F1277" s="11">
        <v>588.6</v>
      </c>
      <c r="G1277" s="11">
        <v>15500</v>
      </c>
      <c r="H1277" s="12">
        <v>9123300</v>
      </c>
      <c r="I1277" s="11"/>
      <c r="J1277" s="11"/>
      <c r="K1277" s="11">
        <v>0</v>
      </c>
      <c r="L1277" s="11">
        <v>9123300</v>
      </c>
      <c r="O1277" s="33">
        <v>46211</v>
      </c>
      <c r="P1277" s="3" t="s">
        <v>150</v>
      </c>
      <c r="Q1277" s="4">
        <v>500000</v>
      </c>
      <c r="R1277" s="4"/>
      <c r="S1277" s="4"/>
      <c r="T1277" s="5">
        <v>500000</v>
      </c>
      <c r="U1277" s="3"/>
      <c r="V1277" s="3"/>
    </row>
    <row r="1278" spans="2:22" x14ac:dyDescent="0.25">
      <c r="B1278" s="1">
        <v>46203</v>
      </c>
      <c r="C1278" s="2" t="s">
        <v>33</v>
      </c>
      <c r="D1278" s="3" t="s">
        <v>323</v>
      </c>
      <c r="E1278" s="3" t="s">
        <v>2</v>
      </c>
      <c r="F1278" s="4">
        <v>90.4</v>
      </c>
      <c r="G1278" s="4">
        <v>23000</v>
      </c>
      <c r="H1278" s="5">
        <v>2079200.0000000002</v>
      </c>
      <c r="I1278" s="4"/>
      <c r="J1278" s="4"/>
      <c r="K1278" s="4">
        <v>0</v>
      </c>
      <c r="L1278" s="4">
        <v>2079200.0000000002</v>
      </c>
      <c r="O1278" s="34">
        <v>46211</v>
      </c>
      <c r="P1278" s="10" t="s">
        <v>343</v>
      </c>
      <c r="Q1278" s="11">
        <v>775500</v>
      </c>
      <c r="R1278" s="11"/>
      <c r="S1278" s="11"/>
      <c r="T1278" s="12">
        <v>775500</v>
      </c>
      <c r="U1278" s="10"/>
      <c r="V1278" s="10"/>
    </row>
    <row r="1279" spans="2:22" x14ac:dyDescent="0.25">
      <c r="B1279" s="8">
        <v>46203</v>
      </c>
      <c r="C1279" s="9" t="s">
        <v>235</v>
      </c>
      <c r="D1279" s="10" t="s">
        <v>323</v>
      </c>
      <c r="E1279" s="10" t="s">
        <v>2</v>
      </c>
      <c r="F1279" s="11">
        <v>45.9</v>
      </c>
      <c r="G1279" s="11">
        <v>23000</v>
      </c>
      <c r="H1279" s="12">
        <v>1055700</v>
      </c>
      <c r="I1279" s="11"/>
      <c r="J1279" s="11"/>
      <c r="K1279" s="11">
        <v>0</v>
      </c>
      <c r="L1279" s="11">
        <v>1055700</v>
      </c>
      <c r="O1279" s="33">
        <v>46212</v>
      </c>
      <c r="P1279" s="3" t="s">
        <v>89</v>
      </c>
      <c r="Q1279" s="4">
        <v>11100000</v>
      </c>
      <c r="R1279" s="4"/>
      <c r="S1279" s="4"/>
      <c r="T1279" s="5">
        <v>11100000</v>
      </c>
      <c r="U1279" s="3"/>
      <c r="V1279" s="3" t="s">
        <v>275</v>
      </c>
    </row>
    <row r="1280" spans="2:22" x14ac:dyDescent="0.25">
      <c r="B1280" s="1">
        <v>46203</v>
      </c>
      <c r="C1280" s="2" t="s">
        <v>198</v>
      </c>
      <c r="D1280" s="3" t="s">
        <v>323</v>
      </c>
      <c r="E1280" s="3" t="s">
        <v>2</v>
      </c>
      <c r="F1280" s="4">
        <v>278</v>
      </c>
      <c r="G1280" s="4">
        <v>23000</v>
      </c>
      <c r="H1280" s="5">
        <v>6394000</v>
      </c>
      <c r="I1280" s="4"/>
      <c r="J1280" s="4"/>
      <c r="K1280" s="4">
        <v>0</v>
      </c>
      <c r="L1280" s="4">
        <v>6394000</v>
      </c>
      <c r="O1280" s="34">
        <v>46212</v>
      </c>
      <c r="P1280" s="10" t="s">
        <v>61</v>
      </c>
      <c r="Q1280" s="11">
        <v>10000000</v>
      </c>
      <c r="R1280" s="11"/>
      <c r="S1280" s="11"/>
      <c r="T1280" s="12">
        <v>10000000</v>
      </c>
      <c r="U1280" s="10"/>
      <c r="V1280" s="10" t="s">
        <v>279</v>
      </c>
    </row>
    <row r="1281" spans="2:22" x14ac:dyDescent="0.25">
      <c r="B1281" s="8">
        <v>46203</v>
      </c>
      <c r="C1281" s="9" t="s">
        <v>198</v>
      </c>
      <c r="D1281" s="10" t="s">
        <v>10</v>
      </c>
      <c r="E1281" s="10" t="s">
        <v>2</v>
      </c>
      <c r="F1281" s="11">
        <v>49.4</v>
      </c>
      <c r="G1281" s="11">
        <v>16000</v>
      </c>
      <c r="H1281" s="12">
        <v>790400</v>
      </c>
      <c r="I1281" s="11"/>
      <c r="J1281" s="11"/>
      <c r="K1281" s="11">
        <v>0</v>
      </c>
      <c r="L1281" s="11">
        <v>790400</v>
      </c>
      <c r="O1281" s="33">
        <v>46212</v>
      </c>
      <c r="P1281" s="3" t="s">
        <v>107</v>
      </c>
      <c r="Q1281" s="4">
        <v>1184500</v>
      </c>
      <c r="R1281" s="4"/>
      <c r="S1281" s="4"/>
      <c r="T1281" s="5">
        <v>1184500</v>
      </c>
      <c r="U1281" s="3"/>
      <c r="V1281" s="3" t="s">
        <v>279</v>
      </c>
    </row>
    <row r="1282" spans="2:22" x14ac:dyDescent="0.25">
      <c r="B1282" s="1">
        <v>46203</v>
      </c>
      <c r="C1282" s="2" t="s">
        <v>68</v>
      </c>
      <c r="D1282" s="3" t="s">
        <v>36</v>
      </c>
      <c r="E1282" s="3" t="s">
        <v>2</v>
      </c>
      <c r="F1282" s="4">
        <v>953.7</v>
      </c>
      <c r="G1282" s="4">
        <v>19000</v>
      </c>
      <c r="H1282" s="5">
        <v>18120300</v>
      </c>
      <c r="I1282" s="4"/>
      <c r="J1282" s="4"/>
      <c r="K1282" s="4">
        <v>0</v>
      </c>
      <c r="L1282" s="4">
        <v>18120300</v>
      </c>
      <c r="O1282" s="34">
        <v>46212</v>
      </c>
      <c r="P1282" s="10" t="s">
        <v>124</v>
      </c>
      <c r="Q1282" s="11">
        <v>1751100</v>
      </c>
      <c r="R1282" s="11"/>
      <c r="S1282" s="11"/>
      <c r="T1282" s="12">
        <v>1751100</v>
      </c>
      <c r="U1282" s="10"/>
      <c r="V1282" s="10"/>
    </row>
    <row r="1283" spans="2:22" x14ac:dyDescent="0.25">
      <c r="B1283" s="8">
        <v>46204</v>
      </c>
      <c r="C1283" s="9" t="s">
        <v>156</v>
      </c>
      <c r="D1283" s="10" t="s">
        <v>10</v>
      </c>
      <c r="E1283" s="10" t="s">
        <v>2</v>
      </c>
      <c r="F1283" s="11">
        <v>42.8</v>
      </c>
      <c r="G1283" s="11">
        <v>16000</v>
      </c>
      <c r="H1283" s="12">
        <v>684800</v>
      </c>
      <c r="I1283" s="11"/>
      <c r="J1283" s="11"/>
      <c r="K1283" s="11">
        <v>0</v>
      </c>
      <c r="L1283" s="11">
        <v>684800</v>
      </c>
      <c r="O1283" s="33">
        <v>46212</v>
      </c>
      <c r="P1283" s="3" t="s">
        <v>377</v>
      </c>
      <c r="Q1283" s="4">
        <v>1090200</v>
      </c>
      <c r="R1283" s="4"/>
      <c r="S1283" s="4"/>
      <c r="T1283" s="5">
        <v>1090200</v>
      </c>
      <c r="U1283" s="3"/>
      <c r="V1283" s="3"/>
    </row>
    <row r="1284" spans="2:22" x14ac:dyDescent="0.25">
      <c r="B1284" s="1">
        <v>46204</v>
      </c>
      <c r="C1284" s="2" t="s">
        <v>156</v>
      </c>
      <c r="D1284" s="3" t="s">
        <v>323</v>
      </c>
      <c r="E1284" s="3" t="s">
        <v>2</v>
      </c>
      <c r="F1284" s="4">
        <v>46.2</v>
      </c>
      <c r="G1284" s="4">
        <v>23000</v>
      </c>
      <c r="H1284" s="5">
        <v>1062600</v>
      </c>
      <c r="I1284" s="4"/>
      <c r="J1284" s="4"/>
      <c r="K1284" s="4">
        <v>0</v>
      </c>
      <c r="L1284" s="4">
        <v>1062600</v>
      </c>
      <c r="O1284" s="34">
        <v>46212</v>
      </c>
      <c r="P1284" s="10" t="s">
        <v>79</v>
      </c>
      <c r="Q1284" s="11">
        <v>17259900</v>
      </c>
      <c r="R1284" s="11"/>
      <c r="S1284" s="11"/>
      <c r="T1284" s="12">
        <v>17259900</v>
      </c>
      <c r="U1284" s="10"/>
      <c r="V1284" s="10" t="s">
        <v>279</v>
      </c>
    </row>
    <row r="1285" spans="2:22" x14ac:dyDescent="0.25">
      <c r="B1285" s="8">
        <v>46204</v>
      </c>
      <c r="C1285" s="9" t="s">
        <v>63</v>
      </c>
      <c r="D1285" s="10" t="s">
        <v>323</v>
      </c>
      <c r="E1285" s="10" t="s">
        <v>2</v>
      </c>
      <c r="F1285" s="11">
        <v>47.7</v>
      </c>
      <c r="G1285" s="11">
        <v>23000</v>
      </c>
      <c r="H1285" s="12">
        <v>1097100</v>
      </c>
      <c r="I1285" s="11"/>
      <c r="J1285" s="11"/>
      <c r="K1285" s="11">
        <v>0</v>
      </c>
      <c r="L1285" s="11">
        <v>1097100</v>
      </c>
      <c r="O1285" s="33">
        <v>46212</v>
      </c>
      <c r="P1285" s="3" t="s">
        <v>53</v>
      </c>
      <c r="Q1285" s="4">
        <v>31693550</v>
      </c>
      <c r="R1285" s="4"/>
      <c r="S1285" s="4"/>
      <c r="T1285" s="5">
        <v>31693550</v>
      </c>
      <c r="U1285" s="3"/>
      <c r="V1285" s="3" t="s">
        <v>279</v>
      </c>
    </row>
    <row r="1286" spans="2:22" x14ac:dyDescent="0.25">
      <c r="B1286" s="1">
        <v>46204</v>
      </c>
      <c r="C1286" s="2" t="s">
        <v>291</v>
      </c>
      <c r="D1286" s="3" t="s">
        <v>323</v>
      </c>
      <c r="E1286" s="3" t="s">
        <v>2</v>
      </c>
      <c r="F1286" s="4">
        <v>158.1</v>
      </c>
      <c r="G1286" s="4">
        <v>23000</v>
      </c>
      <c r="H1286" s="5">
        <v>3636300</v>
      </c>
      <c r="I1286" s="4"/>
      <c r="J1286" s="4"/>
      <c r="K1286" s="4">
        <v>0</v>
      </c>
      <c r="L1286" s="4">
        <v>3636300</v>
      </c>
      <c r="O1286" s="34">
        <v>46212</v>
      </c>
      <c r="P1286" s="10" t="s">
        <v>27</v>
      </c>
      <c r="Q1286" s="11">
        <v>20000000</v>
      </c>
      <c r="R1286" s="11"/>
      <c r="S1286" s="11"/>
      <c r="T1286" s="12">
        <v>20000000</v>
      </c>
      <c r="U1286" s="10"/>
      <c r="V1286" s="10"/>
    </row>
    <row r="1287" spans="2:22" x14ac:dyDescent="0.25">
      <c r="B1287" s="8">
        <v>46204</v>
      </c>
      <c r="C1287" s="9" t="s">
        <v>291</v>
      </c>
      <c r="D1287" s="10" t="s">
        <v>10</v>
      </c>
      <c r="E1287" s="10" t="s">
        <v>2</v>
      </c>
      <c r="F1287" s="11">
        <v>100.6</v>
      </c>
      <c r="G1287" s="11">
        <v>16000</v>
      </c>
      <c r="H1287" s="12">
        <v>1609600</v>
      </c>
      <c r="I1287" s="11"/>
      <c r="J1287" s="11"/>
      <c r="K1287" s="11">
        <v>0</v>
      </c>
      <c r="L1287" s="11">
        <v>1609600</v>
      </c>
      <c r="O1287" s="33">
        <v>46212</v>
      </c>
      <c r="P1287" s="3" t="s">
        <v>55</v>
      </c>
      <c r="Q1287" s="4">
        <v>350000</v>
      </c>
      <c r="R1287" s="4"/>
      <c r="S1287" s="4"/>
      <c r="T1287" s="5">
        <v>350000</v>
      </c>
      <c r="U1287" s="3"/>
      <c r="V1287" s="3" t="s">
        <v>275</v>
      </c>
    </row>
    <row r="1288" spans="2:22" x14ac:dyDescent="0.25">
      <c r="B1288" s="1">
        <v>46204</v>
      </c>
      <c r="C1288" s="2" t="s">
        <v>12</v>
      </c>
      <c r="D1288" s="3" t="s">
        <v>16</v>
      </c>
      <c r="E1288" s="3" t="s">
        <v>2</v>
      </c>
      <c r="F1288" s="4">
        <v>1639.9</v>
      </c>
      <c r="G1288" s="4">
        <v>30000</v>
      </c>
      <c r="H1288" s="5">
        <v>49197000</v>
      </c>
      <c r="I1288" s="4" t="s">
        <v>363</v>
      </c>
      <c r="J1288" s="4"/>
      <c r="K1288" s="4">
        <v>0</v>
      </c>
      <c r="L1288" s="4">
        <v>49197000</v>
      </c>
      <c r="O1288" s="34">
        <v>46213</v>
      </c>
      <c r="P1288" s="10" t="s">
        <v>106</v>
      </c>
      <c r="Q1288" s="11">
        <v>3019000</v>
      </c>
      <c r="R1288" s="11"/>
      <c r="S1288" s="11"/>
      <c r="T1288" s="12">
        <v>3019000</v>
      </c>
      <c r="U1288" s="10"/>
      <c r="V1288" s="10"/>
    </row>
    <row r="1289" spans="2:22" x14ac:dyDescent="0.25">
      <c r="B1289" s="8">
        <v>46205</v>
      </c>
      <c r="C1289" s="9" t="s">
        <v>39</v>
      </c>
      <c r="D1289" s="10" t="s">
        <v>16</v>
      </c>
      <c r="E1289" s="10" t="s">
        <v>2</v>
      </c>
      <c r="F1289" s="11">
        <v>937.7</v>
      </c>
      <c r="G1289" s="11">
        <v>27000</v>
      </c>
      <c r="H1289" s="12">
        <v>25317900</v>
      </c>
      <c r="I1289" s="11"/>
      <c r="J1289" s="11"/>
      <c r="K1289" s="11">
        <v>0</v>
      </c>
      <c r="L1289" s="11">
        <v>25317900</v>
      </c>
      <c r="O1289" s="33">
        <v>46213</v>
      </c>
      <c r="P1289" s="3" t="s">
        <v>47</v>
      </c>
      <c r="Q1289" s="4">
        <v>2000000</v>
      </c>
      <c r="R1289" s="4"/>
      <c r="S1289" s="4"/>
      <c r="T1289" s="5">
        <v>2000000</v>
      </c>
      <c r="U1289" s="3"/>
      <c r="V1289" s="3"/>
    </row>
    <row r="1290" spans="2:22" x14ac:dyDescent="0.25">
      <c r="B1290" s="1">
        <v>46205</v>
      </c>
      <c r="C1290" s="2" t="s">
        <v>61</v>
      </c>
      <c r="D1290" s="3" t="s">
        <v>10</v>
      </c>
      <c r="E1290" s="3" t="s">
        <v>2</v>
      </c>
      <c r="F1290" s="4">
        <v>890.3</v>
      </c>
      <c r="G1290" s="4">
        <v>16000</v>
      </c>
      <c r="H1290" s="5">
        <v>14244800</v>
      </c>
      <c r="I1290" s="4"/>
      <c r="J1290" s="4"/>
      <c r="K1290" s="4">
        <v>0</v>
      </c>
      <c r="L1290" s="4">
        <v>14244800</v>
      </c>
      <c r="O1290" s="34">
        <v>46213</v>
      </c>
      <c r="P1290" s="10" t="s">
        <v>78</v>
      </c>
      <c r="Q1290" s="11"/>
      <c r="R1290" s="11">
        <v>500</v>
      </c>
      <c r="S1290" s="11">
        <v>12000</v>
      </c>
      <c r="T1290" s="12">
        <v>6000000</v>
      </c>
      <c r="U1290" s="10"/>
      <c r="V1290" s="10"/>
    </row>
    <row r="1291" spans="2:22" x14ac:dyDescent="0.25">
      <c r="B1291" s="8">
        <v>46205</v>
      </c>
      <c r="C1291" s="9" t="s">
        <v>51</v>
      </c>
      <c r="D1291" s="10" t="s">
        <v>323</v>
      </c>
      <c r="E1291" s="10" t="s">
        <v>2</v>
      </c>
      <c r="F1291" s="11">
        <v>46.6</v>
      </c>
      <c r="G1291" s="11">
        <v>23000</v>
      </c>
      <c r="H1291" s="12">
        <v>1071800</v>
      </c>
      <c r="I1291" s="11"/>
      <c r="J1291" s="11"/>
      <c r="K1291" s="11">
        <v>0</v>
      </c>
      <c r="L1291" s="11">
        <v>1071800</v>
      </c>
      <c r="O1291" s="27">
        <v>46213</v>
      </c>
      <c r="P1291" s="28" t="s">
        <v>65</v>
      </c>
      <c r="Q1291" s="6">
        <v>10000000</v>
      </c>
      <c r="R1291" s="6"/>
      <c r="S1291" s="6"/>
      <c r="T1291" s="29">
        <v>10000000</v>
      </c>
      <c r="U1291" s="28"/>
      <c r="V1291" s="28" t="s">
        <v>279</v>
      </c>
    </row>
    <row r="1292" spans="2:22" x14ac:dyDescent="0.25">
      <c r="B1292" s="1">
        <v>46205</v>
      </c>
      <c r="C1292" s="2" t="s">
        <v>172</v>
      </c>
      <c r="D1292" s="3" t="s">
        <v>323</v>
      </c>
      <c r="E1292" s="3" t="s">
        <v>2</v>
      </c>
      <c r="F1292" s="4">
        <v>528.4</v>
      </c>
      <c r="G1292" s="4">
        <v>23000</v>
      </c>
      <c r="H1292" s="5">
        <v>12153200</v>
      </c>
      <c r="I1292" s="4"/>
      <c r="J1292" s="4"/>
      <c r="K1292" s="4">
        <v>0</v>
      </c>
      <c r="L1292" s="4">
        <v>12153200</v>
      </c>
      <c r="O1292" s="34">
        <v>46213</v>
      </c>
      <c r="P1292" s="10" t="s">
        <v>89</v>
      </c>
      <c r="Q1292" s="11">
        <v>15593000</v>
      </c>
      <c r="R1292" s="11"/>
      <c r="S1292" s="11"/>
      <c r="T1292" s="12">
        <v>15593000</v>
      </c>
      <c r="U1292" s="10"/>
      <c r="V1292" s="10" t="s">
        <v>275</v>
      </c>
    </row>
    <row r="1293" spans="2:22" x14ac:dyDescent="0.25">
      <c r="B1293" s="8">
        <v>46205</v>
      </c>
      <c r="C1293" s="9" t="s">
        <v>343</v>
      </c>
      <c r="D1293" s="10" t="s">
        <v>323</v>
      </c>
      <c r="E1293" s="10" t="s">
        <v>2</v>
      </c>
      <c r="F1293" s="11">
        <v>51.4</v>
      </c>
      <c r="G1293" s="11">
        <v>23000</v>
      </c>
      <c r="H1293" s="12">
        <v>1182200</v>
      </c>
      <c r="I1293" s="11"/>
      <c r="J1293" s="11"/>
      <c r="K1293" s="11">
        <v>0</v>
      </c>
      <c r="L1293" s="11">
        <v>1182200</v>
      </c>
      <c r="O1293" s="33">
        <v>46214</v>
      </c>
      <c r="P1293" s="3" t="s">
        <v>144</v>
      </c>
      <c r="Q1293" s="4">
        <v>800000</v>
      </c>
      <c r="R1293" s="4"/>
      <c r="S1293" s="4"/>
      <c r="T1293" s="5">
        <v>800000</v>
      </c>
      <c r="U1293" s="3"/>
      <c r="V1293" s="3"/>
    </row>
    <row r="1294" spans="2:22" x14ac:dyDescent="0.25">
      <c r="B1294" s="1">
        <v>46205</v>
      </c>
      <c r="C1294" s="2" t="s">
        <v>152</v>
      </c>
      <c r="D1294" s="3" t="s">
        <v>10</v>
      </c>
      <c r="E1294" s="3" t="s">
        <v>2</v>
      </c>
      <c r="F1294" s="4">
        <v>-53.7</v>
      </c>
      <c r="G1294" s="4">
        <v>16000</v>
      </c>
      <c r="H1294" s="5">
        <v>-859200</v>
      </c>
      <c r="I1294" s="4"/>
      <c r="J1294" s="4"/>
      <c r="K1294" s="4">
        <v>0</v>
      </c>
      <c r="L1294" s="4">
        <v>-859200</v>
      </c>
      <c r="O1294" s="34">
        <v>46214</v>
      </c>
      <c r="P1294" s="10" t="s">
        <v>71</v>
      </c>
      <c r="Q1294" s="11">
        <v>2000000</v>
      </c>
      <c r="R1294" s="11"/>
      <c r="S1294" s="11"/>
      <c r="T1294" s="12">
        <v>2000000</v>
      </c>
      <c r="U1294" s="10"/>
      <c r="V1294" s="10"/>
    </row>
    <row r="1295" spans="2:22" x14ac:dyDescent="0.25">
      <c r="B1295" s="8">
        <v>46205</v>
      </c>
      <c r="C1295" s="9" t="s">
        <v>152</v>
      </c>
      <c r="D1295" s="10" t="s">
        <v>323</v>
      </c>
      <c r="E1295" s="10" t="s">
        <v>2</v>
      </c>
      <c r="F1295" s="11">
        <v>96</v>
      </c>
      <c r="G1295" s="11">
        <v>23000</v>
      </c>
      <c r="H1295" s="12">
        <v>2208000</v>
      </c>
      <c r="I1295" s="11"/>
      <c r="J1295" s="11"/>
      <c r="K1295" s="11">
        <v>0</v>
      </c>
      <c r="L1295" s="11">
        <v>2208000</v>
      </c>
      <c r="O1295" s="33">
        <v>46215</v>
      </c>
      <c r="P1295" s="3" t="s">
        <v>81</v>
      </c>
      <c r="Q1295" s="4">
        <v>130000</v>
      </c>
      <c r="R1295" s="4"/>
      <c r="S1295" s="4"/>
      <c r="T1295" s="5">
        <v>130000</v>
      </c>
      <c r="U1295" s="3"/>
      <c r="V1295" s="3"/>
    </row>
    <row r="1296" spans="2:22" x14ac:dyDescent="0.25">
      <c r="B1296" s="1">
        <v>46205</v>
      </c>
      <c r="C1296" s="2" t="s">
        <v>27</v>
      </c>
      <c r="D1296" s="3" t="s">
        <v>10</v>
      </c>
      <c r="E1296" s="3" t="s">
        <v>2</v>
      </c>
      <c r="F1296" s="4">
        <v>985.1</v>
      </c>
      <c r="G1296" s="4">
        <v>16000</v>
      </c>
      <c r="H1296" s="5">
        <v>15761600</v>
      </c>
      <c r="I1296" s="4"/>
      <c r="J1296" s="4"/>
      <c r="K1296" s="4">
        <v>0</v>
      </c>
      <c r="L1296" s="4">
        <v>15761600</v>
      </c>
      <c r="O1296" s="34">
        <v>46215</v>
      </c>
      <c r="P1296" s="10" t="s">
        <v>89</v>
      </c>
      <c r="Q1296" s="11">
        <v>4117000</v>
      </c>
      <c r="R1296" s="11"/>
      <c r="S1296" s="11"/>
      <c r="T1296" s="12">
        <v>4117000</v>
      </c>
      <c r="U1296" s="10"/>
      <c r="V1296" s="10" t="s">
        <v>275</v>
      </c>
    </row>
    <row r="1297" spans="2:22" x14ac:dyDescent="0.25">
      <c r="B1297" s="8">
        <v>46205</v>
      </c>
      <c r="C1297" s="9" t="s">
        <v>27</v>
      </c>
      <c r="D1297" s="10" t="s">
        <v>16</v>
      </c>
      <c r="E1297" s="10" t="s">
        <v>2</v>
      </c>
      <c r="F1297" s="11">
        <v>282.10000000000002</v>
      </c>
      <c r="G1297" s="11">
        <v>24500</v>
      </c>
      <c r="H1297" s="12">
        <v>6911450.0000000009</v>
      </c>
      <c r="I1297" s="11"/>
      <c r="J1297" s="11"/>
      <c r="K1297" s="11">
        <v>0</v>
      </c>
      <c r="L1297" s="11">
        <v>6911450.0000000009</v>
      </c>
      <c r="O1297" s="33">
        <v>46215</v>
      </c>
      <c r="P1297" s="3" t="s">
        <v>56</v>
      </c>
      <c r="Q1297" s="4">
        <v>857900</v>
      </c>
      <c r="R1297" s="4"/>
      <c r="S1297" s="4"/>
      <c r="T1297" s="5">
        <v>857900</v>
      </c>
      <c r="U1297" s="3"/>
      <c r="V1297" s="3"/>
    </row>
    <row r="1298" spans="2:22" x14ac:dyDescent="0.25">
      <c r="B1298" s="1">
        <v>46206</v>
      </c>
      <c r="C1298" s="2" t="s">
        <v>142</v>
      </c>
      <c r="D1298" s="3" t="s">
        <v>323</v>
      </c>
      <c r="E1298" s="3" t="s">
        <v>2</v>
      </c>
      <c r="F1298" s="4">
        <v>49.3</v>
      </c>
      <c r="G1298" s="4">
        <v>23000</v>
      </c>
      <c r="H1298" s="5">
        <v>1133900</v>
      </c>
      <c r="I1298" s="4"/>
      <c r="J1298" s="4"/>
      <c r="K1298" s="4">
        <v>0</v>
      </c>
      <c r="L1298" s="4">
        <v>1133900</v>
      </c>
      <c r="O1298" s="34">
        <v>46215</v>
      </c>
      <c r="P1298" s="10" t="s">
        <v>383</v>
      </c>
      <c r="Q1298" s="11">
        <v>1492500</v>
      </c>
      <c r="R1298" s="11"/>
      <c r="S1298" s="11"/>
      <c r="T1298" s="12">
        <v>1492500</v>
      </c>
      <c r="U1298" s="10"/>
      <c r="V1298" s="10"/>
    </row>
    <row r="1299" spans="2:22" x14ac:dyDescent="0.25">
      <c r="B1299" s="8">
        <v>46206</v>
      </c>
      <c r="C1299" s="9" t="s">
        <v>142</v>
      </c>
      <c r="D1299" s="10" t="s">
        <v>10</v>
      </c>
      <c r="E1299" s="10" t="s">
        <v>2</v>
      </c>
      <c r="F1299" s="11">
        <v>48.8</v>
      </c>
      <c r="G1299" s="11">
        <v>16000</v>
      </c>
      <c r="H1299" s="12">
        <v>780800</v>
      </c>
      <c r="I1299" s="11"/>
      <c r="J1299" s="11"/>
      <c r="K1299" s="11">
        <v>0</v>
      </c>
      <c r="L1299" s="11">
        <v>780800</v>
      </c>
      <c r="O1299" s="33">
        <v>46215</v>
      </c>
      <c r="P1299" s="3" t="s">
        <v>160</v>
      </c>
      <c r="Q1299" s="4">
        <v>1051700</v>
      </c>
      <c r="R1299" s="4"/>
      <c r="S1299" s="4"/>
      <c r="T1299" s="5">
        <v>1051700</v>
      </c>
      <c r="U1299" s="3"/>
      <c r="V1299" s="3"/>
    </row>
    <row r="1300" spans="2:22" x14ac:dyDescent="0.25">
      <c r="B1300" s="1">
        <v>46206</v>
      </c>
      <c r="C1300" s="2" t="s">
        <v>0</v>
      </c>
      <c r="D1300" s="3" t="s">
        <v>10</v>
      </c>
      <c r="E1300" s="3" t="s">
        <v>2</v>
      </c>
      <c r="F1300" s="4">
        <v>48</v>
      </c>
      <c r="G1300" s="4">
        <v>16000</v>
      </c>
      <c r="H1300" s="5">
        <v>768000</v>
      </c>
      <c r="I1300" s="4"/>
      <c r="J1300" s="4"/>
      <c r="K1300" s="4">
        <v>0</v>
      </c>
      <c r="L1300" s="4">
        <v>768000</v>
      </c>
      <c r="O1300" s="34">
        <v>46215</v>
      </c>
      <c r="P1300" s="10" t="s">
        <v>30</v>
      </c>
      <c r="Q1300" s="11">
        <v>1150600</v>
      </c>
      <c r="R1300" s="11"/>
      <c r="S1300" s="11"/>
      <c r="T1300" s="12">
        <v>1150600</v>
      </c>
      <c r="U1300" s="10"/>
      <c r="V1300" s="10"/>
    </row>
    <row r="1301" spans="2:22" x14ac:dyDescent="0.25">
      <c r="B1301" s="8">
        <v>46206</v>
      </c>
      <c r="C1301" s="9" t="s">
        <v>126</v>
      </c>
      <c r="D1301" s="10" t="s">
        <v>25</v>
      </c>
      <c r="E1301" s="10" t="s">
        <v>2</v>
      </c>
      <c r="F1301" s="11">
        <v>180.8</v>
      </c>
      <c r="G1301" s="11">
        <v>28000</v>
      </c>
      <c r="H1301" s="12">
        <v>5062400</v>
      </c>
      <c r="I1301" s="11"/>
      <c r="J1301" s="11"/>
      <c r="K1301" s="11">
        <v>0</v>
      </c>
      <c r="L1301" s="11">
        <v>5062400</v>
      </c>
      <c r="O1301" s="33">
        <v>46215</v>
      </c>
      <c r="P1301" s="3" t="s">
        <v>55</v>
      </c>
      <c r="Q1301" s="4">
        <v>517000</v>
      </c>
      <c r="R1301" s="4"/>
      <c r="S1301" s="4"/>
      <c r="T1301" s="5">
        <v>517000</v>
      </c>
      <c r="U1301" s="3"/>
      <c r="V1301" s="3"/>
    </row>
    <row r="1302" spans="2:22" x14ac:dyDescent="0.25">
      <c r="B1302" s="1">
        <v>46206</v>
      </c>
      <c r="C1302" s="2" t="s">
        <v>262</v>
      </c>
      <c r="D1302" s="3" t="s">
        <v>16</v>
      </c>
      <c r="E1302" s="3" t="s">
        <v>2</v>
      </c>
      <c r="F1302" s="4">
        <v>507.9</v>
      </c>
      <c r="G1302" s="4">
        <v>26000</v>
      </c>
      <c r="H1302" s="5">
        <v>13205400</v>
      </c>
      <c r="I1302" s="4"/>
      <c r="J1302" s="4"/>
      <c r="K1302" s="4">
        <v>0</v>
      </c>
      <c r="L1302" s="4">
        <v>13205400</v>
      </c>
      <c r="O1302" s="34">
        <v>46215</v>
      </c>
      <c r="P1302" s="10" t="s">
        <v>9</v>
      </c>
      <c r="Q1302" s="11">
        <v>5278000</v>
      </c>
      <c r="R1302" s="11"/>
      <c r="S1302" s="11"/>
      <c r="T1302" s="12">
        <v>5278000</v>
      </c>
      <c r="U1302" s="10"/>
      <c r="V1302" s="10" t="s">
        <v>279</v>
      </c>
    </row>
    <row r="1303" spans="2:22" x14ac:dyDescent="0.25">
      <c r="B1303" s="8">
        <v>46206</v>
      </c>
      <c r="C1303" s="9" t="s">
        <v>152</v>
      </c>
      <c r="D1303" s="10" t="s">
        <v>10</v>
      </c>
      <c r="E1303" s="10" t="s">
        <v>2</v>
      </c>
      <c r="F1303" s="11">
        <v>51.4</v>
      </c>
      <c r="G1303" s="11">
        <v>16000</v>
      </c>
      <c r="H1303" s="12">
        <v>822400</v>
      </c>
      <c r="I1303" s="11"/>
      <c r="J1303" s="11"/>
      <c r="K1303" s="11">
        <v>0</v>
      </c>
      <c r="L1303" s="11">
        <v>822400</v>
      </c>
      <c r="O1303" s="33">
        <v>46215</v>
      </c>
      <c r="P1303" s="3" t="s">
        <v>239</v>
      </c>
      <c r="Q1303" s="4">
        <v>1000000</v>
      </c>
      <c r="R1303" s="4"/>
      <c r="S1303" s="4"/>
      <c r="T1303" s="5">
        <v>1000000</v>
      </c>
      <c r="U1303" s="3"/>
      <c r="V1303" s="3" t="s">
        <v>275</v>
      </c>
    </row>
    <row r="1304" spans="2:22" x14ac:dyDescent="0.25">
      <c r="B1304" s="1">
        <v>46206</v>
      </c>
      <c r="C1304" s="2" t="s">
        <v>14</v>
      </c>
      <c r="D1304" s="3" t="s">
        <v>323</v>
      </c>
      <c r="E1304" s="3" t="s">
        <v>2</v>
      </c>
      <c r="F1304" s="4">
        <v>97.7</v>
      </c>
      <c r="G1304" s="4">
        <v>22000</v>
      </c>
      <c r="H1304" s="5">
        <v>2149400</v>
      </c>
      <c r="I1304" s="4"/>
      <c r="J1304" s="6"/>
      <c r="K1304" s="4">
        <v>0</v>
      </c>
      <c r="L1304" s="4">
        <v>2149400</v>
      </c>
      <c r="O1304" s="34">
        <v>46215</v>
      </c>
      <c r="P1304" s="10" t="s">
        <v>362</v>
      </c>
      <c r="Q1304" s="11">
        <v>2550000</v>
      </c>
      <c r="R1304" s="11"/>
      <c r="S1304" s="11"/>
      <c r="T1304" s="12">
        <v>2550000</v>
      </c>
      <c r="U1304" s="10"/>
      <c r="V1304" s="10"/>
    </row>
    <row r="1305" spans="2:22" x14ac:dyDescent="0.25">
      <c r="B1305" s="8">
        <v>46207</v>
      </c>
      <c r="C1305" s="9" t="s">
        <v>33</v>
      </c>
      <c r="D1305" s="10" t="s">
        <v>10</v>
      </c>
      <c r="E1305" s="10" t="s">
        <v>2</v>
      </c>
      <c r="F1305" s="11">
        <v>99.6</v>
      </c>
      <c r="G1305" s="11">
        <v>15500</v>
      </c>
      <c r="H1305" s="12">
        <v>1543800</v>
      </c>
      <c r="I1305" s="11"/>
      <c r="J1305" s="11"/>
      <c r="K1305" s="11">
        <v>0</v>
      </c>
      <c r="L1305" s="11">
        <v>1543800</v>
      </c>
      <c r="O1305" s="33">
        <v>46215</v>
      </c>
      <c r="P1305" s="3" t="s">
        <v>22</v>
      </c>
      <c r="Q1305" s="4">
        <v>948000</v>
      </c>
      <c r="R1305" s="4"/>
      <c r="S1305" s="4"/>
      <c r="T1305" s="5">
        <v>948000</v>
      </c>
      <c r="U1305" s="3"/>
      <c r="V1305" s="3"/>
    </row>
    <row r="1306" spans="2:22" x14ac:dyDescent="0.25">
      <c r="B1306" s="1">
        <v>46207</v>
      </c>
      <c r="C1306" s="2" t="s">
        <v>33</v>
      </c>
      <c r="D1306" s="3" t="s">
        <v>323</v>
      </c>
      <c r="E1306" s="3" t="s">
        <v>2</v>
      </c>
      <c r="F1306" s="4">
        <v>372.4</v>
      </c>
      <c r="G1306" s="4">
        <v>23000</v>
      </c>
      <c r="H1306" s="5">
        <v>8565200</v>
      </c>
      <c r="I1306" s="4"/>
      <c r="J1306" s="4"/>
      <c r="K1306" s="4">
        <v>0</v>
      </c>
      <c r="L1306" s="4">
        <v>8565200</v>
      </c>
      <c r="O1306" s="30">
        <v>46218</v>
      </c>
      <c r="P1306" s="31" t="s">
        <v>68</v>
      </c>
      <c r="Q1306" s="13">
        <v>15000000</v>
      </c>
      <c r="R1306" s="13"/>
      <c r="S1306" s="13"/>
      <c r="T1306" s="12">
        <v>15000000</v>
      </c>
      <c r="U1306" s="10"/>
      <c r="V1306" s="10"/>
    </row>
    <row r="1307" spans="2:22" x14ac:dyDescent="0.25">
      <c r="B1307" s="8">
        <v>46207</v>
      </c>
      <c r="C1307" s="9" t="s">
        <v>364</v>
      </c>
      <c r="D1307" s="10" t="s">
        <v>16</v>
      </c>
      <c r="E1307" s="10" t="s">
        <v>2</v>
      </c>
      <c r="F1307" s="11">
        <v>206</v>
      </c>
      <c r="G1307" s="11">
        <v>22000</v>
      </c>
      <c r="H1307" s="12">
        <v>4532000</v>
      </c>
      <c r="I1307" s="11"/>
      <c r="J1307" s="11"/>
      <c r="K1307" s="11">
        <v>0</v>
      </c>
      <c r="L1307" s="11">
        <v>4532000</v>
      </c>
      <c r="O1307" s="27">
        <v>46218</v>
      </c>
      <c r="P1307" s="28" t="s">
        <v>12</v>
      </c>
      <c r="Q1307" s="6">
        <v>333807000</v>
      </c>
      <c r="R1307" s="6"/>
      <c r="S1307" s="6"/>
      <c r="T1307" s="5">
        <v>333807000</v>
      </c>
      <c r="U1307" s="3"/>
      <c r="V1307" s="3"/>
    </row>
    <row r="1308" spans="2:22" x14ac:dyDescent="0.25">
      <c r="B1308" s="1">
        <v>46207</v>
      </c>
      <c r="C1308" s="2" t="s">
        <v>364</v>
      </c>
      <c r="D1308" s="3" t="s">
        <v>10</v>
      </c>
      <c r="E1308" s="3" t="s">
        <v>2</v>
      </c>
      <c r="F1308" s="4">
        <v>95</v>
      </c>
      <c r="G1308" s="4">
        <v>15000</v>
      </c>
      <c r="H1308" s="5">
        <v>1425000</v>
      </c>
      <c r="I1308" s="4"/>
      <c r="J1308" s="4"/>
      <c r="K1308" s="4">
        <v>0</v>
      </c>
      <c r="L1308" s="4">
        <v>1425000</v>
      </c>
      <c r="O1308" s="30">
        <v>46218</v>
      </c>
      <c r="P1308" s="31" t="s">
        <v>56</v>
      </c>
      <c r="Q1308" s="13">
        <v>766400</v>
      </c>
      <c r="R1308" s="13"/>
      <c r="S1308" s="13"/>
      <c r="T1308" s="12">
        <v>766400</v>
      </c>
      <c r="U1308" s="10"/>
      <c r="V1308" s="10"/>
    </row>
    <row r="1309" spans="2:22" x14ac:dyDescent="0.25">
      <c r="B1309" s="8">
        <v>46207</v>
      </c>
      <c r="C1309" s="9" t="s">
        <v>364</v>
      </c>
      <c r="D1309" s="10" t="s">
        <v>36</v>
      </c>
      <c r="E1309" s="10" t="s">
        <v>2</v>
      </c>
      <c r="F1309" s="11">
        <v>109</v>
      </c>
      <c r="G1309" s="11">
        <v>19000</v>
      </c>
      <c r="H1309" s="12">
        <v>2071000</v>
      </c>
      <c r="I1309" s="11"/>
      <c r="J1309" s="11"/>
      <c r="K1309" s="11">
        <v>0</v>
      </c>
      <c r="L1309" s="11">
        <v>2071000</v>
      </c>
      <c r="O1309" s="27">
        <v>46218</v>
      </c>
      <c r="P1309" s="28" t="s">
        <v>96</v>
      </c>
      <c r="Q1309" s="6">
        <v>500000</v>
      </c>
      <c r="R1309" s="6"/>
      <c r="S1309" s="6"/>
      <c r="T1309" s="5">
        <v>500000</v>
      </c>
      <c r="U1309" s="3"/>
      <c r="V1309" s="3"/>
    </row>
    <row r="1310" spans="2:22" x14ac:dyDescent="0.25">
      <c r="B1310" s="1">
        <v>46207</v>
      </c>
      <c r="C1310" s="2" t="s">
        <v>365</v>
      </c>
      <c r="D1310" s="3" t="s">
        <v>16</v>
      </c>
      <c r="E1310" s="3" t="s">
        <v>2</v>
      </c>
      <c r="F1310" s="4">
        <v>316.89999999999998</v>
      </c>
      <c r="G1310" s="4">
        <v>22000</v>
      </c>
      <c r="H1310" s="5">
        <v>6971799.9999999991</v>
      </c>
      <c r="I1310" s="4"/>
      <c r="J1310" s="4"/>
      <c r="K1310" s="4">
        <v>0</v>
      </c>
      <c r="L1310" s="4">
        <v>6971799.9999999991</v>
      </c>
      <c r="O1310" s="30">
        <v>46218</v>
      </c>
      <c r="P1310" s="31" t="s">
        <v>32</v>
      </c>
      <c r="Q1310" s="13">
        <v>700000</v>
      </c>
      <c r="R1310" s="13"/>
      <c r="S1310" s="13"/>
      <c r="T1310" s="12">
        <v>700000</v>
      </c>
      <c r="U1310" s="10"/>
      <c r="V1310" s="10"/>
    </row>
    <row r="1311" spans="2:22" x14ac:dyDescent="0.25">
      <c r="B1311" s="8">
        <v>46207</v>
      </c>
      <c r="C1311" s="9" t="s">
        <v>365</v>
      </c>
      <c r="D1311" s="10" t="s">
        <v>36</v>
      </c>
      <c r="E1311" s="10" t="s">
        <v>2</v>
      </c>
      <c r="F1311" s="11">
        <v>59.9</v>
      </c>
      <c r="G1311" s="11">
        <v>29000</v>
      </c>
      <c r="H1311" s="12">
        <v>1737100</v>
      </c>
      <c r="I1311" s="11"/>
      <c r="J1311" s="11"/>
      <c r="K1311" s="11">
        <v>0</v>
      </c>
      <c r="L1311" s="11">
        <v>1737100</v>
      </c>
      <c r="O1311" s="27">
        <v>46218</v>
      </c>
      <c r="P1311" s="28" t="s">
        <v>385</v>
      </c>
      <c r="Q1311" s="6">
        <v>9420100</v>
      </c>
      <c r="R1311" s="6"/>
      <c r="S1311" s="6"/>
      <c r="T1311" s="5">
        <v>9420100</v>
      </c>
      <c r="U1311" s="3"/>
      <c r="V1311" s="3"/>
    </row>
    <row r="1312" spans="2:22" x14ac:dyDescent="0.25">
      <c r="B1312" s="1">
        <v>46207</v>
      </c>
      <c r="C1312" s="2" t="s">
        <v>366</v>
      </c>
      <c r="D1312" s="3" t="s">
        <v>16</v>
      </c>
      <c r="E1312" s="3" t="s">
        <v>2</v>
      </c>
      <c r="F1312" s="4">
        <v>146.6</v>
      </c>
      <c r="G1312" s="4">
        <v>22000</v>
      </c>
      <c r="H1312" s="5">
        <v>3225200</v>
      </c>
      <c r="I1312" s="4"/>
      <c r="J1312" s="4"/>
      <c r="K1312" s="4">
        <v>0</v>
      </c>
      <c r="L1312" s="4">
        <v>3225200</v>
      </c>
      <c r="O1312" s="30">
        <v>46218</v>
      </c>
      <c r="P1312" s="31" t="s">
        <v>202</v>
      </c>
      <c r="Q1312" s="13">
        <v>10000000</v>
      </c>
      <c r="R1312" s="13"/>
      <c r="S1312" s="13"/>
      <c r="T1312" s="12">
        <v>10000000</v>
      </c>
      <c r="U1312" s="10"/>
      <c r="V1312" s="10"/>
    </row>
    <row r="1313" spans="2:22" x14ac:dyDescent="0.25">
      <c r="B1313" s="8">
        <v>46207</v>
      </c>
      <c r="C1313" s="9" t="s">
        <v>366</v>
      </c>
      <c r="D1313" s="10" t="s">
        <v>25</v>
      </c>
      <c r="E1313" s="10" t="s">
        <v>2</v>
      </c>
      <c r="F1313" s="11">
        <v>111.7</v>
      </c>
      <c r="G1313" s="11">
        <v>26000</v>
      </c>
      <c r="H1313" s="12">
        <v>2904200</v>
      </c>
      <c r="I1313" s="11"/>
      <c r="J1313" s="11"/>
      <c r="K1313" s="11">
        <v>0</v>
      </c>
      <c r="L1313" s="11">
        <v>2904200</v>
      </c>
      <c r="O1313" s="27">
        <v>46218</v>
      </c>
      <c r="P1313" s="28" t="s">
        <v>239</v>
      </c>
      <c r="Q1313" s="6">
        <v>790450</v>
      </c>
      <c r="R1313" s="6"/>
      <c r="S1313" s="6"/>
      <c r="T1313" s="5">
        <v>790450</v>
      </c>
      <c r="U1313" s="3"/>
      <c r="V1313" s="3"/>
    </row>
    <row r="1314" spans="2:22" x14ac:dyDescent="0.25">
      <c r="B1314" s="1">
        <v>46207</v>
      </c>
      <c r="C1314" s="2" t="s">
        <v>122</v>
      </c>
      <c r="D1314" s="3" t="s">
        <v>16</v>
      </c>
      <c r="E1314" s="3" t="s">
        <v>2</v>
      </c>
      <c r="F1314" s="4">
        <v>101.6</v>
      </c>
      <c r="G1314" s="4">
        <v>25000</v>
      </c>
      <c r="H1314" s="5">
        <v>2540000</v>
      </c>
      <c r="I1314" s="4"/>
      <c r="J1314" s="4"/>
      <c r="K1314" s="4">
        <v>0</v>
      </c>
      <c r="L1314" s="4">
        <v>2540000</v>
      </c>
      <c r="O1314" s="30">
        <v>46218</v>
      </c>
      <c r="P1314" s="31" t="s">
        <v>7</v>
      </c>
      <c r="Q1314" s="13">
        <v>20000000</v>
      </c>
      <c r="R1314" s="13"/>
      <c r="S1314" s="13"/>
      <c r="T1314" s="12">
        <v>20000000</v>
      </c>
      <c r="U1314" s="10"/>
      <c r="V1314" s="10"/>
    </row>
    <row r="1315" spans="2:22" x14ac:dyDescent="0.25">
      <c r="B1315" s="8">
        <v>46207</v>
      </c>
      <c r="C1315" s="9" t="s">
        <v>122</v>
      </c>
      <c r="D1315" s="10" t="s">
        <v>16</v>
      </c>
      <c r="E1315" s="10" t="s">
        <v>2</v>
      </c>
      <c r="F1315" s="11">
        <v>257</v>
      </c>
      <c r="G1315" s="11">
        <v>25000</v>
      </c>
      <c r="H1315" s="12">
        <v>6425000</v>
      </c>
      <c r="I1315" s="11"/>
      <c r="J1315" s="11"/>
      <c r="K1315" s="11">
        <v>0</v>
      </c>
      <c r="L1315" s="11">
        <v>6425000</v>
      </c>
      <c r="O1315" s="27">
        <v>46218</v>
      </c>
      <c r="P1315" s="28" t="s">
        <v>39</v>
      </c>
      <c r="Q1315" s="6">
        <v>10000000</v>
      </c>
      <c r="R1315" s="6"/>
      <c r="S1315" s="6"/>
      <c r="T1315" s="5">
        <v>10000000</v>
      </c>
      <c r="U1315" s="3"/>
      <c r="V1315" s="3"/>
    </row>
    <row r="1316" spans="2:22" x14ac:dyDescent="0.25">
      <c r="B1316" s="1">
        <v>46207</v>
      </c>
      <c r="C1316" s="2" t="s">
        <v>362</v>
      </c>
      <c r="D1316" s="3" t="s">
        <v>16</v>
      </c>
      <c r="E1316" s="3" t="s">
        <v>2</v>
      </c>
      <c r="F1316" s="4">
        <v>50.2</v>
      </c>
      <c r="G1316" s="4">
        <v>24000</v>
      </c>
      <c r="H1316" s="5">
        <v>1204800</v>
      </c>
      <c r="I1316" s="4"/>
      <c r="J1316" s="4"/>
      <c r="K1316" s="4">
        <v>0</v>
      </c>
      <c r="L1316" s="4">
        <v>1204800</v>
      </c>
      <c r="O1316" s="30">
        <v>46218</v>
      </c>
      <c r="P1316" s="31" t="s">
        <v>57</v>
      </c>
      <c r="Q1316" s="13">
        <v>2197800</v>
      </c>
      <c r="R1316" s="13"/>
      <c r="S1316" s="13"/>
      <c r="T1316" s="12">
        <v>2197800</v>
      </c>
      <c r="U1316" s="10"/>
      <c r="V1316" s="10"/>
    </row>
    <row r="1317" spans="2:22" x14ac:dyDescent="0.25">
      <c r="B1317" s="8">
        <v>46207</v>
      </c>
      <c r="C1317" s="9" t="s">
        <v>362</v>
      </c>
      <c r="D1317" s="10" t="s">
        <v>10</v>
      </c>
      <c r="E1317" s="10" t="s">
        <v>2</v>
      </c>
      <c r="F1317" s="11">
        <v>49.8</v>
      </c>
      <c r="G1317" s="11">
        <v>14500</v>
      </c>
      <c r="H1317" s="12">
        <v>722100</v>
      </c>
      <c r="I1317" s="11"/>
      <c r="J1317" s="11"/>
      <c r="K1317" s="11">
        <v>0</v>
      </c>
      <c r="L1317" s="11">
        <v>722100</v>
      </c>
      <c r="O1317" s="27">
        <v>46218</v>
      </c>
      <c r="P1317" s="28" t="s">
        <v>394</v>
      </c>
      <c r="Q1317" s="6">
        <v>952200</v>
      </c>
      <c r="R1317" s="6"/>
      <c r="S1317" s="6"/>
      <c r="T1317" s="5">
        <v>952200</v>
      </c>
      <c r="U1317" s="3"/>
      <c r="V1317" s="3"/>
    </row>
    <row r="1318" spans="2:22" x14ac:dyDescent="0.25">
      <c r="B1318" s="1">
        <v>46208</v>
      </c>
      <c r="C1318" s="2" t="s">
        <v>367</v>
      </c>
      <c r="D1318" s="3" t="s">
        <v>323</v>
      </c>
      <c r="E1318" s="3" t="s">
        <v>2</v>
      </c>
      <c r="F1318" s="4">
        <v>98</v>
      </c>
      <c r="G1318" s="4">
        <v>23000</v>
      </c>
      <c r="H1318" s="5">
        <v>2254000</v>
      </c>
      <c r="I1318" s="4"/>
      <c r="J1318" s="4"/>
      <c r="K1318" s="4">
        <v>0</v>
      </c>
      <c r="L1318" s="4">
        <v>2254000</v>
      </c>
      <c r="O1318" s="30">
        <v>46218</v>
      </c>
      <c r="P1318" s="31" t="s">
        <v>387</v>
      </c>
      <c r="Q1318" s="13">
        <v>1809500</v>
      </c>
      <c r="R1318" s="13"/>
      <c r="S1318" s="13"/>
      <c r="T1318" s="12">
        <v>1809500</v>
      </c>
      <c r="U1318" s="10"/>
      <c r="V1318" s="10"/>
    </row>
    <row r="1319" spans="2:22" x14ac:dyDescent="0.25">
      <c r="B1319" s="8">
        <v>46208</v>
      </c>
      <c r="C1319" s="9" t="s">
        <v>367</v>
      </c>
      <c r="D1319" s="10" t="s">
        <v>10</v>
      </c>
      <c r="E1319" s="10" t="s">
        <v>2</v>
      </c>
      <c r="F1319" s="11">
        <v>46.7</v>
      </c>
      <c r="G1319" s="11">
        <v>16000</v>
      </c>
      <c r="H1319" s="12">
        <v>747200</v>
      </c>
      <c r="I1319" s="11"/>
      <c r="J1319" s="11"/>
      <c r="K1319" s="11">
        <v>0</v>
      </c>
      <c r="L1319" s="11">
        <v>747200</v>
      </c>
      <c r="O1319" s="27">
        <v>46218</v>
      </c>
      <c r="P1319" s="28" t="s">
        <v>383</v>
      </c>
      <c r="Q1319" s="6">
        <v>2109800</v>
      </c>
      <c r="R1319" s="6"/>
      <c r="S1319" s="6"/>
      <c r="T1319" s="5">
        <v>2109800</v>
      </c>
      <c r="U1319" s="3"/>
      <c r="V1319" s="3"/>
    </row>
    <row r="1320" spans="2:22" x14ac:dyDescent="0.25">
      <c r="B1320" s="1">
        <v>46208</v>
      </c>
      <c r="C1320" s="2" t="s">
        <v>368</v>
      </c>
      <c r="D1320" s="3" t="s">
        <v>29</v>
      </c>
      <c r="E1320" s="3" t="s">
        <v>2</v>
      </c>
      <c r="F1320" s="4">
        <v>111.1</v>
      </c>
      <c r="G1320" s="4">
        <v>19000</v>
      </c>
      <c r="H1320" s="5">
        <v>2110900</v>
      </c>
      <c r="I1320" s="4"/>
      <c r="J1320" s="4"/>
      <c r="K1320" s="4">
        <v>0</v>
      </c>
      <c r="L1320" s="4">
        <v>2110900</v>
      </c>
      <c r="O1320" s="30">
        <v>46218</v>
      </c>
      <c r="P1320" s="31" t="s">
        <v>389</v>
      </c>
      <c r="Q1320" s="13">
        <v>700500</v>
      </c>
      <c r="R1320" s="13"/>
      <c r="S1320" s="13"/>
      <c r="T1320" s="12">
        <v>700500</v>
      </c>
      <c r="U1320" s="10"/>
      <c r="V1320" s="10"/>
    </row>
    <row r="1321" spans="2:22" x14ac:dyDescent="0.25">
      <c r="B1321" s="8">
        <v>46208</v>
      </c>
      <c r="C1321" s="9" t="s">
        <v>369</v>
      </c>
      <c r="D1321" s="10" t="s">
        <v>323</v>
      </c>
      <c r="E1321" s="10" t="s">
        <v>2</v>
      </c>
      <c r="F1321" s="11">
        <v>185.1</v>
      </c>
      <c r="G1321" s="11">
        <v>23000</v>
      </c>
      <c r="H1321" s="12">
        <v>4257300</v>
      </c>
      <c r="I1321" s="11"/>
      <c r="J1321" s="11"/>
      <c r="K1321" s="11">
        <v>0</v>
      </c>
      <c r="L1321" s="11">
        <v>4257300</v>
      </c>
      <c r="O1321" s="27">
        <v>46219</v>
      </c>
      <c r="P1321" s="28" t="s">
        <v>65</v>
      </c>
      <c r="Q1321" s="6">
        <v>10000000</v>
      </c>
      <c r="R1321" s="6"/>
      <c r="S1321" s="6"/>
      <c r="T1321" s="5">
        <v>10000000</v>
      </c>
      <c r="U1321" s="3"/>
      <c r="V1321" s="3"/>
    </row>
    <row r="1322" spans="2:22" x14ac:dyDescent="0.25">
      <c r="B1322" s="1">
        <v>46208</v>
      </c>
      <c r="C1322" s="2" t="s">
        <v>62</v>
      </c>
      <c r="D1322" s="3" t="s">
        <v>10</v>
      </c>
      <c r="E1322" s="3" t="s">
        <v>2</v>
      </c>
      <c r="F1322" s="4">
        <v>46.9</v>
      </c>
      <c r="G1322" s="4">
        <v>16000</v>
      </c>
      <c r="H1322" s="5">
        <v>750400</v>
      </c>
      <c r="I1322" s="4"/>
      <c r="J1322" s="4"/>
      <c r="K1322" s="4">
        <v>0</v>
      </c>
      <c r="L1322" s="4">
        <v>750400</v>
      </c>
      <c r="O1322" s="30">
        <v>46219</v>
      </c>
      <c r="P1322" s="31" t="s">
        <v>218</v>
      </c>
      <c r="Q1322" s="13">
        <v>3636000</v>
      </c>
      <c r="R1322" s="13"/>
      <c r="S1322" s="13"/>
      <c r="T1322" s="12">
        <v>3636000</v>
      </c>
      <c r="U1322" s="10"/>
      <c r="V1322" s="10"/>
    </row>
    <row r="1323" spans="2:22" x14ac:dyDescent="0.25">
      <c r="B1323" s="8">
        <v>46208</v>
      </c>
      <c r="C1323" s="9" t="s">
        <v>370</v>
      </c>
      <c r="D1323" s="10" t="s">
        <v>10</v>
      </c>
      <c r="E1323" s="10" t="s">
        <v>2</v>
      </c>
      <c r="F1323" s="11">
        <v>48</v>
      </c>
      <c r="G1323" s="11">
        <v>16000</v>
      </c>
      <c r="H1323" s="12">
        <v>768000</v>
      </c>
      <c r="I1323" s="11"/>
      <c r="J1323" s="11"/>
      <c r="K1323" s="11">
        <v>0</v>
      </c>
      <c r="L1323" s="11">
        <v>768000</v>
      </c>
      <c r="O1323" s="27">
        <v>46219</v>
      </c>
      <c r="P1323" s="28" t="s">
        <v>138</v>
      </c>
      <c r="Q1323" s="6">
        <v>5140000</v>
      </c>
      <c r="R1323" s="6"/>
      <c r="S1323" s="6"/>
      <c r="T1323" s="5">
        <v>5140000</v>
      </c>
      <c r="U1323" s="3"/>
      <c r="V1323" s="3"/>
    </row>
    <row r="1324" spans="2:22" x14ac:dyDescent="0.25">
      <c r="B1324" s="1">
        <v>46208</v>
      </c>
      <c r="C1324" s="2" t="s">
        <v>41</v>
      </c>
      <c r="D1324" s="3" t="s">
        <v>323</v>
      </c>
      <c r="E1324" s="3" t="s">
        <v>2</v>
      </c>
      <c r="F1324" s="4">
        <v>102.2</v>
      </c>
      <c r="G1324" s="4">
        <v>23000</v>
      </c>
      <c r="H1324" s="5">
        <v>2350600</v>
      </c>
      <c r="I1324" s="4"/>
      <c r="J1324" s="4"/>
      <c r="K1324" s="4">
        <v>0</v>
      </c>
      <c r="L1324" s="4">
        <v>2350600</v>
      </c>
      <c r="O1324" s="30">
        <v>46220</v>
      </c>
      <c r="P1324" s="31" t="s">
        <v>216</v>
      </c>
      <c r="Q1324" s="13">
        <v>739500</v>
      </c>
      <c r="R1324" s="13"/>
      <c r="S1324" s="13"/>
      <c r="T1324" s="12">
        <v>739500</v>
      </c>
      <c r="U1324" s="10"/>
      <c r="V1324" s="10"/>
    </row>
    <row r="1325" spans="2:22" x14ac:dyDescent="0.25">
      <c r="B1325" s="8">
        <v>46208</v>
      </c>
      <c r="C1325" s="9" t="s">
        <v>41</v>
      </c>
      <c r="D1325" s="10" t="s">
        <v>36</v>
      </c>
      <c r="E1325" s="10" t="s">
        <v>2</v>
      </c>
      <c r="F1325" s="11">
        <v>52.9</v>
      </c>
      <c r="G1325" s="11">
        <v>20000</v>
      </c>
      <c r="H1325" s="12">
        <v>1058000</v>
      </c>
      <c r="I1325" s="11"/>
      <c r="J1325" s="11"/>
      <c r="K1325" s="11">
        <v>0</v>
      </c>
      <c r="L1325" s="11">
        <v>1058000</v>
      </c>
      <c r="O1325" s="27">
        <v>46221</v>
      </c>
      <c r="P1325" s="28" t="s">
        <v>71</v>
      </c>
      <c r="Q1325" s="6">
        <v>1000000</v>
      </c>
      <c r="R1325" s="6"/>
      <c r="S1325" s="6"/>
      <c r="T1325" s="5">
        <v>1000000</v>
      </c>
      <c r="U1325" s="3"/>
      <c r="V1325" s="3"/>
    </row>
    <row r="1326" spans="2:22" x14ac:dyDescent="0.25">
      <c r="B1326" s="1">
        <v>46208</v>
      </c>
      <c r="C1326" s="2" t="s">
        <v>65</v>
      </c>
      <c r="D1326" s="3" t="s">
        <v>16</v>
      </c>
      <c r="E1326" s="3" t="s">
        <v>2</v>
      </c>
      <c r="F1326" s="4">
        <v>628.5</v>
      </c>
      <c r="G1326" s="4">
        <v>24000</v>
      </c>
      <c r="H1326" s="5">
        <v>15084000</v>
      </c>
      <c r="I1326" s="4"/>
      <c r="J1326" s="4"/>
      <c r="K1326" s="4">
        <v>0</v>
      </c>
      <c r="L1326" s="4">
        <v>15084000</v>
      </c>
      <c r="O1326" s="30">
        <v>46221</v>
      </c>
      <c r="P1326" s="31" t="s">
        <v>0</v>
      </c>
      <c r="Q1326" s="13">
        <v>1084600</v>
      </c>
      <c r="R1326" s="13"/>
      <c r="S1326" s="13"/>
      <c r="T1326" s="12">
        <v>1084600</v>
      </c>
      <c r="U1326" s="10"/>
      <c r="V1326" s="10"/>
    </row>
    <row r="1327" spans="2:22" x14ac:dyDescent="0.25">
      <c r="B1327" s="8">
        <v>46208</v>
      </c>
      <c r="C1327" s="9" t="s">
        <v>371</v>
      </c>
      <c r="D1327" s="10" t="s">
        <v>323</v>
      </c>
      <c r="E1327" s="10" t="s">
        <v>2</v>
      </c>
      <c r="F1327" s="11">
        <v>107.4</v>
      </c>
      <c r="G1327" s="11">
        <v>23000</v>
      </c>
      <c r="H1327" s="12">
        <v>2470200</v>
      </c>
      <c r="I1327" s="11"/>
      <c r="J1327" s="11"/>
      <c r="K1327" s="11">
        <v>0</v>
      </c>
      <c r="L1327" s="11">
        <v>2470200</v>
      </c>
      <c r="O1327" s="27">
        <v>46221</v>
      </c>
      <c r="P1327" s="28" t="s">
        <v>78</v>
      </c>
      <c r="Q1327" s="6"/>
      <c r="R1327" s="6">
        <v>500</v>
      </c>
      <c r="S1327" s="6">
        <v>12100</v>
      </c>
      <c r="T1327" s="5">
        <v>6050000</v>
      </c>
      <c r="U1327" s="3"/>
      <c r="V1327" s="3"/>
    </row>
    <row r="1328" spans="2:22" x14ac:dyDescent="0.25">
      <c r="B1328" s="1">
        <v>46208</v>
      </c>
      <c r="C1328" s="2" t="s">
        <v>371</v>
      </c>
      <c r="D1328" s="3" t="s">
        <v>10</v>
      </c>
      <c r="E1328" s="3" t="s">
        <v>2</v>
      </c>
      <c r="F1328" s="4">
        <v>51.3</v>
      </c>
      <c r="G1328" s="4">
        <v>15000</v>
      </c>
      <c r="H1328" s="5">
        <v>769500</v>
      </c>
      <c r="I1328" s="4"/>
      <c r="J1328" s="6"/>
      <c r="K1328" s="4">
        <v>0</v>
      </c>
      <c r="L1328" s="4">
        <v>769500</v>
      </c>
      <c r="O1328" s="30">
        <v>46221</v>
      </c>
      <c r="P1328" s="31" t="s">
        <v>167</v>
      </c>
      <c r="Q1328" s="13">
        <v>2092200</v>
      </c>
      <c r="R1328" s="13"/>
      <c r="S1328" s="13"/>
      <c r="T1328" s="12">
        <v>2092200</v>
      </c>
      <c r="U1328" s="10"/>
      <c r="V1328" s="10"/>
    </row>
    <row r="1329" spans="2:22" x14ac:dyDescent="0.25">
      <c r="B1329" s="8">
        <v>46208</v>
      </c>
      <c r="C1329" s="9" t="s">
        <v>15</v>
      </c>
      <c r="D1329" s="10" t="s">
        <v>16</v>
      </c>
      <c r="E1329" s="10" t="s">
        <v>2</v>
      </c>
      <c r="F1329" s="11">
        <v>307</v>
      </c>
      <c r="G1329" s="11">
        <v>25000</v>
      </c>
      <c r="H1329" s="12">
        <v>7675000</v>
      </c>
      <c r="I1329" s="11"/>
      <c r="J1329" s="11"/>
      <c r="K1329" s="11">
        <v>0</v>
      </c>
      <c r="L1329" s="11">
        <v>7675000</v>
      </c>
      <c r="O1329" s="27">
        <v>46221</v>
      </c>
      <c r="P1329" s="28" t="s">
        <v>360</v>
      </c>
      <c r="Q1329" s="6">
        <v>1265000</v>
      </c>
      <c r="R1329" s="6"/>
      <c r="S1329" s="6"/>
      <c r="T1329" s="5">
        <v>1265000</v>
      </c>
      <c r="U1329" s="3"/>
      <c r="V1329" s="3"/>
    </row>
    <row r="1330" spans="2:22" x14ac:dyDescent="0.25">
      <c r="B1330" s="1">
        <v>46208</v>
      </c>
      <c r="C1330" s="2" t="s">
        <v>359</v>
      </c>
      <c r="D1330" s="3" t="s">
        <v>8</v>
      </c>
      <c r="E1330" s="3" t="s">
        <v>2</v>
      </c>
      <c r="F1330" s="4">
        <v>42.9</v>
      </c>
      <c r="G1330" s="4">
        <v>24000</v>
      </c>
      <c r="H1330" s="5">
        <v>1029600</v>
      </c>
      <c r="I1330" s="4"/>
      <c r="J1330" s="4"/>
      <c r="K1330" s="4">
        <v>0</v>
      </c>
      <c r="L1330" s="4">
        <v>1029600</v>
      </c>
      <c r="O1330" s="30">
        <v>46221</v>
      </c>
      <c r="P1330" s="31" t="s">
        <v>236</v>
      </c>
      <c r="Q1330" s="13">
        <v>1885100</v>
      </c>
      <c r="R1330" s="13"/>
      <c r="S1330" s="13"/>
      <c r="T1330" s="12">
        <v>1885100</v>
      </c>
      <c r="U1330" s="10"/>
      <c r="V1330" s="10"/>
    </row>
    <row r="1331" spans="2:22" x14ac:dyDescent="0.25">
      <c r="B1331" s="8">
        <v>46209</v>
      </c>
      <c r="C1331" s="9" t="s">
        <v>360</v>
      </c>
      <c r="D1331" s="10" t="s">
        <v>323</v>
      </c>
      <c r="E1331" s="10" t="s">
        <v>2</v>
      </c>
      <c r="F1331" s="11">
        <v>55</v>
      </c>
      <c r="G1331" s="11">
        <v>23000</v>
      </c>
      <c r="H1331" s="12">
        <v>1265000</v>
      </c>
      <c r="I1331" s="11"/>
      <c r="J1331" s="11"/>
      <c r="K1331" s="11">
        <v>0</v>
      </c>
      <c r="L1331" s="11">
        <v>1265000</v>
      </c>
      <c r="O1331" s="27">
        <v>46221</v>
      </c>
      <c r="P1331" s="28" t="s">
        <v>248</v>
      </c>
      <c r="Q1331" s="6">
        <v>1840000</v>
      </c>
      <c r="R1331" s="6"/>
      <c r="S1331" s="6"/>
      <c r="T1331" s="5">
        <v>1840000</v>
      </c>
      <c r="U1331" s="3"/>
      <c r="V1331" s="3"/>
    </row>
    <row r="1332" spans="2:22" x14ac:dyDescent="0.25">
      <c r="B1332" s="1">
        <v>46209</v>
      </c>
      <c r="C1332" s="2" t="s">
        <v>372</v>
      </c>
      <c r="D1332" s="3" t="s">
        <v>16</v>
      </c>
      <c r="E1332" s="3" t="s">
        <v>2</v>
      </c>
      <c r="F1332" s="4">
        <v>103.5</v>
      </c>
      <c r="G1332" s="4">
        <v>26000</v>
      </c>
      <c r="H1332" s="5">
        <v>2691000</v>
      </c>
      <c r="I1332" s="4"/>
      <c r="J1332" s="4"/>
      <c r="K1332" s="4">
        <v>0</v>
      </c>
      <c r="L1332" s="4">
        <v>2691000</v>
      </c>
      <c r="O1332" s="30">
        <v>46221</v>
      </c>
      <c r="P1332" s="31" t="s">
        <v>89</v>
      </c>
      <c r="Q1332" s="13">
        <v>5480000</v>
      </c>
      <c r="R1332" s="13"/>
      <c r="S1332" s="13"/>
      <c r="T1332" s="12">
        <v>5480000</v>
      </c>
      <c r="U1332" s="10"/>
      <c r="V1332" s="10"/>
    </row>
    <row r="1333" spans="2:22" x14ac:dyDescent="0.25">
      <c r="B1333" s="8">
        <v>46209</v>
      </c>
      <c r="C1333" s="9" t="s">
        <v>372</v>
      </c>
      <c r="D1333" s="10" t="s">
        <v>10</v>
      </c>
      <c r="E1333" s="10" t="s">
        <v>2</v>
      </c>
      <c r="F1333" s="11">
        <v>95.7</v>
      </c>
      <c r="G1333" s="11">
        <v>16000</v>
      </c>
      <c r="H1333" s="12">
        <v>1531200</v>
      </c>
      <c r="I1333" s="11"/>
      <c r="J1333" s="11"/>
      <c r="K1333" s="11">
        <v>0</v>
      </c>
      <c r="L1333" s="11">
        <v>1531200</v>
      </c>
    </row>
    <row r="1334" spans="2:22" x14ac:dyDescent="0.25">
      <c r="B1334" s="1">
        <v>46209</v>
      </c>
      <c r="C1334" s="2" t="s">
        <v>9</v>
      </c>
      <c r="D1334" s="3" t="s">
        <v>25</v>
      </c>
      <c r="E1334" s="3" t="s">
        <v>2</v>
      </c>
      <c r="F1334" s="4">
        <v>188.5</v>
      </c>
      <c r="G1334" s="4">
        <v>28000</v>
      </c>
      <c r="H1334" s="5">
        <v>5278000</v>
      </c>
      <c r="I1334" s="4"/>
      <c r="J1334" s="4"/>
      <c r="K1334" s="4">
        <v>0</v>
      </c>
      <c r="L1334" s="4">
        <v>5278000</v>
      </c>
    </row>
    <row r="1335" spans="2:22" x14ac:dyDescent="0.25">
      <c r="B1335" s="8">
        <v>46209</v>
      </c>
      <c r="C1335" s="9" t="s">
        <v>366</v>
      </c>
      <c r="D1335" s="10" t="s">
        <v>25</v>
      </c>
      <c r="E1335" s="10" t="s">
        <v>2</v>
      </c>
      <c r="F1335" s="11">
        <v>190</v>
      </c>
      <c r="G1335" s="11">
        <v>28000</v>
      </c>
      <c r="H1335" s="12">
        <v>5320000</v>
      </c>
      <c r="I1335" s="11"/>
      <c r="J1335" s="11"/>
      <c r="K1335" s="11">
        <v>0</v>
      </c>
      <c r="L1335" s="11">
        <v>5320000</v>
      </c>
    </row>
    <row r="1336" spans="2:22" x14ac:dyDescent="0.25">
      <c r="B1336" s="1">
        <v>46209</v>
      </c>
      <c r="C1336" s="2" t="s">
        <v>13</v>
      </c>
      <c r="D1336" s="3" t="s">
        <v>323</v>
      </c>
      <c r="E1336" s="3" t="s">
        <v>2</v>
      </c>
      <c r="F1336" s="4">
        <v>31</v>
      </c>
      <c r="G1336" s="4">
        <v>23000</v>
      </c>
      <c r="H1336" s="5">
        <v>713000</v>
      </c>
      <c r="I1336" s="4"/>
      <c r="J1336" s="4"/>
      <c r="K1336" s="4">
        <v>0</v>
      </c>
      <c r="L1336" s="4">
        <v>713000</v>
      </c>
    </row>
    <row r="1337" spans="2:22" x14ac:dyDescent="0.25">
      <c r="B1337" s="8">
        <v>46209</v>
      </c>
      <c r="C1337" s="9" t="s">
        <v>34</v>
      </c>
      <c r="D1337" s="10" t="s">
        <v>16</v>
      </c>
      <c r="E1337" s="10" t="s">
        <v>2</v>
      </c>
      <c r="F1337" s="11">
        <v>212.6</v>
      </c>
      <c r="G1337" s="11">
        <v>26000</v>
      </c>
      <c r="H1337" s="12">
        <v>5527600</v>
      </c>
      <c r="I1337" s="11"/>
      <c r="J1337" s="11"/>
      <c r="K1337" s="11">
        <v>0</v>
      </c>
      <c r="L1337" s="11">
        <v>5527600</v>
      </c>
    </row>
    <row r="1338" spans="2:22" x14ac:dyDescent="0.25">
      <c r="B1338" s="1">
        <v>46209</v>
      </c>
      <c r="C1338" s="2" t="s">
        <v>34</v>
      </c>
      <c r="D1338" s="3" t="s">
        <v>10</v>
      </c>
      <c r="E1338" s="3" t="s">
        <v>2</v>
      </c>
      <c r="F1338" s="4">
        <v>199.1</v>
      </c>
      <c r="G1338" s="4">
        <v>17000</v>
      </c>
      <c r="H1338" s="5">
        <v>3384700</v>
      </c>
      <c r="I1338" s="4"/>
      <c r="J1338" s="4"/>
      <c r="K1338" s="4">
        <v>0</v>
      </c>
      <c r="L1338" s="4">
        <v>3384700</v>
      </c>
    </row>
    <row r="1339" spans="2:22" x14ac:dyDescent="0.25">
      <c r="B1339" s="8">
        <v>46209</v>
      </c>
      <c r="C1339" s="9" t="s">
        <v>53</v>
      </c>
      <c r="D1339" s="10" t="s">
        <v>323</v>
      </c>
      <c r="E1339" s="10" t="s">
        <v>2</v>
      </c>
      <c r="F1339" s="11">
        <v>486.4</v>
      </c>
      <c r="G1339" s="11">
        <v>18000</v>
      </c>
      <c r="H1339" s="12">
        <v>8755200</v>
      </c>
      <c r="I1339" s="11"/>
      <c r="J1339" s="11"/>
      <c r="K1339" s="11">
        <v>0</v>
      </c>
      <c r="L1339" s="11">
        <v>8755200</v>
      </c>
    </row>
    <row r="1340" spans="2:22" x14ac:dyDescent="0.25">
      <c r="B1340" s="1">
        <v>46209</v>
      </c>
      <c r="C1340" s="2" t="s">
        <v>7</v>
      </c>
      <c r="D1340" s="3" t="s">
        <v>8</v>
      </c>
      <c r="E1340" s="3" t="s">
        <v>2</v>
      </c>
      <c r="F1340" s="4">
        <v>455.9</v>
      </c>
      <c r="G1340" s="4">
        <v>24000</v>
      </c>
      <c r="H1340" s="5">
        <v>10941600</v>
      </c>
      <c r="I1340" s="4"/>
      <c r="J1340" s="4"/>
      <c r="K1340" s="4">
        <v>0</v>
      </c>
      <c r="L1340" s="4">
        <v>10941600</v>
      </c>
    </row>
    <row r="1341" spans="2:22" x14ac:dyDescent="0.25">
      <c r="B1341" s="8">
        <v>46209</v>
      </c>
      <c r="C1341" s="9" t="s">
        <v>131</v>
      </c>
      <c r="D1341" s="10" t="s">
        <v>16</v>
      </c>
      <c r="E1341" s="10" t="s">
        <v>2</v>
      </c>
      <c r="F1341" s="11">
        <v>551.29999999999995</v>
      </c>
      <c r="G1341" s="11">
        <v>25000</v>
      </c>
      <c r="H1341" s="12">
        <v>13782499.999999998</v>
      </c>
      <c r="I1341" s="11"/>
      <c r="J1341" s="11"/>
      <c r="K1341" s="11">
        <v>0</v>
      </c>
      <c r="L1341" s="11">
        <v>13782499.999999998</v>
      </c>
    </row>
    <row r="1342" spans="2:22" x14ac:dyDescent="0.25">
      <c r="B1342" s="1">
        <v>46209</v>
      </c>
      <c r="C1342" s="2" t="s">
        <v>14</v>
      </c>
      <c r="D1342" s="3" t="s">
        <v>8</v>
      </c>
      <c r="E1342" s="3" t="s">
        <v>2</v>
      </c>
      <c r="F1342" s="4">
        <v>12.6</v>
      </c>
      <c r="G1342" s="4">
        <v>24000</v>
      </c>
      <c r="H1342" s="5">
        <v>302400</v>
      </c>
      <c r="I1342" s="4"/>
      <c r="J1342" s="4"/>
      <c r="K1342" s="4">
        <v>0</v>
      </c>
      <c r="L1342" s="4">
        <v>302400</v>
      </c>
    </row>
    <row r="1343" spans="2:22" x14ac:dyDescent="0.25">
      <c r="B1343" s="8">
        <v>46209</v>
      </c>
      <c r="C1343" s="9" t="s">
        <v>12</v>
      </c>
      <c r="D1343" s="10" t="s">
        <v>16</v>
      </c>
      <c r="E1343" s="10" t="s">
        <v>2</v>
      </c>
      <c r="F1343" s="11">
        <v>1701.2</v>
      </c>
      <c r="G1343" s="11">
        <v>30000</v>
      </c>
      <c r="H1343" s="12">
        <v>51036000</v>
      </c>
      <c r="I1343" s="11"/>
      <c r="J1343" s="11"/>
      <c r="K1343" s="11">
        <v>0</v>
      </c>
      <c r="L1343" s="11">
        <v>51036000</v>
      </c>
    </row>
    <row r="1344" spans="2:22" x14ac:dyDescent="0.25">
      <c r="B1344" s="1">
        <v>46209</v>
      </c>
      <c r="C1344" s="2" t="s">
        <v>340</v>
      </c>
      <c r="D1344" s="3" t="s">
        <v>10</v>
      </c>
      <c r="E1344" s="3" t="s">
        <v>2</v>
      </c>
      <c r="F1344" s="4">
        <v>49.7</v>
      </c>
      <c r="G1344" s="4">
        <v>15000</v>
      </c>
      <c r="H1344" s="5">
        <v>745500</v>
      </c>
      <c r="I1344" s="4">
        <v>49.7</v>
      </c>
      <c r="J1344" s="6"/>
      <c r="K1344" s="4">
        <v>0</v>
      </c>
      <c r="L1344" s="4">
        <v>745500</v>
      </c>
    </row>
    <row r="1345" spans="2:12" x14ac:dyDescent="0.25">
      <c r="B1345" s="8">
        <v>46209</v>
      </c>
      <c r="C1345" s="9" t="s">
        <v>340</v>
      </c>
      <c r="D1345" s="10" t="s">
        <v>16</v>
      </c>
      <c r="E1345" s="10" t="s">
        <v>2</v>
      </c>
      <c r="F1345" s="11">
        <v>47.9</v>
      </c>
      <c r="G1345" s="11">
        <v>22000</v>
      </c>
      <c r="H1345" s="12">
        <v>1053800</v>
      </c>
      <c r="I1345" s="11">
        <v>47.9</v>
      </c>
      <c r="J1345" s="13"/>
      <c r="K1345" s="11">
        <v>0</v>
      </c>
      <c r="L1345" s="11">
        <v>1053800</v>
      </c>
    </row>
    <row r="1346" spans="2:12" x14ac:dyDescent="0.25">
      <c r="B1346" s="1">
        <v>46210</v>
      </c>
      <c r="C1346" s="2" t="s">
        <v>373</v>
      </c>
      <c r="D1346" s="3" t="s">
        <v>10</v>
      </c>
      <c r="E1346" s="3" t="s">
        <v>2</v>
      </c>
      <c r="F1346" s="4">
        <v>51.2</v>
      </c>
      <c r="G1346" s="4">
        <v>15000</v>
      </c>
      <c r="H1346" s="5">
        <v>768000</v>
      </c>
      <c r="I1346" s="4"/>
      <c r="J1346" s="4"/>
      <c r="K1346" s="4">
        <v>0</v>
      </c>
      <c r="L1346" s="4">
        <v>768000</v>
      </c>
    </row>
    <row r="1347" spans="2:12" x14ac:dyDescent="0.25">
      <c r="B1347" s="8">
        <v>46210</v>
      </c>
      <c r="C1347" s="9" t="s">
        <v>373</v>
      </c>
      <c r="D1347" s="10" t="s">
        <v>323</v>
      </c>
      <c r="E1347" s="10" t="s">
        <v>2</v>
      </c>
      <c r="F1347" s="11">
        <v>91</v>
      </c>
      <c r="G1347" s="11">
        <v>23000</v>
      </c>
      <c r="H1347" s="12">
        <v>2093000</v>
      </c>
      <c r="I1347" s="11"/>
      <c r="J1347" s="11"/>
      <c r="K1347" s="11">
        <v>0</v>
      </c>
      <c r="L1347" s="11">
        <v>2093000</v>
      </c>
    </row>
    <row r="1348" spans="2:12" x14ac:dyDescent="0.25">
      <c r="B1348" s="1">
        <v>46210</v>
      </c>
      <c r="C1348" s="2" t="s">
        <v>372</v>
      </c>
      <c r="D1348" s="3" t="s">
        <v>16</v>
      </c>
      <c r="E1348" s="3" t="s">
        <v>2</v>
      </c>
      <c r="F1348" s="4">
        <v>50.3</v>
      </c>
      <c r="G1348" s="4">
        <v>26000</v>
      </c>
      <c r="H1348" s="5">
        <v>1307800</v>
      </c>
      <c r="I1348" s="4"/>
      <c r="J1348" s="4"/>
      <c r="K1348" s="4">
        <v>0</v>
      </c>
      <c r="L1348" s="4">
        <v>1307800</v>
      </c>
    </row>
    <row r="1349" spans="2:12" x14ac:dyDescent="0.25">
      <c r="B1349" s="8">
        <v>46210</v>
      </c>
      <c r="C1349" s="9" t="s">
        <v>374</v>
      </c>
      <c r="D1349" s="10" t="s">
        <v>323</v>
      </c>
      <c r="E1349" s="10" t="s">
        <v>2</v>
      </c>
      <c r="F1349" s="11">
        <v>45.2</v>
      </c>
      <c r="G1349" s="11">
        <v>23000</v>
      </c>
      <c r="H1349" s="12">
        <v>1039600.0000000001</v>
      </c>
      <c r="I1349" s="11"/>
      <c r="J1349" s="11"/>
      <c r="K1349" s="11">
        <v>0</v>
      </c>
      <c r="L1349" s="11">
        <v>1039600.0000000001</v>
      </c>
    </row>
    <row r="1350" spans="2:12" x14ac:dyDescent="0.25">
      <c r="B1350" s="1">
        <v>46210</v>
      </c>
      <c r="C1350" s="2" t="s">
        <v>78</v>
      </c>
      <c r="D1350" s="3" t="s">
        <v>10</v>
      </c>
      <c r="E1350" s="3" t="s">
        <v>2</v>
      </c>
      <c r="F1350" s="4">
        <v>206.3</v>
      </c>
      <c r="G1350" s="4">
        <v>15000</v>
      </c>
      <c r="H1350" s="5">
        <v>3094500</v>
      </c>
      <c r="I1350" s="4"/>
      <c r="J1350" s="4"/>
      <c r="K1350" s="4">
        <v>0</v>
      </c>
      <c r="L1350" s="4">
        <v>3094500</v>
      </c>
    </row>
    <row r="1351" spans="2:12" x14ac:dyDescent="0.25">
      <c r="B1351" s="8">
        <v>46210</v>
      </c>
      <c r="C1351" s="9" t="s">
        <v>338</v>
      </c>
      <c r="D1351" s="10" t="s">
        <v>16</v>
      </c>
      <c r="E1351" s="10" t="s">
        <v>2</v>
      </c>
      <c r="F1351" s="11">
        <v>51.3</v>
      </c>
      <c r="G1351" s="11">
        <v>24000</v>
      </c>
      <c r="H1351" s="12">
        <v>1231200</v>
      </c>
      <c r="I1351" s="11"/>
      <c r="J1351" s="11"/>
      <c r="K1351" s="11">
        <v>0</v>
      </c>
      <c r="L1351" s="11">
        <v>1231200</v>
      </c>
    </row>
    <row r="1352" spans="2:12" x14ac:dyDescent="0.25">
      <c r="B1352" s="1">
        <v>46210</v>
      </c>
      <c r="C1352" s="2" t="s">
        <v>48</v>
      </c>
      <c r="D1352" s="3" t="s">
        <v>8</v>
      </c>
      <c r="E1352" s="3" t="s">
        <v>2</v>
      </c>
      <c r="F1352" s="4">
        <v>205.5</v>
      </c>
      <c r="G1352" s="4">
        <v>25000</v>
      </c>
      <c r="H1352" s="5">
        <v>5137500</v>
      </c>
      <c r="I1352" s="4"/>
      <c r="J1352" s="4"/>
      <c r="K1352" s="4">
        <v>0</v>
      </c>
      <c r="L1352" s="4">
        <v>5137500</v>
      </c>
    </row>
    <row r="1353" spans="2:12" x14ac:dyDescent="0.25">
      <c r="B1353" s="8">
        <v>46210</v>
      </c>
      <c r="C1353" s="9" t="s">
        <v>42</v>
      </c>
      <c r="D1353" s="10" t="s">
        <v>10</v>
      </c>
      <c r="E1353" s="10" t="s">
        <v>2</v>
      </c>
      <c r="F1353" s="11">
        <v>98.7</v>
      </c>
      <c r="G1353" s="11">
        <v>16000</v>
      </c>
      <c r="H1353" s="12">
        <v>1579200</v>
      </c>
      <c r="I1353" s="11"/>
      <c r="J1353" s="11"/>
      <c r="K1353" s="11">
        <v>0</v>
      </c>
      <c r="L1353" s="11">
        <v>1579200</v>
      </c>
    </row>
    <row r="1354" spans="2:12" x14ac:dyDescent="0.25">
      <c r="B1354" s="1">
        <v>46210</v>
      </c>
      <c r="C1354" s="2" t="s">
        <v>42</v>
      </c>
      <c r="D1354" s="3" t="s">
        <v>16</v>
      </c>
      <c r="E1354" s="3" t="s">
        <v>2</v>
      </c>
      <c r="F1354" s="4">
        <v>154.4</v>
      </c>
      <c r="G1354" s="4">
        <v>24000</v>
      </c>
      <c r="H1354" s="5">
        <v>3705600</v>
      </c>
      <c r="I1354" s="4"/>
      <c r="J1354" s="4"/>
      <c r="K1354" s="4">
        <v>0</v>
      </c>
      <c r="L1354" s="4">
        <v>3705600</v>
      </c>
    </row>
    <row r="1355" spans="2:12" x14ac:dyDescent="0.25">
      <c r="B1355" s="8">
        <v>46210</v>
      </c>
      <c r="C1355" s="9" t="s">
        <v>372</v>
      </c>
      <c r="D1355" s="10" t="s">
        <v>10</v>
      </c>
      <c r="E1355" s="10" t="s">
        <v>2</v>
      </c>
      <c r="F1355" s="11">
        <v>-45.7</v>
      </c>
      <c r="G1355" s="11">
        <v>16000</v>
      </c>
      <c r="H1355" s="12">
        <v>-731200</v>
      </c>
      <c r="I1355" s="11"/>
      <c r="J1355" s="13"/>
      <c r="K1355" s="11">
        <v>0</v>
      </c>
      <c r="L1355" s="11">
        <v>-731200</v>
      </c>
    </row>
    <row r="1356" spans="2:12" x14ac:dyDescent="0.25">
      <c r="B1356" s="1">
        <v>46210</v>
      </c>
      <c r="C1356" s="2" t="s">
        <v>129</v>
      </c>
      <c r="D1356" s="3" t="s">
        <v>323</v>
      </c>
      <c r="E1356" s="3" t="s">
        <v>2</v>
      </c>
      <c r="F1356" s="4">
        <v>286.7</v>
      </c>
      <c r="G1356" s="4">
        <v>19000</v>
      </c>
      <c r="H1356" s="5">
        <v>5447300</v>
      </c>
      <c r="I1356" s="4"/>
      <c r="J1356" s="4"/>
      <c r="K1356" s="4">
        <v>0</v>
      </c>
      <c r="L1356" s="4">
        <v>5447300</v>
      </c>
    </row>
    <row r="1357" spans="2:12" x14ac:dyDescent="0.25">
      <c r="B1357" s="8">
        <v>46210</v>
      </c>
      <c r="C1357" s="9" t="s">
        <v>89</v>
      </c>
      <c r="D1357" s="10" t="s">
        <v>10</v>
      </c>
      <c r="E1357" s="10" t="s">
        <v>2</v>
      </c>
      <c r="F1357" s="11">
        <v>2486.6999999999998</v>
      </c>
      <c r="G1357" s="11">
        <v>14000</v>
      </c>
      <c r="H1357" s="12">
        <v>34813800</v>
      </c>
      <c r="I1357" s="11">
        <v>2486.6999999999998</v>
      </c>
      <c r="J1357" s="13"/>
      <c r="K1357" s="11">
        <v>0</v>
      </c>
      <c r="L1357" s="11">
        <v>34813800</v>
      </c>
    </row>
    <row r="1358" spans="2:12" x14ac:dyDescent="0.25">
      <c r="B1358" s="1">
        <v>46211</v>
      </c>
      <c r="C1358" s="2" t="s">
        <v>53</v>
      </c>
      <c r="D1358" s="3" t="s">
        <v>16</v>
      </c>
      <c r="E1358" s="3" t="s">
        <v>2</v>
      </c>
      <c r="F1358" s="4">
        <v>1008.8</v>
      </c>
      <c r="G1358" s="4">
        <v>23500</v>
      </c>
      <c r="H1358" s="5">
        <v>23706800</v>
      </c>
      <c r="I1358" s="4"/>
      <c r="J1358" s="4"/>
      <c r="K1358" s="4">
        <v>0</v>
      </c>
      <c r="L1358" s="4">
        <v>23706800</v>
      </c>
    </row>
    <row r="1359" spans="2:12" x14ac:dyDescent="0.25">
      <c r="B1359" s="8">
        <v>46211</v>
      </c>
      <c r="C1359" s="9" t="s">
        <v>375</v>
      </c>
      <c r="D1359" s="10" t="s">
        <v>323</v>
      </c>
      <c r="E1359" s="10" t="s">
        <v>2</v>
      </c>
      <c r="F1359" s="11">
        <v>144</v>
      </c>
      <c r="G1359" s="11">
        <v>22000</v>
      </c>
      <c r="H1359" s="12">
        <v>3168000</v>
      </c>
      <c r="I1359" s="11"/>
      <c r="J1359" s="11"/>
      <c r="K1359" s="11">
        <v>0</v>
      </c>
      <c r="L1359" s="11">
        <v>3168000</v>
      </c>
    </row>
    <row r="1360" spans="2:12" x14ac:dyDescent="0.25">
      <c r="B1360" s="1">
        <v>46211</v>
      </c>
      <c r="C1360" s="2" t="s">
        <v>19</v>
      </c>
      <c r="D1360" s="3" t="s">
        <v>10</v>
      </c>
      <c r="E1360" s="3" t="s">
        <v>2</v>
      </c>
      <c r="F1360" s="4">
        <v>48</v>
      </c>
      <c r="G1360" s="4">
        <v>16000</v>
      </c>
      <c r="H1360" s="5">
        <v>768000</v>
      </c>
      <c r="I1360" s="4"/>
      <c r="J1360" s="4"/>
      <c r="K1360" s="4">
        <v>0</v>
      </c>
      <c r="L1360" s="4">
        <v>768000</v>
      </c>
    </row>
    <row r="1361" spans="2:12" x14ac:dyDescent="0.25">
      <c r="B1361" s="8">
        <v>46211</v>
      </c>
      <c r="C1361" s="9" t="s">
        <v>376</v>
      </c>
      <c r="D1361" s="10" t="s">
        <v>10</v>
      </c>
      <c r="E1361" s="10" t="s">
        <v>2</v>
      </c>
      <c r="F1361" s="11">
        <v>94.9</v>
      </c>
      <c r="G1361" s="11">
        <v>15000</v>
      </c>
      <c r="H1361" s="12">
        <v>1423500</v>
      </c>
      <c r="I1361" s="11"/>
      <c r="J1361" s="11"/>
      <c r="K1361" s="11">
        <v>0</v>
      </c>
      <c r="L1361" s="11">
        <v>1423500</v>
      </c>
    </row>
    <row r="1362" spans="2:12" x14ac:dyDescent="0.25">
      <c r="B1362" s="1">
        <v>46211</v>
      </c>
      <c r="C1362" s="2" t="s">
        <v>376</v>
      </c>
      <c r="D1362" s="3" t="s">
        <v>323</v>
      </c>
      <c r="E1362" s="3" t="s">
        <v>2</v>
      </c>
      <c r="F1362" s="4">
        <v>240.3</v>
      </c>
      <c r="G1362" s="4">
        <v>22000</v>
      </c>
      <c r="H1362" s="5">
        <v>5286600</v>
      </c>
      <c r="I1362" s="4"/>
      <c r="J1362" s="4"/>
      <c r="K1362" s="4">
        <v>0</v>
      </c>
      <c r="L1362" s="4">
        <v>5286600</v>
      </c>
    </row>
    <row r="1363" spans="2:12" x14ac:dyDescent="0.25">
      <c r="B1363" s="8">
        <v>46211</v>
      </c>
      <c r="C1363" s="9" t="s">
        <v>202</v>
      </c>
      <c r="D1363" s="10" t="s">
        <v>323</v>
      </c>
      <c r="E1363" s="10" t="s">
        <v>2</v>
      </c>
      <c r="F1363" s="11">
        <v>232.1</v>
      </c>
      <c r="G1363" s="11">
        <v>23000</v>
      </c>
      <c r="H1363" s="12">
        <v>5338300</v>
      </c>
      <c r="I1363" s="11"/>
      <c r="J1363" s="11"/>
      <c r="K1363" s="11">
        <v>0</v>
      </c>
      <c r="L1363" s="11">
        <v>5338300</v>
      </c>
    </row>
    <row r="1364" spans="2:12" x14ac:dyDescent="0.25">
      <c r="B1364" s="1">
        <v>46211</v>
      </c>
      <c r="C1364" s="2" t="s">
        <v>202</v>
      </c>
      <c r="D1364" s="3" t="s">
        <v>29</v>
      </c>
      <c r="E1364" s="3" t="s">
        <v>2</v>
      </c>
      <c r="F1364" s="4">
        <v>234.7</v>
      </c>
      <c r="G1364" s="4">
        <v>19000</v>
      </c>
      <c r="H1364" s="5">
        <v>4459300</v>
      </c>
      <c r="I1364" s="4"/>
      <c r="J1364" s="4"/>
      <c r="K1364" s="4">
        <v>0</v>
      </c>
      <c r="L1364" s="4">
        <v>4459300</v>
      </c>
    </row>
    <row r="1365" spans="2:12" x14ac:dyDescent="0.25">
      <c r="B1365" s="8">
        <v>46211</v>
      </c>
      <c r="C1365" s="9" t="s">
        <v>202</v>
      </c>
      <c r="D1365" s="10" t="s">
        <v>25</v>
      </c>
      <c r="E1365" s="10" t="s">
        <v>2</v>
      </c>
      <c r="F1365" s="11">
        <v>46.2</v>
      </c>
      <c r="G1365" s="11">
        <v>24000</v>
      </c>
      <c r="H1365" s="12">
        <v>1108800</v>
      </c>
      <c r="I1365" s="11"/>
      <c r="J1365" s="11"/>
      <c r="K1365" s="11">
        <v>0</v>
      </c>
      <c r="L1365" s="11">
        <v>1108800</v>
      </c>
    </row>
    <row r="1366" spans="2:12" x14ac:dyDescent="0.25">
      <c r="B1366" s="1">
        <v>46211</v>
      </c>
      <c r="C1366" s="2" t="s">
        <v>343</v>
      </c>
      <c r="D1366" s="3" t="s">
        <v>10</v>
      </c>
      <c r="E1366" s="3" t="s">
        <v>2</v>
      </c>
      <c r="F1366" s="4">
        <v>51.7</v>
      </c>
      <c r="G1366" s="4">
        <v>15000</v>
      </c>
      <c r="H1366" s="5">
        <v>775500</v>
      </c>
      <c r="I1366" s="4"/>
      <c r="J1366" s="4"/>
      <c r="K1366" s="4">
        <v>0</v>
      </c>
      <c r="L1366" s="4">
        <v>775500</v>
      </c>
    </row>
    <row r="1367" spans="2:12" x14ac:dyDescent="0.25">
      <c r="B1367" s="8">
        <v>46212</v>
      </c>
      <c r="C1367" s="9" t="s">
        <v>124</v>
      </c>
      <c r="D1367" s="10" t="s">
        <v>323</v>
      </c>
      <c r="E1367" s="10" t="s">
        <v>2</v>
      </c>
      <c r="F1367" s="11">
        <v>43.3</v>
      </c>
      <c r="G1367" s="11">
        <v>23000</v>
      </c>
      <c r="H1367" s="12">
        <v>995899.99999999988</v>
      </c>
      <c r="I1367" s="11"/>
      <c r="J1367" s="11"/>
      <c r="K1367" s="11">
        <v>0</v>
      </c>
      <c r="L1367" s="11">
        <v>995899.99999999988</v>
      </c>
    </row>
    <row r="1368" spans="2:12" x14ac:dyDescent="0.25">
      <c r="B1368" s="1">
        <v>46212</v>
      </c>
      <c r="C1368" s="2" t="s">
        <v>124</v>
      </c>
      <c r="D1368" s="3" t="s">
        <v>10</v>
      </c>
      <c r="E1368" s="3" t="s">
        <v>2</v>
      </c>
      <c r="F1368" s="4">
        <v>47.2</v>
      </c>
      <c r="G1368" s="4">
        <v>16000</v>
      </c>
      <c r="H1368" s="5">
        <v>755200</v>
      </c>
      <c r="I1368" s="4"/>
      <c r="J1368" s="4"/>
      <c r="K1368" s="4">
        <v>0</v>
      </c>
      <c r="L1368" s="4">
        <v>755200</v>
      </c>
    </row>
    <row r="1369" spans="2:12" x14ac:dyDescent="0.25">
      <c r="B1369" s="8">
        <v>46212</v>
      </c>
      <c r="C1369" s="9" t="s">
        <v>377</v>
      </c>
      <c r="D1369" s="10" t="s">
        <v>323</v>
      </c>
      <c r="E1369" s="10" t="s">
        <v>2</v>
      </c>
      <c r="F1369" s="11">
        <v>47.4</v>
      </c>
      <c r="G1369" s="11">
        <v>23000</v>
      </c>
      <c r="H1369" s="12">
        <v>1090200</v>
      </c>
      <c r="I1369" s="11"/>
      <c r="J1369" s="11"/>
      <c r="K1369" s="11">
        <v>0</v>
      </c>
      <c r="L1369" s="11">
        <v>1090200</v>
      </c>
    </row>
    <row r="1370" spans="2:12" x14ac:dyDescent="0.25">
      <c r="B1370" s="1">
        <v>46212</v>
      </c>
      <c r="C1370" s="2" t="s">
        <v>378</v>
      </c>
      <c r="D1370" s="3" t="s">
        <v>323</v>
      </c>
      <c r="E1370" s="3" t="s">
        <v>2</v>
      </c>
      <c r="F1370" s="4">
        <v>135.5</v>
      </c>
      <c r="G1370" s="4">
        <v>22500</v>
      </c>
      <c r="H1370" s="5">
        <v>3048750</v>
      </c>
      <c r="I1370" s="4"/>
      <c r="J1370" s="4"/>
      <c r="K1370" s="4">
        <v>0</v>
      </c>
      <c r="L1370" s="4">
        <v>3048750</v>
      </c>
    </row>
    <row r="1371" spans="2:12" x14ac:dyDescent="0.25">
      <c r="B1371" s="8">
        <v>46212</v>
      </c>
      <c r="C1371" s="9" t="s">
        <v>378</v>
      </c>
      <c r="D1371" s="10" t="s">
        <v>10</v>
      </c>
      <c r="E1371" s="10" t="s">
        <v>2</v>
      </c>
      <c r="F1371" s="11">
        <v>49.6</v>
      </c>
      <c r="G1371" s="11">
        <v>15000</v>
      </c>
      <c r="H1371" s="12">
        <v>744000</v>
      </c>
      <c r="I1371" s="11"/>
      <c r="J1371" s="11"/>
      <c r="K1371" s="11">
        <v>0</v>
      </c>
      <c r="L1371" s="11">
        <v>744000</v>
      </c>
    </row>
    <row r="1372" spans="2:12" x14ac:dyDescent="0.25">
      <c r="B1372" s="1">
        <v>46212</v>
      </c>
      <c r="C1372" s="2" t="s">
        <v>67</v>
      </c>
      <c r="D1372" s="3" t="s">
        <v>29</v>
      </c>
      <c r="E1372" s="3" t="s">
        <v>2</v>
      </c>
      <c r="F1372" s="4">
        <v>61.2</v>
      </c>
      <c r="G1372" s="4">
        <v>19000</v>
      </c>
      <c r="H1372" s="5">
        <v>1162800</v>
      </c>
      <c r="I1372" s="4"/>
      <c r="J1372" s="6"/>
      <c r="K1372" s="4">
        <v>0</v>
      </c>
      <c r="L1372" s="4">
        <v>1162800</v>
      </c>
    </row>
    <row r="1373" spans="2:12" x14ac:dyDescent="0.25">
      <c r="B1373" s="8">
        <v>46212</v>
      </c>
      <c r="C1373" s="9" t="s">
        <v>33</v>
      </c>
      <c r="D1373" s="10" t="s">
        <v>10</v>
      </c>
      <c r="E1373" s="10" t="s">
        <v>379</v>
      </c>
      <c r="F1373" s="11">
        <v>1001.3</v>
      </c>
      <c r="G1373" s="11">
        <v>15500</v>
      </c>
      <c r="H1373" s="12">
        <v>15520150</v>
      </c>
      <c r="I1373" s="11"/>
      <c r="J1373" s="13"/>
      <c r="K1373" s="11">
        <v>0</v>
      </c>
      <c r="L1373" s="11">
        <v>15520150</v>
      </c>
    </row>
    <row r="1374" spans="2:12" x14ac:dyDescent="0.25">
      <c r="B1374" s="1">
        <v>46213</v>
      </c>
      <c r="C1374" s="2" t="s">
        <v>60</v>
      </c>
      <c r="D1374" s="3" t="s">
        <v>16</v>
      </c>
      <c r="E1374" s="3" t="s">
        <v>2</v>
      </c>
      <c r="F1374" s="4">
        <v>487.5</v>
      </c>
      <c r="G1374" s="4">
        <v>23000</v>
      </c>
      <c r="H1374" s="5">
        <v>11212500</v>
      </c>
      <c r="I1374" s="4"/>
      <c r="J1374" s="4"/>
      <c r="K1374" s="4">
        <v>0</v>
      </c>
      <c r="L1374" s="4">
        <v>11212500</v>
      </c>
    </row>
    <row r="1375" spans="2:12" x14ac:dyDescent="0.25">
      <c r="B1375" s="8">
        <v>46213</v>
      </c>
      <c r="C1375" s="9" t="s">
        <v>216</v>
      </c>
      <c r="D1375" s="10" t="s">
        <v>10</v>
      </c>
      <c r="E1375" s="10" t="s">
        <v>2</v>
      </c>
      <c r="F1375" s="11">
        <v>49.3</v>
      </c>
      <c r="G1375" s="11">
        <v>15000</v>
      </c>
      <c r="H1375" s="12">
        <v>739500</v>
      </c>
      <c r="I1375" s="11"/>
      <c r="J1375" s="11"/>
      <c r="K1375" s="11">
        <v>0</v>
      </c>
      <c r="L1375" s="11">
        <v>739500</v>
      </c>
    </row>
    <row r="1376" spans="2:12" x14ac:dyDescent="0.25">
      <c r="B1376" s="1">
        <v>46213</v>
      </c>
      <c r="C1376" s="2" t="s">
        <v>106</v>
      </c>
      <c r="D1376" s="3" t="s">
        <v>16</v>
      </c>
      <c r="E1376" s="3" t="s">
        <v>2</v>
      </c>
      <c r="F1376" s="4">
        <v>155.9</v>
      </c>
      <c r="G1376" s="4">
        <v>23000</v>
      </c>
      <c r="H1376" s="5">
        <v>3585700</v>
      </c>
      <c r="I1376" s="4"/>
      <c r="J1376" s="4"/>
      <c r="K1376" s="4">
        <v>0</v>
      </c>
      <c r="L1376" s="4">
        <v>3585700</v>
      </c>
    </row>
    <row r="1377" spans="2:12" x14ac:dyDescent="0.25">
      <c r="B1377" s="8">
        <v>46213</v>
      </c>
      <c r="C1377" s="9" t="s">
        <v>380</v>
      </c>
      <c r="D1377" s="10" t="s">
        <v>10</v>
      </c>
      <c r="E1377" s="10" t="s">
        <v>2</v>
      </c>
      <c r="F1377" s="11">
        <v>-92</v>
      </c>
      <c r="G1377" s="11">
        <v>22000</v>
      </c>
      <c r="H1377" s="12">
        <v>-2024000</v>
      </c>
      <c r="I1377" s="11"/>
      <c r="J1377" s="11"/>
      <c r="K1377" s="11">
        <v>0</v>
      </c>
      <c r="L1377" s="11">
        <v>-2024000</v>
      </c>
    </row>
    <row r="1378" spans="2:12" x14ac:dyDescent="0.25">
      <c r="B1378" s="1">
        <v>46213</v>
      </c>
      <c r="C1378" s="2" t="s">
        <v>23</v>
      </c>
      <c r="D1378" s="3" t="s">
        <v>16</v>
      </c>
      <c r="E1378" s="3" t="s">
        <v>2</v>
      </c>
      <c r="F1378" s="4">
        <v>97.4</v>
      </c>
      <c r="G1378" s="4">
        <v>22000</v>
      </c>
      <c r="H1378" s="5">
        <v>2142800</v>
      </c>
      <c r="I1378" s="4"/>
      <c r="J1378" s="4"/>
      <c r="K1378" s="4">
        <v>0</v>
      </c>
      <c r="L1378" s="4">
        <v>2142800</v>
      </c>
    </row>
    <row r="1379" spans="2:12" x14ac:dyDescent="0.25">
      <c r="B1379" s="8">
        <v>46213</v>
      </c>
      <c r="C1379" s="9" t="s">
        <v>23</v>
      </c>
      <c r="D1379" s="10" t="s">
        <v>10</v>
      </c>
      <c r="E1379" s="10" t="s">
        <v>2</v>
      </c>
      <c r="F1379" s="11">
        <v>56.5</v>
      </c>
      <c r="G1379" s="11">
        <v>15000</v>
      </c>
      <c r="H1379" s="12">
        <v>847500</v>
      </c>
      <c r="I1379" s="11"/>
      <c r="J1379" s="11"/>
      <c r="K1379" s="11">
        <v>0</v>
      </c>
      <c r="L1379" s="11">
        <v>847500</v>
      </c>
    </row>
    <row r="1380" spans="2:12" x14ac:dyDescent="0.25">
      <c r="B1380" s="1">
        <v>46213</v>
      </c>
      <c r="C1380" s="2" t="s">
        <v>67</v>
      </c>
      <c r="D1380" s="3" t="s">
        <v>29</v>
      </c>
      <c r="E1380" s="3" t="s">
        <v>2</v>
      </c>
      <c r="F1380" s="4">
        <v>438.6</v>
      </c>
      <c r="G1380" s="4">
        <v>19000</v>
      </c>
      <c r="H1380" s="5">
        <v>8333400</v>
      </c>
      <c r="I1380" s="4"/>
      <c r="J1380" s="4"/>
      <c r="K1380" s="4">
        <v>0</v>
      </c>
      <c r="L1380" s="4">
        <v>8333400</v>
      </c>
    </row>
    <row r="1381" spans="2:12" x14ac:dyDescent="0.25">
      <c r="B1381" s="8">
        <v>46213</v>
      </c>
      <c r="C1381" s="9" t="s">
        <v>33</v>
      </c>
      <c r="D1381" s="10" t="s">
        <v>10</v>
      </c>
      <c r="E1381" s="10" t="s">
        <v>2</v>
      </c>
      <c r="F1381" s="11">
        <v>599.29999999999995</v>
      </c>
      <c r="G1381" s="11">
        <v>15500</v>
      </c>
      <c r="H1381" s="12">
        <v>9289150</v>
      </c>
      <c r="I1381" s="11"/>
      <c r="J1381" s="11"/>
      <c r="K1381" s="11">
        <v>0</v>
      </c>
      <c r="L1381" s="11">
        <v>9289150</v>
      </c>
    </row>
    <row r="1382" spans="2:12" x14ac:dyDescent="0.25">
      <c r="B1382" s="1">
        <v>46214</v>
      </c>
      <c r="C1382" s="2" t="s">
        <v>71</v>
      </c>
      <c r="D1382" s="3" t="s">
        <v>10</v>
      </c>
      <c r="E1382" s="3" t="s">
        <v>2</v>
      </c>
      <c r="F1382" s="4">
        <v>52.5</v>
      </c>
      <c r="G1382" s="4">
        <v>16000</v>
      </c>
      <c r="H1382" s="5">
        <v>840000</v>
      </c>
      <c r="I1382" s="4"/>
      <c r="J1382" s="4"/>
      <c r="K1382" s="4">
        <v>0</v>
      </c>
      <c r="L1382" s="4">
        <v>840000</v>
      </c>
    </row>
    <row r="1383" spans="2:12" x14ac:dyDescent="0.25">
      <c r="B1383" s="8">
        <v>46214</v>
      </c>
      <c r="C1383" s="9" t="s">
        <v>71</v>
      </c>
      <c r="D1383" s="10" t="s">
        <v>16</v>
      </c>
      <c r="E1383" s="10" t="s">
        <v>2</v>
      </c>
      <c r="F1383" s="11">
        <v>153.4</v>
      </c>
      <c r="G1383" s="11">
        <v>24000</v>
      </c>
      <c r="H1383" s="12">
        <v>3681600</v>
      </c>
      <c r="I1383" s="11"/>
      <c r="J1383" s="11"/>
      <c r="K1383" s="11">
        <v>0</v>
      </c>
      <c r="L1383" s="11">
        <v>3681600</v>
      </c>
    </row>
    <row r="1384" spans="2:12" x14ac:dyDescent="0.25">
      <c r="B1384" s="1">
        <v>46214</v>
      </c>
      <c r="C1384" s="2" t="s">
        <v>380</v>
      </c>
      <c r="D1384" s="3" t="s">
        <v>16</v>
      </c>
      <c r="E1384" s="3" t="s">
        <v>2</v>
      </c>
      <c r="F1384" s="4">
        <v>93.7</v>
      </c>
      <c r="G1384" s="4">
        <v>23000</v>
      </c>
      <c r="H1384" s="5">
        <v>2155100</v>
      </c>
      <c r="I1384" s="4"/>
      <c r="J1384" s="4"/>
      <c r="K1384" s="4">
        <v>0</v>
      </c>
      <c r="L1384" s="4">
        <v>2155100</v>
      </c>
    </row>
    <row r="1385" spans="2:12" x14ac:dyDescent="0.25">
      <c r="B1385" s="8">
        <v>46214</v>
      </c>
      <c r="C1385" s="9" t="s">
        <v>381</v>
      </c>
      <c r="D1385" s="10" t="s">
        <v>16</v>
      </c>
      <c r="E1385" s="10" t="s">
        <v>2</v>
      </c>
      <c r="F1385" s="11">
        <v>46.1</v>
      </c>
      <c r="G1385" s="11">
        <v>22000</v>
      </c>
      <c r="H1385" s="12">
        <v>1014200</v>
      </c>
      <c r="I1385" s="11"/>
      <c r="J1385" s="11"/>
      <c r="K1385" s="11">
        <v>0</v>
      </c>
      <c r="L1385" s="11">
        <v>1014200</v>
      </c>
    </row>
    <row r="1386" spans="2:12" x14ac:dyDescent="0.25">
      <c r="B1386" s="1">
        <v>46214</v>
      </c>
      <c r="C1386" s="2" t="s">
        <v>381</v>
      </c>
      <c r="D1386" s="3" t="s">
        <v>10</v>
      </c>
      <c r="E1386" s="3" t="s">
        <v>2</v>
      </c>
      <c r="F1386" s="4">
        <v>149.80000000000001</v>
      </c>
      <c r="G1386" s="4">
        <v>15000</v>
      </c>
      <c r="H1386" s="5">
        <v>2247000</v>
      </c>
      <c r="I1386" s="4"/>
      <c r="J1386" s="4"/>
      <c r="K1386" s="4">
        <v>0</v>
      </c>
      <c r="L1386" s="4">
        <v>2247000</v>
      </c>
    </row>
    <row r="1387" spans="2:12" x14ac:dyDescent="0.25">
      <c r="B1387" s="8">
        <v>46214</v>
      </c>
      <c r="C1387" s="9" t="s">
        <v>368</v>
      </c>
      <c r="D1387" s="10" t="s">
        <v>29</v>
      </c>
      <c r="E1387" s="10" t="s">
        <v>2</v>
      </c>
      <c r="F1387" s="11">
        <v>580.70000000000005</v>
      </c>
      <c r="G1387" s="11">
        <v>19000</v>
      </c>
      <c r="H1387" s="12">
        <v>11033300</v>
      </c>
      <c r="I1387" s="11"/>
      <c r="J1387" s="11"/>
      <c r="K1387" s="11">
        <v>0</v>
      </c>
      <c r="L1387" s="11">
        <v>11033300</v>
      </c>
    </row>
    <row r="1388" spans="2:12" x14ac:dyDescent="0.25">
      <c r="B1388" s="1">
        <v>46214</v>
      </c>
      <c r="C1388" s="2" t="s">
        <v>33</v>
      </c>
      <c r="D1388" s="3" t="s">
        <v>382</v>
      </c>
      <c r="E1388" s="3" t="s">
        <v>379</v>
      </c>
      <c r="F1388" s="4"/>
      <c r="G1388" s="4"/>
      <c r="H1388" s="5">
        <v>4500000</v>
      </c>
      <c r="I1388" s="4"/>
      <c r="J1388" s="4"/>
      <c r="K1388" s="4">
        <v>0</v>
      </c>
      <c r="L1388" s="4">
        <v>4500000</v>
      </c>
    </row>
    <row r="1389" spans="2:12" x14ac:dyDescent="0.25">
      <c r="B1389" s="8">
        <v>46215</v>
      </c>
      <c r="C1389" s="9" t="s">
        <v>78</v>
      </c>
      <c r="D1389" s="10" t="s">
        <v>8</v>
      </c>
      <c r="E1389" s="10" t="s">
        <v>2</v>
      </c>
      <c r="F1389" s="11">
        <v>291.89999999999998</v>
      </c>
      <c r="G1389" s="11">
        <v>24000</v>
      </c>
      <c r="H1389" s="12">
        <v>7005599.9999999991</v>
      </c>
      <c r="I1389" s="11"/>
      <c r="J1389" s="11"/>
      <c r="K1389" s="11">
        <v>0</v>
      </c>
      <c r="L1389" s="11">
        <v>7005599.9999999991</v>
      </c>
    </row>
    <row r="1390" spans="2:12" x14ac:dyDescent="0.25">
      <c r="B1390" s="1">
        <v>46215</v>
      </c>
      <c r="C1390" s="2" t="s">
        <v>173</v>
      </c>
      <c r="D1390" s="3" t="s">
        <v>323</v>
      </c>
      <c r="E1390" s="3" t="s">
        <v>2</v>
      </c>
      <c r="F1390" s="4">
        <v>51.1</v>
      </c>
      <c r="G1390" s="4">
        <v>23000</v>
      </c>
      <c r="H1390" s="5">
        <v>1175300</v>
      </c>
      <c r="I1390" s="4"/>
      <c r="J1390" s="4"/>
      <c r="K1390" s="4">
        <v>0</v>
      </c>
      <c r="L1390" s="4">
        <v>1175300</v>
      </c>
    </row>
    <row r="1391" spans="2:12" x14ac:dyDescent="0.25">
      <c r="B1391" s="8">
        <v>46215</v>
      </c>
      <c r="C1391" s="9" t="s">
        <v>383</v>
      </c>
      <c r="D1391" s="10" t="s">
        <v>10</v>
      </c>
      <c r="E1391" s="10" t="s">
        <v>2</v>
      </c>
      <c r="F1391" s="11">
        <v>99.5</v>
      </c>
      <c r="G1391" s="11">
        <v>15000</v>
      </c>
      <c r="H1391" s="12">
        <v>1492500</v>
      </c>
      <c r="I1391" s="11"/>
      <c r="J1391" s="11"/>
      <c r="K1391" s="11">
        <v>0</v>
      </c>
      <c r="L1391" s="11">
        <v>1492500</v>
      </c>
    </row>
    <row r="1392" spans="2:12" x14ac:dyDescent="0.25">
      <c r="B1392" s="1">
        <v>46215</v>
      </c>
      <c r="C1392" s="2" t="s">
        <v>56</v>
      </c>
      <c r="D1392" s="3" t="s">
        <v>323</v>
      </c>
      <c r="E1392" s="3" t="s">
        <v>2</v>
      </c>
      <c r="F1392" s="4">
        <v>37.299999999999997</v>
      </c>
      <c r="G1392" s="4">
        <v>23000</v>
      </c>
      <c r="H1392" s="5">
        <v>857899.99999999988</v>
      </c>
      <c r="I1392" s="4"/>
      <c r="J1392" s="4"/>
      <c r="K1392" s="4">
        <v>0</v>
      </c>
      <c r="L1392" s="4">
        <v>857899.99999999988</v>
      </c>
    </row>
    <row r="1393" spans="2:12" x14ac:dyDescent="0.25">
      <c r="B1393" s="8">
        <v>46215</v>
      </c>
      <c r="C1393" s="9" t="s">
        <v>362</v>
      </c>
      <c r="D1393" s="10" t="s">
        <v>16</v>
      </c>
      <c r="E1393" s="10" t="s">
        <v>2</v>
      </c>
      <c r="F1393" s="11">
        <v>48.2</v>
      </c>
      <c r="G1393" s="11">
        <v>24000</v>
      </c>
      <c r="H1393" s="12">
        <v>1156800</v>
      </c>
      <c r="I1393" s="11"/>
      <c r="J1393" s="11"/>
      <c r="K1393" s="11">
        <v>0</v>
      </c>
      <c r="L1393" s="11">
        <v>1156800</v>
      </c>
    </row>
    <row r="1394" spans="2:12" x14ac:dyDescent="0.25">
      <c r="B1394" s="1">
        <v>46215</v>
      </c>
      <c r="C1394" s="2" t="s">
        <v>362</v>
      </c>
      <c r="D1394" s="3" t="s">
        <v>10</v>
      </c>
      <c r="E1394" s="3" t="s">
        <v>2</v>
      </c>
      <c r="F1394" s="4">
        <v>98.1</v>
      </c>
      <c r="G1394" s="4">
        <v>14500</v>
      </c>
      <c r="H1394" s="5">
        <v>1422450</v>
      </c>
      <c r="I1394" s="4"/>
      <c r="J1394" s="4"/>
      <c r="K1394" s="4">
        <v>0</v>
      </c>
      <c r="L1394" s="4">
        <v>1422450</v>
      </c>
    </row>
    <row r="1395" spans="2:12" x14ac:dyDescent="0.25">
      <c r="B1395" s="8">
        <v>46216</v>
      </c>
      <c r="C1395" s="9" t="s">
        <v>30</v>
      </c>
      <c r="D1395" s="10" t="s">
        <v>16</v>
      </c>
      <c r="E1395" s="10" t="s">
        <v>2</v>
      </c>
      <c r="F1395" s="11">
        <v>52.3</v>
      </c>
      <c r="G1395" s="11">
        <v>22000</v>
      </c>
      <c r="H1395" s="12">
        <v>1150600</v>
      </c>
      <c r="I1395" s="11"/>
      <c r="J1395" s="11"/>
      <c r="K1395" s="11">
        <v>0</v>
      </c>
      <c r="L1395" s="11">
        <v>1150600</v>
      </c>
    </row>
    <row r="1396" spans="2:12" x14ac:dyDescent="0.25">
      <c r="B1396" s="1">
        <v>46216</v>
      </c>
      <c r="C1396" s="2" t="s">
        <v>218</v>
      </c>
      <c r="D1396" s="3" t="s">
        <v>16</v>
      </c>
      <c r="E1396" s="3" t="s">
        <v>2</v>
      </c>
      <c r="F1396" s="4">
        <v>151.5</v>
      </c>
      <c r="G1396" s="4">
        <v>24000</v>
      </c>
      <c r="H1396" s="5">
        <v>3636000</v>
      </c>
      <c r="I1396" s="4"/>
      <c r="J1396" s="4"/>
      <c r="K1396" s="4">
        <v>0</v>
      </c>
      <c r="L1396" s="4">
        <v>3636000</v>
      </c>
    </row>
    <row r="1397" spans="2:12" x14ac:dyDescent="0.25">
      <c r="B1397" s="8">
        <v>46216</v>
      </c>
      <c r="C1397" s="9" t="s">
        <v>34</v>
      </c>
      <c r="D1397" s="10" t="s">
        <v>16</v>
      </c>
      <c r="E1397" s="10" t="s">
        <v>2</v>
      </c>
      <c r="F1397" s="11">
        <v>247.1</v>
      </c>
      <c r="G1397" s="11">
        <v>25000</v>
      </c>
      <c r="H1397" s="12">
        <v>6177500</v>
      </c>
      <c r="I1397" s="11"/>
      <c r="J1397" s="11"/>
      <c r="K1397" s="11">
        <v>0</v>
      </c>
      <c r="L1397" s="11">
        <v>6177500</v>
      </c>
    </row>
    <row r="1398" spans="2:12" x14ac:dyDescent="0.25">
      <c r="B1398" s="1">
        <v>46216</v>
      </c>
      <c r="C1398" s="2" t="s">
        <v>289</v>
      </c>
      <c r="D1398" s="3" t="s">
        <v>25</v>
      </c>
      <c r="E1398" s="3" t="s">
        <v>2</v>
      </c>
      <c r="F1398" s="4">
        <v>112.6</v>
      </c>
      <c r="G1398" s="4">
        <v>25000</v>
      </c>
      <c r="H1398" s="5">
        <v>2815000</v>
      </c>
      <c r="I1398" s="4"/>
      <c r="J1398" s="4"/>
      <c r="K1398" s="4">
        <v>0</v>
      </c>
      <c r="L1398" s="4">
        <v>2815000</v>
      </c>
    </row>
    <row r="1399" spans="2:12" x14ac:dyDescent="0.25">
      <c r="B1399" s="8">
        <v>46216</v>
      </c>
      <c r="C1399" s="9" t="s">
        <v>22</v>
      </c>
      <c r="D1399" s="10" t="s">
        <v>25</v>
      </c>
      <c r="E1399" s="10" t="s">
        <v>2</v>
      </c>
      <c r="F1399" s="11">
        <v>39.5</v>
      </c>
      <c r="G1399" s="11">
        <v>24000</v>
      </c>
      <c r="H1399" s="12">
        <v>948000</v>
      </c>
      <c r="I1399" s="11"/>
      <c r="J1399" s="11"/>
      <c r="K1399" s="11">
        <v>0</v>
      </c>
      <c r="L1399" s="11">
        <v>948000</v>
      </c>
    </row>
    <row r="1400" spans="2:12" x14ac:dyDescent="0.25">
      <c r="B1400" s="1">
        <v>46216</v>
      </c>
      <c r="C1400" s="2" t="s">
        <v>12</v>
      </c>
      <c r="D1400" s="3" t="s">
        <v>16</v>
      </c>
      <c r="E1400" s="3" t="s">
        <v>379</v>
      </c>
      <c r="F1400" s="4">
        <v>1126.9000000000001</v>
      </c>
      <c r="G1400" s="4">
        <v>30000</v>
      </c>
      <c r="H1400" s="5">
        <v>33807000</v>
      </c>
      <c r="I1400" s="4"/>
      <c r="J1400" s="6"/>
      <c r="K1400" s="4">
        <v>0</v>
      </c>
      <c r="L1400" s="4">
        <v>33807000</v>
      </c>
    </row>
    <row r="1401" spans="2:12" x14ac:dyDescent="0.25">
      <c r="B1401" s="8">
        <v>46217</v>
      </c>
      <c r="C1401" s="9" t="s">
        <v>57</v>
      </c>
      <c r="D1401" s="10" t="s">
        <v>323</v>
      </c>
      <c r="E1401" s="10" t="s">
        <v>2</v>
      </c>
      <c r="F1401" s="11">
        <v>-49.6</v>
      </c>
      <c r="G1401" s="11">
        <v>22000</v>
      </c>
      <c r="H1401" s="12">
        <v>-1091200</v>
      </c>
      <c r="I1401" s="11"/>
      <c r="J1401" s="11"/>
      <c r="K1401" s="11">
        <v>0</v>
      </c>
      <c r="L1401" s="11">
        <v>-1091200</v>
      </c>
    </row>
    <row r="1402" spans="2:12" x14ac:dyDescent="0.25">
      <c r="B1402" s="1">
        <v>46217</v>
      </c>
      <c r="C1402" s="2" t="s">
        <v>55</v>
      </c>
      <c r="D1402" s="3" t="s">
        <v>16</v>
      </c>
      <c r="E1402" s="3" t="s">
        <v>2</v>
      </c>
      <c r="F1402" s="4">
        <v>46.2</v>
      </c>
      <c r="G1402" s="4">
        <v>22000</v>
      </c>
      <c r="H1402" s="5">
        <v>1016400.0000000001</v>
      </c>
      <c r="I1402" s="4"/>
      <c r="J1402" s="4"/>
      <c r="K1402" s="4">
        <v>0</v>
      </c>
      <c r="L1402" s="4">
        <v>1016400.0000000001</v>
      </c>
    </row>
    <row r="1403" spans="2:12" x14ac:dyDescent="0.25">
      <c r="B1403" s="8">
        <v>46217</v>
      </c>
      <c r="C1403" s="9" t="s">
        <v>384</v>
      </c>
      <c r="D1403" s="10" t="s">
        <v>10</v>
      </c>
      <c r="E1403" s="10" t="s">
        <v>2</v>
      </c>
      <c r="F1403" s="11">
        <v>144.69999999999999</v>
      </c>
      <c r="G1403" s="11">
        <v>15000</v>
      </c>
      <c r="H1403" s="12">
        <v>2170500</v>
      </c>
      <c r="I1403" s="11"/>
      <c r="J1403" s="11"/>
      <c r="K1403" s="11">
        <v>0</v>
      </c>
      <c r="L1403" s="11">
        <v>2170500</v>
      </c>
    </row>
    <row r="1404" spans="2:12" x14ac:dyDescent="0.25">
      <c r="B1404" s="1">
        <v>46217</v>
      </c>
      <c r="C1404" s="2" t="s">
        <v>168</v>
      </c>
      <c r="D1404" s="3" t="s">
        <v>16</v>
      </c>
      <c r="E1404" s="3" t="s">
        <v>2</v>
      </c>
      <c r="F1404" s="4">
        <v>144.6</v>
      </c>
      <c r="G1404" s="4">
        <v>22000</v>
      </c>
      <c r="H1404" s="5">
        <v>3181200</v>
      </c>
      <c r="I1404" s="4"/>
      <c r="J1404" s="4"/>
      <c r="K1404" s="4">
        <v>0</v>
      </c>
      <c r="L1404" s="4">
        <v>3181200</v>
      </c>
    </row>
    <row r="1405" spans="2:12" x14ac:dyDescent="0.25">
      <c r="B1405" s="8">
        <v>46217</v>
      </c>
      <c r="C1405" s="9" t="s">
        <v>168</v>
      </c>
      <c r="D1405" s="10" t="s">
        <v>10</v>
      </c>
      <c r="E1405" s="10" t="s">
        <v>2</v>
      </c>
      <c r="F1405" s="11">
        <v>49.6</v>
      </c>
      <c r="G1405" s="11">
        <v>15000</v>
      </c>
      <c r="H1405" s="12">
        <v>744000</v>
      </c>
      <c r="I1405" s="11"/>
      <c r="J1405" s="11"/>
      <c r="K1405" s="11">
        <v>0</v>
      </c>
      <c r="L1405" s="11">
        <v>744000</v>
      </c>
    </row>
    <row r="1406" spans="2:12" x14ac:dyDescent="0.25">
      <c r="B1406" s="1">
        <v>46217</v>
      </c>
      <c r="C1406" s="2" t="s">
        <v>385</v>
      </c>
      <c r="D1406" s="3" t="s">
        <v>10</v>
      </c>
      <c r="E1406" s="3" t="s">
        <v>2</v>
      </c>
      <c r="F1406" s="4">
        <v>147.1</v>
      </c>
      <c r="G1406" s="4">
        <v>15000</v>
      </c>
      <c r="H1406" s="5">
        <v>2206500</v>
      </c>
      <c r="I1406" s="4"/>
      <c r="J1406" s="4"/>
      <c r="K1406" s="4">
        <v>0</v>
      </c>
      <c r="L1406" s="4">
        <v>2206500</v>
      </c>
    </row>
    <row r="1407" spans="2:12" x14ac:dyDescent="0.25">
      <c r="B1407" s="8">
        <v>46217</v>
      </c>
      <c r="C1407" s="9" t="s">
        <v>385</v>
      </c>
      <c r="D1407" s="10" t="s">
        <v>323</v>
      </c>
      <c r="E1407" s="10" t="s">
        <v>2</v>
      </c>
      <c r="F1407" s="11">
        <v>198.1</v>
      </c>
      <c r="G1407" s="11">
        <v>20000</v>
      </c>
      <c r="H1407" s="12">
        <v>3962000</v>
      </c>
      <c r="I1407" s="11"/>
      <c r="J1407" s="11"/>
      <c r="K1407" s="11">
        <v>0</v>
      </c>
      <c r="L1407" s="11">
        <v>3962000</v>
      </c>
    </row>
    <row r="1408" spans="2:12" x14ac:dyDescent="0.25">
      <c r="B1408" s="1">
        <v>46217</v>
      </c>
      <c r="C1408" s="2" t="s">
        <v>385</v>
      </c>
      <c r="D1408" s="3" t="s">
        <v>16</v>
      </c>
      <c r="E1408" s="3" t="s">
        <v>2</v>
      </c>
      <c r="F1408" s="4">
        <v>147.80000000000001</v>
      </c>
      <c r="G1408" s="4">
        <v>22000</v>
      </c>
      <c r="H1408" s="5">
        <v>3251600.0000000005</v>
      </c>
      <c r="I1408" s="4"/>
      <c r="J1408" s="4"/>
      <c r="K1408" s="4">
        <v>0</v>
      </c>
      <c r="L1408" s="4">
        <v>3251600.0000000005</v>
      </c>
    </row>
    <row r="1409" spans="2:12" x14ac:dyDescent="0.25">
      <c r="B1409" s="8">
        <v>46217</v>
      </c>
      <c r="C1409" s="9" t="s">
        <v>296</v>
      </c>
      <c r="D1409" s="10" t="s">
        <v>16</v>
      </c>
      <c r="E1409" s="10" t="s">
        <v>2</v>
      </c>
      <c r="F1409" s="11">
        <v>94.7</v>
      </c>
      <c r="G1409" s="11">
        <v>23000</v>
      </c>
      <c r="H1409" s="12">
        <v>2178100</v>
      </c>
      <c r="I1409" s="11"/>
      <c r="J1409" s="11"/>
      <c r="K1409" s="11">
        <v>0</v>
      </c>
      <c r="L1409" s="11">
        <v>2178100</v>
      </c>
    </row>
    <row r="1410" spans="2:12" x14ac:dyDescent="0.25">
      <c r="B1410" s="1">
        <v>46217</v>
      </c>
      <c r="C1410" s="2" t="s">
        <v>12</v>
      </c>
      <c r="D1410" s="3" t="s">
        <v>16</v>
      </c>
      <c r="E1410" s="3" t="s">
        <v>2</v>
      </c>
      <c r="F1410" s="4">
        <v>1562.2</v>
      </c>
      <c r="G1410" s="4">
        <v>30000</v>
      </c>
      <c r="H1410" s="5">
        <v>46866000</v>
      </c>
      <c r="I1410" s="4" t="s">
        <v>363</v>
      </c>
      <c r="J1410" s="4" t="s">
        <v>386</v>
      </c>
      <c r="K1410" s="4" t="e">
        <v>#VALUE!</v>
      </c>
      <c r="L1410" s="4" t="e">
        <v>#VALUE!</v>
      </c>
    </row>
    <row r="1411" spans="2:12" x14ac:dyDescent="0.25">
      <c r="B1411" s="8">
        <v>46218</v>
      </c>
      <c r="C1411" s="9" t="s">
        <v>230</v>
      </c>
      <c r="D1411" s="10" t="s">
        <v>10</v>
      </c>
      <c r="E1411" s="10" t="s">
        <v>2</v>
      </c>
      <c r="F1411" s="11">
        <v>52.1</v>
      </c>
      <c r="G1411" s="11">
        <v>15000</v>
      </c>
      <c r="H1411" s="12">
        <v>781500</v>
      </c>
      <c r="I1411" s="11"/>
      <c r="J1411" s="11"/>
      <c r="K1411" s="11">
        <v>0</v>
      </c>
      <c r="L1411" s="11">
        <v>781500</v>
      </c>
    </row>
    <row r="1412" spans="2:12" x14ac:dyDescent="0.25">
      <c r="B1412" s="1">
        <v>46218</v>
      </c>
      <c r="C1412" s="2" t="s">
        <v>56</v>
      </c>
      <c r="D1412" s="3" t="s">
        <v>10</v>
      </c>
      <c r="E1412" s="3" t="s">
        <v>2</v>
      </c>
      <c r="F1412" s="4">
        <v>47.9</v>
      </c>
      <c r="G1412" s="4">
        <v>16000</v>
      </c>
      <c r="H1412" s="5">
        <v>766400</v>
      </c>
      <c r="I1412" s="4"/>
      <c r="J1412" s="4"/>
      <c r="K1412" s="4">
        <v>0</v>
      </c>
      <c r="L1412" s="4">
        <v>766400</v>
      </c>
    </row>
    <row r="1413" spans="2:12" x14ac:dyDescent="0.25">
      <c r="B1413" s="8">
        <v>46218</v>
      </c>
      <c r="C1413" s="9" t="s">
        <v>57</v>
      </c>
      <c r="D1413" s="10" t="s">
        <v>16</v>
      </c>
      <c r="E1413" s="10" t="s">
        <v>2</v>
      </c>
      <c r="F1413" s="11">
        <v>48</v>
      </c>
      <c r="G1413" s="11">
        <v>23000</v>
      </c>
      <c r="H1413" s="12">
        <v>1104000</v>
      </c>
      <c r="I1413" s="11"/>
      <c r="J1413" s="11"/>
      <c r="K1413" s="11">
        <v>0</v>
      </c>
      <c r="L1413" s="11">
        <v>1104000</v>
      </c>
    </row>
    <row r="1414" spans="2:12" x14ac:dyDescent="0.25">
      <c r="B1414" s="1">
        <v>46218</v>
      </c>
      <c r="C1414" s="2" t="s">
        <v>139</v>
      </c>
      <c r="D1414" s="3" t="s">
        <v>16</v>
      </c>
      <c r="E1414" s="3" t="s">
        <v>2</v>
      </c>
      <c r="F1414" s="4">
        <v>49</v>
      </c>
      <c r="G1414" s="4">
        <v>23000</v>
      </c>
      <c r="H1414" s="5">
        <v>1127000</v>
      </c>
      <c r="I1414" s="4"/>
      <c r="J1414" s="4"/>
      <c r="K1414" s="4">
        <v>0</v>
      </c>
      <c r="L1414" s="4">
        <v>1127000</v>
      </c>
    </row>
    <row r="1415" spans="2:12" x14ac:dyDescent="0.25">
      <c r="B1415" s="8">
        <v>46218</v>
      </c>
      <c r="C1415" s="9" t="s">
        <v>33</v>
      </c>
      <c r="D1415" s="10" t="s">
        <v>10</v>
      </c>
      <c r="E1415" s="10" t="s">
        <v>2</v>
      </c>
      <c r="F1415" s="11">
        <v>1159.7</v>
      </c>
      <c r="G1415" s="11">
        <v>15500</v>
      </c>
      <c r="H1415" s="12">
        <v>17975350</v>
      </c>
      <c r="I1415" s="11"/>
      <c r="J1415" s="11"/>
      <c r="K1415" s="11">
        <v>0</v>
      </c>
      <c r="L1415" s="11">
        <v>17975350</v>
      </c>
    </row>
    <row r="1416" spans="2:12" x14ac:dyDescent="0.25">
      <c r="B1416" s="1">
        <v>46218</v>
      </c>
      <c r="C1416" s="2" t="s">
        <v>113</v>
      </c>
      <c r="D1416" s="3" t="s">
        <v>16</v>
      </c>
      <c r="E1416" s="3" t="s">
        <v>2</v>
      </c>
      <c r="F1416" s="4">
        <v>184.2</v>
      </c>
      <c r="G1416" s="4">
        <v>25000</v>
      </c>
      <c r="H1416" s="5">
        <v>4605000</v>
      </c>
      <c r="I1416" s="4"/>
      <c r="J1416" s="4"/>
      <c r="K1416" s="4">
        <v>0</v>
      </c>
      <c r="L1416" s="4">
        <v>4605000</v>
      </c>
    </row>
    <row r="1417" spans="2:12" x14ac:dyDescent="0.25">
      <c r="B1417" s="8">
        <v>46218</v>
      </c>
      <c r="C1417" s="9" t="s">
        <v>71</v>
      </c>
      <c r="D1417" s="10" t="s">
        <v>16</v>
      </c>
      <c r="E1417" s="10" t="s">
        <v>2</v>
      </c>
      <c r="F1417" s="11">
        <v>30.5</v>
      </c>
      <c r="G1417" s="11">
        <v>25000</v>
      </c>
      <c r="H1417" s="12">
        <v>762500</v>
      </c>
      <c r="I1417" s="11"/>
      <c r="J1417" s="13"/>
      <c r="K1417" s="11">
        <v>0</v>
      </c>
      <c r="L1417" s="11">
        <v>762500</v>
      </c>
    </row>
    <row r="1418" spans="2:12" x14ac:dyDescent="0.25">
      <c r="B1418" s="1">
        <v>46219</v>
      </c>
      <c r="C1418" s="2" t="s">
        <v>9</v>
      </c>
      <c r="D1418" s="3" t="s">
        <v>25</v>
      </c>
      <c r="E1418" s="3" t="s">
        <v>2</v>
      </c>
      <c r="F1418" s="4">
        <v>408.4</v>
      </c>
      <c r="G1418" s="4">
        <v>28000</v>
      </c>
      <c r="H1418" s="5">
        <v>11435200</v>
      </c>
      <c r="I1418" s="4"/>
      <c r="J1418" s="6"/>
      <c r="K1418" s="4">
        <v>0</v>
      </c>
      <c r="L1418" s="4">
        <v>11435200</v>
      </c>
    </row>
    <row r="1419" spans="2:12" x14ac:dyDescent="0.25">
      <c r="B1419" s="8">
        <v>46219</v>
      </c>
      <c r="C1419" s="9" t="s">
        <v>57</v>
      </c>
      <c r="D1419" s="10" t="s">
        <v>16</v>
      </c>
      <c r="E1419" s="10" t="s">
        <v>2</v>
      </c>
      <c r="F1419" s="11">
        <v>51.9</v>
      </c>
      <c r="G1419" s="11">
        <v>23000</v>
      </c>
      <c r="H1419" s="12">
        <v>1193700</v>
      </c>
      <c r="I1419" s="11"/>
      <c r="J1419" s="13"/>
      <c r="K1419" s="11">
        <v>0</v>
      </c>
      <c r="L1419" s="11">
        <v>1193700</v>
      </c>
    </row>
    <row r="1420" spans="2:12" x14ac:dyDescent="0.25">
      <c r="B1420" s="1">
        <v>46219</v>
      </c>
      <c r="C1420" s="2" t="s">
        <v>387</v>
      </c>
      <c r="D1420" s="3" t="s">
        <v>16</v>
      </c>
      <c r="E1420" s="3" t="s">
        <v>2</v>
      </c>
      <c r="F1420" s="4">
        <v>47</v>
      </c>
      <c r="G1420" s="4">
        <v>22000</v>
      </c>
      <c r="H1420" s="5">
        <v>1034000</v>
      </c>
      <c r="I1420" s="4"/>
      <c r="J1420" s="6"/>
      <c r="K1420" s="4">
        <v>0</v>
      </c>
      <c r="L1420" s="4">
        <v>1034000</v>
      </c>
    </row>
    <row r="1421" spans="2:12" x14ac:dyDescent="0.25">
      <c r="B1421" s="8">
        <v>46219</v>
      </c>
      <c r="C1421" s="9" t="s">
        <v>387</v>
      </c>
      <c r="D1421" s="10" t="s">
        <v>10</v>
      </c>
      <c r="E1421" s="10" t="s">
        <v>2</v>
      </c>
      <c r="F1421" s="11">
        <v>51.7</v>
      </c>
      <c r="G1421" s="11">
        <v>15000</v>
      </c>
      <c r="H1421" s="12">
        <v>775500</v>
      </c>
      <c r="I1421" s="11"/>
      <c r="J1421" s="13"/>
      <c r="K1421" s="11">
        <v>0</v>
      </c>
      <c r="L1421" s="11">
        <v>775500</v>
      </c>
    </row>
    <row r="1422" spans="2:12" x14ac:dyDescent="0.25">
      <c r="B1422" s="1">
        <v>46219</v>
      </c>
      <c r="C1422" s="2" t="s">
        <v>230</v>
      </c>
      <c r="D1422" s="3" t="s">
        <v>16</v>
      </c>
      <c r="E1422" s="3" t="s">
        <v>2</v>
      </c>
      <c r="F1422" s="4">
        <v>52.8</v>
      </c>
      <c r="G1422" s="4">
        <v>23000</v>
      </c>
      <c r="H1422" s="5">
        <v>1214400</v>
      </c>
      <c r="I1422" s="4"/>
      <c r="J1422" s="6"/>
      <c r="K1422" s="4">
        <v>0</v>
      </c>
      <c r="L1422" s="4">
        <v>1214400</v>
      </c>
    </row>
    <row r="1423" spans="2:12" x14ac:dyDescent="0.25">
      <c r="B1423" s="8">
        <v>46219</v>
      </c>
      <c r="C1423" s="9" t="s">
        <v>383</v>
      </c>
      <c r="D1423" s="10" t="s">
        <v>10</v>
      </c>
      <c r="E1423" s="10" t="s">
        <v>2</v>
      </c>
      <c r="F1423" s="11">
        <v>150.69999999999999</v>
      </c>
      <c r="G1423" s="11">
        <v>14000</v>
      </c>
      <c r="H1423" s="12">
        <v>2109800</v>
      </c>
      <c r="I1423" s="11"/>
      <c r="J1423" s="13"/>
      <c r="K1423" s="11">
        <v>0</v>
      </c>
      <c r="L1423" s="11">
        <v>2109800</v>
      </c>
    </row>
    <row r="1424" spans="2:12" x14ac:dyDescent="0.25">
      <c r="B1424" s="1">
        <v>46219</v>
      </c>
      <c r="C1424" s="2" t="s">
        <v>387</v>
      </c>
      <c r="D1424" s="3" t="s">
        <v>388</v>
      </c>
      <c r="E1424" s="3" t="s">
        <v>2</v>
      </c>
      <c r="F1424" s="4">
        <v>47</v>
      </c>
      <c r="G1424" s="4">
        <v>22000</v>
      </c>
      <c r="H1424" s="5">
        <v>1034000</v>
      </c>
      <c r="I1424" s="4"/>
      <c r="J1424" s="6"/>
      <c r="K1424" s="4">
        <v>0</v>
      </c>
      <c r="L1424" s="4">
        <v>1034000</v>
      </c>
    </row>
    <row r="1425" spans="2:12" x14ac:dyDescent="0.25">
      <c r="B1425" s="8">
        <v>46219</v>
      </c>
      <c r="C1425" s="9" t="s">
        <v>387</v>
      </c>
      <c r="D1425" s="10" t="s">
        <v>10</v>
      </c>
      <c r="E1425" s="10" t="s">
        <v>2</v>
      </c>
      <c r="F1425" s="11">
        <v>51.7</v>
      </c>
      <c r="G1425" s="11">
        <v>15000</v>
      </c>
      <c r="H1425" s="12">
        <v>775500</v>
      </c>
      <c r="I1425" s="11"/>
      <c r="J1425" s="13"/>
      <c r="K1425" s="11">
        <v>0</v>
      </c>
      <c r="L1425" s="11">
        <v>775500</v>
      </c>
    </row>
    <row r="1426" spans="2:12" x14ac:dyDescent="0.25">
      <c r="B1426" s="1">
        <v>46219</v>
      </c>
      <c r="C1426" s="2" t="s">
        <v>9</v>
      </c>
      <c r="D1426" s="3" t="s">
        <v>25</v>
      </c>
      <c r="E1426" s="3" t="s">
        <v>2</v>
      </c>
      <c r="F1426" s="4">
        <v>408.4</v>
      </c>
      <c r="G1426" s="4">
        <v>28000</v>
      </c>
      <c r="H1426" s="5">
        <v>11435200</v>
      </c>
      <c r="I1426" s="4"/>
      <c r="J1426" s="6"/>
      <c r="K1426" s="4">
        <v>0</v>
      </c>
      <c r="L1426" s="4">
        <v>11435200</v>
      </c>
    </row>
    <row r="1427" spans="2:12" x14ac:dyDescent="0.25">
      <c r="B1427" s="8">
        <v>46219</v>
      </c>
      <c r="C1427" s="9" t="s">
        <v>230</v>
      </c>
      <c r="D1427" s="10" t="s">
        <v>388</v>
      </c>
      <c r="E1427" s="10" t="s">
        <v>2</v>
      </c>
      <c r="F1427" s="11">
        <v>52.8</v>
      </c>
      <c r="G1427" s="11">
        <v>23000</v>
      </c>
      <c r="H1427" s="12">
        <v>1214400</v>
      </c>
      <c r="I1427" s="11"/>
      <c r="J1427" s="13"/>
      <c r="K1427" s="11">
        <v>0</v>
      </c>
      <c r="L1427" s="11">
        <v>1214400</v>
      </c>
    </row>
    <row r="1428" spans="2:12" x14ac:dyDescent="0.25">
      <c r="B1428" s="1">
        <v>46220</v>
      </c>
      <c r="C1428" s="2" t="s">
        <v>389</v>
      </c>
      <c r="D1428" s="3" t="s">
        <v>10</v>
      </c>
      <c r="E1428" s="3" t="s">
        <v>2</v>
      </c>
      <c r="F1428" s="4">
        <v>46.7</v>
      </c>
      <c r="G1428" s="4">
        <v>15000</v>
      </c>
      <c r="H1428" s="5">
        <v>700500</v>
      </c>
      <c r="I1428" s="4"/>
      <c r="J1428" s="6"/>
      <c r="K1428" s="4">
        <v>0</v>
      </c>
      <c r="L1428" s="4">
        <v>700500</v>
      </c>
    </row>
    <row r="1429" spans="2:12" x14ac:dyDescent="0.25">
      <c r="B1429" s="8">
        <v>46220</v>
      </c>
      <c r="C1429" s="9" t="s">
        <v>390</v>
      </c>
      <c r="D1429" s="10" t="s">
        <v>323</v>
      </c>
      <c r="E1429" s="10" t="s">
        <v>2</v>
      </c>
      <c r="F1429" s="11">
        <v>94.4</v>
      </c>
      <c r="G1429" s="11">
        <v>23000</v>
      </c>
      <c r="H1429" s="12">
        <v>2171200</v>
      </c>
      <c r="I1429" s="11"/>
      <c r="J1429" s="13"/>
      <c r="K1429" s="11">
        <v>0</v>
      </c>
      <c r="L1429" s="11">
        <v>2171200</v>
      </c>
    </row>
    <row r="1430" spans="2:12" x14ac:dyDescent="0.25">
      <c r="B1430" s="1">
        <v>46220</v>
      </c>
      <c r="C1430" s="2" t="s">
        <v>61</v>
      </c>
      <c r="D1430" s="3" t="s">
        <v>10</v>
      </c>
      <c r="E1430" s="3" t="s">
        <v>2</v>
      </c>
      <c r="F1430" s="4">
        <v>742.2</v>
      </c>
      <c r="G1430" s="4">
        <v>16000</v>
      </c>
      <c r="H1430" s="5">
        <v>11875200</v>
      </c>
      <c r="I1430" s="4"/>
      <c r="J1430" s="6"/>
      <c r="K1430" s="4">
        <v>0</v>
      </c>
      <c r="L1430" s="4">
        <v>11875200</v>
      </c>
    </row>
    <row r="1431" spans="2:12" x14ac:dyDescent="0.25">
      <c r="B1431" s="8">
        <v>46220</v>
      </c>
      <c r="C1431" s="9" t="s">
        <v>33</v>
      </c>
      <c r="D1431" s="10" t="s">
        <v>323</v>
      </c>
      <c r="E1431" s="10" t="s">
        <v>2</v>
      </c>
      <c r="F1431" s="11">
        <v>297.89999999999998</v>
      </c>
      <c r="G1431" s="11">
        <v>23000</v>
      </c>
      <c r="H1431" s="12">
        <v>6851699.9999999991</v>
      </c>
      <c r="I1431" s="11"/>
      <c r="J1431" s="13"/>
      <c r="K1431" s="11">
        <v>0</v>
      </c>
      <c r="L1431" s="11">
        <v>6851699.9999999991</v>
      </c>
    </row>
    <row r="1432" spans="2:12" x14ac:dyDescent="0.25">
      <c r="B1432" s="1">
        <v>46220</v>
      </c>
      <c r="C1432" s="2" t="s">
        <v>33</v>
      </c>
      <c r="D1432" s="3" t="s">
        <v>10</v>
      </c>
      <c r="E1432" s="3" t="s">
        <v>2</v>
      </c>
      <c r="F1432" s="4">
        <v>96.5</v>
      </c>
      <c r="G1432" s="4">
        <v>15500</v>
      </c>
      <c r="H1432" s="5">
        <v>1495750</v>
      </c>
      <c r="I1432" s="4"/>
      <c r="J1432" s="6"/>
      <c r="K1432" s="4">
        <v>0</v>
      </c>
      <c r="L1432" s="4">
        <v>1495750</v>
      </c>
    </row>
    <row r="1433" spans="2:12" x14ac:dyDescent="0.25">
      <c r="B1433" s="8">
        <v>46220</v>
      </c>
      <c r="C1433" s="9" t="s">
        <v>33</v>
      </c>
      <c r="D1433" s="10" t="s">
        <v>323</v>
      </c>
      <c r="E1433" s="10" t="s">
        <v>2</v>
      </c>
      <c r="F1433" s="11">
        <v>563.20000000000005</v>
      </c>
      <c r="G1433" s="11">
        <v>23000</v>
      </c>
      <c r="H1433" s="12">
        <v>12953600.000000002</v>
      </c>
      <c r="I1433" s="11"/>
      <c r="J1433" s="13"/>
      <c r="K1433" s="11">
        <v>0</v>
      </c>
      <c r="L1433" s="11">
        <v>12953600.000000002</v>
      </c>
    </row>
    <row r="1434" spans="2:12" x14ac:dyDescent="0.25">
      <c r="B1434" s="1">
        <v>46220</v>
      </c>
      <c r="C1434" s="2" t="s">
        <v>0</v>
      </c>
      <c r="D1434" s="3" t="s">
        <v>323</v>
      </c>
      <c r="E1434" s="3" t="s">
        <v>2</v>
      </c>
      <c r="F1434" s="4">
        <v>49.3</v>
      </c>
      <c r="G1434" s="4">
        <v>22000</v>
      </c>
      <c r="H1434" s="5">
        <v>1084600</v>
      </c>
      <c r="I1434" s="4"/>
      <c r="J1434" s="6"/>
      <c r="K1434" s="4">
        <v>0</v>
      </c>
      <c r="L1434" s="4">
        <v>1084600</v>
      </c>
    </row>
    <row r="1435" spans="2:12" x14ac:dyDescent="0.25">
      <c r="B1435" s="8">
        <v>46220</v>
      </c>
      <c r="C1435" s="9" t="s">
        <v>360</v>
      </c>
      <c r="D1435" s="10" t="s">
        <v>388</v>
      </c>
      <c r="E1435" s="10" t="s">
        <v>2</v>
      </c>
      <c r="F1435" s="11">
        <v>52.6</v>
      </c>
      <c r="G1435" s="11">
        <v>22000</v>
      </c>
      <c r="H1435" s="12">
        <v>1157200</v>
      </c>
      <c r="I1435" s="11"/>
      <c r="J1435" s="13"/>
      <c r="K1435" s="11">
        <v>0</v>
      </c>
      <c r="L1435" s="11">
        <v>1157200</v>
      </c>
    </row>
    <row r="1436" spans="2:12" x14ac:dyDescent="0.25">
      <c r="B1436" s="1">
        <v>46220</v>
      </c>
      <c r="C1436" s="2" t="s">
        <v>360</v>
      </c>
      <c r="D1436" s="3" t="s">
        <v>10</v>
      </c>
      <c r="E1436" s="3" t="s">
        <v>2</v>
      </c>
      <c r="F1436" s="4">
        <v>48.9</v>
      </c>
      <c r="G1436" s="4">
        <v>15000</v>
      </c>
      <c r="H1436" s="5">
        <v>733500</v>
      </c>
      <c r="I1436" s="4"/>
      <c r="J1436" s="6"/>
      <c r="K1436" s="4">
        <v>0</v>
      </c>
      <c r="L1436" s="4">
        <v>733500</v>
      </c>
    </row>
    <row r="1437" spans="2:12" x14ac:dyDescent="0.25">
      <c r="B1437" s="8">
        <v>46220</v>
      </c>
      <c r="C1437" s="9" t="s">
        <v>159</v>
      </c>
      <c r="D1437" s="10" t="s">
        <v>10</v>
      </c>
      <c r="E1437" s="10" t="s">
        <v>2</v>
      </c>
      <c r="F1437" s="11">
        <v>49.1</v>
      </c>
      <c r="G1437" s="11">
        <v>15000</v>
      </c>
      <c r="H1437" s="12">
        <v>736500</v>
      </c>
      <c r="I1437" s="11"/>
      <c r="J1437" s="13"/>
      <c r="K1437" s="11">
        <v>0</v>
      </c>
      <c r="L1437" s="11">
        <v>736500</v>
      </c>
    </row>
    <row r="1438" spans="2:12" x14ac:dyDescent="0.25">
      <c r="B1438" s="1">
        <v>46220</v>
      </c>
      <c r="C1438" s="2" t="s">
        <v>188</v>
      </c>
      <c r="D1438" s="3" t="s">
        <v>10</v>
      </c>
      <c r="E1438" s="3" t="s">
        <v>2</v>
      </c>
      <c r="F1438" s="4">
        <v>49</v>
      </c>
      <c r="G1438" s="4">
        <v>15000</v>
      </c>
      <c r="H1438" s="5">
        <v>735000</v>
      </c>
      <c r="I1438" s="4"/>
      <c r="J1438" s="6"/>
      <c r="K1438" s="4">
        <v>0</v>
      </c>
      <c r="L1438" s="4">
        <v>735000</v>
      </c>
    </row>
    <row r="1439" spans="2:12" x14ac:dyDescent="0.25">
      <c r="B1439" s="8">
        <v>46220</v>
      </c>
      <c r="C1439" s="9" t="s">
        <v>188</v>
      </c>
      <c r="D1439" s="10" t="s">
        <v>323</v>
      </c>
      <c r="E1439" s="10" t="s">
        <v>2</v>
      </c>
      <c r="F1439" s="11">
        <v>53.3</v>
      </c>
      <c r="G1439" s="11">
        <v>22000</v>
      </c>
      <c r="H1439" s="12">
        <v>1172600</v>
      </c>
      <c r="I1439" s="11"/>
      <c r="J1439" s="13"/>
      <c r="K1439" s="11">
        <v>0</v>
      </c>
      <c r="L1439" s="11">
        <v>1172600</v>
      </c>
    </row>
    <row r="1440" spans="2:12" x14ac:dyDescent="0.25">
      <c r="B1440" s="1">
        <v>46220</v>
      </c>
      <c r="C1440" s="2" t="s">
        <v>78</v>
      </c>
      <c r="D1440" s="3" t="s">
        <v>10</v>
      </c>
      <c r="E1440" s="3" t="s">
        <v>2</v>
      </c>
      <c r="F1440" s="4">
        <v>104</v>
      </c>
      <c r="G1440" s="4">
        <v>15000</v>
      </c>
      <c r="H1440" s="5">
        <v>1560000</v>
      </c>
      <c r="I1440" s="4"/>
      <c r="J1440" s="6"/>
      <c r="K1440" s="4">
        <v>0</v>
      </c>
      <c r="L1440" s="4">
        <v>1560000</v>
      </c>
    </row>
    <row r="1441" spans="2:12" x14ac:dyDescent="0.25">
      <c r="B1441" s="8">
        <v>46220</v>
      </c>
      <c r="C1441" s="9" t="s">
        <v>78</v>
      </c>
      <c r="D1441" s="10" t="s">
        <v>29</v>
      </c>
      <c r="E1441" s="10" t="s">
        <v>2</v>
      </c>
      <c r="F1441" s="11">
        <v>143</v>
      </c>
      <c r="G1441" s="11">
        <v>19000</v>
      </c>
      <c r="H1441" s="12">
        <v>2717000</v>
      </c>
      <c r="I1441" s="11"/>
      <c r="J1441" s="13"/>
      <c r="K1441" s="11">
        <v>0</v>
      </c>
      <c r="L1441" s="11">
        <v>2717000</v>
      </c>
    </row>
    <row r="1442" spans="2:12" x14ac:dyDescent="0.25">
      <c r="B1442" s="1">
        <v>46220</v>
      </c>
      <c r="C1442" s="2" t="s">
        <v>138</v>
      </c>
      <c r="D1442" s="3" t="s">
        <v>29</v>
      </c>
      <c r="E1442" s="3" t="s">
        <v>2</v>
      </c>
      <c r="F1442" s="4">
        <v>214.2</v>
      </c>
      <c r="G1442" s="4">
        <v>24000</v>
      </c>
      <c r="H1442" s="5">
        <v>5140800</v>
      </c>
      <c r="I1442" s="4"/>
      <c r="J1442" s="6"/>
      <c r="K1442" s="4">
        <v>0</v>
      </c>
      <c r="L1442" s="4">
        <v>5140800</v>
      </c>
    </row>
    <row r="1443" spans="2:12" x14ac:dyDescent="0.25">
      <c r="B1443" s="8">
        <v>46220</v>
      </c>
      <c r="C1443" s="9" t="s">
        <v>391</v>
      </c>
      <c r="D1443" s="10" t="s">
        <v>388</v>
      </c>
      <c r="E1443" s="10" t="s">
        <v>2</v>
      </c>
      <c r="F1443" s="11">
        <v>47.1</v>
      </c>
      <c r="G1443" s="11">
        <v>22000</v>
      </c>
      <c r="H1443" s="12">
        <v>1036200</v>
      </c>
      <c r="I1443" s="11"/>
      <c r="J1443" s="13"/>
      <c r="K1443" s="11">
        <v>0</v>
      </c>
      <c r="L1443" s="11">
        <v>1036200</v>
      </c>
    </row>
    <row r="1444" spans="2:12" x14ac:dyDescent="0.25">
      <c r="B1444" s="1">
        <v>46221</v>
      </c>
      <c r="C1444" s="2" t="s">
        <v>99</v>
      </c>
      <c r="D1444" s="3" t="s">
        <v>10</v>
      </c>
      <c r="E1444" s="3" t="s">
        <v>2</v>
      </c>
      <c r="F1444" s="4">
        <v>48.5</v>
      </c>
      <c r="G1444" s="4">
        <v>15000</v>
      </c>
      <c r="H1444" s="5">
        <v>727500</v>
      </c>
      <c r="I1444" s="4"/>
      <c r="J1444" s="6"/>
      <c r="K1444" s="4">
        <v>0</v>
      </c>
      <c r="L1444" s="4">
        <v>727500</v>
      </c>
    </row>
    <row r="1445" spans="2:12" x14ac:dyDescent="0.25">
      <c r="B1445" s="8">
        <v>46221</v>
      </c>
      <c r="C1445" s="9" t="s">
        <v>9</v>
      </c>
      <c r="D1445" s="10" t="s">
        <v>25</v>
      </c>
      <c r="E1445" s="10" t="s">
        <v>2</v>
      </c>
      <c r="F1445" s="11">
        <v>220.3</v>
      </c>
      <c r="G1445" s="11">
        <v>28000</v>
      </c>
      <c r="H1445" s="12">
        <v>6168400</v>
      </c>
      <c r="I1445" s="11"/>
      <c r="J1445" s="13"/>
      <c r="K1445" s="11">
        <v>0</v>
      </c>
      <c r="L1445" s="11">
        <v>6168400</v>
      </c>
    </row>
    <row r="1446" spans="2:12" x14ac:dyDescent="0.25">
      <c r="B1446" s="1">
        <v>46221</v>
      </c>
      <c r="C1446" s="2" t="s">
        <v>57</v>
      </c>
      <c r="D1446" s="3" t="s">
        <v>388</v>
      </c>
      <c r="E1446" s="3" t="s">
        <v>2</v>
      </c>
      <c r="F1446" s="4">
        <v>44.8</v>
      </c>
      <c r="G1446" s="4">
        <v>22400</v>
      </c>
      <c r="H1446" s="5">
        <v>1003519.9999999999</v>
      </c>
      <c r="I1446" s="4"/>
      <c r="J1446" s="6"/>
      <c r="K1446" s="4">
        <v>0</v>
      </c>
      <c r="L1446" s="4">
        <v>1003519.9999999999</v>
      </c>
    </row>
    <row r="1447" spans="2:12" x14ac:dyDescent="0.25">
      <c r="B1447" s="8">
        <v>46221</v>
      </c>
      <c r="C1447" s="9" t="s">
        <v>248</v>
      </c>
      <c r="D1447" s="10" t="s">
        <v>16</v>
      </c>
      <c r="E1447" s="10" t="s">
        <v>2</v>
      </c>
      <c r="F1447" s="11">
        <v>77.599999999999994</v>
      </c>
      <c r="G1447" s="11">
        <v>25000</v>
      </c>
      <c r="H1447" s="12">
        <v>1939999.9999999998</v>
      </c>
      <c r="I1447" s="11"/>
      <c r="J1447" s="13"/>
      <c r="K1447" s="11">
        <v>0</v>
      </c>
      <c r="L1447" s="11">
        <v>1939999.9999999998</v>
      </c>
    </row>
    <row r="1448" spans="2:12" x14ac:dyDescent="0.25">
      <c r="B1448" s="1">
        <v>46221</v>
      </c>
      <c r="C1448" s="2" t="s">
        <v>163</v>
      </c>
      <c r="D1448" s="3" t="s">
        <v>29</v>
      </c>
      <c r="E1448" s="3" t="s">
        <v>2</v>
      </c>
      <c r="F1448" s="4">
        <v>48.3</v>
      </c>
      <c r="G1448" s="4">
        <v>19000</v>
      </c>
      <c r="H1448" s="5">
        <v>917700</v>
      </c>
      <c r="I1448" s="4"/>
      <c r="J1448" s="6"/>
      <c r="K1448" s="4">
        <v>0</v>
      </c>
      <c r="L1448" s="4">
        <v>917700</v>
      </c>
    </row>
    <row r="1449" spans="2:12" x14ac:dyDescent="0.25">
      <c r="B1449" s="8">
        <v>46221</v>
      </c>
      <c r="C1449" s="9" t="s">
        <v>108</v>
      </c>
      <c r="D1449" s="10" t="s">
        <v>10</v>
      </c>
      <c r="E1449" s="10" t="s">
        <v>2</v>
      </c>
      <c r="F1449" s="11">
        <v>49.5</v>
      </c>
      <c r="G1449" s="11">
        <v>15000</v>
      </c>
      <c r="H1449" s="12">
        <v>742500</v>
      </c>
      <c r="I1449" s="11"/>
      <c r="J1449" s="13"/>
      <c r="K1449" s="11">
        <v>0</v>
      </c>
      <c r="L1449" s="11">
        <v>742500</v>
      </c>
    </row>
    <row r="1450" spans="2:12" x14ac:dyDescent="0.25">
      <c r="B1450" s="1">
        <v>46221</v>
      </c>
      <c r="C1450" s="2" t="s">
        <v>236</v>
      </c>
      <c r="D1450" s="3" t="s">
        <v>10</v>
      </c>
      <c r="E1450" s="3" t="s">
        <v>2</v>
      </c>
      <c r="F1450" s="4">
        <v>48.7</v>
      </c>
      <c r="G1450" s="4">
        <v>15000</v>
      </c>
      <c r="H1450" s="5">
        <v>730500</v>
      </c>
      <c r="I1450" s="4"/>
      <c r="J1450" s="6"/>
      <c r="K1450" s="4">
        <v>0</v>
      </c>
      <c r="L1450" s="4">
        <v>730500</v>
      </c>
    </row>
    <row r="1451" spans="2:12" x14ac:dyDescent="0.25">
      <c r="B1451" s="8">
        <v>46221</v>
      </c>
      <c r="C1451" s="9" t="s">
        <v>236</v>
      </c>
      <c r="D1451" s="10" t="s">
        <v>388</v>
      </c>
      <c r="E1451" s="10" t="s">
        <v>2</v>
      </c>
      <c r="F1451" s="11">
        <v>50.2</v>
      </c>
      <c r="G1451" s="11">
        <v>23000</v>
      </c>
      <c r="H1451" s="12">
        <v>1154600</v>
      </c>
      <c r="I1451" s="11"/>
      <c r="J1451" s="13"/>
      <c r="K1451" s="11">
        <v>0</v>
      </c>
      <c r="L1451" s="11">
        <v>1154600</v>
      </c>
    </row>
    <row r="1452" spans="2:12" x14ac:dyDescent="0.25">
      <c r="B1452" s="1">
        <v>46221</v>
      </c>
      <c r="C1452" s="2" t="s">
        <v>248</v>
      </c>
      <c r="D1452" s="3" t="s">
        <v>16</v>
      </c>
      <c r="E1452" s="3" t="s">
        <v>2</v>
      </c>
      <c r="F1452" s="4">
        <v>73.599999999999994</v>
      </c>
      <c r="G1452" s="4">
        <v>25000</v>
      </c>
      <c r="H1452" s="5">
        <v>1839999.9999999998</v>
      </c>
      <c r="I1452" s="4"/>
      <c r="J1452" s="6"/>
      <c r="K1452" s="4">
        <v>0</v>
      </c>
      <c r="L1452" s="4">
        <v>1839999.9999999998</v>
      </c>
    </row>
    <row r="1453" spans="2:12" x14ac:dyDescent="0.25">
      <c r="B1453" s="8">
        <v>46221</v>
      </c>
      <c r="C1453" s="9" t="s">
        <v>167</v>
      </c>
      <c r="D1453" s="10" t="s">
        <v>388</v>
      </c>
      <c r="E1453" s="10" t="s">
        <v>2</v>
      </c>
      <c r="F1453" s="11">
        <v>95.1</v>
      </c>
      <c r="G1453" s="11">
        <v>22000</v>
      </c>
      <c r="H1453" s="12">
        <v>2092199.9999999998</v>
      </c>
      <c r="I1453" s="11"/>
      <c r="J1453" s="13"/>
      <c r="K1453" s="11">
        <v>0</v>
      </c>
      <c r="L1453" s="11">
        <v>2092199.9999999998</v>
      </c>
    </row>
    <row r="1454" spans="2:12" x14ac:dyDescent="0.25">
      <c r="B1454" s="1">
        <v>46222</v>
      </c>
      <c r="C1454" s="2" t="s">
        <v>39</v>
      </c>
      <c r="D1454" s="3" t="s">
        <v>16</v>
      </c>
      <c r="E1454" s="3" t="s">
        <v>2</v>
      </c>
      <c r="F1454" s="4">
        <v>933</v>
      </c>
      <c r="G1454" s="4">
        <v>27000</v>
      </c>
      <c r="H1454" s="5">
        <v>25191000</v>
      </c>
      <c r="I1454" s="4"/>
      <c r="J1454" s="6">
        <v>25000</v>
      </c>
      <c r="K1454" s="4">
        <v>23325000</v>
      </c>
      <c r="L1454" s="4">
        <v>1866000</v>
      </c>
    </row>
    <row r="1455" spans="2:12" x14ac:dyDescent="0.25">
      <c r="B1455" s="8">
        <v>46222</v>
      </c>
      <c r="C1455" s="9" t="s">
        <v>214</v>
      </c>
      <c r="D1455" s="10" t="s">
        <v>388</v>
      </c>
      <c r="E1455" s="10" t="s">
        <v>2</v>
      </c>
      <c r="F1455" s="11">
        <v>93.2</v>
      </c>
      <c r="G1455" s="11">
        <v>21500</v>
      </c>
      <c r="H1455" s="12">
        <v>2003800</v>
      </c>
      <c r="I1455" s="11"/>
      <c r="J1455" s="13"/>
      <c r="K1455" s="11">
        <v>0</v>
      </c>
      <c r="L1455" s="11">
        <v>2003800</v>
      </c>
    </row>
    <row r="1456" spans="2:12" x14ac:dyDescent="0.25">
      <c r="B1456" s="1">
        <v>46222</v>
      </c>
      <c r="C1456" s="2" t="s">
        <v>207</v>
      </c>
      <c r="D1456" s="3" t="s">
        <v>388</v>
      </c>
      <c r="E1456" s="3" t="s">
        <v>2</v>
      </c>
      <c r="F1456" s="4">
        <v>49.8</v>
      </c>
      <c r="G1456" s="4">
        <v>23000</v>
      </c>
      <c r="H1456" s="5">
        <v>1145400</v>
      </c>
      <c r="I1456" s="4"/>
      <c r="J1456" s="6"/>
      <c r="K1456" s="4">
        <v>0</v>
      </c>
      <c r="L1456" s="4">
        <v>1145400</v>
      </c>
    </row>
    <row r="1457" spans="2:12" x14ac:dyDescent="0.25">
      <c r="B1457" s="8">
        <v>46222</v>
      </c>
      <c r="C1457" s="9" t="s">
        <v>207</v>
      </c>
      <c r="D1457" s="10" t="s">
        <v>10</v>
      </c>
      <c r="E1457" s="10" t="s">
        <v>2</v>
      </c>
      <c r="F1457" s="11">
        <v>47</v>
      </c>
      <c r="G1457" s="11">
        <v>16000</v>
      </c>
      <c r="H1457" s="12">
        <v>752000</v>
      </c>
      <c r="I1457" s="11"/>
      <c r="J1457" s="13"/>
      <c r="K1457" s="11">
        <v>0</v>
      </c>
      <c r="L1457" s="11">
        <v>752000</v>
      </c>
    </row>
    <row r="1458" spans="2:12" x14ac:dyDescent="0.25">
      <c r="B1458" s="1">
        <v>46222</v>
      </c>
      <c r="C1458" s="2" t="s">
        <v>101</v>
      </c>
      <c r="D1458" s="3" t="s">
        <v>388</v>
      </c>
      <c r="E1458" s="3" t="s">
        <v>2</v>
      </c>
      <c r="F1458" s="4">
        <v>46.6</v>
      </c>
      <c r="G1458" s="4">
        <v>23000</v>
      </c>
      <c r="H1458" s="5">
        <v>1071800</v>
      </c>
      <c r="I1458" s="4"/>
      <c r="J1458" s="6"/>
      <c r="K1458" s="4">
        <v>0</v>
      </c>
      <c r="L1458" s="4">
        <v>1071800</v>
      </c>
    </row>
    <row r="1459" spans="2:12" x14ac:dyDescent="0.25">
      <c r="B1459" s="8">
        <v>46222</v>
      </c>
      <c r="C1459" s="9" t="s">
        <v>90</v>
      </c>
      <c r="D1459" s="10" t="s">
        <v>388</v>
      </c>
      <c r="E1459" s="10" t="s">
        <v>2</v>
      </c>
      <c r="F1459" s="11">
        <v>44.6</v>
      </c>
      <c r="G1459" s="11">
        <v>22000</v>
      </c>
      <c r="H1459" s="12">
        <v>981200</v>
      </c>
      <c r="I1459" s="11"/>
      <c r="J1459" s="13"/>
      <c r="K1459" s="11">
        <v>0</v>
      </c>
      <c r="L1459" s="11">
        <v>981200</v>
      </c>
    </row>
    <row r="1460" spans="2:12" x14ac:dyDescent="0.25">
      <c r="B1460" s="1">
        <v>46222</v>
      </c>
      <c r="C1460" s="2" t="s">
        <v>384</v>
      </c>
      <c r="D1460" s="3" t="s">
        <v>10</v>
      </c>
      <c r="E1460" s="3" t="s">
        <v>2</v>
      </c>
      <c r="F1460" s="4">
        <v>99.1</v>
      </c>
      <c r="G1460" s="4">
        <v>15000</v>
      </c>
      <c r="H1460" s="5">
        <v>1486500</v>
      </c>
      <c r="I1460" s="4"/>
      <c r="J1460" s="6"/>
      <c r="K1460" s="4">
        <v>0</v>
      </c>
      <c r="L1460" s="4">
        <v>1486500</v>
      </c>
    </row>
  </sheetData>
  <dataValidations count="2">
    <dataValidation type="list" allowBlank="1" showInputMessage="1" showErrorMessage="1" sqref="D3:D1005">
      <formula1>$C$2:$C$2227</formula1>
    </dataValidation>
    <dataValidation type="list" allowBlank="1" showInputMessage="1" showErrorMessage="1" sqref="D1220 D1417:D1440 D1443:D1447 D1449:D1460">
      <formula1>$C$2:$C$2260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'E:\[ХОЗМАГЛАР 2024-2025 27 (2) (2) (3) (3).xlsx]КОНТРАГЕНТ'!#REF!</xm:f>
          </x14:formula1>
          <xm:sqref>C2:C176 C178:C1005</xm:sqref>
        </x14:dataValidation>
        <x14:dataValidation type="list" allowBlank="1" showInputMessage="1" showErrorMessage="1">
          <x14:formula1>
            <xm:f>'E:\[ХОЗМАГЛАР 2024-2025 27 (2) (2) (3) (3).xlsx]МАЪЛУМОТЛАР'!#REF!</xm:f>
          </x14:formula1>
          <xm:sqref>D2</xm:sqref>
        </x14:dataValidation>
        <x14:dataValidation type="list" allowBlank="1" showInputMessage="1" showErrorMessage="1" promptTitle="Мижоз">
          <x14:formula1>
            <xm:f>'E:\[ХОЗМАГЛАР 2024-2025 27 (2) (2) (3) (3).xlsx]КОНТРАГЕНТ'!#REF!</xm:f>
          </x14:formula1>
          <xm:sqref>P2:P988</xm:sqref>
        </x14:dataValidation>
        <x14:dataValidation type="list" allowBlank="1" showInputMessage="1" showErrorMessage="1">
          <x14:formula1>
            <xm:f>'E:\[ХОЗМАГЛАР 2026.xlsx]МАЪЛУМОТЛАР'!#REF!</xm:f>
          </x14:formula1>
          <xm:sqref>D1006:D1219 D1221:D1416 D1441:D1442 D1448</xm:sqref>
        </x14:dataValidation>
        <x14:dataValidation type="list" allowBlank="1" showInputMessage="1" showErrorMessage="1">
          <x14:formula1>
            <xm:f>'E:\[ХОЗМАГЛАР 2026.xlsx]МАЪЛУМОТЛАР'!#REF!</xm:f>
          </x14:formula1>
          <xm:sqref>E1006:E1219 E1221:E1416</xm:sqref>
        </x14:dataValidation>
        <x14:dataValidation type="list" allowBlank="1" showInputMessage="1" showErrorMessage="1">
          <x14:formula1>
            <xm:f>'E:\[ХОЗМАГЛАР 2026.xlsx]КОНТРАГЕНТ'!#REF!</xm:f>
          </x14:formula1>
          <xm:sqref>C1006:C1253 C1257:C1460</xm:sqref>
        </x14:dataValidation>
        <x14:dataValidation type="list" allowBlank="1" showInputMessage="1" showErrorMessage="1" promptTitle="Мижоз">
          <x14:formula1>
            <xm:f>'E:\[ХОЗМАГЛАР 2026.xlsx]КОНТРАГЕНТ'!#REF!</xm:f>
          </x14:formula1>
          <xm:sqref>P989:P1332</xm:sqref>
        </x14:dataValidation>
        <x14:dataValidation type="list" allowBlank="1" showInputMessage="1" showErrorMessage="1">
          <x14:formula1>
            <xm:f>'E:\[ХОЗМАГЛАР 2026.xlsx]МАЪЛУМОТЛАР'!#REF!</xm:f>
          </x14:formula1>
          <xm:sqref>U989:U1332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AC6AEF-FE66-4AF9-9A1A-5DEA9F94E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2026-07-19T11:54:34Z</dcterms:modified>
</cp:coreProperties>
</file>